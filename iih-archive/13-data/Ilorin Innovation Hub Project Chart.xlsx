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stowers-my.sharepoint.com/personal/zumah_yahaya_ihstowers_com/Documents/"/>
    </mc:Choice>
  </mc:AlternateContent>
  <xr:revisionPtr revIDLastSave="9" documentId="8_{EAC1AE6F-C5C0-4883-8323-A01628A12136}" xr6:coauthVersionLast="47" xr6:coauthVersionMax="47" xr10:uidLastSave="{FB2A81B1-0839-4400-B007-A3A402B987C7}"/>
  <bookViews>
    <workbookView xWindow="-110" yWindow="-110" windowWidth="19420" windowHeight="10420" xr2:uid="{360AB209-FBEA-429E-9546-84752919D100}"/>
  </bookViews>
  <sheets>
    <sheet name="Schedule Control Lo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</externalReferences>
  <definedNames>
    <definedName name="\1">#N/A</definedName>
    <definedName name="\10">#N/A</definedName>
    <definedName name="\11">#N/A</definedName>
    <definedName name="\12">#N/A</definedName>
    <definedName name="\13">#N/A</definedName>
    <definedName name="\14">#N/A</definedName>
    <definedName name="\15">#N/A</definedName>
    <definedName name="\16">#N/A</definedName>
    <definedName name="\17">#N/A</definedName>
    <definedName name="\18">#N/A</definedName>
    <definedName name="\2">#N/A</definedName>
    <definedName name="\3">#N/A</definedName>
    <definedName name="\4">#N/A</definedName>
    <definedName name="\5">#N/A</definedName>
    <definedName name="\6">#N/A</definedName>
    <definedName name="\7">#N/A</definedName>
    <definedName name="\8">#N/A</definedName>
    <definedName name="\9">#N/A</definedName>
    <definedName name="\A" localSheetId="0">[1]LAF!$A$132:$A$134</definedName>
    <definedName name="\A">[2]LAF!$A$132:$A$134</definedName>
    <definedName name="\c">#N/A</definedName>
    <definedName name="\e">#N/A</definedName>
    <definedName name="\P" localSheetId="0">[1]LAF!$A$50:$A$64</definedName>
    <definedName name="\P">[2]LAF!$A$50:$A$64</definedName>
    <definedName name="____________________e1" localSheetId="0" hidden="1">{#N/A,#N/A,FALSE,"CHANGES";#N/A,#N/A,FALSE,"PROD SUMMARY";#N/A,#N/A,FALSE,"1995 PO SUM";#N/A,#N/A,FALSE,"1995 GEOG SUM";#N/A,#N/A,FALSE,"1996 PO SUM";#N/A,#N/A,FALSE,"1996 GEOG SUM"}</definedName>
    <definedName name="____________________e1" hidden="1">{#N/A,#N/A,FALSE,"CHANGES";#N/A,#N/A,FALSE,"PROD SUMMARY";#N/A,#N/A,FALSE,"1995 PO SUM";#N/A,#N/A,FALSE,"1995 GEOG SUM";#N/A,#N/A,FALSE,"1996 PO SUM";#N/A,#N/A,FALSE,"1996 GEOG SUM"}</definedName>
    <definedName name="_______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_______err1" hidden="1">{#N/A,#N/A,FALSE,"CHANGES";#N/A,#N/A,FALSE,"PROD SUMMARY";#N/A,#N/A,FALSE,"1995 PO SUM";#N/A,#N/A,FALSE,"1995 GEOG SUM";#N/A,#N/A,FALSE,"1996 PO SUM";#N/A,#N/A,FALSE,"1996 GEOG SUM"}</definedName>
    <definedName name="____________________ju1" localSheetId="0" hidden="1">{#N/A,#N/A,FALSE,"CHANGES";#N/A,#N/A,FALSE,"PROD SUMMARY";#N/A,#N/A,FALSE,"1995 PO SUM";#N/A,#N/A,FALSE,"1995 GEOG SUM";#N/A,#N/A,FALSE,"1996 PO SUM";#N/A,#N/A,FALSE,"1996 GEOG SUM"}</definedName>
    <definedName name="____________________ju1" hidden="1">{#N/A,#N/A,FALSE,"CHANGES";#N/A,#N/A,FALSE,"PROD SUMMARY";#N/A,#N/A,FALSE,"1995 PO SUM";#N/A,#N/A,FALSE,"1995 GEOG SUM";#N/A,#N/A,FALSE,"1996 PO SUM";#N/A,#N/A,FALSE,"1996 GEOG SUM"}</definedName>
    <definedName name="_______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_______kkk1" hidden="1">{#N/A,#N/A,FALSE,"CHANGES";#N/A,#N/A,FALSE,"PROD SUMMARY";#N/A,#N/A,FALSE,"1995 PO SUM";#N/A,#N/A,FALSE,"1995 GEOG SUM";#N/A,#N/A,FALSE,"1996 PO SUM";#N/A,#N/A,FALSE,"1996 GEOG SUM"}</definedName>
    <definedName name="_______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_______lds1" hidden="1">{#N/A,#N/A,FALSE,"CHANGES";#N/A,#N/A,FALSE,"PROD SUMMARY";#N/A,#N/A,FALSE,"1995 PO SUM";#N/A,#N/A,FALSE,"1995 GEOG SUM";#N/A,#N/A,FALSE,"1996 PO SUM";#N/A,#N/A,FALSE,"1996 GEOG SUM"}</definedName>
    <definedName name="____________________mb1" localSheetId="0" hidden="1">{#N/A,#N/A,FALSE,"CHANGES";#N/A,#N/A,FALSE,"PROD SUMMARY";#N/A,#N/A,FALSE,"1995 PO SUM";#N/A,#N/A,FALSE,"1995 GEOG SUM";#N/A,#N/A,FALSE,"1996 PO SUM";#N/A,#N/A,FALSE,"1996 GEOG SUM"}</definedName>
    <definedName name="____________________mb1" hidden="1">{#N/A,#N/A,FALSE,"CHANGES";#N/A,#N/A,FALSE,"PROD SUMMARY";#N/A,#N/A,FALSE,"1995 PO SUM";#N/A,#N/A,FALSE,"1995 GEOG SUM";#N/A,#N/A,FALSE,"1996 PO SUM";#N/A,#N/A,FALSE,"1996 GEOG SUM"}</definedName>
    <definedName name="_______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_______poi1" hidden="1">{#N/A,#N/A,FALSE,"CHANGES";#N/A,#N/A,FALSE,"PROD SUMMARY";#N/A,#N/A,FALSE,"1995 PO SUM";#N/A,#N/A,FALSE,"1995 GEOG SUM";#N/A,#N/A,FALSE,"1996 PO SUM";#N/A,#N/A,FALSE,"1996 GEOG SUM"}</definedName>
    <definedName name="_________________e1" localSheetId="0" hidden="1">{#N/A,#N/A,FALSE,"CHANGES";#N/A,#N/A,FALSE,"PROD SUMMARY";#N/A,#N/A,FALSE,"1995 PO SUM";#N/A,#N/A,FALSE,"1995 GEOG SUM";#N/A,#N/A,FALSE,"1996 PO SUM";#N/A,#N/A,FALSE,"1996 GEOG SUM"}</definedName>
    <definedName name="_________________e1" hidden="1">{#N/A,#N/A,FALSE,"CHANGES";#N/A,#N/A,FALSE,"PROD SUMMARY";#N/A,#N/A,FALSE,"1995 PO SUM";#N/A,#N/A,FALSE,"1995 GEOG SUM";#N/A,#N/A,FALSE,"1996 PO SUM";#N/A,#N/A,FALSE,"1996 GEOG SUM"}</definedName>
    <definedName name="____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____err1" hidden="1">{#N/A,#N/A,FALSE,"CHANGES";#N/A,#N/A,FALSE,"PROD SUMMARY";#N/A,#N/A,FALSE,"1995 PO SUM";#N/A,#N/A,FALSE,"1995 GEOG SUM";#N/A,#N/A,FALSE,"1996 PO SUM";#N/A,#N/A,FALSE,"1996 GEOG SUM"}</definedName>
    <definedName name="_________________ju1" localSheetId="0" hidden="1">{#N/A,#N/A,FALSE,"CHANGES";#N/A,#N/A,FALSE,"PROD SUMMARY";#N/A,#N/A,FALSE,"1995 PO SUM";#N/A,#N/A,FALSE,"1995 GEOG SUM";#N/A,#N/A,FALSE,"1996 PO SUM";#N/A,#N/A,FALSE,"1996 GEOG SUM"}</definedName>
    <definedName name="_________________ju1" hidden="1">{#N/A,#N/A,FALSE,"CHANGES";#N/A,#N/A,FALSE,"PROD SUMMARY";#N/A,#N/A,FALSE,"1995 PO SUM";#N/A,#N/A,FALSE,"1995 GEOG SUM";#N/A,#N/A,FALSE,"1996 PO SUM";#N/A,#N/A,FALSE,"1996 GEOG SUM"}</definedName>
    <definedName name="____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____kkk1" hidden="1">{#N/A,#N/A,FALSE,"CHANGES";#N/A,#N/A,FALSE,"PROD SUMMARY";#N/A,#N/A,FALSE,"1995 PO SUM";#N/A,#N/A,FALSE,"1995 GEOG SUM";#N/A,#N/A,FALSE,"1996 PO SUM";#N/A,#N/A,FALSE,"1996 GEOG SUM"}</definedName>
    <definedName name="____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____lds1" hidden="1">{#N/A,#N/A,FALSE,"CHANGES";#N/A,#N/A,FALSE,"PROD SUMMARY";#N/A,#N/A,FALSE,"1995 PO SUM";#N/A,#N/A,FALSE,"1995 GEOG SUM";#N/A,#N/A,FALSE,"1996 PO SUM";#N/A,#N/A,FALSE,"1996 GEOG SUM"}</definedName>
    <definedName name="_________________mb1" localSheetId="0" hidden="1">{#N/A,#N/A,FALSE,"CHANGES";#N/A,#N/A,FALSE,"PROD SUMMARY";#N/A,#N/A,FALSE,"1995 PO SUM";#N/A,#N/A,FALSE,"1995 GEOG SUM";#N/A,#N/A,FALSE,"1996 PO SUM";#N/A,#N/A,FALSE,"1996 GEOG SUM"}</definedName>
    <definedName name="_________________mb1" hidden="1">{#N/A,#N/A,FALSE,"CHANGES";#N/A,#N/A,FALSE,"PROD SUMMARY";#N/A,#N/A,FALSE,"1995 PO SUM";#N/A,#N/A,FALSE,"1995 GEOG SUM";#N/A,#N/A,FALSE,"1996 PO SUM";#N/A,#N/A,FALSE,"1996 GEOG SUM"}</definedName>
    <definedName name="____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____poi1" hidden="1">{#N/A,#N/A,FALSE,"CHANGES";#N/A,#N/A,FALSE,"PROD SUMMARY";#N/A,#N/A,FALSE,"1995 PO SUM";#N/A,#N/A,FALSE,"1995 GEOG SUM";#N/A,#N/A,FALSE,"1996 PO SUM";#N/A,#N/A,FALSE,"1996 GEOG SUM"}</definedName>
    <definedName name="________________ABC1" localSheetId="0" hidden="1">{#N/A,#N/A,FALSE,"CHANGES";#N/A,#N/A,FALSE,"PROD SUMMARY";#N/A,#N/A,FALSE,"1995 PO SUM";#N/A,#N/A,FALSE,"1995 GEOG SUM";#N/A,#N/A,FALSE,"1996 PO SUM";#N/A,#N/A,FALSE,"1996 GEOG SUM"}</definedName>
    <definedName name="________________ABC1" hidden="1">{#N/A,#N/A,FALSE,"CHANGES";#N/A,#N/A,FALSE,"PROD SUMMARY";#N/A,#N/A,FALSE,"1995 PO SUM";#N/A,#N/A,FALSE,"1995 GEOG SUM";#N/A,#N/A,FALSE,"1996 PO SUM";#N/A,#N/A,FALSE,"1996 GEOG SUM"}</definedName>
    <definedName name="_____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__arn4" localSheetId="0" hidden="1">{#N/A,#N/A,TRUE,"PRODUCTION CAPEX OVERVIEW";#N/A,#N/A,TRUE,"Affiliate Detail";#N/A,#N/A,TRUE,"CAPEX PLANNING OVERVIEW"}</definedName>
    <definedName name="________________arn4" hidden="1">{#N/A,#N/A,TRUE,"PRODUCTION CAPEX OVERVIEW";#N/A,#N/A,TRUE,"Affiliate Detail";#N/A,#N/A,TRUE,"CAPEX PLANNING OVERVIEW"}</definedName>
    <definedName name="________________arn5" localSheetId="0" hidden="1">{#N/A,#N/A,FALSE,"CHANGES";#N/A,#N/A,FALSE,"PROD SUMMARY";#N/A,#N/A,FALSE,"1995 PO SUM";#N/A,#N/A,FALSE,"1995 GEOG SUM";#N/A,#N/A,FALSE,"1996 PO SUM";#N/A,#N/A,FALSE,"1996 GEOG SUM"}</definedName>
    <definedName name="________________arn5" hidden="1">{#N/A,#N/A,FALSE,"CHANGES";#N/A,#N/A,FALSE,"PROD SUMMARY";#N/A,#N/A,FALSE,"1995 PO SUM";#N/A,#N/A,FALSE,"1995 GEOG SUM";#N/A,#N/A,FALSE,"1996 PO SUM";#N/A,#N/A,FALSE,"1996 GEOG SUM"}</definedName>
    <definedName name="________________arn6" localSheetId="0" hidden="1">{#N/A,#N/A,FALSE,"CHANGES";#N/A,#N/A,FALSE,"PROD SUMMARY";#N/A,#N/A,FALSE,"1995 PO SUM";#N/A,#N/A,FALSE,"1995 GEOG SUM";#N/A,#N/A,FALSE,"1996 PO SUM";#N/A,#N/A,FALSE,"1996 GEOG SUM"}</definedName>
    <definedName name="________________arn6" hidden="1">{#N/A,#N/A,FALSE,"CHANGES";#N/A,#N/A,FALSE,"PROD SUMMARY";#N/A,#N/A,FALSE,"1995 PO SUM";#N/A,#N/A,FALSE,"1995 GEOG SUM";#N/A,#N/A,FALSE,"1996 PO SUM";#N/A,#N/A,FALSE,"1996 GEOG SUM"}</definedName>
    <definedName name="________________arn7" localSheetId="0" hidden="1">{#N/A,#N/A,FALSE,"TabA";#N/A,#N/A,FALSE,"UTopxFx98";#N/A,#N/A,FALSE,"TopxFx98";#N/A,#N/A,FALSE,"TopxNom"}</definedName>
    <definedName name="________________arn7" hidden="1">{#N/A,#N/A,FALSE,"TabA";#N/A,#N/A,FALSE,"UTopxFx98";#N/A,#N/A,FALSE,"TopxFx98";#N/A,#N/A,FALSE,"TopxNom"}</definedName>
    <definedName name="________________CP07" localSheetId="0" hidden="1">{#N/A,#N/A,FALSE,"TabA";#N/A,#N/A,FALSE,"UTopxFx98";#N/A,#N/A,FALSE,"TopxFx98";#N/A,#N/A,FALSE,"TopxNom"}</definedName>
    <definedName name="________________CP07" hidden="1">{#N/A,#N/A,FALSE,"TabA";#N/A,#N/A,FALSE,"UTopxFx98";#N/A,#N/A,FALSE,"TopxFx98";#N/A,#N/A,FALSE,"TopxNom"}</definedName>
    <definedName name="________________CPX1" localSheetId="0" hidden="1">{#N/A,#N/A,TRUE,"PRODUCTION CAPEX OVERVIEW";#N/A,#N/A,TRUE,"Affiliate Detail";#N/A,#N/A,TRUE,"CAPEX PLANNING OVERVIEW"}</definedName>
    <definedName name="________________CPX1" hidden="1">{#N/A,#N/A,TRUE,"PRODUCTION CAPEX OVERVIEW";#N/A,#N/A,TRUE,"Affiliate Detail";#N/A,#N/A,TRUE,"CAPEX PLANNING OVERVIEW"}</definedName>
    <definedName name="________________e1" localSheetId="0" hidden="1">{#N/A,#N/A,FALSE,"CHANGES";#N/A,#N/A,FALSE,"PROD SUMMARY";#N/A,#N/A,FALSE,"1995 PO SUM";#N/A,#N/A,FALSE,"1995 GEOG SUM";#N/A,#N/A,FALSE,"1996 PO SUM";#N/A,#N/A,FALSE,"1996 GEOG SUM"}</definedName>
    <definedName name="________________e1" hidden="1">{#N/A,#N/A,FALSE,"CHANGES";#N/A,#N/A,FALSE,"PROD SUMMARY";#N/A,#N/A,FALSE,"1995 PO SUM";#N/A,#N/A,FALSE,"1995 GEOG SUM";#N/A,#N/A,FALSE,"1996 PO SUM";#N/A,#N/A,FALSE,"1996 GEOG SUM"}</definedName>
    <definedName name="___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___err1" hidden="1">{#N/A,#N/A,FALSE,"CHANGES";#N/A,#N/A,FALSE,"PROD SUMMARY";#N/A,#N/A,FALSE,"1995 PO SUM";#N/A,#N/A,FALSE,"1995 GEOG SUM";#N/A,#N/A,FALSE,"1996 PO SUM";#N/A,#N/A,FALSE,"1996 GEOG SUM"}</definedName>
    <definedName name="________________ju1" localSheetId="0" hidden="1">{#N/A,#N/A,FALSE,"CHANGES";#N/A,#N/A,FALSE,"PROD SUMMARY";#N/A,#N/A,FALSE,"1995 PO SUM";#N/A,#N/A,FALSE,"1995 GEOG SUM";#N/A,#N/A,FALSE,"1996 PO SUM";#N/A,#N/A,FALSE,"1996 GEOG SUM"}</definedName>
    <definedName name="________________ju1" hidden="1">{#N/A,#N/A,FALSE,"CHANGES";#N/A,#N/A,FALSE,"PROD SUMMARY";#N/A,#N/A,FALSE,"1995 PO SUM";#N/A,#N/A,FALSE,"1995 GEOG SUM";#N/A,#N/A,FALSE,"1996 PO SUM";#N/A,#N/A,FALSE,"1996 GEOG SUM"}</definedName>
    <definedName name="___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___kkk1" hidden="1">{#N/A,#N/A,FALSE,"CHANGES";#N/A,#N/A,FALSE,"PROD SUMMARY";#N/A,#N/A,FALSE,"1995 PO SUM";#N/A,#N/A,FALSE,"1995 GEOG SUM";#N/A,#N/A,FALSE,"1996 PO SUM";#N/A,#N/A,FALSE,"1996 GEOG SUM"}</definedName>
    <definedName name="___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___lds1" hidden="1">{#N/A,#N/A,FALSE,"CHANGES";#N/A,#N/A,FALSE,"PROD SUMMARY";#N/A,#N/A,FALSE,"1995 PO SUM";#N/A,#N/A,FALSE,"1995 GEOG SUM";#N/A,#N/A,FALSE,"1996 PO SUM";#N/A,#N/A,FALSE,"1996 GEOG SUM"}</definedName>
    <definedName name="________________mb1" localSheetId="0" hidden="1">{#N/A,#N/A,FALSE,"CHANGES";#N/A,#N/A,FALSE,"PROD SUMMARY";#N/A,#N/A,FALSE,"1995 PO SUM";#N/A,#N/A,FALSE,"1995 GEOG SUM";#N/A,#N/A,FALSE,"1996 PO SUM";#N/A,#N/A,FALSE,"1996 GEOG SUM"}</definedName>
    <definedName name="________________mb1" hidden="1">{#N/A,#N/A,FALSE,"CHANGES";#N/A,#N/A,FALSE,"PROD SUMMARY";#N/A,#N/A,FALSE,"1995 PO SUM";#N/A,#N/A,FALSE,"1995 GEOG SUM";#N/A,#N/A,FALSE,"1996 PO SUM";#N/A,#N/A,FALSE,"1996 GEOG SUM"}</definedName>
    <definedName name="___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___poi1" hidden="1">{#N/A,#N/A,FALSE,"CHANGES";#N/A,#N/A,FALSE,"PROD SUMMARY";#N/A,#N/A,FALSE,"1995 PO SUM";#N/A,#N/A,FALSE,"1995 GEOG SUM";#N/A,#N/A,FALSE,"1996 PO SUM";#N/A,#N/A,FALSE,"1996 GEOG SUM"}</definedName>
    <definedName name="________________poi4" localSheetId="0" hidden="1">{#N/A,#N/A,FALSE,"CHANGES";#N/A,#N/A,FALSE,"PROD SUMMARY";#N/A,#N/A,FALSE,"1995 PO SUM";#N/A,#N/A,FALSE,"1995 GEOG SUM";#N/A,#N/A,FALSE,"1996 PO SUM";#N/A,#N/A,FALSE,"1996 GEOG SUM"}</definedName>
    <definedName name="________________poi4" hidden="1">{#N/A,#N/A,FALSE,"CHANGES";#N/A,#N/A,FALSE,"PROD SUMMARY";#N/A,#N/A,FALSE,"1995 PO SUM";#N/A,#N/A,FALSE,"1995 GEOG SUM";#N/A,#N/A,FALSE,"1996 PO SUM";#N/A,#N/A,FALSE,"1996 GEOG SUM"}</definedName>
    <definedName name="_______________ABC1" localSheetId="0" hidden="1">{#N/A,#N/A,FALSE,"CHANGES";#N/A,#N/A,FALSE,"PROD SUMMARY";#N/A,#N/A,FALSE,"1995 PO SUM";#N/A,#N/A,FALSE,"1995 GEOG SUM";#N/A,#N/A,FALSE,"1996 PO SUM";#N/A,#N/A,FALSE,"1996 GEOG SUM"}</definedName>
    <definedName name="_______________ABC1" hidden="1">{#N/A,#N/A,FALSE,"CHANGES";#N/A,#N/A,FALSE,"PROD SUMMARY";#N/A,#N/A,FALSE,"1995 PO SUM";#N/A,#N/A,FALSE,"1995 GEOG SUM";#N/A,#N/A,FALSE,"1996 PO SUM";#N/A,#N/A,FALSE,"1996 GEOG SUM"}</definedName>
    <definedName name="____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_arn4" localSheetId="0" hidden="1">{#N/A,#N/A,TRUE,"PRODUCTION CAPEX OVERVIEW";#N/A,#N/A,TRUE,"Affiliate Detail";#N/A,#N/A,TRUE,"CAPEX PLANNING OVERVIEW"}</definedName>
    <definedName name="_______________arn4" hidden="1">{#N/A,#N/A,TRUE,"PRODUCTION CAPEX OVERVIEW";#N/A,#N/A,TRUE,"Affiliate Detail";#N/A,#N/A,TRUE,"CAPEX PLANNING OVERVIEW"}</definedName>
    <definedName name="_______________arn5" localSheetId="0" hidden="1">{#N/A,#N/A,FALSE,"CHANGES";#N/A,#N/A,FALSE,"PROD SUMMARY";#N/A,#N/A,FALSE,"1995 PO SUM";#N/A,#N/A,FALSE,"1995 GEOG SUM";#N/A,#N/A,FALSE,"1996 PO SUM";#N/A,#N/A,FALSE,"1996 GEOG SUM"}</definedName>
    <definedName name="_______________arn5" hidden="1">{#N/A,#N/A,FALSE,"CHANGES";#N/A,#N/A,FALSE,"PROD SUMMARY";#N/A,#N/A,FALSE,"1995 PO SUM";#N/A,#N/A,FALSE,"1995 GEOG SUM";#N/A,#N/A,FALSE,"1996 PO SUM";#N/A,#N/A,FALSE,"1996 GEOG SUM"}</definedName>
    <definedName name="_______________arn6" localSheetId="0" hidden="1">{#N/A,#N/A,FALSE,"CHANGES";#N/A,#N/A,FALSE,"PROD SUMMARY";#N/A,#N/A,FALSE,"1995 PO SUM";#N/A,#N/A,FALSE,"1995 GEOG SUM";#N/A,#N/A,FALSE,"1996 PO SUM";#N/A,#N/A,FALSE,"1996 GEOG SUM"}</definedName>
    <definedName name="_______________arn6" hidden="1">{#N/A,#N/A,FALSE,"CHANGES";#N/A,#N/A,FALSE,"PROD SUMMARY";#N/A,#N/A,FALSE,"1995 PO SUM";#N/A,#N/A,FALSE,"1995 GEOG SUM";#N/A,#N/A,FALSE,"1996 PO SUM";#N/A,#N/A,FALSE,"1996 GEOG SUM"}</definedName>
    <definedName name="_______________arn7" localSheetId="0" hidden="1">{#N/A,#N/A,FALSE,"TabA";#N/A,#N/A,FALSE,"UTopxFx98";#N/A,#N/A,FALSE,"TopxFx98";#N/A,#N/A,FALSE,"TopxNom"}</definedName>
    <definedName name="_______________arn7" hidden="1">{#N/A,#N/A,FALSE,"TabA";#N/A,#N/A,FALSE,"UTopxFx98";#N/A,#N/A,FALSE,"TopxFx98";#N/A,#N/A,FALSE,"TopxNom"}</definedName>
    <definedName name="_______________CON12" localSheetId="0" hidden="1">{#N/A,#N/A,FALSE,"COPERTINA"}</definedName>
    <definedName name="_______________CON12" hidden="1">{#N/A,#N/A,FALSE,"COPERTINA"}</definedName>
    <definedName name="_______________CP07" localSheetId="0" hidden="1">{#N/A,#N/A,FALSE,"TabA";#N/A,#N/A,FALSE,"UTopxFx98";#N/A,#N/A,FALSE,"TopxFx98";#N/A,#N/A,FALSE,"TopxNom"}</definedName>
    <definedName name="_______________CP07" hidden="1">{#N/A,#N/A,FALSE,"TabA";#N/A,#N/A,FALSE,"UTopxFx98";#N/A,#N/A,FALSE,"TopxFx98";#N/A,#N/A,FALSE,"TopxNom"}</definedName>
    <definedName name="_______________CPX1" localSheetId="0" hidden="1">{#N/A,#N/A,TRUE,"PRODUCTION CAPEX OVERVIEW";#N/A,#N/A,TRUE,"Affiliate Detail";#N/A,#N/A,TRUE,"CAPEX PLANNING OVERVIEW"}</definedName>
    <definedName name="_______________CPX1" hidden="1">{#N/A,#N/A,TRUE,"PRODUCTION CAPEX OVERVIEW";#N/A,#N/A,TRUE,"Affiliate Detail";#N/A,#N/A,TRUE,"CAPEX PLANNING OVERVIEW"}</definedName>
    <definedName name="_______________e1" localSheetId="0" hidden="1">{#N/A,#N/A,FALSE,"CHANGES";#N/A,#N/A,FALSE,"PROD SUMMARY";#N/A,#N/A,FALSE,"1995 PO SUM";#N/A,#N/A,FALSE,"1995 GEOG SUM";#N/A,#N/A,FALSE,"1996 PO SUM";#N/A,#N/A,FALSE,"1996 GEOG SUM"}</definedName>
    <definedName name="_______________e1" hidden="1">{#N/A,#N/A,FALSE,"CHANGES";#N/A,#N/A,FALSE,"PROD SUMMARY";#N/A,#N/A,FALSE,"1995 PO SUM";#N/A,#N/A,FALSE,"1995 GEOG SUM";#N/A,#N/A,FALSE,"1996 PO SUM";#N/A,#N/A,FALSE,"1996 GEOG SUM"}</definedName>
    <definedName name="__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__err1" hidden="1">{#N/A,#N/A,FALSE,"CHANGES";#N/A,#N/A,FALSE,"PROD SUMMARY";#N/A,#N/A,FALSE,"1995 PO SUM";#N/A,#N/A,FALSE,"1995 GEOG SUM";#N/A,#N/A,FALSE,"1996 PO SUM";#N/A,#N/A,FALSE,"1996 GEOG SUM"}</definedName>
    <definedName name="_______________ju1" localSheetId="0" hidden="1">{#N/A,#N/A,FALSE,"CHANGES";#N/A,#N/A,FALSE,"PROD SUMMARY";#N/A,#N/A,FALSE,"1995 PO SUM";#N/A,#N/A,FALSE,"1995 GEOG SUM";#N/A,#N/A,FALSE,"1996 PO SUM";#N/A,#N/A,FALSE,"1996 GEOG SUM"}</definedName>
    <definedName name="_______________ju1" hidden="1">{#N/A,#N/A,FALSE,"CHANGES";#N/A,#N/A,FALSE,"PROD SUMMARY";#N/A,#N/A,FALSE,"1995 PO SUM";#N/A,#N/A,FALSE,"1995 GEOG SUM";#N/A,#N/A,FALSE,"1996 PO SUM";#N/A,#N/A,FALSE,"1996 GEOG SUM"}</definedName>
    <definedName name="__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__kkk1" hidden="1">{#N/A,#N/A,FALSE,"CHANGES";#N/A,#N/A,FALSE,"PROD SUMMARY";#N/A,#N/A,FALSE,"1995 PO SUM";#N/A,#N/A,FALSE,"1995 GEOG SUM";#N/A,#N/A,FALSE,"1996 PO SUM";#N/A,#N/A,FALSE,"1996 GEOG SUM"}</definedName>
    <definedName name="__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__lds1" hidden="1">{#N/A,#N/A,FALSE,"CHANGES";#N/A,#N/A,FALSE,"PROD SUMMARY";#N/A,#N/A,FALSE,"1995 PO SUM";#N/A,#N/A,FALSE,"1995 GEOG SUM";#N/A,#N/A,FALSE,"1996 PO SUM";#N/A,#N/A,FALSE,"1996 GEOG SUM"}</definedName>
    <definedName name="_______________mb1" localSheetId="0" hidden="1">{#N/A,#N/A,FALSE,"CHANGES";#N/A,#N/A,FALSE,"PROD SUMMARY";#N/A,#N/A,FALSE,"1995 PO SUM";#N/A,#N/A,FALSE,"1995 GEOG SUM";#N/A,#N/A,FALSE,"1996 PO SUM";#N/A,#N/A,FALSE,"1996 GEOG SUM"}</definedName>
    <definedName name="_______________mb1" hidden="1">{#N/A,#N/A,FALSE,"CHANGES";#N/A,#N/A,FALSE,"PROD SUMMARY";#N/A,#N/A,FALSE,"1995 PO SUM";#N/A,#N/A,FALSE,"1995 GEOG SUM";#N/A,#N/A,FALSE,"1996 PO SUM";#N/A,#N/A,FALSE,"1996 GEOG SUM"}</definedName>
    <definedName name="__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__poi1" hidden="1">{#N/A,#N/A,FALSE,"CHANGES";#N/A,#N/A,FALSE,"PROD SUMMARY";#N/A,#N/A,FALSE,"1995 PO SUM";#N/A,#N/A,FALSE,"1995 GEOG SUM";#N/A,#N/A,FALSE,"1996 PO SUM";#N/A,#N/A,FALSE,"1996 GEOG SUM"}</definedName>
    <definedName name="_______________poi4" localSheetId="0" hidden="1">{#N/A,#N/A,FALSE,"CHANGES";#N/A,#N/A,FALSE,"PROD SUMMARY";#N/A,#N/A,FALSE,"1995 PO SUM";#N/A,#N/A,FALSE,"1995 GEOG SUM";#N/A,#N/A,FALSE,"1996 PO SUM";#N/A,#N/A,FALSE,"1996 GEOG SUM"}</definedName>
    <definedName name="_______________poi4" hidden="1">{#N/A,#N/A,FALSE,"CHANGES";#N/A,#N/A,FALSE,"PROD SUMMARY";#N/A,#N/A,FALSE,"1995 PO SUM";#N/A,#N/A,FALSE,"1995 GEOG SUM";#N/A,#N/A,FALSE,"1996 PO SUM";#N/A,#N/A,FALSE,"1996 GEOG SUM"}</definedName>
    <definedName name="______________ABC1" localSheetId="0" hidden="1">{#N/A,#N/A,FALSE,"CHANGES";#N/A,#N/A,FALSE,"PROD SUMMARY";#N/A,#N/A,FALSE,"1995 PO SUM";#N/A,#N/A,FALSE,"1995 GEOG SUM";#N/A,#N/A,FALSE,"1996 PO SUM";#N/A,#N/A,FALSE,"1996 GEOG SUM"}</definedName>
    <definedName name="______________ABC1" hidden="1">{#N/A,#N/A,FALSE,"CHANGES";#N/A,#N/A,FALSE,"PROD SUMMARY";#N/A,#N/A,FALSE,"1995 PO SUM";#N/A,#N/A,FALSE,"1995 GEOG SUM";#N/A,#N/A,FALSE,"1996 PO SUM";#N/A,#N/A,FALSE,"1996 GEOG SUM"}</definedName>
    <definedName name="___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_arn4" localSheetId="0" hidden="1">{#N/A,#N/A,TRUE,"PRODUCTION CAPEX OVERVIEW";#N/A,#N/A,TRUE,"Affiliate Detail";#N/A,#N/A,TRUE,"CAPEX PLANNING OVERVIEW"}</definedName>
    <definedName name="______________arn4" hidden="1">{#N/A,#N/A,TRUE,"PRODUCTION CAPEX OVERVIEW";#N/A,#N/A,TRUE,"Affiliate Detail";#N/A,#N/A,TRUE,"CAPEX PLANNING OVERVIEW"}</definedName>
    <definedName name="______________arn5" localSheetId="0" hidden="1">{#N/A,#N/A,FALSE,"CHANGES";#N/A,#N/A,FALSE,"PROD SUMMARY";#N/A,#N/A,FALSE,"1995 PO SUM";#N/A,#N/A,FALSE,"1995 GEOG SUM";#N/A,#N/A,FALSE,"1996 PO SUM";#N/A,#N/A,FALSE,"1996 GEOG SUM"}</definedName>
    <definedName name="______________arn5" hidden="1">{#N/A,#N/A,FALSE,"CHANGES";#N/A,#N/A,FALSE,"PROD SUMMARY";#N/A,#N/A,FALSE,"1995 PO SUM";#N/A,#N/A,FALSE,"1995 GEOG SUM";#N/A,#N/A,FALSE,"1996 PO SUM";#N/A,#N/A,FALSE,"1996 GEOG SUM"}</definedName>
    <definedName name="______________arn6" localSheetId="0" hidden="1">{#N/A,#N/A,FALSE,"CHANGES";#N/A,#N/A,FALSE,"PROD SUMMARY";#N/A,#N/A,FALSE,"1995 PO SUM";#N/A,#N/A,FALSE,"1995 GEOG SUM";#N/A,#N/A,FALSE,"1996 PO SUM";#N/A,#N/A,FALSE,"1996 GEOG SUM"}</definedName>
    <definedName name="______________arn6" hidden="1">{#N/A,#N/A,FALSE,"CHANGES";#N/A,#N/A,FALSE,"PROD SUMMARY";#N/A,#N/A,FALSE,"1995 PO SUM";#N/A,#N/A,FALSE,"1995 GEOG SUM";#N/A,#N/A,FALSE,"1996 PO SUM";#N/A,#N/A,FALSE,"1996 GEOG SUM"}</definedName>
    <definedName name="______________arn7" localSheetId="0" hidden="1">{#N/A,#N/A,FALSE,"TabA";#N/A,#N/A,FALSE,"UTopxFx98";#N/A,#N/A,FALSE,"TopxFx98";#N/A,#N/A,FALSE,"TopxNom"}</definedName>
    <definedName name="______________arn7" hidden="1">{#N/A,#N/A,FALSE,"TabA";#N/A,#N/A,FALSE,"UTopxFx98";#N/A,#N/A,FALSE,"TopxFx98";#N/A,#N/A,FALSE,"TopxNom"}</definedName>
    <definedName name="______________CON12" localSheetId="0" hidden="1">{#N/A,#N/A,FALSE,"COPERTINA"}</definedName>
    <definedName name="______________CON12" hidden="1">{#N/A,#N/A,FALSE,"COPERTINA"}</definedName>
    <definedName name="______________CP07" localSheetId="0" hidden="1">{#N/A,#N/A,FALSE,"TabA";#N/A,#N/A,FALSE,"UTopxFx98";#N/A,#N/A,FALSE,"TopxFx98";#N/A,#N/A,FALSE,"TopxNom"}</definedName>
    <definedName name="______________CP07" hidden="1">{#N/A,#N/A,FALSE,"TabA";#N/A,#N/A,FALSE,"UTopxFx98";#N/A,#N/A,FALSE,"TopxFx98";#N/A,#N/A,FALSE,"TopxNom"}</definedName>
    <definedName name="______________CPX1" localSheetId="0" hidden="1">{#N/A,#N/A,TRUE,"PRODUCTION CAPEX OVERVIEW";#N/A,#N/A,TRUE,"Affiliate Detail";#N/A,#N/A,TRUE,"CAPEX PLANNING OVERVIEW"}</definedName>
    <definedName name="______________CPX1" hidden="1">{#N/A,#N/A,TRUE,"PRODUCTION CAPEX OVERVIEW";#N/A,#N/A,TRUE,"Affiliate Detail";#N/A,#N/A,TRUE,"CAPEX PLANNING OVERVIEW"}</definedName>
    <definedName name="______________e1" localSheetId="0" hidden="1">{#N/A,#N/A,FALSE,"CHANGES";#N/A,#N/A,FALSE,"PROD SUMMARY";#N/A,#N/A,FALSE,"1995 PO SUM";#N/A,#N/A,FALSE,"1995 GEOG SUM";#N/A,#N/A,FALSE,"1996 PO SUM";#N/A,#N/A,FALSE,"1996 GEOG SUM"}</definedName>
    <definedName name="______________e1" hidden="1">{#N/A,#N/A,FALSE,"CHANGES";#N/A,#N/A,FALSE,"PROD SUMMARY";#N/A,#N/A,FALSE,"1995 PO SUM";#N/A,#N/A,FALSE,"1995 GEOG SUM";#N/A,#N/A,FALSE,"1996 PO SUM";#N/A,#N/A,FALSE,"1996 GEOG SUM"}</definedName>
    <definedName name="_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_err1" hidden="1">{#N/A,#N/A,FALSE,"CHANGES";#N/A,#N/A,FALSE,"PROD SUMMARY";#N/A,#N/A,FALSE,"1995 PO SUM";#N/A,#N/A,FALSE,"1995 GEOG SUM";#N/A,#N/A,FALSE,"1996 PO SUM";#N/A,#N/A,FALSE,"1996 GEOG SUM"}</definedName>
    <definedName name="______________ju1" localSheetId="0" hidden="1">{#N/A,#N/A,FALSE,"CHANGES";#N/A,#N/A,FALSE,"PROD SUMMARY";#N/A,#N/A,FALSE,"1995 PO SUM";#N/A,#N/A,FALSE,"1995 GEOG SUM";#N/A,#N/A,FALSE,"1996 PO SUM";#N/A,#N/A,FALSE,"1996 GEOG SUM"}</definedName>
    <definedName name="______________ju1" hidden="1">{#N/A,#N/A,FALSE,"CHANGES";#N/A,#N/A,FALSE,"PROD SUMMARY";#N/A,#N/A,FALSE,"1995 PO SUM";#N/A,#N/A,FALSE,"1995 GEOG SUM";#N/A,#N/A,FALSE,"1996 PO SUM";#N/A,#N/A,FALSE,"1996 GEOG SUM"}</definedName>
    <definedName name="_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_kkk1" hidden="1">{#N/A,#N/A,FALSE,"CHANGES";#N/A,#N/A,FALSE,"PROD SUMMARY";#N/A,#N/A,FALSE,"1995 PO SUM";#N/A,#N/A,FALSE,"1995 GEOG SUM";#N/A,#N/A,FALSE,"1996 PO SUM";#N/A,#N/A,FALSE,"1996 GEOG SUM"}</definedName>
    <definedName name="_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_lds1" hidden="1">{#N/A,#N/A,FALSE,"CHANGES";#N/A,#N/A,FALSE,"PROD SUMMARY";#N/A,#N/A,FALSE,"1995 PO SUM";#N/A,#N/A,FALSE,"1995 GEOG SUM";#N/A,#N/A,FALSE,"1996 PO SUM";#N/A,#N/A,FALSE,"1996 GEOG SUM"}</definedName>
    <definedName name="______________mb1" localSheetId="0" hidden="1">{#N/A,#N/A,FALSE,"CHANGES";#N/A,#N/A,FALSE,"PROD SUMMARY";#N/A,#N/A,FALSE,"1995 PO SUM";#N/A,#N/A,FALSE,"1995 GEOG SUM";#N/A,#N/A,FALSE,"1996 PO SUM";#N/A,#N/A,FALSE,"1996 GEOG SUM"}</definedName>
    <definedName name="______________mb1" hidden="1">{#N/A,#N/A,FALSE,"CHANGES";#N/A,#N/A,FALSE,"PROD SUMMARY";#N/A,#N/A,FALSE,"1995 PO SUM";#N/A,#N/A,FALSE,"1995 GEOG SUM";#N/A,#N/A,FALSE,"1996 PO SUM";#N/A,#N/A,FALSE,"1996 GEOG SUM"}</definedName>
    <definedName name="_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_poi1" hidden="1">{#N/A,#N/A,FALSE,"CHANGES";#N/A,#N/A,FALSE,"PROD SUMMARY";#N/A,#N/A,FALSE,"1995 PO SUM";#N/A,#N/A,FALSE,"1995 GEOG SUM";#N/A,#N/A,FALSE,"1996 PO SUM";#N/A,#N/A,FALSE,"1996 GEOG SUM"}</definedName>
    <definedName name="______________poi4" localSheetId="0" hidden="1">{#N/A,#N/A,FALSE,"CHANGES";#N/A,#N/A,FALSE,"PROD SUMMARY";#N/A,#N/A,FALSE,"1995 PO SUM";#N/A,#N/A,FALSE,"1995 GEOG SUM";#N/A,#N/A,FALSE,"1996 PO SUM";#N/A,#N/A,FALSE,"1996 GEOG SUM"}</definedName>
    <definedName name="______________poi4" hidden="1">{#N/A,#N/A,FALSE,"CHANGES";#N/A,#N/A,FALSE,"PROD SUMMARY";#N/A,#N/A,FALSE,"1995 PO SUM";#N/A,#N/A,FALSE,"1995 GEOG SUM";#N/A,#N/A,FALSE,"1996 PO SUM";#N/A,#N/A,FALSE,"1996 GEOG SUM"}</definedName>
    <definedName name="_____________ABC1" localSheetId="0" hidden="1">{#N/A,#N/A,FALSE,"CHANGES";#N/A,#N/A,FALSE,"PROD SUMMARY";#N/A,#N/A,FALSE,"1995 PO SUM";#N/A,#N/A,FALSE,"1995 GEOG SUM";#N/A,#N/A,FALSE,"1996 PO SUM";#N/A,#N/A,FALSE,"1996 GEOG SUM"}</definedName>
    <definedName name="_____________ABC1" hidden="1">{#N/A,#N/A,FALSE,"CHANGES";#N/A,#N/A,FALSE,"PROD SUMMARY";#N/A,#N/A,FALSE,"1995 PO SUM";#N/A,#N/A,FALSE,"1995 GEOG SUM";#N/A,#N/A,FALSE,"1996 PO SUM";#N/A,#N/A,FALSE,"1996 GEOG SUM"}</definedName>
    <definedName name="__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_arn4" localSheetId="0" hidden="1">{#N/A,#N/A,TRUE,"PRODUCTION CAPEX OVERVIEW";#N/A,#N/A,TRUE,"Affiliate Detail";#N/A,#N/A,TRUE,"CAPEX PLANNING OVERVIEW"}</definedName>
    <definedName name="_____________arn4" hidden="1">{#N/A,#N/A,TRUE,"PRODUCTION CAPEX OVERVIEW";#N/A,#N/A,TRUE,"Affiliate Detail";#N/A,#N/A,TRUE,"CAPEX PLANNING OVERVIEW"}</definedName>
    <definedName name="_____________arn5" localSheetId="0" hidden="1">{#N/A,#N/A,FALSE,"CHANGES";#N/A,#N/A,FALSE,"PROD SUMMARY";#N/A,#N/A,FALSE,"1995 PO SUM";#N/A,#N/A,FALSE,"1995 GEOG SUM";#N/A,#N/A,FALSE,"1996 PO SUM";#N/A,#N/A,FALSE,"1996 GEOG SUM"}</definedName>
    <definedName name="_____________arn5" hidden="1">{#N/A,#N/A,FALSE,"CHANGES";#N/A,#N/A,FALSE,"PROD SUMMARY";#N/A,#N/A,FALSE,"1995 PO SUM";#N/A,#N/A,FALSE,"1995 GEOG SUM";#N/A,#N/A,FALSE,"1996 PO SUM";#N/A,#N/A,FALSE,"1996 GEOG SUM"}</definedName>
    <definedName name="_____________arn6" localSheetId="0" hidden="1">{#N/A,#N/A,FALSE,"CHANGES";#N/A,#N/A,FALSE,"PROD SUMMARY";#N/A,#N/A,FALSE,"1995 PO SUM";#N/A,#N/A,FALSE,"1995 GEOG SUM";#N/A,#N/A,FALSE,"1996 PO SUM";#N/A,#N/A,FALSE,"1996 GEOG SUM"}</definedName>
    <definedName name="_____________arn6" hidden="1">{#N/A,#N/A,FALSE,"CHANGES";#N/A,#N/A,FALSE,"PROD SUMMARY";#N/A,#N/A,FALSE,"1995 PO SUM";#N/A,#N/A,FALSE,"1995 GEOG SUM";#N/A,#N/A,FALSE,"1996 PO SUM";#N/A,#N/A,FALSE,"1996 GEOG SUM"}</definedName>
    <definedName name="_____________arn7" localSheetId="0" hidden="1">{#N/A,#N/A,FALSE,"TabA";#N/A,#N/A,FALSE,"UTopxFx98";#N/A,#N/A,FALSE,"TopxFx98";#N/A,#N/A,FALSE,"TopxNom"}</definedName>
    <definedName name="_____________arn7" hidden="1">{#N/A,#N/A,FALSE,"TabA";#N/A,#N/A,FALSE,"UTopxFx98";#N/A,#N/A,FALSE,"TopxFx98";#N/A,#N/A,FALSE,"TopxNom"}</definedName>
    <definedName name="_____________CON12" localSheetId="0" hidden="1">{#N/A,#N/A,FALSE,"COPERTINA"}</definedName>
    <definedName name="_____________CON12" hidden="1">{#N/A,#N/A,FALSE,"COPERTINA"}</definedName>
    <definedName name="_____________CP07" localSheetId="0" hidden="1">{#N/A,#N/A,FALSE,"TabA";#N/A,#N/A,FALSE,"UTopxFx98";#N/A,#N/A,FALSE,"TopxFx98";#N/A,#N/A,FALSE,"TopxNom"}</definedName>
    <definedName name="_____________CP07" hidden="1">{#N/A,#N/A,FALSE,"TabA";#N/A,#N/A,FALSE,"UTopxFx98";#N/A,#N/A,FALSE,"TopxFx98";#N/A,#N/A,FALSE,"TopxNom"}</definedName>
    <definedName name="_____________CPX1" localSheetId="0" hidden="1">{#N/A,#N/A,TRUE,"PRODUCTION CAPEX OVERVIEW";#N/A,#N/A,TRUE,"Affiliate Detail";#N/A,#N/A,TRUE,"CAPEX PLANNING OVERVIEW"}</definedName>
    <definedName name="_____________CPX1" hidden="1">{#N/A,#N/A,TRUE,"PRODUCTION CAPEX OVERVIEW";#N/A,#N/A,TRUE,"Affiliate Detail";#N/A,#N/A,TRUE,"CAPEX PLANNING OVERVIEW"}</definedName>
    <definedName name="_____________e1" localSheetId="0" hidden="1">{#N/A,#N/A,FALSE,"CHANGES";#N/A,#N/A,FALSE,"PROD SUMMARY";#N/A,#N/A,FALSE,"1995 PO SUM";#N/A,#N/A,FALSE,"1995 GEOG SUM";#N/A,#N/A,FALSE,"1996 PO SUM";#N/A,#N/A,FALSE,"1996 GEOG SUM"}</definedName>
    <definedName name="_____________e1" hidden="1">{#N/A,#N/A,FALSE,"CHANGES";#N/A,#N/A,FALSE,"PROD SUMMARY";#N/A,#N/A,FALSE,"1995 PO SUM";#N/A,#N/A,FALSE,"1995 GEOG SUM";#N/A,#N/A,FALSE,"1996 PO SUM";#N/A,#N/A,FALSE,"1996 GEOG SUM"}</definedName>
    <definedName name="_____________err1" localSheetId="0" hidden="1">{#N/A,#N/A,FALSE,"CHANGES";#N/A,#N/A,FALSE,"PROD SUMMARY";#N/A,#N/A,FALSE,"1995 PO SUM";#N/A,#N/A,FALSE,"1995 GEOG SUM";#N/A,#N/A,FALSE,"1996 PO SUM";#N/A,#N/A,FALSE,"1996 GEOG SUM"}</definedName>
    <definedName name="_____________err1" hidden="1">{#N/A,#N/A,FALSE,"CHANGES";#N/A,#N/A,FALSE,"PROD SUMMARY";#N/A,#N/A,FALSE,"1995 PO SUM";#N/A,#N/A,FALSE,"1995 GEOG SUM";#N/A,#N/A,FALSE,"1996 PO SUM";#N/A,#N/A,FALSE,"1996 GEOG SUM"}</definedName>
    <definedName name="_____________ju1" localSheetId="0" hidden="1">{#N/A,#N/A,FALSE,"CHANGES";#N/A,#N/A,FALSE,"PROD SUMMARY";#N/A,#N/A,FALSE,"1995 PO SUM";#N/A,#N/A,FALSE,"1995 GEOG SUM";#N/A,#N/A,FALSE,"1996 PO SUM";#N/A,#N/A,FALSE,"1996 GEOG SUM"}</definedName>
    <definedName name="_____________ju1" hidden="1">{#N/A,#N/A,FALSE,"CHANGES";#N/A,#N/A,FALSE,"PROD SUMMARY";#N/A,#N/A,FALSE,"1995 PO SUM";#N/A,#N/A,FALSE,"1995 GEOG SUM";#N/A,#N/A,FALSE,"1996 PO SUM";#N/A,#N/A,FALSE,"1996 GEOG SUM"}</definedName>
    <definedName name="_____________kkk1" localSheetId="0" hidden="1">{#N/A,#N/A,FALSE,"CHANGES";#N/A,#N/A,FALSE,"PROD SUMMARY";#N/A,#N/A,FALSE,"1995 PO SUM";#N/A,#N/A,FALSE,"1995 GEOG SUM";#N/A,#N/A,FALSE,"1996 PO SUM";#N/A,#N/A,FALSE,"1996 GEOG SUM"}</definedName>
    <definedName name="_____________kkk1" hidden="1">{#N/A,#N/A,FALSE,"CHANGES";#N/A,#N/A,FALSE,"PROD SUMMARY";#N/A,#N/A,FALSE,"1995 PO SUM";#N/A,#N/A,FALSE,"1995 GEOG SUM";#N/A,#N/A,FALSE,"1996 PO SUM";#N/A,#N/A,FALSE,"1996 GEOG SUM"}</definedName>
    <definedName name="_____________lds1" localSheetId="0" hidden="1">{#N/A,#N/A,FALSE,"CHANGES";#N/A,#N/A,FALSE,"PROD SUMMARY";#N/A,#N/A,FALSE,"1995 PO SUM";#N/A,#N/A,FALSE,"1995 GEOG SUM";#N/A,#N/A,FALSE,"1996 PO SUM";#N/A,#N/A,FALSE,"1996 GEOG SUM"}</definedName>
    <definedName name="_____________lds1" hidden="1">{#N/A,#N/A,FALSE,"CHANGES";#N/A,#N/A,FALSE,"PROD SUMMARY";#N/A,#N/A,FALSE,"1995 PO SUM";#N/A,#N/A,FALSE,"1995 GEOG SUM";#N/A,#N/A,FALSE,"1996 PO SUM";#N/A,#N/A,FALSE,"1996 GEOG SUM"}</definedName>
    <definedName name="_____________mb1" localSheetId="0" hidden="1">{#N/A,#N/A,FALSE,"CHANGES";#N/A,#N/A,FALSE,"PROD SUMMARY";#N/A,#N/A,FALSE,"1995 PO SUM";#N/A,#N/A,FALSE,"1995 GEOG SUM";#N/A,#N/A,FALSE,"1996 PO SUM";#N/A,#N/A,FALSE,"1996 GEOG SUM"}</definedName>
    <definedName name="_____________mb1" hidden="1">{#N/A,#N/A,FALSE,"CHANGES";#N/A,#N/A,FALSE,"PROD SUMMARY";#N/A,#N/A,FALSE,"1995 PO SUM";#N/A,#N/A,FALSE,"1995 GEOG SUM";#N/A,#N/A,FALSE,"1996 PO SUM";#N/A,#N/A,FALSE,"1996 GEOG SUM"}</definedName>
    <definedName name="_____________poi1" localSheetId="0" hidden="1">{#N/A,#N/A,FALSE,"CHANGES";#N/A,#N/A,FALSE,"PROD SUMMARY";#N/A,#N/A,FALSE,"1995 PO SUM";#N/A,#N/A,FALSE,"1995 GEOG SUM";#N/A,#N/A,FALSE,"1996 PO SUM";#N/A,#N/A,FALSE,"1996 GEOG SUM"}</definedName>
    <definedName name="_____________poi1" hidden="1">{#N/A,#N/A,FALSE,"CHANGES";#N/A,#N/A,FALSE,"PROD SUMMARY";#N/A,#N/A,FALSE,"1995 PO SUM";#N/A,#N/A,FALSE,"1995 GEOG SUM";#N/A,#N/A,FALSE,"1996 PO SUM";#N/A,#N/A,FALSE,"1996 GEOG SUM"}</definedName>
    <definedName name="_____________poi4" localSheetId="0" hidden="1">{#N/A,#N/A,FALSE,"CHANGES";#N/A,#N/A,FALSE,"PROD SUMMARY";#N/A,#N/A,FALSE,"1995 PO SUM";#N/A,#N/A,FALSE,"1995 GEOG SUM";#N/A,#N/A,FALSE,"1996 PO SUM";#N/A,#N/A,FALSE,"1996 GEOG SUM"}</definedName>
    <definedName name="_____________poi4" hidden="1">{#N/A,#N/A,FALSE,"CHANGES";#N/A,#N/A,FALSE,"PROD SUMMARY";#N/A,#N/A,FALSE,"1995 PO SUM";#N/A,#N/A,FALSE,"1995 GEOG SUM";#N/A,#N/A,FALSE,"1996 PO SUM";#N/A,#N/A,FALSE,"1996 GEOG SUM"}</definedName>
    <definedName name="____________ABC1" localSheetId="0" hidden="1">{#N/A,#N/A,FALSE,"CHANGES";#N/A,#N/A,FALSE,"PROD SUMMARY";#N/A,#N/A,FALSE,"1995 PO SUM";#N/A,#N/A,FALSE,"1995 GEOG SUM";#N/A,#N/A,FALSE,"1996 PO SUM";#N/A,#N/A,FALSE,"1996 GEOG SUM"}</definedName>
    <definedName name="____________ABC1" hidden="1">{#N/A,#N/A,FALSE,"CHANGES";#N/A,#N/A,FALSE,"PROD SUMMARY";#N/A,#N/A,FALSE,"1995 PO SUM";#N/A,#N/A,FALSE,"1995 GEOG SUM";#N/A,#N/A,FALSE,"1996 PO SUM";#N/A,#N/A,FALSE,"1996 GEOG SUM"}</definedName>
    <definedName name="_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_arn4" localSheetId="0" hidden="1">{#N/A,#N/A,TRUE,"PRODUCTION CAPEX OVERVIEW";#N/A,#N/A,TRUE,"Affiliate Detail";#N/A,#N/A,TRUE,"CAPEX PLANNING OVERVIEW"}</definedName>
    <definedName name="____________arn4" hidden="1">{#N/A,#N/A,TRUE,"PRODUCTION CAPEX OVERVIEW";#N/A,#N/A,TRUE,"Affiliate Detail";#N/A,#N/A,TRUE,"CAPEX PLANNING OVERVIEW"}</definedName>
    <definedName name="____________arn5" localSheetId="0" hidden="1">{#N/A,#N/A,FALSE,"CHANGES";#N/A,#N/A,FALSE,"PROD SUMMARY";#N/A,#N/A,FALSE,"1995 PO SUM";#N/A,#N/A,FALSE,"1995 GEOG SUM";#N/A,#N/A,FALSE,"1996 PO SUM";#N/A,#N/A,FALSE,"1996 GEOG SUM"}</definedName>
    <definedName name="____________arn5" hidden="1">{#N/A,#N/A,FALSE,"CHANGES";#N/A,#N/A,FALSE,"PROD SUMMARY";#N/A,#N/A,FALSE,"1995 PO SUM";#N/A,#N/A,FALSE,"1995 GEOG SUM";#N/A,#N/A,FALSE,"1996 PO SUM";#N/A,#N/A,FALSE,"1996 GEOG SUM"}</definedName>
    <definedName name="____________arn6" localSheetId="0" hidden="1">{#N/A,#N/A,FALSE,"CHANGES";#N/A,#N/A,FALSE,"PROD SUMMARY";#N/A,#N/A,FALSE,"1995 PO SUM";#N/A,#N/A,FALSE,"1995 GEOG SUM";#N/A,#N/A,FALSE,"1996 PO SUM";#N/A,#N/A,FALSE,"1996 GEOG SUM"}</definedName>
    <definedName name="____________arn6" hidden="1">{#N/A,#N/A,FALSE,"CHANGES";#N/A,#N/A,FALSE,"PROD SUMMARY";#N/A,#N/A,FALSE,"1995 PO SUM";#N/A,#N/A,FALSE,"1995 GEOG SUM";#N/A,#N/A,FALSE,"1996 PO SUM";#N/A,#N/A,FALSE,"1996 GEOG SUM"}</definedName>
    <definedName name="____________arn7" localSheetId="0" hidden="1">{#N/A,#N/A,FALSE,"TabA";#N/A,#N/A,FALSE,"UTopxFx98";#N/A,#N/A,FALSE,"TopxFx98";#N/A,#N/A,FALSE,"TopxNom"}</definedName>
    <definedName name="____________arn7" hidden="1">{#N/A,#N/A,FALSE,"TabA";#N/A,#N/A,FALSE,"UTopxFx98";#N/A,#N/A,FALSE,"TopxFx98";#N/A,#N/A,FALSE,"TopxNom"}</definedName>
    <definedName name="____________CON12" localSheetId="0" hidden="1">{#N/A,#N/A,FALSE,"COPERTINA"}</definedName>
    <definedName name="____________CON12" hidden="1">{#N/A,#N/A,FALSE,"COPERTINA"}</definedName>
    <definedName name="____________CP07" localSheetId="0" hidden="1">{#N/A,#N/A,FALSE,"TabA";#N/A,#N/A,FALSE,"UTopxFx98";#N/A,#N/A,FALSE,"TopxFx98";#N/A,#N/A,FALSE,"TopxNom"}</definedName>
    <definedName name="____________CP07" hidden="1">{#N/A,#N/A,FALSE,"TabA";#N/A,#N/A,FALSE,"UTopxFx98";#N/A,#N/A,FALSE,"TopxFx98";#N/A,#N/A,FALSE,"TopxNom"}</definedName>
    <definedName name="____________CPX1" localSheetId="0" hidden="1">{#N/A,#N/A,TRUE,"PRODUCTION CAPEX OVERVIEW";#N/A,#N/A,TRUE,"Affiliate Detail";#N/A,#N/A,TRUE,"CAPEX PLANNING OVERVIEW"}</definedName>
    <definedName name="____________CPX1" hidden="1">{#N/A,#N/A,TRUE,"PRODUCTION CAPEX OVERVIEW";#N/A,#N/A,TRUE,"Affiliate Detail";#N/A,#N/A,TRUE,"CAPEX PLANNING OVERVIEW"}</definedName>
    <definedName name="____________e1" localSheetId="0" hidden="1">{#N/A,#N/A,FALSE,"CHANGES";#N/A,#N/A,FALSE,"PROD SUMMARY";#N/A,#N/A,FALSE,"1995 PO SUM";#N/A,#N/A,FALSE,"1995 GEOG SUM";#N/A,#N/A,FALSE,"1996 PO SUM";#N/A,#N/A,FALSE,"1996 GEOG SUM"}</definedName>
    <definedName name="____________e1" hidden="1">{#N/A,#N/A,FALSE,"CHANGES";#N/A,#N/A,FALSE,"PROD SUMMARY";#N/A,#N/A,FALSE,"1995 PO SUM";#N/A,#N/A,FALSE,"1995 GEOG SUM";#N/A,#N/A,FALSE,"1996 PO SUM";#N/A,#N/A,FALSE,"1996 GEOG SUM"}</definedName>
    <definedName name="____________err1" localSheetId="0" hidden="1">{#N/A,#N/A,FALSE,"CHANGES";#N/A,#N/A,FALSE,"PROD SUMMARY";#N/A,#N/A,FALSE,"1995 PO SUM";#N/A,#N/A,FALSE,"1995 GEOG SUM";#N/A,#N/A,FALSE,"1996 PO SUM";#N/A,#N/A,FALSE,"1996 GEOG SUM"}</definedName>
    <definedName name="____________err1" hidden="1">{#N/A,#N/A,FALSE,"CHANGES";#N/A,#N/A,FALSE,"PROD SUMMARY";#N/A,#N/A,FALSE,"1995 PO SUM";#N/A,#N/A,FALSE,"1995 GEOG SUM";#N/A,#N/A,FALSE,"1996 PO SUM";#N/A,#N/A,FALSE,"1996 GEOG SUM"}</definedName>
    <definedName name="____________ju1" localSheetId="0" hidden="1">{#N/A,#N/A,FALSE,"CHANGES";#N/A,#N/A,FALSE,"PROD SUMMARY";#N/A,#N/A,FALSE,"1995 PO SUM";#N/A,#N/A,FALSE,"1995 GEOG SUM";#N/A,#N/A,FALSE,"1996 PO SUM";#N/A,#N/A,FALSE,"1996 GEOG SUM"}</definedName>
    <definedName name="____________ju1" hidden="1">{#N/A,#N/A,FALSE,"CHANGES";#N/A,#N/A,FALSE,"PROD SUMMARY";#N/A,#N/A,FALSE,"1995 PO SUM";#N/A,#N/A,FALSE,"1995 GEOG SUM";#N/A,#N/A,FALSE,"1996 PO SUM";#N/A,#N/A,FALSE,"1996 GEOG SUM"}</definedName>
    <definedName name="____________kkk1" localSheetId="0" hidden="1">{#N/A,#N/A,FALSE,"CHANGES";#N/A,#N/A,FALSE,"PROD SUMMARY";#N/A,#N/A,FALSE,"1995 PO SUM";#N/A,#N/A,FALSE,"1995 GEOG SUM";#N/A,#N/A,FALSE,"1996 PO SUM";#N/A,#N/A,FALSE,"1996 GEOG SUM"}</definedName>
    <definedName name="____________kkk1" hidden="1">{#N/A,#N/A,FALSE,"CHANGES";#N/A,#N/A,FALSE,"PROD SUMMARY";#N/A,#N/A,FALSE,"1995 PO SUM";#N/A,#N/A,FALSE,"1995 GEOG SUM";#N/A,#N/A,FALSE,"1996 PO SUM";#N/A,#N/A,FALSE,"1996 GEOG SUM"}</definedName>
    <definedName name="____________lds1" localSheetId="0" hidden="1">{#N/A,#N/A,FALSE,"CHANGES";#N/A,#N/A,FALSE,"PROD SUMMARY";#N/A,#N/A,FALSE,"1995 PO SUM";#N/A,#N/A,FALSE,"1995 GEOG SUM";#N/A,#N/A,FALSE,"1996 PO SUM";#N/A,#N/A,FALSE,"1996 GEOG SUM"}</definedName>
    <definedName name="____________lds1" hidden="1">{#N/A,#N/A,FALSE,"CHANGES";#N/A,#N/A,FALSE,"PROD SUMMARY";#N/A,#N/A,FALSE,"1995 PO SUM";#N/A,#N/A,FALSE,"1995 GEOG SUM";#N/A,#N/A,FALSE,"1996 PO SUM";#N/A,#N/A,FALSE,"1996 GEOG SUM"}</definedName>
    <definedName name="____________mb1" localSheetId="0" hidden="1">{#N/A,#N/A,FALSE,"CHANGES";#N/A,#N/A,FALSE,"PROD SUMMARY";#N/A,#N/A,FALSE,"1995 PO SUM";#N/A,#N/A,FALSE,"1995 GEOG SUM";#N/A,#N/A,FALSE,"1996 PO SUM";#N/A,#N/A,FALSE,"1996 GEOG SUM"}</definedName>
    <definedName name="____________mb1" hidden="1">{#N/A,#N/A,FALSE,"CHANGES";#N/A,#N/A,FALSE,"PROD SUMMARY";#N/A,#N/A,FALSE,"1995 PO SUM";#N/A,#N/A,FALSE,"1995 GEOG SUM";#N/A,#N/A,FALSE,"1996 PO SUM";#N/A,#N/A,FALSE,"1996 GEOG SUM"}</definedName>
    <definedName name="____________poi1" localSheetId="0" hidden="1">{#N/A,#N/A,FALSE,"CHANGES";#N/A,#N/A,FALSE,"PROD SUMMARY";#N/A,#N/A,FALSE,"1995 PO SUM";#N/A,#N/A,FALSE,"1995 GEOG SUM";#N/A,#N/A,FALSE,"1996 PO SUM";#N/A,#N/A,FALSE,"1996 GEOG SUM"}</definedName>
    <definedName name="____________poi1" hidden="1">{#N/A,#N/A,FALSE,"CHANGES";#N/A,#N/A,FALSE,"PROD SUMMARY";#N/A,#N/A,FALSE,"1995 PO SUM";#N/A,#N/A,FALSE,"1995 GEOG SUM";#N/A,#N/A,FALSE,"1996 PO SUM";#N/A,#N/A,FALSE,"1996 GEOG SUM"}</definedName>
    <definedName name="____________poi4" localSheetId="0" hidden="1">{#N/A,#N/A,FALSE,"CHANGES";#N/A,#N/A,FALSE,"PROD SUMMARY";#N/A,#N/A,FALSE,"1995 PO SUM";#N/A,#N/A,FALSE,"1995 GEOG SUM";#N/A,#N/A,FALSE,"1996 PO SUM";#N/A,#N/A,FALSE,"1996 GEOG SUM"}</definedName>
    <definedName name="____________poi4" hidden="1">{#N/A,#N/A,FALSE,"CHANGES";#N/A,#N/A,FALSE,"PROD SUMMARY";#N/A,#N/A,FALSE,"1995 PO SUM";#N/A,#N/A,FALSE,"1995 GEOG SUM";#N/A,#N/A,FALSE,"1996 PO SUM";#N/A,#N/A,FALSE,"1996 GEOG SUM"}</definedName>
    <definedName name="___________ABC1" localSheetId="0" hidden="1">{#N/A,#N/A,FALSE,"CHANGES";#N/A,#N/A,FALSE,"PROD SUMMARY";#N/A,#N/A,FALSE,"1995 PO SUM";#N/A,#N/A,FALSE,"1995 GEOG SUM";#N/A,#N/A,FALSE,"1996 PO SUM";#N/A,#N/A,FALSE,"1996 GEOG SUM"}</definedName>
    <definedName name="___________ABC1" hidden="1">{#N/A,#N/A,FALSE,"CHANGES";#N/A,#N/A,FALSE,"PROD SUMMARY";#N/A,#N/A,FALSE,"1995 PO SUM";#N/A,#N/A,FALSE,"1995 GEOG SUM";#N/A,#N/A,FALSE,"1996 PO SUM";#N/A,#N/A,FALSE,"1996 GEOG SUM"}</definedName>
    <definedName name="_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_arn4" localSheetId="0" hidden="1">{#N/A,#N/A,TRUE,"PRODUCTION CAPEX OVERVIEW";#N/A,#N/A,TRUE,"Affiliate Detail";#N/A,#N/A,TRUE,"CAPEX PLANNING OVERVIEW"}</definedName>
    <definedName name="___________arn4" hidden="1">{#N/A,#N/A,TRUE,"PRODUCTION CAPEX OVERVIEW";#N/A,#N/A,TRUE,"Affiliate Detail";#N/A,#N/A,TRUE,"CAPEX PLANNING OVERVIEW"}</definedName>
    <definedName name="___________arn5" localSheetId="0" hidden="1">{#N/A,#N/A,FALSE,"CHANGES";#N/A,#N/A,FALSE,"PROD SUMMARY";#N/A,#N/A,FALSE,"1995 PO SUM";#N/A,#N/A,FALSE,"1995 GEOG SUM";#N/A,#N/A,FALSE,"1996 PO SUM";#N/A,#N/A,FALSE,"1996 GEOG SUM"}</definedName>
    <definedName name="___________arn5" hidden="1">{#N/A,#N/A,FALSE,"CHANGES";#N/A,#N/A,FALSE,"PROD SUMMARY";#N/A,#N/A,FALSE,"1995 PO SUM";#N/A,#N/A,FALSE,"1995 GEOG SUM";#N/A,#N/A,FALSE,"1996 PO SUM";#N/A,#N/A,FALSE,"1996 GEOG SUM"}</definedName>
    <definedName name="___________arn6" localSheetId="0" hidden="1">{#N/A,#N/A,FALSE,"CHANGES";#N/A,#N/A,FALSE,"PROD SUMMARY";#N/A,#N/A,FALSE,"1995 PO SUM";#N/A,#N/A,FALSE,"1995 GEOG SUM";#N/A,#N/A,FALSE,"1996 PO SUM";#N/A,#N/A,FALSE,"1996 GEOG SUM"}</definedName>
    <definedName name="___________arn6" hidden="1">{#N/A,#N/A,FALSE,"CHANGES";#N/A,#N/A,FALSE,"PROD SUMMARY";#N/A,#N/A,FALSE,"1995 PO SUM";#N/A,#N/A,FALSE,"1995 GEOG SUM";#N/A,#N/A,FALSE,"1996 PO SUM";#N/A,#N/A,FALSE,"1996 GEOG SUM"}</definedName>
    <definedName name="___________arn7" localSheetId="0" hidden="1">{#N/A,#N/A,FALSE,"TabA";#N/A,#N/A,FALSE,"UTopxFx98";#N/A,#N/A,FALSE,"TopxFx98";#N/A,#N/A,FALSE,"TopxNom"}</definedName>
    <definedName name="___________arn7" hidden="1">{#N/A,#N/A,FALSE,"TabA";#N/A,#N/A,FALSE,"UTopxFx98";#N/A,#N/A,FALSE,"TopxFx98";#N/A,#N/A,FALSE,"TopxNom"}</definedName>
    <definedName name="___________CON12" localSheetId="0" hidden="1">{#N/A,#N/A,FALSE,"COPERTINA"}</definedName>
    <definedName name="___________CON12" hidden="1">{#N/A,#N/A,FALSE,"COPERTINA"}</definedName>
    <definedName name="___________CP07" localSheetId="0" hidden="1">{#N/A,#N/A,FALSE,"TabA";#N/A,#N/A,FALSE,"UTopxFx98";#N/A,#N/A,FALSE,"TopxFx98";#N/A,#N/A,FALSE,"TopxNom"}</definedName>
    <definedName name="___________CP07" hidden="1">{#N/A,#N/A,FALSE,"TabA";#N/A,#N/A,FALSE,"UTopxFx98";#N/A,#N/A,FALSE,"TopxFx98";#N/A,#N/A,FALSE,"TopxNom"}</definedName>
    <definedName name="___________CPX1" localSheetId="0" hidden="1">{#N/A,#N/A,TRUE,"PRODUCTION CAPEX OVERVIEW";#N/A,#N/A,TRUE,"Affiliate Detail";#N/A,#N/A,TRUE,"CAPEX PLANNING OVERVIEW"}</definedName>
    <definedName name="___________CPX1" hidden="1">{#N/A,#N/A,TRUE,"PRODUCTION CAPEX OVERVIEW";#N/A,#N/A,TRUE,"Affiliate Detail";#N/A,#N/A,TRUE,"CAPEX PLANNING OVERVIEW"}</definedName>
    <definedName name="___________e1" localSheetId="0" hidden="1">{#N/A,#N/A,FALSE,"CHANGES";#N/A,#N/A,FALSE,"PROD SUMMARY";#N/A,#N/A,FALSE,"1995 PO SUM";#N/A,#N/A,FALSE,"1995 GEOG SUM";#N/A,#N/A,FALSE,"1996 PO SUM";#N/A,#N/A,FALSE,"1996 GEOG SUM"}</definedName>
    <definedName name="___________e1" hidden="1">{#N/A,#N/A,FALSE,"CHANGES";#N/A,#N/A,FALSE,"PROD SUMMARY";#N/A,#N/A,FALSE,"1995 PO SUM";#N/A,#N/A,FALSE,"1995 GEOG SUM";#N/A,#N/A,FALSE,"1996 PO SUM";#N/A,#N/A,FALSE,"1996 GEOG SUM"}</definedName>
    <definedName name="___________err1" localSheetId="0" hidden="1">{#N/A,#N/A,FALSE,"CHANGES";#N/A,#N/A,FALSE,"PROD SUMMARY";#N/A,#N/A,FALSE,"1995 PO SUM";#N/A,#N/A,FALSE,"1995 GEOG SUM";#N/A,#N/A,FALSE,"1996 PO SUM";#N/A,#N/A,FALSE,"1996 GEOG SUM"}</definedName>
    <definedName name="___________err1" hidden="1">{#N/A,#N/A,FALSE,"CHANGES";#N/A,#N/A,FALSE,"PROD SUMMARY";#N/A,#N/A,FALSE,"1995 PO SUM";#N/A,#N/A,FALSE,"1995 GEOG SUM";#N/A,#N/A,FALSE,"1996 PO SUM";#N/A,#N/A,FALSE,"1996 GEOG SUM"}</definedName>
    <definedName name="___________ju1" localSheetId="0" hidden="1">{#N/A,#N/A,FALSE,"CHANGES";#N/A,#N/A,FALSE,"PROD SUMMARY";#N/A,#N/A,FALSE,"1995 PO SUM";#N/A,#N/A,FALSE,"1995 GEOG SUM";#N/A,#N/A,FALSE,"1996 PO SUM";#N/A,#N/A,FALSE,"1996 GEOG SUM"}</definedName>
    <definedName name="___________ju1" hidden="1">{#N/A,#N/A,FALSE,"CHANGES";#N/A,#N/A,FALSE,"PROD SUMMARY";#N/A,#N/A,FALSE,"1995 PO SUM";#N/A,#N/A,FALSE,"1995 GEOG SUM";#N/A,#N/A,FALSE,"1996 PO SUM";#N/A,#N/A,FALSE,"1996 GEOG SUM"}</definedName>
    <definedName name="___________kkk1" localSheetId="0" hidden="1">{#N/A,#N/A,FALSE,"CHANGES";#N/A,#N/A,FALSE,"PROD SUMMARY";#N/A,#N/A,FALSE,"1995 PO SUM";#N/A,#N/A,FALSE,"1995 GEOG SUM";#N/A,#N/A,FALSE,"1996 PO SUM";#N/A,#N/A,FALSE,"1996 GEOG SUM"}</definedName>
    <definedName name="___________kkk1" hidden="1">{#N/A,#N/A,FALSE,"CHANGES";#N/A,#N/A,FALSE,"PROD SUMMARY";#N/A,#N/A,FALSE,"1995 PO SUM";#N/A,#N/A,FALSE,"1995 GEOG SUM";#N/A,#N/A,FALSE,"1996 PO SUM";#N/A,#N/A,FALSE,"1996 GEOG SUM"}</definedName>
    <definedName name="___________lds1" localSheetId="0" hidden="1">{#N/A,#N/A,FALSE,"CHANGES";#N/A,#N/A,FALSE,"PROD SUMMARY";#N/A,#N/A,FALSE,"1995 PO SUM";#N/A,#N/A,FALSE,"1995 GEOG SUM";#N/A,#N/A,FALSE,"1996 PO SUM";#N/A,#N/A,FALSE,"1996 GEOG SUM"}</definedName>
    <definedName name="___________lds1" hidden="1">{#N/A,#N/A,FALSE,"CHANGES";#N/A,#N/A,FALSE,"PROD SUMMARY";#N/A,#N/A,FALSE,"1995 PO SUM";#N/A,#N/A,FALSE,"1995 GEOG SUM";#N/A,#N/A,FALSE,"1996 PO SUM";#N/A,#N/A,FALSE,"1996 GEOG SUM"}</definedName>
    <definedName name="___________mb1" localSheetId="0" hidden="1">{#N/A,#N/A,FALSE,"CHANGES";#N/A,#N/A,FALSE,"PROD SUMMARY";#N/A,#N/A,FALSE,"1995 PO SUM";#N/A,#N/A,FALSE,"1995 GEOG SUM";#N/A,#N/A,FALSE,"1996 PO SUM";#N/A,#N/A,FALSE,"1996 GEOG SUM"}</definedName>
    <definedName name="___________mb1" hidden="1">{#N/A,#N/A,FALSE,"CHANGES";#N/A,#N/A,FALSE,"PROD SUMMARY";#N/A,#N/A,FALSE,"1995 PO SUM";#N/A,#N/A,FALSE,"1995 GEOG SUM";#N/A,#N/A,FALSE,"1996 PO SUM";#N/A,#N/A,FALSE,"1996 GEOG SUM"}</definedName>
    <definedName name="___________poi1" localSheetId="0" hidden="1">{#N/A,#N/A,FALSE,"CHANGES";#N/A,#N/A,FALSE,"PROD SUMMARY";#N/A,#N/A,FALSE,"1995 PO SUM";#N/A,#N/A,FALSE,"1995 GEOG SUM";#N/A,#N/A,FALSE,"1996 PO SUM";#N/A,#N/A,FALSE,"1996 GEOG SUM"}</definedName>
    <definedName name="___________poi1" hidden="1">{#N/A,#N/A,FALSE,"CHANGES";#N/A,#N/A,FALSE,"PROD SUMMARY";#N/A,#N/A,FALSE,"1995 PO SUM";#N/A,#N/A,FALSE,"1995 GEOG SUM";#N/A,#N/A,FALSE,"1996 PO SUM";#N/A,#N/A,FALSE,"1996 GEOG SUM"}</definedName>
    <definedName name="___________poi4" localSheetId="0" hidden="1">{#N/A,#N/A,FALSE,"CHANGES";#N/A,#N/A,FALSE,"PROD SUMMARY";#N/A,#N/A,FALSE,"1995 PO SUM";#N/A,#N/A,FALSE,"1995 GEOG SUM";#N/A,#N/A,FALSE,"1996 PO SUM";#N/A,#N/A,FALSE,"1996 GEOG SUM"}</definedName>
    <definedName name="___________poi4" hidden="1">{#N/A,#N/A,FALSE,"CHANGES";#N/A,#N/A,FALSE,"PROD SUMMARY";#N/A,#N/A,FALSE,"1995 PO SUM";#N/A,#N/A,FALSE,"1995 GEOG SUM";#N/A,#N/A,FALSE,"1996 PO SUM";#N/A,#N/A,FALSE,"1996 GEOG SUM"}</definedName>
    <definedName name="__________ABC1" localSheetId="0" hidden="1">{#N/A,#N/A,FALSE,"CHANGES";#N/A,#N/A,FALSE,"PROD SUMMARY";#N/A,#N/A,FALSE,"1995 PO SUM";#N/A,#N/A,FALSE,"1995 GEOG SUM";#N/A,#N/A,FALSE,"1996 PO SUM";#N/A,#N/A,FALSE,"1996 GEOG SUM"}</definedName>
    <definedName name="__________ABC1" hidden="1">{#N/A,#N/A,FALSE,"CHANGES";#N/A,#N/A,FALSE,"PROD SUMMARY";#N/A,#N/A,FALSE,"1995 PO SUM";#N/A,#N/A,FALSE,"1995 GEOG SUM";#N/A,#N/A,FALSE,"1996 PO SUM";#N/A,#N/A,FALSE,"1996 GEOG SUM"}</definedName>
    <definedName name="_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_arn4" localSheetId="0" hidden="1">{#N/A,#N/A,TRUE,"PRODUCTION CAPEX OVERVIEW";#N/A,#N/A,TRUE,"Affiliate Detail";#N/A,#N/A,TRUE,"CAPEX PLANNING OVERVIEW"}</definedName>
    <definedName name="__________arn4" hidden="1">{#N/A,#N/A,TRUE,"PRODUCTION CAPEX OVERVIEW";#N/A,#N/A,TRUE,"Affiliate Detail";#N/A,#N/A,TRUE,"CAPEX PLANNING OVERVIEW"}</definedName>
    <definedName name="__________arn5" localSheetId="0" hidden="1">{#N/A,#N/A,FALSE,"CHANGES";#N/A,#N/A,FALSE,"PROD SUMMARY";#N/A,#N/A,FALSE,"1995 PO SUM";#N/A,#N/A,FALSE,"1995 GEOG SUM";#N/A,#N/A,FALSE,"1996 PO SUM";#N/A,#N/A,FALSE,"1996 GEOG SUM"}</definedName>
    <definedName name="__________arn5" hidden="1">{#N/A,#N/A,FALSE,"CHANGES";#N/A,#N/A,FALSE,"PROD SUMMARY";#N/A,#N/A,FALSE,"1995 PO SUM";#N/A,#N/A,FALSE,"1995 GEOG SUM";#N/A,#N/A,FALSE,"1996 PO SUM";#N/A,#N/A,FALSE,"1996 GEOG SUM"}</definedName>
    <definedName name="__________arn6" localSheetId="0" hidden="1">{#N/A,#N/A,FALSE,"CHANGES";#N/A,#N/A,FALSE,"PROD SUMMARY";#N/A,#N/A,FALSE,"1995 PO SUM";#N/A,#N/A,FALSE,"1995 GEOG SUM";#N/A,#N/A,FALSE,"1996 PO SUM";#N/A,#N/A,FALSE,"1996 GEOG SUM"}</definedName>
    <definedName name="__________arn6" hidden="1">{#N/A,#N/A,FALSE,"CHANGES";#N/A,#N/A,FALSE,"PROD SUMMARY";#N/A,#N/A,FALSE,"1995 PO SUM";#N/A,#N/A,FALSE,"1995 GEOG SUM";#N/A,#N/A,FALSE,"1996 PO SUM";#N/A,#N/A,FALSE,"1996 GEOG SUM"}</definedName>
    <definedName name="__________arn7" localSheetId="0" hidden="1">{#N/A,#N/A,FALSE,"TabA";#N/A,#N/A,FALSE,"UTopxFx98";#N/A,#N/A,FALSE,"TopxFx98";#N/A,#N/A,FALSE,"TopxNom"}</definedName>
    <definedName name="__________arn7" hidden="1">{#N/A,#N/A,FALSE,"TabA";#N/A,#N/A,FALSE,"UTopxFx98";#N/A,#N/A,FALSE,"TopxFx98";#N/A,#N/A,FALSE,"TopxNom"}</definedName>
    <definedName name="__________CON12" localSheetId="0" hidden="1">{#N/A,#N/A,FALSE,"COPERTINA"}</definedName>
    <definedName name="__________CON12" hidden="1">{#N/A,#N/A,FALSE,"COPERTINA"}</definedName>
    <definedName name="__________CP07" localSheetId="0" hidden="1">{#N/A,#N/A,FALSE,"TabA";#N/A,#N/A,FALSE,"UTopxFx98";#N/A,#N/A,FALSE,"TopxFx98";#N/A,#N/A,FALSE,"TopxNom"}</definedName>
    <definedName name="__________CP07" hidden="1">{#N/A,#N/A,FALSE,"TabA";#N/A,#N/A,FALSE,"UTopxFx98";#N/A,#N/A,FALSE,"TopxFx98";#N/A,#N/A,FALSE,"TopxNom"}</definedName>
    <definedName name="__________CPX1" localSheetId="0" hidden="1">{#N/A,#N/A,TRUE,"PRODUCTION CAPEX OVERVIEW";#N/A,#N/A,TRUE,"Affiliate Detail";#N/A,#N/A,TRUE,"CAPEX PLANNING OVERVIEW"}</definedName>
    <definedName name="__________CPX1" hidden="1">{#N/A,#N/A,TRUE,"PRODUCTION CAPEX OVERVIEW";#N/A,#N/A,TRUE,"Affiliate Detail";#N/A,#N/A,TRUE,"CAPEX PLANNING OVERVIEW"}</definedName>
    <definedName name="__________e1" localSheetId="0" hidden="1">{#N/A,#N/A,FALSE,"CHANGES";#N/A,#N/A,FALSE,"PROD SUMMARY";#N/A,#N/A,FALSE,"1995 PO SUM";#N/A,#N/A,FALSE,"1995 GEOG SUM";#N/A,#N/A,FALSE,"1996 PO SUM";#N/A,#N/A,FALSE,"1996 GEOG SUM"}</definedName>
    <definedName name="__________e1" hidden="1">{#N/A,#N/A,FALSE,"CHANGES";#N/A,#N/A,FALSE,"PROD SUMMARY";#N/A,#N/A,FALSE,"1995 PO SUM";#N/A,#N/A,FALSE,"1995 GEOG SUM";#N/A,#N/A,FALSE,"1996 PO SUM";#N/A,#N/A,FALSE,"1996 GEOG SUM"}</definedName>
    <definedName name="__________err1" localSheetId="0" hidden="1">{#N/A,#N/A,FALSE,"CHANGES";#N/A,#N/A,FALSE,"PROD SUMMARY";#N/A,#N/A,FALSE,"1995 PO SUM";#N/A,#N/A,FALSE,"1995 GEOG SUM";#N/A,#N/A,FALSE,"1996 PO SUM";#N/A,#N/A,FALSE,"1996 GEOG SUM"}</definedName>
    <definedName name="__________err1" hidden="1">{#N/A,#N/A,FALSE,"CHANGES";#N/A,#N/A,FALSE,"PROD SUMMARY";#N/A,#N/A,FALSE,"1995 PO SUM";#N/A,#N/A,FALSE,"1995 GEOG SUM";#N/A,#N/A,FALSE,"1996 PO SUM";#N/A,#N/A,FALSE,"1996 GEOG SUM"}</definedName>
    <definedName name="__________ju1" localSheetId="0" hidden="1">{#N/A,#N/A,FALSE,"CHANGES";#N/A,#N/A,FALSE,"PROD SUMMARY";#N/A,#N/A,FALSE,"1995 PO SUM";#N/A,#N/A,FALSE,"1995 GEOG SUM";#N/A,#N/A,FALSE,"1996 PO SUM";#N/A,#N/A,FALSE,"1996 GEOG SUM"}</definedName>
    <definedName name="__________ju1" hidden="1">{#N/A,#N/A,FALSE,"CHANGES";#N/A,#N/A,FALSE,"PROD SUMMARY";#N/A,#N/A,FALSE,"1995 PO SUM";#N/A,#N/A,FALSE,"1995 GEOG SUM";#N/A,#N/A,FALSE,"1996 PO SUM";#N/A,#N/A,FALSE,"1996 GEOG SUM"}</definedName>
    <definedName name="__________kkk1" localSheetId="0" hidden="1">{#N/A,#N/A,FALSE,"CHANGES";#N/A,#N/A,FALSE,"PROD SUMMARY";#N/A,#N/A,FALSE,"1995 PO SUM";#N/A,#N/A,FALSE,"1995 GEOG SUM";#N/A,#N/A,FALSE,"1996 PO SUM";#N/A,#N/A,FALSE,"1996 GEOG SUM"}</definedName>
    <definedName name="__________kkk1" hidden="1">{#N/A,#N/A,FALSE,"CHANGES";#N/A,#N/A,FALSE,"PROD SUMMARY";#N/A,#N/A,FALSE,"1995 PO SUM";#N/A,#N/A,FALSE,"1995 GEOG SUM";#N/A,#N/A,FALSE,"1996 PO SUM";#N/A,#N/A,FALSE,"1996 GEOG SUM"}</definedName>
    <definedName name="__________lds1" localSheetId="0" hidden="1">{#N/A,#N/A,FALSE,"CHANGES";#N/A,#N/A,FALSE,"PROD SUMMARY";#N/A,#N/A,FALSE,"1995 PO SUM";#N/A,#N/A,FALSE,"1995 GEOG SUM";#N/A,#N/A,FALSE,"1996 PO SUM";#N/A,#N/A,FALSE,"1996 GEOG SUM"}</definedName>
    <definedName name="__________lds1" hidden="1">{#N/A,#N/A,FALSE,"CHANGES";#N/A,#N/A,FALSE,"PROD SUMMARY";#N/A,#N/A,FALSE,"1995 PO SUM";#N/A,#N/A,FALSE,"1995 GEOG SUM";#N/A,#N/A,FALSE,"1996 PO SUM";#N/A,#N/A,FALSE,"1996 GEOG SUM"}</definedName>
    <definedName name="__________mb1" localSheetId="0" hidden="1">{#N/A,#N/A,FALSE,"CHANGES";#N/A,#N/A,FALSE,"PROD SUMMARY";#N/A,#N/A,FALSE,"1995 PO SUM";#N/A,#N/A,FALSE,"1995 GEOG SUM";#N/A,#N/A,FALSE,"1996 PO SUM";#N/A,#N/A,FALSE,"1996 GEOG SUM"}</definedName>
    <definedName name="__________mb1" hidden="1">{#N/A,#N/A,FALSE,"CHANGES";#N/A,#N/A,FALSE,"PROD SUMMARY";#N/A,#N/A,FALSE,"1995 PO SUM";#N/A,#N/A,FALSE,"1995 GEOG SUM";#N/A,#N/A,FALSE,"1996 PO SUM";#N/A,#N/A,FALSE,"1996 GEOG SUM"}</definedName>
    <definedName name="__________poi1" localSheetId="0" hidden="1">{#N/A,#N/A,FALSE,"CHANGES";#N/A,#N/A,FALSE,"PROD SUMMARY";#N/A,#N/A,FALSE,"1995 PO SUM";#N/A,#N/A,FALSE,"1995 GEOG SUM";#N/A,#N/A,FALSE,"1996 PO SUM";#N/A,#N/A,FALSE,"1996 GEOG SUM"}</definedName>
    <definedName name="__________poi1" hidden="1">{#N/A,#N/A,FALSE,"CHANGES";#N/A,#N/A,FALSE,"PROD SUMMARY";#N/A,#N/A,FALSE,"1995 PO SUM";#N/A,#N/A,FALSE,"1995 GEOG SUM";#N/A,#N/A,FALSE,"1996 PO SUM";#N/A,#N/A,FALSE,"1996 GEOG SUM"}</definedName>
    <definedName name="__________poi4" localSheetId="0" hidden="1">{#N/A,#N/A,FALSE,"CHANGES";#N/A,#N/A,FALSE,"PROD SUMMARY";#N/A,#N/A,FALSE,"1995 PO SUM";#N/A,#N/A,FALSE,"1995 GEOG SUM";#N/A,#N/A,FALSE,"1996 PO SUM";#N/A,#N/A,FALSE,"1996 GEOG SUM"}</definedName>
    <definedName name="__________poi4" hidden="1">{#N/A,#N/A,FALSE,"CHANGES";#N/A,#N/A,FALSE,"PROD SUMMARY";#N/A,#N/A,FALSE,"1995 PO SUM";#N/A,#N/A,FALSE,"1995 GEOG SUM";#N/A,#N/A,FALSE,"1996 PO SUM";#N/A,#N/A,FALSE,"1996 GEOG SUM"}</definedName>
    <definedName name="_________ABC1" localSheetId="0" hidden="1">{#N/A,#N/A,FALSE,"CHANGES";#N/A,#N/A,FALSE,"PROD SUMMARY";#N/A,#N/A,FALSE,"1995 PO SUM";#N/A,#N/A,FALSE,"1995 GEOG SUM";#N/A,#N/A,FALSE,"1996 PO SUM";#N/A,#N/A,FALSE,"1996 GEOG SUM"}</definedName>
    <definedName name="_________ABC1" hidden="1">{#N/A,#N/A,FALSE,"CHANGES";#N/A,#N/A,FALSE,"PROD SUMMARY";#N/A,#N/A,FALSE,"1995 PO SUM";#N/A,#N/A,FALSE,"1995 GEOG SUM";#N/A,#N/A,FALSE,"1996 PO SUM";#N/A,#N/A,FALSE,"1996 GEOG SUM"}</definedName>
    <definedName name="_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_arn4" localSheetId="0" hidden="1">{#N/A,#N/A,TRUE,"PRODUCTION CAPEX OVERVIEW";#N/A,#N/A,TRUE,"Affiliate Detail";#N/A,#N/A,TRUE,"CAPEX PLANNING OVERVIEW"}</definedName>
    <definedName name="_________arn4" hidden="1">{#N/A,#N/A,TRUE,"PRODUCTION CAPEX OVERVIEW";#N/A,#N/A,TRUE,"Affiliate Detail";#N/A,#N/A,TRUE,"CAPEX PLANNING OVERVIEW"}</definedName>
    <definedName name="_________arn5" localSheetId="0" hidden="1">{#N/A,#N/A,FALSE,"CHANGES";#N/A,#N/A,FALSE,"PROD SUMMARY";#N/A,#N/A,FALSE,"1995 PO SUM";#N/A,#N/A,FALSE,"1995 GEOG SUM";#N/A,#N/A,FALSE,"1996 PO SUM";#N/A,#N/A,FALSE,"1996 GEOG SUM"}</definedName>
    <definedName name="_________arn5" hidden="1">{#N/A,#N/A,FALSE,"CHANGES";#N/A,#N/A,FALSE,"PROD SUMMARY";#N/A,#N/A,FALSE,"1995 PO SUM";#N/A,#N/A,FALSE,"1995 GEOG SUM";#N/A,#N/A,FALSE,"1996 PO SUM";#N/A,#N/A,FALSE,"1996 GEOG SUM"}</definedName>
    <definedName name="_________arn6" localSheetId="0" hidden="1">{#N/A,#N/A,FALSE,"CHANGES";#N/A,#N/A,FALSE,"PROD SUMMARY";#N/A,#N/A,FALSE,"1995 PO SUM";#N/A,#N/A,FALSE,"1995 GEOG SUM";#N/A,#N/A,FALSE,"1996 PO SUM";#N/A,#N/A,FALSE,"1996 GEOG SUM"}</definedName>
    <definedName name="_________arn6" hidden="1">{#N/A,#N/A,FALSE,"CHANGES";#N/A,#N/A,FALSE,"PROD SUMMARY";#N/A,#N/A,FALSE,"1995 PO SUM";#N/A,#N/A,FALSE,"1995 GEOG SUM";#N/A,#N/A,FALSE,"1996 PO SUM";#N/A,#N/A,FALSE,"1996 GEOG SUM"}</definedName>
    <definedName name="_________arn7" localSheetId="0" hidden="1">{#N/A,#N/A,FALSE,"TabA";#N/A,#N/A,FALSE,"UTopxFx98";#N/A,#N/A,FALSE,"TopxFx98";#N/A,#N/A,FALSE,"TopxNom"}</definedName>
    <definedName name="_________arn7" hidden="1">{#N/A,#N/A,FALSE,"TabA";#N/A,#N/A,FALSE,"UTopxFx98";#N/A,#N/A,FALSE,"TopxFx98";#N/A,#N/A,FALSE,"TopxNom"}</definedName>
    <definedName name="_________CON12" localSheetId="0" hidden="1">{#N/A,#N/A,FALSE,"COPERTINA"}</definedName>
    <definedName name="_________CON12" hidden="1">{#N/A,#N/A,FALSE,"COPERTINA"}</definedName>
    <definedName name="_________CP07" localSheetId="0" hidden="1">{#N/A,#N/A,FALSE,"TabA";#N/A,#N/A,FALSE,"UTopxFx98";#N/A,#N/A,FALSE,"TopxFx98";#N/A,#N/A,FALSE,"TopxNom"}</definedName>
    <definedName name="_________CP07" hidden="1">{#N/A,#N/A,FALSE,"TabA";#N/A,#N/A,FALSE,"UTopxFx98";#N/A,#N/A,FALSE,"TopxFx98";#N/A,#N/A,FALSE,"TopxNom"}</definedName>
    <definedName name="_________CPX1" localSheetId="0" hidden="1">{#N/A,#N/A,TRUE,"PRODUCTION CAPEX OVERVIEW";#N/A,#N/A,TRUE,"Affiliate Detail";#N/A,#N/A,TRUE,"CAPEX PLANNING OVERVIEW"}</definedName>
    <definedName name="_________CPX1" hidden="1">{#N/A,#N/A,TRUE,"PRODUCTION CAPEX OVERVIEW";#N/A,#N/A,TRUE,"Affiliate Detail";#N/A,#N/A,TRUE,"CAPEX PLANNING OVERVIEW"}</definedName>
    <definedName name="_________e1" localSheetId="0" hidden="1">{#N/A,#N/A,FALSE,"CHANGES";#N/A,#N/A,FALSE,"PROD SUMMARY";#N/A,#N/A,FALSE,"1995 PO SUM";#N/A,#N/A,FALSE,"1995 GEOG SUM";#N/A,#N/A,FALSE,"1996 PO SUM";#N/A,#N/A,FALSE,"1996 GEOG SUM"}</definedName>
    <definedName name="_________e1" hidden="1">{#N/A,#N/A,FALSE,"CHANGES";#N/A,#N/A,FALSE,"PROD SUMMARY";#N/A,#N/A,FALSE,"1995 PO SUM";#N/A,#N/A,FALSE,"1995 GEOG SUM";#N/A,#N/A,FALSE,"1996 PO SUM";#N/A,#N/A,FALSE,"1996 GEOG SUM"}</definedName>
    <definedName name="_________err1" localSheetId="0" hidden="1">{#N/A,#N/A,FALSE,"CHANGES";#N/A,#N/A,FALSE,"PROD SUMMARY";#N/A,#N/A,FALSE,"1995 PO SUM";#N/A,#N/A,FALSE,"1995 GEOG SUM";#N/A,#N/A,FALSE,"1996 PO SUM";#N/A,#N/A,FALSE,"1996 GEOG SUM"}</definedName>
    <definedName name="_________err1" hidden="1">{#N/A,#N/A,FALSE,"CHANGES";#N/A,#N/A,FALSE,"PROD SUMMARY";#N/A,#N/A,FALSE,"1995 PO SUM";#N/A,#N/A,FALSE,"1995 GEOG SUM";#N/A,#N/A,FALSE,"1996 PO SUM";#N/A,#N/A,FALSE,"1996 GEOG SUM"}</definedName>
    <definedName name="_________ju1" localSheetId="0" hidden="1">{#N/A,#N/A,FALSE,"CHANGES";#N/A,#N/A,FALSE,"PROD SUMMARY";#N/A,#N/A,FALSE,"1995 PO SUM";#N/A,#N/A,FALSE,"1995 GEOG SUM";#N/A,#N/A,FALSE,"1996 PO SUM";#N/A,#N/A,FALSE,"1996 GEOG SUM"}</definedName>
    <definedName name="_________ju1" hidden="1">{#N/A,#N/A,FALSE,"CHANGES";#N/A,#N/A,FALSE,"PROD SUMMARY";#N/A,#N/A,FALSE,"1995 PO SUM";#N/A,#N/A,FALSE,"1995 GEOG SUM";#N/A,#N/A,FALSE,"1996 PO SUM";#N/A,#N/A,FALSE,"1996 GEOG SUM"}</definedName>
    <definedName name="_________kkk1" localSheetId="0" hidden="1">{#N/A,#N/A,FALSE,"CHANGES";#N/A,#N/A,FALSE,"PROD SUMMARY";#N/A,#N/A,FALSE,"1995 PO SUM";#N/A,#N/A,FALSE,"1995 GEOG SUM";#N/A,#N/A,FALSE,"1996 PO SUM";#N/A,#N/A,FALSE,"1996 GEOG SUM"}</definedName>
    <definedName name="_________kkk1" hidden="1">{#N/A,#N/A,FALSE,"CHANGES";#N/A,#N/A,FALSE,"PROD SUMMARY";#N/A,#N/A,FALSE,"1995 PO SUM";#N/A,#N/A,FALSE,"1995 GEOG SUM";#N/A,#N/A,FALSE,"1996 PO SUM";#N/A,#N/A,FALSE,"1996 GEOG SUM"}</definedName>
    <definedName name="_________lds1" localSheetId="0" hidden="1">{#N/A,#N/A,FALSE,"CHANGES";#N/A,#N/A,FALSE,"PROD SUMMARY";#N/A,#N/A,FALSE,"1995 PO SUM";#N/A,#N/A,FALSE,"1995 GEOG SUM";#N/A,#N/A,FALSE,"1996 PO SUM";#N/A,#N/A,FALSE,"1996 GEOG SUM"}</definedName>
    <definedName name="_________lds1" hidden="1">{#N/A,#N/A,FALSE,"CHANGES";#N/A,#N/A,FALSE,"PROD SUMMARY";#N/A,#N/A,FALSE,"1995 PO SUM";#N/A,#N/A,FALSE,"1995 GEOG SUM";#N/A,#N/A,FALSE,"1996 PO SUM";#N/A,#N/A,FALSE,"1996 GEOG SUM"}</definedName>
    <definedName name="_________mb1" localSheetId="0" hidden="1">{#N/A,#N/A,FALSE,"CHANGES";#N/A,#N/A,FALSE,"PROD SUMMARY";#N/A,#N/A,FALSE,"1995 PO SUM";#N/A,#N/A,FALSE,"1995 GEOG SUM";#N/A,#N/A,FALSE,"1996 PO SUM";#N/A,#N/A,FALSE,"1996 GEOG SUM"}</definedName>
    <definedName name="_________mb1" hidden="1">{#N/A,#N/A,FALSE,"CHANGES";#N/A,#N/A,FALSE,"PROD SUMMARY";#N/A,#N/A,FALSE,"1995 PO SUM";#N/A,#N/A,FALSE,"1995 GEOG SUM";#N/A,#N/A,FALSE,"1996 PO SUM";#N/A,#N/A,FALSE,"1996 GEOG SUM"}</definedName>
    <definedName name="_________poi1" localSheetId="0" hidden="1">{#N/A,#N/A,FALSE,"CHANGES";#N/A,#N/A,FALSE,"PROD SUMMARY";#N/A,#N/A,FALSE,"1995 PO SUM";#N/A,#N/A,FALSE,"1995 GEOG SUM";#N/A,#N/A,FALSE,"1996 PO SUM";#N/A,#N/A,FALSE,"1996 GEOG SUM"}</definedName>
    <definedName name="_________poi1" hidden="1">{#N/A,#N/A,FALSE,"CHANGES";#N/A,#N/A,FALSE,"PROD SUMMARY";#N/A,#N/A,FALSE,"1995 PO SUM";#N/A,#N/A,FALSE,"1995 GEOG SUM";#N/A,#N/A,FALSE,"1996 PO SUM";#N/A,#N/A,FALSE,"1996 GEOG SUM"}</definedName>
    <definedName name="_________poi4" localSheetId="0" hidden="1">{#N/A,#N/A,FALSE,"CHANGES";#N/A,#N/A,FALSE,"PROD SUMMARY";#N/A,#N/A,FALSE,"1995 PO SUM";#N/A,#N/A,FALSE,"1995 GEOG SUM";#N/A,#N/A,FALSE,"1996 PO SUM";#N/A,#N/A,FALSE,"1996 GEOG SUM"}</definedName>
    <definedName name="_________poi4" hidden="1">{#N/A,#N/A,FALSE,"CHANGES";#N/A,#N/A,FALSE,"PROD SUMMARY";#N/A,#N/A,FALSE,"1995 PO SUM";#N/A,#N/A,FALSE,"1995 GEOG SUM";#N/A,#N/A,FALSE,"1996 PO SUM";#N/A,#N/A,FALSE,"1996 GEOG SUM"}</definedName>
    <definedName name="________ABC1" localSheetId="0" hidden="1">{#N/A,#N/A,FALSE,"CHANGES";#N/A,#N/A,FALSE,"PROD SUMMARY";#N/A,#N/A,FALSE,"1995 PO SUM";#N/A,#N/A,FALSE,"1995 GEOG SUM";#N/A,#N/A,FALSE,"1996 PO SUM";#N/A,#N/A,FALSE,"1996 GEOG SUM"}</definedName>
    <definedName name="________ABC1" hidden="1">{#N/A,#N/A,FALSE,"CHANGES";#N/A,#N/A,FALSE,"PROD SUMMARY";#N/A,#N/A,FALSE,"1995 PO SUM";#N/A,#N/A,FALSE,"1995 GEOG SUM";#N/A,#N/A,FALSE,"1996 PO SUM";#N/A,#N/A,FALSE,"1996 GEOG SUM"}</definedName>
    <definedName name="_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_arn4" localSheetId="0" hidden="1">{#N/A,#N/A,TRUE,"PRODUCTION CAPEX OVERVIEW";#N/A,#N/A,TRUE,"Affiliate Detail";#N/A,#N/A,TRUE,"CAPEX PLANNING OVERVIEW"}</definedName>
    <definedName name="________arn4" hidden="1">{#N/A,#N/A,TRUE,"PRODUCTION CAPEX OVERVIEW";#N/A,#N/A,TRUE,"Affiliate Detail";#N/A,#N/A,TRUE,"CAPEX PLANNING OVERVIEW"}</definedName>
    <definedName name="________arn5" localSheetId="0" hidden="1">{#N/A,#N/A,FALSE,"CHANGES";#N/A,#N/A,FALSE,"PROD SUMMARY";#N/A,#N/A,FALSE,"1995 PO SUM";#N/A,#N/A,FALSE,"1995 GEOG SUM";#N/A,#N/A,FALSE,"1996 PO SUM";#N/A,#N/A,FALSE,"1996 GEOG SUM"}</definedName>
    <definedName name="________arn5" hidden="1">{#N/A,#N/A,FALSE,"CHANGES";#N/A,#N/A,FALSE,"PROD SUMMARY";#N/A,#N/A,FALSE,"1995 PO SUM";#N/A,#N/A,FALSE,"1995 GEOG SUM";#N/A,#N/A,FALSE,"1996 PO SUM";#N/A,#N/A,FALSE,"1996 GEOG SUM"}</definedName>
    <definedName name="________arn6" localSheetId="0" hidden="1">{#N/A,#N/A,FALSE,"CHANGES";#N/A,#N/A,FALSE,"PROD SUMMARY";#N/A,#N/A,FALSE,"1995 PO SUM";#N/A,#N/A,FALSE,"1995 GEOG SUM";#N/A,#N/A,FALSE,"1996 PO SUM";#N/A,#N/A,FALSE,"1996 GEOG SUM"}</definedName>
    <definedName name="________arn6" hidden="1">{#N/A,#N/A,FALSE,"CHANGES";#N/A,#N/A,FALSE,"PROD SUMMARY";#N/A,#N/A,FALSE,"1995 PO SUM";#N/A,#N/A,FALSE,"1995 GEOG SUM";#N/A,#N/A,FALSE,"1996 PO SUM";#N/A,#N/A,FALSE,"1996 GEOG SUM"}</definedName>
    <definedName name="________arn7" localSheetId="0" hidden="1">{#N/A,#N/A,FALSE,"TabA";#N/A,#N/A,FALSE,"UTopxFx98";#N/A,#N/A,FALSE,"TopxFx98";#N/A,#N/A,FALSE,"TopxNom"}</definedName>
    <definedName name="________arn7" hidden="1">{#N/A,#N/A,FALSE,"TabA";#N/A,#N/A,FALSE,"UTopxFx98";#N/A,#N/A,FALSE,"TopxFx98";#N/A,#N/A,FALSE,"TopxNom"}</definedName>
    <definedName name="________CON12" localSheetId="0" hidden="1">{#N/A,#N/A,FALSE,"COPERTINA"}</definedName>
    <definedName name="________CON12" hidden="1">{#N/A,#N/A,FALSE,"COPERTINA"}</definedName>
    <definedName name="________CP07" localSheetId="0" hidden="1">{#N/A,#N/A,FALSE,"TabA";#N/A,#N/A,FALSE,"UTopxFx98";#N/A,#N/A,FALSE,"TopxFx98";#N/A,#N/A,FALSE,"TopxNom"}</definedName>
    <definedName name="________CP07" hidden="1">{#N/A,#N/A,FALSE,"TabA";#N/A,#N/A,FALSE,"UTopxFx98";#N/A,#N/A,FALSE,"TopxFx98";#N/A,#N/A,FALSE,"TopxNom"}</definedName>
    <definedName name="________CPX1" localSheetId="0" hidden="1">{#N/A,#N/A,TRUE,"PRODUCTION CAPEX OVERVIEW";#N/A,#N/A,TRUE,"Affiliate Detail";#N/A,#N/A,TRUE,"CAPEX PLANNING OVERVIEW"}</definedName>
    <definedName name="________CPX1" hidden="1">{#N/A,#N/A,TRUE,"PRODUCTION CAPEX OVERVIEW";#N/A,#N/A,TRUE,"Affiliate Detail";#N/A,#N/A,TRUE,"CAPEX PLANNING OVERVIEW"}</definedName>
    <definedName name="________e1" localSheetId="0" hidden="1">{#N/A,#N/A,FALSE,"CHANGES";#N/A,#N/A,FALSE,"PROD SUMMARY";#N/A,#N/A,FALSE,"1995 PO SUM";#N/A,#N/A,FALSE,"1995 GEOG SUM";#N/A,#N/A,FALSE,"1996 PO SUM";#N/A,#N/A,FALSE,"1996 GEOG SUM"}</definedName>
    <definedName name="________e1" hidden="1">{#N/A,#N/A,FALSE,"CHANGES";#N/A,#N/A,FALSE,"PROD SUMMARY";#N/A,#N/A,FALSE,"1995 PO SUM";#N/A,#N/A,FALSE,"1995 GEOG SUM";#N/A,#N/A,FALSE,"1996 PO SUM";#N/A,#N/A,FALSE,"1996 GEOG SUM"}</definedName>
    <definedName name="________err1" localSheetId="0" hidden="1">{#N/A,#N/A,FALSE,"CHANGES";#N/A,#N/A,FALSE,"PROD SUMMARY";#N/A,#N/A,FALSE,"1995 PO SUM";#N/A,#N/A,FALSE,"1995 GEOG SUM";#N/A,#N/A,FALSE,"1996 PO SUM";#N/A,#N/A,FALSE,"1996 GEOG SUM"}</definedName>
    <definedName name="________err1" hidden="1">{#N/A,#N/A,FALSE,"CHANGES";#N/A,#N/A,FALSE,"PROD SUMMARY";#N/A,#N/A,FALSE,"1995 PO SUM";#N/A,#N/A,FALSE,"1995 GEOG SUM";#N/A,#N/A,FALSE,"1996 PO SUM";#N/A,#N/A,FALSE,"1996 GEOG SUM"}</definedName>
    <definedName name="________ju1" localSheetId="0" hidden="1">{#N/A,#N/A,FALSE,"CHANGES";#N/A,#N/A,FALSE,"PROD SUMMARY";#N/A,#N/A,FALSE,"1995 PO SUM";#N/A,#N/A,FALSE,"1995 GEOG SUM";#N/A,#N/A,FALSE,"1996 PO SUM";#N/A,#N/A,FALSE,"1996 GEOG SUM"}</definedName>
    <definedName name="________ju1" hidden="1">{#N/A,#N/A,FALSE,"CHANGES";#N/A,#N/A,FALSE,"PROD SUMMARY";#N/A,#N/A,FALSE,"1995 PO SUM";#N/A,#N/A,FALSE,"1995 GEOG SUM";#N/A,#N/A,FALSE,"1996 PO SUM";#N/A,#N/A,FALSE,"1996 GEOG SUM"}</definedName>
    <definedName name="________kkk1" localSheetId="0" hidden="1">{#N/A,#N/A,FALSE,"CHANGES";#N/A,#N/A,FALSE,"PROD SUMMARY";#N/A,#N/A,FALSE,"1995 PO SUM";#N/A,#N/A,FALSE,"1995 GEOG SUM";#N/A,#N/A,FALSE,"1996 PO SUM";#N/A,#N/A,FALSE,"1996 GEOG SUM"}</definedName>
    <definedName name="________kkk1" hidden="1">{#N/A,#N/A,FALSE,"CHANGES";#N/A,#N/A,FALSE,"PROD SUMMARY";#N/A,#N/A,FALSE,"1995 PO SUM";#N/A,#N/A,FALSE,"1995 GEOG SUM";#N/A,#N/A,FALSE,"1996 PO SUM";#N/A,#N/A,FALSE,"1996 GEOG SUM"}</definedName>
    <definedName name="________lds1" localSheetId="0" hidden="1">{#N/A,#N/A,FALSE,"CHANGES";#N/A,#N/A,FALSE,"PROD SUMMARY";#N/A,#N/A,FALSE,"1995 PO SUM";#N/A,#N/A,FALSE,"1995 GEOG SUM";#N/A,#N/A,FALSE,"1996 PO SUM";#N/A,#N/A,FALSE,"1996 GEOG SUM"}</definedName>
    <definedName name="________lds1" hidden="1">{#N/A,#N/A,FALSE,"CHANGES";#N/A,#N/A,FALSE,"PROD SUMMARY";#N/A,#N/A,FALSE,"1995 PO SUM";#N/A,#N/A,FALSE,"1995 GEOG SUM";#N/A,#N/A,FALSE,"1996 PO SUM";#N/A,#N/A,FALSE,"1996 GEOG SUM"}</definedName>
    <definedName name="________mb1" localSheetId="0" hidden="1">{#N/A,#N/A,FALSE,"CHANGES";#N/A,#N/A,FALSE,"PROD SUMMARY";#N/A,#N/A,FALSE,"1995 PO SUM";#N/A,#N/A,FALSE,"1995 GEOG SUM";#N/A,#N/A,FALSE,"1996 PO SUM";#N/A,#N/A,FALSE,"1996 GEOG SUM"}</definedName>
    <definedName name="________mb1" hidden="1">{#N/A,#N/A,FALSE,"CHANGES";#N/A,#N/A,FALSE,"PROD SUMMARY";#N/A,#N/A,FALSE,"1995 PO SUM";#N/A,#N/A,FALSE,"1995 GEOG SUM";#N/A,#N/A,FALSE,"1996 PO SUM";#N/A,#N/A,FALSE,"1996 GEOG SUM"}</definedName>
    <definedName name="________poi1" localSheetId="0" hidden="1">{#N/A,#N/A,FALSE,"CHANGES";#N/A,#N/A,FALSE,"PROD SUMMARY";#N/A,#N/A,FALSE,"1995 PO SUM";#N/A,#N/A,FALSE,"1995 GEOG SUM";#N/A,#N/A,FALSE,"1996 PO SUM";#N/A,#N/A,FALSE,"1996 GEOG SUM"}</definedName>
    <definedName name="________poi1" hidden="1">{#N/A,#N/A,FALSE,"CHANGES";#N/A,#N/A,FALSE,"PROD SUMMARY";#N/A,#N/A,FALSE,"1995 PO SUM";#N/A,#N/A,FALSE,"1995 GEOG SUM";#N/A,#N/A,FALSE,"1996 PO SUM";#N/A,#N/A,FALSE,"1996 GEOG SUM"}</definedName>
    <definedName name="________poi4" localSheetId="0" hidden="1">{#N/A,#N/A,FALSE,"CHANGES";#N/A,#N/A,FALSE,"PROD SUMMARY";#N/A,#N/A,FALSE,"1995 PO SUM";#N/A,#N/A,FALSE,"1995 GEOG SUM";#N/A,#N/A,FALSE,"1996 PO SUM";#N/A,#N/A,FALSE,"1996 GEOG SUM"}</definedName>
    <definedName name="________poi4" hidden="1">{#N/A,#N/A,FALSE,"CHANGES";#N/A,#N/A,FALSE,"PROD SUMMARY";#N/A,#N/A,FALSE,"1995 PO SUM";#N/A,#N/A,FALSE,"1995 GEOG SUM";#N/A,#N/A,FALSE,"1996 PO SUM";#N/A,#N/A,FALSE,"1996 GEOG SUM"}</definedName>
    <definedName name="_______ABC1" localSheetId="0" hidden="1">{#N/A,#N/A,FALSE,"CHANGES";#N/A,#N/A,FALSE,"PROD SUMMARY";#N/A,#N/A,FALSE,"1995 PO SUM";#N/A,#N/A,FALSE,"1995 GEOG SUM";#N/A,#N/A,FALSE,"1996 PO SUM";#N/A,#N/A,FALSE,"1996 GEOG SUM"}</definedName>
    <definedName name="_______ABC1" hidden="1">{#N/A,#N/A,FALSE,"CHANGES";#N/A,#N/A,FALSE,"PROD SUMMARY";#N/A,#N/A,FALSE,"1995 PO SUM";#N/A,#N/A,FALSE,"1995 GEOG SUM";#N/A,#N/A,FALSE,"1996 PO SUM";#N/A,#N/A,FALSE,"1996 GEOG SUM"}</definedName>
    <definedName name="_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_arn4" localSheetId="0" hidden="1">{#N/A,#N/A,TRUE,"PRODUCTION CAPEX OVERVIEW";#N/A,#N/A,TRUE,"Affiliate Detail";#N/A,#N/A,TRUE,"CAPEX PLANNING OVERVIEW"}</definedName>
    <definedName name="_______arn4" hidden="1">{#N/A,#N/A,TRUE,"PRODUCTION CAPEX OVERVIEW";#N/A,#N/A,TRUE,"Affiliate Detail";#N/A,#N/A,TRUE,"CAPEX PLANNING OVERVIEW"}</definedName>
    <definedName name="_______arn5" localSheetId="0" hidden="1">{#N/A,#N/A,FALSE,"CHANGES";#N/A,#N/A,FALSE,"PROD SUMMARY";#N/A,#N/A,FALSE,"1995 PO SUM";#N/A,#N/A,FALSE,"1995 GEOG SUM";#N/A,#N/A,FALSE,"1996 PO SUM";#N/A,#N/A,FALSE,"1996 GEOG SUM"}</definedName>
    <definedName name="_______arn5" hidden="1">{#N/A,#N/A,FALSE,"CHANGES";#N/A,#N/A,FALSE,"PROD SUMMARY";#N/A,#N/A,FALSE,"1995 PO SUM";#N/A,#N/A,FALSE,"1995 GEOG SUM";#N/A,#N/A,FALSE,"1996 PO SUM";#N/A,#N/A,FALSE,"1996 GEOG SUM"}</definedName>
    <definedName name="_______arn6" localSheetId="0" hidden="1">{#N/A,#N/A,FALSE,"CHANGES";#N/A,#N/A,FALSE,"PROD SUMMARY";#N/A,#N/A,FALSE,"1995 PO SUM";#N/A,#N/A,FALSE,"1995 GEOG SUM";#N/A,#N/A,FALSE,"1996 PO SUM";#N/A,#N/A,FALSE,"1996 GEOG SUM"}</definedName>
    <definedName name="_______arn6" hidden="1">{#N/A,#N/A,FALSE,"CHANGES";#N/A,#N/A,FALSE,"PROD SUMMARY";#N/A,#N/A,FALSE,"1995 PO SUM";#N/A,#N/A,FALSE,"1995 GEOG SUM";#N/A,#N/A,FALSE,"1996 PO SUM";#N/A,#N/A,FALSE,"1996 GEOG SUM"}</definedName>
    <definedName name="_______arn7" localSheetId="0" hidden="1">{#N/A,#N/A,FALSE,"TabA";#N/A,#N/A,FALSE,"UTopxFx98";#N/A,#N/A,FALSE,"TopxFx98";#N/A,#N/A,FALSE,"TopxNom"}</definedName>
    <definedName name="_______arn7" hidden="1">{#N/A,#N/A,FALSE,"TabA";#N/A,#N/A,FALSE,"UTopxFx98";#N/A,#N/A,FALSE,"TopxFx98";#N/A,#N/A,FALSE,"TopxNom"}</definedName>
    <definedName name="_______CON12" localSheetId="0" hidden="1">{#N/A,#N/A,FALSE,"COPERTINA"}</definedName>
    <definedName name="_______CON12" hidden="1">{#N/A,#N/A,FALSE,"COPERTINA"}</definedName>
    <definedName name="_______CP07" localSheetId="0" hidden="1">{#N/A,#N/A,FALSE,"TabA";#N/A,#N/A,FALSE,"UTopxFx98";#N/A,#N/A,FALSE,"TopxFx98";#N/A,#N/A,FALSE,"TopxNom"}</definedName>
    <definedName name="_______CP07" hidden="1">{#N/A,#N/A,FALSE,"TabA";#N/A,#N/A,FALSE,"UTopxFx98";#N/A,#N/A,FALSE,"TopxFx98";#N/A,#N/A,FALSE,"TopxNom"}</definedName>
    <definedName name="_______CPX1" localSheetId="0" hidden="1">{#N/A,#N/A,TRUE,"PRODUCTION CAPEX OVERVIEW";#N/A,#N/A,TRUE,"Affiliate Detail";#N/A,#N/A,TRUE,"CAPEX PLANNING OVERVIEW"}</definedName>
    <definedName name="_______CPX1" hidden="1">{#N/A,#N/A,TRUE,"PRODUCTION CAPEX OVERVIEW";#N/A,#N/A,TRUE,"Affiliate Detail";#N/A,#N/A,TRUE,"CAPEX PLANNING OVERVIEW"}</definedName>
    <definedName name="_______e1" localSheetId="0" hidden="1">{#N/A,#N/A,FALSE,"CHANGES";#N/A,#N/A,FALSE,"PROD SUMMARY";#N/A,#N/A,FALSE,"1995 PO SUM";#N/A,#N/A,FALSE,"1995 GEOG SUM";#N/A,#N/A,FALSE,"1996 PO SUM";#N/A,#N/A,FALSE,"1996 GEOG SUM"}</definedName>
    <definedName name="_______e1" hidden="1">{#N/A,#N/A,FALSE,"CHANGES";#N/A,#N/A,FALSE,"PROD SUMMARY";#N/A,#N/A,FALSE,"1995 PO SUM";#N/A,#N/A,FALSE,"1995 GEOG SUM";#N/A,#N/A,FALSE,"1996 PO SUM";#N/A,#N/A,FALSE,"1996 GEOG SUM"}</definedName>
    <definedName name="_______err1" localSheetId="0" hidden="1">{#N/A,#N/A,FALSE,"CHANGES";#N/A,#N/A,FALSE,"PROD SUMMARY";#N/A,#N/A,FALSE,"1995 PO SUM";#N/A,#N/A,FALSE,"1995 GEOG SUM";#N/A,#N/A,FALSE,"1996 PO SUM";#N/A,#N/A,FALSE,"1996 GEOG SUM"}</definedName>
    <definedName name="_______err1" hidden="1">{#N/A,#N/A,FALSE,"CHANGES";#N/A,#N/A,FALSE,"PROD SUMMARY";#N/A,#N/A,FALSE,"1995 PO SUM";#N/A,#N/A,FALSE,"1995 GEOG SUM";#N/A,#N/A,FALSE,"1996 PO SUM";#N/A,#N/A,FALSE,"1996 GEOG SUM"}</definedName>
    <definedName name="_______ju1" localSheetId="0" hidden="1">{#N/A,#N/A,FALSE,"CHANGES";#N/A,#N/A,FALSE,"PROD SUMMARY";#N/A,#N/A,FALSE,"1995 PO SUM";#N/A,#N/A,FALSE,"1995 GEOG SUM";#N/A,#N/A,FALSE,"1996 PO SUM";#N/A,#N/A,FALSE,"1996 GEOG SUM"}</definedName>
    <definedName name="_______ju1" hidden="1">{#N/A,#N/A,FALSE,"CHANGES";#N/A,#N/A,FALSE,"PROD SUMMARY";#N/A,#N/A,FALSE,"1995 PO SUM";#N/A,#N/A,FALSE,"1995 GEOG SUM";#N/A,#N/A,FALSE,"1996 PO SUM";#N/A,#N/A,FALSE,"1996 GEOG SUM"}</definedName>
    <definedName name="_______kkk1" localSheetId="0" hidden="1">{#N/A,#N/A,FALSE,"CHANGES";#N/A,#N/A,FALSE,"PROD SUMMARY";#N/A,#N/A,FALSE,"1995 PO SUM";#N/A,#N/A,FALSE,"1995 GEOG SUM";#N/A,#N/A,FALSE,"1996 PO SUM";#N/A,#N/A,FALSE,"1996 GEOG SUM"}</definedName>
    <definedName name="_______kkk1" hidden="1">{#N/A,#N/A,FALSE,"CHANGES";#N/A,#N/A,FALSE,"PROD SUMMARY";#N/A,#N/A,FALSE,"1995 PO SUM";#N/A,#N/A,FALSE,"1995 GEOG SUM";#N/A,#N/A,FALSE,"1996 PO SUM";#N/A,#N/A,FALSE,"1996 GEOG SUM"}</definedName>
    <definedName name="_______lds1" localSheetId="0" hidden="1">{#N/A,#N/A,FALSE,"CHANGES";#N/A,#N/A,FALSE,"PROD SUMMARY";#N/A,#N/A,FALSE,"1995 PO SUM";#N/A,#N/A,FALSE,"1995 GEOG SUM";#N/A,#N/A,FALSE,"1996 PO SUM";#N/A,#N/A,FALSE,"1996 GEOG SUM"}</definedName>
    <definedName name="_______lds1" hidden="1">{#N/A,#N/A,FALSE,"CHANGES";#N/A,#N/A,FALSE,"PROD SUMMARY";#N/A,#N/A,FALSE,"1995 PO SUM";#N/A,#N/A,FALSE,"1995 GEOG SUM";#N/A,#N/A,FALSE,"1996 PO SUM";#N/A,#N/A,FALSE,"1996 GEOG SUM"}</definedName>
    <definedName name="_______mb1" localSheetId="0" hidden="1">{#N/A,#N/A,FALSE,"CHANGES";#N/A,#N/A,FALSE,"PROD SUMMARY";#N/A,#N/A,FALSE,"1995 PO SUM";#N/A,#N/A,FALSE,"1995 GEOG SUM";#N/A,#N/A,FALSE,"1996 PO SUM";#N/A,#N/A,FALSE,"1996 GEOG SUM"}</definedName>
    <definedName name="_______mb1" hidden="1">{#N/A,#N/A,FALSE,"CHANGES";#N/A,#N/A,FALSE,"PROD SUMMARY";#N/A,#N/A,FALSE,"1995 PO SUM";#N/A,#N/A,FALSE,"1995 GEOG SUM";#N/A,#N/A,FALSE,"1996 PO SUM";#N/A,#N/A,FALSE,"1996 GEOG SUM"}</definedName>
    <definedName name="_______poi1" localSheetId="0" hidden="1">{#N/A,#N/A,FALSE,"CHANGES";#N/A,#N/A,FALSE,"PROD SUMMARY";#N/A,#N/A,FALSE,"1995 PO SUM";#N/A,#N/A,FALSE,"1995 GEOG SUM";#N/A,#N/A,FALSE,"1996 PO SUM";#N/A,#N/A,FALSE,"1996 GEOG SUM"}</definedName>
    <definedName name="_______poi1" hidden="1">{#N/A,#N/A,FALSE,"CHANGES";#N/A,#N/A,FALSE,"PROD SUMMARY";#N/A,#N/A,FALSE,"1995 PO SUM";#N/A,#N/A,FALSE,"1995 GEOG SUM";#N/A,#N/A,FALSE,"1996 PO SUM";#N/A,#N/A,FALSE,"1996 GEOG SUM"}</definedName>
    <definedName name="_______poi4" localSheetId="0" hidden="1">{#N/A,#N/A,FALSE,"CHANGES";#N/A,#N/A,FALSE,"PROD SUMMARY";#N/A,#N/A,FALSE,"1995 PO SUM";#N/A,#N/A,FALSE,"1995 GEOG SUM";#N/A,#N/A,FALSE,"1996 PO SUM";#N/A,#N/A,FALSE,"1996 GEOG SUM"}</definedName>
    <definedName name="_______poi4" hidden="1">{#N/A,#N/A,FALSE,"CHANGES";#N/A,#N/A,FALSE,"PROD SUMMARY";#N/A,#N/A,FALSE,"1995 PO SUM";#N/A,#N/A,FALSE,"1995 GEOG SUM";#N/A,#N/A,FALSE,"1996 PO SUM";#N/A,#N/A,FALSE,"1996 GEOG SUM"}</definedName>
    <definedName name="______ABC1" localSheetId="0" hidden="1">{#N/A,#N/A,FALSE,"CHANGES";#N/A,#N/A,FALSE,"PROD SUMMARY";#N/A,#N/A,FALSE,"1995 PO SUM";#N/A,#N/A,FALSE,"1995 GEOG SUM";#N/A,#N/A,FALSE,"1996 PO SUM";#N/A,#N/A,FALSE,"1996 GEOG SUM"}</definedName>
    <definedName name="______ABC1" hidden="1">{#N/A,#N/A,FALSE,"CHANGES";#N/A,#N/A,FALSE,"PROD SUMMARY";#N/A,#N/A,FALSE,"1995 PO SUM";#N/A,#N/A,FALSE,"1995 GEOG SUM";#N/A,#N/A,FALSE,"1996 PO SUM";#N/A,#N/A,FALSE,"1996 GEOG SUM"}</definedName>
    <definedName name="_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_arn4" localSheetId="0" hidden="1">{#N/A,#N/A,TRUE,"PRODUCTION CAPEX OVERVIEW";#N/A,#N/A,TRUE,"Affiliate Detail";#N/A,#N/A,TRUE,"CAPEX PLANNING OVERVIEW"}</definedName>
    <definedName name="______arn4" hidden="1">{#N/A,#N/A,TRUE,"PRODUCTION CAPEX OVERVIEW";#N/A,#N/A,TRUE,"Affiliate Detail";#N/A,#N/A,TRUE,"CAPEX PLANNING OVERVIEW"}</definedName>
    <definedName name="______arn5" localSheetId="0" hidden="1">{#N/A,#N/A,FALSE,"CHANGES";#N/A,#N/A,FALSE,"PROD SUMMARY";#N/A,#N/A,FALSE,"1995 PO SUM";#N/A,#N/A,FALSE,"1995 GEOG SUM";#N/A,#N/A,FALSE,"1996 PO SUM";#N/A,#N/A,FALSE,"1996 GEOG SUM"}</definedName>
    <definedName name="______arn5" hidden="1">{#N/A,#N/A,FALSE,"CHANGES";#N/A,#N/A,FALSE,"PROD SUMMARY";#N/A,#N/A,FALSE,"1995 PO SUM";#N/A,#N/A,FALSE,"1995 GEOG SUM";#N/A,#N/A,FALSE,"1996 PO SUM";#N/A,#N/A,FALSE,"1996 GEOG SUM"}</definedName>
    <definedName name="______arn6" localSheetId="0" hidden="1">{#N/A,#N/A,FALSE,"CHANGES";#N/A,#N/A,FALSE,"PROD SUMMARY";#N/A,#N/A,FALSE,"1995 PO SUM";#N/A,#N/A,FALSE,"1995 GEOG SUM";#N/A,#N/A,FALSE,"1996 PO SUM";#N/A,#N/A,FALSE,"1996 GEOG SUM"}</definedName>
    <definedName name="______arn6" hidden="1">{#N/A,#N/A,FALSE,"CHANGES";#N/A,#N/A,FALSE,"PROD SUMMARY";#N/A,#N/A,FALSE,"1995 PO SUM";#N/A,#N/A,FALSE,"1995 GEOG SUM";#N/A,#N/A,FALSE,"1996 PO SUM";#N/A,#N/A,FALSE,"1996 GEOG SUM"}</definedName>
    <definedName name="______arn7" localSheetId="0" hidden="1">{#N/A,#N/A,FALSE,"TabA";#N/A,#N/A,FALSE,"UTopxFx98";#N/A,#N/A,FALSE,"TopxFx98";#N/A,#N/A,FALSE,"TopxNom"}</definedName>
    <definedName name="______arn7" hidden="1">{#N/A,#N/A,FALSE,"TabA";#N/A,#N/A,FALSE,"UTopxFx98";#N/A,#N/A,FALSE,"TopxFx98";#N/A,#N/A,FALSE,"TopxNom"}</definedName>
    <definedName name="______CON12" localSheetId="0" hidden="1">{#N/A,#N/A,FALSE,"COPERTINA"}</definedName>
    <definedName name="______CON12" hidden="1">{#N/A,#N/A,FALSE,"COPERTINA"}</definedName>
    <definedName name="______CP07" localSheetId="0" hidden="1">{#N/A,#N/A,FALSE,"TabA";#N/A,#N/A,FALSE,"UTopxFx98";#N/A,#N/A,FALSE,"TopxFx98";#N/A,#N/A,FALSE,"TopxNom"}</definedName>
    <definedName name="______CP07" hidden="1">{#N/A,#N/A,FALSE,"TabA";#N/A,#N/A,FALSE,"UTopxFx98";#N/A,#N/A,FALSE,"TopxFx98";#N/A,#N/A,FALSE,"TopxNom"}</definedName>
    <definedName name="______CPX1" localSheetId="0" hidden="1">{#N/A,#N/A,TRUE,"PRODUCTION CAPEX OVERVIEW";#N/A,#N/A,TRUE,"Affiliate Detail";#N/A,#N/A,TRUE,"CAPEX PLANNING OVERVIEW"}</definedName>
    <definedName name="______CPX1" hidden="1">{#N/A,#N/A,TRUE,"PRODUCTION CAPEX OVERVIEW";#N/A,#N/A,TRUE,"Affiliate Detail";#N/A,#N/A,TRUE,"CAPEX PLANNING OVERVIEW"}</definedName>
    <definedName name="______e1" localSheetId="0" hidden="1">{#N/A,#N/A,FALSE,"CHANGES";#N/A,#N/A,FALSE,"PROD SUMMARY";#N/A,#N/A,FALSE,"1995 PO SUM";#N/A,#N/A,FALSE,"1995 GEOG SUM";#N/A,#N/A,FALSE,"1996 PO SUM";#N/A,#N/A,FALSE,"1996 GEOG SUM"}</definedName>
    <definedName name="______e1" hidden="1">{#N/A,#N/A,FALSE,"CHANGES";#N/A,#N/A,FALSE,"PROD SUMMARY";#N/A,#N/A,FALSE,"1995 PO SUM";#N/A,#N/A,FALSE,"1995 GEOG SUM";#N/A,#N/A,FALSE,"1996 PO SUM";#N/A,#N/A,FALSE,"1996 GEOG SUM"}</definedName>
    <definedName name="______err1" localSheetId="0" hidden="1">{#N/A,#N/A,FALSE,"CHANGES";#N/A,#N/A,FALSE,"PROD SUMMARY";#N/A,#N/A,FALSE,"1995 PO SUM";#N/A,#N/A,FALSE,"1995 GEOG SUM";#N/A,#N/A,FALSE,"1996 PO SUM";#N/A,#N/A,FALSE,"1996 GEOG SUM"}</definedName>
    <definedName name="______err1" hidden="1">{#N/A,#N/A,FALSE,"CHANGES";#N/A,#N/A,FALSE,"PROD SUMMARY";#N/A,#N/A,FALSE,"1995 PO SUM";#N/A,#N/A,FALSE,"1995 GEOG SUM";#N/A,#N/A,FALSE,"1996 PO SUM";#N/A,#N/A,FALSE,"1996 GEOG SUM"}</definedName>
    <definedName name="______ju1" localSheetId="0" hidden="1">{#N/A,#N/A,FALSE,"CHANGES";#N/A,#N/A,FALSE,"PROD SUMMARY";#N/A,#N/A,FALSE,"1995 PO SUM";#N/A,#N/A,FALSE,"1995 GEOG SUM";#N/A,#N/A,FALSE,"1996 PO SUM";#N/A,#N/A,FALSE,"1996 GEOG SUM"}</definedName>
    <definedName name="______ju1" hidden="1">{#N/A,#N/A,FALSE,"CHANGES";#N/A,#N/A,FALSE,"PROD SUMMARY";#N/A,#N/A,FALSE,"1995 PO SUM";#N/A,#N/A,FALSE,"1995 GEOG SUM";#N/A,#N/A,FALSE,"1996 PO SUM";#N/A,#N/A,FALSE,"1996 GEOG SUM"}</definedName>
    <definedName name="______kkk1" localSheetId="0" hidden="1">{#N/A,#N/A,FALSE,"CHANGES";#N/A,#N/A,FALSE,"PROD SUMMARY";#N/A,#N/A,FALSE,"1995 PO SUM";#N/A,#N/A,FALSE,"1995 GEOG SUM";#N/A,#N/A,FALSE,"1996 PO SUM";#N/A,#N/A,FALSE,"1996 GEOG SUM"}</definedName>
    <definedName name="______kkk1" hidden="1">{#N/A,#N/A,FALSE,"CHANGES";#N/A,#N/A,FALSE,"PROD SUMMARY";#N/A,#N/A,FALSE,"1995 PO SUM";#N/A,#N/A,FALSE,"1995 GEOG SUM";#N/A,#N/A,FALSE,"1996 PO SUM";#N/A,#N/A,FALSE,"1996 GEOG SUM"}</definedName>
    <definedName name="______lds1" localSheetId="0" hidden="1">{#N/A,#N/A,FALSE,"CHANGES";#N/A,#N/A,FALSE,"PROD SUMMARY";#N/A,#N/A,FALSE,"1995 PO SUM";#N/A,#N/A,FALSE,"1995 GEOG SUM";#N/A,#N/A,FALSE,"1996 PO SUM";#N/A,#N/A,FALSE,"1996 GEOG SUM"}</definedName>
    <definedName name="______lds1" hidden="1">{#N/A,#N/A,FALSE,"CHANGES";#N/A,#N/A,FALSE,"PROD SUMMARY";#N/A,#N/A,FALSE,"1995 PO SUM";#N/A,#N/A,FALSE,"1995 GEOG SUM";#N/A,#N/A,FALSE,"1996 PO SUM";#N/A,#N/A,FALSE,"1996 GEOG SUM"}</definedName>
    <definedName name="______mb1" localSheetId="0" hidden="1">{#N/A,#N/A,FALSE,"CHANGES";#N/A,#N/A,FALSE,"PROD SUMMARY";#N/A,#N/A,FALSE,"1995 PO SUM";#N/A,#N/A,FALSE,"1995 GEOG SUM";#N/A,#N/A,FALSE,"1996 PO SUM";#N/A,#N/A,FALSE,"1996 GEOG SUM"}</definedName>
    <definedName name="______mb1" hidden="1">{#N/A,#N/A,FALSE,"CHANGES";#N/A,#N/A,FALSE,"PROD SUMMARY";#N/A,#N/A,FALSE,"1995 PO SUM";#N/A,#N/A,FALSE,"1995 GEOG SUM";#N/A,#N/A,FALSE,"1996 PO SUM";#N/A,#N/A,FALSE,"1996 GEOG SUM"}</definedName>
    <definedName name="______poi1" localSheetId="0" hidden="1">{#N/A,#N/A,FALSE,"CHANGES";#N/A,#N/A,FALSE,"PROD SUMMARY";#N/A,#N/A,FALSE,"1995 PO SUM";#N/A,#N/A,FALSE,"1995 GEOG SUM";#N/A,#N/A,FALSE,"1996 PO SUM";#N/A,#N/A,FALSE,"1996 GEOG SUM"}</definedName>
    <definedName name="______poi1" hidden="1">{#N/A,#N/A,FALSE,"CHANGES";#N/A,#N/A,FALSE,"PROD SUMMARY";#N/A,#N/A,FALSE,"1995 PO SUM";#N/A,#N/A,FALSE,"1995 GEOG SUM";#N/A,#N/A,FALSE,"1996 PO SUM";#N/A,#N/A,FALSE,"1996 GEOG SUM"}</definedName>
    <definedName name="______poi4" localSheetId="0" hidden="1">{#N/A,#N/A,FALSE,"CHANGES";#N/A,#N/A,FALSE,"PROD SUMMARY";#N/A,#N/A,FALSE,"1995 PO SUM";#N/A,#N/A,FALSE,"1995 GEOG SUM";#N/A,#N/A,FALSE,"1996 PO SUM";#N/A,#N/A,FALSE,"1996 GEOG SUM"}</definedName>
    <definedName name="______poi4" hidden="1">{#N/A,#N/A,FALSE,"CHANGES";#N/A,#N/A,FALSE,"PROD SUMMARY";#N/A,#N/A,FALSE,"1995 PO SUM";#N/A,#N/A,FALSE,"1995 GEOG SUM";#N/A,#N/A,FALSE,"1996 PO SUM";#N/A,#N/A,FALSE,"1996 GEOG SUM"}</definedName>
    <definedName name="_____ABC1" localSheetId="0" hidden="1">{#N/A,#N/A,FALSE,"CHANGES";#N/A,#N/A,FALSE,"PROD SUMMARY";#N/A,#N/A,FALSE,"1995 PO SUM";#N/A,#N/A,FALSE,"1995 GEOG SUM";#N/A,#N/A,FALSE,"1996 PO SUM";#N/A,#N/A,FALSE,"1996 GEOG SUM"}</definedName>
    <definedName name="_____ABC1" hidden="1">{#N/A,#N/A,FALSE,"CHANGES";#N/A,#N/A,FALSE,"PROD SUMMARY";#N/A,#N/A,FALSE,"1995 PO SUM";#N/A,#N/A,FALSE,"1995 GEOG SUM";#N/A,#N/A,FALSE,"1996 PO SUM";#N/A,#N/A,FALSE,"1996 GEOG SUM"}</definedName>
    <definedName name="_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_arn4" localSheetId="0" hidden="1">{#N/A,#N/A,TRUE,"PRODUCTION CAPEX OVERVIEW";#N/A,#N/A,TRUE,"Affiliate Detail";#N/A,#N/A,TRUE,"CAPEX PLANNING OVERVIEW"}</definedName>
    <definedName name="_____arn4" hidden="1">{#N/A,#N/A,TRUE,"PRODUCTION CAPEX OVERVIEW";#N/A,#N/A,TRUE,"Affiliate Detail";#N/A,#N/A,TRUE,"CAPEX PLANNING OVERVIEW"}</definedName>
    <definedName name="_____arn5" localSheetId="0" hidden="1">{#N/A,#N/A,FALSE,"CHANGES";#N/A,#N/A,FALSE,"PROD SUMMARY";#N/A,#N/A,FALSE,"1995 PO SUM";#N/A,#N/A,FALSE,"1995 GEOG SUM";#N/A,#N/A,FALSE,"1996 PO SUM";#N/A,#N/A,FALSE,"1996 GEOG SUM"}</definedName>
    <definedName name="_____arn5" hidden="1">{#N/A,#N/A,FALSE,"CHANGES";#N/A,#N/A,FALSE,"PROD SUMMARY";#N/A,#N/A,FALSE,"1995 PO SUM";#N/A,#N/A,FALSE,"1995 GEOG SUM";#N/A,#N/A,FALSE,"1996 PO SUM";#N/A,#N/A,FALSE,"1996 GEOG SUM"}</definedName>
    <definedName name="_____arn6" localSheetId="0" hidden="1">{#N/A,#N/A,FALSE,"CHANGES";#N/A,#N/A,FALSE,"PROD SUMMARY";#N/A,#N/A,FALSE,"1995 PO SUM";#N/A,#N/A,FALSE,"1995 GEOG SUM";#N/A,#N/A,FALSE,"1996 PO SUM";#N/A,#N/A,FALSE,"1996 GEOG SUM"}</definedName>
    <definedName name="_____arn6" hidden="1">{#N/A,#N/A,FALSE,"CHANGES";#N/A,#N/A,FALSE,"PROD SUMMARY";#N/A,#N/A,FALSE,"1995 PO SUM";#N/A,#N/A,FALSE,"1995 GEOG SUM";#N/A,#N/A,FALSE,"1996 PO SUM";#N/A,#N/A,FALSE,"1996 GEOG SUM"}</definedName>
    <definedName name="_____arn7" localSheetId="0" hidden="1">{#N/A,#N/A,FALSE,"TabA";#N/A,#N/A,FALSE,"UTopxFx98";#N/A,#N/A,FALSE,"TopxFx98";#N/A,#N/A,FALSE,"TopxNom"}</definedName>
    <definedName name="_____arn7" hidden="1">{#N/A,#N/A,FALSE,"TabA";#N/A,#N/A,FALSE,"UTopxFx98";#N/A,#N/A,FALSE,"TopxFx98";#N/A,#N/A,FALSE,"TopxNom"}</definedName>
    <definedName name="_____AUX1" localSheetId="0">#REF!</definedName>
    <definedName name="_____AUX1">#REF!</definedName>
    <definedName name="_____AUX2" localSheetId="0">#REF!</definedName>
    <definedName name="_____AUX2">#REF!</definedName>
    <definedName name="_____AUX3" localSheetId="0">#REF!</definedName>
    <definedName name="_____AUX3">#REF!</definedName>
    <definedName name="_____CDN1">#REF!</definedName>
    <definedName name="_____CDN2">#REF!</definedName>
    <definedName name="_____CON12" localSheetId="0" hidden="1">{#N/A,#N/A,FALSE,"COPERTINA"}</definedName>
    <definedName name="_____CON12" hidden="1">{#N/A,#N/A,FALSE,"COPERTINA"}</definedName>
    <definedName name="_____CP07" localSheetId="0" hidden="1">{#N/A,#N/A,FALSE,"TabA";#N/A,#N/A,FALSE,"UTopxFx98";#N/A,#N/A,FALSE,"TopxFx98";#N/A,#N/A,FALSE,"TopxNom"}</definedName>
    <definedName name="_____CP07" hidden="1">{#N/A,#N/A,FALSE,"TabA";#N/A,#N/A,FALSE,"UTopxFx98";#N/A,#N/A,FALSE,"TopxFx98";#N/A,#N/A,FALSE,"TopxNom"}</definedName>
    <definedName name="_____CPX1" localSheetId="0" hidden="1">{#N/A,#N/A,TRUE,"PRODUCTION CAPEX OVERVIEW";#N/A,#N/A,TRUE,"Affiliate Detail";#N/A,#N/A,TRUE,"CAPEX PLANNING OVERVIEW"}</definedName>
    <definedName name="_____CPX1" hidden="1">{#N/A,#N/A,TRUE,"PRODUCTION CAPEX OVERVIEW";#N/A,#N/A,TRUE,"Affiliate Detail";#N/A,#N/A,TRUE,"CAPEX PLANNING OVERVIEW"}</definedName>
    <definedName name="_____e1" localSheetId="0" hidden="1">{#N/A,#N/A,FALSE,"CHANGES";#N/A,#N/A,FALSE,"PROD SUMMARY";#N/A,#N/A,FALSE,"1995 PO SUM";#N/A,#N/A,FALSE,"1995 GEOG SUM";#N/A,#N/A,FALSE,"1996 PO SUM";#N/A,#N/A,FALSE,"1996 GEOG SUM"}</definedName>
    <definedName name="_____e1" hidden="1">{#N/A,#N/A,FALSE,"CHANGES";#N/A,#N/A,FALSE,"PROD SUMMARY";#N/A,#N/A,FALSE,"1995 PO SUM";#N/A,#N/A,FALSE,"1995 GEOG SUM";#N/A,#N/A,FALSE,"1996 PO SUM";#N/A,#N/A,FALSE,"1996 GEOG SUM"}</definedName>
    <definedName name="_____err1" localSheetId="0" hidden="1">{#N/A,#N/A,FALSE,"CHANGES";#N/A,#N/A,FALSE,"PROD SUMMARY";#N/A,#N/A,FALSE,"1995 PO SUM";#N/A,#N/A,FALSE,"1995 GEOG SUM";#N/A,#N/A,FALSE,"1996 PO SUM";#N/A,#N/A,FALSE,"1996 GEOG SUM"}</definedName>
    <definedName name="_____err1" hidden="1">{#N/A,#N/A,FALSE,"CHANGES";#N/A,#N/A,FALSE,"PROD SUMMARY";#N/A,#N/A,FALSE,"1995 PO SUM";#N/A,#N/A,FALSE,"1995 GEOG SUM";#N/A,#N/A,FALSE,"1996 PO SUM";#N/A,#N/A,FALSE,"1996 GEOG SUM"}</definedName>
    <definedName name="_____ju1" localSheetId="0" hidden="1">{#N/A,#N/A,FALSE,"CHANGES";#N/A,#N/A,FALSE,"PROD SUMMARY";#N/A,#N/A,FALSE,"1995 PO SUM";#N/A,#N/A,FALSE,"1995 GEOG SUM";#N/A,#N/A,FALSE,"1996 PO SUM";#N/A,#N/A,FALSE,"1996 GEOG SUM"}</definedName>
    <definedName name="_____ju1" hidden="1">{#N/A,#N/A,FALSE,"CHANGES";#N/A,#N/A,FALSE,"PROD SUMMARY";#N/A,#N/A,FALSE,"1995 PO SUM";#N/A,#N/A,FALSE,"1995 GEOG SUM";#N/A,#N/A,FALSE,"1996 PO SUM";#N/A,#N/A,FALSE,"1996 GEOG SUM"}</definedName>
    <definedName name="_____kkk1" localSheetId="0" hidden="1">{#N/A,#N/A,FALSE,"CHANGES";#N/A,#N/A,FALSE,"PROD SUMMARY";#N/A,#N/A,FALSE,"1995 PO SUM";#N/A,#N/A,FALSE,"1995 GEOG SUM";#N/A,#N/A,FALSE,"1996 PO SUM";#N/A,#N/A,FALSE,"1996 GEOG SUM"}</definedName>
    <definedName name="_____kkk1" hidden="1">{#N/A,#N/A,FALSE,"CHANGES";#N/A,#N/A,FALSE,"PROD SUMMARY";#N/A,#N/A,FALSE,"1995 PO SUM";#N/A,#N/A,FALSE,"1995 GEOG SUM";#N/A,#N/A,FALSE,"1996 PO SUM";#N/A,#N/A,FALSE,"1996 GEOG SUM"}</definedName>
    <definedName name="_____lds1" localSheetId="0" hidden="1">{#N/A,#N/A,FALSE,"CHANGES";#N/A,#N/A,FALSE,"PROD SUMMARY";#N/A,#N/A,FALSE,"1995 PO SUM";#N/A,#N/A,FALSE,"1995 GEOG SUM";#N/A,#N/A,FALSE,"1996 PO SUM";#N/A,#N/A,FALSE,"1996 GEOG SUM"}</definedName>
    <definedName name="_____lds1" hidden="1">{#N/A,#N/A,FALSE,"CHANGES";#N/A,#N/A,FALSE,"PROD SUMMARY";#N/A,#N/A,FALSE,"1995 PO SUM";#N/A,#N/A,FALSE,"1995 GEOG SUM";#N/A,#N/A,FALSE,"1996 PO SUM";#N/A,#N/A,FALSE,"1996 GEOG SUM"}</definedName>
    <definedName name="_____MAT1" localSheetId="0">#REF!</definedName>
    <definedName name="_____MAT1">#REF!</definedName>
    <definedName name="_____MAT2" localSheetId="0">#REF!</definedName>
    <definedName name="_____MAT2">#REF!</definedName>
    <definedName name="_____mb1" localSheetId="0" hidden="1">{#N/A,#N/A,FALSE,"CHANGES";#N/A,#N/A,FALSE,"PROD SUMMARY";#N/A,#N/A,FALSE,"1995 PO SUM";#N/A,#N/A,FALSE,"1995 GEOG SUM";#N/A,#N/A,FALSE,"1996 PO SUM";#N/A,#N/A,FALSE,"1996 GEOG SUM"}</definedName>
    <definedName name="_____mb1" hidden="1">{#N/A,#N/A,FALSE,"CHANGES";#N/A,#N/A,FALSE,"PROD SUMMARY";#N/A,#N/A,FALSE,"1995 PO SUM";#N/A,#N/A,FALSE,"1995 GEOG SUM";#N/A,#N/A,FALSE,"1996 PO SUM";#N/A,#N/A,FALSE,"1996 GEOG SUM"}</definedName>
    <definedName name="_____poi1" localSheetId="0" hidden="1">{#N/A,#N/A,FALSE,"CHANGES";#N/A,#N/A,FALSE,"PROD SUMMARY";#N/A,#N/A,FALSE,"1995 PO SUM";#N/A,#N/A,FALSE,"1995 GEOG SUM";#N/A,#N/A,FALSE,"1996 PO SUM";#N/A,#N/A,FALSE,"1996 GEOG SUM"}</definedName>
    <definedName name="_____poi1" hidden="1">{#N/A,#N/A,FALSE,"CHANGES";#N/A,#N/A,FALSE,"PROD SUMMARY";#N/A,#N/A,FALSE,"1995 PO SUM";#N/A,#N/A,FALSE,"1995 GEOG SUM";#N/A,#N/A,FALSE,"1996 PO SUM";#N/A,#N/A,FALSE,"1996 GEOG SUM"}</definedName>
    <definedName name="_____poi4" localSheetId="0" hidden="1">{#N/A,#N/A,FALSE,"CHANGES";#N/A,#N/A,FALSE,"PROD SUMMARY";#N/A,#N/A,FALSE,"1995 PO SUM";#N/A,#N/A,FALSE,"1995 GEOG SUM";#N/A,#N/A,FALSE,"1996 PO SUM";#N/A,#N/A,FALSE,"1996 GEOG SUM"}</definedName>
    <definedName name="_____poi4" hidden="1">{#N/A,#N/A,FALSE,"CHANGES";#N/A,#N/A,FALSE,"PROD SUMMARY";#N/A,#N/A,FALSE,"1995 PO SUM";#N/A,#N/A,FALSE,"1995 GEOG SUM";#N/A,#N/A,FALSE,"1996 PO SUM";#N/A,#N/A,FALSE,"1996 GEOG SUM"}</definedName>
    <definedName name="____aaa1" localSheetId="0" hidden="1">{#N/A,#N/A,FALSE,"TabA";#N/A,#N/A,FALSE,"UTopxFx98";#N/A,#N/A,FALSE,"TopxFx98";#N/A,#N/A,FALSE,"TopxNom"}</definedName>
    <definedName name="____aaa1" hidden="1">{#N/A,#N/A,FALSE,"TabA";#N/A,#N/A,FALSE,"UTopxFx98";#N/A,#N/A,FALSE,"TopxFx98";#N/A,#N/A,FALSE,"TopxNom"}</definedName>
    <definedName name="____ABC1" localSheetId="0" hidden="1">{#N/A,#N/A,FALSE,"CHANGES";#N/A,#N/A,FALSE,"PROD SUMMARY";#N/A,#N/A,FALSE,"1995 PO SUM";#N/A,#N/A,FALSE,"1995 GEOG SUM";#N/A,#N/A,FALSE,"1996 PO SUM";#N/A,#N/A,FALSE,"1996 GEOG SUM"}</definedName>
    <definedName name="____ABC1" hidden="1">{#N/A,#N/A,FALSE,"CHANGES";#N/A,#N/A,FALSE,"PROD SUMMARY";#N/A,#N/A,FALSE,"1995 PO SUM";#N/A,#N/A,FALSE,"1995 GEOG SUM";#N/A,#N/A,FALSE,"1996 PO SUM";#N/A,#N/A,FALSE,"1996 GEOG SUM"}</definedName>
    <definedName name="_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_arn4" localSheetId="0" hidden="1">{#N/A,#N/A,TRUE,"PRODUCTION CAPEX OVERVIEW";#N/A,#N/A,TRUE,"Affiliate Detail";#N/A,#N/A,TRUE,"CAPEX PLANNING OVERVIEW"}</definedName>
    <definedName name="____arn4" hidden="1">{#N/A,#N/A,TRUE,"PRODUCTION CAPEX OVERVIEW";#N/A,#N/A,TRUE,"Affiliate Detail";#N/A,#N/A,TRUE,"CAPEX PLANNING OVERVIEW"}</definedName>
    <definedName name="____arn5" localSheetId="0" hidden="1">{#N/A,#N/A,FALSE,"CHANGES";#N/A,#N/A,FALSE,"PROD SUMMARY";#N/A,#N/A,FALSE,"1995 PO SUM";#N/A,#N/A,FALSE,"1995 GEOG SUM";#N/A,#N/A,FALSE,"1996 PO SUM";#N/A,#N/A,FALSE,"1996 GEOG SUM"}</definedName>
    <definedName name="____arn5" hidden="1">{#N/A,#N/A,FALSE,"CHANGES";#N/A,#N/A,FALSE,"PROD SUMMARY";#N/A,#N/A,FALSE,"1995 PO SUM";#N/A,#N/A,FALSE,"1995 GEOG SUM";#N/A,#N/A,FALSE,"1996 PO SUM";#N/A,#N/A,FALSE,"1996 GEOG SUM"}</definedName>
    <definedName name="____arn6" localSheetId="0" hidden="1">{#N/A,#N/A,FALSE,"CHANGES";#N/A,#N/A,FALSE,"PROD SUMMARY";#N/A,#N/A,FALSE,"1995 PO SUM";#N/A,#N/A,FALSE,"1995 GEOG SUM";#N/A,#N/A,FALSE,"1996 PO SUM";#N/A,#N/A,FALSE,"1996 GEOG SUM"}</definedName>
    <definedName name="____arn6" hidden="1">{#N/A,#N/A,FALSE,"CHANGES";#N/A,#N/A,FALSE,"PROD SUMMARY";#N/A,#N/A,FALSE,"1995 PO SUM";#N/A,#N/A,FALSE,"1995 GEOG SUM";#N/A,#N/A,FALSE,"1996 PO SUM";#N/A,#N/A,FALSE,"1996 GEOG SUM"}</definedName>
    <definedName name="____arn7" localSheetId="0" hidden="1">{#N/A,#N/A,FALSE,"TabA";#N/A,#N/A,FALSE,"UTopxFx98";#N/A,#N/A,FALSE,"TopxFx98";#N/A,#N/A,FALSE,"TopxNom"}</definedName>
    <definedName name="____arn7" hidden="1">{#N/A,#N/A,FALSE,"TabA";#N/A,#N/A,FALSE,"UTopxFx98";#N/A,#N/A,FALSE,"TopxFx98";#N/A,#N/A,FALSE,"TopxNom"}</definedName>
    <definedName name="____CON12" localSheetId="0" hidden="1">{#N/A,#N/A,FALSE,"COPERTINA"}</definedName>
    <definedName name="____CON12" hidden="1">{#N/A,#N/A,FALSE,"COPERTINA"}</definedName>
    <definedName name="____CP07" localSheetId="0" hidden="1">{#N/A,#N/A,FALSE,"TabA";#N/A,#N/A,FALSE,"UTopxFx98";#N/A,#N/A,FALSE,"TopxFx98";#N/A,#N/A,FALSE,"TopxNom"}</definedName>
    <definedName name="____CP07" hidden="1">{#N/A,#N/A,FALSE,"TabA";#N/A,#N/A,FALSE,"UTopxFx98";#N/A,#N/A,FALSE,"TopxFx98";#N/A,#N/A,FALSE,"TopxNom"}</definedName>
    <definedName name="____CPX1" localSheetId="0" hidden="1">{#N/A,#N/A,TRUE,"PRODUCTION CAPEX OVERVIEW";#N/A,#N/A,TRUE,"Affiliate Detail";#N/A,#N/A,TRUE,"CAPEX PLANNING OVERVIEW"}</definedName>
    <definedName name="____CPX1" hidden="1">{#N/A,#N/A,TRUE,"PRODUCTION CAPEX OVERVIEW";#N/A,#N/A,TRUE,"Affiliate Detail";#N/A,#N/A,TRUE,"CAPEX PLANNING OVERVIEW"}</definedName>
    <definedName name="____e1" localSheetId="0" hidden="1">{#N/A,#N/A,FALSE,"CHANGES";#N/A,#N/A,FALSE,"PROD SUMMARY";#N/A,#N/A,FALSE,"1995 PO SUM";#N/A,#N/A,FALSE,"1995 GEOG SUM";#N/A,#N/A,FALSE,"1996 PO SUM";#N/A,#N/A,FALSE,"1996 GEOG SUM"}</definedName>
    <definedName name="____e1" hidden="1">{#N/A,#N/A,FALSE,"CHANGES";#N/A,#N/A,FALSE,"PROD SUMMARY";#N/A,#N/A,FALSE,"1995 PO SUM";#N/A,#N/A,FALSE,"1995 GEOG SUM";#N/A,#N/A,FALSE,"1996 PO SUM";#N/A,#N/A,FALSE,"1996 GEOG SUM"}</definedName>
    <definedName name="____err1" localSheetId="0" hidden="1">{#N/A,#N/A,FALSE,"CHANGES";#N/A,#N/A,FALSE,"PROD SUMMARY";#N/A,#N/A,FALSE,"1995 PO SUM";#N/A,#N/A,FALSE,"1995 GEOG SUM";#N/A,#N/A,FALSE,"1996 PO SUM";#N/A,#N/A,FALSE,"1996 GEOG SUM"}</definedName>
    <definedName name="____err1" hidden="1">{#N/A,#N/A,FALSE,"CHANGES";#N/A,#N/A,FALSE,"PROD SUMMARY";#N/A,#N/A,FALSE,"1995 PO SUM";#N/A,#N/A,FALSE,"1995 GEOG SUM";#N/A,#N/A,FALSE,"1996 PO SUM";#N/A,#N/A,FALSE,"1996 GEOG SUM"}</definedName>
    <definedName name="____err2" localSheetId="0" hidden="1">{#N/A,#N/A,FALSE,"CHANGES";#N/A,#N/A,FALSE,"PROD SUMMARY";#N/A,#N/A,FALSE,"1995 PO SUM";#N/A,#N/A,FALSE,"1995 GEOG SUM";#N/A,#N/A,FALSE,"1996 PO SUM";#N/A,#N/A,FALSE,"1996 GEOG SUM"}</definedName>
    <definedName name="____err2" hidden="1">{#N/A,#N/A,FALSE,"CHANGES";#N/A,#N/A,FALSE,"PROD SUMMARY";#N/A,#N/A,FALSE,"1995 PO SUM";#N/A,#N/A,FALSE,"1995 GEOG SUM";#N/A,#N/A,FALSE,"1996 PO SUM";#N/A,#N/A,FALSE,"1996 GEOG SUM"}</definedName>
    <definedName name="____IOD1" localSheetId="0">'[3]Installation Case'!$U$24</definedName>
    <definedName name="____IOD1">'[4]Installation Case'!$U$24</definedName>
    <definedName name="____IOD2" localSheetId="0">'[3]Installation Case'!$Y$24</definedName>
    <definedName name="____IOD2">'[4]Installation Case'!$Y$24</definedName>
    <definedName name="____IOD3" localSheetId="0">'[3]Installation Case'!$AC$24</definedName>
    <definedName name="____IOD3">'[4]Installation Case'!$AC$24</definedName>
    <definedName name="____IOD5" localSheetId="0">'[3]Installation Case'!$AK$24</definedName>
    <definedName name="____IOD5">'[4]Installation Case'!$AK$24</definedName>
    <definedName name="____JPL02" localSheetId="0">#REF!</definedName>
    <definedName name="____JPL02">#REF!</definedName>
    <definedName name="____JPL03" localSheetId="0">#REF!</definedName>
    <definedName name="____JPL03">#REF!</definedName>
    <definedName name="____JPL04" localSheetId="0">#REF!</definedName>
    <definedName name="____JPL04">#REF!</definedName>
    <definedName name="____JPL05">#REF!</definedName>
    <definedName name="____JRL02">#REF!</definedName>
    <definedName name="____JRL03">#REF!</definedName>
    <definedName name="____JRL04">#REF!</definedName>
    <definedName name="____JRL05">#REF!</definedName>
    <definedName name="____ju1" localSheetId="0" hidden="1">{#N/A,#N/A,FALSE,"CHANGES";#N/A,#N/A,FALSE,"PROD SUMMARY";#N/A,#N/A,FALSE,"1995 PO SUM";#N/A,#N/A,FALSE,"1995 GEOG SUM";#N/A,#N/A,FALSE,"1996 PO SUM";#N/A,#N/A,FALSE,"1996 GEOG SUM"}</definedName>
    <definedName name="____ju1" hidden="1">{#N/A,#N/A,FALSE,"CHANGES";#N/A,#N/A,FALSE,"PROD SUMMARY";#N/A,#N/A,FALSE,"1995 PO SUM";#N/A,#N/A,FALSE,"1995 GEOG SUM";#N/A,#N/A,FALSE,"1996 PO SUM";#N/A,#N/A,FALSE,"1996 GEOG SUM"}</definedName>
    <definedName name="____kkk1" localSheetId="0" hidden="1">{#N/A,#N/A,FALSE,"CHANGES";#N/A,#N/A,FALSE,"PROD SUMMARY";#N/A,#N/A,FALSE,"1995 PO SUM";#N/A,#N/A,FALSE,"1995 GEOG SUM";#N/A,#N/A,FALSE,"1996 PO SUM";#N/A,#N/A,FALSE,"1996 GEOG SUM"}</definedName>
    <definedName name="____kkk1" hidden="1">{#N/A,#N/A,FALSE,"CHANGES";#N/A,#N/A,FALSE,"PROD SUMMARY";#N/A,#N/A,FALSE,"1995 PO SUM";#N/A,#N/A,FALSE,"1995 GEOG SUM";#N/A,#N/A,FALSE,"1996 PO SUM";#N/A,#N/A,FALSE,"1996 GEOG SUM"}</definedName>
    <definedName name="____lds1" localSheetId="0" hidden="1">{#N/A,#N/A,FALSE,"CHANGES";#N/A,#N/A,FALSE,"PROD SUMMARY";#N/A,#N/A,FALSE,"1995 PO SUM";#N/A,#N/A,FALSE,"1995 GEOG SUM";#N/A,#N/A,FALSE,"1996 PO SUM";#N/A,#N/A,FALSE,"1996 GEOG SUM"}</definedName>
    <definedName name="____lds1" hidden="1">{#N/A,#N/A,FALSE,"CHANGES";#N/A,#N/A,FALSE,"PROD SUMMARY";#N/A,#N/A,FALSE,"1995 PO SUM";#N/A,#N/A,FALSE,"1995 GEOG SUM";#N/A,#N/A,FALSE,"1996 PO SUM";#N/A,#N/A,FALSE,"1996 GEOG SUM"}</definedName>
    <definedName name="____mb1" localSheetId="0" hidden="1">{#N/A,#N/A,FALSE,"CHANGES";#N/A,#N/A,FALSE,"PROD SUMMARY";#N/A,#N/A,FALSE,"1995 PO SUM";#N/A,#N/A,FALSE,"1995 GEOG SUM";#N/A,#N/A,FALSE,"1996 PO SUM";#N/A,#N/A,FALSE,"1996 GEOG SUM"}</definedName>
    <definedName name="____mb1" hidden="1">{#N/A,#N/A,FALSE,"CHANGES";#N/A,#N/A,FALSE,"PROD SUMMARY";#N/A,#N/A,FALSE,"1995 PO SUM";#N/A,#N/A,FALSE,"1995 GEOG SUM";#N/A,#N/A,FALSE,"1996 PO SUM";#N/A,#N/A,FALSE,"1996 GEOG SUM"}</definedName>
    <definedName name="____ncd1" localSheetId="0" hidden="1">{#N/A,#N/A,FALSE,"CHANGES";#N/A,#N/A,FALSE,"PROD SUMMARY";#N/A,#N/A,FALSE,"1995 PO SUM";#N/A,#N/A,FALSE,"1995 GEOG SUM";#N/A,#N/A,FALSE,"1996 PO SUM";#N/A,#N/A,FALSE,"1996 GEOG SUM"}</definedName>
    <definedName name="____ncd1" hidden="1">{#N/A,#N/A,FALSE,"CHANGES";#N/A,#N/A,FALSE,"PROD SUMMARY";#N/A,#N/A,FALSE,"1995 PO SUM";#N/A,#N/A,FALSE,"1995 GEOG SUM";#N/A,#N/A,FALSE,"1996 PO SUM";#N/A,#N/A,FALSE,"1996 GEOG SUM"}</definedName>
    <definedName name="____OOD4" localSheetId="0">'[3]Installation Case'!$AG$24</definedName>
    <definedName name="____OOD4">'[4]Installation Case'!$AG$24</definedName>
    <definedName name="____poi1" localSheetId="0" hidden="1">{#N/A,#N/A,FALSE,"CHANGES";#N/A,#N/A,FALSE,"PROD SUMMARY";#N/A,#N/A,FALSE,"1995 PO SUM";#N/A,#N/A,FALSE,"1995 GEOG SUM";#N/A,#N/A,FALSE,"1996 PO SUM";#N/A,#N/A,FALSE,"1996 GEOG SUM"}</definedName>
    <definedName name="____poi1" hidden="1">{#N/A,#N/A,FALSE,"CHANGES";#N/A,#N/A,FALSE,"PROD SUMMARY";#N/A,#N/A,FALSE,"1995 PO SUM";#N/A,#N/A,FALSE,"1995 GEOG SUM";#N/A,#N/A,FALSE,"1996 PO SUM";#N/A,#N/A,FALSE,"1996 GEOG SUM"}</definedName>
    <definedName name="____poi4" localSheetId="0" hidden="1">{#N/A,#N/A,FALSE,"CHANGES";#N/A,#N/A,FALSE,"PROD SUMMARY";#N/A,#N/A,FALSE,"1995 PO SUM";#N/A,#N/A,FALSE,"1995 GEOG SUM";#N/A,#N/A,FALSE,"1996 PO SUM";#N/A,#N/A,FALSE,"1996 GEOG SUM"}</definedName>
    <definedName name="____poi4" hidden="1">{#N/A,#N/A,FALSE,"CHANGES";#N/A,#N/A,FALSE,"PROD SUMMARY";#N/A,#N/A,FALSE,"1995 PO SUM";#N/A,#N/A,FALSE,"1995 GEOG SUM";#N/A,#N/A,FALSE,"1996 PO SUM";#N/A,#N/A,FALSE,"1996 GEOG SUM"}</definedName>
    <definedName name="____WBS2" localSheetId="0">#REF!</definedName>
    <definedName name="____WBS2">#REF!</definedName>
    <definedName name="___aaa1" localSheetId="0" hidden="1">{#N/A,#N/A,FALSE,"TabA";#N/A,#N/A,FALSE,"UTopxFx98";#N/A,#N/A,FALSE,"TopxFx98";#N/A,#N/A,FALSE,"TopxNom"}</definedName>
    <definedName name="___aaa1" hidden="1">{#N/A,#N/A,FALSE,"TabA";#N/A,#N/A,FALSE,"UTopxFx98";#N/A,#N/A,FALSE,"TopxFx98";#N/A,#N/A,FALSE,"TopxNom"}</definedName>
    <definedName name="___ABC1" localSheetId="0" hidden="1">{#N/A,#N/A,FALSE,"CHANGES";#N/A,#N/A,FALSE,"PROD SUMMARY";#N/A,#N/A,FALSE,"1995 PO SUM";#N/A,#N/A,FALSE,"1995 GEOG SUM";#N/A,#N/A,FALSE,"1996 PO SUM";#N/A,#N/A,FALSE,"1996 GEOG SUM"}</definedName>
    <definedName name="___ABC1" hidden="1">{#N/A,#N/A,FALSE,"CHANGES";#N/A,#N/A,FALSE,"PROD SUMMARY";#N/A,#N/A,FALSE,"1995 PO SUM";#N/A,#N/A,FALSE,"1995 GEOG SUM";#N/A,#N/A,FALSE,"1996 PO SUM";#N/A,#N/A,FALSE,"1996 GEOG SUM"}</definedName>
    <definedName name="_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_arn4" localSheetId="0" hidden="1">{#N/A,#N/A,TRUE,"PRODUCTION CAPEX OVERVIEW";#N/A,#N/A,TRUE,"Affiliate Detail";#N/A,#N/A,TRUE,"CAPEX PLANNING OVERVIEW"}</definedName>
    <definedName name="___arn4" hidden="1">{#N/A,#N/A,TRUE,"PRODUCTION CAPEX OVERVIEW";#N/A,#N/A,TRUE,"Affiliate Detail";#N/A,#N/A,TRUE,"CAPEX PLANNING OVERVIEW"}</definedName>
    <definedName name="___arn5" localSheetId="0" hidden="1">{#N/A,#N/A,FALSE,"CHANGES";#N/A,#N/A,FALSE,"PROD SUMMARY";#N/A,#N/A,FALSE,"1995 PO SUM";#N/A,#N/A,FALSE,"1995 GEOG SUM";#N/A,#N/A,FALSE,"1996 PO SUM";#N/A,#N/A,FALSE,"1996 GEOG SUM"}</definedName>
    <definedName name="___arn5" hidden="1">{#N/A,#N/A,FALSE,"CHANGES";#N/A,#N/A,FALSE,"PROD SUMMARY";#N/A,#N/A,FALSE,"1995 PO SUM";#N/A,#N/A,FALSE,"1995 GEOG SUM";#N/A,#N/A,FALSE,"1996 PO SUM";#N/A,#N/A,FALSE,"1996 GEOG SUM"}</definedName>
    <definedName name="___arn6" localSheetId="0" hidden="1">{#N/A,#N/A,FALSE,"CHANGES";#N/A,#N/A,FALSE,"PROD SUMMARY";#N/A,#N/A,FALSE,"1995 PO SUM";#N/A,#N/A,FALSE,"1995 GEOG SUM";#N/A,#N/A,FALSE,"1996 PO SUM";#N/A,#N/A,FALSE,"1996 GEOG SUM"}</definedName>
    <definedName name="___arn6" hidden="1">{#N/A,#N/A,FALSE,"CHANGES";#N/A,#N/A,FALSE,"PROD SUMMARY";#N/A,#N/A,FALSE,"1995 PO SUM";#N/A,#N/A,FALSE,"1995 GEOG SUM";#N/A,#N/A,FALSE,"1996 PO SUM";#N/A,#N/A,FALSE,"1996 GEOG SUM"}</definedName>
    <definedName name="___arn7" localSheetId="0" hidden="1">{#N/A,#N/A,FALSE,"TabA";#N/A,#N/A,FALSE,"UTopxFx98";#N/A,#N/A,FALSE,"TopxFx98";#N/A,#N/A,FALSE,"TopxNom"}</definedName>
    <definedName name="___arn7" hidden="1">{#N/A,#N/A,FALSE,"TabA";#N/A,#N/A,FALSE,"UTopxFx98";#N/A,#N/A,FALSE,"TopxFx98";#N/A,#N/A,FALSE,"TopxNom"}</definedName>
    <definedName name="___AUX1" localSheetId="0">#REF!</definedName>
    <definedName name="___AUX1">#REF!</definedName>
    <definedName name="___AUX2" localSheetId="0">#REF!</definedName>
    <definedName name="___AUX2">#REF!</definedName>
    <definedName name="___AUX3" localSheetId="0">#REF!</definedName>
    <definedName name="___AUX3">#REF!</definedName>
    <definedName name="___CDN1">#REF!</definedName>
    <definedName name="___CDN2">#REF!</definedName>
    <definedName name="___CON12" localSheetId="0" hidden="1">{#N/A,#N/A,FALSE,"COPERTINA"}</definedName>
    <definedName name="___CON12" hidden="1">{#N/A,#N/A,FALSE,"COPERTINA"}</definedName>
    <definedName name="___CP07" localSheetId="0" hidden="1">{#N/A,#N/A,FALSE,"TabA";#N/A,#N/A,FALSE,"UTopxFx98";#N/A,#N/A,FALSE,"TopxFx98";#N/A,#N/A,FALSE,"TopxNom"}</definedName>
    <definedName name="___CP07" hidden="1">{#N/A,#N/A,FALSE,"TabA";#N/A,#N/A,FALSE,"UTopxFx98";#N/A,#N/A,FALSE,"TopxFx98";#N/A,#N/A,FALSE,"TopxNom"}</definedName>
    <definedName name="___CPX1" localSheetId="0" hidden="1">{#N/A,#N/A,TRUE,"PRODUCTION CAPEX OVERVIEW";#N/A,#N/A,TRUE,"Affiliate Detail";#N/A,#N/A,TRUE,"CAPEX PLANNING OVERVIEW"}</definedName>
    <definedName name="___CPX1" hidden="1">{#N/A,#N/A,TRUE,"PRODUCTION CAPEX OVERVIEW";#N/A,#N/A,TRUE,"Affiliate Detail";#N/A,#N/A,TRUE,"CAPEX PLANNING OVERVIEW"}</definedName>
    <definedName name="___e1" localSheetId="0" hidden="1">{#N/A,#N/A,FALSE,"CHANGES";#N/A,#N/A,FALSE,"PROD SUMMARY";#N/A,#N/A,FALSE,"1995 PO SUM";#N/A,#N/A,FALSE,"1995 GEOG SUM";#N/A,#N/A,FALSE,"1996 PO SUM";#N/A,#N/A,FALSE,"1996 GEOG SUM"}</definedName>
    <definedName name="___e1" hidden="1">{#N/A,#N/A,FALSE,"CHANGES";#N/A,#N/A,FALSE,"PROD SUMMARY";#N/A,#N/A,FALSE,"1995 PO SUM";#N/A,#N/A,FALSE,"1995 GEOG SUM";#N/A,#N/A,FALSE,"1996 PO SUM";#N/A,#N/A,FALSE,"1996 GEOG SUM"}</definedName>
    <definedName name="___err1" localSheetId="0" hidden="1">{#N/A,#N/A,FALSE,"CHANGES";#N/A,#N/A,FALSE,"PROD SUMMARY";#N/A,#N/A,FALSE,"1995 PO SUM";#N/A,#N/A,FALSE,"1995 GEOG SUM";#N/A,#N/A,FALSE,"1996 PO SUM";#N/A,#N/A,FALSE,"1996 GEOG SUM"}</definedName>
    <definedName name="___err1" hidden="1">{#N/A,#N/A,FALSE,"CHANGES";#N/A,#N/A,FALSE,"PROD SUMMARY";#N/A,#N/A,FALSE,"1995 PO SUM";#N/A,#N/A,FALSE,"1995 GEOG SUM";#N/A,#N/A,FALSE,"1996 PO SUM";#N/A,#N/A,FALSE,"1996 GEOG SUM"}</definedName>
    <definedName name="___err2" localSheetId="0" hidden="1">{#N/A,#N/A,FALSE,"CHANGES";#N/A,#N/A,FALSE,"PROD SUMMARY";#N/A,#N/A,FALSE,"1995 PO SUM";#N/A,#N/A,FALSE,"1995 GEOG SUM";#N/A,#N/A,FALSE,"1996 PO SUM";#N/A,#N/A,FALSE,"1996 GEOG SUM"}</definedName>
    <definedName name="___err2" hidden="1">{#N/A,#N/A,FALSE,"CHANGES";#N/A,#N/A,FALSE,"PROD SUMMARY";#N/A,#N/A,FALSE,"1995 PO SUM";#N/A,#N/A,FALSE,"1995 GEOG SUM";#N/A,#N/A,FALSE,"1996 PO SUM";#N/A,#N/A,FALSE,"1996 GEOG SUM"}</definedName>
    <definedName name="___IOD1" localSheetId="0">'[3]Installation Case'!$U$24</definedName>
    <definedName name="___IOD1">'[4]Installation Case'!$U$24</definedName>
    <definedName name="___IOD2" localSheetId="0">'[3]Installation Case'!$Y$24</definedName>
    <definedName name="___IOD2">'[4]Installation Case'!$Y$24</definedName>
    <definedName name="___IOD3" localSheetId="0">'[3]Installation Case'!$AC$24</definedName>
    <definedName name="___IOD3">'[4]Installation Case'!$AC$24</definedName>
    <definedName name="___IOD5" localSheetId="0">'[3]Installation Case'!$AK$24</definedName>
    <definedName name="___IOD5">'[4]Installation Case'!$AK$24</definedName>
    <definedName name="___JPL02" localSheetId="0">#REF!</definedName>
    <definedName name="___JPL02">#REF!</definedName>
    <definedName name="___JPL03" localSheetId="0">#REF!</definedName>
    <definedName name="___JPL03">#REF!</definedName>
    <definedName name="___JPL04" localSheetId="0">#REF!</definedName>
    <definedName name="___JPL04">#REF!</definedName>
    <definedName name="___JPL05">#REF!</definedName>
    <definedName name="___JRL02">#REF!</definedName>
    <definedName name="___JRL03">#REF!</definedName>
    <definedName name="___JRL04">#REF!</definedName>
    <definedName name="___JRL05">#REF!</definedName>
    <definedName name="___ju1" localSheetId="0" hidden="1">{#N/A,#N/A,FALSE,"CHANGES";#N/A,#N/A,FALSE,"PROD SUMMARY";#N/A,#N/A,FALSE,"1995 PO SUM";#N/A,#N/A,FALSE,"1995 GEOG SUM";#N/A,#N/A,FALSE,"1996 PO SUM";#N/A,#N/A,FALSE,"1996 GEOG SUM"}</definedName>
    <definedName name="___ju1" hidden="1">{#N/A,#N/A,FALSE,"CHANGES";#N/A,#N/A,FALSE,"PROD SUMMARY";#N/A,#N/A,FALSE,"1995 PO SUM";#N/A,#N/A,FALSE,"1995 GEOG SUM";#N/A,#N/A,FALSE,"1996 PO SUM";#N/A,#N/A,FALSE,"1996 GEOG SUM"}</definedName>
    <definedName name="___kkk1" localSheetId="0" hidden="1">{#N/A,#N/A,FALSE,"CHANGES";#N/A,#N/A,FALSE,"PROD SUMMARY";#N/A,#N/A,FALSE,"1995 PO SUM";#N/A,#N/A,FALSE,"1995 GEOG SUM";#N/A,#N/A,FALSE,"1996 PO SUM";#N/A,#N/A,FALSE,"1996 GEOG SUM"}</definedName>
    <definedName name="___kkk1" hidden="1">{#N/A,#N/A,FALSE,"CHANGES";#N/A,#N/A,FALSE,"PROD SUMMARY";#N/A,#N/A,FALSE,"1995 PO SUM";#N/A,#N/A,FALSE,"1995 GEOG SUM";#N/A,#N/A,FALSE,"1996 PO SUM";#N/A,#N/A,FALSE,"1996 GEOG SUM"}</definedName>
    <definedName name="___lds1" localSheetId="0" hidden="1">{#N/A,#N/A,FALSE,"CHANGES";#N/A,#N/A,FALSE,"PROD SUMMARY";#N/A,#N/A,FALSE,"1995 PO SUM";#N/A,#N/A,FALSE,"1995 GEOG SUM";#N/A,#N/A,FALSE,"1996 PO SUM";#N/A,#N/A,FALSE,"1996 GEOG SUM"}</definedName>
    <definedName name="___lds1" hidden="1">{#N/A,#N/A,FALSE,"CHANGES";#N/A,#N/A,FALSE,"PROD SUMMARY";#N/A,#N/A,FALSE,"1995 PO SUM";#N/A,#N/A,FALSE,"1995 GEOG SUM";#N/A,#N/A,FALSE,"1996 PO SUM";#N/A,#N/A,FALSE,"1996 GEOG SUM"}</definedName>
    <definedName name="___MAT1" localSheetId="0">#REF!</definedName>
    <definedName name="___MAT1">#REF!</definedName>
    <definedName name="___MAT2" localSheetId="0">#REF!</definedName>
    <definedName name="___MAT2">#REF!</definedName>
    <definedName name="___mb1" localSheetId="0" hidden="1">{#N/A,#N/A,FALSE,"CHANGES";#N/A,#N/A,FALSE,"PROD SUMMARY";#N/A,#N/A,FALSE,"1995 PO SUM";#N/A,#N/A,FALSE,"1995 GEOG SUM";#N/A,#N/A,FALSE,"1996 PO SUM";#N/A,#N/A,FALSE,"1996 GEOG SUM"}</definedName>
    <definedName name="___mb1" hidden="1">{#N/A,#N/A,FALSE,"CHANGES";#N/A,#N/A,FALSE,"PROD SUMMARY";#N/A,#N/A,FALSE,"1995 PO SUM";#N/A,#N/A,FALSE,"1995 GEOG SUM";#N/A,#N/A,FALSE,"1996 PO SUM";#N/A,#N/A,FALSE,"1996 GEOG SUM"}</definedName>
    <definedName name="___ncd1" localSheetId="0" hidden="1">{#N/A,#N/A,FALSE,"CHANGES";#N/A,#N/A,FALSE,"PROD SUMMARY";#N/A,#N/A,FALSE,"1995 PO SUM";#N/A,#N/A,FALSE,"1995 GEOG SUM";#N/A,#N/A,FALSE,"1996 PO SUM";#N/A,#N/A,FALSE,"1996 GEOG SUM"}</definedName>
    <definedName name="___ncd1" hidden="1">{#N/A,#N/A,FALSE,"CHANGES";#N/A,#N/A,FALSE,"PROD SUMMARY";#N/A,#N/A,FALSE,"1995 PO SUM";#N/A,#N/A,FALSE,"1995 GEOG SUM";#N/A,#N/A,FALSE,"1996 PO SUM";#N/A,#N/A,FALSE,"1996 GEOG SUM"}</definedName>
    <definedName name="___OOD4" localSheetId="0">'[3]Installation Case'!$AG$24</definedName>
    <definedName name="___OOD4">'[4]Installation Case'!$AG$24</definedName>
    <definedName name="___poi1" localSheetId="0" hidden="1">{#N/A,#N/A,FALSE,"CHANGES";#N/A,#N/A,FALSE,"PROD SUMMARY";#N/A,#N/A,FALSE,"1995 PO SUM";#N/A,#N/A,FALSE,"1995 GEOG SUM";#N/A,#N/A,FALSE,"1996 PO SUM";#N/A,#N/A,FALSE,"1996 GEOG SUM"}</definedName>
    <definedName name="___poi1" hidden="1">{#N/A,#N/A,FALSE,"CHANGES";#N/A,#N/A,FALSE,"PROD SUMMARY";#N/A,#N/A,FALSE,"1995 PO SUM";#N/A,#N/A,FALSE,"1995 GEOG SUM";#N/A,#N/A,FALSE,"1996 PO SUM";#N/A,#N/A,FALSE,"1996 GEOG SUM"}</definedName>
    <definedName name="___poi4" localSheetId="0" hidden="1">{#N/A,#N/A,FALSE,"CHANGES";#N/A,#N/A,FALSE,"PROD SUMMARY";#N/A,#N/A,FALSE,"1995 PO SUM";#N/A,#N/A,FALSE,"1995 GEOG SUM";#N/A,#N/A,FALSE,"1996 PO SUM";#N/A,#N/A,FALSE,"1996 GEOG SUM"}</definedName>
    <definedName name="___poi4" hidden="1">{#N/A,#N/A,FALSE,"CHANGES";#N/A,#N/A,FALSE,"PROD SUMMARY";#N/A,#N/A,FALSE,"1995 PO SUM";#N/A,#N/A,FALSE,"1995 GEOG SUM";#N/A,#N/A,FALSE,"1996 PO SUM";#N/A,#N/A,FALSE,"1996 GEOG SUM"}</definedName>
    <definedName name="___UN02" localSheetId="0">#REF!</definedName>
    <definedName name="___UN02">#REF!</definedName>
    <definedName name="___WBS2" localSheetId="0">#REF!</definedName>
    <definedName name="___WBS2">#REF!</definedName>
    <definedName name="__0T" localSheetId="0">#REF!</definedName>
    <definedName name="__0T">#REF!</definedName>
    <definedName name="__123Graph_A" localSheetId="0" hidden="1">'[5]Cashflow Analysis'!#REF!</definedName>
    <definedName name="__123Graph_A" hidden="1">'[5]Cashflow Analysis'!#REF!</definedName>
    <definedName name="__123Graph_AA" localSheetId="0" hidden="1">'[6]Cashflow Analysis'!#REF!</definedName>
    <definedName name="__123Graph_AA" hidden="1">'[7]Cashflow Analysis'!#REF!</definedName>
    <definedName name="__123Graph_AACTEARN" localSheetId="0" hidden="1">#REF!</definedName>
    <definedName name="__123Graph_AACTEARN" hidden="1">#REF!</definedName>
    <definedName name="__123Graph_AACTGAS" localSheetId="0" hidden="1">#REF!</definedName>
    <definedName name="__123Graph_AACTGAS" hidden="1">#REF!</definedName>
    <definedName name="__123Graph_ACRUDEREAL" localSheetId="0" hidden="1">#REF!</definedName>
    <definedName name="__123Graph_ACRUDEREAL" hidden="1">#REF!</definedName>
    <definedName name="__123Graph_AGASREAL" localSheetId="0" hidden="1">#REF!</definedName>
    <definedName name="__123Graph_AGASREAL" hidden="1">#REF!</definedName>
    <definedName name="__123Graph_AMPHISTG" localSheetId="0" hidden="1">[8]BQMP!#REF!</definedName>
    <definedName name="__123Graph_AMPHISTG" hidden="1">[9]BQMP!#REF!</definedName>
    <definedName name="__123Graph_ANCF" localSheetId="0" hidden="1">'[5]Cashflow Analysis'!#REF!</definedName>
    <definedName name="__123Graph_ANCF" hidden="1">'[5]Cashflow Analysis'!#REF!</definedName>
    <definedName name="__123Graph_APERFORMANCE" localSheetId="0" hidden="1">[10]BQMP!#REF!</definedName>
    <definedName name="__123Graph_APERFORMANCE" hidden="1">[11]BQMP!#REF!</definedName>
    <definedName name="__123Graph_ASTEWEARN" localSheetId="0" hidden="1">#REF!</definedName>
    <definedName name="__123Graph_ASTEWEARN" hidden="1">#REF!</definedName>
    <definedName name="__123Graph_ASTEWGAS" localSheetId="0" hidden="1">#REF!</definedName>
    <definedName name="__123Graph_ASTEWGAS" hidden="1">#REF!</definedName>
    <definedName name="__123Graph_B" localSheetId="0" hidden="1">'[5]Cashflow Analysis'!#REF!</definedName>
    <definedName name="__123Graph_B" hidden="1">'[5]Cashflow Analysis'!#REF!</definedName>
    <definedName name="__123Graph_BACTEARN" localSheetId="0" hidden="1">#REF!</definedName>
    <definedName name="__123Graph_BACTEARN" hidden="1">#REF!</definedName>
    <definedName name="__123Graph_BACTGAS" localSheetId="0" hidden="1">#REF!</definedName>
    <definedName name="__123Graph_BACTGAS" hidden="1">#REF!</definedName>
    <definedName name="__123Graph_BCRUDEREAL" localSheetId="0" hidden="1">#REF!</definedName>
    <definedName name="__123Graph_BCRUDEREAL" hidden="1">#REF!</definedName>
    <definedName name="__123Graph_BGASREAL" localSheetId="0" hidden="1">#REF!</definedName>
    <definedName name="__123Graph_BGASREAL" hidden="1">#REF!</definedName>
    <definedName name="__123Graph_BNCF" localSheetId="0" hidden="1">'[5]Cashflow Analysis'!#REF!</definedName>
    <definedName name="__123Graph_BNCF" hidden="1">'[5]Cashflow Analysis'!#REF!</definedName>
    <definedName name="__123Graph_BPERFORMANCE" localSheetId="0" hidden="1">[12]BQMPALOC!#REF!</definedName>
    <definedName name="__123Graph_BPERFORMANCE" hidden="1">[12]BQMPALOC!#REF!</definedName>
    <definedName name="__123Graph_BSTEWEARN" localSheetId="0" hidden="1">#REF!</definedName>
    <definedName name="__123Graph_BSTEWEARN" hidden="1">#REF!</definedName>
    <definedName name="__123Graph_BSTEWGAS" localSheetId="0" hidden="1">#REF!</definedName>
    <definedName name="__123Graph_BSTEWGAS" hidden="1">#REF!</definedName>
    <definedName name="__123Graph_CACTEARN" localSheetId="0" hidden="1">#REF!</definedName>
    <definedName name="__123Graph_CACTEARN" hidden="1">#REF!</definedName>
    <definedName name="__123Graph_CACTGAS" localSheetId="0" hidden="1">#REF!</definedName>
    <definedName name="__123Graph_CACTGAS" hidden="1">#REF!</definedName>
    <definedName name="__123Graph_CCRUDEREAL" localSheetId="0" hidden="1">#REF!</definedName>
    <definedName name="__123Graph_CCRUDEREAL" hidden="1">#REF!</definedName>
    <definedName name="__123Graph_CGASREAL" localSheetId="0" hidden="1">#REF!</definedName>
    <definedName name="__123Graph_CGASREAL" hidden="1">#REF!</definedName>
    <definedName name="__123Graph_CSTEWEARN" localSheetId="0" hidden="1">#REF!</definedName>
    <definedName name="__123Graph_CSTEWEARN" hidden="1">#REF!</definedName>
    <definedName name="__123Graph_CSTEWGAS" localSheetId="0" hidden="1">#REF!</definedName>
    <definedName name="__123Graph_CSTEWGAS" hidden="1">#REF!</definedName>
    <definedName name="__123Graph_X" localSheetId="0" hidden="1">'[13]Cashflow Analysis'!$E$63:$BL$63</definedName>
    <definedName name="__123Graph_X" hidden="1">'[14]Cashflow Analysis'!$E$63:$BL$63</definedName>
    <definedName name="__123Graph_XACTEARN" localSheetId="0" hidden="1">#REF!</definedName>
    <definedName name="__123Graph_XACTEARN" hidden="1">#REF!</definedName>
    <definedName name="__123Graph_XACTGAS" localSheetId="0" hidden="1">#REF!</definedName>
    <definedName name="__123Graph_XACTGAS" hidden="1">#REF!</definedName>
    <definedName name="__123Graph_XCRUDEREAL" localSheetId="0" hidden="1">#REF!</definedName>
    <definedName name="__123Graph_XCRUDEREAL" hidden="1">#REF!</definedName>
    <definedName name="__123Graph_XGASREAL" localSheetId="0" hidden="1">#REF!</definedName>
    <definedName name="__123Graph_XGASREAL" hidden="1">#REF!</definedName>
    <definedName name="__123Graph_XMPHISTG" localSheetId="0" hidden="1">[8]BQMP!#REF!</definedName>
    <definedName name="__123Graph_XMPHISTG" hidden="1">[9]BQMP!#REF!</definedName>
    <definedName name="__123Graph_XNCF" localSheetId="0" hidden="1">'[13]Cashflow Analysis'!$E$63:$BL$63</definedName>
    <definedName name="__123Graph_XNCF" hidden="1">'[14]Cashflow Analysis'!$E$63:$BL$63</definedName>
    <definedName name="__123Graph_XPERFORMANCE" localSheetId="0" hidden="1">[8]BQMP!#REF!</definedName>
    <definedName name="__123Graph_XPERFORMANCE" hidden="1">[9]BQMP!#REF!</definedName>
    <definedName name="__123Graph_XSTEWEARN" localSheetId="0" hidden="1">#REF!</definedName>
    <definedName name="__123Graph_XSTEWEARN" hidden="1">#REF!</definedName>
    <definedName name="__123Graph_XSTEWGAS" localSheetId="0" hidden="1">#REF!</definedName>
    <definedName name="__123Graph_XSTEWGAS" hidden="1">#REF!</definedName>
    <definedName name="__13__123Graph_XCONTRAC._OIL" localSheetId="0" hidden="1">'[13]Cashflow Analysis'!$E$63:$BL$63</definedName>
    <definedName name="__13__123Graph_XCONTRAC._OIL" hidden="1">'[14]Cashflow Analysis'!$E$63:$BL$63</definedName>
    <definedName name="__aaa1" localSheetId="0" hidden="1">{#N/A,#N/A,FALSE,"TabA";#N/A,#N/A,FALSE,"UTopxFx98";#N/A,#N/A,FALSE,"TopxFx98";#N/A,#N/A,FALSE,"TopxNom"}</definedName>
    <definedName name="__aaa1" hidden="1">{#N/A,#N/A,FALSE,"TabA";#N/A,#N/A,FALSE,"UTopxFx98";#N/A,#N/A,FALSE,"TopxFx98";#N/A,#N/A,FALSE,"TopxNom"}</definedName>
    <definedName name="__AAA2" localSheetId="0" hidden="1">{#N/A,#N/A,FALSE,"TabA";#N/A,#N/A,FALSE,"UTopxFx98";#N/A,#N/A,FALSE,"TopxFx98";#N/A,#N/A,FALSE,"TopxNom"}</definedName>
    <definedName name="__AAA2" hidden="1">{#N/A,#N/A,FALSE,"TabA";#N/A,#N/A,FALSE,"UTopxFx98";#N/A,#N/A,FALSE,"TopxFx98";#N/A,#N/A,FALSE,"TopxNom"}</definedName>
    <definedName name="__ABC1" localSheetId="0" hidden="1">{#N/A,#N/A,FALSE,"CHANGES";#N/A,#N/A,FALSE,"PROD SUMMARY";#N/A,#N/A,FALSE,"1995 PO SUM";#N/A,#N/A,FALSE,"1995 GEOG SUM";#N/A,#N/A,FALSE,"1996 PO SUM";#N/A,#N/A,FALSE,"1996 GEOG SUM"}</definedName>
    <definedName name="__ABC1" hidden="1">{#N/A,#N/A,FALSE,"CHANGES";#N/A,#N/A,FALSE,"PROD SUMMARY";#N/A,#N/A,FALSE,"1995 PO SUM";#N/A,#N/A,FALSE,"1995 GEOG SUM";#N/A,#N/A,FALSE,"1996 PO SUM";#N/A,#N/A,FALSE,"1996 GEOG SUM"}</definedName>
    <definedName name="_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_arn4" localSheetId="0" hidden="1">{#N/A,#N/A,TRUE,"PRODUCTION CAPEX OVERVIEW";#N/A,#N/A,TRUE,"Affiliate Detail";#N/A,#N/A,TRUE,"CAPEX PLANNING OVERVIEW"}</definedName>
    <definedName name="__arn4" hidden="1">{#N/A,#N/A,TRUE,"PRODUCTION CAPEX OVERVIEW";#N/A,#N/A,TRUE,"Affiliate Detail";#N/A,#N/A,TRUE,"CAPEX PLANNING OVERVIEW"}</definedName>
    <definedName name="__arn5" localSheetId="0" hidden="1">{#N/A,#N/A,FALSE,"CHANGES";#N/A,#N/A,FALSE,"PROD SUMMARY";#N/A,#N/A,FALSE,"1995 PO SUM";#N/A,#N/A,FALSE,"1995 GEOG SUM";#N/A,#N/A,FALSE,"1996 PO SUM";#N/A,#N/A,FALSE,"1996 GEOG SUM"}</definedName>
    <definedName name="__arn5" hidden="1">{#N/A,#N/A,FALSE,"CHANGES";#N/A,#N/A,FALSE,"PROD SUMMARY";#N/A,#N/A,FALSE,"1995 PO SUM";#N/A,#N/A,FALSE,"1995 GEOG SUM";#N/A,#N/A,FALSE,"1996 PO SUM";#N/A,#N/A,FALSE,"1996 GEOG SUM"}</definedName>
    <definedName name="__arn6" localSheetId="0" hidden="1">{#N/A,#N/A,FALSE,"CHANGES";#N/A,#N/A,FALSE,"PROD SUMMARY";#N/A,#N/A,FALSE,"1995 PO SUM";#N/A,#N/A,FALSE,"1995 GEOG SUM";#N/A,#N/A,FALSE,"1996 PO SUM";#N/A,#N/A,FALSE,"1996 GEOG SUM"}</definedName>
    <definedName name="__arn6" hidden="1">{#N/A,#N/A,FALSE,"CHANGES";#N/A,#N/A,FALSE,"PROD SUMMARY";#N/A,#N/A,FALSE,"1995 PO SUM";#N/A,#N/A,FALSE,"1995 GEOG SUM";#N/A,#N/A,FALSE,"1996 PO SUM";#N/A,#N/A,FALSE,"1996 GEOG SUM"}</definedName>
    <definedName name="__arn7" localSheetId="0" hidden="1">{#N/A,#N/A,FALSE,"TabA";#N/A,#N/A,FALSE,"UTopxFx98";#N/A,#N/A,FALSE,"TopxFx98";#N/A,#N/A,FALSE,"TopxNom"}</definedName>
    <definedName name="__arn7" hidden="1">{#N/A,#N/A,FALSE,"TabA";#N/A,#N/A,FALSE,"UTopxFx98";#N/A,#N/A,FALSE,"TopxFx98";#N/A,#N/A,FALSE,"TopxNom"}</definedName>
    <definedName name="__AUX1" localSheetId="0">#REF!</definedName>
    <definedName name="__AUX1">#REF!</definedName>
    <definedName name="__AUX2" localSheetId="0">#REF!</definedName>
    <definedName name="__AUX2">#REF!</definedName>
    <definedName name="__AUX3" localSheetId="0">#REF!</definedName>
    <definedName name="__AUX3">#REF!</definedName>
    <definedName name="__CDN1">#REF!</definedName>
    <definedName name="__CDN2">#REF!</definedName>
    <definedName name="__CON12" localSheetId="0" hidden="1">{#N/A,#N/A,FALSE,"COPERTINA"}</definedName>
    <definedName name="__CON12" hidden="1">{#N/A,#N/A,FALSE,"COPERTINA"}</definedName>
    <definedName name="__CP07" localSheetId="0" hidden="1">{#N/A,#N/A,FALSE,"TabA";#N/A,#N/A,FALSE,"UTopxFx98";#N/A,#N/A,FALSE,"TopxFx98";#N/A,#N/A,FALSE,"TopxNom"}</definedName>
    <definedName name="__CP07" hidden="1">{#N/A,#N/A,FALSE,"TabA";#N/A,#N/A,FALSE,"UTopxFx98";#N/A,#N/A,FALSE,"TopxFx98";#N/A,#N/A,FALSE,"TopxNom"}</definedName>
    <definedName name="__CPX1" localSheetId="0" hidden="1">{#N/A,#N/A,TRUE,"PRODUCTION CAPEX OVERVIEW";#N/A,#N/A,TRUE,"Affiliate Detail";#N/A,#N/A,TRUE,"CAPEX PLANNING OVERVIEW"}</definedName>
    <definedName name="__CPX1" hidden="1">{#N/A,#N/A,TRUE,"PRODUCTION CAPEX OVERVIEW";#N/A,#N/A,TRUE,"Affiliate Detail";#N/A,#N/A,TRUE,"CAPEX PLANNING OVERVIEW"}</definedName>
    <definedName name="__e1" localSheetId="0" hidden="1">{#N/A,#N/A,FALSE,"CHANGES";#N/A,#N/A,FALSE,"PROD SUMMARY";#N/A,#N/A,FALSE,"1995 PO SUM";#N/A,#N/A,FALSE,"1995 GEOG SUM";#N/A,#N/A,FALSE,"1996 PO SUM";#N/A,#N/A,FALSE,"1996 GEOG SUM"}</definedName>
    <definedName name="__e1" hidden="1">{#N/A,#N/A,FALSE,"CHANGES";#N/A,#N/A,FALSE,"PROD SUMMARY";#N/A,#N/A,FALSE,"1995 PO SUM";#N/A,#N/A,FALSE,"1995 GEOG SUM";#N/A,#N/A,FALSE,"1996 PO SUM";#N/A,#N/A,FALSE,"1996 GEOG SUM"}</definedName>
    <definedName name="__err1" localSheetId="0" hidden="1">{#N/A,#N/A,FALSE,"CHANGES";#N/A,#N/A,FALSE,"PROD SUMMARY";#N/A,#N/A,FALSE,"1995 PO SUM";#N/A,#N/A,FALSE,"1995 GEOG SUM";#N/A,#N/A,FALSE,"1996 PO SUM";#N/A,#N/A,FALSE,"1996 GEOG SUM"}</definedName>
    <definedName name="__err1" hidden="1">{#N/A,#N/A,FALSE,"CHANGES";#N/A,#N/A,FALSE,"PROD SUMMARY";#N/A,#N/A,FALSE,"1995 PO SUM";#N/A,#N/A,FALSE,"1995 GEOG SUM";#N/A,#N/A,FALSE,"1996 PO SUM";#N/A,#N/A,FALSE,"1996 GEOG SUM"}</definedName>
    <definedName name="__err2" localSheetId="0" hidden="1">{#N/A,#N/A,FALSE,"CHANGES";#N/A,#N/A,FALSE,"PROD SUMMARY";#N/A,#N/A,FALSE,"1995 PO SUM";#N/A,#N/A,FALSE,"1995 GEOG SUM";#N/A,#N/A,FALSE,"1996 PO SUM";#N/A,#N/A,FALSE,"1996 GEOG SUM"}</definedName>
    <definedName name="__err2" hidden="1">{#N/A,#N/A,FALSE,"CHANGES";#N/A,#N/A,FALSE,"PROD SUMMARY";#N/A,#N/A,FALSE,"1995 PO SUM";#N/A,#N/A,FALSE,"1995 GEOG SUM";#N/A,#N/A,FALSE,"1996 PO SUM";#N/A,#N/A,FALSE,"1996 GEOG SUM"}</definedName>
    <definedName name="__IntlFixup" hidden="1">TRUE</definedName>
    <definedName name="__IOD1" localSheetId="0">'[3]Installation Case'!$U$24</definedName>
    <definedName name="__IOD1">'[4]Installation Case'!$U$24</definedName>
    <definedName name="__IOD2" localSheetId="0">'[3]Installation Case'!$Y$24</definedName>
    <definedName name="__IOD2">'[4]Installation Case'!$Y$24</definedName>
    <definedName name="__IOD3" localSheetId="0">'[3]Installation Case'!$AC$24</definedName>
    <definedName name="__IOD3">'[4]Installation Case'!$AC$24</definedName>
    <definedName name="__IOD5" localSheetId="0">'[3]Installation Case'!$AK$24</definedName>
    <definedName name="__IOD5">'[4]Installation Case'!$AK$24</definedName>
    <definedName name="__JPL02" localSheetId="0">#REF!</definedName>
    <definedName name="__JPL02">#REF!</definedName>
    <definedName name="__JPL03" localSheetId="0">#REF!</definedName>
    <definedName name="__JPL03">#REF!</definedName>
    <definedName name="__JPL04" localSheetId="0">#REF!</definedName>
    <definedName name="__JPL04">#REF!</definedName>
    <definedName name="__JPL05">#REF!</definedName>
    <definedName name="__JRL02">#REF!</definedName>
    <definedName name="__JRL03">#REF!</definedName>
    <definedName name="__JRL04">#REF!</definedName>
    <definedName name="__JRL05">#REF!</definedName>
    <definedName name="__ju1" localSheetId="0" hidden="1">{#N/A,#N/A,FALSE,"CHANGES";#N/A,#N/A,FALSE,"PROD SUMMARY";#N/A,#N/A,FALSE,"1995 PO SUM";#N/A,#N/A,FALSE,"1995 GEOG SUM";#N/A,#N/A,FALSE,"1996 PO SUM";#N/A,#N/A,FALSE,"1996 GEOG SUM"}</definedName>
    <definedName name="__ju1" hidden="1">{#N/A,#N/A,FALSE,"CHANGES";#N/A,#N/A,FALSE,"PROD SUMMARY";#N/A,#N/A,FALSE,"1995 PO SUM";#N/A,#N/A,FALSE,"1995 GEOG SUM";#N/A,#N/A,FALSE,"1996 PO SUM";#N/A,#N/A,FALSE,"1996 GEOG SUM"}</definedName>
    <definedName name="__kkk1" localSheetId="0" hidden="1">{#N/A,#N/A,FALSE,"CHANGES";#N/A,#N/A,FALSE,"PROD SUMMARY";#N/A,#N/A,FALSE,"1995 PO SUM";#N/A,#N/A,FALSE,"1995 GEOG SUM";#N/A,#N/A,FALSE,"1996 PO SUM";#N/A,#N/A,FALSE,"1996 GEOG SUM"}</definedName>
    <definedName name="__kkk1" hidden="1">{#N/A,#N/A,FALSE,"CHANGES";#N/A,#N/A,FALSE,"PROD SUMMARY";#N/A,#N/A,FALSE,"1995 PO SUM";#N/A,#N/A,FALSE,"1995 GEOG SUM";#N/A,#N/A,FALSE,"1996 PO SUM";#N/A,#N/A,FALSE,"1996 GEOG SUM"}</definedName>
    <definedName name="__lds1" localSheetId="0" hidden="1">{#N/A,#N/A,FALSE,"CHANGES";#N/A,#N/A,FALSE,"PROD SUMMARY";#N/A,#N/A,FALSE,"1995 PO SUM";#N/A,#N/A,FALSE,"1995 GEOG SUM";#N/A,#N/A,FALSE,"1996 PO SUM";#N/A,#N/A,FALSE,"1996 GEOG SUM"}</definedName>
    <definedName name="__lds1" hidden="1">{#N/A,#N/A,FALSE,"CHANGES";#N/A,#N/A,FALSE,"PROD SUMMARY";#N/A,#N/A,FALSE,"1995 PO SUM";#N/A,#N/A,FALSE,"1995 GEOG SUM";#N/A,#N/A,FALSE,"1996 PO SUM";#N/A,#N/A,FALSE,"1996 GEOG SUM"}</definedName>
    <definedName name="__MAT1" localSheetId="0">#REF!</definedName>
    <definedName name="__MAT1">#REF!</definedName>
    <definedName name="__MAT2" localSheetId="0">#REF!</definedName>
    <definedName name="__MAT2">#REF!</definedName>
    <definedName name="__mb1" localSheetId="0" hidden="1">{#N/A,#N/A,FALSE,"CHANGES";#N/A,#N/A,FALSE,"PROD SUMMARY";#N/A,#N/A,FALSE,"1995 PO SUM";#N/A,#N/A,FALSE,"1995 GEOG SUM";#N/A,#N/A,FALSE,"1996 PO SUM";#N/A,#N/A,FALSE,"1996 GEOG SUM"}</definedName>
    <definedName name="__mb1" hidden="1">{#N/A,#N/A,FALSE,"CHANGES";#N/A,#N/A,FALSE,"PROD SUMMARY";#N/A,#N/A,FALSE,"1995 PO SUM";#N/A,#N/A,FALSE,"1995 GEOG SUM";#N/A,#N/A,FALSE,"1996 PO SUM";#N/A,#N/A,FALSE,"1996 GEOG SUM"}</definedName>
    <definedName name="__ncd1" localSheetId="0" hidden="1">{#N/A,#N/A,FALSE,"CHANGES";#N/A,#N/A,FALSE,"PROD SUMMARY";#N/A,#N/A,FALSE,"1995 PO SUM";#N/A,#N/A,FALSE,"1995 GEOG SUM";#N/A,#N/A,FALSE,"1996 PO SUM";#N/A,#N/A,FALSE,"1996 GEOG SUM"}</definedName>
    <definedName name="__ncd1" hidden="1">{#N/A,#N/A,FALSE,"CHANGES";#N/A,#N/A,FALSE,"PROD SUMMARY";#N/A,#N/A,FALSE,"1995 PO SUM";#N/A,#N/A,FALSE,"1995 GEOG SUM";#N/A,#N/A,FALSE,"1996 PO SUM";#N/A,#N/A,FALSE,"1996 GEOG SUM"}</definedName>
    <definedName name="__OOD4" localSheetId="0">'[3]Installation Case'!$AG$24</definedName>
    <definedName name="__OOD4">'[4]Installation Case'!$AG$24</definedName>
    <definedName name="__poi1" localSheetId="0" hidden="1">{#N/A,#N/A,FALSE,"CHANGES";#N/A,#N/A,FALSE,"PROD SUMMARY";#N/A,#N/A,FALSE,"1995 PO SUM";#N/A,#N/A,FALSE,"1995 GEOG SUM";#N/A,#N/A,FALSE,"1996 PO SUM";#N/A,#N/A,FALSE,"1996 GEOG SUM"}</definedName>
    <definedName name="__poi1" hidden="1">{#N/A,#N/A,FALSE,"CHANGES";#N/A,#N/A,FALSE,"PROD SUMMARY";#N/A,#N/A,FALSE,"1995 PO SUM";#N/A,#N/A,FALSE,"1995 GEOG SUM";#N/A,#N/A,FALSE,"1996 PO SUM";#N/A,#N/A,FALSE,"1996 GEOG SUM"}</definedName>
    <definedName name="__poi4" localSheetId="0" hidden="1">{#N/A,#N/A,FALSE,"CHANGES";#N/A,#N/A,FALSE,"PROD SUMMARY";#N/A,#N/A,FALSE,"1995 PO SUM";#N/A,#N/A,FALSE,"1995 GEOG SUM";#N/A,#N/A,FALSE,"1996 PO SUM";#N/A,#N/A,FALSE,"1996 GEOG SUM"}</definedName>
    <definedName name="__poi4" hidden="1">{#N/A,#N/A,FALSE,"CHANGES";#N/A,#N/A,FALSE,"PROD SUMMARY";#N/A,#N/A,FALSE,"1995 PO SUM";#N/A,#N/A,FALSE,"1995 GEOG SUM";#N/A,#N/A,FALSE,"1996 PO SUM";#N/A,#N/A,FALSE,"1996 GEOG SUM"}</definedName>
    <definedName name="__UN02" localSheetId="0">#REF!</definedName>
    <definedName name="__UN02">#REF!</definedName>
    <definedName name="__WBS2" localSheetId="0">#REF!</definedName>
    <definedName name="__WBS2">#REF!</definedName>
    <definedName name="_1____0ACwvu.ACT._.EARNIN" localSheetId="0" hidden="1">#REF!</definedName>
    <definedName name="_1____0ACwvu.ACT._.EARNIN" hidden="1">#REF!</definedName>
    <definedName name="_1__123Graph_ACONTRAC._OIL" localSheetId="0" hidden="1">'[15]Cashflow Analysis'!#REF!</definedName>
    <definedName name="_1__123Graph_ACONTRAC._OIL" hidden="1">'[16]Cashflow Analysis'!#REF!</definedName>
    <definedName name="_1_0ACwvu.ACT._.EARNIN" localSheetId="0" hidden="1">#REF!</definedName>
    <definedName name="_1_0ACwvu.ACT._.EARNIN" hidden="1">#REF!</definedName>
    <definedName name="_1_0T" localSheetId="0">#REF!</definedName>
    <definedName name="_1_0T">#REF!</definedName>
    <definedName name="_10_______0__123Graph_BSTEW" localSheetId="0" hidden="1">#REF!</definedName>
    <definedName name="_10_______0__123Graph_BSTEW" hidden="1">#REF!</definedName>
    <definedName name="_10__123Graph_ACONTRAC._OIL" localSheetId="0" hidden="1">'[17]Cashflow Analysis'!#REF!</definedName>
    <definedName name="_10__123Graph_ACONTRAC._OIL" hidden="1">'[18]Cashflow Analysis'!#REF!</definedName>
    <definedName name="_10__123Graph_BCONTRAC._OIL" localSheetId="0" hidden="1">'[19]Cashflow Analysis'!#REF!</definedName>
    <definedName name="_10__123Graph_BCONTRAC._OIL" hidden="1">'[19]Cashflow Analysis'!#REF!</definedName>
    <definedName name="_10_0__123Graph_ASTEW" localSheetId="0" hidden="1">#REF!</definedName>
    <definedName name="_10_0__123Graph_ASTEW" hidden="1">#REF!</definedName>
    <definedName name="_11_______0__123Graph_CSTEW" localSheetId="0" hidden="1">#REF!</definedName>
    <definedName name="_11_______0__123Graph_CSTEW" hidden="1">#REF!</definedName>
    <definedName name="_11__123Graph_CCONTRAC._OIL" localSheetId="0" hidden="1">'[19]Cashflow Analysis'!#REF!</definedName>
    <definedName name="_11__123Graph_CCONTRAC._OIL" hidden="1">'[19]Cashflow Analysis'!#REF!</definedName>
    <definedName name="_115A" localSheetId="0">#REF!</definedName>
    <definedName name="_115A">#REF!</definedName>
    <definedName name="_116B" localSheetId="0">#REF!</definedName>
    <definedName name="_116B">#REF!</definedName>
    <definedName name="_117A" localSheetId="0">#REF!</definedName>
    <definedName name="_117A">#REF!</definedName>
    <definedName name="_117B">#REF!</definedName>
    <definedName name="_12_______0__123Graph_XSTEW" localSheetId="0" hidden="1">#REF!</definedName>
    <definedName name="_12_______0__123Graph_XSTEW" hidden="1">#REF!</definedName>
    <definedName name="_12____0__123Graph_ASTEW" localSheetId="0" hidden="1">#REF!</definedName>
    <definedName name="_12____0__123Graph_ASTEW" hidden="1">#REF!</definedName>
    <definedName name="_12__123Graph_ACHART_1A" localSheetId="0" hidden="1">#REF!</definedName>
    <definedName name="_12__123Graph_ACHART_1A" hidden="1">#REF!</definedName>
    <definedName name="_12__123Graph_BCONTRAC._OIL" localSheetId="0" hidden="1">'[20]Cashflow Analysis'!#REF!</definedName>
    <definedName name="_12__123Graph_BCONTRAC._OIL" hidden="1">'[21]Cashflow Analysis'!#REF!</definedName>
    <definedName name="_12__123Graph_CCONTRAC._OIL" localSheetId="0" hidden="1">'[5]Cashflow Analysis'!#REF!</definedName>
    <definedName name="_12__123Graph_CCONTRAC._OIL" hidden="1">'[5]Cashflow Analysis'!#REF!</definedName>
    <definedName name="_12__123Graph_DCONTRAC._OIL" localSheetId="0" hidden="1">'[22]Cashflow Analysis'!#REF!</definedName>
    <definedName name="_12__123Graph_DCONTRAC._OIL" hidden="1">'[23]Cashflow Analysis'!#REF!</definedName>
    <definedName name="_120A" localSheetId="0">#REF!</definedName>
    <definedName name="_120A">#REF!</definedName>
    <definedName name="_120B" localSheetId="0">#REF!</definedName>
    <definedName name="_120B">#REF!</definedName>
    <definedName name="_121A" localSheetId="0">#REF!</definedName>
    <definedName name="_121A">#REF!</definedName>
    <definedName name="_121B">#REF!</definedName>
    <definedName name="_122A">#REF!</definedName>
    <definedName name="_122B">#REF!</definedName>
    <definedName name="_123A">#REF!</definedName>
    <definedName name="_123aGraph_ANCF" localSheetId="0" hidden="1">'[24]Cashflow Analysis'!#REF!</definedName>
    <definedName name="_123aGraph_ANCF" hidden="1">'[25]Cashflow Analysis'!#REF!</definedName>
    <definedName name="_123aGraph_B" localSheetId="0" hidden="1">'[24]Cashflow Analysis'!#REF!</definedName>
    <definedName name="_123aGraph_B" hidden="1">'[25]Cashflow Analysis'!#REF!</definedName>
    <definedName name="_123aGraph_BCONTRAC.OIL" localSheetId="0" hidden="1">'[24]Cashflow Analysis'!#REF!</definedName>
    <definedName name="_123aGraph_BCONTRAC.OIL" hidden="1">'[25]Cashflow Analysis'!#REF!</definedName>
    <definedName name="_123aGraphA" localSheetId="0" hidden="1">'[24]Cashflow Analysis'!#REF!</definedName>
    <definedName name="_123aGraphA" hidden="1">'[25]Cashflow Analysis'!#REF!</definedName>
    <definedName name="_123B" localSheetId="0">#REF!</definedName>
    <definedName name="_123B">#REF!</definedName>
    <definedName name="_124A" localSheetId="0">#REF!</definedName>
    <definedName name="_124A">#REF!</definedName>
    <definedName name="_124B" localSheetId="0">#REF!</definedName>
    <definedName name="_124B">#REF!</definedName>
    <definedName name="_125A">#REF!</definedName>
    <definedName name="_125B">#REF!</definedName>
    <definedName name="_126A">#REF!</definedName>
    <definedName name="_126B">#REF!</definedName>
    <definedName name="_13___0__123Graph_ASTEW" localSheetId="0" hidden="1">#REF!</definedName>
    <definedName name="_13___0__123Graph_ASTEW" hidden="1">#REF!</definedName>
    <definedName name="_13__123Graph_CCONTRAC._OIL" localSheetId="0" hidden="1">'[17]Cashflow Analysis'!#REF!</definedName>
    <definedName name="_13__123Graph_CCONTRAC._OIL" hidden="1">'[18]Cashflow Analysis'!#REF!</definedName>
    <definedName name="_13__123Graph_XCONTRAC._OIL" localSheetId="0" hidden="1">'[26]Cashflow Analysis'!$E$63:$BL$63</definedName>
    <definedName name="_13__123Graph_XCONTRAC._OIL" hidden="1">'[27]Cashflow Analysis'!$E$63:$BL$63</definedName>
    <definedName name="_130A" localSheetId="0">#REF!</definedName>
    <definedName name="_130A">#REF!</definedName>
    <definedName name="_130B" localSheetId="0">#REF!</definedName>
    <definedName name="_130B">#REF!</definedName>
    <definedName name="_131A" localSheetId="0">#REF!</definedName>
    <definedName name="_131A">#REF!</definedName>
    <definedName name="_131B">#REF!</definedName>
    <definedName name="_132A">#REF!</definedName>
    <definedName name="_132B">#REF!</definedName>
    <definedName name="_133A">#REF!</definedName>
    <definedName name="_133B">#REF!</definedName>
    <definedName name="_134A">#REF!</definedName>
    <definedName name="_134B">#REF!</definedName>
    <definedName name="_14______0__123Graph_ASTEW" localSheetId="0" hidden="1">#REF!</definedName>
    <definedName name="_14______0__123Graph_ASTEW" hidden="1">#REF!</definedName>
    <definedName name="_14___0__123Graph_BSTEW" localSheetId="0" hidden="1">#REF!</definedName>
    <definedName name="_14___0__123Graph_BSTEW" hidden="1">#REF!</definedName>
    <definedName name="_15______0__123Graph_BSTEW" localSheetId="0" hidden="1">#REF!</definedName>
    <definedName name="_15______0__123Graph_BSTEW" hidden="1">#REF!</definedName>
    <definedName name="_15___0__123Graph_CSTEW" localSheetId="0" hidden="1">#REF!</definedName>
    <definedName name="_15___0__123Graph_CSTEW" hidden="1">#REF!</definedName>
    <definedName name="_15__123Graph_ACONTRAC._OIL" localSheetId="0" hidden="1">'[17]Cashflow Analysis'!#REF!</definedName>
    <definedName name="_15__123Graph_ACONTRAC._OIL" hidden="1">'[18]Cashflow Analysis'!#REF!</definedName>
    <definedName name="_15_0__123Graph_BSTEW" localSheetId="0" hidden="1">#REF!</definedName>
    <definedName name="_15_0__123Graph_BSTEW" hidden="1">#REF!</definedName>
    <definedName name="_150A" localSheetId="0">#REF!</definedName>
    <definedName name="_150A">#REF!</definedName>
    <definedName name="_150B">#REF!</definedName>
    <definedName name="_151A">#REF!</definedName>
    <definedName name="_151B">#REF!</definedName>
    <definedName name="_152A">#REF!</definedName>
    <definedName name="_152B">#REF!</definedName>
    <definedName name="_153A">#REF!</definedName>
    <definedName name="_153B">#REF!</definedName>
    <definedName name="_154A">#REF!</definedName>
    <definedName name="_154B">#REF!</definedName>
    <definedName name="_16______0__123Graph_CSTEW" localSheetId="0" hidden="1">#REF!</definedName>
    <definedName name="_16______0__123Graph_CSTEW" hidden="1">#REF!</definedName>
    <definedName name="_16____0__123Graph_BSTEW" localSheetId="0" hidden="1">#REF!</definedName>
    <definedName name="_16____0__123Graph_BSTEW" hidden="1">#REF!</definedName>
    <definedName name="_16___0__123Graph_XSTEW" localSheetId="0" hidden="1">#REF!</definedName>
    <definedName name="_16___0__123Graph_XSTEW" hidden="1">#REF!</definedName>
    <definedName name="_16__123Graph_DCONTRAC._OIL" localSheetId="0" hidden="1">'[5]Cashflow Analysis'!#REF!</definedName>
    <definedName name="_16__123Graph_DCONTRAC._OIL" hidden="1">'[5]Cashflow Analysis'!#REF!</definedName>
    <definedName name="_160A" localSheetId="0">#REF!</definedName>
    <definedName name="_160A">#REF!</definedName>
    <definedName name="_160B" localSheetId="0">#REF!</definedName>
    <definedName name="_160B">#REF!</definedName>
    <definedName name="_161A" localSheetId="0">#REF!</definedName>
    <definedName name="_161A">#REF!</definedName>
    <definedName name="_161B">#REF!</definedName>
    <definedName name="_162A">#REF!</definedName>
    <definedName name="_162B">#REF!</definedName>
    <definedName name="_163A">#REF!</definedName>
    <definedName name="_163B">#REF!</definedName>
    <definedName name="_164A">#REF!</definedName>
    <definedName name="_164B">#REF!</definedName>
    <definedName name="_165A">#REF!</definedName>
    <definedName name="_165B">#REF!</definedName>
    <definedName name="_166A">#REF!</definedName>
    <definedName name="_166B">#REF!</definedName>
    <definedName name="_167A">#REF!</definedName>
    <definedName name="_167B">#REF!</definedName>
    <definedName name="_17______0__123Graph_XSTEW" localSheetId="0" hidden="1">#REF!</definedName>
    <definedName name="_17______0__123Graph_XSTEW" hidden="1">#REF!</definedName>
    <definedName name="_17__123Graph_ACONTRAC._OIL" localSheetId="0" hidden="1">'[17]Cashflow Analysis'!#REF!</definedName>
    <definedName name="_17__123Graph_ACONTRAC._OIL" hidden="1">'[18]Cashflow Analysis'!#REF!</definedName>
    <definedName name="_17__123Graph_DCONTRAC._OIL" localSheetId="0" hidden="1">'[17]Cashflow Analysis'!#REF!</definedName>
    <definedName name="_17__123Graph_DCONTRAC._OIL" hidden="1">'[18]Cashflow Analysis'!#REF!</definedName>
    <definedName name="_17__123Graph_XCONTRAC._OIL" localSheetId="0" hidden="1">'[13]Cashflow Analysis'!$E$63:$BL$63</definedName>
    <definedName name="_17__123Graph_XCONTRAC._OIL" hidden="1">'[14]Cashflow Analysis'!$E$63:$BL$63</definedName>
    <definedName name="_170A" localSheetId="0">#REF!</definedName>
    <definedName name="_170A">#REF!</definedName>
    <definedName name="_170B" localSheetId="0">#REF!</definedName>
    <definedName name="_170B">#REF!</definedName>
    <definedName name="_171A" localSheetId="0">#REF!</definedName>
    <definedName name="_171A">#REF!</definedName>
    <definedName name="_171B">#REF!</definedName>
    <definedName name="_172A">#REF!</definedName>
    <definedName name="_172B">#REF!</definedName>
    <definedName name="_173A">#REF!</definedName>
    <definedName name="_173B">#REF!</definedName>
    <definedName name="_174A">#REF!</definedName>
    <definedName name="_174B">#REF!</definedName>
    <definedName name="_175A">#REF!</definedName>
    <definedName name="_175B">#REF!</definedName>
    <definedName name="_18__123Graph_BCONTRAC._OIL" localSheetId="0" hidden="1">'[17]Cashflow Analysis'!#REF!</definedName>
    <definedName name="_18__123Graph_BCONTRAC._OIL" hidden="1">'[18]Cashflow Analysis'!#REF!</definedName>
    <definedName name="_18__123Graph_CCONTRAC._OIL" localSheetId="0" hidden="1">'[20]Cashflow Analysis'!#REF!</definedName>
    <definedName name="_18__123Graph_CCONTRAC._OIL" hidden="1">'[21]Cashflow Analysis'!#REF!</definedName>
    <definedName name="_180A" localSheetId="0">#REF!</definedName>
    <definedName name="_180A">#REF!</definedName>
    <definedName name="_180B" localSheetId="0">#REF!</definedName>
    <definedName name="_180B">#REF!</definedName>
    <definedName name="_181A" localSheetId="0">#REF!</definedName>
    <definedName name="_181A">#REF!</definedName>
    <definedName name="_181B">#REF!</definedName>
    <definedName name="_182A">#REF!</definedName>
    <definedName name="_182B">#REF!</definedName>
    <definedName name="_183A">#REF!</definedName>
    <definedName name="_183B">#REF!</definedName>
    <definedName name="_184A">#REF!</definedName>
    <definedName name="_184B">#REF!</definedName>
    <definedName name="_185A">#REF!</definedName>
    <definedName name="_185B">#REF!</definedName>
    <definedName name="_19_____0__123Graph_ASTEW" localSheetId="0" hidden="1">#REF!</definedName>
    <definedName name="_19_____0__123Graph_ASTEW" hidden="1">#REF!</definedName>
    <definedName name="_190A">#REF!</definedName>
    <definedName name="_190B">#REF!</definedName>
    <definedName name="_191A">#REF!</definedName>
    <definedName name="_191B">#REF!</definedName>
    <definedName name="_192A">#REF!</definedName>
    <definedName name="_192B">#REF!</definedName>
    <definedName name="_193A">#REF!</definedName>
    <definedName name="_193B">#REF!</definedName>
    <definedName name="_194A">#REF!</definedName>
    <definedName name="_194B">#REF!</definedName>
    <definedName name="_195A">#REF!</definedName>
    <definedName name="_195B">#REF!</definedName>
    <definedName name="_196A">#REF!</definedName>
    <definedName name="_196B">#REF!</definedName>
    <definedName name="_197A">#REF!</definedName>
    <definedName name="_197B">#REF!</definedName>
    <definedName name="_2__123Graph_ACONTRAC._OIL" localSheetId="0" hidden="1">'[28]Cashflow Analysis'!#REF!</definedName>
    <definedName name="_2__123Graph_ACONTRAC._OIL" hidden="1">'[28]Cashflow Analysis'!#REF!</definedName>
    <definedName name="_2__123Graph_BCONTRAC._OIL" localSheetId="0" hidden="1">'[15]Cashflow Analysis'!#REF!</definedName>
    <definedName name="_2__123Graph_BCONTRAC._OIL" hidden="1">'[16]Cashflow Analysis'!#REF!</definedName>
    <definedName name="_2_0__123Graph_ASTEW" localSheetId="0" hidden="1">#REF!</definedName>
    <definedName name="_2_0__123Graph_ASTEW" hidden="1">#REF!</definedName>
    <definedName name="_2_0ACwvu.ACT._.EARNIN" localSheetId="0" hidden="1">#REF!</definedName>
    <definedName name="_2_0ACwvu.ACT._.EARNIN" hidden="1">#REF!</definedName>
    <definedName name="_20_____0__123Graph_BSTEW" localSheetId="0" hidden="1">#REF!</definedName>
    <definedName name="_20_____0__123Graph_BSTEW" hidden="1">#REF!</definedName>
    <definedName name="_20____0__123Graph_CSTEW" localSheetId="0" hidden="1">#REF!</definedName>
    <definedName name="_20____0__123Graph_CSTEW" hidden="1">#REF!</definedName>
    <definedName name="_20_0__123Graph_CSTEW" localSheetId="0" hidden="1">#REF!</definedName>
    <definedName name="_20_0__123Graph_CSTEW" hidden="1">#REF!</definedName>
    <definedName name="_200A">#REF!</definedName>
    <definedName name="_200B">#REF!</definedName>
    <definedName name="_201A">#REF!</definedName>
    <definedName name="_201B">#REF!</definedName>
    <definedName name="_202A">#REF!</definedName>
    <definedName name="_202B">#REF!</definedName>
    <definedName name="_203A">#REF!</definedName>
    <definedName name="_203B">#REF!</definedName>
    <definedName name="_204A">#REF!</definedName>
    <definedName name="_204B">#REF!</definedName>
    <definedName name="_205A">#REF!</definedName>
    <definedName name="_205B">#REF!</definedName>
    <definedName name="_21_____0__123Graph_CSTEW" localSheetId="0" hidden="1">#REF!</definedName>
    <definedName name="_21_____0__123Graph_CSTEW" hidden="1">#REF!</definedName>
    <definedName name="_21__123Graph_XCONTRAC._OIL" localSheetId="0" hidden="1">'[29]Cashflow Analysis'!$E$63:$BL$63</definedName>
    <definedName name="_21__123Graph_XCONTRAC._OIL" hidden="1">'[29]Cashflow Analysis'!$E$63:$BL$63</definedName>
    <definedName name="_210A" localSheetId="0">#REF!</definedName>
    <definedName name="_210A">#REF!</definedName>
    <definedName name="_210B" localSheetId="0">#REF!</definedName>
    <definedName name="_210B">#REF!</definedName>
    <definedName name="_211A" localSheetId="0">#REF!</definedName>
    <definedName name="_211A">#REF!</definedName>
    <definedName name="_211B">#REF!</definedName>
    <definedName name="_212A">#REF!</definedName>
    <definedName name="_212B">#REF!</definedName>
    <definedName name="_213A">#REF!</definedName>
    <definedName name="_213B">#REF!</definedName>
    <definedName name="_214A">#REF!</definedName>
    <definedName name="_214B">#REF!</definedName>
    <definedName name="_215A">#REF!</definedName>
    <definedName name="_215B">#REF!</definedName>
    <definedName name="_216A">#REF!</definedName>
    <definedName name="_216B">#REF!</definedName>
    <definedName name="_217A">#REF!</definedName>
    <definedName name="_217B">#REF!</definedName>
    <definedName name="_22_____0__123Graph_XSTEW" localSheetId="0" hidden="1">#REF!</definedName>
    <definedName name="_22_____0__123Graph_XSTEW" hidden="1">#REF!</definedName>
    <definedName name="_22_0__123Graph_ASTEW" localSheetId="0" hidden="1">#REF!</definedName>
    <definedName name="_22_0__123Graph_ASTEW" hidden="1">#REF!</definedName>
    <definedName name="_220A">#REF!</definedName>
    <definedName name="_220B">#REF!</definedName>
    <definedName name="_221A">#REF!</definedName>
    <definedName name="_221B">#REF!</definedName>
    <definedName name="_222A">#REF!</definedName>
    <definedName name="_222B">#REF!</definedName>
    <definedName name="_223A">#REF!</definedName>
    <definedName name="_223B">#REF!</definedName>
    <definedName name="_224A">#REF!</definedName>
    <definedName name="_224B">#REF!</definedName>
    <definedName name="_23_0__123Graph_BSTEW" localSheetId="0" hidden="1">#REF!</definedName>
    <definedName name="_23_0__123Graph_BSTEW" hidden="1">#REF!</definedName>
    <definedName name="_24____0__123Graph_XSTEW" localSheetId="0" hidden="1">#REF!</definedName>
    <definedName name="_24____0__123Graph_XSTEW" hidden="1">#REF!</definedName>
    <definedName name="_24__123Graph_BCONTRAC._OIL" localSheetId="0" hidden="1">'[17]Cashflow Analysis'!#REF!</definedName>
    <definedName name="_24__123Graph_BCONTRAC._OIL" hidden="1">'[18]Cashflow Analysis'!#REF!</definedName>
    <definedName name="_24__123Graph_DCONTRAC._OIL" localSheetId="0" hidden="1">'[20]Cashflow Analysis'!#REF!</definedName>
    <definedName name="_24__123Graph_DCONTRAC._OIL" hidden="1">'[21]Cashflow Analysis'!#REF!</definedName>
    <definedName name="_24_0__123Graph_CSTEW" localSheetId="0" hidden="1">#REF!</definedName>
    <definedName name="_24_0__123Graph_CSTEW" hidden="1">#REF!</definedName>
    <definedName name="_240A" localSheetId="0">#REF!</definedName>
    <definedName name="_240A">#REF!</definedName>
    <definedName name="_240B">#REF!</definedName>
    <definedName name="_241A">#REF!</definedName>
    <definedName name="_241B">#REF!</definedName>
    <definedName name="_242A">#REF!</definedName>
    <definedName name="_242B">#REF!</definedName>
    <definedName name="_243A">#REF!</definedName>
    <definedName name="_243B">#REF!</definedName>
    <definedName name="_244A">#REF!</definedName>
    <definedName name="_244B">#REF!</definedName>
    <definedName name="_25___123Graph_ACHART_1A" localSheetId="0" hidden="1">#REF!</definedName>
    <definedName name="_25___123Graph_ACHART_1A" hidden="1">#REF!</definedName>
    <definedName name="_25__123Graph_XCONTRAC._OIL" localSheetId="0" hidden="1">'[13]Cashflow Analysis'!$E$63:$BL$63</definedName>
    <definedName name="_25__123Graph_XCONTRAC._OIL" hidden="1">'[14]Cashflow Analysis'!$E$63:$BL$63</definedName>
    <definedName name="_25_0__123Graph_BSTEW" localSheetId="0" hidden="1">#REF!</definedName>
    <definedName name="_25_0__123Graph_BSTEW" hidden="1">#REF!</definedName>
    <definedName name="_25_0__123Graph_XSTEW" localSheetId="0" hidden="1">#REF!</definedName>
    <definedName name="_25_0__123Graph_XSTEW" hidden="1">#REF!</definedName>
    <definedName name="_250A">#REF!</definedName>
    <definedName name="_250B">#REF!</definedName>
    <definedName name="_251A">#REF!</definedName>
    <definedName name="_251B">#REF!</definedName>
    <definedName name="_252A">#REF!</definedName>
    <definedName name="_252B">#REF!</definedName>
    <definedName name="_253A">#REF!</definedName>
    <definedName name="_253B">#REF!</definedName>
    <definedName name="_254A">#REF!</definedName>
    <definedName name="_254B">#REF!</definedName>
    <definedName name="_255A">#REF!</definedName>
    <definedName name="_255B">#REF!</definedName>
    <definedName name="_26__123Graph_CCONTRAC._OIL" localSheetId="0" hidden="1">'[17]Cashflow Analysis'!#REF!</definedName>
    <definedName name="_26__123Graph_CCONTRAC._OIL" hidden="1">'[18]Cashflow Analysis'!#REF!</definedName>
    <definedName name="_260A" localSheetId="0">#REF!</definedName>
    <definedName name="_260A">#REF!</definedName>
    <definedName name="_260B" localSheetId="0">#REF!</definedName>
    <definedName name="_260B">#REF!</definedName>
    <definedName name="_261A" localSheetId="0">#REF!</definedName>
    <definedName name="_261A">#REF!</definedName>
    <definedName name="_261B">#REF!</definedName>
    <definedName name="_262A">#REF!</definedName>
    <definedName name="_262B">#REF!</definedName>
    <definedName name="_263A">#REF!</definedName>
    <definedName name="_263B">#REF!</definedName>
    <definedName name="_264A">#REF!</definedName>
    <definedName name="_264B">#REF!</definedName>
    <definedName name="_265A">#REF!</definedName>
    <definedName name="_265B">#REF!</definedName>
    <definedName name="_266A">#REF!</definedName>
    <definedName name="_266B">#REF!</definedName>
    <definedName name="_27____0__123Graph_ASTEW" localSheetId="0" hidden="1">#REF!</definedName>
    <definedName name="_27____0__123Graph_ASTEW" hidden="1">#REF!</definedName>
    <definedName name="_27__123Graph_BCONTRAC._OIL" localSheetId="0" hidden="1">'[17]Cashflow Analysis'!#REF!</definedName>
    <definedName name="_27__123Graph_BCONTRAC._OIL" hidden="1">'[18]Cashflow Analysis'!#REF!</definedName>
    <definedName name="_270A" localSheetId="0">#REF!</definedName>
    <definedName name="_270A">#REF!</definedName>
    <definedName name="_270B" localSheetId="0">#REF!</definedName>
    <definedName name="_270B">#REF!</definedName>
    <definedName name="_271A" localSheetId="0">#REF!</definedName>
    <definedName name="_271A">#REF!</definedName>
    <definedName name="_271B">#REF!</definedName>
    <definedName name="_272A">#REF!</definedName>
    <definedName name="_272B">#REF!</definedName>
    <definedName name="_273A">#REF!</definedName>
    <definedName name="_273B">#REF!</definedName>
    <definedName name="_274A">#REF!</definedName>
    <definedName name="_274B">#REF!</definedName>
    <definedName name="_275A">#REF!</definedName>
    <definedName name="_275B">#REF!</definedName>
    <definedName name="_28____0__123Graph_BSTEW" localSheetId="0" hidden="1">#REF!</definedName>
    <definedName name="_28____0__123Graph_BSTEW" hidden="1">#REF!</definedName>
    <definedName name="_28_0__123Graph_CSTEW" localSheetId="0" hidden="1">#REF!</definedName>
    <definedName name="_28_0__123Graph_CSTEW" hidden="1">#REF!</definedName>
    <definedName name="_280A">#REF!</definedName>
    <definedName name="_280B">#REF!</definedName>
    <definedName name="_281A">#REF!</definedName>
    <definedName name="_281B">#REF!</definedName>
    <definedName name="_282A">#REF!</definedName>
    <definedName name="_282B">#REF!</definedName>
    <definedName name="_283A">#REF!</definedName>
    <definedName name="_283B">#REF!</definedName>
    <definedName name="_284A">#REF!</definedName>
    <definedName name="_284B">#REF!</definedName>
    <definedName name="_285A">#REF!</definedName>
    <definedName name="_285B">#REF!</definedName>
    <definedName name="_29____0__123Graph_CSTEW" localSheetId="0" hidden="1">#REF!</definedName>
    <definedName name="_29____0__123Graph_CSTEW" hidden="1">#REF!</definedName>
    <definedName name="_290A">#REF!</definedName>
    <definedName name="_290B">#REF!</definedName>
    <definedName name="_291A">#REF!</definedName>
    <definedName name="_291B">#REF!</definedName>
    <definedName name="_292A">#REF!</definedName>
    <definedName name="_292B">#REF!</definedName>
    <definedName name="_293A">#REF!</definedName>
    <definedName name="_293B">#REF!</definedName>
    <definedName name="_3____0ACwvu.ACT._.EARNIN" localSheetId="0" hidden="1">#REF!</definedName>
    <definedName name="_3____0ACwvu.ACT._.EARNIN" hidden="1">#REF!</definedName>
    <definedName name="_3__123Graph_ACONTRAC._OIL" localSheetId="0" hidden="1">'[22]Cashflow Analysis'!#REF!</definedName>
    <definedName name="_3__123Graph_ACONTRAC._OIL" hidden="1">'[23]Cashflow Analysis'!#REF!</definedName>
    <definedName name="_3__123Graph_CCONTRAC._OIL" localSheetId="0" hidden="1">'[15]Cashflow Analysis'!#REF!</definedName>
    <definedName name="_3__123Graph_CCONTRAC._OIL" hidden="1">'[16]Cashflow Analysis'!#REF!</definedName>
    <definedName name="_3_0__123Graph_BSTEW" localSheetId="0" hidden="1">#REF!</definedName>
    <definedName name="_3_0__123Graph_BSTEW" hidden="1">#REF!</definedName>
    <definedName name="_3_0ACwvu.ACT._.EARNIN" localSheetId="0" hidden="1">#REF!</definedName>
    <definedName name="_3_0ACwvu.ACT._.EARNIN" hidden="1">#REF!</definedName>
    <definedName name="_30____0__123Graph_XSTEW" localSheetId="0" hidden="1">#REF!</definedName>
    <definedName name="_30____0__123Graph_XSTEW" hidden="1">#REF!</definedName>
    <definedName name="_31_0__123Graph_XSTEW" localSheetId="0" hidden="1">#REF!</definedName>
    <definedName name="_31_0__123Graph_XSTEW" hidden="1">#REF!</definedName>
    <definedName name="_33__123Graph_CCONTRAC._OIL" localSheetId="0" hidden="1">'[17]Cashflow Analysis'!#REF!</definedName>
    <definedName name="_33__123Graph_CCONTRAC._OIL" hidden="1">'[18]Cashflow Analysis'!#REF!</definedName>
    <definedName name="_34__123Graph_DCONTRAC._OIL" localSheetId="0" hidden="1">'[17]Cashflow Analysis'!#REF!</definedName>
    <definedName name="_34__123Graph_DCONTRAC._OIL" hidden="1">'[18]Cashflow Analysis'!#REF!</definedName>
    <definedName name="_37__123Graph_CCONTRAC._OIL" localSheetId="0" hidden="1">'[17]Cashflow Analysis'!#REF!</definedName>
    <definedName name="_37__123Graph_CCONTRAC._OIL" hidden="1">'[18]Cashflow Analysis'!#REF!</definedName>
    <definedName name="_4_____0ACwvu.ACT._.EARNIN" localSheetId="0" hidden="1">#REF!</definedName>
    <definedName name="_4_____0ACwvu.ACT._.EARNIN" hidden="1">#REF!</definedName>
    <definedName name="_4____0ACwvu.ACT._.EARNIN" localSheetId="0" hidden="1">#REF!</definedName>
    <definedName name="_4____0ACwvu.ACT._.EARNIN" hidden="1">#REF!</definedName>
    <definedName name="_4___123Graph_ACHART_1A" localSheetId="0" hidden="1">#REF!</definedName>
    <definedName name="_4___123Graph_ACHART_1A" hidden="1">#REF!</definedName>
    <definedName name="_4__123Graph_ACONTRAC._OIL" localSheetId="0" hidden="1">'[5]Cashflow Analysis'!#REF!</definedName>
    <definedName name="_4__123Graph_ACONTRAC._OIL" hidden="1">'[5]Cashflow Analysis'!#REF!</definedName>
    <definedName name="_4__123Graph_BCONTRAC._OIL" localSheetId="0" hidden="1">'[28]Cashflow Analysis'!#REF!</definedName>
    <definedName name="_4__123Graph_BCONTRAC._OIL" hidden="1">'[28]Cashflow Analysis'!#REF!</definedName>
    <definedName name="_4__123Graph_DCONTRAC._OIL" localSheetId="0" hidden="1">'[15]Cashflow Analysis'!#REF!</definedName>
    <definedName name="_4__123Graph_DCONTRAC._OIL" hidden="1">'[16]Cashflow Analysis'!#REF!</definedName>
    <definedName name="_4_0__123Graph_CSTEW" localSheetId="0" hidden="1">#REF!</definedName>
    <definedName name="_4_0__123Graph_CSTEW" hidden="1">#REF!</definedName>
    <definedName name="_41__123Graph_XCONTRAC._OIL" localSheetId="0" hidden="1">'[29]Cashflow Analysis'!$E$63:$BL$63</definedName>
    <definedName name="_41__123Graph_XCONTRAC._OIL" hidden="1">'[29]Cashflow Analysis'!$E$63:$BL$63</definedName>
    <definedName name="_42__123Graph_DCONTRAC._OIL" localSheetId="0" hidden="1">'[17]Cashflow Analysis'!#REF!</definedName>
    <definedName name="_42__123Graph_DCONTRAC._OIL" hidden="1">'[18]Cashflow Analysis'!#REF!</definedName>
    <definedName name="_4201A" localSheetId="0">#REF!</definedName>
    <definedName name="_4201A">#REF!</definedName>
    <definedName name="_4201B" localSheetId="0">#REF!</definedName>
    <definedName name="_4201B">#REF!</definedName>
    <definedName name="_4202A" localSheetId="0">#REF!</definedName>
    <definedName name="_4202A">#REF!</definedName>
    <definedName name="_4202B">#REF!</definedName>
    <definedName name="_4203A">#REF!</definedName>
    <definedName name="_4203B">#REF!</definedName>
    <definedName name="_4204A">#REF!</definedName>
    <definedName name="_4204B">#REF!</definedName>
    <definedName name="_4206A">#REF!</definedName>
    <definedName name="_4206B">#REF!</definedName>
    <definedName name="_4207A">#REF!</definedName>
    <definedName name="_4207B">#REF!</definedName>
    <definedName name="_4208A">#REF!</definedName>
    <definedName name="_4208B">#REF!</definedName>
    <definedName name="_4209A">#REF!</definedName>
    <definedName name="_4209B">#REF!</definedName>
    <definedName name="_4210A">#REF!</definedName>
    <definedName name="_4210B">#REF!</definedName>
    <definedName name="_4211A">#REF!</definedName>
    <definedName name="_4211B">#REF!</definedName>
    <definedName name="_4212A">#REF!</definedName>
    <definedName name="_4212B">#REF!</definedName>
    <definedName name="_4221A">#REF!</definedName>
    <definedName name="_4221B">#REF!</definedName>
    <definedName name="_4222A">#REF!</definedName>
    <definedName name="_4222B">#REF!</definedName>
    <definedName name="_4231A">#REF!</definedName>
    <definedName name="_4231B">#REF!</definedName>
    <definedName name="_4232A">#REF!</definedName>
    <definedName name="_4232B">#REF!</definedName>
    <definedName name="_4234A">#REF!</definedName>
    <definedName name="_4234B">#REF!</definedName>
    <definedName name="_4235A">#REF!</definedName>
    <definedName name="_4235B">#REF!</definedName>
    <definedName name="_4236A">#REF!</definedName>
    <definedName name="_4236B">#REF!</definedName>
    <definedName name="_4240A">#REF!</definedName>
    <definedName name="_4240B">#REF!</definedName>
    <definedName name="_4243A">#REF!</definedName>
    <definedName name="_4245A">#REF!</definedName>
    <definedName name="_4245B">#REF!</definedName>
    <definedName name="_4246A">#REF!</definedName>
    <definedName name="_4246B">#REF!</definedName>
    <definedName name="_4251A">#REF!</definedName>
    <definedName name="_4251B">#REF!</definedName>
    <definedName name="_4251C">#REF!</definedName>
    <definedName name="_4252A">#REF!</definedName>
    <definedName name="_4252B">#REF!</definedName>
    <definedName name="_4255A">#REF!</definedName>
    <definedName name="_4255B">#REF!</definedName>
    <definedName name="_4257A">#REF!</definedName>
    <definedName name="_4257B">#REF!</definedName>
    <definedName name="_4262A">#REF!</definedName>
    <definedName name="_4262B">#REF!</definedName>
    <definedName name="_4265A">#REF!</definedName>
    <definedName name="_4265B">#REF!</definedName>
    <definedName name="_4270A">#REF!</definedName>
    <definedName name="_4270B">#REF!</definedName>
    <definedName name="_4283A">#REF!</definedName>
    <definedName name="_4283B">#REF!</definedName>
    <definedName name="_4290A">#REF!</definedName>
    <definedName name="_4290B">#REF!</definedName>
    <definedName name="_4294A">#REF!</definedName>
    <definedName name="_4294B">#REF!</definedName>
    <definedName name="_4298A">#REF!</definedName>
    <definedName name="_4298B">#REF!</definedName>
    <definedName name="_43_0__123Graph_ASTEW" localSheetId="0" hidden="1">#REF!</definedName>
    <definedName name="_43_0__123Graph_ASTEW" hidden="1">#REF!</definedName>
    <definedName name="_45_0__123Graph_BSTEW" localSheetId="0" hidden="1">#REF!</definedName>
    <definedName name="_45_0__123Graph_BSTEW" hidden="1">#REF!</definedName>
    <definedName name="_46__123Graph_XCONTRAC._OIL" localSheetId="0" hidden="1">'[29]Cashflow Analysis'!$E$63:$BL$63</definedName>
    <definedName name="_46__123Graph_XCONTRAC._OIL" hidden="1">'[29]Cashflow Analysis'!$E$63:$BL$63</definedName>
    <definedName name="_47__123Graph_DCONTRAC._OIL" localSheetId="0" hidden="1">'[17]Cashflow Analysis'!#REF!</definedName>
    <definedName name="_47__123Graph_DCONTRAC._OIL" hidden="1">'[18]Cashflow Analysis'!#REF!</definedName>
    <definedName name="_47_0__123Graph_CSTEW" localSheetId="0" hidden="1">#REF!</definedName>
    <definedName name="_47_0__123Graph_CSTEW" hidden="1">#REF!</definedName>
    <definedName name="_49_0__123Graph_XSTEW" localSheetId="0" hidden="1">#REF!</definedName>
    <definedName name="_49_0__123Graph_XSTEW" hidden="1">#REF!</definedName>
    <definedName name="_5____0__123Graph_ASTEW" localSheetId="0" hidden="1">#REF!</definedName>
    <definedName name="_5____0__123Graph_ASTEW" hidden="1">#REF!</definedName>
    <definedName name="_5__123Graph_ACONTRAC._OIL" localSheetId="0" hidden="1">'[17]Cashflow Analysis'!#REF!</definedName>
    <definedName name="_5__123Graph_ACONTRAC._OIL" hidden="1">'[18]Cashflow Analysis'!#REF!</definedName>
    <definedName name="_5__123Graph_XCONTRAC._OIL" localSheetId="0" hidden="1">'[13]Cashflow Analysis'!$E$63:$BL$63</definedName>
    <definedName name="_5__123Graph_XCONTRAC._OIL" hidden="1">'[14]Cashflow Analysis'!$E$63:$BL$63</definedName>
    <definedName name="_5_0__123Graph_XSTEW" localSheetId="0" hidden="1">#REF!</definedName>
    <definedName name="_5_0__123Graph_XSTEW" hidden="1">#REF!</definedName>
    <definedName name="_5_0ACwvu.ACT._.EARNIN" localSheetId="0" hidden="1">#REF!</definedName>
    <definedName name="_5_0ACwvu.ACT._.EARNIN" hidden="1">#REF!</definedName>
    <definedName name="_52__123Graph_XCONTRAC._OIL" localSheetId="0" hidden="1">'[29]Cashflow Analysis'!$E$63:$BL$63</definedName>
    <definedName name="_52__123Graph_XCONTRAC._OIL" hidden="1">'[29]Cashflow Analysis'!$E$63:$BL$63</definedName>
    <definedName name="_52_0__123Graph_ASTEW" localSheetId="0" hidden="1">#REF!</definedName>
    <definedName name="_52_0__123Graph_ASTEW" hidden="1">#REF!</definedName>
    <definedName name="_58_0__123Graph_BSTEW" localSheetId="0" hidden="1">#REF!</definedName>
    <definedName name="_58_0__123Graph_BSTEW" hidden="1">#REF!</definedName>
    <definedName name="_59_0__123Graph_ASTEW" localSheetId="0" hidden="1">#REF!</definedName>
    <definedName name="_59_0__123Graph_ASTEW" hidden="1">#REF!</definedName>
    <definedName name="_6____0__123Graph_BSTEW" localSheetId="0" hidden="1">#REF!</definedName>
    <definedName name="_6____0__123Graph_BSTEW" hidden="1">#REF!</definedName>
    <definedName name="_6__123Graph_ACONTRAC._OIL" localSheetId="0" hidden="1">'[20]Cashflow Analysis'!#REF!</definedName>
    <definedName name="_6__123Graph_ACONTRAC._OIL" hidden="1">'[21]Cashflow Analysis'!#REF!</definedName>
    <definedName name="_6__123Graph_BCONTRAC._OIL" localSheetId="0" hidden="1">'[22]Cashflow Analysis'!#REF!</definedName>
    <definedName name="_6__123Graph_BCONTRAC._OIL" hidden="1">'[23]Cashflow Analysis'!#REF!</definedName>
    <definedName name="_6__123Graph_CCONTRAC._OIL" localSheetId="0" hidden="1">'[28]Cashflow Analysis'!#REF!</definedName>
    <definedName name="_6__123Graph_CCONTRAC._OIL" hidden="1">'[28]Cashflow Analysis'!#REF!</definedName>
    <definedName name="_6_0ACwvu.ACT._.EARNIN" localSheetId="0" hidden="1">#REF!</definedName>
    <definedName name="_6_0ACwvu.ACT._.EARNIN" hidden="1">#REF!</definedName>
    <definedName name="_64_0__123Graph_CSTEW" localSheetId="0" hidden="1">#REF!</definedName>
    <definedName name="_64_0__123Graph_CSTEW" hidden="1">#REF!</definedName>
    <definedName name="_66_0__123Graph_BSTEW" localSheetId="0" hidden="1">#REF!</definedName>
    <definedName name="_66_0__123Graph_BSTEW" hidden="1">#REF!</definedName>
    <definedName name="_7______0ACwvu.ACT._.EARNIN" localSheetId="0" hidden="1">#REF!</definedName>
    <definedName name="_7______0ACwvu.ACT._.EARNIN" hidden="1">#REF!</definedName>
    <definedName name="_7____0__123Graph_CSTEW" localSheetId="0" hidden="1">#REF!</definedName>
    <definedName name="_7____0__123Graph_CSTEW" hidden="1">#REF!</definedName>
    <definedName name="_7_0ACwvu.ACT._.EARNIN" localSheetId="0" hidden="1">#REF!</definedName>
    <definedName name="_7_0ACwvu.ACT._.EARNIN" hidden="1">#REF!</definedName>
    <definedName name="_70_0__123Graph_XSTEW" localSheetId="0" hidden="1">#REF!</definedName>
    <definedName name="_70_0__123Graph_XSTEW" hidden="1">#REF!</definedName>
    <definedName name="_7200" localSheetId="0">'[1]7200 Offsite Stg'!$A$1:$P$16</definedName>
    <definedName name="_7200">'[2]7200 Offsite Stg'!$A$1:$P$16</definedName>
    <definedName name="_73_0__123Graph_CSTEW" localSheetId="0" hidden="1">#REF!</definedName>
    <definedName name="_73_0__123Graph_CSTEW" hidden="1">#REF!</definedName>
    <definedName name="_8_______0ACwvu.ACT._.EARNIN" localSheetId="0" hidden="1">#REF!</definedName>
    <definedName name="_8_______0ACwvu.ACT._.EARNIN" hidden="1">#REF!</definedName>
    <definedName name="_8____0__123Graph_XSTEW" localSheetId="0" hidden="1">#REF!</definedName>
    <definedName name="_8____0__123Graph_XSTEW" hidden="1">#REF!</definedName>
    <definedName name="_8___0ACwvu.ACT._.EARNIN" localSheetId="0" hidden="1">#REF!</definedName>
    <definedName name="_8___0ACwvu.ACT._.EARNIN" hidden="1">#REF!</definedName>
    <definedName name="_8___123Graph_ACHART_1A" localSheetId="0" hidden="1">#REF!</definedName>
    <definedName name="_8___123Graph_ACHART_1A" hidden="1">#REF!</definedName>
    <definedName name="_8__123Graph_BCONTRAC._OIL" localSheetId="0" hidden="1">'[5]Cashflow Analysis'!#REF!</definedName>
    <definedName name="_8__123Graph_BCONTRAC._OIL" hidden="1">'[5]Cashflow Analysis'!#REF!</definedName>
    <definedName name="_8__123Graph_DCONTRAC._OIL" localSheetId="0" hidden="1">'[28]Cashflow Analysis'!#REF!</definedName>
    <definedName name="_8__123Graph_DCONTRAC._OIL" hidden="1">'[28]Cashflow Analysis'!#REF!</definedName>
    <definedName name="_80_0__123Graph_XSTEW" localSheetId="0" hidden="1">#REF!</definedName>
    <definedName name="_80_0__123Graph_XSTEW" hidden="1">#REF!</definedName>
    <definedName name="_8100" localSheetId="0">[1]Manpower!$A$1:$P$24</definedName>
    <definedName name="_8100">[2]Manpower!$A$1:$P$24</definedName>
    <definedName name="_89__123Graph_XCONTRAC._OIL" localSheetId="0" hidden="1">'[13]Cashflow Analysis'!$E$63:$BL$63</definedName>
    <definedName name="_89__123Graph_XCONTRAC._OIL" hidden="1">'[14]Cashflow Analysis'!$E$63:$BL$63</definedName>
    <definedName name="_9_______0__123Graph_ASTEW" localSheetId="0" hidden="1">#REF!</definedName>
    <definedName name="_9_______0__123Graph_ASTEW" hidden="1">#REF!</definedName>
    <definedName name="_9__123Graph_ACONTRAC._OIL" localSheetId="0" hidden="1">'[19]Cashflow Analysis'!#REF!</definedName>
    <definedName name="_9__123Graph_ACONTRAC._OIL" hidden="1">'[19]Cashflow Analysis'!#REF!</definedName>
    <definedName name="_9__123Graph_BCONTRAC._OIL" localSheetId="0" hidden="1">'[17]Cashflow Analysis'!#REF!</definedName>
    <definedName name="_9__123Graph_BCONTRAC._OIL" hidden="1">'[18]Cashflow Analysis'!#REF!</definedName>
    <definedName name="_9__123Graph_CCONTRAC._OIL" localSheetId="0" hidden="1">'[22]Cashflow Analysis'!#REF!</definedName>
    <definedName name="_9__123Graph_CCONTRAC._OIL" hidden="1">'[23]Cashflow Analysis'!#REF!</definedName>
    <definedName name="_9__123Graph_XCONTRAC._OIL" localSheetId="0" hidden="1">'[13]Cashflow Analysis'!$E$63:$BL$63</definedName>
    <definedName name="_9__123Graph_XCONTRAC._OIL" hidden="1">'[14]Cashflow Analysis'!$E$63:$BL$63</definedName>
    <definedName name="_911A" localSheetId="0">#REF!</definedName>
    <definedName name="_911A">#REF!</definedName>
    <definedName name="_912A" localSheetId="0">#REF!</definedName>
    <definedName name="_912A">#REF!</definedName>
    <definedName name="_921A" localSheetId="0">#REF!</definedName>
    <definedName name="_921A">#REF!</definedName>
    <definedName name="_922A">#REF!</definedName>
    <definedName name="_aaa1" localSheetId="0" hidden="1">{#N/A,#N/A,FALSE,"TabA";#N/A,#N/A,FALSE,"UTopxFx98";#N/A,#N/A,FALSE,"TopxFx98";#N/A,#N/A,FALSE,"TopxNom"}</definedName>
    <definedName name="_aaa1" hidden="1">{#N/A,#N/A,FALSE,"TabA";#N/A,#N/A,FALSE,"UTopxFx98";#N/A,#N/A,FALSE,"TopxFx98";#N/A,#N/A,FALSE,"TopxNom"}</definedName>
    <definedName name="_AAA2" localSheetId="0" hidden="1">{#N/A,#N/A,FALSE,"TabA";#N/A,#N/A,FALSE,"UTopxFx98";#N/A,#N/A,FALSE,"TopxFx98";#N/A,#N/A,FALSE,"TopxNom"}</definedName>
    <definedName name="_AAA2" hidden="1">{#N/A,#N/A,FALSE,"TabA";#N/A,#N/A,FALSE,"UTopxFx98";#N/A,#N/A,FALSE,"TopxFx98";#N/A,#N/A,FALSE,"TopxNom"}</definedName>
    <definedName name="_ABC1" localSheetId="0" hidden="1">{#N/A,#N/A,FALSE,"CHANGES";#N/A,#N/A,FALSE,"PROD SUMMARY";#N/A,#N/A,FALSE,"1995 PO SUM";#N/A,#N/A,FALSE,"1995 GEOG SUM";#N/A,#N/A,FALSE,"1996 PO SUM";#N/A,#N/A,FALSE,"1996 GEOG SUM"}</definedName>
    <definedName name="_ABC1" hidden="1">{#N/A,#N/A,FALSE,"CHANGES";#N/A,#N/A,FALSE,"PROD SUMMARY";#N/A,#N/A,FALSE,"1995 PO SUM";#N/A,#N/A,FALSE,"1995 GEOG SUM";#N/A,#N/A,FALSE,"1996 PO SUM";#N/A,#N/A,FALSE,"1996 GEOG SUM"}</definedName>
    <definedName name="_arn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arn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_arn3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arn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_arn4" localSheetId="0" hidden="1">{#N/A,#N/A,TRUE,"PRODUCTION CAPEX OVERVIEW";#N/A,#N/A,TRUE,"Affiliate Detail";#N/A,#N/A,TRUE,"CAPEX PLANNING OVERVIEW"}</definedName>
    <definedName name="_arn4" hidden="1">{#N/A,#N/A,TRUE,"PRODUCTION CAPEX OVERVIEW";#N/A,#N/A,TRUE,"Affiliate Detail";#N/A,#N/A,TRUE,"CAPEX PLANNING OVERVIEW"}</definedName>
    <definedName name="_arn5" localSheetId="0" hidden="1">{#N/A,#N/A,FALSE,"CHANGES";#N/A,#N/A,FALSE,"PROD SUMMARY";#N/A,#N/A,FALSE,"1995 PO SUM";#N/A,#N/A,FALSE,"1995 GEOG SUM";#N/A,#N/A,FALSE,"1996 PO SUM";#N/A,#N/A,FALSE,"1996 GEOG SUM"}</definedName>
    <definedName name="_arn5" hidden="1">{#N/A,#N/A,FALSE,"CHANGES";#N/A,#N/A,FALSE,"PROD SUMMARY";#N/A,#N/A,FALSE,"1995 PO SUM";#N/A,#N/A,FALSE,"1995 GEOG SUM";#N/A,#N/A,FALSE,"1996 PO SUM";#N/A,#N/A,FALSE,"1996 GEOG SUM"}</definedName>
    <definedName name="_arn6" localSheetId="0" hidden="1">{#N/A,#N/A,FALSE,"CHANGES";#N/A,#N/A,FALSE,"PROD SUMMARY";#N/A,#N/A,FALSE,"1995 PO SUM";#N/A,#N/A,FALSE,"1995 GEOG SUM";#N/A,#N/A,FALSE,"1996 PO SUM";#N/A,#N/A,FALSE,"1996 GEOG SUM"}</definedName>
    <definedName name="_arn6" hidden="1">{#N/A,#N/A,FALSE,"CHANGES";#N/A,#N/A,FALSE,"PROD SUMMARY";#N/A,#N/A,FALSE,"1995 PO SUM";#N/A,#N/A,FALSE,"1995 GEOG SUM";#N/A,#N/A,FALSE,"1996 PO SUM";#N/A,#N/A,FALSE,"1996 GEOG SUM"}</definedName>
    <definedName name="_arn7" localSheetId="0" hidden="1">{#N/A,#N/A,FALSE,"TabA";#N/A,#N/A,FALSE,"UTopxFx98";#N/A,#N/A,FALSE,"TopxFx98";#N/A,#N/A,FALSE,"TopxNom"}</definedName>
    <definedName name="_arn7" hidden="1">{#N/A,#N/A,FALSE,"TabA";#N/A,#N/A,FALSE,"UTopxFx98";#N/A,#N/A,FALSE,"TopxFx98";#N/A,#N/A,FALSE,"TopxNom"}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001" hidden="1">"With Correlation"</definedName>
    <definedName name="_AtRisk_SimSetting_SimName002" hidden="1">"No Correlation"</definedName>
    <definedName name="_AtRisk_SimSetting_SimNameCount" hidden="1">2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1">#REF!</definedName>
    <definedName name="_AUX2">#REF!</definedName>
    <definedName name="_AUX3">#REF!</definedName>
    <definedName name="_bad1" localSheetId="0" hidden="1">#REF!</definedName>
    <definedName name="_bad1" hidden="1">#REF!</definedName>
    <definedName name="_bad2" localSheetId="0" hidden="1">'[17]Cashflow Analysis'!#REF!</definedName>
    <definedName name="_bad2" hidden="1">'[18]Cashflow Analysis'!#REF!</definedName>
    <definedName name="_Billing_Rate" localSheetId="0">#REF!</definedName>
    <definedName name="_Billing_Rate">#REF!</definedName>
    <definedName name="_CDN1" localSheetId="0">#REF!</definedName>
    <definedName name="_CDN1">#REF!</definedName>
    <definedName name="_CDN2" localSheetId="0">#REF!</definedName>
    <definedName name="_CDN2">#REF!</definedName>
    <definedName name="_CON12" localSheetId="0" hidden="1">{#N/A,#N/A,FALSE,"COPERTINA"}</definedName>
    <definedName name="_CON12" hidden="1">{#N/A,#N/A,FALSE,"COPERTINA"}</definedName>
    <definedName name="_CP07" localSheetId="0" hidden="1">{#N/A,#N/A,FALSE,"TabA";#N/A,#N/A,FALSE,"UTopxFx98";#N/A,#N/A,FALSE,"TopxFx98";#N/A,#N/A,FALSE,"TopxNom"}</definedName>
    <definedName name="_CP07" hidden="1">{#N/A,#N/A,FALSE,"TabA";#N/A,#N/A,FALSE,"UTopxFx98";#N/A,#N/A,FALSE,"TopxFx98";#N/A,#N/A,FALSE,"TopxNom"}</definedName>
    <definedName name="_CPX1" localSheetId="0" hidden="1">{#N/A,#N/A,TRUE,"PRODUCTION CAPEX OVERVIEW";#N/A,#N/A,TRUE,"Affiliate Detail";#N/A,#N/A,TRUE,"CAPEX PLANNING OVERVIEW"}</definedName>
    <definedName name="_CPX1" hidden="1">{#N/A,#N/A,TRUE,"PRODUCTION CAPEX OVERVIEW";#N/A,#N/A,TRUE,"Affiliate Detail";#N/A,#N/A,TRUE,"CAPEX PLANNING OVERVIEW"}</definedName>
    <definedName name="_e1" localSheetId="0" hidden="1">{#N/A,#N/A,FALSE,"CHANGES";#N/A,#N/A,FALSE,"PROD SUMMARY";#N/A,#N/A,FALSE,"1995 PO SUM";#N/A,#N/A,FALSE,"1995 GEOG SUM";#N/A,#N/A,FALSE,"1996 PO SUM";#N/A,#N/A,FALSE,"1996 GEOG SUM"}</definedName>
    <definedName name="_e1" hidden="1">{#N/A,#N/A,FALSE,"CHANGES";#N/A,#N/A,FALSE,"PROD SUMMARY";#N/A,#N/A,FALSE,"1995 PO SUM";#N/A,#N/A,FALSE,"1995 GEOG SUM";#N/A,#N/A,FALSE,"1996 PO SUM";#N/A,#N/A,FALSE,"1996 GEOG SUM"}</definedName>
    <definedName name="_err1" localSheetId="0" hidden="1">{#N/A,#N/A,FALSE,"CHANGES";#N/A,#N/A,FALSE,"PROD SUMMARY";#N/A,#N/A,FALSE,"1995 PO SUM";#N/A,#N/A,FALSE,"1995 GEOG SUM";#N/A,#N/A,FALSE,"1996 PO SUM";#N/A,#N/A,FALSE,"1996 GEOG SUM"}</definedName>
    <definedName name="_err1" hidden="1">{#N/A,#N/A,FALSE,"CHANGES";#N/A,#N/A,FALSE,"PROD SUMMARY";#N/A,#N/A,FALSE,"1995 PO SUM";#N/A,#N/A,FALSE,"1995 GEOG SUM";#N/A,#N/A,FALSE,"1996 PO SUM";#N/A,#N/A,FALSE,"1996 GEOG SUM"}</definedName>
    <definedName name="_err2" localSheetId="0" hidden="1">{#N/A,#N/A,FALSE,"CHANGES";#N/A,#N/A,FALSE,"PROD SUMMARY";#N/A,#N/A,FALSE,"1995 PO SUM";#N/A,#N/A,FALSE,"1995 GEOG SUM";#N/A,#N/A,FALSE,"1996 PO SUM";#N/A,#N/A,FALSE,"1996 GEOG SUM"}</definedName>
    <definedName name="_err2" hidden="1">{#N/A,#N/A,FALSE,"CHANGES";#N/A,#N/A,FALSE,"PROD SUMMARY";#N/A,#N/A,FALSE,"1995 PO SUM";#N/A,#N/A,FALSE,"1995 GEOG SUM";#N/A,#N/A,FALSE,"1996 PO SUM";#N/A,#N/A,FALSE,"1996 GEOG SUM"}</definedName>
    <definedName name="_Fill" localSheetId="0" hidden="1">'[30]Planning Calendar'!$DL$418:$GE$418</definedName>
    <definedName name="_Fill" hidden="1">'[31]Planning Calendar'!$DL$418:$GE$418</definedName>
    <definedName name="_xlnm._FilterDatabase" localSheetId="0" hidden="1">'[32]Control Document'!#REF!</definedName>
    <definedName name="_xlnm._FilterDatabase" hidden="1">'[32]Control Document'!#REF!</definedName>
    <definedName name="_gdd1" localSheetId="0" hidden="1">{#N/A,#N/A,FALSE,"CHANGES";#N/A,#N/A,FALSE,"PROD SUMMARY";#N/A,#N/A,FALSE,"1995 PO SUM";#N/A,#N/A,FALSE,"1995 GEOG SUM";#N/A,#N/A,FALSE,"1996 PO SUM";#N/A,#N/A,FALSE,"1996 GEOG SUM"}</definedName>
    <definedName name="_gdd1" hidden="1">{#N/A,#N/A,FALSE,"CHANGES";#N/A,#N/A,FALSE,"PROD SUMMARY";#N/A,#N/A,FALSE,"1995 PO SUM";#N/A,#N/A,FALSE,"1995 GEOG SUM";#N/A,#N/A,FALSE,"1996 PO SUM";#N/A,#N/A,FALSE,"1996 GEOG SUM"}</definedName>
    <definedName name="_IOD1" localSheetId="0">'[3]Installation Case'!$U$24</definedName>
    <definedName name="_IOD1">'[4]Installation Case'!$U$24</definedName>
    <definedName name="_IOD2" localSheetId="0">'[3]Installation Case'!$Y$24</definedName>
    <definedName name="_IOD2">'[4]Installation Case'!$Y$24</definedName>
    <definedName name="_IOD3" localSheetId="0">'[3]Installation Case'!$AC$24</definedName>
    <definedName name="_IOD3">'[4]Installation Case'!$AC$24</definedName>
    <definedName name="_IOD5" localSheetId="0">'[3]Installation Case'!$AK$24</definedName>
    <definedName name="_IOD5">'[4]Installation Case'!$AK$24</definedName>
    <definedName name="_JPL02" localSheetId="0">#REF!</definedName>
    <definedName name="_JPL02">#REF!</definedName>
    <definedName name="_JPL03" localSheetId="0">#REF!</definedName>
    <definedName name="_JPL03">#REF!</definedName>
    <definedName name="_JPL04" localSheetId="0">#REF!</definedName>
    <definedName name="_JPL04">#REF!</definedName>
    <definedName name="_JPL05">#REF!</definedName>
    <definedName name="_JRL02">#REF!</definedName>
    <definedName name="_JRL03">#REF!</definedName>
    <definedName name="_JRL04">#REF!</definedName>
    <definedName name="_JRL05">#REF!</definedName>
    <definedName name="_ju1" localSheetId="0" hidden="1">{#N/A,#N/A,FALSE,"CHANGES";#N/A,#N/A,FALSE,"PROD SUMMARY";#N/A,#N/A,FALSE,"1995 PO SUM";#N/A,#N/A,FALSE,"1995 GEOG SUM";#N/A,#N/A,FALSE,"1996 PO SUM";#N/A,#N/A,FALSE,"1996 GEOG SUM"}</definedName>
    <definedName name="_ju1" hidden="1">{#N/A,#N/A,FALSE,"CHANGES";#N/A,#N/A,FALSE,"PROD SUMMARY";#N/A,#N/A,FALSE,"1995 PO SUM";#N/A,#N/A,FALSE,"1995 GEOG SUM";#N/A,#N/A,FALSE,"1996 PO SUM";#N/A,#N/A,FALSE,"1996 GEOG SUM"}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kk1" localSheetId="0" hidden="1">{#N/A,#N/A,FALSE,"CHANGES";#N/A,#N/A,FALSE,"PROD SUMMARY";#N/A,#N/A,FALSE,"1995 PO SUM";#N/A,#N/A,FALSE,"1995 GEOG SUM";#N/A,#N/A,FALSE,"1996 PO SUM";#N/A,#N/A,FALSE,"1996 GEOG SUM"}</definedName>
    <definedName name="_kkk1" hidden="1">{#N/A,#N/A,FALSE,"CHANGES";#N/A,#N/A,FALSE,"PROD SUMMARY";#N/A,#N/A,FALSE,"1995 PO SUM";#N/A,#N/A,FALSE,"1995 GEOG SUM";#N/A,#N/A,FALSE,"1996 PO SUM";#N/A,#N/A,FALSE,"1996 GEOG SUM"}</definedName>
    <definedName name="_lds1" localSheetId="0" hidden="1">{#N/A,#N/A,FALSE,"CHANGES";#N/A,#N/A,FALSE,"PROD SUMMARY";#N/A,#N/A,FALSE,"1995 PO SUM";#N/A,#N/A,FALSE,"1995 GEOG SUM";#N/A,#N/A,FALSE,"1996 PO SUM";#N/A,#N/A,FALSE,"1996 GEOG SUM"}</definedName>
    <definedName name="_lds1" hidden="1">{#N/A,#N/A,FALSE,"CHANGES";#N/A,#N/A,FALSE,"PROD SUMMARY";#N/A,#N/A,FALSE,"1995 PO SUM";#N/A,#N/A,FALSE,"1995 GEOG SUM";#N/A,#N/A,FALSE,"1996 PO SUM";#N/A,#N/A,FALSE,"1996 GEOG SUM"}</definedName>
    <definedName name="_MAT1" localSheetId="0">#REF!</definedName>
    <definedName name="_MAT1">#REF!</definedName>
    <definedName name="_MAT2" localSheetId="0">#REF!</definedName>
    <definedName name="_MAT2">#REF!</definedName>
    <definedName name="_mb1" localSheetId="0" hidden="1">{#N/A,#N/A,FALSE,"CHANGES";#N/A,#N/A,FALSE,"PROD SUMMARY";#N/A,#N/A,FALSE,"1995 PO SUM";#N/A,#N/A,FALSE,"1995 GEOG SUM";#N/A,#N/A,FALSE,"1996 PO SUM";#N/A,#N/A,FALSE,"1996 GEOG SUM"}</definedName>
    <definedName name="_mb1" hidden="1">{#N/A,#N/A,FALSE,"CHANGES";#N/A,#N/A,FALSE,"PROD SUMMARY";#N/A,#N/A,FALSE,"1995 PO SUM";#N/A,#N/A,FALSE,"1995 GEOG SUM";#N/A,#N/A,FALSE,"1996 PO SUM";#N/A,#N/A,FALSE,"1996 GEOG SUM"}</definedName>
    <definedName name="_ncd1" localSheetId="0" hidden="1">{#N/A,#N/A,FALSE,"CHANGES";#N/A,#N/A,FALSE,"PROD SUMMARY";#N/A,#N/A,FALSE,"1995 PO SUM";#N/A,#N/A,FALSE,"1995 GEOG SUM";#N/A,#N/A,FALSE,"1996 PO SUM";#N/A,#N/A,FALSE,"1996 GEOG SUM"}</definedName>
    <definedName name="_ncd1" hidden="1">{#N/A,#N/A,FALSE,"CHANGES";#N/A,#N/A,FALSE,"PROD SUMMARY";#N/A,#N/A,FALSE,"1995 PO SUM";#N/A,#N/A,FALSE,"1995 GEOG SUM";#N/A,#N/A,FALSE,"1996 PO SUM";#N/A,#N/A,FALSE,"1996 GEOG SUM"}</definedName>
    <definedName name="_OOD4" localSheetId="0">'[3]Installation Case'!$AG$24</definedName>
    <definedName name="_OOD4">'[4]Installation Case'!$AG$24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oi1" localSheetId="0" hidden="1">{#N/A,#N/A,FALSE,"CHANGES";#N/A,#N/A,FALSE,"PROD SUMMARY";#N/A,#N/A,FALSE,"1995 PO SUM";#N/A,#N/A,FALSE,"1995 GEOG SUM";#N/A,#N/A,FALSE,"1996 PO SUM";#N/A,#N/A,FALSE,"1996 GEOG SUM"}</definedName>
    <definedName name="_poi1" hidden="1">{#N/A,#N/A,FALSE,"CHANGES";#N/A,#N/A,FALSE,"PROD SUMMARY";#N/A,#N/A,FALSE,"1995 PO SUM";#N/A,#N/A,FALSE,"1995 GEOG SUM";#N/A,#N/A,FALSE,"1996 PO SUM";#N/A,#N/A,FALSE,"1996 GEOG SUM"}</definedName>
    <definedName name="_poi4" localSheetId="0" hidden="1">{#N/A,#N/A,FALSE,"CHANGES";#N/A,#N/A,FALSE,"PROD SUMMARY";#N/A,#N/A,FALSE,"1995 PO SUM";#N/A,#N/A,FALSE,"1995 GEOG SUM";#N/A,#N/A,FALSE,"1996 PO SUM";#N/A,#N/A,FALSE,"1996 GEOG SUM"}</definedName>
    <definedName name="_poi4" hidden="1">{#N/A,#N/A,FALSE,"CHANGES";#N/A,#N/A,FALSE,"PROD SUMMARY";#N/A,#N/A,FALSE,"1995 PO SUM";#N/A,#N/A,FALSE,"1995 GEOG SUM";#N/A,#N/A,FALSE,"1996 PO SUM";#N/A,#N/A,FALSE,"1996 GEOG SUM"}</definedName>
    <definedName name="_Regression_Int" hidden="1">1</definedName>
    <definedName name="_Sort" localSheetId="0" hidden="1">#REF!</definedName>
    <definedName name="_Sort" hidden="1">#REF!</definedName>
    <definedName name="_Table1_In1" localSheetId="0" hidden="1">[33]Data!#REF!</definedName>
    <definedName name="_Table1_In1" hidden="1">[34]Data!#REF!</definedName>
    <definedName name="_Table1_Out" localSheetId="0" hidden="1">[33]Data!#REF!</definedName>
    <definedName name="_Table1_Out" hidden="1">[34]Data!#REF!</definedName>
    <definedName name="_Table2_In1" localSheetId="0" hidden="1">#REF!</definedName>
    <definedName name="_Table2_In1" hidden="1">#REF!</definedName>
    <definedName name="_UN02" localSheetId="0">#REF!</definedName>
    <definedName name="_UN02">#REF!</definedName>
    <definedName name="_WBS2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 hidden="1">{#N/A,#N/A,FALSE,"TabA";#N/A,#N/A,FALSE,"UTopxFx98";#N/A,#N/A,FALSE,"TopxFx98";#N/A,#N/A,FALSE,"TopxNom"}</definedName>
    <definedName name="AAA" hidden="1">{#N/A,#N/A,FALSE,"TabA";#N/A,#N/A,FALSE,"UTopxFx98";#N/A,#N/A,FALSE,"TopxFx98";#N/A,#N/A,FALSE,"TopxNom"}</definedName>
    <definedName name="AAA_1" localSheetId="0" hidden="1">{#N/A,#N/A,FALSE,"TabA";#N/A,#N/A,FALSE,"UTopxFx98";#N/A,#N/A,FALSE,"TopxFx98";#N/A,#N/A,FALSE,"TopxNom"}</definedName>
    <definedName name="AAA_1" hidden="1">{#N/A,#N/A,FALSE,"TabA";#N/A,#N/A,FALSE,"UTopxFx98";#N/A,#N/A,FALSE,"TopxFx98";#N/A,#N/A,FALSE,"TopxNom"}</definedName>
    <definedName name="aaaa" localSheetId="0" hidden="1">{#N/A,#N/A,FALSE,"TabA";#N/A,#N/A,FALSE,"UTopxFx98";#N/A,#N/A,FALSE,"TopxFx98";#N/A,#N/A,FALSE,"TopxNom"}</definedName>
    <definedName name="aaaa" hidden="1">{#N/A,#N/A,FALSE,"TabA";#N/A,#N/A,FALSE,"UTopxFx98";#N/A,#N/A,FALSE,"TopxFx98";#N/A,#N/A,FALSE,"TopxNom"}</definedName>
    <definedName name="aaaaa" localSheetId="0" hidden="1">{#N/A,#N/A,FALSE,"TabA";#N/A,#N/A,FALSE,"UTopxFx98";#N/A,#N/A,FALSE,"TopxFx98";#N/A,#N/A,FALSE,"TopxNom"}</definedName>
    <definedName name="aaaaa" hidden="1">{#N/A,#N/A,FALSE,"TabA";#N/A,#N/A,FALSE,"UTopxFx98";#N/A,#N/A,FALSE,"TopxFx98";#N/A,#N/A,FALSE,"TopxNom"}</definedName>
    <definedName name="AAB" localSheetId="0" hidden="1">{#N/A,#N/A,FALSE,"TabA";#N/A,#N/A,FALSE,"UTopxFx98";#N/A,#N/A,FALSE,"TopxFx98";#N/A,#N/A,FALSE,"TopxNom"}</definedName>
    <definedName name="AAB" hidden="1">{#N/A,#N/A,FALSE,"TabA";#N/A,#N/A,FALSE,"UTopxFx98";#N/A,#N/A,FALSE,"TopxFx98";#N/A,#N/A,FALSE,"TopxNom"}</definedName>
    <definedName name="aasdr3efafdvvfe" localSheetId="0" hidden="1">{#N/A,#N/A,FALSE,"PRJCTED MNTHLY QTY's"}</definedName>
    <definedName name="aasdr3efafdvvfe" hidden="1">{#N/A,#N/A,FALSE,"PRJCTED MNTHLY QTY's"}</definedName>
    <definedName name="ab" localSheetId="0" hidden="1">{#N/A,#N/A,FALSE,"TabA";#N/A,#N/A,FALSE,"UTopxFx98";#N/A,#N/A,FALSE,"TopxFx98";#N/A,#N/A,FALSE,"TopxNom"}</definedName>
    <definedName name="ab" hidden="1">{#N/A,#N/A,FALSE,"TabA";#N/A,#N/A,FALSE,"UTopxFx98";#N/A,#N/A,FALSE,"TopxFx98";#N/A,#N/A,FALSE,"TopxNom"}</definedName>
    <definedName name="ab_02" localSheetId="0">'[35]MH RATE'!$D$14</definedName>
    <definedName name="ab_02">'[36]MH RATE'!$D$14</definedName>
    <definedName name="ab_03" localSheetId="0">'[35]MH RATE'!$F$14</definedName>
    <definedName name="ab_03">'[36]MH RATE'!$F$14</definedName>
    <definedName name="ab_04" localSheetId="0">'[35]MH RATE'!$H$14</definedName>
    <definedName name="ab_04">'[36]MH RATE'!$H$14</definedName>
    <definedName name="ab_05" localSheetId="0">'[35]MH RATE'!$J$14</definedName>
    <definedName name="ab_05">'[36]MH RATE'!$J$14</definedName>
    <definedName name="ab_HR_M" localSheetId="0">'[35]MH RATE'!$L$14</definedName>
    <definedName name="ab_HR_M">'[36]MH RATE'!$L$14</definedName>
    <definedName name="abandonment_cost" localSheetId="0">'[37]AOR Input'!$E$24</definedName>
    <definedName name="abandonment_cost">'[38]AOR Input'!$E$24</definedName>
    <definedName name="ABANG" localSheetId="0">#REF!</definedName>
    <definedName name="ABANG">#REF!</definedName>
    <definedName name="ABB" localSheetId="0">#REF!</definedName>
    <definedName name="ABB">#REF!</definedName>
    <definedName name="ABB_C" localSheetId="0">#REF!</definedName>
    <definedName name="ABB_C">#REF!</definedName>
    <definedName name="ABC" localSheetId="0" hidden="1">{#N/A,#N/A,FALSE,"CHANGES";#N/A,#N/A,FALSE,"PROD SUMMARY";#N/A,#N/A,FALSE,"1995 PO SUM";#N/A,#N/A,FALSE,"1995 GEOG SUM";#N/A,#N/A,FALSE,"1996 PO SUM";#N/A,#N/A,FALSE,"1996 GEOG SUM"}</definedName>
    <definedName name="ABC" hidden="1">{#N/A,#N/A,FALSE,"CHANGES";#N/A,#N/A,FALSE,"PROD SUMMARY";#N/A,#N/A,FALSE,"1995 PO SUM";#N/A,#N/A,FALSE,"1995 GEOG SUM";#N/A,#N/A,FALSE,"1996 PO SUM";#N/A,#N/A,FALSE,"1996 GEOG SUM"}</definedName>
    <definedName name="ABC_1" localSheetId="0" hidden="1">{#N/A,#N/A,FALSE,"CHANGES";#N/A,#N/A,FALSE,"PROD SUMMARY";#N/A,#N/A,FALSE,"1995 PO SUM";#N/A,#N/A,FALSE,"1995 GEOG SUM";#N/A,#N/A,FALSE,"1996 PO SUM";#N/A,#N/A,FALSE,"1996 GEOG SUM"}</definedName>
    <definedName name="ABC_1" hidden="1">{#N/A,#N/A,FALSE,"CHANGES";#N/A,#N/A,FALSE,"PROD SUMMARY";#N/A,#N/A,FALSE,"1995 PO SUM";#N/A,#N/A,FALSE,"1995 GEOG SUM";#N/A,#N/A,FALSE,"1996 PO SUM";#N/A,#N/A,FALSE,"1996 GEOG SUM"}</definedName>
    <definedName name="abcd" localSheetId="0" hidden="1">{#N/A,#N/A,FALSE,"CHANGES";#N/A,#N/A,FALSE,"PROD SUMMARY";#N/A,#N/A,FALSE,"1995 PO SUM";#N/A,#N/A,FALSE,"1995 GEOG SUM";#N/A,#N/A,FALSE,"1996 PO SUM";#N/A,#N/A,FALSE,"1996 GEOG SUM"}</definedName>
    <definedName name="abcd" hidden="1">{#N/A,#N/A,FALSE,"CHANGES";#N/A,#N/A,FALSE,"PROD SUMMARY";#N/A,#N/A,FALSE,"1995 PO SUM";#N/A,#N/A,FALSE,"1995 GEOG SUM";#N/A,#N/A,FALSE,"1996 PO SUM";#N/A,#N/A,FALSE,"1996 GEOG SUM"}</definedName>
    <definedName name="abcd_1" localSheetId="0" hidden="1">{#N/A,#N/A,FALSE,"CHANGES";#N/A,#N/A,FALSE,"PROD SUMMARY";#N/A,#N/A,FALSE,"1995 PO SUM";#N/A,#N/A,FALSE,"1995 GEOG SUM";#N/A,#N/A,FALSE,"1996 PO SUM";#N/A,#N/A,FALSE,"1996 GEOG SUM"}</definedName>
    <definedName name="abcd_1" hidden="1">{#N/A,#N/A,FALSE,"CHANGES";#N/A,#N/A,FALSE,"PROD SUMMARY";#N/A,#N/A,FALSE,"1995 PO SUM";#N/A,#N/A,FALSE,"1995 GEOG SUM";#N/A,#N/A,FALSE,"1996 PO SUM";#N/A,#N/A,FALSE,"1996 GEOG SUM"}</definedName>
    <definedName name="ABCDE" localSheetId="0" hidden="1">{#N/A,#N/A,FALSE,"CHANGES";#N/A,#N/A,FALSE,"PROD SUMMARY";#N/A,#N/A,FALSE,"1995 PO SUM";#N/A,#N/A,FALSE,"1995 GEOG SUM";#N/A,#N/A,FALSE,"1996 PO SUM";#N/A,#N/A,FALSE,"1996 GEOG SUM"}</definedName>
    <definedName name="ABCDE" hidden="1">{#N/A,#N/A,FALSE,"CHANGES";#N/A,#N/A,FALSE,"PROD SUMMARY";#N/A,#N/A,FALSE,"1995 PO SUM";#N/A,#N/A,FALSE,"1995 GEOG SUM";#N/A,#N/A,FALSE,"1996 PO SUM";#N/A,#N/A,FALSE,"1996 GEOG SUM"}</definedName>
    <definedName name="ABN" localSheetId="0">#REF!</definedName>
    <definedName name="ABN">#REF!</definedName>
    <definedName name="ABN_C" localSheetId="0">#REF!</definedName>
    <definedName name="ABN_C">#REF!</definedName>
    <definedName name="AccessDatabase" hidden="1">"D:\D4914_~5.mdb"</definedName>
    <definedName name="Accomplishments_Text" localSheetId="0">#REF!</definedName>
    <definedName name="Accomplishments_Text">#REF!</definedName>
    <definedName name="acm_a_cost" localSheetId="0">#REF!</definedName>
    <definedName name="acm_a_cost">#REF!</definedName>
    <definedName name="acm_a_MM" localSheetId="0">#REF!</definedName>
    <definedName name="acm_a_MM">#REF!</definedName>
    <definedName name="acm_b_cost">#REF!</definedName>
    <definedName name="acm_b_mm">#REF!</definedName>
    <definedName name="acm_f_cost">#REF!</definedName>
    <definedName name="acm_f_mm">#REF!</definedName>
    <definedName name="acm_MM">#REF!</definedName>
    <definedName name="ACONTRAC" localSheetId="0" hidden="1">'[39]Cashflow Analysis'!#REF!</definedName>
    <definedName name="ACONTRAC" hidden="1">'[40]Cashflow Analysis'!#REF!</definedName>
    <definedName name="ACT" localSheetId="0">#REF!</definedName>
    <definedName name="ACT">#REF!</definedName>
    <definedName name="ACTC" localSheetId="0">#REF!</definedName>
    <definedName name="ACTC">#REF!</definedName>
    <definedName name="ACTE">#REF!</definedName>
    <definedName name="ACTF">#REF!</definedName>
    <definedName name="ACTI">#REF!</definedName>
    <definedName name="ACTIVITY">#REF!</definedName>
    <definedName name="ACTM">#REF!</definedName>
    <definedName name="ACTO">#REF!</definedName>
    <definedName name="ACTP">#REF!</definedName>
    <definedName name="ACTT">#REF!</definedName>
    <definedName name="ACwvu.ACT._.EARNINGS." localSheetId="0" hidden="1">#REF!</definedName>
    <definedName name="ACwvu.ACT._.EARNINGS." hidden="1">#REF!</definedName>
    <definedName name="ACwvu.CONLEY." localSheetId="0" hidden="1">'[41]OPEX REPORT'!#REF!</definedName>
    <definedName name="ACwvu.CONLEY." hidden="1">'[42]OPEX REPORT'!#REF!</definedName>
    <definedName name="ACwvu.Japan_Capers_Ed_Pub." localSheetId="0" hidden="1">'[43]THREE VARIABLES'!$N$1:$V$165</definedName>
    <definedName name="ACwvu.Japan_Capers_Ed_Pub." hidden="1">'[44]THREE VARIABLES'!$N$1:$V$165</definedName>
    <definedName name="ACwvu.KJP_CC." localSheetId="0" hidden="1">'[43]THREE VARIABLES'!$N$4:$U$165</definedName>
    <definedName name="ACwvu.KJP_CC." hidden="1">'[44]THREE VARIABLES'!$N$4:$U$165</definedName>
    <definedName name="ACwvu.STEW._.COVER2." localSheetId="0" hidden="1">#REF!</definedName>
    <definedName name="ACwvu.STEW._.COVER2." hidden="1">#REF!</definedName>
    <definedName name="ACwvu.STEW._.EARNINGS." localSheetId="0" hidden="1">#REF!</definedName>
    <definedName name="ACwvu.STEW._.EARNINGS." hidden="1">#REF!</definedName>
    <definedName name="ACwvu.STEW._.GAS." localSheetId="0" hidden="1">#REF!</definedName>
    <definedName name="ACwvu.STEW._.GAS." hidden="1">#REF!</definedName>
    <definedName name="ACwvu.stew._.rept." localSheetId="0" hidden="1">'[41]OPEX REPORT'!$J$20</definedName>
    <definedName name="ACwvu.stew._.rept." hidden="1">'[42]OPEX REPORT'!$J$20</definedName>
    <definedName name="ACwvu.STEW._.RPT." localSheetId="0" hidden="1">'[41]OPEX REPORT'!$B$3:$S$38</definedName>
    <definedName name="ACwvu.STEW._.RPT." hidden="1">'[42]OPEX REPORT'!$B$3:$S$38</definedName>
    <definedName name="adasda" localSheetId="0" hidden="1">{#N/A,#N/A,FALSE,"TabA";#N/A,#N/A,FALSE,"UTopxFx98";#N/A,#N/A,FALSE,"TopxFx98";#N/A,#N/A,FALSE,"TopxNom"}</definedName>
    <definedName name="adasda" hidden="1">{#N/A,#N/A,FALSE,"TabA";#N/A,#N/A,FALSE,"UTopxFx98";#N/A,#N/A,FALSE,"TopxFx98";#N/A,#N/A,FALSE,"TopxNom"}</definedName>
    <definedName name="adf" localSheetId="0" hidden="1">{#N/A,#N/A,FALSE,"CHANGES";#N/A,#N/A,FALSE,"PROD SUMMARY";#N/A,#N/A,FALSE,"1995 PO SUM";#N/A,#N/A,FALSE,"1995 GEOG SUM";#N/A,#N/A,FALSE,"1996 PO SUM";#N/A,#N/A,FALSE,"1996 GEOG SUM"}</definedName>
    <definedName name="adf" hidden="1">{#N/A,#N/A,FALSE,"CHANGES";#N/A,#N/A,FALSE,"PROD SUMMARY";#N/A,#N/A,FALSE,"1995 PO SUM";#N/A,#N/A,FALSE,"1995 GEOG SUM";#N/A,#N/A,FALSE,"1996 PO SUM";#N/A,#N/A,FALSE,"1996 GEOG SUM"}</definedName>
    <definedName name="adf_1" localSheetId="0" hidden="1">{#N/A,#N/A,FALSE,"CHANGES";#N/A,#N/A,FALSE,"PROD SUMMARY";#N/A,#N/A,FALSE,"1995 PO SUM";#N/A,#N/A,FALSE,"1995 GEOG SUM";#N/A,#N/A,FALSE,"1996 PO SUM";#N/A,#N/A,FALSE,"1996 GEOG SUM"}</definedName>
    <definedName name="adf_1" hidden="1">{#N/A,#N/A,FALSE,"CHANGES";#N/A,#N/A,FALSE,"PROD SUMMARY";#N/A,#N/A,FALSE,"1995 PO SUM";#N/A,#N/A,FALSE,"1995 GEOG SUM";#N/A,#N/A,FALSE,"1996 PO SUM";#N/A,#N/A,FALSE,"1996 GEOG SUM"}</definedName>
    <definedName name="adfda" localSheetId="0" hidden="1">{"'Sheet1'!$A$1:$I$38"}</definedName>
    <definedName name="adfda" hidden="1">{"'Sheet1'!$A$1:$I$38"}</definedName>
    <definedName name="ADFF" localSheetId="0" hidden="1">{#N/A,#N/A,FALSE,"CHANGES";#N/A,#N/A,FALSE,"PROD SUMMARY";#N/A,#N/A,FALSE,"1995 PO SUM";#N/A,#N/A,FALSE,"1995 GEOG SUM";#N/A,#N/A,FALSE,"1996 PO SUM";#N/A,#N/A,FALSE,"1996 GEOG SUM"}</definedName>
    <definedName name="ADFF" hidden="1">{#N/A,#N/A,FALSE,"CHANGES";#N/A,#N/A,FALSE,"PROD SUMMARY";#N/A,#N/A,FALSE,"1995 PO SUM";#N/A,#N/A,FALSE,"1995 GEOG SUM";#N/A,#N/A,FALSE,"1996 PO SUM";#N/A,#N/A,FALSE,"1996 GEOG SUM"}</definedName>
    <definedName name="adsf" localSheetId="0" hidden="1">{#N/A,#N/A,FALSE,"TabA";#N/A,#N/A,FALSE,"UTopxFx98";#N/A,#N/A,FALSE,"TopxFx98";#N/A,#N/A,FALSE,"TopxNom"}</definedName>
    <definedName name="adsf" hidden="1">{#N/A,#N/A,FALSE,"TabA";#N/A,#N/A,FALSE,"UTopxFx98";#N/A,#N/A,FALSE,"TopxFx98";#N/A,#N/A,FALSE,"TopxNom"}</definedName>
    <definedName name="adsf2" localSheetId="0" hidden="1">{#N/A,#N/A,FALSE,"TabA";#N/A,#N/A,FALSE,"UTopxFx98";#N/A,#N/A,FALSE,"TopxFx98";#N/A,#N/A,FALSE,"TopxNom"}</definedName>
    <definedName name="adsf2" hidden="1">{#N/A,#N/A,FALSE,"TabA";#N/A,#N/A,FALSE,"UTopxFx98";#N/A,#N/A,FALSE,"TopxFx98";#N/A,#N/A,FALSE,"TopxNom"}</definedName>
    <definedName name="adsgdsgds" localSheetId="0" hidden="1">{"'Sheet1'!$A$1:$I$38"}</definedName>
    <definedName name="adsgdsgds" hidden="1">{"'Sheet1'!$A$1:$I$38"}</definedName>
    <definedName name="aedd1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aedd1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aedd2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aedd2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agemo" localSheetId="0" hidden="1">{#N/A,#N/A,FALSE,"CHANGES";#N/A,#N/A,FALSE,"PROD SUMMARY";#N/A,#N/A,FALSE,"1995 PO SUM";#N/A,#N/A,FALSE,"1995 GEOG SUM";#N/A,#N/A,FALSE,"1996 PO SUM";#N/A,#N/A,FALSE,"1996 GEOG SUM"}</definedName>
    <definedName name="agemo" hidden="1">{#N/A,#N/A,FALSE,"CHANGES";#N/A,#N/A,FALSE,"PROD SUMMARY";#N/A,#N/A,FALSE,"1995 PO SUM";#N/A,#N/A,FALSE,"1995 GEOG SUM";#N/A,#N/A,FALSE,"1996 PO SUM";#N/A,#N/A,FALSE,"1996 GEOG SUM"}</definedName>
    <definedName name="ahd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ahd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AIRFARE" localSheetId="0">#REF!</definedName>
    <definedName name="AIRFARE">#REF!</definedName>
    <definedName name="al_12m" localSheetId="0">[35]ALLOWANCE!$C$8</definedName>
    <definedName name="al_12m">[36]ALLOWANCE!$C$8</definedName>
    <definedName name="al_24m" localSheetId="0">[35]ALLOWANCE!$D$8</definedName>
    <definedName name="al_24m">[36]ALLOWANCE!$D$8</definedName>
    <definedName name="al_25m" localSheetId="0">[35]ALLOWANCE!$E$8</definedName>
    <definedName name="al_25m">[36]ALLOWANCE!$E$8</definedName>
    <definedName name="al_R" localSheetId="0">[45]ALLOWANCE!$B$8</definedName>
    <definedName name="al_R">[45]ALLOWANCE!$B$8</definedName>
    <definedName name="aleph" localSheetId="0" hidden="1">{#N/A,#N/A,FALSE,"CHANGES";#N/A,#N/A,FALSE,"PROD SUMMARY";#N/A,#N/A,FALSE,"1995 PO SUM";#N/A,#N/A,FALSE,"1995 GEOG SUM";#N/A,#N/A,FALSE,"1996 PO SUM";#N/A,#N/A,FALSE,"1996 GEOG SUM"}</definedName>
    <definedName name="aleph" hidden="1">{#N/A,#N/A,FALSE,"CHANGES";#N/A,#N/A,FALSE,"PROD SUMMARY";#N/A,#N/A,FALSE,"1995 PO SUM";#N/A,#N/A,FALSE,"1995 GEOG SUM";#N/A,#N/A,FALSE,"1996 PO SUM";#N/A,#N/A,FALSE,"1996 GEOG SUM"}</definedName>
    <definedName name="allepf" localSheetId="0" hidden="1">#REF!</definedName>
    <definedName name="allepf" hidden="1">#REF!</definedName>
    <definedName name="Allocated" localSheetId="0" hidden="1">{#N/A,#N/A,TRUE,"PRODUCTION CAPEX OVERVIEW";#N/A,#N/A,TRUE,"Affiliate Detail";#N/A,#N/A,TRUE,"CAPEX PLANNING OVERVIEW"}</definedName>
    <definedName name="Allocated" hidden="1">{#N/A,#N/A,TRUE,"PRODUCTION CAPEX OVERVIEW";#N/A,#N/A,TRUE,"Affiliate Detail";#N/A,#N/A,TRUE,"CAPEX PLANNING OVERVIEW"}</definedName>
    <definedName name="ALLOCATION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ALLOCATION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Allowances" localSheetId="0">#REF!</definedName>
    <definedName name="Allowances">#REF!</definedName>
    <definedName name="ALPA" localSheetId="0" hidden="1">{#N/A,#N/A,FALSE,"CHANGES";#N/A,#N/A,FALSE,"PROD SUMMARY";#N/A,#N/A,FALSE,"1995 PO SUM";#N/A,#N/A,FALSE,"1995 GEOG SUM";#N/A,#N/A,FALSE,"1996 PO SUM";#N/A,#N/A,FALSE,"1996 GEOG SUM"}</definedName>
    <definedName name="ALPA" hidden="1">{#N/A,#N/A,FALSE,"CHANGES";#N/A,#N/A,FALSE,"PROD SUMMARY";#N/A,#N/A,FALSE,"1995 PO SUM";#N/A,#N/A,FALSE,"1995 GEOG SUM";#N/A,#N/A,FALSE,"1996 PO SUM";#N/A,#N/A,FALSE,"1996 GEOG SUM"}</definedName>
    <definedName name="ALPA_1" localSheetId="0" hidden="1">{#N/A,#N/A,FALSE,"CHANGES";#N/A,#N/A,FALSE,"PROD SUMMARY";#N/A,#N/A,FALSE,"1995 PO SUM";#N/A,#N/A,FALSE,"1995 GEOG SUM";#N/A,#N/A,FALSE,"1996 PO SUM";#N/A,#N/A,FALSE,"1996 GEOG SUM"}</definedName>
    <definedName name="ALPA_1" hidden="1">{#N/A,#N/A,FALSE,"CHANGES";#N/A,#N/A,FALSE,"PROD SUMMARY";#N/A,#N/A,FALSE,"1995 PO SUM";#N/A,#N/A,FALSE,"1995 GEOG SUM";#N/A,#N/A,FALSE,"1996 PO SUM";#N/A,#N/A,FALSE,"1996 GEOG SUM"}</definedName>
    <definedName name="alpha" localSheetId="0" hidden="1">{#N/A,#N/A,FALSE,"CHANGES";#N/A,#N/A,FALSE,"PROD SUMMARY";#N/A,#N/A,FALSE,"1995 PO SUM";#N/A,#N/A,FALSE,"1995 GEOG SUM";#N/A,#N/A,FALSE,"1996 PO SUM";#N/A,#N/A,FALSE,"1996 GEOG SUM"}</definedName>
    <definedName name="alpha" hidden="1">{#N/A,#N/A,FALSE,"CHANGES";#N/A,#N/A,FALSE,"PROD SUMMARY";#N/A,#N/A,FALSE,"1995 PO SUM";#N/A,#N/A,FALSE,"1995 GEOG SUM";#N/A,#N/A,FALSE,"1996 PO SUM";#N/A,#N/A,FALSE,"1996 GEOG SUM"}</definedName>
    <definedName name="alpha_1" localSheetId="0" hidden="1">{#N/A,#N/A,FALSE,"CHANGES";#N/A,#N/A,FALSE,"PROD SUMMARY";#N/A,#N/A,FALSE,"1995 PO SUM";#N/A,#N/A,FALSE,"1995 GEOG SUM";#N/A,#N/A,FALSE,"1996 PO SUM";#N/A,#N/A,FALSE,"1996 GEOG SUM"}</definedName>
    <definedName name="alpha_1" hidden="1">{#N/A,#N/A,FALSE,"CHANGES";#N/A,#N/A,FALSE,"PROD SUMMARY";#N/A,#N/A,FALSE,"1995 PO SUM";#N/A,#N/A,FALSE,"1995 GEOG SUM";#N/A,#N/A,FALSE,"1996 PO SUM";#N/A,#N/A,FALSE,"1996 GEOG SUM"}</definedName>
    <definedName name="Alternate_Butane_price" localSheetId="0">#REF!</definedName>
    <definedName name="Alternate_Butane_price">#REF!</definedName>
    <definedName name="Alternate_C5_price" localSheetId="0">#REF!</definedName>
    <definedName name="Alternate_C5_price">#REF!</definedName>
    <definedName name="Alternate_pricing" localSheetId="0">#REF!</definedName>
    <definedName name="Alternate_pricing">#REF!</definedName>
    <definedName name="Alternate_Propane_price">#REF!</definedName>
    <definedName name="Amine" localSheetId="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Amine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Amount" localSheetId="0">#REF!</definedName>
    <definedName name="Amount">#REF!</definedName>
    <definedName name="an" localSheetId="0" hidden="1">{"'Sheet1'!$A$1:$I$38"}</definedName>
    <definedName name="an" hidden="1">{"'Sheet1'!$A$1:$I$38"}</definedName>
    <definedName name="an_02" localSheetId="0">'[35]MH RATE'!$D$15</definedName>
    <definedName name="an_02">'[36]MH RATE'!$D$15</definedName>
    <definedName name="an_03" localSheetId="0">'[35]MH RATE'!$F$15</definedName>
    <definedName name="an_03">'[36]MH RATE'!$F$15</definedName>
    <definedName name="an_04" localSheetId="0">'[35]MH RATE'!$H$15</definedName>
    <definedName name="an_04">'[36]MH RATE'!$H$15</definedName>
    <definedName name="an_05" localSheetId="0">'[35]MH RATE'!$J$15</definedName>
    <definedName name="an_05">'[36]MH RATE'!$J$15</definedName>
    <definedName name="an_HR_M" localSheetId="0">'[35]MH RATE'!$L$15</definedName>
    <definedName name="an_HR_M">'[36]MH RATE'!$L$15</definedName>
    <definedName name="Anchor" localSheetId="0">#REF!</definedName>
    <definedName name="Anchor">#REF!</definedName>
    <definedName name="anscount" hidden="1">10</definedName>
    <definedName name="Appendix" localSheetId="0" hidden="1">{#N/A,#N/A,FALSE,"TabA";#N/A,#N/A,FALSE,"UTopxFx98";#N/A,#N/A,FALSE,"TopxFx98";#N/A,#N/A,FALSE,"TopxNom"}</definedName>
    <definedName name="Appendix" hidden="1">{#N/A,#N/A,FALSE,"TabA";#N/A,#N/A,FALSE,"UTopxFx98";#N/A,#N/A,FALSE,"TopxFx98";#N/A,#N/A,FALSE,"TopxNom"}</definedName>
    <definedName name="are" localSheetId="0" hidden="1">{#N/A,#N/A,FALSE,"TabA";#N/A,#N/A,FALSE,"UTopxFx98";#N/A,#N/A,FALSE,"TopxFx98";#N/A,#N/A,FALSE,"TopxNom"}</definedName>
    <definedName name="are" hidden="1">{#N/A,#N/A,FALSE,"TabA";#N/A,#N/A,FALSE,"UTopxFx98";#N/A,#N/A,FALSE,"TopxFx98";#N/A,#N/A,FALSE,"TopxNom"}</definedName>
    <definedName name="asdc3easwrevbv" localSheetId="0" hidden="1">{#N/A,#N/A,FALSE,"PRJCTED QTRLY QTY's"}</definedName>
    <definedName name="asdc3easwrevbv" hidden="1">{#N/A,#N/A,FALSE,"PRJCTED QTRLY QTY's"}</definedName>
    <definedName name="asdf" localSheetId="0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asdf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asdfasdfasdghrewr" localSheetId="0" hidden="1">{#N/A,#N/A,FALSE,"DI 2 YEAR MASTER SCHEDULE"}</definedName>
    <definedName name="asdfasdfasdghrewr" hidden="1">{#N/A,#N/A,FALSE,"DI 2 YEAR MASTER SCHEDULE"}</definedName>
    <definedName name="asdfasfdasdfsadfa" localSheetId="0" hidden="1">{#N/A,#N/A,FALSE,"DI 2 YEAR MASTER SCHEDULE"}</definedName>
    <definedName name="asdfasfdasdfsadfa" hidden="1">{#N/A,#N/A,FALSE,"DI 2 YEAR MASTER SCHEDULE"}</definedName>
    <definedName name="asdff" localSheetId="0" hidden="1">{#N/A,#N/A,FALSE,"CHANGES";#N/A,#N/A,FALSE,"PROD SUMMARY";#N/A,#N/A,FALSE,"1995 PO SUM";#N/A,#N/A,FALSE,"1995 GEOG SUM";#N/A,#N/A,FALSE,"1996 PO SUM";#N/A,#N/A,FALSE,"1996 GEOG SUM"}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f_1" localSheetId="0" hidden="1">{#N/A,#N/A,FALSE,"CHANGES";#N/A,#N/A,FALSE,"PROD SUMMARY";#N/A,#N/A,FALSE,"1995 PO SUM";#N/A,#N/A,FALSE,"1995 GEOG SUM";#N/A,#N/A,FALSE,"1996 PO SUM";#N/A,#N/A,FALSE,"1996 GEOG SUM"}</definedName>
    <definedName name="asdff_1" hidden="1">{#N/A,#N/A,FALSE,"CHANGES";#N/A,#N/A,FALSE,"PROD SUMMARY";#N/A,#N/A,FALSE,"1995 PO SUM";#N/A,#N/A,FALSE,"1995 GEOG SUM";#N/A,#N/A,FALSE,"1996 PO SUM";#N/A,#N/A,FALSE,"1996 GEOG SUM"}</definedName>
    <definedName name="asdfx" localSheetId="0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asdfx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asdr43gasfdasd" localSheetId="0" hidden="1">{#N/A,#N/A,FALSE,"DI 2 YEAR MASTER SCHEDULE"}</definedName>
    <definedName name="asdr43gasfdasd" hidden="1">{#N/A,#N/A,FALSE,"DI 2 YEAR MASTER SCHEDULE"}</definedName>
    <definedName name="astjul07" localSheetId="0" hidden="1">{#N/A,#N/A,TRUE,"Total CAF Charts";#N/A,#N/A,TRUE,"Total CAF Charts (3)";#N/A,#N/A,TRUE,"CAF Technical Charts";#N/A,#N/A,TRUE,"CAF Support Charts";#N/A,#N/A,TRUE,"Opns Tech Charts";#N/A,#N/A,TRUE,"Other CAF KPI Charts"}</definedName>
    <definedName name="astjul07" hidden="1">{#N/A,#N/A,TRUE,"Total CAF Charts";#N/A,#N/A,TRUE,"Total CAF Charts (3)";#N/A,#N/A,TRUE,"CAF Technical Charts";#N/A,#N/A,TRUE,"CAF Support Charts";#N/A,#N/A,TRUE,"Opns Tech Charts";#N/A,#N/A,TRUE,"Other CAF KPI Charts"}</definedName>
    <definedName name="asvdf34" localSheetId="0" hidden="1">{"Japan_Capers_Ed_Pub",#N/A,FALSE,"DI 2 YEAR MASTER SCHEDULE"}</definedName>
    <definedName name="asvdf34" hidden="1">{"Japan_Capers_Ed_Pub",#N/A,FALSE,"DI 2 YEAR MASTER SCHEDULE"}</definedName>
    <definedName name="AUTHOR" localSheetId="0">#REF!</definedName>
    <definedName name="AUTHOR">#REF!</definedName>
    <definedName name="_xlnm.Auto_Open_DfxpcHook" localSheetId="0" hidden="1">[46]!Main.DfxpcHook</definedName>
    <definedName name="_xlnm.Auto_Open_DfxpcHook" hidden="1">[47]!Main.DfxpcHook</definedName>
    <definedName name="Autorow" localSheetId="0">'[48]PTD Costs'!$3:$3</definedName>
    <definedName name="Autorow">'[49]PTD Costs'!$3:$3</definedName>
    <definedName name="AUXILIARY1" localSheetId="0">#REF!</definedName>
    <definedName name="AUXILIARY1">#REF!</definedName>
    <definedName name="AUXILIARY2" localSheetId="0">#REF!</definedName>
    <definedName name="AUXILIARY2">#REF!</definedName>
    <definedName name="AUXILIARY3" localSheetId="0">#REF!</definedName>
    <definedName name="AUXILIARY3">#REF!</definedName>
    <definedName name="Availability">#REF!</definedName>
    <definedName name="aw" localSheetId="0" hidden="1">{"'Sheet1'!$A$1:$I$38"}</definedName>
    <definedName name="aw" hidden="1">{"'Sheet1'!$A$1:$I$38"}</definedName>
    <definedName name="B" localSheetId="0" hidden="1">{#N/A,#N/A,FALSE,"CHANGES";#N/A,#N/A,FALSE,"PROD SUMMARY";#N/A,#N/A,FALSE,"1995 PO SUM";#N/A,#N/A,FALSE,"1995 GEOG SUM";#N/A,#N/A,FALSE,"1996 PO SUM";#N/A,#N/A,FALSE,"1996 GEOG SUM"}</definedName>
    <definedName name="B" hidden="1">{#N/A,#N/A,FALSE,"CHANGES";#N/A,#N/A,FALSE,"PROD SUMMARY";#N/A,#N/A,FALSE,"1995 PO SUM";#N/A,#N/A,FALSE,"1995 GEOG SUM";#N/A,#N/A,FALSE,"1996 PO SUM";#N/A,#N/A,FALSE,"1996 GEOG SUM"}</definedName>
    <definedName name="Back_Color" localSheetId="0">#REF!</definedName>
    <definedName name="Back_Color">#REF!</definedName>
    <definedName name="Bar_Height" localSheetId="0">#REF!</definedName>
    <definedName name="Bar_Height">#REF!</definedName>
    <definedName name="Base_Line" localSheetId="0">#REF!</definedName>
    <definedName name="Base_Line">#REF!</definedName>
    <definedName name="BBB" localSheetId="0" hidden="1">{#N/A,#N/A,FALSE,"TabA";#N/A,#N/A,FALSE,"UTopxFx98";#N/A,#N/A,FALSE,"TopxFx98";#N/A,#N/A,FALSE,"TopxNom"}</definedName>
    <definedName name="BBB" hidden="1">{#N/A,#N/A,FALSE,"TabA";#N/A,#N/A,FALSE,"UTopxFx98";#N/A,#N/A,FALSE,"TopxFx98";#N/A,#N/A,FALSE,"TopxNom"}</definedName>
    <definedName name="BBB_1" localSheetId="0" hidden="1">{#N/A,#N/A,FALSE,"TabA";#N/A,#N/A,FALSE,"UTopxFx98";#N/A,#N/A,FALSE,"TopxFx98";#N/A,#N/A,FALSE,"TopxNom"}</definedName>
    <definedName name="BBB_1" hidden="1">{#N/A,#N/A,FALSE,"TabA";#N/A,#N/A,FALSE,"UTopxFx98";#N/A,#N/A,FALSE,"TopxFx98";#N/A,#N/A,FALSE,"TopxNom"}</definedName>
    <definedName name="beat" localSheetId="0" hidden="1">{#N/A,#N/A,FALSE,"CHANGES";#N/A,#N/A,FALSE,"PROD SUMMARY";#N/A,#N/A,FALSE,"1995 PO SUM";#N/A,#N/A,FALSE,"1995 GEOG SUM";#N/A,#N/A,FALSE,"1996 PO SUM";#N/A,#N/A,FALSE,"1996 GEOG SUM"}</definedName>
    <definedName name="beat" hidden="1">{#N/A,#N/A,FALSE,"CHANGES";#N/A,#N/A,FALSE,"PROD SUMMARY";#N/A,#N/A,FALSE,"1995 PO SUM";#N/A,#N/A,FALSE,"1995 GEOG SUM";#N/A,#N/A,FALSE,"1996 PO SUM";#N/A,#N/A,FALSE,"1996 GEOG SUM"}</definedName>
    <definedName name="BETA" localSheetId="0" hidden="1">{#N/A,#N/A,FALSE,"CHANGES";#N/A,#N/A,FALSE,"PROD SUMMARY";#N/A,#N/A,FALSE,"1995 PO SUM";#N/A,#N/A,FALSE,"1995 GEOG SUM";#N/A,#N/A,FALSE,"1996 PO SUM";#N/A,#N/A,FALSE,"1996 GEOG SUM"}</definedName>
    <definedName name="BETA" hidden="1">{#N/A,#N/A,FALSE,"CHANGES";#N/A,#N/A,FALSE,"PROD SUMMARY";#N/A,#N/A,FALSE,"1995 PO SUM";#N/A,#N/A,FALSE,"1995 GEOG SUM";#N/A,#N/A,FALSE,"1996 PO SUM";#N/A,#N/A,FALSE,"1996 GEOG SUM"}</definedName>
    <definedName name="BETA_1" localSheetId="0" hidden="1">{#N/A,#N/A,FALSE,"CHANGES";#N/A,#N/A,FALSE,"PROD SUMMARY";#N/A,#N/A,FALSE,"1995 PO SUM";#N/A,#N/A,FALSE,"1995 GEOG SUM";#N/A,#N/A,FALSE,"1996 PO SUM";#N/A,#N/A,FALSE,"1996 GEOG SUM"}</definedName>
    <definedName name="BETA_1" hidden="1">{#N/A,#N/A,FALSE,"CHANGES";#N/A,#N/A,FALSE,"PROD SUMMARY";#N/A,#N/A,FALSE,"1995 PO SUM";#N/A,#N/A,FALSE,"1995 GEOG SUM";#N/A,#N/A,FALSE,"1996 PO SUM";#N/A,#N/A,FALSE,"1996 GEOG SUM"}</definedName>
    <definedName name="BETA1" localSheetId="0" hidden="1">{#N/A,#N/A,FALSE,"CHANGES";#N/A,#N/A,FALSE,"PROD SUMMARY";#N/A,#N/A,FALSE,"1995 PO SUM";#N/A,#N/A,FALSE,"1995 GEOG SUM";#N/A,#N/A,FALSE,"1996 PO SUM";#N/A,#N/A,FALSE,"1996 GEOG SUM"}</definedName>
    <definedName name="BETA1" hidden="1">{#N/A,#N/A,FALSE,"CHANGES";#N/A,#N/A,FALSE,"PROD SUMMARY";#N/A,#N/A,FALSE,"1995 PO SUM";#N/A,#N/A,FALSE,"1995 GEOG SUM";#N/A,#N/A,FALSE,"1996 PO SUM";#N/A,#N/A,FALSE,"1996 GEOG SUM"}</definedName>
    <definedName name="BETA1_1" localSheetId="0" hidden="1">{#N/A,#N/A,FALSE,"CHANGES";#N/A,#N/A,FALSE,"PROD SUMMARY";#N/A,#N/A,FALSE,"1995 PO SUM";#N/A,#N/A,FALSE,"1995 GEOG SUM";#N/A,#N/A,FALSE,"1996 PO SUM";#N/A,#N/A,FALSE,"1996 GEOG SUM"}</definedName>
    <definedName name="BETA1_1" hidden="1">{#N/A,#N/A,FALSE,"CHANGES";#N/A,#N/A,FALSE,"PROD SUMMARY";#N/A,#N/A,FALSE,"1995 PO SUM";#N/A,#N/A,FALSE,"1995 GEOG SUM";#N/A,#N/A,FALSE,"1996 PO SUM";#N/A,#N/A,FALSE,"1996 GEOG SUM"}</definedName>
    <definedName name="beta2" localSheetId="0" hidden="1">{#N/A,#N/A,FALSE,"CHANGES";#N/A,#N/A,FALSE,"PROD SUMMARY";#N/A,#N/A,FALSE,"1995 PO SUM";#N/A,#N/A,FALSE,"1995 GEOG SUM";#N/A,#N/A,FALSE,"1996 PO SUM";#N/A,#N/A,FALSE,"1996 GEOG SUM"}</definedName>
    <definedName name="beta2" hidden="1">{#N/A,#N/A,FALSE,"CHANGES";#N/A,#N/A,FALSE,"PROD SUMMARY";#N/A,#N/A,FALSE,"1995 PO SUM";#N/A,#N/A,FALSE,"1995 GEOG SUM";#N/A,#N/A,FALSE,"1996 PO SUM";#N/A,#N/A,FALSE,"1996 GEOG SUM"}</definedName>
    <definedName name="beta2_1" localSheetId="0" hidden="1">{#N/A,#N/A,FALSE,"CHANGES";#N/A,#N/A,FALSE,"PROD SUMMARY";#N/A,#N/A,FALSE,"1995 PO SUM";#N/A,#N/A,FALSE,"1995 GEOG SUM";#N/A,#N/A,FALSE,"1996 PO SUM";#N/A,#N/A,FALSE,"1996 GEOG SUM"}</definedName>
    <definedName name="beta2_1" hidden="1">{#N/A,#N/A,FALSE,"CHANGES";#N/A,#N/A,FALSE,"PROD SUMMARY";#N/A,#N/A,FALSE,"1995 PO SUM";#N/A,#N/A,FALSE,"1995 GEOG SUM";#N/A,#N/A,FALSE,"1996 PO SUM";#N/A,#N/A,FALSE,"1996 GEOG SUM"}</definedName>
    <definedName name="BFDS" localSheetId="0" hidden="1">{#N/A,#N/A,FALSE,"TabA";#N/A,#N/A,FALSE,"UTopxFx98";#N/A,#N/A,FALSE,"TopxFx98";#N/A,#N/A,FALSE,"TopxNom"}</definedName>
    <definedName name="BFDS" hidden="1">{#N/A,#N/A,FALSE,"TabA";#N/A,#N/A,FALSE,"UTopxFx98";#N/A,#N/A,FALSE,"TopxFx98";#N/A,#N/A,FALSE,"TopxNom"}</definedName>
    <definedName name="bggdsffygxvcy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bggdsffygxvcy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Bill" localSheetId="0" hidden="1">{#N/A,#N/A,FALSE,"COPERTINA"}</definedName>
    <definedName name="Bill" hidden="1">{#N/A,#N/A,FALSE,"COPERTINA"}</definedName>
    <definedName name="Billing_Rate" localSheetId="0">#REF!</definedName>
    <definedName name="Billing_Rate">#REF!</definedName>
    <definedName name="Billing_Rate_03" localSheetId="0">#REF!</definedName>
    <definedName name="Billing_Rate_03">#REF!</definedName>
    <definedName name="Billing_Rate_04" localSheetId="0">#REF!</definedName>
    <definedName name="Billing_Rate_04">#REF!</definedName>
    <definedName name="Billing_Rate_05" localSheetId="0">[50]JAF!$AS$78</definedName>
    <definedName name="Billing_Rate_05">[51]JAF!$AS$78</definedName>
    <definedName name="Billing_Rate_06" localSheetId="0">#REF!</definedName>
    <definedName name="Billing_Rate_06">#REF!</definedName>
    <definedName name="Billing_Rate_07" localSheetId="0">#REF!</definedName>
    <definedName name="Billing_Rate_07">#REF!</definedName>
    <definedName name="Billing_Rate_08" localSheetId="0">'[52]Plan$'!#REF!</definedName>
    <definedName name="Billing_Rate_08">'[53]Plan$'!#REF!</definedName>
    <definedName name="Billing_Rate_09" localSheetId="0">'[52]Plan$'!#REF!</definedName>
    <definedName name="Billing_Rate_09">'[53]Plan$'!#REF!</definedName>
    <definedName name="blessing" localSheetId="0" hidden="1">{#N/A,#N/A,FALSE,"TabA";#N/A,#N/A,FALSE,"UTopxFx98";#N/A,#N/A,FALSE,"TopxFx98";#N/A,#N/A,FALSE,"TopxNom"}</definedName>
    <definedName name="blessing" hidden="1">{#N/A,#N/A,FALSE,"TabA";#N/A,#N/A,FALSE,"UTopxFx98";#N/A,#N/A,FALSE,"TopxFx98";#N/A,#N/A,FALSE,"TopxNom"}</definedName>
    <definedName name="bm" localSheetId="0" hidden="1">{#N/A,#N/A,FALSE,"CHANGES";#N/A,#N/A,FALSE,"PROD SUMMARY";#N/A,#N/A,FALSE,"1995 PO SUM";#N/A,#N/A,FALSE,"1995 GEOG SUM";#N/A,#N/A,FALSE,"1996 PO SUM";#N/A,#N/A,FALSE,"1996 GEOG SUM"}</definedName>
    <definedName name="bm" hidden="1">{#N/A,#N/A,FALSE,"CHANGES";#N/A,#N/A,FALSE,"PROD SUMMARY";#N/A,#N/A,FALSE,"1995 PO SUM";#N/A,#N/A,FALSE,"1995 GEOG SUM";#N/A,#N/A,FALSE,"1996 PO SUM";#N/A,#N/A,FALSE,"1996 GEOG SUM"}</definedName>
    <definedName name="bn" localSheetId="0" hidden="1">{#N/A,#N/A,FALSE,"TabA";#N/A,#N/A,FALSE,"UTopxFx98";#N/A,#N/A,FALSE,"TopxFx98";#N/A,#N/A,FALSE,"TopxNom"}</definedName>
    <definedName name="bn" hidden="1">{#N/A,#N/A,FALSE,"TabA";#N/A,#N/A,FALSE,"UTopxFx98";#N/A,#N/A,FALSE,"TopxFx98";#N/A,#N/A,FALSE,"TopxNom"}</definedName>
    <definedName name="BOATLANDING" localSheetId="0">'[48]PTD Costs'!#REF!</definedName>
    <definedName name="BOATLANDING">'[49]PTD Costs'!#REF!</definedName>
    <definedName name="Bola" localSheetId="0" hidden="1">{#N/A,#N/A,FALSE,"CHANGES";#N/A,#N/A,FALSE,"PROD SUMMARY";#N/A,#N/A,FALSE,"1995 PO SUM";#N/A,#N/A,FALSE,"1995 GEOG SUM";#N/A,#N/A,FALSE,"1996 PO SUM";#N/A,#N/A,FALSE,"1996 GEOG SUM"}</definedName>
    <definedName name="Bola" hidden="1">{#N/A,#N/A,FALSE,"CHANGES";#N/A,#N/A,FALSE,"PROD SUMMARY";#N/A,#N/A,FALSE,"1995 PO SUM";#N/A,#N/A,FALSE,"1995 GEOG SUM";#N/A,#N/A,FALSE,"1996 PO SUM";#N/A,#N/A,FALSE,"1996 GEOG SUM"}</definedName>
    <definedName name="BOLT_LIST" localSheetId="0">'[54]AB List'!$B$8:$D$358</definedName>
    <definedName name="BOLT_LIST">'[55]AB List'!$B$8:$D$358</definedName>
    <definedName name="book1" localSheetId="0" hidden="1">{#N/A,#N/A,FALSE,"detailo (2)";#N/A,#N/A,FALSE,"Summary for DMM"}</definedName>
    <definedName name="book1" hidden="1">{#N/A,#N/A,FALSE,"detailo (2)";#N/A,#N/A,FALSE,"Summary for DMM"}</definedName>
    <definedName name="Book2" localSheetId="0" hidden="1">{#N/A,#N/A,FALSE,"detailo (2)";#N/A,#N/A,FALSE,"Summary for DMM"}</definedName>
    <definedName name="Book2" hidden="1">{#N/A,#N/A,FALSE,"detailo (2)";#N/A,#N/A,FALSE,"Summary for DMM"}</definedName>
    <definedName name="book3" localSheetId="0" hidden="1">{#N/A,#N/A,FALSE,"detailo (2)";#N/A,#N/A,FALSE,"Summary for DMM"}</definedName>
    <definedName name="book3" hidden="1">{#N/A,#N/A,FALSE,"detailo (2)";#N/A,#N/A,FALSE,"Summary for DMM"}</definedName>
    <definedName name="BOPMU" localSheetId="0">#REF!</definedName>
    <definedName name="BOPMU">#REF!</definedName>
    <definedName name="BORDER" localSheetId="0">#REF!</definedName>
    <definedName name="BORDER">#REF!</definedName>
    <definedName name="Bosi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Bosi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BQ" localSheetId="0">#REF!</definedName>
    <definedName name="BQ">#REF!</definedName>
    <definedName name="BRAVO" localSheetId="0" hidden="1">{#N/A,#N/A,FALSE,"CHANGES";#N/A,#N/A,FALSE,"PROD SUMMARY";#N/A,#N/A,FALSE,"1995 PO SUM";#N/A,#N/A,FALSE,"1995 GEOG SUM";#N/A,#N/A,FALSE,"1996 PO SUM";#N/A,#N/A,FALSE,"1996 GEOG SUM"}</definedName>
    <definedName name="BRAVO" hidden="1">{#N/A,#N/A,FALSE,"CHANGES";#N/A,#N/A,FALSE,"PROD SUMMARY";#N/A,#N/A,FALSE,"1995 PO SUM";#N/A,#N/A,FALSE,"1995 GEOG SUM";#N/A,#N/A,FALSE,"1996 PO SUM";#N/A,#N/A,FALSE,"1996 GEOG SUM"}</definedName>
    <definedName name="Brownfieldfactor" localSheetId="0">#REF!</definedName>
    <definedName name="Brownfieldfactor">#REF!</definedName>
    <definedName name="byron" localSheetId="0">'[56]Props Monthly'!#REF!</definedName>
    <definedName name="byron">'[57]Props Monthly'!#REF!</definedName>
    <definedName name="CAPACITY" localSheetId="0">#REF!</definedName>
    <definedName name="CAPACITY">#REF!</definedName>
    <definedName name="Capex_EMWI" localSheetId="0">#REF!</definedName>
    <definedName name="Capex_EMWI">#REF!</definedName>
    <definedName name="Capex1" localSheetId="0" hidden="1">{#N/A,#N/A,TRUE,"PRODUCTION CAPEX OVERVIEW";#N/A,#N/A,TRUE,"Affiliate Detail";#N/A,#N/A,TRUE,"CAPEX PLANNING OVERVIEW"}</definedName>
    <definedName name="Capex1" hidden="1">{#N/A,#N/A,TRUE,"PRODUCTION CAPEX OVERVIEW";#N/A,#N/A,TRUE,"Affiliate Detail";#N/A,#N/A,TRUE,"CAPEX PLANNING OVERVIEW"}</definedName>
    <definedName name="cata_fr" localSheetId="0">#REF!</definedName>
    <definedName name="cata_fr">#REF!</definedName>
    <definedName name="cata_in" localSheetId="0">#REF!</definedName>
    <definedName name="cata_in">#REF!</definedName>
    <definedName name="cata_it" localSheetId="0">#REF!</definedName>
    <definedName name="cata_it">#REF!</definedName>
    <definedName name="cata_jp">#REF!</definedName>
    <definedName name="cata_local">#REF!</definedName>
    <definedName name="cata_ph">#REF!</definedName>
    <definedName name="cata_uk">#REF!</definedName>
    <definedName name="catacost">#REF!</definedName>
    <definedName name="catamd">#REF!</definedName>
    <definedName name="catamm">#REF!</definedName>
    <definedName name="catbcost">#REF!</definedName>
    <definedName name="catbmd">#REF!</definedName>
    <definedName name="catbmm">#REF!</definedName>
    <definedName name="catccost">#REF!</definedName>
    <definedName name="CATEG">#REF!</definedName>
    <definedName name="cc" localSheetId="0" hidden="1">{#N/A,#N/A,FALSE,"CHANGES";#N/A,#N/A,FALSE,"PROD SUMMARY";#N/A,#N/A,FALSE,"1995 PO SUM";#N/A,#N/A,FALSE,"1995 GEOG SUM";#N/A,#N/A,FALSE,"1996 PO SUM";#N/A,#N/A,FALSE,"1996 GEOG SUM"}</definedName>
    <definedName name="cc" hidden="1">{#N/A,#N/A,FALSE,"CHANGES";#N/A,#N/A,FALSE,"PROD SUMMARY";#N/A,#N/A,FALSE,"1995 PO SUM";#N/A,#N/A,FALSE,"1995 GEOG SUM";#N/A,#N/A,FALSE,"1996 PO SUM";#N/A,#N/A,FALSE,"1996 GEOG SUM"}</definedName>
    <definedName name="cc_1" localSheetId="0" hidden="1">{#N/A,#N/A,FALSE,"TabA";#N/A,#N/A,FALSE,"UTopxFx98";#N/A,#N/A,FALSE,"TopxFx98";#N/A,#N/A,FALSE,"TopxNom"}</definedName>
    <definedName name="cc_1" hidden="1">{#N/A,#N/A,FALSE,"TabA";#N/A,#N/A,FALSE,"UTopxFx98";#N/A,#N/A,FALSE,"TopxFx98";#N/A,#N/A,FALSE,"TopxNom"}</definedName>
    <definedName name="ccc" localSheetId="0" hidden="1">{#N/A,#N/A,FALSE,"CHANGES";#N/A,#N/A,FALSE,"PROD SUMMARY";#N/A,#N/A,FALSE,"1995 PO SUM";#N/A,#N/A,FALSE,"1995 GEOG SUM";#N/A,#N/A,FALSE,"1996 PO SUM";#N/A,#N/A,FALSE,"1996 GEOG SUM"}</definedName>
    <definedName name="ccc" hidden="1">{#N/A,#N/A,FALSE,"CHANGES";#N/A,#N/A,FALSE,"PROD SUMMARY";#N/A,#N/A,FALSE,"1995 PO SUM";#N/A,#N/A,FALSE,"1995 GEOG SUM";#N/A,#N/A,FALSE,"1996 PO SUM";#N/A,#N/A,FALSE,"1996 GEOG SUM"}</definedName>
    <definedName name="CCHIP" localSheetId="0">'[48]PTD Costs'!$B$243</definedName>
    <definedName name="CCHIP">'[49]PTD Costs'!$B$243</definedName>
    <definedName name="cde" localSheetId="0" hidden="1">{#N/A,#N/A,FALSE,"CHANGES";#N/A,#N/A,FALSE,"PROD SUMMARY";#N/A,#N/A,FALSE,"1995 PO SUM";#N/A,#N/A,FALSE,"1995 GEOG SUM";#N/A,#N/A,FALSE,"1996 PO SUM";#N/A,#N/A,FALSE,"1996 GEOG SUM"}</definedName>
    <definedName name="cde" hidden="1">{#N/A,#N/A,FALSE,"CHANGES";#N/A,#N/A,FALSE,"PROD SUMMARY";#N/A,#N/A,FALSE,"1995 PO SUM";#N/A,#N/A,FALSE,"1995 GEOG SUM";#N/A,#N/A,FALSE,"1996 PO SUM";#N/A,#N/A,FALSE,"1996 GEOG SUM"}</definedName>
    <definedName name="CE" localSheetId="0">#REF!</definedName>
    <definedName name="CE">#REF!</definedName>
    <definedName name="CE_C" localSheetId="0">#REF!</definedName>
    <definedName name="CE_C">#REF!</definedName>
    <definedName name="CED" localSheetId="0" hidden="1">{#N/A,#N/A,FALSE,"CHANGES";#N/A,#N/A,FALSE,"PROD SUMMARY";#N/A,#N/A,FALSE,"1995 PO SUM";#N/A,#N/A,FALSE,"1995 GEOG SUM";#N/A,#N/A,FALSE,"1996 PO SUM";#N/A,#N/A,FALSE,"1996 GEOG SUM"}</definedName>
    <definedName name="CED" hidden="1">{#N/A,#N/A,FALSE,"CHANGES";#N/A,#N/A,FALSE,"PROD SUMMARY";#N/A,#N/A,FALSE,"1995 PO SUM";#N/A,#N/A,FALSE,"1995 GEOG SUM";#N/A,#N/A,FALSE,"1996 PO SUM";#N/A,#N/A,FALSE,"1996 GEOG SUM"}</definedName>
    <definedName name="Central" localSheetId="0" hidden="1">{#N/A,#N/A,FALSE,"TabA";#N/A,#N/A,FALSE,"UTopxFx98";#N/A,#N/A,FALSE,"TopxFx98";#N/A,#N/A,FALSE,"TopxNom"}</definedName>
    <definedName name="Central" hidden="1">{#N/A,#N/A,FALSE,"TabA";#N/A,#N/A,FALSE,"UTopxFx98";#N/A,#N/A,FALSE,"TopxFx98";#N/A,#N/A,FALSE,"TopxNom"}</definedName>
    <definedName name="cHANGE" localSheetId="0" hidden="1">{#N/A,#N/A,TRUE,"PRODUCTION CAPEX OVERVIEW";#N/A,#N/A,TRUE,"Affiliate Detail";#N/A,#N/A,TRUE,"CAPEX PLANNING OVERVIEW"}</definedName>
    <definedName name="cHANGE" hidden="1">{#N/A,#N/A,TRUE,"PRODUCTION CAPEX OVERVIEW";#N/A,#N/A,TRUE,"Affiliate Detail";#N/A,#N/A,TRUE,"CAPEX PLANNING OVERVIEW"}</definedName>
    <definedName name="CHART2" localSheetId="0" hidden="1">{#N/A,#N/A,FALSE,"TabA";#N/A,#N/A,FALSE,"UTopxFx98";#N/A,#N/A,FALSE,"TopxFx98";#N/A,#N/A,FALSE,"TopxNom"}</definedName>
    <definedName name="CHART2" hidden="1">{#N/A,#N/A,FALSE,"TabA";#N/A,#N/A,FALSE,"UTopxFx98";#N/A,#N/A,FALSE,"TopxFx98";#N/A,#N/A,FALSE,"TopxNom"}</definedName>
    <definedName name="CITA_rate" localSheetId="0">#REF!</definedName>
    <definedName name="CITA_rate">#REF!</definedName>
    <definedName name="CITA_Tax" localSheetId="0">#REF!</definedName>
    <definedName name="CITA_Tax">#REF!</definedName>
    <definedName name="CLAS" localSheetId="0">#REF!</definedName>
    <definedName name="CLAS">#REF!</definedName>
    <definedName name="CLIENT">#REF!</definedName>
    <definedName name="CmntLinesToShow" hidden="1">6</definedName>
    <definedName name="cnn" localSheetId="0" hidden="1">{#N/A,#N/A,FALSE,"TabA";#N/A,#N/A,FALSE,"UTopxFx98";#N/A,#N/A,FALSE,"TopxFx98";#N/A,#N/A,FALSE,"TopxNom"}</definedName>
    <definedName name="cnn" hidden="1">{#N/A,#N/A,FALSE,"TabA";#N/A,#N/A,FALSE,"UTopxFx98";#N/A,#N/A,FALSE,"TopxFx98";#N/A,#N/A,FALSE,"TopxNom"}</definedName>
    <definedName name="coba" localSheetId="0" hidden="1">{"'two phase'!$A$1:$U$63"}</definedName>
    <definedName name="coba" hidden="1">{"'two phase'!$A$1:$U$63"}</definedName>
    <definedName name="CODE">#REF!</definedName>
    <definedName name="ColorRange" localSheetId="0">#REF!</definedName>
    <definedName name="ColorRange">#REF!</definedName>
    <definedName name="columbustta" localSheetId="0" hidden="1">{TRUE,TRUE,19.75,10,455.25,236.25,FALSE,TRUE,TRUE,TRUE,0,46,#N/A,8,#N/A,13.8636363636364,19.6153846153846,1,FALSE,FALSE,1,TRUE,1,FALSE,50,"Swvu.DEC._.CLOSING.","ACwvu.DEC._.CLOSING.",1,FALSE,FALSE,0,0,0.551181102362205,0.0393700787401575,2,"","&amp;L&amp;""Arial,Regular""&amp;8&amp;D &amp;T &amp;F &amp;A ",TRUE,FALSE,FALSE,FALSE,1,#N/A,1,1,"=R1C46:R23C55",FALSE,#N/A,#N/A,FALSE,FALSE,FALSE,1,65532,65532,FALSE,FALSE,TRUE,TRUE,TRUE}</definedName>
    <definedName name="columbustta" hidden="1">{TRUE,TRUE,19.75,10,455.25,236.25,FALSE,TRUE,TRUE,TRUE,0,46,#N/A,8,#N/A,13.8636363636364,19.6153846153846,1,FALSE,FALSE,1,TRUE,1,FALSE,50,"Swvu.DEC._.CLOSING.","ACwvu.DEC._.CLOSING.",1,FALSE,FALSE,0,0,0.551181102362205,0.0393700787401575,2,"","&amp;L&amp;""Arial,Regular""&amp;8&amp;D &amp;T &amp;F &amp;A ",TRUE,FALSE,FALSE,FALSE,1,#N/A,1,1,"=R1C46:R23C55",FALSE,#N/A,#N/A,FALSE,FALSE,FALSE,1,65532,65532,FALSE,FALSE,TRUE,TRUE,TRUE}</definedName>
    <definedName name="COMC" localSheetId="0">#REF!</definedName>
    <definedName name="COMC">#REF!</definedName>
    <definedName name="COME" localSheetId="0">#REF!</definedName>
    <definedName name="COME">#REF!</definedName>
    <definedName name="COMF" localSheetId="0">#REF!</definedName>
    <definedName name="COMF">#REF!</definedName>
    <definedName name="COMI">#REF!</definedName>
    <definedName name="COMM">#REF!</definedName>
    <definedName name="COMO">#REF!</definedName>
    <definedName name="COMP">#REF!</definedName>
    <definedName name="COMT">#REF!</definedName>
    <definedName name="CONS" localSheetId="0" hidden="1">{"VISTA_1",#N/A,FALSE,"GRAFO"}</definedName>
    <definedName name="CONS" hidden="1">{"VISTA_1",#N/A,FALSE,"GRAFO"}</definedName>
    <definedName name="Consolidated" localSheetId="0">#REF!</definedName>
    <definedName name="Consolidated">#REF!</definedName>
    <definedName name="constsup_mh" localSheetId="0">#REF!</definedName>
    <definedName name="constsup_mh">#REF!</definedName>
    <definedName name="constsup_mhcost" localSheetId="0">#REF!</definedName>
    <definedName name="constsup_mhcost">#REF!</definedName>
    <definedName name="Cont" localSheetId="0">[58]Estimate!$N$76</definedName>
    <definedName name="Cont">[59]Estimate!$N$76</definedName>
    <definedName name="ContractorsDocNo" localSheetId="0">#REF!</definedName>
    <definedName name="ContractorsDocNo">#REF!</definedName>
    <definedName name="Corner" localSheetId="0">#REF!</definedName>
    <definedName name="Corner">#REF!</definedName>
    <definedName name="cover" localSheetId="0" hidden="1">{#N/A,#N/A,FALSE,"TabA";#N/A,#N/A,FALSE,"UTopxFx98";#N/A,#N/A,FALSE,"TopxFx98";#N/A,#N/A,FALSE,"TopxNom"}</definedName>
    <definedName name="cover" hidden="1">{#N/A,#N/A,FALSE,"TabA";#N/A,#N/A,FALSE,"UTopxFx98";#N/A,#N/A,FALSE,"TopxFx98";#N/A,#N/A,FALSE,"TopxNom"}</definedName>
    <definedName name="CoverSheet" localSheetId="0">'[60]Planning Calendar'!#REF!</definedName>
    <definedName name="CoverSheet">'[61]Planning Calendar'!#REF!</definedName>
    <definedName name="CPIFACTOR" localSheetId="0">#REF!</definedName>
    <definedName name="CPIFACTOR">#REF!</definedName>
    <definedName name="CPIU8284" localSheetId="0">#REF!</definedName>
    <definedName name="CPIU8284">#REF!</definedName>
    <definedName name="cpupbp" localSheetId="0" hidden="1">{"'Sheet1'!$A$1:$I$38"}</definedName>
    <definedName name="cpupbp" hidden="1">{"'Sheet1'!$A$1:$I$38"}</definedName>
    <definedName name="CPUPub" localSheetId="0" hidden="1">{"'Sheet1'!$A$1:$I$38"}</definedName>
    <definedName name="CPUPub" hidden="1">{"'Sheet1'!$A$1:$I$38"}</definedName>
    <definedName name="_xlnm.Criteria">#REF!</definedName>
    <definedName name="CS_AVG_SIZE">#REF!</definedName>
    <definedName name="CS_WELDING">#REF!</definedName>
    <definedName name="CSC" localSheetId="0">#REF!</definedName>
    <definedName name="CSC">#REF!</definedName>
    <definedName name="CSE">#REF!</definedName>
    <definedName name="CSE_C">#REF!</definedName>
    <definedName name="CT">#REF!</definedName>
    <definedName name="CT_C">#REF!</definedName>
    <definedName name="cta_00" localSheetId="0">[45]ALLOWANCE!$D$32</definedName>
    <definedName name="cta_00">[45]ALLOWANCE!$D$32</definedName>
    <definedName name="cta_01" localSheetId="0">[45]ALLOWANCE!$E$32</definedName>
    <definedName name="cta_01">[45]ALLOWANCE!$E$32</definedName>
    <definedName name="cta_02" localSheetId="0">[45]ALLOWANCE!$F$32</definedName>
    <definedName name="cta_02">[45]ALLOWANCE!$F$32</definedName>
    <definedName name="cta_03" localSheetId="0">[45]ALLOWANCE!$G$32</definedName>
    <definedName name="cta_03">[45]ALLOWANCE!$G$32</definedName>
    <definedName name="cta_04" localSheetId="0">[35]ALLOWANCE!$F$32</definedName>
    <definedName name="cta_04">[36]ALLOWANCE!$F$32</definedName>
    <definedName name="cta_05" localSheetId="0">[35]ALLOWANCE!$G$32</definedName>
    <definedName name="cta_05">[36]ALLOWANCE!$G$32</definedName>
    <definedName name="cta_99" localSheetId="0">[45]ALLOWANCE!$C$32</definedName>
    <definedName name="cta_99">[45]ALLOWANCE!$C$32</definedName>
    <definedName name="ctb_00" localSheetId="0">[45]ALLOWANCE!$D$34</definedName>
    <definedName name="ctb_00">[45]ALLOWANCE!$D$34</definedName>
    <definedName name="ctb_01" localSheetId="0">[45]ALLOWANCE!$E$34</definedName>
    <definedName name="ctb_01">[45]ALLOWANCE!$E$34</definedName>
    <definedName name="ctb_02" localSheetId="0">[45]ALLOWANCE!$F$34</definedName>
    <definedName name="ctb_02">[45]ALLOWANCE!$F$34</definedName>
    <definedName name="ctb_03" localSheetId="0">[45]ALLOWANCE!$G$34</definedName>
    <definedName name="ctb_03">[45]ALLOWANCE!$G$34</definedName>
    <definedName name="ctb_99" localSheetId="0">[45]ALLOWANCE!$C$34</definedName>
    <definedName name="ctb_99">[45]ALLOWANCE!$C$34</definedName>
    <definedName name="ctl_02" localSheetId="0">[35]ALLOWANCE!$D$36</definedName>
    <definedName name="ctl_02">[36]ALLOWANCE!$D$36</definedName>
    <definedName name="ctydtfydfghsdfgdsf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tydtfydfghsdfgdsf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URRENCY" localSheetId="0">#REF!</definedName>
    <definedName name="CURRENCY">#REF!</definedName>
    <definedName name="Current_Issues_Text" localSheetId="0">#REF!</definedName>
    <definedName name="Current_Issues_Text">#REF!</definedName>
    <definedName name="CV" localSheetId="0">#REF!</definedName>
    <definedName name="CV">#REF!</definedName>
    <definedName name="d" localSheetId="0">#REF!</definedName>
    <definedName name="d">#REF!</definedName>
    <definedName name="d_1" localSheetId="0" hidden="1">{#N/A,#N/A,FALSE,"CHANGES";#N/A,#N/A,FALSE,"PROD SUMMARY";#N/A,#N/A,FALSE,"1995 PO SUM";#N/A,#N/A,FALSE,"1995 GEOG SUM";#N/A,#N/A,FALSE,"1996 PO SUM";#N/A,#N/A,FALSE,"1996 GEOG SUM"}</definedName>
    <definedName name="d_1" hidden="1">{#N/A,#N/A,FALSE,"CHANGES";#N/A,#N/A,FALSE,"PROD SUMMARY";#N/A,#N/A,FALSE,"1995 PO SUM";#N/A,#N/A,FALSE,"1995 GEOG SUM";#N/A,#N/A,FALSE,"1996 PO SUM";#N/A,#N/A,FALSE,"1996 GEOG SUM"}</definedName>
    <definedName name="dammy" localSheetId="0" hidden="1">{"'Sheet1'!$A$1:$I$38"}</definedName>
    <definedName name="dammy" hidden="1">{"'Sheet1'!$A$1:$I$38"}</definedName>
    <definedName name="damy" localSheetId="0" hidden="1">{"'Sheet1'!$A$1:$I$38"}</definedName>
    <definedName name="damy" hidden="1">{"'Sheet1'!$A$1:$I$38"}</definedName>
    <definedName name="DATA" localSheetId="0" hidden="1">{#N/A,#N/A,FALSE,"TabA";#N/A,#N/A,FALSE,"UTopxFx98";#N/A,#N/A,FALSE,"TopxFx98";#N/A,#N/A,FALSE,"TopxNom"}</definedName>
    <definedName name="DATA" hidden="1">{#N/A,#N/A,FALSE,"TabA";#N/A,#N/A,FALSE,"UTopxFx98";#N/A,#N/A,FALSE,"TopxFx98";#N/A,#N/A,FALSE,"TopxNom"}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1" localSheetId="0" hidden="1">{#N/A,#N/A,FALSE,"TabA";#N/A,#N/A,FALSE,"UTopxFx98";#N/A,#N/A,FALSE,"TopxFx98";#N/A,#N/A,FALSE,"TopxNom"}</definedName>
    <definedName name="DATA_1" hidden="1">{#N/A,#N/A,FALSE,"TabA";#N/A,#N/A,FALSE,"UTopxFx98";#N/A,#N/A,FALSE,"TopxFx98";#N/A,#N/A,FALSE,"TopxNom"}</definedName>
    <definedName name="Data_Destination_1" localSheetId="0" hidden="1">'[62]Facility Integrity'!$O$89:$S$91</definedName>
    <definedName name="Data_Destination_1" hidden="1">'[63]Facility Integrity'!$O$89:$S$91</definedName>
    <definedName name="Data_Destination_2" localSheetId="0" hidden="1">'[62]Facility Integrity'!$O$58:$S$67</definedName>
    <definedName name="Data_Destination_2" hidden="1">'[63]Facility Integrity'!$O$58:$S$67</definedName>
    <definedName name="Data_Destination_3" localSheetId="0" hidden="1">'[62]Facility Integrity'!$O$70:$S$80</definedName>
    <definedName name="Data_Destination_3" hidden="1">'[63]Facility Integrity'!$O$70:$S$80</definedName>
    <definedName name="Data1" localSheetId="0" hidden="1">{#N/A,#N/A,FALSE,"TabA";#N/A,#N/A,FALSE,"UTopxFx98";#N/A,#N/A,FALSE,"TopxFx98";#N/A,#N/A,FALSE,"TopxNom"}</definedName>
    <definedName name="Data1" hidden="1">{#N/A,#N/A,FALSE,"TabA";#N/A,#N/A,FALSE,"UTopxFx98";#N/A,#N/A,FALSE,"TopxFx98";#N/A,#N/A,FALSE,"TopxNom"}</definedName>
    <definedName name="Data1_1" localSheetId="0" hidden="1">{#N/A,#N/A,FALSE,"TabA";#N/A,#N/A,FALSE,"UTopxFx98";#N/A,#N/A,FALSE,"TopxFx98";#N/A,#N/A,FALSE,"TopxNom"}</definedName>
    <definedName name="Data1_1" hidden="1">{#N/A,#N/A,FALSE,"TabA";#N/A,#N/A,FALSE,"UTopxFx98";#N/A,#N/A,FALSE,"TopxFx98";#N/A,#N/A,FALSE,"TopxNom"}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_xlnm.Database">#REF!</definedName>
    <definedName name="DataEntery" localSheetId="0">#REF!,#REF!,#REF!,#REF!,#REF!,#REF!,#REF!,#REF!,#REF!</definedName>
    <definedName name="DataEntery">#REF!,#REF!,#REF!,#REF!,#REF!,#REF!,#REF!,#REF!,#REF!</definedName>
    <definedName name="DataEntery2" localSheetId="0">#REF!,#REF!,#REF!</definedName>
    <definedName name="DataEntery2">#REF!,#REF!,#REF!</definedName>
    <definedName name="DATE" localSheetId="0">#REF!</definedName>
    <definedName name="DATE">#REF!</definedName>
    <definedName name="DateRange" localSheetId="0">#REF!</definedName>
    <definedName name="DateRange">#REF!</definedName>
    <definedName name="dave" localSheetId="0">[64]RX!#REF!</definedName>
    <definedName name="dave">[65]RX!#REF!</definedName>
    <definedName name="david" localSheetId="0">'[56]Props Monthly'!#REF!</definedName>
    <definedName name="david">'[57]Props Monthly'!#REF!</definedName>
    <definedName name="DAYO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DAYO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DCS" localSheetId="0">[66]Crossing_Summary!#REF!</definedName>
    <definedName name="DCS">[67]Crossing_Summary!#REF!</definedName>
    <definedName name="dd" localSheetId="0" hidden="1">{"'Sheet1'!$A$1:$I$38"}</definedName>
    <definedName name="dd" hidden="1">{"'Sheet1'!$A$1:$I$38"}</definedName>
    <definedName name="ddd" localSheetId="0" hidden="1">{TRUE,TRUE,19.75,18.25,455.25,236.25,FALSE,TRUE,TRUE,TRUE,0,1,#N/A,1,#N/A,6.89230769230769,12.7,1,FALSE,FALSE,1,TRUE,1,FALSE,100,"Swvu.STEW._.RPT.","ACwvu.STEW._.RPT.",1,FALSE,FALSE,0.748031496062992,0.748031496062992,0.62,0.984251968503937,2,"","&amp;L&amp;D &amp;T&amp;C&amp;F",FALSE,FALSE,FALSE,FALSE,1,#N/A,1,1,"=R2C1:R46C20",FALSE,"Rwvu.STEW._.RPT.",#N/A,FALSE,FALSE}</definedName>
    <definedName name="ddd" hidden="1">{TRUE,TRUE,19.75,18.25,455.25,236.25,FALSE,TRUE,TRUE,TRUE,0,1,#N/A,1,#N/A,6.89230769230769,12.7,1,FALSE,FALSE,1,TRUE,1,FALSE,100,"Swvu.STEW._.RPT.","ACwvu.STEW._.RPT.",1,FALSE,FALSE,0.748031496062992,0.748031496062992,0.62,0.984251968503937,2,"","&amp;L&amp;D &amp;T&amp;C&amp;F",FALSE,FALSE,FALSE,FALSE,1,#N/A,1,1,"=R2C1:R46C20",FALSE,"Rwvu.STEW._.RPT.",#N/A,FALSE,FALSE}</definedName>
    <definedName name="de" localSheetId="0" hidden="1">{"'Liquid'!$A$1:$U$57"}</definedName>
    <definedName name="de" hidden="1">{"'Liquid'!$A$1:$U$57"}</definedName>
    <definedName name="DEBUT">#REF!</definedName>
    <definedName name="Dec" localSheetId="0" hidden="1">{#N/A,#N/A,FALSE,"CHANGES";#N/A,#N/A,FALSE,"PROD SUMMARY";#N/A,#N/A,FALSE,"1995 PO SUM";#N/A,#N/A,FALSE,"1995 GEOG SUM";#N/A,#N/A,FALSE,"1996 PO SUM";#N/A,#N/A,FALSE,"1996 GEOG SUM"}</definedName>
    <definedName name="Dec" hidden="1">{#N/A,#N/A,FALSE,"CHANGES";#N/A,#N/A,FALSE,"PROD SUMMARY";#N/A,#N/A,FALSE,"1995 PO SUM";#N/A,#N/A,FALSE,"1995 GEOG SUM";#N/A,#N/A,FALSE,"1996 PO SUM";#N/A,#N/A,FALSE,"1996 GEOG SUM"}</definedName>
    <definedName name="deea" localSheetId="0" hidden="1">{#N/A,#N/A,FALSE,"TabA";#N/A,#N/A,FALSE,"UTopxFx98";#N/A,#N/A,FALSE,"TopxFx98";#N/A,#N/A,FALSE,"TopxNom"}</definedName>
    <definedName name="deea" hidden="1">{#N/A,#N/A,FALSE,"TabA";#N/A,#N/A,FALSE,"UTopxFx98";#N/A,#N/A,FALSE,"TopxFx98";#N/A,#N/A,FALSE,"TopxNom"}</definedName>
    <definedName name="delivery_sup_ei" localSheetId="0">#REF!</definedName>
    <definedName name="delivery_sup_ei">#REF!</definedName>
    <definedName name="delivery_sup_mech" localSheetId="0">#REF!</definedName>
    <definedName name="delivery_sup_mech">#REF!</definedName>
    <definedName name="delivery_sup_pipe" localSheetId="0">#REF!</definedName>
    <definedName name="delivery_sup_pipe">#REF!</definedName>
    <definedName name="deola" localSheetId="0" hidden="1">{#N/A,#N/A,FALSE,"TabA";#N/A,#N/A,FALSE,"UTopxFx98";#N/A,#N/A,FALSE,"TopxFx98";#N/A,#N/A,FALSE,"TopxNom"}</definedName>
    <definedName name="deola" hidden="1">{#N/A,#N/A,FALSE,"TabA";#N/A,#N/A,FALSE,"UTopxFx98";#N/A,#N/A,FALSE,"TopxFx98";#N/A,#N/A,FALSE,"TopxNom"}</definedName>
    <definedName name="depth" localSheetId="0">#REF!</definedName>
    <definedName name="depth">#REF!</definedName>
    <definedName name="derby" localSheetId="0" hidden="1">{#N/A,#N/A,FALSE,"CHANGES";#N/A,#N/A,FALSE,"PROD SUMMARY";#N/A,#N/A,FALSE,"1995 PO SUM";#N/A,#N/A,FALSE,"1995 GEOG SUM";#N/A,#N/A,FALSE,"1996 PO SUM";#N/A,#N/A,FALSE,"1996 GEOG SUM"}</definedName>
    <definedName name="derby" hidden="1">{#N/A,#N/A,FALSE,"CHANGES";#N/A,#N/A,FALSE,"PROD SUMMARY";#N/A,#N/A,FALSE,"1995 PO SUM";#N/A,#N/A,FALSE,"1995 GEOG SUM";#N/A,#N/A,FALSE,"1996 PO SUM";#N/A,#N/A,FALSE,"1996 GEOG SUM"}</definedName>
    <definedName name="DETAILS1" localSheetId="0" hidden="1">{#N/A,#N/A,FALSE,"TabA";#N/A,#N/A,FALSE,"UTopxFx98";#N/A,#N/A,FALSE,"TopxFx98";#N/A,#N/A,FALSE,"TopxNom"}</definedName>
    <definedName name="DETAILS1" hidden="1">{#N/A,#N/A,FALSE,"TabA";#N/A,#N/A,FALSE,"UTopxFx98";#N/A,#N/A,FALSE,"TopxFx98";#N/A,#N/A,FALSE,"TopxNom"}</definedName>
    <definedName name="DevDrillingSpend" localSheetId="0">'[37]AOR Input'!$F$18:$BD$18</definedName>
    <definedName name="DevDrillingSpend">'[38]AOR Input'!$F$18:$BD$18</definedName>
    <definedName name="Development_Scope" localSheetId="0">#REF!</definedName>
    <definedName name="Development_Scope">#REF!</definedName>
    <definedName name="dfadsf" localSheetId="0" hidden="1">{"'Sheet1'!$A$1:$I$38"}</definedName>
    <definedName name="dfadsf" hidden="1">{"'Sheet1'!$A$1:$I$38"}</definedName>
    <definedName name="dfas" localSheetId="0" hidden="1">{"'Sheet1'!$A$1:$I$38"}</definedName>
    <definedName name="dfas" hidden="1">{"'Sheet1'!$A$1:$I$38"}</definedName>
    <definedName name="DFDF" localSheetId="0" hidden="1">{#N/A,#N/A,FALSE,"TabA";#N/A,#N/A,FALSE,"UTopxFx98";#N/A,#N/A,FALSE,"TopxFx98";#N/A,#N/A,FALSE,"TopxNom"}</definedName>
    <definedName name="DFDF" hidden="1">{#N/A,#N/A,FALSE,"TabA";#N/A,#N/A,FALSE,"UTopxFx98";#N/A,#N/A,FALSE,"TopxFx98";#N/A,#N/A,FALSE,"TopxNom"}</definedName>
    <definedName name="dfg" localSheetId="0" hidden="1">{"'Sheet1'!$A$1:$I$38"}</definedName>
    <definedName name="dfg" hidden="1">{"'Sheet1'!$A$1:$I$38"}</definedName>
    <definedName name="dfgytxgngndf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fgytxgngndf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fxpcBuild" hidden="1">1700</definedName>
    <definedName name="DfxpcCommentEnabled" localSheetId="0" hidden="1">#REF!</definedName>
    <definedName name="DfxpcCommentEnabled" hidden="1">#REF!</definedName>
    <definedName name="DfxpcEnabledCommentsForm" localSheetId="0" hidden="1">#REF!</definedName>
    <definedName name="DfxpcEnabledCommentsForm" hidden="1">#REF!</definedName>
    <definedName name="DfxpcVersion" hidden="1">"6.00"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mg" localSheetId="0" hidden="1">{#N/A,#N/A,FALSE,"CHANGES";#N/A,#N/A,FALSE,"PROD SUMMARY";#N/A,#N/A,FALSE,"1995 PO SUM";#N/A,#N/A,FALSE,"1995 GEOG SUM";#N/A,#N/A,FALSE,"1996 PO SUM";#N/A,#N/A,FALSE,"1996 GEOG SUM"}</definedName>
    <definedName name="dmg" hidden="1">{#N/A,#N/A,FALSE,"CHANGES";#N/A,#N/A,FALSE,"PROD SUMMARY";#N/A,#N/A,FALSE,"1995 PO SUM";#N/A,#N/A,FALSE,"1995 GEOG SUM";#N/A,#N/A,FALSE,"1996 PO SUM";#N/A,#N/A,FALSE,"1996 GEOG SUM"}</definedName>
    <definedName name="Downstream_CAPEX" localSheetId="0">#REF!</definedName>
    <definedName name="Downstream_CAPEX">#REF!</definedName>
    <definedName name="DowntimeAAA" localSheetId="0" hidden="1">{#N/A,#N/A,FALSE,"TabA";#N/A,#N/A,FALSE,"UTopxFx98";#N/A,#N/A,FALSE,"TopxFx98";#N/A,#N/A,FALSE,"TopxNom"}</definedName>
    <definedName name="DowntimeAAA" hidden="1">{#N/A,#N/A,FALSE,"TabA";#N/A,#N/A,FALSE,"UTopxFx98";#N/A,#N/A,FALSE,"TopxFx98";#N/A,#N/A,FALSE,"TopxNom"}</definedName>
    <definedName name="DP" localSheetId="0">#REF!</definedName>
    <definedName name="DP">#REF!</definedName>
    <definedName name="DPA_A" localSheetId="0">#REF!</definedName>
    <definedName name="DPA_A">#REF!</definedName>
    <definedName name="DPB_A" localSheetId="0">#REF!</definedName>
    <definedName name="DPB_A">#REF!</definedName>
    <definedName name="DPB_B" localSheetId="0">#REF!</definedName>
    <definedName name="DPB_B">#REF!</definedName>
    <definedName name="DPB_C" localSheetId="0">#REF!</definedName>
    <definedName name="DPB_C">#REF!</definedName>
    <definedName name="Drilling">#REF!</definedName>
    <definedName name="Drilling_Budget">#REF!</definedName>
    <definedName name="DrillingREv" localSheetId="0" hidden="1">{#N/A,#N/A,FALSE,"TabA";#N/A,#N/A,FALSE,"UTopxFx98";#N/A,#N/A,FALSE,"TopxFx98";#N/A,#N/A,FALSE,"TopxNom"}</definedName>
    <definedName name="DrillingREv" hidden="1">{#N/A,#N/A,FALSE,"TabA";#N/A,#N/A,FALSE,"UTopxFx98";#N/A,#N/A,FALSE,"TopxFx98";#N/A,#N/A,FALSE,"TopxNom"}</definedName>
    <definedName name="dum" localSheetId="0" hidden="1">{"'Sheet1'!$A$1:$I$38"}</definedName>
    <definedName name="dum" hidden="1">{"'Sheet1'!$A$1:$I$38"}</definedName>
    <definedName name="dummy" localSheetId="0" hidden="1">{"'Sheet1'!$A$1:$I$38"}</definedName>
    <definedName name="dummy" hidden="1">{"'Sheet1'!$A$1:$I$38"}</definedName>
    <definedName name="dumy" localSheetId="0" hidden="1">{"'Sheet1'!$A$1:$I$38"}</definedName>
    <definedName name="dumy" hidden="1">{"'Sheet1'!$A$1:$I$38"}</definedName>
    <definedName name="e" localSheetId="0" hidden="1">{#N/A,#N/A,FALSE,"CHANGES";#N/A,#N/A,FALSE,"PROD SUMMARY";#N/A,#N/A,FALSE,"1995 PO SUM";#N/A,#N/A,FALSE,"1995 GEOG SUM";#N/A,#N/A,FALSE,"1996 PO SUM";#N/A,#N/A,FALSE,"1996 GEOG SUM"}</definedName>
    <definedName name="e">#REF!</definedName>
    <definedName name="e_1" localSheetId="0" hidden="1">{#N/A,#N/A,FALSE,"CHANGES";#N/A,#N/A,FALSE,"PROD SUMMARY";#N/A,#N/A,FALSE,"1995 PO SUM";#N/A,#N/A,FALSE,"1995 GEOG SUM";#N/A,#N/A,FALSE,"1996 PO SUM";#N/A,#N/A,FALSE,"1996 GEOG SUM"}</definedName>
    <definedName name="e_1" hidden="1">{#N/A,#N/A,FALSE,"CHANGES";#N/A,#N/A,FALSE,"PROD SUMMARY";#N/A,#N/A,FALSE,"1995 PO SUM";#N/A,#N/A,FALSE,"1995 GEOG SUM";#N/A,#N/A,FALSE,"1996 PO SUM";#N/A,#N/A,FALSE,"1996 GEOG SUM"}</definedName>
    <definedName name="EAP" localSheetId="0">#REF!</definedName>
    <definedName name="EAP">#REF!</definedName>
    <definedName name="east" localSheetId="0" hidden="1">#REF!</definedName>
    <definedName name="east" hidden="1">#REF!</definedName>
    <definedName name="Education_Tax">#REF!</definedName>
    <definedName name="ee" localSheetId="0" hidden="1">{#N/A,#N/A,FALSE,"TabA";#N/A,#N/A,FALSE,"UTopxFx98";#N/A,#N/A,FALSE,"TopxFx98";#N/A,#N/A,FALSE,"TopxNom"}</definedName>
    <definedName name="ee" hidden="1">{#N/A,#N/A,FALSE,"TabA";#N/A,#N/A,FALSE,"UTopxFx98";#N/A,#N/A,FALSE,"TopxFx98";#N/A,#N/A,FALSE,"TopxNom"}</definedName>
    <definedName name="EEACTUAL" localSheetId="0">#REF!</definedName>
    <definedName name="EEACTUAL">#REF!</definedName>
    <definedName name="eeeee" localSheetId="0" hidden="1">{#N/A,#N/A,FALSE,"TabA";#N/A,#N/A,FALSE,"UTopxFx98";#N/A,#N/A,FALSE,"TopxFx98";#N/A,#N/A,FALSE,"TopxNom"}</definedName>
    <definedName name="eeeee" hidden="1">{#N/A,#N/A,FALSE,"TabA";#N/A,#N/A,FALSE,"UTopxFx98";#N/A,#N/A,FALSE,"TopxFx98";#N/A,#N/A,FALSE,"TopxNom"}</definedName>
    <definedName name="eeeeeeeeeee" localSheetId="0" hidden="1">{#N/A,#N/A,FALSE,"detailo (2)";#N/A,#N/A,FALSE,"Summary for DMM"}</definedName>
    <definedName name="eeeeeeeeeee" hidden="1">{#N/A,#N/A,FALSE,"detailo (2)";#N/A,#N/A,FALSE,"Summary for DMM"}</definedName>
    <definedName name="EEGE" localSheetId="0" hidden="1">{#N/A,#N/A,FALSE,"Liq_96PB";#N/A,#N/A,FALSE,"Gas_95PB";#N/A,#N/A,FALSE,"LiqIncrUp_96PB";#N/A,#N/A,FALSE,"LiqIncrDn_95PB";#N/A,#N/A,FALSE,"LiqUp_95PB";#N/A,#N/A,FALSE,"LiqDn_95PB"}</definedName>
    <definedName name="EEGE" hidden="1">{#N/A,#N/A,FALSE,"Liq_96PB";#N/A,#N/A,FALSE,"Gas_95PB";#N/A,#N/A,FALSE,"LiqIncrUp_96PB";#N/A,#N/A,FALSE,"LiqIncrDn_95PB";#N/A,#N/A,FALSE,"LiqUp_95PB";#N/A,#N/A,FALSE,"LiqDn_95PB"}</definedName>
    <definedName name="EF" localSheetId="0">#REF!</definedName>
    <definedName name="EF">#REF!</definedName>
    <definedName name="ef_d" localSheetId="0">'[37]AOR Base Parameters'!$F$24:$BD$24</definedName>
    <definedName name="ef_d">'[38]AOR Base Parameters'!$F$24:$BD$24</definedName>
    <definedName name="ef_f" localSheetId="0">'[37]AOR Base Parameters'!$F$25:$BD$25</definedName>
    <definedName name="ef_f">'[38]AOR Base Parameters'!$F$25:$BD$25</definedName>
    <definedName name="ef_o" localSheetId="0">'[37]AOR Base Parameters'!$F$26:$BD$26</definedName>
    <definedName name="ef_o">'[38]AOR Base Parameters'!$F$26:$BD$26</definedName>
    <definedName name="EFA" localSheetId="0">#REF!</definedName>
    <definedName name="EFA">#REF!</definedName>
    <definedName name="EFT" localSheetId="0">#REF!</definedName>
    <definedName name="EFT">#REF!</definedName>
    <definedName name="ein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ein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eio" localSheetId="0" hidden="1">{#N/A,#N/A,TRUE,"PRODUCTION CAPEX OVERVIEW";#N/A,#N/A,TRUE,"Affiliate Detail";#N/A,#N/A,TRUE,"CAPEX PLANNING OVERVIEW"}</definedName>
    <definedName name="eio" hidden="1">{#N/A,#N/A,TRUE,"PRODUCTION CAPEX OVERVIEW";#N/A,#N/A,TRUE,"Affiliate Detail";#N/A,#N/A,TRUE,"CAPEX PLANNING OVERVIEW"}</definedName>
    <definedName name="EIU" localSheetId="0">#REF!</definedName>
    <definedName name="EIU">#REF!</definedName>
    <definedName name="ej" localSheetId="0" hidden="1">{#N/A,#N/A,FALSE,"CHANGES";#N/A,#N/A,FALSE,"PROD SUMMARY";#N/A,#N/A,FALSE,"1995 PO SUM";#N/A,#N/A,FALSE,"1995 GEOG SUM";#N/A,#N/A,FALSE,"1996 PO SUM";#N/A,#N/A,FALSE,"1996 GEOG SUM"}</definedName>
    <definedName name="ej" hidden="1">{#N/A,#N/A,FALSE,"CHANGES";#N/A,#N/A,FALSE,"PROD SUMMARY";#N/A,#N/A,FALSE,"1995 PO SUM";#N/A,#N/A,FALSE,"1995 GEOG SUM";#N/A,#N/A,FALSE,"1996 PO SUM";#N/A,#N/A,FALSE,"1996 GEOG SUM"}</definedName>
    <definedName name="ekene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ekene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EMPH" localSheetId="0">#REF!</definedName>
    <definedName name="EMPH">#REF!</definedName>
    <definedName name="EMWI" localSheetId="0">'[37]AOR Input'!$C$5</definedName>
    <definedName name="EMWI">'[38]AOR Input'!$C$5</definedName>
    <definedName name="EnASpend" localSheetId="0">'[37]AOR Input'!$F$16:$BD$16</definedName>
    <definedName name="EnASpend">'[38]AOR Input'!$F$16:$BD$16</definedName>
    <definedName name="ENGAH" localSheetId="0">#REF!</definedName>
    <definedName name="ENGAH">#REF!</definedName>
    <definedName name="ENGEH" localSheetId="0">#REF!</definedName>
    <definedName name="ENGEH">#REF!</definedName>
    <definedName name="EngSource" localSheetId="0">#REF!</definedName>
    <definedName name="EngSource">#REF!</definedName>
    <definedName name="EPF" localSheetId="0" hidden="1">[68]Segment!#REF!</definedName>
    <definedName name="EPF" hidden="1">[68]Segment!#REF!</definedName>
    <definedName name="EQUI" localSheetId="0">#REF!</definedName>
    <definedName name="EQUI">#REF!</definedName>
    <definedName name="equip_bulks" localSheetId="0">#REF!</definedName>
    <definedName name="equip_bulks">#REF!</definedName>
    <definedName name="er" localSheetId="0" hidden="1">{#N/A,#N/A,FALSE,"TabA";#N/A,#N/A,FALSE,"UTopxFx98";#N/A,#N/A,FALSE,"TopxFx98";#N/A,#N/A,FALSE,"TopxNom"}</definedName>
    <definedName name="er" hidden="1">{#N/A,#N/A,FALSE,"TabA";#N/A,#N/A,FALSE,"UTopxFx98";#N/A,#N/A,FALSE,"TopxFx98";#N/A,#N/A,FALSE,"TopxNom"}</definedName>
    <definedName name="erh" localSheetId="0" hidden="1">{#N/A,#N/A,FALSE,"CHANGES";#N/A,#N/A,FALSE,"PROD SUMMARY";#N/A,#N/A,FALSE,"1995 PO SUM";#N/A,#N/A,FALSE,"1995 GEOG SUM";#N/A,#N/A,FALSE,"1996 PO SUM";#N/A,#N/A,FALSE,"1996 GEOG SUM"}</definedName>
    <definedName name="erh" hidden="1">{#N/A,#N/A,FALSE,"CHANGES";#N/A,#N/A,FALSE,"PROD SUMMARY";#N/A,#N/A,FALSE,"1995 PO SUM";#N/A,#N/A,FALSE,"1995 GEOG SUM";#N/A,#N/A,FALSE,"1996 PO SUM";#N/A,#N/A,FALSE,"1996 GEOG SUM"}</definedName>
    <definedName name="Erha" localSheetId="0" hidden="1">[46]!Main.DfxpcHook</definedName>
    <definedName name="Erha" hidden="1">[47]!Main.DfxpcHook</definedName>
    <definedName name="err" localSheetId="0" hidden="1">{#N/A,#N/A,FALSE,"CHANGES";#N/A,#N/A,FALSE,"PROD SUMMARY";#N/A,#N/A,FALSE,"1995 PO SUM";#N/A,#N/A,FALSE,"1995 GEOG SUM";#N/A,#N/A,FALSE,"1996 PO SUM";#N/A,#N/A,FALSE,"1996 GEOG SUM"}</definedName>
    <definedName name="err" hidden="1">{#N/A,#N/A,FALSE,"CHANGES";#N/A,#N/A,FALSE,"PROD SUMMARY";#N/A,#N/A,FALSE,"1995 PO SUM";#N/A,#N/A,FALSE,"1995 GEOG SUM";#N/A,#N/A,FALSE,"1996 PO SUM";#N/A,#N/A,FALSE,"1996 GEOG SUM"}</definedName>
    <definedName name="err_1" localSheetId="0" hidden="1">{#N/A,#N/A,FALSE,"CHANGES";#N/A,#N/A,FALSE,"PROD SUMMARY";#N/A,#N/A,FALSE,"1995 PO SUM";#N/A,#N/A,FALSE,"1995 GEOG SUM";#N/A,#N/A,FALSE,"1996 PO SUM";#N/A,#N/A,FALSE,"1996 GEOG SUM"}</definedName>
    <definedName name="err_1" hidden="1">{#N/A,#N/A,FALSE,"CHANGES";#N/A,#N/A,FALSE,"PROD SUMMARY";#N/A,#N/A,FALSE,"1995 PO SUM";#N/A,#N/A,FALSE,"1995 GEOG SUM";#N/A,#N/A,FALSE,"1996 PO SUM";#N/A,#N/A,FALSE,"1996 GEOG SUM"}</definedName>
    <definedName name="err1_1" localSheetId="0" hidden="1">{#N/A,#N/A,FALSE,"CHANGES";#N/A,#N/A,FALSE,"PROD SUMMARY";#N/A,#N/A,FALSE,"1995 PO SUM";#N/A,#N/A,FALSE,"1995 GEOG SUM";#N/A,#N/A,FALSE,"1996 PO SUM";#N/A,#N/A,FALSE,"1996 GEOG SUM"}</definedName>
    <definedName name="err1_1" hidden="1">{#N/A,#N/A,FALSE,"CHANGES";#N/A,#N/A,FALSE,"PROD SUMMARY";#N/A,#N/A,FALSE,"1995 PO SUM";#N/A,#N/A,FALSE,"1995 GEOG SUM";#N/A,#N/A,FALSE,"1996 PO SUM";#N/A,#N/A,FALSE,"1996 GEOG SUM"}</definedName>
    <definedName name="err2_1" localSheetId="0" hidden="1">{#N/A,#N/A,FALSE,"CHANGES";#N/A,#N/A,FALSE,"PROD SUMMARY";#N/A,#N/A,FALSE,"1995 PO SUM";#N/A,#N/A,FALSE,"1995 GEOG SUM";#N/A,#N/A,FALSE,"1996 PO SUM";#N/A,#N/A,FALSE,"1996 GEOG SUM"}</definedName>
    <definedName name="err2_1" hidden="1">{#N/A,#N/A,FALSE,"CHANGES";#N/A,#N/A,FALSE,"PROD SUMMARY";#N/A,#N/A,FALSE,"1995 PO SUM";#N/A,#N/A,FALSE,"1995 GEOG SUM";#N/A,#N/A,FALSE,"1996 PO SUM";#N/A,#N/A,FALSE,"1996 GEOG SUM"}</definedName>
    <definedName name="errt" localSheetId="0" hidden="1">{TRUE,TRUE,19.75,18.25,455.25,236.25,FALSE,TRUE,TRUE,TRUE,0,7,#N/A,13,#N/A,10.265625,12.8,1,FALSE,FALSE,1,TRUE,1,FALSE,100,"Swvu.stew._.rept.","ACwvu.stew._.rept.",1,FALSE,FALSE,0.748031496062992,0.748031496062992,0.62,0.984251968503937,2,"","&amp;L&amp;D &amp;T&amp;C&amp;F",FALSE,FALSE,FALSE,FALSE,1,#N/A,1,1,"=R2C1:R46C18",FALSE,"Rwvu.stew._.rept.",#N/A,FALSE,FALSE}</definedName>
    <definedName name="errt" hidden="1">{TRUE,TRUE,19.75,18.25,455.25,236.25,FALSE,TRUE,TRUE,TRUE,0,7,#N/A,13,#N/A,10.265625,12.8,1,FALSE,FALSE,1,TRUE,1,FALSE,100,"Swvu.stew._.rept.","ACwvu.stew._.rept.",1,FALSE,FALSE,0.748031496062992,0.748031496062992,0.62,0.984251968503937,2,"","&amp;L&amp;D &amp;T&amp;C&amp;F",FALSE,FALSE,FALSE,FALSE,1,#N/A,1,1,"=R2C1:R46C18",FALSE,"Rwvu.stew._.rept.",#N/A,FALSE,FALSE}</definedName>
    <definedName name="ES" localSheetId="0">#REF!</definedName>
    <definedName name="ES">#REF!</definedName>
    <definedName name="ES_T1" localSheetId="0">#REF!</definedName>
    <definedName name="ES_T1">#REF!</definedName>
    <definedName name="ESA" localSheetId="0">#REF!</definedName>
    <definedName name="ESA">#REF!</definedName>
    <definedName name="ESA_T1">#REF!</definedName>
    <definedName name="Esc_Factor" localSheetId="0">'[69]Cost Curve '!$C$28</definedName>
    <definedName name="Esc_Factor">'[70]Cost Curve '!$C$28</definedName>
    <definedName name="EST" localSheetId="0">#REF!</definedName>
    <definedName name="EST">#REF!</definedName>
    <definedName name="ESTIM" localSheetId="0">#REF!</definedName>
    <definedName name="ESTIM">#REF!</definedName>
    <definedName name="ETAP" localSheetId="0">#REF!</definedName>
    <definedName name="ETAP">#REF!</definedName>
    <definedName name="etax_rate" localSheetId="0">'[37]AOR Base Parameters'!$I$4</definedName>
    <definedName name="etax_rate">'[38]AOR Base Parameters'!$I$4</definedName>
    <definedName name="ETIM" localSheetId="0">#REF!</definedName>
    <definedName name="ETIM">#REF!</definedName>
    <definedName name="EV__ALLOWSTOPEXPAND__" hidden="1">1</definedName>
    <definedName name="EV__CVPARAMS__" hidden="1">"Trend!$B$17:$C$38;"</definedName>
    <definedName name="EV__DECIMALSYMBOL__" hidden="1">"."</definedName>
    <definedName name="EV__EXPOPTIONS__" hidden="1">0</definedName>
    <definedName name="EV__LASTREFTIME__" hidden="1">38657.5756712963</definedName>
    <definedName name="EV__LOCKEDCVW__ALBP" hidden="1">"FINANCEGROUP,ALL_ASSETCHAR,AllBusSeg,ALBP.CY,TotalAdj,NSP,ALLPROJSPROGS,ALLTYPES,USD,2006.TOTAL,GU,PERIODIC,"</definedName>
    <definedName name="EV__LOCKEDCVW__PROJECTPLAN" hidden="1">"VOLUMESGROUP,ALL_ASSETCHAR,AllBusSeg,PLAN.CY,TotalAdj,NIGERIA,ALLPROJECTS,ALLTYPES,USD,PLAN.YEARS,NR,PERIODIC,"</definedName>
    <definedName name="EV__LOCKEDCVW__RATE" hidden="1">"ACTUAL,All_FOREX,Avg,RateInput,ACTUAL.YEARS,PERIODIC,"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__WSINFO__" hidden="1">"Timpanooke"</definedName>
    <definedName name="EV_GET_1" localSheetId="0" hidden="1">'[62]Facility Integrity'!$BN$52:$BR$53</definedName>
    <definedName name="EV_GET_1" hidden="1">'[63]Facility Integrity'!$BN$52:$BR$53</definedName>
    <definedName name="EV_GET_2" localSheetId="0" hidden="1">'[62]Facility Integrity'!$BN$58:$BR$60</definedName>
    <definedName name="EV_GET_2" hidden="1">'[63]Facility Integrity'!$BN$58:$BR$60</definedName>
    <definedName name="EV_GET_3" localSheetId="0" hidden="1">'[62]Facility Integrity'!$BN$67:$BR$71</definedName>
    <definedName name="EV_GET_3" hidden="1">'[63]Facility Integrity'!$BN$67:$BR$71</definedName>
    <definedName name="EV_GET_TOGGLE" localSheetId="0" hidden="1">'[62]Facility Integrity'!$BN$49</definedName>
    <definedName name="EV_GET_TOGGLE" hidden="1">'[63]Facility Integrity'!$BN$49</definedName>
    <definedName name="exchange1" localSheetId="0">'[71]NGL OPEX'!$H$4</definedName>
    <definedName name="exchange1">'[72]NGL OPEX'!$H$4</definedName>
    <definedName name="EXEC" localSheetId="0">#REF!</definedName>
    <definedName name="EXEC">#REF!</definedName>
    <definedName name="ezi" localSheetId="0" hidden="1">{#N/A,#N/A,FALSE,"CHANGES";#N/A,#N/A,FALSE,"PROD SUMMARY";#N/A,#N/A,FALSE,"1995 PO SUM";#N/A,#N/A,FALSE,"1995 GEOG SUM";#N/A,#N/A,FALSE,"1996 PO SUM";#N/A,#N/A,FALSE,"1996 GEOG SUM"}</definedName>
    <definedName name="ezi" hidden="1">{#N/A,#N/A,FALSE,"CHANGES";#N/A,#N/A,FALSE,"PROD SUMMARY";#N/A,#N/A,FALSE,"1995 PO SUM";#N/A,#N/A,FALSE,"1995 GEOG SUM";#N/A,#N/A,FALSE,"1996 PO SUM";#N/A,#N/A,FALSE,"1996 GEOG SUM"}</definedName>
    <definedName name="ezi_1" localSheetId="0" hidden="1">{#N/A,#N/A,FALSE,"CHANGES";#N/A,#N/A,FALSE,"PROD SUMMARY";#N/A,#N/A,FALSE,"1995 PO SUM";#N/A,#N/A,FALSE,"1995 GEOG SUM";#N/A,#N/A,FALSE,"1996 PO SUM";#N/A,#N/A,FALSE,"1996 GEOG SUM"}</definedName>
    <definedName name="ezi_1" hidden="1">{#N/A,#N/A,FALSE,"CHANGES";#N/A,#N/A,FALSE,"PROD SUMMARY";#N/A,#N/A,FALSE,"1995 PO SUM";#N/A,#N/A,FALSE,"1995 GEOG SUM";#N/A,#N/A,FALSE,"1996 PO SUM";#N/A,#N/A,FALSE,"1996 GEOG SUM"}</definedName>
    <definedName name="F" localSheetId="0">#REF!</definedName>
    <definedName name="F">#REF!</definedName>
    <definedName name="FAB" localSheetId="0" hidden="1">{#N/A,#N/A,FALSE,"TabA";#N/A,#N/A,FALSE,"UTopxFx98";#N/A,#N/A,FALSE,"TopxFx98";#N/A,#N/A,FALSE,"TopxNom"}</definedName>
    <definedName name="FAB" hidden="1">{#N/A,#N/A,FALSE,"TabA";#N/A,#N/A,FALSE,"UTopxFx98";#N/A,#N/A,FALSE,"TopxFx98";#N/A,#N/A,FALSE,"TopxNom"}</definedName>
    <definedName name="FAB_1" localSheetId="0" hidden="1">{#N/A,#N/A,FALSE,"TabA";#N/A,#N/A,FALSE,"UTopxFx98";#N/A,#N/A,FALSE,"TopxFx98";#N/A,#N/A,FALSE,"TopxNom"}</definedName>
    <definedName name="FAB_1" hidden="1">{#N/A,#N/A,FALSE,"TabA";#N/A,#N/A,FALSE,"UTopxFx98";#N/A,#N/A,FALSE,"TopxFx98";#N/A,#N/A,FALSE,"TopxNom"}</definedName>
    <definedName name="fab_dsc" localSheetId="0" hidden="1">{#N/A,#N/A,FALSE,"Eng_LV1"}</definedName>
    <definedName name="fab_dsc" hidden="1">{#N/A,#N/A,FALSE,"Eng_LV1"}</definedName>
    <definedName name="fabricate_pipe" localSheetId="0">'[73]data pipe spools'!$A$116:$AK$208</definedName>
    <definedName name="fabricate_pipe">'[74]data pipe spools'!$A$116:$AK$208</definedName>
    <definedName name="FacSpend" localSheetId="0">'[37]AOR Input'!$F$17:$BD$17</definedName>
    <definedName name="FacSpend">'[38]AOR Input'!$F$17:$BD$17</definedName>
    <definedName name="factor" localSheetId="0">#REF!</definedName>
    <definedName name="factor">#REF!</definedName>
    <definedName name="fahad" localSheetId="0" hidden="1">{#N/A,#N/A,FALSE,"TabA";#N/A,#N/A,FALSE,"UTopxFx98";#N/A,#N/A,FALSE,"TopxFx98";#N/A,#N/A,FALSE,"TopxNom"}</definedName>
    <definedName name="fahad" hidden="1">{#N/A,#N/A,FALSE,"TabA";#N/A,#N/A,FALSE,"UTopxFx98";#N/A,#N/A,FALSE,"TopxFx98";#N/A,#N/A,FALSE,"TopxNom"}</definedName>
    <definedName name="fasdf" localSheetId="0" hidden="1">{#N/A,#N/A,FALSE,"TabA";#N/A,#N/A,FALSE,"UTopxFx98";#N/A,#N/A,FALSE,"TopxFx98";#N/A,#N/A,FALSE,"TopxNom"}</definedName>
    <definedName name="fasdf" hidden="1">{#N/A,#N/A,FALSE,"TabA";#N/A,#N/A,FALSE,"UTopxFx98";#N/A,#N/A,FALSE,"TopxFx98";#N/A,#N/A,FALSE,"TopxNom"}</definedName>
    <definedName name="fasdfs" localSheetId="0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fasdfs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FC" localSheetId="0">'[37]AOR Base Parameters'!$D$52</definedName>
    <definedName name="FC">'[38]AOR Base Parameters'!$D$52</definedName>
    <definedName name="FCode" localSheetId="0" hidden="1">#REF!</definedName>
    <definedName name="FCode" hidden="1">#REF!</definedName>
    <definedName name="FD" localSheetId="0" hidden="1">{#N/A,#N/A,FALSE,"TabA";#N/A,#N/A,FALSE,"UTopxFx98";#N/A,#N/A,FALSE,"TopxFx98";#N/A,#N/A,FALSE,"TopxNom"}</definedName>
    <definedName name="FD" hidden="1">{#N/A,#N/A,FALSE,"TabA";#N/A,#N/A,FALSE,"UTopxFx98";#N/A,#N/A,FALSE,"TopxFx98";#N/A,#N/A,FALSE,"TopxNom"}</definedName>
    <definedName name="fd_1" localSheetId="0" hidden="1">{#N/A,#N/A,FALSE,"CHANGES";#N/A,#N/A,FALSE,"PROD SUMMARY";#N/A,#N/A,FALSE,"1995 PO SUM";#N/A,#N/A,FALSE,"1995 GEOG SUM";#N/A,#N/A,FALSE,"1996 PO SUM";#N/A,#N/A,FALSE,"1996 GEOG SUM"}</definedName>
    <definedName name="fd_1" hidden="1">{#N/A,#N/A,FALSE,"CHANGES";#N/A,#N/A,FALSE,"PROD SUMMARY";#N/A,#N/A,FALSE,"1995 PO SUM";#N/A,#N/A,FALSE,"1995 GEOG SUM";#N/A,#N/A,FALSE,"1996 PO SUM";#N/A,#N/A,FALSE,"1996 GEOG SUM"}</definedName>
    <definedName name="FDDF" localSheetId="0" hidden="1">{#N/A,#N/A,FALSE,"CHANGES";#N/A,#N/A,FALSE,"PROD SUMMARY";#N/A,#N/A,FALSE,"1995 PO SUM";#N/A,#N/A,FALSE,"1995 GEOG SUM";#N/A,#N/A,FALSE,"1996 PO SUM";#N/A,#N/A,FALSE,"1996 GEOG SUM"}</definedName>
    <definedName name="FDDF" hidden="1">{#N/A,#N/A,FALSE,"CHANGES";#N/A,#N/A,FALSE,"PROD SUMMARY";#N/A,#N/A,FALSE,"1995 PO SUM";#N/A,#N/A,FALSE,"1995 GEOG SUM";#N/A,#N/A,FALSE,"1996 PO SUM";#N/A,#N/A,FALSE,"1996 GEOG SUM"}</definedName>
    <definedName name="fdfddfgfddf" localSheetId="0" hidden="1">{#N/A,#N/A,FALSE,"CHANGES";#N/A,#N/A,FALSE,"PROD SUMMARY";#N/A,#N/A,FALSE,"1995 PO SUM";#N/A,#N/A,FALSE,"1995 GEOG SUM";#N/A,#N/A,FALSE,"1996 PO SUM";#N/A,#N/A,FALSE,"1996 GEOG SUM"}</definedName>
    <definedName name="fdfddfgfddf" hidden="1">{#N/A,#N/A,FALSE,"CHANGES";#N/A,#N/A,FALSE,"PROD SUMMARY";#N/A,#N/A,FALSE,"1995 PO SUM";#N/A,#N/A,FALSE,"1995 GEOG SUM";#N/A,#N/A,FALSE,"1996 PO SUM";#N/A,#N/A,FALSE,"1996 GEOG SUM"}</definedName>
    <definedName name="fdfddfgfddf_1" localSheetId="0" hidden="1">{#N/A,#N/A,FALSE,"CHANGES";#N/A,#N/A,FALSE,"PROD SUMMARY";#N/A,#N/A,FALSE,"1995 PO SUM";#N/A,#N/A,FALSE,"1995 GEOG SUM";#N/A,#N/A,FALSE,"1996 PO SUM";#N/A,#N/A,FALSE,"1996 GEOG SUM"}</definedName>
    <definedName name="fdfddfgfddf_1" hidden="1">{#N/A,#N/A,FALSE,"CHANGES";#N/A,#N/A,FALSE,"PROD SUMMARY";#N/A,#N/A,FALSE,"1995 PO SUM";#N/A,#N/A,FALSE,"1995 GEOG SUM";#N/A,#N/A,FALSE,"1996 PO SUM";#N/A,#N/A,FALSE,"1996 GEOG SUM"}</definedName>
    <definedName name="fdsgdfgdgdgf" localSheetId="0" hidden="1">{#N/A,#N/A,FALSE,"CHANGES";#N/A,#N/A,FALSE,"PROD SUMMARY";#N/A,#N/A,FALSE,"1995 PO SUM";#N/A,#N/A,FALSE,"1995 GEOG SUM";#N/A,#N/A,FALSE,"1996 PO SUM";#N/A,#N/A,FALSE,"1996 GEOG SUM"}</definedName>
    <definedName name="fdsgdfgdgdgf" hidden="1">{#N/A,#N/A,FALSE,"CHANGES";#N/A,#N/A,FALSE,"PROD SUMMARY";#N/A,#N/A,FALSE,"1995 PO SUM";#N/A,#N/A,FALSE,"1995 GEOG SUM";#N/A,#N/A,FALSE,"1996 PO SUM";#N/A,#N/A,FALSE,"1996 GEOG SUM"}</definedName>
    <definedName name="fdsgdfgdgdgf_1" localSheetId="0" hidden="1">{#N/A,#N/A,FALSE,"CHANGES";#N/A,#N/A,FALSE,"PROD SUMMARY";#N/A,#N/A,FALSE,"1995 PO SUM";#N/A,#N/A,FALSE,"1995 GEOG SUM";#N/A,#N/A,FALSE,"1996 PO SUM";#N/A,#N/A,FALSE,"1996 GEOG SUM"}</definedName>
    <definedName name="fdsgdfgdgdgf_1" hidden="1">{#N/A,#N/A,FALSE,"CHANGES";#N/A,#N/A,FALSE,"PROD SUMMARY";#N/A,#N/A,FALSE,"1995 PO SUM";#N/A,#N/A,FALSE,"1995 GEOG SUM";#N/A,#N/A,FALSE,"1996 PO SUM";#N/A,#N/A,FALSE,"1996 GEOG SUM"}</definedName>
    <definedName name="ff" localSheetId="0" hidden="1">{"'Sheet1'!$A$1:$I$38"}</definedName>
    <definedName name="ff" hidden="1">{"'Sheet1'!$A$1:$I$38"}</definedName>
    <definedName name="FFCC">#REF!</definedName>
    <definedName name="FFCE">#REF!</definedName>
    <definedName name="FFCF">#REF!</definedName>
    <definedName name="FFCI">#REF!</definedName>
    <definedName name="FFCM">#REF!</definedName>
    <definedName name="FFCO">#REF!</definedName>
    <definedName name="FFCP">#REF!</definedName>
    <definedName name="FFCT">#REF!</definedName>
    <definedName name="FFCTC">#REF!</definedName>
    <definedName name="FFD">#REF!</definedName>
    <definedName name="FFF" localSheetId="0" hidden="1">{#N/A,#N/A,FALSE,"TabA";#N/A,#N/A,FALSE,"UTopxFx98";#N/A,#N/A,FALSE,"TopxFx98";#N/A,#N/A,FALSE,"TopxNom"}</definedName>
    <definedName name="FFF" hidden="1">{#N/A,#N/A,FALSE,"TabA";#N/A,#N/A,FALSE,"UTopxFx98";#N/A,#N/A,FALSE,"TopxFx98";#N/A,#N/A,FALSE,"TopxNom"}</definedName>
    <definedName name="fffdddddd" localSheetId="0" hidden="1">{#N/A,#N/A,FALSE,"TabA";#N/A,#N/A,FALSE,"UTopxFx98";#N/A,#N/A,FALSE,"TopxFx98";#N/A,#N/A,FALSE,"TopxNom"}</definedName>
    <definedName name="fffdddddd" hidden="1">{#N/A,#N/A,FALSE,"TabA";#N/A,#N/A,FALSE,"UTopxFx98";#N/A,#N/A,FALSE,"TopxFx98";#N/A,#N/A,FALSE,"TopxNom"}</definedName>
    <definedName name="FFFFFFF" localSheetId="0" hidden="1">{#N/A,#N/A,FALSE,"CHANGES";#N/A,#N/A,FALSE,"PROD SUMMARY";#N/A,#N/A,FALSE,"1995 PO SUM";#N/A,#N/A,FALSE,"1995 GEOG SUM";#N/A,#N/A,FALSE,"1996 PO SUM";#N/A,#N/A,FALSE,"1996 GEOG SUM"}</definedName>
    <definedName name="FFFFFFF" hidden="1">{#N/A,#N/A,FALSE,"CHANGES";#N/A,#N/A,FALSE,"PROD SUMMARY";#N/A,#N/A,FALSE,"1995 PO SUM";#N/A,#N/A,FALSE,"1995 GEOG SUM";#N/A,#N/A,FALSE,"1996 PO SUM";#N/A,#N/A,FALSE,"1996 GEOG SUM"}</definedName>
    <definedName name="FFFFFFFFFFFFFF" localSheetId="0" hidden="1">{#N/A,#N/A,FALSE,"CHANGES";#N/A,#N/A,FALSE,"PROD SUMMARY";#N/A,#N/A,FALSE,"1995 PO SUM";#N/A,#N/A,FALSE,"1995 GEOG SUM";#N/A,#N/A,FALSE,"1996 PO SUM";#N/A,#N/A,FALSE,"1996 GEOG SUM"}</definedName>
    <definedName name="FFFFFFFFFFFFFF" hidden="1">{#N/A,#N/A,FALSE,"CHANGES";#N/A,#N/A,FALSE,"PROD SUMMARY";#N/A,#N/A,FALSE,"1995 PO SUM";#N/A,#N/A,FALSE,"1995 GEOG SUM";#N/A,#N/A,FALSE,"1996 PO SUM";#N/A,#N/A,FALSE,"1996 GEOG SUM"}</definedName>
    <definedName name="ffffffffffffffffffffffffffffffffffffffffffffff" localSheetId="0" hidden="1">{#N/A,#N/A,FALSE,"CHANGES";#N/A,#N/A,FALSE,"PROD SUMMARY";#N/A,#N/A,FALSE,"1995 PO SUM";#N/A,#N/A,FALSE,"1995 GEOG SUM";#N/A,#N/A,FALSE,"1996 PO SUM";#N/A,#N/A,FALSE,"1996 GEOG SUM"}</definedName>
    <definedName name="ffffffffffffffffffffffffffffffffffffffffffffff" hidden="1">{#N/A,#N/A,FALSE,"CHANGES";#N/A,#N/A,FALSE,"PROD SUMMARY";#N/A,#N/A,FALSE,"1995 PO SUM";#N/A,#N/A,FALSE,"1995 GEOG SUM";#N/A,#N/A,FALSE,"1996 PO SUM";#N/A,#N/A,FALSE,"1996 GEOG SUM"}</definedName>
    <definedName name="ffgg" localSheetId="0" hidden="1">{#N/A,#N/A,FALSE,"CHANGES";#N/A,#N/A,FALSE,"PROD SUMMARY";#N/A,#N/A,FALSE,"1995 PO SUM";#N/A,#N/A,FALSE,"1995 GEOG SUM";#N/A,#N/A,FALSE,"1996 PO SUM";#N/A,#N/A,FALSE,"1996 GEOG SUM"}</definedName>
    <definedName name="ffgg" hidden="1">{#N/A,#N/A,FALSE,"CHANGES";#N/A,#N/A,FALSE,"PROD SUMMARY";#N/A,#N/A,FALSE,"1995 PO SUM";#N/A,#N/A,FALSE,"1995 GEOG SUM";#N/A,#N/A,FALSE,"1996 PO SUM";#N/A,#N/A,FALSE,"1996 GEOG SUM"}</definedName>
    <definedName name="fgs" localSheetId="0" hidden="1">{#N/A,#N/A,FALSE,"CHANGES";#N/A,#N/A,FALSE,"PROD SUMMARY";#N/A,#N/A,FALSE,"1995 PO SUM";#N/A,#N/A,FALSE,"1995 GEOG SUM";#N/A,#N/A,FALSE,"1996 PO SUM";#N/A,#N/A,FALSE,"1996 GEOG SUM"}</definedName>
    <definedName name="fgs" hidden="1">{#N/A,#N/A,FALSE,"CHANGES";#N/A,#N/A,FALSE,"PROD SUMMARY";#N/A,#N/A,FALSE,"1995 PO SUM";#N/A,#N/A,FALSE,"1995 GEOG SUM";#N/A,#N/A,FALSE,"1996 PO SUM";#N/A,#N/A,FALSE,"1996 GEOG SUM"}</definedName>
    <definedName name="Field" localSheetId="0" hidden="1">{#N/A,#N/A,FALSE,"CHANGES";#N/A,#N/A,FALSE,"PROD SUMMARY";#N/A,#N/A,FALSE,"1995 PO SUM";#N/A,#N/A,FALSE,"1995 GEOG SUM";#N/A,#N/A,FALSE,"1996 PO SUM";#N/A,#N/A,FALSE,"1996 GEOG SUM"}</definedName>
    <definedName name="Field" hidden="1">{#N/A,#N/A,FALSE,"CHANGES";#N/A,#N/A,FALSE,"PROD SUMMARY";#N/A,#N/A,FALSE,"1995 PO SUM";#N/A,#N/A,FALSE,"1995 GEOG SUM";#N/A,#N/A,FALSE,"1996 PO SUM";#N/A,#N/A,FALSE,"1996 GEOG SUM"}</definedName>
    <definedName name="Financial_Closing_Month_Input" localSheetId="0">[75]Sheet1!$C$17</definedName>
    <definedName name="Financial_Closing_Month_Input">[76]Sheet1!$C$17</definedName>
    <definedName name="FirstAid" localSheetId="0">#REF!</definedName>
    <definedName name="FirstAid">#REF!</definedName>
    <definedName name="firstmd" localSheetId="0">#REF!</definedName>
    <definedName name="firstmd">#REF!</definedName>
    <definedName name="firstmdcost" localSheetId="0">#REF!</definedName>
    <definedName name="firstmdcost">#REF!</definedName>
    <definedName name="fkjffg" localSheetId="0" hidden="1">{#N/A,#N/A,FALSE,"CHANGES";#N/A,#N/A,FALSE,"PROD SUMMARY";#N/A,#N/A,FALSE,"1995 PO SUM";#N/A,#N/A,FALSE,"1995 GEOG SUM";#N/A,#N/A,FALSE,"1996 PO SUM";#N/A,#N/A,FALSE,"1996 GEOG SUM"}</definedName>
    <definedName name="fkjffg" hidden="1">{#N/A,#N/A,FALSE,"CHANGES";#N/A,#N/A,FALSE,"PROD SUMMARY";#N/A,#N/A,FALSE,"1995 PO SUM";#N/A,#N/A,FALSE,"1995 GEOG SUM";#N/A,#N/A,FALSE,"1996 PO SUM";#N/A,#N/A,FALSE,"1996 GEOG SUM"}</definedName>
    <definedName name="fkjffg_1" localSheetId="0" hidden="1">{#N/A,#N/A,FALSE,"CHANGES";#N/A,#N/A,FALSE,"PROD SUMMARY";#N/A,#N/A,FALSE,"1995 PO SUM";#N/A,#N/A,FALSE,"1995 GEOG SUM";#N/A,#N/A,FALSE,"1996 PO SUM";#N/A,#N/A,FALSE,"1996 GEOG SUM"}</definedName>
    <definedName name="fkjffg_1" hidden="1">{#N/A,#N/A,FALSE,"CHANGES";#N/A,#N/A,FALSE,"PROD SUMMARY";#N/A,#N/A,FALSE,"1995 PO SUM";#N/A,#N/A,FALSE,"1995 GEOG SUM";#N/A,#N/A,FALSE,"1996 PO SUM";#N/A,#N/A,FALSE,"1996 GEOG SUM"}</definedName>
    <definedName name="flehs" localSheetId="0" hidden="1">{#N/A,#N/A,FALSE,"CHANGES";#N/A,#N/A,FALSE,"PROD SUMMARY";#N/A,#N/A,FALSE,"1995 PO SUM";#N/A,#N/A,FALSE,"1995 GEOG SUM";#N/A,#N/A,FALSE,"1996 PO SUM";#N/A,#N/A,FALSE,"1996 GEOG SUM"}</definedName>
    <definedName name="flehs" hidden="1">{#N/A,#N/A,FALSE,"CHANGES";#N/A,#N/A,FALSE,"PROD SUMMARY";#N/A,#N/A,FALSE,"1995 PO SUM";#N/A,#N/A,FALSE,"1995 GEOG SUM";#N/A,#N/A,FALSE,"1996 PO SUM";#N/A,#N/A,FALSE,"1996 GEOG SUM"}</definedName>
    <definedName name="Font_Color" localSheetId="0">#REF!</definedName>
    <definedName name="Font_Color">#REF!</definedName>
    <definedName name="Font_Size" localSheetId="0">#REF!</definedName>
    <definedName name="Font_Size">#REF!</definedName>
    <definedName name="Forex" localSheetId="0" hidden="1">{#N/A,#N/A,TRUE,"PRODUCTION CAPEX OVERVIEW";#N/A,#N/A,TRUE,"Affiliate Detail";#N/A,#N/A,TRUE,"CAPEX PLANNING OVERVIEW"}</definedName>
    <definedName name="Forex" hidden="1">{#N/A,#N/A,TRUE,"PRODUCTION CAPEX OVERVIEW";#N/A,#N/A,TRUE,"Affiliate Detail";#N/A,#N/A,TRUE,"CAPEX PLANNING OVERVIEW"}</definedName>
    <definedName name="Formula_1" localSheetId="0" hidden="1">'[62]Facility Integrity'!$Y$14:$AJ$15</definedName>
    <definedName name="Formula_1" hidden="1">'[63]Facility Integrity'!$Y$14:$AJ$15</definedName>
    <definedName name="Formula_2" localSheetId="0" hidden="1">'[62]Facility Integrity'!$O$95:$S$96</definedName>
    <definedName name="Formula_2" hidden="1">'[63]Facility Integrity'!$O$95:$S$96</definedName>
    <definedName name="Formula_3" localSheetId="0" hidden="1">'[62]Facility Integrity'!$O$99:$S$100</definedName>
    <definedName name="Formula_3" hidden="1">'[63]Facility Integrity'!$O$99:$S$100</definedName>
    <definedName name="fr" localSheetId="0" hidden="1">{"'Liquid'!$A$1:$U$57"}</definedName>
    <definedName name="fr" hidden="1">{"'Liquid'!$A$1:$U$57"}</definedName>
    <definedName name="FRCAMP_MD">#REF!</definedName>
    <definedName name="FRCOMMH">#REF!</definedName>
    <definedName name="FRCOMMHCOST">#REF!</definedName>
    <definedName name="FRMH">#REF!</definedName>
    <definedName name="FRMHCOST">#REF!</definedName>
    <definedName name="Fuel_EMNI">#REF!</definedName>
    <definedName name="FWBS1000" localSheetId="0">[77]FWBS1000!$A$1:$O$30</definedName>
    <definedName name="FWBS1000">[77]FWBS1000!$A$1:$O$30</definedName>
    <definedName name="FWBS2000" localSheetId="0">[77]FWBS2000!$A$1:$O$30</definedName>
    <definedName name="FWBS2000">[77]FWBS2000!$A$1:$O$30</definedName>
    <definedName name="FWBS3000" localSheetId="0">[77]FWBS3000!$A$1:$O$30</definedName>
    <definedName name="FWBS3000">[77]FWBS3000!$A$1:$O$30</definedName>
    <definedName name="FWBS4000" localSheetId="0">[77]FWBS4000!$A$1:$O$29</definedName>
    <definedName name="FWBS4000">[77]FWBS4000!$A$1:$O$29</definedName>
    <definedName name="FWBS5000" localSheetId="0">[77]FWBS5000!$A$1:$O$30</definedName>
    <definedName name="FWBS5000">[77]FWBS5000!$A$1:$O$30</definedName>
    <definedName name="FWBS5400" localSheetId="0">[77]FWBS5400!$A$1:$O$17</definedName>
    <definedName name="FWBS5400">[77]FWBS5400!$A$1:$O$17</definedName>
    <definedName name="FWBS6000" localSheetId="0">[77]FWBS6000!$A$1:$O$30</definedName>
    <definedName name="FWBS6000">[77]FWBS6000!$A$1:$O$30</definedName>
    <definedName name="FWBS7000" localSheetId="0">[77]FWBS7000!$A$1:$O$30</definedName>
    <definedName name="FWBS7000">[77]FWBS7000!$A$1:$O$30</definedName>
    <definedName name="FWBS8000" localSheetId="0">[77]FWBS8000!$A$1:$O$30</definedName>
    <definedName name="FWBS8000">[77]FWBS8000!$A$1:$O$30</definedName>
    <definedName name="FWBS9000" localSheetId="0">[77]FWBS9000!$A$1:$O$30</definedName>
    <definedName name="FWBS9000">[77]FWBS9000!$A$1:$O$30</definedName>
    <definedName name="FWBSA000" localSheetId="0">[77]FWBSA000!$A$1:$O$30</definedName>
    <definedName name="FWBSA000">[77]FWBSA000!$A$1:$O$30</definedName>
    <definedName name="FWBSB000" localSheetId="0">[77]FWBSB000!$A$1:$O$24</definedName>
    <definedName name="FWBSB000">[77]FWBSB000!$A$1:$O$24</definedName>
    <definedName name="g" localSheetId="0" hidden="1">{"'Liquid'!$A$1:$U$57"}</definedName>
    <definedName name="g" hidden="1">{"'Liquid'!$A$1:$U$57"}</definedName>
    <definedName name="gdd" localSheetId="0" hidden="1">{#N/A,#N/A,FALSE,"CHANGES";#N/A,#N/A,FALSE,"PROD SUMMARY";#N/A,#N/A,FALSE,"1995 PO SUM";#N/A,#N/A,FALSE,"1995 GEOG SUM";#N/A,#N/A,FALSE,"1996 PO SUM";#N/A,#N/A,FALSE,"1996 GEOG SUM"}</definedName>
    <definedName name="gdd" hidden="1">{#N/A,#N/A,FALSE,"CHANGES";#N/A,#N/A,FALSE,"PROD SUMMARY";#N/A,#N/A,FALSE,"1995 PO SUM";#N/A,#N/A,FALSE,"1995 GEOG SUM";#N/A,#N/A,FALSE,"1996 PO SUM";#N/A,#N/A,FALSE,"1996 GEOG SUM"}</definedName>
    <definedName name="gel" localSheetId="0" hidden="1">{#N/A,#N/A,FALSE,"TabA";#N/A,#N/A,FALSE,"UTopxFx98";#N/A,#N/A,FALSE,"TopxFx98";#N/A,#N/A,FALSE,"TopxNom"}</definedName>
    <definedName name="gel" hidden="1">{#N/A,#N/A,FALSE,"TabA";#N/A,#N/A,FALSE,"UTopxFx98";#N/A,#N/A,FALSE,"TopxFx98";#N/A,#N/A,FALSE,"TopxNom"}</definedName>
    <definedName name="General_and_Economic_Yardsticks" localSheetId="0">#REF!</definedName>
    <definedName name="General_and_Economic_Yardsticks">#REF!</definedName>
    <definedName name="ggg" localSheetId="0" hidden="1">{#N/A,#N/A,FALSE,"TabA";#N/A,#N/A,FALSE,"UTopxFx98";#N/A,#N/A,FALSE,"TopxFx98";#N/A,#N/A,FALSE,"TopxNom"}</definedName>
    <definedName name="ggg" hidden="1">{#N/A,#N/A,FALSE,"TabA";#N/A,#N/A,FALSE,"UTopxFx98";#N/A,#N/A,FALSE,"TopxFx98";#N/A,#N/A,FALSE,"TopxNom"}</definedName>
    <definedName name="gghghh" localSheetId="0" hidden="1">{#N/A,#N/A,FALSE,"CHANGES";#N/A,#N/A,FALSE,"PROD SUMMARY";#N/A,#N/A,FALSE,"1995 PO SUM";#N/A,#N/A,FALSE,"1995 GEOG SUM";#N/A,#N/A,FALSE,"1996 PO SUM";#N/A,#N/A,FALSE,"1996 GEOG SUM"}</definedName>
    <definedName name="gghghh" hidden="1">{#N/A,#N/A,FALSE,"CHANGES";#N/A,#N/A,FALSE,"PROD SUMMARY";#N/A,#N/A,FALSE,"1995 PO SUM";#N/A,#N/A,FALSE,"1995 GEOG SUM";#N/A,#N/A,FALSE,"1996 PO SUM";#N/A,#N/A,FALSE,"1996 GEOG SUM"}</definedName>
    <definedName name="ghr" localSheetId="0" hidden="1">{#N/A,#N/A,FALSE,"CHANGES";#N/A,#N/A,FALSE,"PROD SUMMARY";#N/A,#N/A,FALSE,"1995 PO SUM";#N/A,#N/A,FALSE,"1995 GEOG SUM";#N/A,#N/A,FALSE,"1996 PO SUM";#N/A,#N/A,FALSE,"1996 GEOG SUM"}</definedName>
    <definedName name="ghr" hidden="1">{#N/A,#N/A,FALSE,"CHANGES";#N/A,#N/A,FALSE,"PROD SUMMARY";#N/A,#N/A,FALSE,"1995 PO SUM";#N/A,#N/A,FALSE,"1995 GEOG SUM";#N/A,#N/A,FALSE,"1996 PO SUM";#N/A,#N/A,FALSE,"1996 GEOG SUM"}</definedName>
    <definedName name="gljtuwyqejcfluiwgt" localSheetId="0" hidden="1">{#N/A,#N/A,FALSE,"TabA";#N/A,#N/A,FALSE,"UTopxFx98";#N/A,#N/A,FALSE,"TopxFx98";#N/A,#N/A,FALSE,"TopxNom"}</definedName>
    <definedName name="gljtuwyqejcfluiwgt" hidden="1">{#N/A,#N/A,FALSE,"TabA";#N/A,#N/A,FALSE,"UTopxFx98";#N/A,#N/A,FALSE,"TopxFx98";#N/A,#N/A,FALSE,"TopxNom"}</definedName>
    <definedName name="gls" localSheetId="0" hidden="1">{#N/A,#N/A,FALSE,"TabA";#N/A,#N/A,FALSE,"UTopxFx98";#N/A,#N/A,FALSE,"TopxFx98";#N/A,#N/A,FALSE,"TopxNom"}</definedName>
    <definedName name="gls" hidden="1">{#N/A,#N/A,FALSE,"TabA";#N/A,#N/A,FALSE,"UTopxFx98";#N/A,#N/A,FALSE,"TopxFx98";#N/A,#N/A,FALSE,"TopxNom"}</definedName>
    <definedName name="gorter" localSheetId="0" hidden="1">{#N/A,#N/A,FALSE,"CHANGES";#N/A,#N/A,FALSE,"PROD SUMMARY";#N/A,#N/A,FALSE,"1995 PO SUM";#N/A,#N/A,FALSE,"1995 GEOG SUM";#N/A,#N/A,FALSE,"1996 PO SUM";#N/A,#N/A,FALSE,"1996 GEOG SUM"}</definedName>
    <definedName name="gorter" hidden="1">{#N/A,#N/A,FALSE,"CHANGES";#N/A,#N/A,FALSE,"PROD SUMMARY";#N/A,#N/A,FALSE,"1995 PO SUM";#N/A,#N/A,FALSE,"1995 GEOG SUM";#N/A,#N/A,FALSE,"1996 PO SUM";#N/A,#N/A,FALSE,"1996 GEOG SUM"}</definedName>
    <definedName name="Gradient" localSheetId="0">#REF!</definedName>
    <definedName name="Gradient">#REF!</definedName>
    <definedName name="Graph123_BCONTRAC" localSheetId="0" hidden="1">'[39]Cashflow Analysis'!#REF!</definedName>
    <definedName name="Graph123_BCONTRAC" hidden="1">'[40]Cashflow Analysis'!#REF!</definedName>
    <definedName name="Gross_Well_Counts" localSheetId="0">#REF!</definedName>
    <definedName name="Gross_Well_Counts">#REF!</definedName>
    <definedName name="GrossProdRate" localSheetId="0">'[37]AOR Input'!$F$14:$BD$14</definedName>
    <definedName name="GrossProdRate">'[38]AOR Input'!$F$14:$BD$14</definedName>
    <definedName name="GRUP" localSheetId="0">#REF!</definedName>
    <definedName name="GRUP">#REF!</definedName>
    <definedName name="gry" localSheetId="0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gry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gt" localSheetId="0" hidden="1">{"'Liquid'!$A$1:$U$57"}</definedName>
    <definedName name="gt" hidden="1">{"'Liquid'!$A$1:$U$57"}</definedName>
    <definedName name="guus" localSheetId="0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guus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h" localSheetId="0" hidden="1">{"'Sheet1'!$A$1:$I$38"}</definedName>
    <definedName name="h" hidden="1">{"'Sheet1'!$A$1:$I$38"}</definedName>
    <definedName name="heads">#REF!</definedName>
    <definedName name="hgvvk" localSheetId="0" hidden="1">{#N/A,#N/A,FALSE,"CHANGES";#N/A,#N/A,FALSE,"PROD SUMMARY";#N/A,#N/A,FALSE,"1995 PO SUM";#N/A,#N/A,FALSE,"1995 GEOG SUM";#N/A,#N/A,FALSE,"1996 PO SUM";#N/A,#N/A,FALSE,"1996 GEOG SUM"}</definedName>
    <definedName name="hgvvk" hidden="1">{#N/A,#N/A,FALSE,"CHANGES";#N/A,#N/A,FALSE,"PROD SUMMARY";#N/A,#N/A,FALSE,"1995 PO SUM";#N/A,#N/A,FALSE,"1995 GEOG SUM";#N/A,#N/A,FALSE,"1996 PO SUM";#N/A,#N/A,FALSE,"1996 GEOG SUM"}</definedName>
    <definedName name="hhhh" localSheetId="0" hidden="1">{#N/A,#N/A,FALSE,"TabA";#N/A,#N/A,FALSE,"UTopxFx98";#N/A,#N/A,FALSE,"TopxFx98";#N/A,#N/A,FALSE,"TopxNom"}</definedName>
    <definedName name="hhhh" hidden="1">{#N/A,#N/A,FALSE,"TabA";#N/A,#N/A,FALSE,"UTopxFx98";#N/A,#N/A,FALSE,"TopxFx98";#N/A,#N/A,FALSE,"TopxNom"}</definedName>
    <definedName name="HiddenRows" localSheetId="0" hidden="1">#REF!</definedName>
    <definedName name="HiddenRows" hidden="1">#REF!</definedName>
    <definedName name="HighLevel_incl_IOL" localSheetId="0" hidden="1">{#N/A,#N/A,FALSE,"CHANGES";#N/A,#N/A,FALSE,"PROD SUMMARY";#N/A,#N/A,FALSE,"1995 PO SUM";#N/A,#N/A,FALSE,"1995 GEOG SUM";#N/A,#N/A,FALSE,"1996 PO SUM";#N/A,#N/A,FALSE,"1996 GEOG SUM"}</definedName>
    <definedName name="HighLevel_incl_IOL" hidden="1">{#N/A,#N/A,FALSE,"CHANGES";#N/A,#N/A,FALSE,"PROD SUMMARY";#N/A,#N/A,FALSE,"1995 PO SUM";#N/A,#N/A,FALSE,"1995 GEOG SUM";#N/A,#N/A,FALSE,"1996 PO SUM";#N/A,#N/A,FALSE,"1996 GEOG SUM"}</definedName>
    <definedName name="HMD_ALG_Staff" localSheetId="0">#REF!</definedName>
    <definedName name="HMD_ALG_Staff">#REF!</definedName>
    <definedName name="hold" localSheetId="0" hidden="1">{#N/A,#N/A,TRUE,"PRODUCTION CAPEX OVERVIEW";#N/A,#N/A,TRUE,"Affiliate Detail";#N/A,#N/A,TRUE,"CAPEX PLANNING OVERVIEW"}</definedName>
    <definedName name="hold" hidden="1">{#N/A,#N/A,TRUE,"PRODUCTION CAPEX OVERVIEW";#N/A,#N/A,TRUE,"Affiliate Detail";#N/A,#N/A,TRUE,"CAPEX PLANNING OVERVIEW"}</definedName>
    <definedName name="HomeCell" localSheetId="0" hidden="1">'[62]Facility Integrity'!$M$49</definedName>
    <definedName name="HomeCell" hidden="1">'[63]Facility Integrity'!$M$49</definedName>
    <definedName name="HookUpBarge" localSheetId="0">'[78]Const Equip'!#REF!</definedName>
    <definedName name="HookUpBarge">'[79]Const Equip'!#REF!</definedName>
    <definedName name="html__control" localSheetId="0" hidden="1">{"'Sheet1'!$A$1:$I$38"}</definedName>
    <definedName name="html__control" hidden="1">{"'Sheet1'!$A$1:$I$38"}</definedName>
    <definedName name="HTML__Control2" localSheetId="0" hidden="1">{"'Sheet1'!$A$1:$I$38"}</definedName>
    <definedName name="HTML__Control2" hidden="1">{"'Sheet1'!$A$1:$I$38"}</definedName>
    <definedName name="HTML__control4" localSheetId="0" hidden="1">{"'Sheet1'!$A$1:$I$38"}</definedName>
    <definedName name="HTML__control4" hidden="1">{"'Sheet1'!$A$1:$I$38"}</definedName>
    <definedName name="HTML_CodePage" hidden="1">1252</definedName>
    <definedName name="HTML_Control" localSheetId="0" hidden="1">{"'Sheet1'!$A$1:$I$38"}</definedName>
    <definedName name="HTML_Control" hidden="1">{"'Sheet1'!$A$1:$I$38"}</definedName>
    <definedName name="html_control1" localSheetId="0" hidden="1">{"'Sheet1'!$A$1:$I$38"}</definedName>
    <definedName name="html_control1" hidden="1">{"'Sheet1'!$A$1:$I$38"}</definedName>
    <definedName name="HTML_Control2" localSheetId="0" hidden="1">{"'Sheet1'!$A$1:$I$38"}</definedName>
    <definedName name="HTML_Control2" hidden="1">{"'Sheet1'!$A$1:$I$38"}</definedName>
    <definedName name="HTML_Control3" localSheetId="0" hidden="1">{"'Sheet1'!$A$1:$I$38"}</definedName>
    <definedName name="HTML_Control3" hidden="1">{"'Sheet1'!$A$1:$I$38"}</definedName>
    <definedName name="HTML_Description" hidden="1">""</definedName>
    <definedName name="HTML_Email" hidden="1">""</definedName>
    <definedName name="HTML_Header" hidden="1">"Sheet1"</definedName>
    <definedName name="HTML_LastUpdate" hidden="1">"19/04/99"</definedName>
    <definedName name="HTML_LineAfter" hidden="1">FALSE</definedName>
    <definedName name="HTML_LineBefore" hidden="1">FALSE</definedName>
    <definedName name="HTML_Name" hidden="1">"Mark Eadie"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Documents\HTMLTemp.htm"</definedName>
    <definedName name="HTML_Title" hidden="1">"1999 Scorecard Q1"</definedName>
    <definedName name="HTML1_1" hidden="1">"[dates.doc]Sheet1!$A$1:$I$39"</definedName>
    <definedName name="HTML1_10" hidden="1">""</definedName>
    <definedName name="HTML1_11" hidden="1">1</definedName>
    <definedName name="HTML1_12" hidden="1">"Macintosh HD:Desktop Folder:DATES98.HTM"</definedName>
    <definedName name="HTML1_2" hidden="1">1</definedName>
    <definedName name="HTML1_3" hidden="1">"dates98"</definedName>
    <definedName name="HTML1_4" hidden="1">"SCHEDULE 98"</definedName>
    <definedName name="HTML1_5" hidden="1">""</definedName>
    <definedName name="HTML1_6" hidden="1">-4146</definedName>
    <definedName name="HTML1_7" hidden="1">-4146</definedName>
    <definedName name="HTML1_8" hidden="1">"12/18/97"</definedName>
    <definedName name="HTML1_9" hidden="1">"Disney Interactive"</definedName>
    <definedName name="HTML2_1" hidden="1">"[dates.doc]Sheet1!$A$1:$I$40"</definedName>
    <definedName name="HTML2_10" hidden="1">""</definedName>
    <definedName name="HTML2_11" hidden="1">1</definedName>
    <definedName name="HTML2_12" hidden="1">"DI7.VOL2:PlanetDI:Prod_Mgr:TEST"</definedName>
    <definedName name="HTML2_2" hidden="1">1</definedName>
    <definedName name="HTML2_3" hidden="1">"dates"</definedName>
    <definedName name="HTML2_4" hidden="1">"Sheet1"</definedName>
    <definedName name="HTML2_5" hidden="1">""</definedName>
    <definedName name="HTML2_6" hidden="1">-4146</definedName>
    <definedName name="HTML2_7" hidden="1">-4146</definedName>
    <definedName name="HTML2_8" hidden="1">"12/18/97"</definedName>
    <definedName name="HTML2_9" hidden="1">"Disney Interactive"</definedName>
    <definedName name="HTML3_1" hidden="1">"'[DATES1.xls]98'!$A$2:$K$44"</definedName>
    <definedName name="HTML3_10" hidden="1">""</definedName>
    <definedName name="HTML3_11" hidden="1">1</definedName>
    <definedName name="HTML3_12" hidden="1">"Macintosh HD:Desktop Folder:test2"</definedName>
    <definedName name="HTML3_2" hidden="1">1</definedName>
    <definedName name="HTML3_3" hidden="1">"98/99 Disney Interactive Schedule"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"12/24/97"</definedName>
    <definedName name="HTML3_9" hidden="1">"Disney Interactive"</definedName>
    <definedName name="HTML4_1" hidden="1">"'[projSCH.xls]98 &amp; 99'!$A$1:$L$45"</definedName>
    <definedName name="HTML4_10" hidden="1">""</definedName>
    <definedName name="HTML4_11" hidden="1">1</definedName>
    <definedName name="HTML4_12" hidden="1">"DI7.VOL2:PlanetDI:Prod_Mgr:schedule.htm"</definedName>
    <definedName name="HTML4_2" hidden="1">1</definedName>
    <definedName name="HTML4_3" hidden="1">"projSCH"</definedName>
    <definedName name="HTML4_4" hidden="1">"DI Domestic Release Schedule 98 &amp; 99"</definedName>
    <definedName name="HTML4_5" hidden="1">""</definedName>
    <definedName name="HTML4_6" hidden="1">-4146</definedName>
    <definedName name="HTML4_7" hidden="1">-4146</definedName>
    <definedName name="HTML4_8" hidden="1">"1/6/98"</definedName>
    <definedName name="HTML4_9" hidden="1">"R= Retail,  L=License,  B=Bundle"</definedName>
    <definedName name="HTML5_1" hidden="1">"'[projSCH.xls]98 &amp; 99'!$A$1:$L$44"</definedName>
    <definedName name="HTML5_10" hidden="1">""</definedName>
    <definedName name="HTML5_11" hidden="1">1</definedName>
    <definedName name="HTML5_12" hidden="1">"DI7.VOL2:PlanetDI:Prod_Mgr:SCHEDULE.HTM"</definedName>
    <definedName name="HTML5_2" hidden="1">1</definedName>
    <definedName name="HTML5_3" hidden="1">"projSCH"</definedName>
    <definedName name="HTML5_4" hidden="1">"DI Domestic Release Schedule 98/99"</definedName>
    <definedName name="HTML5_5" hidden="1">""</definedName>
    <definedName name="HTML5_6" hidden="1">-4146</definedName>
    <definedName name="HTML5_7" hidden="1">-4146</definedName>
    <definedName name="HTML5_8" hidden="1">"1/8/98"</definedName>
    <definedName name="HTML5_9" hidden="1">"R=Retail, L=License, B=Bundle"</definedName>
    <definedName name="HTML6_1" hidden="1">"'[projSCH.xls]98 &amp; 99'!$A$2:$K$44"</definedName>
    <definedName name="HTML6_10" hidden="1">""</definedName>
    <definedName name="HTML6_11" hidden="1">1</definedName>
    <definedName name="HTML6_12" hidden="1">"DI7.VOL2:PlanetDI:Prod_Mgr:SCHEDULE.HTM"</definedName>
    <definedName name="HTML6_2" hidden="1">1</definedName>
    <definedName name="HTML6_3" hidden="1">"projSCH"</definedName>
    <definedName name="HTML6_4" hidden="1">"DI Domestic Release Schedule 98/99"</definedName>
    <definedName name="HTML6_5" hidden="1">""</definedName>
    <definedName name="HTML6_6" hidden="1">-4146</definedName>
    <definedName name="HTML6_7" hidden="1">-4146</definedName>
    <definedName name="HTML6_8" hidden="1">"1/6/98"</definedName>
    <definedName name="HTML6_9" hidden="1">"R=Retail, L=License, B=Bundle"</definedName>
    <definedName name="HTMLCount" hidden="1">6</definedName>
    <definedName name="i" localSheetId="0" hidden="1">{"'Sheet1'!$A$1:$I$38"}</definedName>
    <definedName name="i" hidden="1">{"'Sheet1'!$A$1:$I$38"}</definedName>
    <definedName name="IDA">#REF!</definedName>
    <definedName name="IDACOMMH">#REF!</definedName>
    <definedName name="idamh">#REF!</definedName>
    <definedName name="IDAMHCOST">#REF!</definedName>
    <definedName name="IDAMM">#REF!</definedName>
    <definedName name="IDB">#REF!</definedName>
    <definedName name="IDBCOMMH">#REF!</definedName>
    <definedName name="idbmh">#REF!</definedName>
    <definedName name="IDBMHCOST">#REF!</definedName>
    <definedName name="IDBMM">#REF!</definedName>
    <definedName name="IDC">#REF!</definedName>
    <definedName name="IDCCOMMH">#REF!</definedName>
    <definedName name="idcmh">#REF!</definedName>
    <definedName name="IDCMHCOST">#REF!</definedName>
    <definedName name="IDCMM">#REF!</definedName>
    <definedName name="IDD">#REF!</definedName>
    <definedName name="IDDC_percent" localSheetId="0">'[80]Oil Parameters'!$E$16</definedName>
    <definedName name="IDDC_percent">'[80]Oil Parameters'!$E$16</definedName>
    <definedName name="iddc_rate" localSheetId="0">'[37]AOR Base Parameters'!$I$9</definedName>
    <definedName name="iddc_rate">'[38]AOR Base Parameters'!$I$9</definedName>
    <definedName name="IDDCOMMH" localSheetId="0">#REF!</definedName>
    <definedName name="IDDCOMMH">#REF!</definedName>
    <definedName name="iddmh" localSheetId="0">#REF!</definedName>
    <definedName name="iddmh">#REF!</definedName>
    <definedName name="IDDMHCOST" localSheetId="0">#REF!</definedName>
    <definedName name="IDDMHCOST">#REF!</definedName>
    <definedName name="IDDMM">#REF!</definedName>
    <definedName name="IDE">#REF!</definedName>
    <definedName name="IDECOMMH">#REF!</definedName>
    <definedName name="idemh">#REF!</definedName>
    <definedName name="IDEMHCOST">#REF!</definedName>
    <definedName name="IDEMM">#REF!</definedName>
    <definedName name="ids" localSheetId="0" hidden="1">{#N/A,#N/A,FALSE,"CHANGES";#N/A,#N/A,FALSE,"PROD SUMMARY";#N/A,#N/A,FALSE,"1995 PO SUM";#N/A,#N/A,FALSE,"1995 GEOG SUM";#N/A,#N/A,FALSE,"1996 PO SUM";#N/A,#N/A,FALSE,"1996 GEOG SUM"}</definedName>
    <definedName name="ids" hidden="1">{#N/A,#N/A,FALSE,"CHANGES";#N/A,#N/A,FALSE,"PROD SUMMARY";#N/A,#N/A,FALSE,"1995 PO SUM";#N/A,#N/A,FALSE,"1995 GEOG SUM";#N/A,#N/A,FALSE,"1996 PO SUM";#N/A,#N/A,FALSE,"1996 GEOG SUM"}</definedName>
    <definedName name="ids_1" localSheetId="0" hidden="1">{#N/A,#N/A,FALSE,"CHANGES";#N/A,#N/A,FALSE,"PROD SUMMARY";#N/A,#N/A,FALSE,"1995 PO SUM";#N/A,#N/A,FALSE,"1995 GEOG SUM";#N/A,#N/A,FALSE,"1996 PO SUM";#N/A,#N/A,FALSE,"1996 GEOG SUM"}</definedName>
    <definedName name="ids_1" hidden="1">{#N/A,#N/A,FALSE,"CHANGES";#N/A,#N/A,FALSE,"PROD SUMMARY";#N/A,#N/A,FALSE,"1995 PO SUM";#N/A,#N/A,FALSE,"1995 GEOG SUM";#N/A,#N/A,FALSE,"1996 PO SUM";#N/A,#N/A,FALSE,"1996 GEOG SUM"}</definedName>
    <definedName name="II" localSheetId="0" hidden="1">{#N/A,#N/A,FALSE,"JACKETS (1100 t) (1)"}</definedName>
    <definedName name="II" hidden="1">{#N/A,#N/A,FALSE,"JACKETS (1100 t) (1)"}</definedName>
    <definedName name="iii" localSheetId="0" hidden="1">{#N/A,#N/A,FALSE,"CHANGES";#N/A,#N/A,FALSE,"PROD SUMMARY";#N/A,#N/A,FALSE,"1995 PO SUM";#N/A,#N/A,FALSE,"1995 GEOG SUM";#N/A,#N/A,FALSE,"1996 PO SUM";#N/A,#N/A,FALSE,"1996 GEOG SUM"}</definedName>
    <definedName name="iii" hidden="1">{#N/A,#N/A,FALSE,"CHANGES";#N/A,#N/A,FALSE,"PROD SUMMARY";#N/A,#N/A,FALSE,"1995 PO SUM";#N/A,#N/A,FALSE,"1995 GEOG SUM";#N/A,#N/A,FALSE,"1996 PO SUM";#N/A,#N/A,FALSE,"1996 GEOG SUM"}</definedName>
    <definedName name="IIII" localSheetId="0" hidden="1">{#N/A,#N/A,FALSE,"JACKETS (1100 t) (1)"}</definedName>
    <definedName name="IIII" hidden="1">{#N/A,#N/A,FALSE,"JACKETS (1100 t) (1)"}</definedName>
    <definedName name="ila_00" localSheetId="0">'[45]MH RATE'!$F$24</definedName>
    <definedName name="ila_00">'[45]MH RATE'!$F$24</definedName>
    <definedName name="ila_01" localSheetId="0">'[45]MH RATE'!$H$24</definedName>
    <definedName name="ila_01">'[45]MH RATE'!$H$24</definedName>
    <definedName name="ila_02" localSheetId="0">'[45]MH RATE'!$J$24</definedName>
    <definedName name="ila_02">'[45]MH RATE'!$J$24</definedName>
    <definedName name="ila_03" localSheetId="0">'[45]MH RATE'!$L$24</definedName>
    <definedName name="ila_03">'[45]MH RATE'!$L$24</definedName>
    <definedName name="ila_99" localSheetId="0">'[45]MH RATE'!$D$24</definedName>
    <definedName name="ila_99">'[45]MH RATE'!$D$24</definedName>
    <definedName name="ila_HR_M" localSheetId="0">'[45]MH RATE'!$N$24</definedName>
    <definedName name="ila_HR_M">'[45]MH RATE'!$N$24</definedName>
    <definedName name="ilb_00" localSheetId="0">'[45]MH RATE'!$F$25</definedName>
    <definedName name="ilb_00">'[45]MH RATE'!$F$25</definedName>
    <definedName name="ilb_01" localSheetId="0">'[45]MH RATE'!$H$25</definedName>
    <definedName name="ilb_01">'[45]MH RATE'!$H$25</definedName>
    <definedName name="ilb_02" localSheetId="0">'[45]MH RATE'!$J$25</definedName>
    <definedName name="ilb_02">'[45]MH RATE'!$J$25</definedName>
    <definedName name="ilb_03" localSheetId="0">'[45]MH RATE'!$L$25</definedName>
    <definedName name="ilb_03">'[45]MH RATE'!$L$25</definedName>
    <definedName name="ilb_99" localSheetId="0">'[45]MH RATE'!$D$25</definedName>
    <definedName name="ilb_99">'[45]MH RATE'!$D$25</definedName>
    <definedName name="ilb_HR_M" localSheetId="0">'[45]MH RATE'!$N$25</definedName>
    <definedName name="ilb_HR_M">'[45]MH RATE'!$N$25</definedName>
    <definedName name="ilc_00" localSheetId="0">'[45]MH RATE'!$F$26</definedName>
    <definedName name="ilc_00">'[45]MH RATE'!$F$26</definedName>
    <definedName name="ilc_01" localSheetId="0">'[45]MH RATE'!$H$26</definedName>
    <definedName name="ilc_01">'[45]MH RATE'!$H$26</definedName>
    <definedName name="ilc_02" localSheetId="0">'[45]MH RATE'!$J$26</definedName>
    <definedName name="ilc_02">'[45]MH RATE'!$J$26</definedName>
    <definedName name="ilc_03" localSheetId="0">'[45]MH RATE'!$L$26</definedName>
    <definedName name="ilc_03">'[45]MH RATE'!$L$26</definedName>
    <definedName name="ilc_99" localSheetId="0">'[45]MH RATE'!$D$26</definedName>
    <definedName name="ilc_99">'[45]MH RATE'!$D$26</definedName>
    <definedName name="ilc_HR_M" localSheetId="0">'[45]MH RATE'!$N$26</definedName>
    <definedName name="ilc_HR_M">'[45]MH RATE'!$N$26</definedName>
    <definedName name="ild_00" localSheetId="0">'[45]MH RATE'!$F$27</definedName>
    <definedName name="ild_00">'[45]MH RATE'!$F$27</definedName>
    <definedName name="ild_01" localSheetId="0">'[45]MH RATE'!$H$27</definedName>
    <definedName name="ild_01">'[45]MH RATE'!$H$27</definedName>
    <definedName name="ild_02" localSheetId="0">'[45]MH RATE'!$J$27</definedName>
    <definedName name="ild_02">'[45]MH RATE'!$J$27</definedName>
    <definedName name="ild_03" localSheetId="0">'[45]MH RATE'!$L$27</definedName>
    <definedName name="ild_03">'[45]MH RATE'!$L$27</definedName>
    <definedName name="ild_99" localSheetId="0">'[45]MH RATE'!$D$27</definedName>
    <definedName name="ild_99">'[45]MH RATE'!$D$27</definedName>
    <definedName name="ild_HR_M" localSheetId="0">'[45]MH RATE'!$N$27</definedName>
    <definedName name="ild_HR_M">'[45]MH RATE'!$N$27</definedName>
    <definedName name="ile_00" localSheetId="0">'[45]MH RATE'!$F$28</definedName>
    <definedName name="ile_00">'[45]MH RATE'!$F$28</definedName>
    <definedName name="ile_01" localSheetId="0">'[45]MH RATE'!$H$28</definedName>
    <definedName name="ile_01">'[45]MH RATE'!$H$28</definedName>
    <definedName name="ile_02" localSheetId="0">'[45]MH RATE'!$J$28</definedName>
    <definedName name="ile_02">'[45]MH RATE'!$J$28</definedName>
    <definedName name="ile_03" localSheetId="0">'[45]MH RATE'!$L$28</definedName>
    <definedName name="ile_03">'[45]MH RATE'!$L$28</definedName>
    <definedName name="ile_99" localSheetId="0">'[45]MH RATE'!$D$28</definedName>
    <definedName name="ile_99">'[45]MH RATE'!$D$28</definedName>
    <definedName name="ile_HR_M" localSheetId="0">'[45]MH RATE'!$N$28</definedName>
    <definedName name="ile_HR_M">'[45]MH RATE'!$N$28</definedName>
    <definedName name="in_00" localSheetId="0">'[45]MH RATE'!$F$14</definedName>
    <definedName name="in_00">'[45]MH RATE'!$F$14</definedName>
    <definedName name="in_01" localSheetId="0">'[45]MH RATE'!$H$14</definedName>
    <definedName name="in_01">'[45]MH RATE'!$H$14</definedName>
    <definedName name="in_02" localSheetId="0">'[45]MH RATE'!$J$14</definedName>
    <definedName name="in_02">'[45]MH RATE'!$J$14</definedName>
    <definedName name="in_03" localSheetId="0">'[45]MH RATE'!$L$14</definedName>
    <definedName name="in_03">'[45]MH RATE'!$L$14</definedName>
    <definedName name="in_04" localSheetId="0">'[35]MH RATE'!$H$17</definedName>
    <definedName name="in_04">'[36]MH RATE'!$H$17</definedName>
    <definedName name="in_05" localSheetId="0">'[35]MH RATE'!$J$17</definedName>
    <definedName name="in_05">'[36]MH RATE'!$J$17</definedName>
    <definedName name="in_99" localSheetId="0">'[45]MH RATE'!$D$14</definedName>
    <definedName name="in_99">'[45]MH RATE'!$D$14</definedName>
    <definedName name="in_HR_M" localSheetId="0">'[45]MH RATE'!$N$14</definedName>
    <definedName name="in_HR_M">'[45]MH RATE'!$N$14</definedName>
    <definedName name="INCOMMH" localSheetId="0">#REF!</definedName>
    <definedName name="INCOMMH">#REF!</definedName>
    <definedName name="INCOMMHCOST" localSheetId="0">#REF!</definedName>
    <definedName name="INCOMMHCOST">#REF!</definedName>
    <definedName name="INCOMMM" localSheetId="0">#REF!</definedName>
    <definedName name="INCOMMM">#REF!</definedName>
    <definedName name="Index" localSheetId="0">[81]Index!$A$1</definedName>
    <definedName name="Index">[82]Index!$A$1</definedName>
    <definedName name="INDIRECT_MAX" localSheetId="0">#REF!</definedName>
    <definedName name="INDIRECT_MAX">#REF!</definedName>
    <definedName name="ine" localSheetId="0" hidden="1">{#N/A,#N/A,FALSE,"CHANGES";#N/A,#N/A,FALSE,"PROD SUMMARY";#N/A,#N/A,FALSE,"1995 PO SUM";#N/A,#N/A,FALSE,"1995 GEOG SUM";#N/A,#N/A,FALSE,"1996 PO SUM";#N/A,#N/A,FALSE,"1996 GEOG SUM"}</definedName>
    <definedName name="ine" hidden="1">{#N/A,#N/A,FALSE,"CHANGES";#N/A,#N/A,FALSE,"PROD SUMMARY";#N/A,#N/A,FALSE,"1995 PO SUM";#N/A,#N/A,FALSE,"1995 GEOG SUM";#N/A,#N/A,FALSE,"1996 PO SUM";#N/A,#N/A,FALSE,"1996 GEOG SUM"}</definedName>
    <definedName name="Inim" localSheetId="0">#REF!</definedName>
    <definedName name="Inim">#REF!</definedName>
    <definedName name="INJ_CAMPMD" localSheetId="0">#REF!</definedName>
    <definedName name="INJ_CAMPMD">#REF!</definedName>
    <definedName name="INJCOMMH" localSheetId="0">#REF!</definedName>
    <definedName name="INJCOMMH">#REF!</definedName>
    <definedName name="INJCOMMHCOST">#REF!</definedName>
    <definedName name="INJMH">#REF!</definedName>
    <definedName name="INJMHCOST">#REF!</definedName>
    <definedName name="INMH">#REF!</definedName>
    <definedName name="INMHCOST">#REF!</definedName>
    <definedName name="INMM">#REF!</definedName>
    <definedName name="InputArea">#REF!</definedName>
    <definedName name="INSTALL">#REF!</definedName>
    <definedName name="install_pipe" localSheetId="0">'[73]data pipe spools'!$A$210:$AK$302</definedName>
    <definedName name="install_pipe">'[74]data pipe spools'!$A$210:$AK$302</definedName>
    <definedName name="install_sup_ei" localSheetId="0">#REF!</definedName>
    <definedName name="install_sup_ei">#REF!</definedName>
    <definedName name="install_sup_mech" localSheetId="0">#REF!</definedName>
    <definedName name="install_sup_mech">#REF!</definedName>
    <definedName name="install_sup_pipe" localSheetId="0">#REF!</definedName>
    <definedName name="install_sup_pipe">#REF!</definedName>
    <definedName name="INSTR_DATABASE">#REF!</definedName>
    <definedName name="INT_CAMPMD">#REF!</definedName>
    <definedName name="INTCOMMH">#REF!</definedName>
    <definedName name="INTCOMMHCOST">#REF!</definedName>
    <definedName name="INTMH">#REF!</definedName>
    <definedName name="INTMHCOST">#REF!</definedName>
    <definedName name="INVC">#REF!</definedName>
    <definedName name="INVE">#REF!</definedName>
    <definedName name="INVF">#REF!</definedName>
    <definedName name="INVI">#REF!</definedName>
    <definedName name="INVM">#REF!</definedName>
    <definedName name="INVO">#REF!</definedName>
    <definedName name="INVP">#REF!</definedName>
    <definedName name="INVT">#REF!</definedName>
    <definedName name="iop" localSheetId="0" hidden="1">{#N/A,#N/A,FALSE,"CHANGES";#N/A,#N/A,FALSE,"PROD SUMMARY";#N/A,#N/A,FALSE,"1995 PO SUM";#N/A,#N/A,FALSE,"1995 GEOG SUM";#N/A,#N/A,FALSE,"1996 PO SUM";#N/A,#N/A,FALSE,"1996 GEOG SUM"}</definedName>
    <definedName name="iop" hidden="1">{#N/A,#N/A,FALSE,"CHANGES";#N/A,#N/A,FALSE,"PROD SUMMARY";#N/A,#N/A,FALSE,"1995 PO SUM";#N/A,#N/A,FALSE,"1995 GEOG SUM";#N/A,#N/A,FALSE,"1996 PO SUM";#N/A,#N/A,FALSE,"1996 GEOG SUM"}</definedName>
    <definedName name="ios" localSheetId="0" hidden="1">{#N/A,#N/A,FALSE,"CHANGES";#N/A,#N/A,FALSE,"PROD SUMMARY";#N/A,#N/A,FALSE,"1995 PO SUM";#N/A,#N/A,FALSE,"1995 GEOG SUM";#N/A,#N/A,FALSE,"1996 PO SUM";#N/A,#N/A,FALSE,"1996 GEOG SUM"}</definedName>
    <definedName name="ios" hidden="1">{#N/A,#N/A,FALSE,"CHANGES";#N/A,#N/A,FALSE,"PROD SUMMARY";#N/A,#N/A,FALSE,"1995 PO SUM";#N/A,#N/A,FALSE,"1995 GEOG SUM";#N/A,#N/A,FALSE,"1996 PO SUM";#N/A,#N/A,FALSE,"1996 GEOG SUM"}</definedName>
    <definedName name="IPA" localSheetId="0">#REF!</definedName>
    <definedName name="IPA">#REF!</definedName>
    <definedName name="Irri_Productivity_26Nov04" localSheetId="0" hidden="1">{#N/A,#N/A,FALSE,"detailo (2)";#N/A,#N/A,FALSE,"Summary for DMM"}</definedName>
    <definedName name="Irri_Productivity_26Nov04" hidden="1">{#N/A,#N/A,FALSE,"detailo (2)";#N/A,#N/A,FALSE,"Summary for DMM"}</definedName>
    <definedName name="ISBL" localSheetId="0">#REF!</definedName>
    <definedName name="ISBL">#REF!</definedName>
    <definedName name="it_02" localSheetId="0">'[35]MH RATE'!$D$14</definedName>
    <definedName name="it_02">'[36]MH RATE'!$D$14</definedName>
    <definedName name="it_03" localSheetId="0">'[35]MH RATE'!$F$14</definedName>
    <definedName name="it_03">'[36]MH RATE'!$F$14</definedName>
    <definedName name="it_04" localSheetId="0">'[35]MH RATE'!$H$14</definedName>
    <definedName name="it_04">'[36]MH RATE'!$H$14</definedName>
    <definedName name="it_05" localSheetId="0">'[35]MH RATE'!$J$14</definedName>
    <definedName name="it_05">'[36]MH RATE'!$J$14</definedName>
    <definedName name="it_HR_M" localSheetId="0">'[35]MH RATE'!$L$14</definedName>
    <definedName name="it_HR_M">'[36]MH RATE'!$L$14</definedName>
    <definedName name="ita_rate" localSheetId="0">'[37]AOR Base Parameters'!$I$2</definedName>
    <definedName name="ita_rate">'[38]AOR Base Parameters'!$I$2</definedName>
    <definedName name="ITCAMP_MD" localSheetId="0">#REF!</definedName>
    <definedName name="ITCAMP_MD">#REF!</definedName>
    <definedName name="ITCOMMH" localSheetId="0">#REF!</definedName>
    <definedName name="ITCOMMH">#REF!</definedName>
    <definedName name="ITCOMMHCOST" localSheetId="0">#REF!</definedName>
    <definedName name="ITCOMMHCOST">#REF!</definedName>
    <definedName name="ITEM">#REF!</definedName>
    <definedName name="ITMH">#REF!</definedName>
    <definedName name="ITMHCOST">#REF!</definedName>
    <definedName name="J_TUBES" localSheetId="0">#REF!</definedName>
    <definedName name="J_TUBES">#REF!</definedName>
    <definedName name="JCD" localSheetId="0">#REF!</definedName>
    <definedName name="JCD">#REF!</definedName>
    <definedName name="JJJ" localSheetId="0" hidden="1">{#N/A,#N/A,FALSE,"TabA";#N/A,#N/A,FALSE,"UTopxFx98";#N/A,#N/A,FALSE,"TopxFx98";#N/A,#N/A,FALSE,"TopxNom"}</definedName>
    <definedName name="JJJ" hidden="1">{#N/A,#N/A,FALSE,"TabA";#N/A,#N/A,FALSE,"UTopxFx98";#N/A,#N/A,FALSE,"TopxFx98";#N/A,#N/A,FALSE,"TopxNom"}</definedName>
    <definedName name="jjjjjjj" localSheetId="0" hidden="1">{#N/A,#N/A,FALSE,"TabA";#N/A,#N/A,FALSE,"UTopxFx98";#N/A,#N/A,FALSE,"TopxFx98";#N/A,#N/A,FALSE,"TopxNom"}</definedName>
    <definedName name="jjjjjjj" hidden="1">{#N/A,#N/A,FALSE,"TabA";#N/A,#N/A,FALSE,"UTopxFx98";#N/A,#N/A,FALSE,"TopxFx98";#N/A,#N/A,FALSE,"TopxNom"}</definedName>
    <definedName name="jniknjkljk" localSheetId="0" hidden="1">{"'Sheet1'!$A$1:$I$38"}</definedName>
    <definedName name="jniknjkljk" hidden="1">{"'Sheet1'!$A$1:$I$38"}</definedName>
    <definedName name="JOBC" localSheetId="0">#REF!</definedName>
    <definedName name="JOBC">#REF!</definedName>
    <definedName name="jp_00" localSheetId="0">'[45]MH RATE'!$F$9</definedName>
    <definedName name="jp_00">'[45]MH RATE'!$F$9</definedName>
    <definedName name="jp_01" localSheetId="0">'[45]MH RATE'!$H$9</definedName>
    <definedName name="jp_01">'[45]MH RATE'!$H$9</definedName>
    <definedName name="jp_02" localSheetId="0">'[45]MH RATE'!$J$9</definedName>
    <definedName name="jp_02">'[45]MH RATE'!$J$9</definedName>
    <definedName name="jp_03" localSheetId="0">'[45]MH RATE'!$L$9</definedName>
    <definedName name="jp_03">'[45]MH RATE'!$L$9</definedName>
    <definedName name="jp_04" localSheetId="0">'[35]MH RATE'!$H$9</definedName>
    <definedName name="jp_04">'[36]MH RATE'!$H$9</definedName>
    <definedName name="jp_05" localSheetId="0">'[35]MH RATE'!$J$9</definedName>
    <definedName name="jp_05">'[36]MH RATE'!$J$9</definedName>
    <definedName name="jp_99" localSheetId="0">'[45]MH RATE'!$D$9</definedName>
    <definedName name="jp_99">'[45]MH RATE'!$D$9</definedName>
    <definedName name="jp_HR_M" localSheetId="0">'[45]MH RATE'!$N$9</definedName>
    <definedName name="jp_HR_M">'[45]MH RATE'!$N$9</definedName>
    <definedName name="JPCAMP_MD" localSheetId="0">#REF!</definedName>
    <definedName name="JPCAMP_MD">#REF!</definedName>
    <definedName name="JPCOMMH" localSheetId="0">#REF!</definedName>
    <definedName name="JPCOMMH">#REF!</definedName>
    <definedName name="JPCOMMHCOST" localSheetId="0">#REF!</definedName>
    <definedName name="JPCOMMHCOST">#REF!</definedName>
    <definedName name="JPCOMMM">#REF!</definedName>
    <definedName name="JPMH">#REF!</definedName>
    <definedName name="JPMHCOST">#REF!</definedName>
    <definedName name="JPMM">#REF!</definedName>
    <definedName name="jr_00" localSheetId="0">'[45]MH RATE'!$F$10</definedName>
    <definedName name="jr_00">'[45]MH RATE'!$F$10</definedName>
    <definedName name="jr_01" localSheetId="0">'[45]MH RATE'!$H$10</definedName>
    <definedName name="jr_01">'[45]MH RATE'!$H$10</definedName>
    <definedName name="jr_02" localSheetId="0">'[45]MH RATE'!$J$10</definedName>
    <definedName name="jr_02">'[45]MH RATE'!$J$10</definedName>
    <definedName name="jr_03" localSheetId="0">'[45]MH RATE'!$L$10</definedName>
    <definedName name="jr_03">'[45]MH RATE'!$L$10</definedName>
    <definedName name="jr_04" localSheetId="0">'[35]MH RATE'!$H$10</definedName>
    <definedName name="jr_04">'[36]MH RATE'!$H$10</definedName>
    <definedName name="jr_05" localSheetId="0">'[35]MH RATE'!$J$10</definedName>
    <definedName name="jr_05">'[36]MH RATE'!$J$10</definedName>
    <definedName name="jr_99" localSheetId="0">'[45]MH RATE'!$D$10</definedName>
    <definedName name="jr_99">'[45]MH RATE'!$D$10</definedName>
    <definedName name="jr_HR_M" localSheetId="0">'[45]MH RATE'!$N$10</definedName>
    <definedName name="jr_HR_M">'[45]MH RATE'!$N$10</definedName>
    <definedName name="JRCOMMH" localSheetId="0">#REF!</definedName>
    <definedName name="JRCOMMH">#REF!</definedName>
    <definedName name="JRCOMMHCOST" localSheetId="0">#REF!</definedName>
    <definedName name="JRCOMMHCOST">#REF!</definedName>
    <definedName name="JRCOMMM" localSheetId="0">#REF!</definedName>
    <definedName name="JRCOMMM">#REF!</definedName>
    <definedName name="JRMH">#REF!</definedName>
    <definedName name="JRMHCOST">#REF!</definedName>
    <definedName name="JRMM">#REF!</definedName>
    <definedName name="ju" localSheetId="0" hidden="1">{#N/A,#N/A,FALSE,"CHANGES";#N/A,#N/A,FALSE,"PROD SUMMARY";#N/A,#N/A,FALSE,"1995 PO SUM";#N/A,#N/A,FALSE,"1995 GEOG SUM";#N/A,#N/A,FALSE,"1996 PO SUM";#N/A,#N/A,FALSE,"1996 GEOG SUM"}</definedName>
    <definedName name="ju" hidden="1">{#N/A,#N/A,FALSE,"CHANGES";#N/A,#N/A,FALSE,"PROD SUMMARY";#N/A,#N/A,FALSE,"1995 PO SUM";#N/A,#N/A,FALSE,"1995 GEOG SUM";#N/A,#N/A,FALSE,"1996 PO SUM";#N/A,#N/A,FALSE,"1996 GEOG SUM"}</definedName>
    <definedName name="ju_1" localSheetId="0" hidden="1">{#N/A,#N/A,FALSE,"CHANGES";#N/A,#N/A,FALSE,"PROD SUMMARY";#N/A,#N/A,FALSE,"1995 PO SUM";#N/A,#N/A,FALSE,"1995 GEOG SUM";#N/A,#N/A,FALSE,"1996 PO SUM";#N/A,#N/A,FALSE,"1996 GEOG SUM"}</definedName>
    <definedName name="ju_1" hidden="1">{#N/A,#N/A,FALSE,"CHANGES";#N/A,#N/A,FALSE,"PROD SUMMARY";#N/A,#N/A,FALSE,"1995 PO SUM";#N/A,#N/A,FALSE,"1995 GEOG SUM";#N/A,#N/A,FALSE,"1996 PO SUM";#N/A,#N/A,FALSE,"1996 GEOG SUM"}</definedName>
    <definedName name="ju1_1" localSheetId="0" hidden="1">{#N/A,#N/A,FALSE,"CHANGES";#N/A,#N/A,FALSE,"PROD SUMMARY";#N/A,#N/A,FALSE,"1995 PO SUM";#N/A,#N/A,FALSE,"1995 GEOG SUM";#N/A,#N/A,FALSE,"1996 PO SUM";#N/A,#N/A,FALSE,"1996 GEOG SUM"}</definedName>
    <definedName name="ju1_1" hidden="1">{#N/A,#N/A,FALSE,"CHANGES";#N/A,#N/A,FALSE,"PROD SUMMARY";#N/A,#N/A,FALSE,"1995 PO SUM";#N/A,#N/A,FALSE,"1995 GEOG SUM";#N/A,#N/A,FALSE,"1996 PO SUM";#N/A,#N/A,FALSE,"1996 GEOG SUM"}</definedName>
    <definedName name="junk" localSheetId="0" hidden="1">{#N/A,#N/A,FALSE,"CHANGES";#N/A,#N/A,FALSE,"PROD SUMMARY";#N/A,#N/A,FALSE,"1995 PO SUM";#N/A,#N/A,FALSE,"1995 GEOG SUM";#N/A,#N/A,FALSE,"1996 PO SUM";#N/A,#N/A,FALSE,"1996 GEOG SUM"}</definedName>
    <definedName name="junk" hidden="1">{#N/A,#N/A,FALSE,"CHANGES";#N/A,#N/A,FALSE,"PROD SUMMARY";#N/A,#N/A,FALSE,"1995 PO SUM";#N/A,#N/A,FALSE,"1995 GEOG SUM";#N/A,#N/A,FALSE,"1996 PO SUM";#N/A,#N/A,FALSE,"1996 GEOG SUM"}</definedName>
    <definedName name="junk_1" localSheetId="0" hidden="1">{#N/A,#N/A,FALSE,"CHANGES";#N/A,#N/A,FALSE,"PROD SUMMARY";#N/A,#N/A,FALSE,"1995 PO SUM";#N/A,#N/A,FALSE,"1995 GEOG SUM";#N/A,#N/A,FALSE,"1996 PO SUM";#N/A,#N/A,FALSE,"1996 GEOG SUM"}</definedName>
    <definedName name="junk_1" hidden="1">{#N/A,#N/A,FALSE,"CHANGES";#N/A,#N/A,FALSE,"PROD SUMMARY";#N/A,#N/A,FALSE,"1995 PO SUM";#N/A,#N/A,FALSE,"1995 GEOG SUM";#N/A,#N/A,FALSE,"1996 PO SUM";#N/A,#N/A,FALSE,"1996 GEOG SUM"}</definedName>
    <definedName name="junk1" localSheetId="0" hidden="1">{#N/A,#N/A,FALSE,"CHANGES";#N/A,#N/A,FALSE,"PROD SUMMARY";#N/A,#N/A,FALSE,"1995 PO SUM";#N/A,#N/A,FALSE,"1995 GEOG SUM";#N/A,#N/A,FALSE,"1996 PO SUM";#N/A,#N/A,FALSE,"1996 GEOG SUM"}</definedName>
    <definedName name="junk1" hidden="1">{#N/A,#N/A,FALSE,"CHANGES";#N/A,#N/A,FALSE,"PROD SUMMARY";#N/A,#N/A,FALSE,"1995 PO SUM";#N/A,#N/A,FALSE,"1995 GEOG SUM";#N/A,#N/A,FALSE,"1996 PO SUM";#N/A,#N/A,FALSE,"1996 GEOG SUM"}</definedName>
    <definedName name="junk1_1" localSheetId="0" hidden="1">{#N/A,#N/A,FALSE,"CHANGES";#N/A,#N/A,FALSE,"PROD SUMMARY";#N/A,#N/A,FALSE,"1995 PO SUM";#N/A,#N/A,FALSE,"1995 GEOG SUM";#N/A,#N/A,FALSE,"1996 PO SUM";#N/A,#N/A,FALSE,"1996 GEOG SUM"}</definedName>
    <definedName name="junk1_1" hidden="1">{#N/A,#N/A,FALSE,"CHANGES";#N/A,#N/A,FALSE,"PROD SUMMARY";#N/A,#N/A,FALSE,"1995 PO SUM";#N/A,#N/A,FALSE,"1995 GEOG SUM";#N/A,#N/A,FALSE,"1996 PO SUM";#N/A,#N/A,FALSE,"1996 GEOG SUM"}</definedName>
    <definedName name="k" localSheetId="0" hidden="1">{"'Sheet1'!$A$1:$I$38"}</definedName>
    <definedName name="k" hidden="1">{"'Sheet1'!$A$1:$I$38"}</definedName>
    <definedName name="K2__EVCOMOPTS__" hidden="1">5</definedName>
    <definedName name="K2_WBEVMODE" hidden="1">0</definedName>
    <definedName name="ka" localSheetId="0" hidden="1">{#N/A,#N/A,FALSE,"CHANGES";#N/A,#N/A,FALSE,"PROD SUMMARY";#N/A,#N/A,FALSE,"1995 PO SUM";#N/A,#N/A,FALSE,"1995 GEOG SUM";#N/A,#N/A,FALSE,"1996 PO SUM";#N/A,#N/A,FALSE,"1996 GEOG SUM"}</definedName>
    <definedName name="ka" hidden="1">{#N/A,#N/A,FALSE,"CHANGES";#N/A,#N/A,FALSE,"PROD SUMMARY";#N/A,#N/A,FALSE,"1995 PO SUM";#N/A,#N/A,FALSE,"1995 GEOG SUM";#N/A,#N/A,FALSE,"1996 PO SUM";#N/A,#N/A,FALSE,"1996 GEOG SUM"}</definedName>
    <definedName name="KACY" localSheetId="0" hidden="1">{#N/A,#N/A,FALSE,"CHANGES";#N/A,#N/A,FALSE,"PROD SUMMARY";#N/A,#N/A,FALSE,"1995 PO SUM";#N/A,#N/A,FALSE,"1995 GEOG SUM";#N/A,#N/A,FALSE,"1996 PO SUM";#N/A,#N/A,FALSE,"1996 GEOG SUM"}</definedName>
    <definedName name="KACY" hidden="1">{#N/A,#N/A,FALSE,"CHANGES";#N/A,#N/A,FALSE,"PROD SUMMARY";#N/A,#N/A,FALSE,"1995 PO SUM";#N/A,#N/A,FALSE,"1995 GEOG SUM";#N/A,#N/A,FALSE,"1996 PO SUM";#N/A,#N/A,FALSE,"1996 GEOG SUM"}</definedName>
    <definedName name="KACY_1" localSheetId="0" hidden="1">{#N/A,#N/A,FALSE,"CHANGES";#N/A,#N/A,FALSE,"PROD SUMMARY";#N/A,#N/A,FALSE,"1995 PO SUM";#N/A,#N/A,FALSE,"1995 GEOG SUM";#N/A,#N/A,FALSE,"1996 PO SUM";#N/A,#N/A,FALSE,"1996 GEOG SUM"}</definedName>
    <definedName name="KACY_1" hidden="1">{#N/A,#N/A,FALSE,"CHANGES";#N/A,#N/A,FALSE,"PROD SUMMARY";#N/A,#N/A,FALSE,"1995 PO SUM";#N/A,#N/A,FALSE,"1995 GEOG SUM";#N/A,#N/A,FALSE,"1996 PO SUM";#N/A,#N/A,FALSE,"1996 GEOG SUM"}</definedName>
    <definedName name="Key_Milestones_Text" localSheetId="0">#REF!</definedName>
    <definedName name="Key_Milestones_Text">#REF!</definedName>
    <definedName name="kk" localSheetId="0" hidden="1">{"'Sheet1'!$A$1:$I$38"}</definedName>
    <definedName name="kk" hidden="1">{"'Sheet1'!$A$1:$I$38"}</definedName>
    <definedName name="KKK" localSheetId="0" hidden="1">{#N/A,#N/A,FALSE,"CHANGES";#N/A,#N/A,FALSE,"PROD SUMMARY";#N/A,#N/A,FALSE,"1995 PO SUM";#N/A,#N/A,FALSE,"1995 GEOG SUM";#N/A,#N/A,FALSE,"1996 PO SUM";#N/A,#N/A,FALSE,"1996 GEOG SUM"}</definedName>
    <definedName name="KKK" hidden="1">{#N/A,#N/A,FALSE,"CHANGES";#N/A,#N/A,FALSE,"PROD SUMMARY";#N/A,#N/A,FALSE,"1995 PO SUM";#N/A,#N/A,FALSE,"1995 GEOG SUM";#N/A,#N/A,FALSE,"1996 PO SUM";#N/A,#N/A,FALSE,"1996 GEOG SUM"}</definedName>
    <definedName name="KKK_1" localSheetId="0" hidden="1">{#N/A,#N/A,FALSE,"CHANGES";#N/A,#N/A,FALSE,"PROD SUMMARY";#N/A,#N/A,FALSE,"1995 PO SUM";#N/A,#N/A,FALSE,"1995 GEOG SUM";#N/A,#N/A,FALSE,"1996 PO SUM";#N/A,#N/A,FALSE,"1996 GEOG SUM"}</definedName>
    <definedName name="KKK_1" hidden="1">{#N/A,#N/A,FALSE,"CHANGES";#N/A,#N/A,FALSE,"PROD SUMMARY";#N/A,#N/A,FALSE,"1995 PO SUM";#N/A,#N/A,FALSE,"1995 GEOG SUM";#N/A,#N/A,FALSE,"1996 PO SUM";#N/A,#N/A,FALSE,"1996 GEOG SUM"}</definedName>
    <definedName name="kkk1_1" localSheetId="0" hidden="1">{#N/A,#N/A,FALSE,"CHANGES";#N/A,#N/A,FALSE,"PROD SUMMARY";#N/A,#N/A,FALSE,"1995 PO SUM";#N/A,#N/A,FALSE,"1995 GEOG SUM";#N/A,#N/A,FALSE,"1996 PO SUM";#N/A,#N/A,FALSE,"1996 GEOG SUM"}</definedName>
    <definedName name="kkk1_1" hidden="1">{#N/A,#N/A,FALSE,"CHANGES";#N/A,#N/A,FALSE,"PROD SUMMARY";#N/A,#N/A,FALSE,"1995 PO SUM";#N/A,#N/A,FALSE,"1995 GEOG SUM";#N/A,#N/A,FALSE,"1996 PO SUM";#N/A,#N/A,FALSE,"1996 GEOG SUM"}</definedName>
    <definedName name="klm" localSheetId="0" hidden="1">{#N/A,#N/A,FALSE,"CHANGES";#N/A,#N/A,FALSE,"PROD SUMMARY";#N/A,#N/A,FALSE,"1995 PO SUM";#N/A,#N/A,FALSE,"1995 GEOG SUM";#N/A,#N/A,FALSE,"1996 PO SUM";#N/A,#N/A,FALSE,"1996 GEOG SUM"}</definedName>
    <definedName name="klm" hidden="1">{#N/A,#N/A,FALSE,"CHANGES";#N/A,#N/A,FALSE,"PROD SUMMARY";#N/A,#N/A,FALSE,"1995 PO SUM";#N/A,#N/A,FALSE,"1995 GEOG SUM";#N/A,#N/A,FALSE,"1996 PO SUM";#N/A,#N/A,FALSE,"1996 GEOG SUM"}</definedName>
    <definedName name="ko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ko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koliup" localSheetId="0" hidden="1">{#N/A,#N/A,FALSE,"CHANGES";#N/A,#N/A,FALSE,"PROD SUMMARY";#N/A,#N/A,FALSE,"1995 PO SUM";#N/A,#N/A,FALSE,"1995 GEOG SUM";#N/A,#N/A,FALSE,"1996 PO SUM";#N/A,#N/A,FALSE,"1996 GEOG SUM"}</definedName>
    <definedName name="koliup" hidden="1">{#N/A,#N/A,FALSE,"CHANGES";#N/A,#N/A,FALSE,"PROD SUMMARY";#N/A,#N/A,FALSE,"1995 PO SUM";#N/A,#N/A,FALSE,"1995 GEOG SUM";#N/A,#N/A,FALSE,"1996 PO SUM";#N/A,#N/A,FALSE,"1996 GEOG SUM"}</definedName>
    <definedName name="l" localSheetId="0" hidden="1">{"'Sheet1'!$A$1:$I$38"}</definedName>
    <definedName name="l" hidden="1">{"'Sheet1'!$A$1:$I$38"}</definedName>
    <definedName name="L_Direct_mm">#REF!</definedName>
    <definedName name="L_Staff_mm">#REF!</definedName>
    <definedName name="la_00" localSheetId="0">'[45]MH RATE'!$F$16</definedName>
    <definedName name="la_00">'[45]MH RATE'!$F$16</definedName>
    <definedName name="la_01" localSheetId="0">'[45]MH RATE'!$H$16</definedName>
    <definedName name="la_01">'[45]MH RATE'!$H$16</definedName>
    <definedName name="la_02" localSheetId="0">'[45]MH RATE'!$J$16</definedName>
    <definedName name="la_02">'[45]MH RATE'!$J$16</definedName>
    <definedName name="la_03" localSheetId="0">'[45]MH RATE'!$L$16</definedName>
    <definedName name="la_03">'[45]MH RATE'!$L$16</definedName>
    <definedName name="la_04" localSheetId="0">'[35]MH RATE'!$H$20</definedName>
    <definedName name="la_04">'[36]MH RATE'!$H$20</definedName>
    <definedName name="la_05" localSheetId="0">'[35]MH RATE'!$J$20</definedName>
    <definedName name="la_05">'[36]MH RATE'!$J$20</definedName>
    <definedName name="la_99" localSheetId="0">'[45]MH RATE'!$D$16</definedName>
    <definedName name="la_99">'[45]MH RATE'!$D$16</definedName>
    <definedName name="la_HR_M" localSheetId="0">'[45]MH RATE'!$N$16</definedName>
    <definedName name="la_HR_M">'[45]MH RATE'!$N$16</definedName>
    <definedName name="Label_Color" localSheetId="0">#REF!</definedName>
    <definedName name="Label_Color">#REF!</definedName>
    <definedName name="Labels" localSheetId="0">#REF!</definedName>
    <definedName name="Labels">#REF!</definedName>
    <definedName name="lacommh" localSheetId="0">#REF!</definedName>
    <definedName name="lacommh">#REF!</definedName>
    <definedName name="lacommhcost" localSheetId="0">#REF!</definedName>
    <definedName name="lacommhcost">#REF!</definedName>
    <definedName name="lacommm" localSheetId="0">#REF!</definedName>
    <definedName name="lacommm">#REF!</definedName>
    <definedName name="LAF">#REF!</definedName>
    <definedName name="LAMA" localSheetId="0" hidden="1">{"'two phase'!$A$1:$U$63"}</definedName>
    <definedName name="LAMA" hidden="1">{"'two phase'!$A$1:$U$63"}</definedName>
    <definedName name="LAMH">#REF!</definedName>
    <definedName name="LAMHCOST">#REF!</definedName>
    <definedName name="LAMM">#REF!</definedName>
    <definedName name="las" localSheetId="0" hidden="1">{#N/A,#N/A,FALSE,"CHANGES";#N/A,#N/A,FALSE,"PROD SUMMARY";#N/A,#N/A,FALSE,"1995 PO SUM";#N/A,#N/A,FALSE,"1995 GEOG SUM";#N/A,#N/A,FALSE,"1996 PO SUM";#N/A,#N/A,FALSE,"1996 GEOG SUM"}</definedName>
    <definedName name="las" hidden="1">{#N/A,#N/A,FALSE,"CHANGES";#N/A,#N/A,FALSE,"PROD SUMMARY";#N/A,#N/A,FALSE,"1995 PO SUM";#N/A,#N/A,FALSE,"1995 GEOG SUM";#N/A,#N/A,FALSE,"1996 PO SUM";#N/A,#N/A,FALSE,"1996 GEOG SUM"}</definedName>
    <definedName name="lb_00" localSheetId="0">'[45]MH RATE'!$F$17</definedName>
    <definedName name="lb_00">'[45]MH RATE'!$F$17</definedName>
    <definedName name="lb_01" localSheetId="0">'[45]MH RATE'!$H$17</definedName>
    <definedName name="lb_01">'[45]MH RATE'!$H$17</definedName>
    <definedName name="lb_02" localSheetId="0">'[45]MH RATE'!$J$17</definedName>
    <definedName name="lb_02">'[45]MH RATE'!$J$17</definedName>
    <definedName name="lb_03" localSheetId="0">'[45]MH RATE'!$L$17</definedName>
    <definedName name="lb_03">'[45]MH RATE'!$L$17</definedName>
    <definedName name="lb_04" localSheetId="0">'[35]MH RATE'!$H$21</definedName>
    <definedName name="lb_04">'[36]MH RATE'!$H$21</definedName>
    <definedName name="lb_05" localSheetId="0">'[35]MH RATE'!$J$21</definedName>
    <definedName name="lb_05">'[36]MH RATE'!$J$21</definedName>
    <definedName name="lb_99" localSheetId="0">'[45]MH RATE'!$D$17</definedName>
    <definedName name="lb_99">'[45]MH RATE'!$D$17</definedName>
    <definedName name="lb_HR_M" localSheetId="0">'[45]MH RATE'!$N$17</definedName>
    <definedName name="lb_HR_M">'[45]MH RATE'!$N$17</definedName>
    <definedName name="LBMH" localSheetId="0">#REF!</definedName>
    <definedName name="LBMH">#REF!</definedName>
    <definedName name="LBMHCOST" localSheetId="0">#REF!</definedName>
    <definedName name="LBMHCOST">#REF!</definedName>
    <definedName name="LBMM" localSheetId="0">#REF!</definedName>
    <definedName name="LBMM">#REF!</definedName>
    <definedName name="Lc">#REF!</definedName>
    <definedName name="lc_00" localSheetId="0">'[45]MH RATE'!$F$18</definedName>
    <definedName name="lc_00">'[45]MH RATE'!$F$18</definedName>
    <definedName name="lc_01" localSheetId="0">'[45]MH RATE'!$H$18</definedName>
    <definedName name="lc_01">'[45]MH RATE'!$H$18</definedName>
    <definedName name="lc_02" localSheetId="0">'[45]MH RATE'!$J$18</definedName>
    <definedName name="lc_02">'[45]MH RATE'!$J$18</definedName>
    <definedName name="lc_03" localSheetId="0">'[45]MH RATE'!$L$18</definedName>
    <definedName name="lc_03">'[45]MH RATE'!$L$18</definedName>
    <definedName name="lc_04" localSheetId="0">'[35]MH RATE'!$H$22</definedName>
    <definedName name="lc_04">'[36]MH RATE'!$H$22</definedName>
    <definedName name="lc_05" localSheetId="0">'[35]MH RATE'!$J$22</definedName>
    <definedName name="lc_05">'[36]MH RATE'!$J$22</definedName>
    <definedName name="lc_99" localSheetId="0">'[45]MH RATE'!$D$18</definedName>
    <definedName name="lc_99">'[45]MH RATE'!$D$18</definedName>
    <definedName name="lc_HR_M" localSheetId="0">'[45]MH RATE'!$N$18</definedName>
    <definedName name="lc_HR_M">'[45]MH RATE'!$N$18</definedName>
    <definedName name="LCMH" localSheetId="0">#REF!</definedName>
    <definedName name="LCMH">#REF!</definedName>
    <definedName name="LCMHCOST" localSheetId="0">#REF!</definedName>
    <definedName name="LCMHCOST">#REF!</definedName>
    <definedName name="LCMM" localSheetId="0">#REF!</definedName>
    <definedName name="LCMM">#REF!</definedName>
    <definedName name="ld_00" localSheetId="0">'[45]MH RATE'!$F$19</definedName>
    <definedName name="ld_00">'[45]MH RATE'!$F$19</definedName>
    <definedName name="ld_01" localSheetId="0">'[45]MH RATE'!$H$19</definedName>
    <definedName name="ld_01">'[45]MH RATE'!$H$19</definedName>
    <definedName name="ld_02" localSheetId="0">'[45]MH RATE'!$J$19</definedName>
    <definedName name="ld_02">'[45]MH RATE'!$J$19</definedName>
    <definedName name="ld_03" localSheetId="0">'[45]MH RATE'!$L$19</definedName>
    <definedName name="ld_03">'[45]MH RATE'!$L$19</definedName>
    <definedName name="ld_04" localSheetId="0">'[35]MH RATE'!$H$23</definedName>
    <definedName name="ld_04">'[36]MH RATE'!$H$23</definedName>
    <definedName name="ld_05" localSheetId="0">'[35]MH RATE'!$J$23</definedName>
    <definedName name="ld_05">'[36]MH RATE'!$J$23</definedName>
    <definedName name="ld_99" localSheetId="0">'[45]MH RATE'!$D$19</definedName>
    <definedName name="ld_99">'[45]MH RATE'!$D$19</definedName>
    <definedName name="ld_HR_M" localSheetId="0">'[45]MH RATE'!$N$19</definedName>
    <definedName name="ld_HR_M">'[45]MH RATE'!$N$19</definedName>
    <definedName name="LDMH" localSheetId="0">#REF!</definedName>
    <definedName name="LDMH">#REF!</definedName>
    <definedName name="LDMHCOST" localSheetId="0">#REF!</definedName>
    <definedName name="LDMHCOST">#REF!</definedName>
    <definedName name="LDMM" localSheetId="0">#REF!</definedName>
    <definedName name="LDMM">#REF!</definedName>
    <definedName name="lds" localSheetId="0" hidden="1">{#N/A,#N/A,FALSE,"CHANGES";#N/A,#N/A,FALSE,"PROD SUMMARY";#N/A,#N/A,FALSE,"1995 PO SUM";#N/A,#N/A,FALSE,"1995 GEOG SUM";#N/A,#N/A,FALSE,"1996 PO SUM";#N/A,#N/A,FALSE,"1996 GEOG SUM"}</definedName>
    <definedName name="lds" hidden="1">{#N/A,#N/A,FALSE,"CHANGES";#N/A,#N/A,FALSE,"PROD SUMMARY";#N/A,#N/A,FALSE,"1995 PO SUM";#N/A,#N/A,FALSE,"1995 GEOG SUM";#N/A,#N/A,FALSE,"1996 PO SUM";#N/A,#N/A,FALSE,"1996 GEOG SUM"}</definedName>
    <definedName name="lds_1" localSheetId="0" hidden="1">{#N/A,#N/A,FALSE,"CHANGES";#N/A,#N/A,FALSE,"PROD SUMMARY";#N/A,#N/A,FALSE,"1995 PO SUM";#N/A,#N/A,FALSE,"1995 GEOG SUM";#N/A,#N/A,FALSE,"1996 PO SUM";#N/A,#N/A,FALSE,"1996 GEOG SUM"}</definedName>
    <definedName name="lds_1" hidden="1">{#N/A,#N/A,FALSE,"CHANGES";#N/A,#N/A,FALSE,"PROD SUMMARY";#N/A,#N/A,FALSE,"1995 PO SUM";#N/A,#N/A,FALSE,"1995 GEOG SUM";#N/A,#N/A,FALSE,"1996 PO SUM";#N/A,#N/A,FALSE,"1996 GEOG SUM"}</definedName>
    <definedName name="lds1_1" localSheetId="0" hidden="1">{#N/A,#N/A,FALSE,"CHANGES";#N/A,#N/A,FALSE,"PROD SUMMARY";#N/A,#N/A,FALSE,"1995 PO SUM";#N/A,#N/A,FALSE,"1995 GEOG SUM";#N/A,#N/A,FALSE,"1996 PO SUM";#N/A,#N/A,FALSE,"1996 GEOG SUM"}</definedName>
    <definedName name="lds1_1" hidden="1">{#N/A,#N/A,FALSE,"CHANGES";#N/A,#N/A,FALSE,"PROD SUMMARY";#N/A,#N/A,FALSE,"1995 PO SUM";#N/A,#N/A,FALSE,"1995 GEOG SUM";#N/A,#N/A,FALSE,"1996 PO SUM";#N/A,#N/A,FALSE,"1996 GEOG SUM"}</definedName>
    <definedName name="le_00" localSheetId="0">'[45]MH RATE'!$F$20</definedName>
    <definedName name="le_00">'[45]MH RATE'!$F$20</definedName>
    <definedName name="le_01" localSheetId="0">'[45]MH RATE'!$H$20</definedName>
    <definedName name="le_01">'[45]MH RATE'!$H$20</definedName>
    <definedName name="le_02" localSheetId="0">'[45]MH RATE'!$J$20</definedName>
    <definedName name="le_02">'[45]MH RATE'!$J$20</definedName>
    <definedName name="le_03" localSheetId="0">'[45]MH RATE'!$L$20</definedName>
    <definedName name="le_03">'[45]MH RATE'!$L$20</definedName>
    <definedName name="le_04" localSheetId="0">'[35]MH RATE'!$H$24</definedName>
    <definedName name="le_04">'[36]MH RATE'!$H$24</definedName>
    <definedName name="le_05" localSheetId="0">'[35]MH RATE'!$J$24</definedName>
    <definedName name="le_05">'[36]MH RATE'!$J$24</definedName>
    <definedName name="le_99" localSheetId="0">'[45]MH RATE'!$D$20</definedName>
    <definedName name="le_99">'[45]MH RATE'!$D$20</definedName>
    <definedName name="le_HR_M" localSheetId="0">'[45]MH RATE'!$N$20</definedName>
    <definedName name="le_HR_M">'[45]MH RATE'!$N$20</definedName>
    <definedName name="LE00" localSheetId="0">[83]FABRICATION!#REF!</definedName>
    <definedName name="LE00">[83]FABRICATION!#REF!</definedName>
    <definedName name="Leading" localSheetId="0">#REF!</definedName>
    <definedName name="Leading">#REF!</definedName>
    <definedName name="LEMH" localSheetId="0">#REF!</definedName>
    <definedName name="LEMH">#REF!</definedName>
    <definedName name="LEMHCOST" localSheetId="0">#REF!</definedName>
    <definedName name="LEMHCOST">#REF!</definedName>
    <definedName name="LEMM" localSheetId="0">#REF!</definedName>
    <definedName name="LEMM">#REF!</definedName>
    <definedName name="LEVE" localSheetId="0">[83]FABRICATION!#REF!</definedName>
    <definedName name="LEVE">[83]FABRICATION!#REF!</definedName>
    <definedName name="LIGN" localSheetId="0">#REF!</definedName>
    <definedName name="LIGN">#REF!</definedName>
    <definedName name="lkj" localSheetId="0" hidden="1">{TRUE,TRUE,19.75,18.25,455.25,236.25,FALSE,TRUE,TRUE,TRUE,0,1,#N/A,84,#N/A,5.58823529411765,6.5,1,FALSE,FALSE,1,TRUE,1,FALSE,100,"Swvu.STEW._.EARNINGS.","ACwvu.STEW._.EARNINGS.",1,FALSE,FALSE,0,0,0.551181102362205,0.0393700787401575,2,"","&amp;L&amp;""Arial,Regular""&amp;8&amp;D &amp;T &amp;F &amp;A ",TRUE,FALSE,FALSE,FALSE,1,#N/A,1,1,"=R88C1:R109C10",FALSE,#N/A,#N/A,FALSE,FALSE,FALSE,1,65532,65532,FALSE,FALSE,TRUE,TRUE,TRUE}</definedName>
    <definedName name="lkj" hidden="1">{TRUE,TRUE,19.75,18.25,455.25,236.25,FALSE,TRUE,TRUE,TRUE,0,1,#N/A,84,#N/A,5.58823529411765,6.5,1,FALSE,FALSE,1,TRUE,1,FALSE,100,"Swvu.STEW._.EARNINGS.","ACwvu.STEW._.EARNINGS.",1,FALSE,FALSE,0,0,0.551181102362205,0.0393700787401575,2,"","&amp;L&amp;""Arial,Regular""&amp;8&amp;D &amp;T &amp;F &amp;A ",TRUE,FALSE,FALSE,FALSE,1,#N/A,1,1,"=R88C1:R109C10",FALSE,#N/A,#N/A,FALSE,FALSE,FALSE,1,65532,65532,FALSE,FALSE,TRUE,TRUE,TRUE}</definedName>
    <definedName name="ll" localSheetId="0" hidden="1">{"'Sheet1'!$A$1:$I$38"}</definedName>
    <definedName name="ll" hidden="1">{"'Sheet1'!$A$1:$I$38"}</definedName>
    <definedName name="lll" localSheetId="0" hidden="1">{#N/A,#N/A,FALSE,"DB";#N/A,#N/A,FALSE,"Seg Earns";#N/A,#N/A,FALSE,"Norm Earns 05 bas";#N/A,#N/A,FALSE,"EFA Bal Sum";#N/A,#N/A,FALSE,"CE DB";#N/A,#N/A,FALSE,"ROCE Seg Earns";#N/A,#N/A,FALSE,"YE CE EM Share";#N/A,#N/A,FALSE,"NCG DB";#N/A,#N/A,FALSE,"Net Cash Gen"}</definedName>
    <definedName name="lll" hidden="1">{#N/A,#N/A,FALSE,"DB";#N/A,#N/A,FALSE,"Seg Earns";#N/A,#N/A,FALSE,"Norm Earns 05 bas";#N/A,#N/A,FALSE,"EFA Bal Sum";#N/A,#N/A,FALSE,"CE DB";#N/A,#N/A,FALSE,"ROCE Seg Earns";#N/A,#N/A,FALSE,"YE CE EM Share";#N/A,#N/A,FALSE,"NCG DB";#N/A,#N/A,FALSE,"Net Cash Gen"}</definedName>
    <definedName name="Lm" localSheetId="0">#REF!</definedName>
    <definedName name="Lm">#REF!</definedName>
    <definedName name="LOB" localSheetId="0">[84]LineBusiness!$B$11:$B$17</definedName>
    <definedName name="LOB">[85]LineBusiness!$B$11:$B$17</definedName>
    <definedName name="LOCALCAMP_MD" localSheetId="0">#REF!</definedName>
    <definedName name="LOCALCAMP_MD">#REF!</definedName>
    <definedName name="Locations" localSheetId="0">#REF!</definedName>
    <definedName name="Locations">#REF!</definedName>
    <definedName name="lop" localSheetId="0" hidden="1">{#N/A,#N/A,FALSE,"CHANGES";#N/A,#N/A,FALSE,"PROD SUMMARY";#N/A,#N/A,FALSE,"1995 PO SUM";#N/A,#N/A,FALSE,"1995 GEOG SUM";#N/A,#N/A,FALSE,"1996 PO SUM";#N/A,#N/A,FALSE,"1996 GEOG SUM"}</definedName>
    <definedName name="lop" hidden="1">{#N/A,#N/A,FALSE,"CHANGES";#N/A,#N/A,FALSE,"PROD SUMMARY";#N/A,#N/A,FALSE,"1995 PO SUM";#N/A,#N/A,FALSE,"1995 GEOG SUM";#N/A,#N/A,FALSE,"1996 PO SUM";#N/A,#N/A,FALSE,"1996 GEOG SUM"}</definedName>
    <definedName name="LTI" localSheetId="0">#REF!</definedName>
    <definedName name="LTI">#REF!</definedName>
    <definedName name="LTIT" localSheetId="0">'[37]AOR Base Parameters'!$F$34:$BD$34</definedName>
    <definedName name="LTIT">'[38]AOR Base Parameters'!$F$34:$BD$34</definedName>
    <definedName name="m" localSheetId="0" hidden="1">{"'Sheet1'!$A$1:$I$38"}</definedName>
    <definedName name="m" hidden="1">{"'Sheet1'!$A$1:$I$38"}</definedName>
    <definedName name="MANSOOR" localSheetId="0" hidden="1">{#N/A,#N/A,FALSE,"CHANGES";#N/A,#N/A,FALSE,"PROD SUMMARY";#N/A,#N/A,FALSE,"1995 PO SUM";#N/A,#N/A,FALSE,"1995 GEOG SUM";#N/A,#N/A,FALSE,"1996 PO SUM";#N/A,#N/A,FALSE,"1996 GEOG SUM"}</definedName>
    <definedName name="MANSOOR" hidden="1">{#N/A,#N/A,FALSE,"CHANGES";#N/A,#N/A,FALSE,"PROD SUMMARY";#N/A,#N/A,FALSE,"1995 PO SUM";#N/A,#N/A,FALSE,"1995 GEOG SUM";#N/A,#N/A,FALSE,"1996 PO SUM";#N/A,#N/A,FALSE,"1996 GEOG SUM"}</definedName>
    <definedName name="MAOP" localSheetId="0">#REF!</definedName>
    <definedName name="MAOP">#REF!</definedName>
    <definedName name="MARI" localSheetId="0">[83]FABRICATION!#REF!</definedName>
    <definedName name="MARI">[83]FABRICATION!#REF!</definedName>
    <definedName name="Markup" localSheetId="0">[86]Abang_65!$C$3</definedName>
    <definedName name="Markup">[87]Abang_65!$C$3</definedName>
    <definedName name="mb" localSheetId="0" hidden="1">{#N/A,#N/A,FALSE,"CHANGES";#N/A,#N/A,FALSE,"PROD SUMMARY";#N/A,#N/A,FALSE,"1995 PO SUM";#N/A,#N/A,FALSE,"1995 GEOG SUM";#N/A,#N/A,FALSE,"1996 PO SUM";#N/A,#N/A,FALSE,"1996 GEOG SUM"}</definedName>
    <definedName name="mb" hidden="1">{#N/A,#N/A,FALSE,"CHANGES";#N/A,#N/A,FALSE,"PROD SUMMARY";#N/A,#N/A,FALSE,"1995 PO SUM";#N/A,#N/A,FALSE,"1995 GEOG SUM";#N/A,#N/A,FALSE,"1996 PO SUM";#N/A,#N/A,FALSE,"1996 GEOG SUM"}</definedName>
    <definedName name="mb_1" localSheetId="0" hidden="1">{#N/A,#N/A,FALSE,"CHANGES";#N/A,#N/A,FALSE,"PROD SUMMARY";#N/A,#N/A,FALSE,"1995 PO SUM";#N/A,#N/A,FALSE,"1995 GEOG SUM";#N/A,#N/A,FALSE,"1996 PO SUM";#N/A,#N/A,FALSE,"1996 GEOG SUM"}</definedName>
    <definedName name="mb_1" hidden="1">{#N/A,#N/A,FALSE,"CHANGES";#N/A,#N/A,FALSE,"PROD SUMMARY";#N/A,#N/A,FALSE,"1995 PO SUM";#N/A,#N/A,FALSE,"1995 GEOG SUM";#N/A,#N/A,FALSE,"1996 PO SUM";#N/A,#N/A,FALSE,"1996 GEOG SUM"}</definedName>
    <definedName name="mb1_1" localSheetId="0" hidden="1">{#N/A,#N/A,FALSE,"CHANGES";#N/A,#N/A,FALSE,"PROD SUMMARY";#N/A,#N/A,FALSE,"1995 PO SUM";#N/A,#N/A,FALSE,"1995 GEOG SUM";#N/A,#N/A,FALSE,"1996 PO SUM";#N/A,#N/A,FALSE,"1996 GEOG SUM"}</definedName>
    <definedName name="mb1_1" hidden="1">{#N/A,#N/A,FALSE,"CHANGES";#N/A,#N/A,FALSE,"PROD SUMMARY";#N/A,#N/A,FALSE,"1995 PO SUM";#N/A,#N/A,FALSE,"1995 GEOG SUM";#N/A,#N/A,FALSE,"1996 PO SUM";#N/A,#N/A,FALSE,"1996 GEOG SUM"}</definedName>
    <definedName name="mbi" localSheetId="0" hidden="1">{#N/A,#N/A,FALSE,"CHANGES";#N/A,#N/A,FALSE,"PROD SUMMARY";#N/A,#N/A,FALSE,"1995 PO SUM";#N/A,#N/A,FALSE,"1995 GEOG SUM";#N/A,#N/A,FALSE,"1996 PO SUM";#N/A,#N/A,FALSE,"1996 GEOG SUM"}</definedName>
    <definedName name="mbi" hidden="1">{#N/A,#N/A,FALSE,"CHANGES";#N/A,#N/A,FALSE,"PROD SUMMARY";#N/A,#N/A,FALSE,"1995 PO SUM";#N/A,#N/A,FALSE,"1995 GEOG SUM";#N/A,#N/A,FALSE,"1996 PO SUM";#N/A,#N/A,FALSE,"1996 GEOG SUM"}</definedName>
    <definedName name="mgt_cost" localSheetId="0">#REF!</definedName>
    <definedName name="mgt_cost">#REF!</definedName>
    <definedName name="mgt_mm" localSheetId="0">#REF!</definedName>
    <definedName name="mgt_mm">#REF!</definedName>
    <definedName name="MIKE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IKE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ike1" localSheetId="0" hidden="1">{#N/A,#N/A,FALSE,"TabA";#N/A,#N/A,FALSE,"UTopxFx98";#N/A,#N/A,FALSE,"TopxFx98";#N/A,#N/A,FALSE,"TopxNom"}</definedName>
    <definedName name="mike1" hidden="1">{#N/A,#N/A,FALSE,"TabA";#N/A,#N/A,FALSE,"UTopxFx98";#N/A,#N/A,FALSE,"TopxFx98";#N/A,#N/A,FALSE,"TopxNom"}</definedName>
    <definedName name="MIKE2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IKE2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ike333" localSheetId="0" hidden="1">{#N/A,#N/A,FALSE,"Liq_96PB";#N/A,#N/A,FALSE,"Gas_95PB";#N/A,#N/A,FALSE,"LiqIncrUp_96PB";#N/A,#N/A,FALSE,"LiqIncrDn_95PB";#N/A,#N/A,FALSE,"LiqUp_95PB";#N/A,#N/A,FALSE,"LiqDn_95PB"}</definedName>
    <definedName name="mike333" hidden="1">{#N/A,#N/A,FALSE,"Liq_96PB";#N/A,#N/A,FALSE,"Gas_95PB";#N/A,#N/A,FALSE,"LiqIncrUp_96PB";#N/A,#N/A,FALSE,"LiqIncrDn_95PB";#N/A,#N/A,FALSE,"LiqUp_95PB";#N/A,#N/A,FALSE,"LiqDn_95PB"}</definedName>
    <definedName name="Milestone" localSheetId="0" hidden="1">{#N/A,#N/A,FALSE,"TabA";#N/A,#N/A,FALSE,"UTopxFx98";#N/A,#N/A,FALSE,"TopxFx98";#N/A,#N/A,FALSE,"TopxNom"}</definedName>
    <definedName name="Milestone" hidden="1">{#N/A,#N/A,FALSE,"TabA";#N/A,#N/A,FALSE,"UTopxFx98";#N/A,#N/A,FALSE,"TopxFx98";#N/A,#N/A,FALSE,"TopxNom"}</definedName>
    <definedName name="Milestones" localSheetId="0">#REF!</definedName>
    <definedName name="Milestones">#REF!</definedName>
    <definedName name="mm" localSheetId="0" hidden="1">{"'Sheet1'!$A$1:$I$38"}</definedName>
    <definedName name="mm" hidden="1">{"'Sheet1'!$A$1:$I$38"}</definedName>
    <definedName name="mo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o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OB_DATA" localSheetId="0">#REF!</definedName>
    <definedName name="MOB_DATA">#REF!</definedName>
    <definedName name="MOB_DATA2" localSheetId="0">#REF!</definedName>
    <definedName name="MOB_DATA2">#REF!</definedName>
    <definedName name="mobilized" localSheetId="0" hidden="1">{#N/A,#N/A,FALSE,"CHANGES";#N/A,#N/A,FALSE,"PROD SUMMARY";#N/A,#N/A,FALSE,"1995 PO SUM";#N/A,#N/A,FALSE,"1995 GEOG SUM";#N/A,#N/A,FALSE,"1996 PO SUM";#N/A,#N/A,FALSE,"1996 GEOG SUM"}</definedName>
    <definedName name="mobilized" hidden="1">{#N/A,#N/A,FALSE,"CHANGES";#N/A,#N/A,FALSE,"PROD SUMMARY";#N/A,#N/A,FALSE,"1995 PO SUM";#N/A,#N/A,FALSE,"1995 GEOG SUM";#N/A,#N/A,FALSE,"1996 PO SUM";#N/A,#N/A,FALSE,"1996 GEOG SUM"}</definedName>
    <definedName name="Month" localSheetId="0">#REF!</definedName>
    <definedName name="Month">#REF!</definedName>
    <definedName name="MPN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PN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MTC" localSheetId="0">#REF!</definedName>
    <definedName name="MTC">#REF!</definedName>
    <definedName name="najdmd" localSheetId="0" hidden="1">{#N/A,#N/A,FALSE,"TabA";#N/A,#N/A,FALSE,"UTopxFx98";#N/A,#N/A,FALSE,"TopxFx98";#N/A,#N/A,FALSE,"TopxNom"}</definedName>
    <definedName name="najdmd" hidden="1">{#N/A,#N/A,FALSE,"TabA";#N/A,#N/A,FALSE,"UTopxFx98";#N/A,#N/A,FALSE,"TopxFx98";#N/A,#N/A,FALSE,"TopxNom"}</definedName>
    <definedName name="nBarColorIndex" xml:space="preserve"> 31</definedName>
    <definedName name="nBarHeight" xml:space="preserve"> 0.6</definedName>
    <definedName name="ncd1_1" localSheetId="0" hidden="1">{#N/A,#N/A,FALSE,"CHANGES";#N/A,#N/A,FALSE,"PROD SUMMARY";#N/A,#N/A,FALSE,"1995 PO SUM";#N/A,#N/A,FALSE,"1995 GEOG SUM";#N/A,#N/A,FALSE,"1996 PO SUM";#N/A,#N/A,FALSE,"1996 GEOG SUM"}</definedName>
    <definedName name="ncd1_1" hidden="1">{#N/A,#N/A,FALSE,"CHANGES";#N/A,#N/A,FALSE,"PROD SUMMARY";#N/A,#N/A,FALSE,"1995 PO SUM";#N/A,#N/A,FALSE,"1995 GEOG SUM";#N/A,#N/A,FALSE,"1996 PO SUM";#N/A,#N/A,FALSE,"1996 GEOG SUM"}</definedName>
    <definedName name="NCF_and_Earnings" localSheetId="0">#REF!</definedName>
    <definedName name="NCF_and_Earnings">#REF!</definedName>
    <definedName name="nddc_rate" localSheetId="0">'[37]AOR Base Parameters'!$I$7</definedName>
    <definedName name="nddc_rate">'[38]AOR Base Parameters'!$I$7</definedName>
    <definedName name="nddc_selection" localSheetId="0">'[37]AOR Input'!$C$9</definedName>
    <definedName name="nddc_selection">'[38]AOR Input'!$C$9</definedName>
    <definedName name="NearMiss" localSheetId="0">#REF!</definedName>
    <definedName name="NearMiss">#REF!</definedName>
    <definedName name="nei" localSheetId="0" hidden="1">{#N/A,#N/A,FALSE,"TabA";#N/A,#N/A,FALSE,"UTopxFx98";#N/A,#N/A,FALSE,"TopxFx98";#N/A,#N/A,FALSE,"TopxNom"}</definedName>
    <definedName name="nei" hidden="1">{#N/A,#N/A,FALSE,"TabA";#N/A,#N/A,FALSE,"UTopxFx98";#N/A,#N/A,FALSE,"TopxFx98";#N/A,#N/A,FALSE,"TopxNom"}</definedName>
    <definedName name="Net_cashflow" localSheetId="0">#REF!</definedName>
    <definedName name="Net_cashflow">#REF!</definedName>
    <definedName name="nFontColorIndex" xml:space="preserve"> 1</definedName>
    <definedName name="nigeria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nigeria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nigeria_1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nigeria_1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nigeria_offactor" localSheetId="0">#REF!</definedName>
    <definedName name="nigeria_offactor">#REF!</definedName>
    <definedName name="nigeria_onfactor" localSheetId="0">#REF!</definedName>
    <definedName name="nigeria_onfactor">#REF!</definedName>
    <definedName name="nike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nike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nInLabelFont" xml:space="preserve"> 8</definedName>
    <definedName name="nMilestoneSym" localSheetId="0">'Schedule Control Log'!t</definedName>
    <definedName name="nMilestoneSym">T</definedName>
    <definedName name="nnnn" localSheetId="0" hidden="1">{#N/A,#N/A,FALSE,"TabA";#N/A,#N/A,FALSE,"UTopxFx98";#N/A,#N/A,FALSE,"TopxFx98";#N/A,#N/A,FALSE,"TopxNom"}</definedName>
    <definedName name="nnnn" hidden="1">{#N/A,#N/A,FALSE,"TabA";#N/A,#N/A,FALSE,"UTopxFx98";#N/A,#N/A,FALSE,"TopxFx98";#N/A,#N/A,FALSE,"TopxNom"}</definedName>
    <definedName name="nOffset" xml:space="preserve"> 0</definedName>
    <definedName name="nOutLabelFont" xml:space="preserve"> 8</definedName>
    <definedName name="NPTD_i" localSheetId="0">#REF!</definedName>
    <definedName name="NPTD_i">#REF!</definedName>
    <definedName name="NPTD_P" localSheetId="0">#REF!</definedName>
    <definedName name="NPTD_P">#REF!</definedName>
    <definedName name="ntyxfgtyyh" localSheetId="0" hidden="1">{#N/A,#N/A,FALSE,"Sheet2"}</definedName>
    <definedName name="ntyxfgtyyh" hidden="1">{#N/A,#N/A,FALSE,"Sheet2"}</definedName>
    <definedName name="o" localSheetId="0" hidden="1">{#N/A,#N/A,FALSE,"CHANGES";#N/A,#N/A,FALSE,"PROD SUMMARY";#N/A,#N/A,FALSE,"1995 PO SUM";#N/A,#N/A,FALSE,"1995 GEOG SUM";#N/A,#N/A,FALSE,"1996 PO SUM";#N/A,#N/A,FALSE,"1996 GEOG SUM"}</definedName>
    <definedName name="o" hidden="1">{#N/A,#N/A,FALSE,"CHANGES";#N/A,#N/A,FALSE,"PROD SUMMARY";#N/A,#N/A,FALSE,"1995 PO SUM";#N/A,#N/A,FALSE,"1995 GEOG SUM";#N/A,#N/A,FALSE,"1996 PO SUM";#N/A,#N/A,FALSE,"1996 GEOG SUM"}</definedName>
    <definedName name="Oct" localSheetId="0" hidden="1">{#N/A,#N/A,FALSE,"CHANGES";#N/A,#N/A,FALSE,"PROD SUMMARY";#N/A,#N/A,FALSE,"1995 PO SUM";#N/A,#N/A,FALSE,"1995 GEOG SUM";#N/A,#N/A,FALSE,"1996 PO SUM";#N/A,#N/A,FALSE,"1996 GEOG SUM"}</definedName>
    <definedName name="Oct" hidden="1">{#N/A,#N/A,FALSE,"CHANGES";#N/A,#N/A,FALSE,"PROD SUMMARY";#N/A,#N/A,FALSE,"1995 PO SUM";#N/A,#N/A,FALSE,"1995 GEOG SUM";#N/A,#N/A,FALSE,"1996 PO SUM";#N/A,#N/A,FALSE,"1996 GEOG SUM"}</definedName>
    <definedName name="OD" localSheetId="0">#REF!</definedName>
    <definedName name="OD">#REF!</definedName>
    <definedName name="OFF_IPTCustom_Dimension_Validation" localSheetId="0" hidden="1">'[62]Facility Integrity'!$Y$8:$AJ$13</definedName>
    <definedName name="OFF_IPTCustom_Dimension_Validation" hidden="1">'[63]Facility Integrity'!$Y$8:$AJ$13</definedName>
    <definedName name="OFF_IPTCustom_Offline_Selection" localSheetId="0" hidden="1">'[62]Facility Integrity'!$Y$14:$AJ$14</definedName>
    <definedName name="OFF_IPTCustom_Offline_Selection" hidden="1">'[63]Facility Integrity'!$Y$14:$AJ$14</definedName>
    <definedName name="OFF_IPTCustom_Property_Validation" localSheetId="0" hidden="1">'[62]Facility Integrity'!$Y$17:$AJ$20</definedName>
    <definedName name="OFF_IPTCustom_Property_Validation" hidden="1">'[63]Facility Integrity'!$Y$17:$AJ$20</definedName>
    <definedName name="OFF_RefreshValue" localSheetId="0" hidden="1">'[62]Facility Integrity'!$Y$15:$AJ$15</definedName>
    <definedName name="OFF_RefreshValue" hidden="1">'[63]Facility Integrity'!$Y$15:$AJ$15</definedName>
    <definedName name="OFF_z_Application" localSheetId="0" hidden="1">'[62]Facility Integrity'!$Y$14</definedName>
    <definedName name="OFF_z_Application" hidden="1">'[63]Facility Integrity'!$Y$14</definedName>
    <definedName name="OFF_z_Banner" localSheetId="0" hidden="1">'[62]Facility Integrity'!$M$33</definedName>
    <definedName name="OFF_z_Banner" hidden="1">'[63]Facility Integrity'!$M$33</definedName>
    <definedName name="OFF_z_Category" localSheetId="0" hidden="1">'[62]Facility Integrity'!$O$44</definedName>
    <definedName name="OFF_z_Category" hidden="1">'[63]Facility Integrity'!$O$44</definedName>
    <definedName name="OFF_z_Import_Timestamp" localSheetId="0" hidden="1">'[62]Facility Integrity'!$M$34</definedName>
    <definedName name="OFF_z_Import_Timestamp" hidden="1">'[63]Facility Integrity'!$M$34</definedName>
    <definedName name="OFF_z_Offline_Version" localSheetId="0" hidden="1">'[62]Facility Integrity'!$Y$4</definedName>
    <definedName name="OFF_z_Offline_Version" hidden="1">'[63]Facility Integrity'!$Y$4</definedName>
    <definedName name="OFF_z_Schedule" localSheetId="0" hidden="1">'[62]Facility Integrity'!$Y$5</definedName>
    <definedName name="OFF_z_Schedule" hidden="1">'[63]Facility Integrity'!$Y$5</definedName>
    <definedName name="offactor" localSheetId="0">#REF!</definedName>
    <definedName name="offactor">#REF!</definedName>
    <definedName name="Offset" localSheetId="0">#REF!</definedName>
    <definedName name="Offset">#REF!</definedName>
    <definedName name="Offshore_Facilities">#REF!</definedName>
    <definedName name="Oil_Carry_Interest" localSheetId="0">'[88]Oil Parameters'!$K$5</definedName>
    <definedName name="Oil_Carry_Interest">'[89]Oil Parameters'!$K$5</definedName>
    <definedName name="ok" localSheetId="0" hidden="1">{#N/A,#N/A,FALSE,"Liq_96PB";#N/A,#N/A,FALSE,"Gas_95PB";#N/A,#N/A,FALSE,"LiqIncrUp_96PB";#N/A,#N/A,FALSE,"LiqIncrDn_95PB";#N/A,#N/A,FALSE,"LiqUp_95PB";#N/A,#N/A,FALSE,"LiqDn_95PB"}</definedName>
    <definedName name="ok" hidden="1">{#N/A,#N/A,FALSE,"Liq_96PB";#N/A,#N/A,FALSE,"Gas_95PB";#N/A,#N/A,FALSE,"LiqIncrUp_96PB";#N/A,#N/A,FALSE,"LiqIncrDn_95PB";#N/A,#N/A,FALSE,"LiqUp_95PB";#N/A,#N/A,FALSE,"LiqDn_95PB"}</definedName>
    <definedName name="omega" localSheetId="0" hidden="1">{#N/A,#N/A,FALSE,"CHANGES";#N/A,#N/A,FALSE,"PROD SUMMARY";#N/A,#N/A,FALSE,"1995 PO SUM";#N/A,#N/A,FALSE,"1995 GEOG SUM";#N/A,#N/A,FALSE,"1996 PO SUM";#N/A,#N/A,FALSE,"1996 GEOG SUM"}</definedName>
    <definedName name="omega" hidden="1">{#N/A,#N/A,FALSE,"CHANGES";#N/A,#N/A,FALSE,"PROD SUMMARY";#N/A,#N/A,FALSE,"1995 PO SUM";#N/A,#N/A,FALSE,"1995 GEOG SUM";#N/A,#N/A,FALSE,"1996 PO SUM";#N/A,#N/A,FALSE,"1996 GEOG SUM"}</definedName>
    <definedName name="omega_1" localSheetId="0" hidden="1">{#N/A,#N/A,FALSE,"CHANGES";#N/A,#N/A,FALSE,"PROD SUMMARY";#N/A,#N/A,FALSE,"1995 PO SUM";#N/A,#N/A,FALSE,"1995 GEOG SUM";#N/A,#N/A,FALSE,"1996 PO SUM";#N/A,#N/A,FALSE,"1996 GEOG SUM"}</definedName>
    <definedName name="omega_1" hidden="1">{#N/A,#N/A,FALSE,"CHANGES";#N/A,#N/A,FALSE,"PROD SUMMARY";#N/A,#N/A,FALSE,"1995 PO SUM";#N/A,#N/A,FALSE,"1995 GEOG SUM";#N/A,#N/A,FALSE,"1996 PO SUM";#N/A,#N/A,FALSE,"1996 GEOG SUM"}</definedName>
    <definedName name="omega1" localSheetId="0" hidden="1">{#N/A,#N/A,FALSE,"CHANGES";#N/A,#N/A,FALSE,"PROD SUMMARY";#N/A,#N/A,FALSE,"1995 PO SUM";#N/A,#N/A,FALSE,"1995 GEOG SUM";#N/A,#N/A,FALSE,"1996 PO SUM";#N/A,#N/A,FALSE,"1996 GEOG SUM"}</definedName>
    <definedName name="omega1" hidden="1">{#N/A,#N/A,FALSE,"CHANGES";#N/A,#N/A,FALSE,"PROD SUMMARY";#N/A,#N/A,FALSE,"1995 PO SUM";#N/A,#N/A,FALSE,"1995 GEOG SUM";#N/A,#N/A,FALSE,"1996 PO SUM";#N/A,#N/A,FALSE,"1996 GEOG SUM"}</definedName>
    <definedName name="omega1_1" localSheetId="0" hidden="1">{#N/A,#N/A,FALSE,"CHANGES";#N/A,#N/A,FALSE,"PROD SUMMARY";#N/A,#N/A,FALSE,"1995 PO SUM";#N/A,#N/A,FALSE,"1995 GEOG SUM";#N/A,#N/A,FALSE,"1996 PO SUM";#N/A,#N/A,FALSE,"1996 GEOG SUM"}</definedName>
    <definedName name="omega1_1" hidden="1">{#N/A,#N/A,FALSE,"CHANGES";#N/A,#N/A,FALSE,"PROD SUMMARY";#N/A,#N/A,FALSE,"1995 PO SUM";#N/A,#N/A,FALSE,"1995 GEOG SUM";#N/A,#N/A,FALSE,"1996 PO SUM";#N/A,#N/A,FALSE,"1996 GEOG SUM"}</definedName>
    <definedName name="Onshore" localSheetId="0">#REF!</definedName>
    <definedName name="Onshore">#REF!</definedName>
    <definedName name="onshorebrownfieldfactor" localSheetId="0">#REF!</definedName>
    <definedName name="onshorebrownfieldfactor">#REF!</definedName>
    <definedName name="oooooooooooooooooooooooooooooooooooooooooooo" localSheetId="0" hidden="1">{#N/A,#N/A,FALSE,"TabA";#N/A,#N/A,FALSE,"UTopxFx98";#N/A,#N/A,FALSE,"TopxFx98";#N/A,#N/A,FALSE,"TopxNom"}</definedName>
    <definedName name="oooooooooooooooooooooooooooooooooooooooooooo" hidden="1">{#N/A,#N/A,FALSE,"TabA";#N/A,#N/A,FALSE,"UTopxFx98";#N/A,#N/A,FALSE,"TopxFx98";#N/A,#N/A,FALSE,"TopxNom"}</definedName>
    <definedName name="OPEX_EMWI" localSheetId="0">#REF!</definedName>
    <definedName name="OPEX_EMWI">#REF!</definedName>
    <definedName name="opex_rate" localSheetId="0">'[37]AOR Base Parameters'!$I$8</definedName>
    <definedName name="opex_rate">'[38]AOR Base Parameters'!$I$8</definedName>
    <definedName name="OPEX_switch" localSheetId="0">#REF!</definedName>
    <definedName name="OPEX_switch">#REF!</definedName>
    <definedName name="OrderTable" localSheetId="0" hidden="1">#REF!</definedName>
    <definedName name="OrderTable" hidden="1">#REF!</definedName>
    <definedName name="ot" localSheetId="0" hidden="1">{#N/A,#N/A,FALSE,"CHANGES";#N/A,#N/A,FALSE,"PROD SUMMARY";#N/A,#N/A,FALSE,"1995 PO SUM";#N/A,#N/A,FALSE,"1995 GEOG SUM";#N/A,#N/A,FALSE,"1996 PO SUM";#N/A,#N/A,FALSE,"1996 GEOG SUM"}</definedName>
    <definedName name="ot" hidden="1">{#N/A,#N/A,FALSE,"CHANGES";#N/A,#N/A,FALSE,"PROD SUMMARY";#N/A,#N/A,FALSE,"1995 PO SUM";#N/A,#N/A,FALSE,"1995 GEOG SUM";#N/A,#N/A,FALSE,"1996 PO SUM";#N/A,#N/A,FALSE,"1996 GEOG SUM"}</definedName>
    <definedName name="Other_Budget_Items" localSheetId="0">#REF!</definedName>
    <definedName name="Other_Budget_Items">#REF!</definedName>
    <definedName name="OtherOpex" localSheetId="0">'[37]AOR Input'!$F$28:$BD$28</definedName>
    <definedName name="OtherOpex">'[38]AOR Input'!$F$28:$BD$28</definedName>
    <definedName name="OTS" localSheetId="0" hidden="1">{#N/A,#N/A,FALSE,"TabA";#N/A,#N/A,FALSE,"UTopxFx98";#N/A,#N/A,FALSE,"TopxFx98";#N/A,#N/A,FALSE,"TopxNom"}</definedName>
    <definedName name="OTS" hidden="1">{#N/A,#N/A,FALSE,"TabA";#N/A,#N/A,FALSE,"UTopxFx98";#N/A,#N/A,FALSE,"TopxFx98";#N/A,#N/A,FALSE,"TopxNom"}</definedName>
    <definedName name="OVER" localSheetId="0">#REF!</definedName>
    <definedName name="OVER">#REF!</definedName>
    <definedName name="p" localSheetId="0" hidden="1">{"'Sheet1'!$A$1:$I$38"}</definedName>
    <definedName name="p" hidden="1">{"'Sheet1'!$A$1:$I$38"}</definedName>
    <definedName name="P_">#REF!</definedName>
    <definedName name="Past" localSheetId="0">#REF!</definedName>
    <definedName name="Past">#REF!</definedName>
    <definedName name="Pattern" localSheetId="0">#REF!</definedName>
    <definedName name="Pattern">#REF!</definedName>
    <definedName name="Pc" localSheetId="0">#REF!</definedName>
    <definedName name="Pc">#REF!</definedName>
    <definedName name="Ph" localSheetId="0">#REF!</definedName>
    <definedName name="Ph">#REF!</definedName>
    <definedName name="ph_00" localSheetId="0">'[45]MH RATE'!$F$13</definedName>
    <definedName name="ph_00">'[45]MH RATE'!$F$13</definedName>
    <definedName name="ph_01" localSheetId="0">'[45]MH RATE'!$H$13</definedName>
    <definedName name="ph_01">'[45]MH RATE'!$H$13</definedName>
    <definedName name="ph_02" localSheetId="0">'[45]MH RATE'!$J$13</definedName>
    <definedName name="ph_02">'[45]MH RATE'!$J$13</definedName>
    <definedName name="ph_03" localSheetId="0">'[45]MH RATE'!$L$13</definedName>
    <definedName name="ph_03">'[45]MH RATE'!$L$13</definedName>
    <definedName name="ph_04" localSheetId="0">'[35]MH RATE'!$H$16</definedName>
    <definedName name="ph_04">'[36]MH RATE'!$H$16</definedName>
    <definedName name="ph_05" localSheetId="0">'[35]MH RATE'!$J$16</definedName>
    <definedName name="ph_05">'[36]MH RATE'!$J$16</definedName>
    <definedName name="ph_99" localSheetId="0">'[45]MH RATE'!$D$13</definedName>
    <definedName name="ph_99">'[45]MH RATE'!$D$13</definedName>
    <definedName name="ph_HR_M" localSheetId="0">'[45]MH RATE'!$N$13</definedName>
    <definedName name="ph_HR_M">'[45]MH RATE'!$N$13</definedName>
    <definedName name="PHCAMP_MD" localSheetId="0">#REF!</definedName>
    <definedName name="PHCAMP_MD">#REF!</definedName>
    <definedName name="PHCOMMH" localSheetId="0">#REF!</definedName>
    <definedName name="PHCOMMH">#REF!</definedName>
    <definedName name="PHCOMMHCOST" localSheetId="0">#REF!</definedName>
    <definedName name="PHCOMMHCOST">#REF!</definedName>
    <definedName name="PHCOMMM">#REF!</definedName>
    <definedName name="PHMH">#REF!</definedName>
    <definedName name="PHMHCOST">#REF!</definedName>
    <definedName name="PHMM">#REF!</definedName>
    <definedName name="PIPE_DATA" localSheetId="0">'[1]Pipe Stat'!$A$1:$E$5000</definedName>
    <definedName name="PIPE_DATA">'[2]Pipe Stat'!$A$1:$E$5000</definedName>
    <definedName name="Pipelines" localSheetId="0">#REF!</definedName>
    <definedName name="Pipelines">#REF!</definedName>
    <definedName name="PIT_COST" localSheetId="0">#REF!</definedName>
    <definedName name="PIT_COST">#REF!</definedName>
    <definedName name="PIT_MM" localSheetId="0">#REF!</definedName>
    <definedName name="PIT_MM">#REF!</definedName>
    <definedName name="PLAN">#REF!</definedName>
    <definedName name="PLANTTYPE">#REF!</definedName>
    <definedName name="PLAT" localSheetId="0">[83]FABRICATION!#REF!</definedName>
    <definedName name="PLAT">[83]FABRICATION!#REF!</definedName>
    <definedName name="plsstop" localSheetId="0" hidden="1">{#N/A,#N/A,TRUE,"PRODUCTION CAPEX OVERVIEW";#N/A,#N/A,TRUE,"Affiliate Detail";#N/A,#N/A,TRUE,"CAPEX PLANNING OVERVIEW"}</definedName>
    <definedName name="plsstop" hidden="1">{#N/A,#N/A,TRUE,"PRODUCTION CAPEX OVERVIEW";#N/A,#N/A,TRUE,"Affiliate Detail";#N/A,#N/A,TRUE,"CAPEX PLANNING OVERVIEW"}</definedName>
    <definedName name="plsstop_1" localSheetId="0" hidden="1">{#N/A,#N/A,TRUE,"PRODUCTION CAPEX OVERVIEW";#N/A,#N/A,TRUE,"Affiliate Detail";#N/A,#N/A,TRUE,"CAPEX PLANNING OVERVIEW"}</definedName>
    <definedName name="plsstop_1" hidden="1">{#N/A,#N/A,TRUE,"PRODUCTION CAPEX OVERVIEW";#N/A,#N/A,TRUE,"Affiliate Detail";#N/A,#N/A,TRUE,"CAPEX PLANNING OVERVIEW"}</definedName>
    <definedName name="PMT_Percentage" localSheetId="0">'[90]Cost Estimate'!$R$2</definedName>
    <definedName name="PMT_Percentage">'[91]Cost Estimate'!$R$2</definedName>
    <definedName name="poi" localSheetId="0" hidden="1">{#N/A,#N/A,FALSE,"CHANGES";#N/A,#N/A,FALSE,"PROD SUMMARY";#N/A,#N/A,FALSE,"1995 PO SUM";#N/A,#N/A,FALSE,"1995 GEOG SUM";#N/A,#N/A,FALSE,"1996 PO SUM";#N/A,#N/A,FALSE,"1996 GEOG SUM"}</definedName>
    <definedName name="poi" hidden="1">{#N/A,#N/A,FALSE,"CHANGES";#N/A,#N/A,FALSE,"PROD SUMMARY";#N/A,#N/A,FALSE,"1995 PO SUM";#N/A,#N/A,FALSE,"1995 GEOG SUM";#N/A,#N/A,FALSE,"1996 PO SUM";#N/A,#N/A,FALSE,"1996 GEOG SUM"}</definedName>
    <definedName name="poi_1" localSheetId="0" hidden="1">{#N/A,#N/A,FALSE,"CHANGES";#N/A,#N/A,FALSE,"PROD SUMMARY";#N/A,#N/A,FALSE,"1995 PO SUM";#N/A,#N/A,FALSE,"1995 GEOG SUM";#N/A,#N/A,FALSE,"1996 PO SUM";#N/A,#N/A,FALSE,"1996 GEOG SUM"}</definedName>
    <definedName name="poi_1" hidden="1">{#N/A,#N/A,FALSE,"CHANGES";#N/A,#N/A,FALSE,"PROD SUMMARY";#N/A,#N/A,FALSE,"1995 PO SUM";#N/A,#N/A,FALSE,"1995 GEOG SUM";#N/A,#N/A,FALSE,"1996 PO SUM";#N/A,#N/A,FALSE,"1996 GEOG SUM"}</definedName>
    <definedName name="poi1_1" localSheetId="0" hidden="1">{#N/A,#N/A,FALSE,"CHANGES";#N/A,#N/A,FALSE,"PROD SUMMARY";#N/A,#N/A,FALSE,"1995 PO SUM";#N/A,#N/A,FALSE,"1995 GEOG SUM";#N/A,#N/A,FALSE,"1996 PO SUM";#N/A,#N/A,FALSE,"1996 GEOG SUM"}</definedName>
    <definedName name="poi1_1" hidden="1">{#N/A,#N/A,FALSE,"CHANGES";#N/A,#N/A,FALSE,"PROD SUMMARY";#N/A,#N/A,FALSE,"1995 PO SUM";#N/A,#N/A,FALSE,"1995 GEOG SUM";#N/A,#N/A,FALSE,"1996 PO SUM";#N/A,#N/A,FALSE,"1996 GEOG SUM"}</definedName>
    <definedName name="POIDS" localSheetId="0">#REF!</definedName>
    <definedName name="POIDS">#REF!</definedName>
    <definedName name="poiu" localSheetId="0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poiu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poiy" localSheetId="0">#REF!</definedName>
    <definedName name="poiy">#REF!</definedName>
    <definedName name="POST" localSheetId="0">#REF!</definedName>
    <definedName name="POST">#REF!</definedName>
    <definedName name="PPA_A" localSheetId="0">#REF!</definedName>
    <definedName name="PPA_A">#REF!</definedName>
    <definedName name="PPA_B" localSheetId="0">#REF!</definedName>
    <definedName name="PPA_B">#REF!</definedName>
    <definedName name="PPA_C" localSheetId="0">#REF!</definedName>
    <definedName name="PPA_C">#REF!</definedName>
    <definedName name="PPA_D" localSheetId="0">#REF!</definedName>
    <definedName name="PPA_D">#REF!</definedName>
    <definedName name="PPA_E" localSheetId="0">#REF!</definedName>
    <definedName name="PPA_E">#REF!</definedName>
    <definedName name="PPA_F" localSheetId="0">#REF!</definedName>
    <definedName name="PPA_F">#REF!</definedName>
    <definedName name="PPA_G" localSheetId="0">#REF!</definedName>
    <definedName name="PPA_G">#REF!</definedName>
    <definedName name="PPT_offset">#REF!</definedName>
    <definedName name="ppt_rate" localSheetId="0">'[37]AOR Base Parameters'!$I$5</definedName>
    <definedName name="ppt_rate">'[38]AOR Base Parameters'!$I$5</definedName>
    <definedName name="PPTA_Rate" localSheetId="0">'[80]Oil Parameters'!$E$18</definedName>
    <definedName name="PPTA_Rate">'[80]Oil Parameters'!$E$18</definedName>
    <definedName name="pq" localSheetId="0" hidden="1">'[32]Control Document'!#REF!</definedName>
    <definedName name="pq" hidden="1">'[32]Control Document'!#REF!</definedName>
    <definedName name="Predecessors" localSheetId="0">#REF!</definedName>
    <definedName name="Predecessors">#REF!</definedName>
    <definedName name="Price_Selection" localSheetId="0">'[37]AOR Input'!$C$7</definedName>
    <definedName name="Price_Selection">'[38]AOR Input'!$C$7</definedName>
    <definedName name="_xlnm.Print_Area" localSheetId="0">'Schedule Control Log'!$C$5:$EF$11</definedName>
    <definedName name="_xlnm.Print_Area">[92]DATA!$A$1:$N$65</definedName>
    <definedName name="Print_Area_MI">[92]DATA:STEELMTO!$A$1:$K$58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odForm" localSheetId="0" hidden="1">#REF!</definedName>
    <definedName name="ProdForm" hidden="1">#REF!</definedName>
    <definedName name="Production_EMNI">#REF!</definedName>
    <definedName name="Production_Gross">#REF!</definedName>
    <definedName name="Progress" localSheetId="0">#REF!</definedName>
    <definedName name="Progress">#REF!</definedName>
    <definedName name="Progress_Last" localSheetId="0">#REF!</definedName>
    <definedName name="Progress_Last">#REF!</definedName>
    <definedName name="Project_Capital_Budget">#REF!</definedName>
    <definedName name="Project_Count">#REF!</definedName>
    <definedName name="ps_mh">#REF!</definedName>
    <definedName name="ps_mhcost">#REF!</definedName>
    <definedName name="PSTRESS_RELIEVI">#REF!</definedName>
    <definedName name="Pt">#REF!</definedName>
    <definedName name="Punch" localSheetId="0">#REF!</definedName>
    <definedName name="Punch">#REF!</definedName>
    <definedName name="PVC" localSheetId="0">#REF!</definedName>
    <definedName name="PVC">#REF!</definedName>
    <definedName name="PVE" localSheetId="0">#REF!</definedName>
    <definedName name="PVE">#REF!</definedName>
    <definedName name="PVF" localSheetId="0">#REF!</definedName>
    <definedName name="PVF">#REF!</definedName>
    <definedName name="PVI">#REF!</definedName>
    <definedName name="PVM">#REF!</definedName>
    <definedName name="PVO">#REF!</definedName>
    <definedName name="PVP">#REF!</definedName>
    <definedName name="PVT">#REF!</definedName>
    <definedName name="qier" localSheetId="0" hidden="1">{#N/A,#N/A,FALSE,"CHANGES";#N/A,#N/A,FALSE,"PROD SUMMARY";#N/A,#N/A,FALSE,"1995 PO SUM";#N/A,#N/A,FALSE,"1995 GEOG SUM";#N/A,#N/A,FALSE,"1996 PO SUM";#N/A,#N/A,FALSE,"1996 GEOG SUM"}</definedName>
    <definedName name="qier" hidden="1">{#N/A,#N/A,FALSE,"CHANGES";#N/A,#N/A,FALSE,"PROD SUMMARY";#N/A,#N/A,FALSE,"1995 PO SUM";#N/A,#N/A,FALSE,"1995 GEOG SUM";#N/A,#N/A,FALSE,"1996 PO SUM";#N/A,#N/A,FALSE,"1996 GEOG SUM"}</definedName>
    <definedName name="QIT_DRAINAGE" localSheetId="0">#REF!</definedName>
    <definedName name="QIT_DRAINAGE">#REF!</definedName>
    <definedName name="QIT_FIREWATER" localSheetId="0">#REF!</definedName>
    <definedName name="QIT_FIREWATER">#REF!</definedName>
    <definedName name="QIT_FLARE" localSheetId="0">#REF!</definedName>
    <definedName name="QIT_FLARE">#REF!</definedName>
    <definedName name="QIT_ONSHORE">#REF!</definedName>
    <definedName name="QIT_POWER">#REF!</definedName>
    <definedName name="QIT_PROCESS">#REF!</definedName>
    <definedName name="QLSP" localSheetId="0">'[48]PTD Costs'!#REF!</definedName>
    <definedName name="QLSP">'[49]PTD Costs'!#REF!</definedName>
    <definedName name="qq" localSheetId="0" hidden="1">{#N/A,#N/A,FALSE,"TabA";#N/A,#N/A,FALSE,"UTopxFx98";#N/A,#N/A,FALSE,"TopxFx98";#N/A,#N/A,FALSE,"TopxNom"}</definedName>
    <definedName name="qq" hidden="1">{#N/A,#N/A,FALSE,"TabA";#N/A,#N/A,FALSE,"UTopxFx98";#N/A,#N/A,FALSE,"TopxFx98";#N/A,#N/A,FALSE,"TopxNom"}</definedName>
    <definedName name="qqa" localSheetId="0" hidden="1">{#N/A,#N/A,TRUE,"Total CAF Charts";#N/A,#N/A,TRUE,"Total CAF Charts (3)";#N/A,#N/A,TRUE,"CAF Technical Charts";#N/A,#N/A,TRUE,"CAF Support Charts";#N/A,#N/A,TRUE,"Opns Tech Charts";#N/A,#N/A,TRUE,"Other CAF KPI Charts"}</definedName>
    <definedName name="qqa" hidden="1">{#N/A,#N/A,TRUE,"Total CAF Charts";#N/A,#N/A,TRUE,"Total CAF Charts (3)";#N/A,#N/A,TRUE,"CAF Technical Charts";#N/A,#N/A,TRUE,"CAF Support Charts";#N/A,#N/A,TRUE,"Opns Tech Charts";#N/A,#N/A,TRUE,"Other CAF KPI Charts"}</definedName>
    <definedName name="qqb" localSheetId="0" hidden="1">{#N/A,#N/A,TRUE,"Total CAF Charts";#N/A,#N/A,TRUE,"Total CAF Charts (3)";#N/A,#N/A,TRUE,"CAF Technical Charts";#N/A,#N/A,TRUE,"CAF Support Charts";#N/A,#N/A,TRUE,"Opns Tech Charts";#N/A,#N/A,TRUE,"Other CAF KPI Charts"}</definedName>
    <definedName name="qqb" hidden="1">{#N/A,#N/A,TRUE,"Total CAF Charts";#N/A,#N/A,TRUE,"Total CAF Charts (3)";#N/A,#N/A,TRUE,"CAF Technical Charts";#N/A,#N/A,TRUE,"CAF Support Charts";#N/A,#N/A,TRUE,"Opns Tech Charts";#N/A,#N/A,TRUE,"Other CAF KPI Charts"}</definedName>
    <definedName name="QRY_walkdowns_complete" localSheetId="0">#REF!</definedName>
    <definedName name="QRY_walkdowns_complete">#REF!</definedName>
    <definedName name="qryJCDiscPhaseSummByPDToExcel" localSheetId="0">#REF!</definedName>
    <definedName name="qryJCDiscPhaseSummByPDToExcel">#REF!</definedName>
    <definedName name="qryJCDiscPhaseSummByPDToExcel_1" localSheetId="0">#REF!</definedName>
    <definedName name="qryJCDiscPhaseSummByPDToExcel_1">#REF!</definedName>
    <definedName name="qryJobCardListToExcel" localSheetId="0">#REF!</definedName>
    <definedName name="qryJobCardListToExcel">#REF!</definedName>
    <definedName name="qryMTOByMaterialToExcel" localSheetId="0">#REF!</definedName>
    <definedName name="qryMTOByMaterialToExcel">#REF!</definedName>
    <definedName name="qryP3JobCardExport" localSheetId="0">#REF!</definedName>
    <definedName name="qryP3JobCardExport">#REF!</definedName>
    <definedName name="qryProductivityRpt" localSheetId="0">#REF!</definedName>
    <definedName name="qryProductivityRpt">#REF!</definedName>
    <definedName name="qryProgProdByJobCardToExcel" localSheetId="0">#REF!</definedName>
    <definedName name="qryProgProdByJobCardToExcel">#REF!</definedName>
    <definedName name="qryProgressAndProductivityToExcel" localSheetId="0">#REF!</definedName>
    <definedName name="qryProgressAndProductivityToExcel">#REF!</definedName>
    <definedName name="qryScheduleOffshorePipeline" localSheetId="0">[93]qrySchOffshorePipeline2008Hist!$G$2:$AA$24</definedName>
    <definedName name="qryScheduleOffshorePipeline">[94]qrySchOffshorePipeline2008Hist!$G$2:$AA$24</definedName>
    <definedName name="qryScheduleSubstructure" localSheetId="0">#REF!</definedName>
    <definedName name="qryScheduleSubstructure">#REF!</definedName>
    <definedName name="qryScheduleSURF" localSheetId="0">'[95]qrySchSURF 2008 History'!$R$2:$BH$29</definedName>
    <definedName name="qryScheduleSURF">'[96]qrySchSURF 2008 History'!$R$2:$BH$29</definedName>
    <definedName name="qryTimeCardHours" localSheetId="0">#REF!</definedName>
    <definedName name="qryTimeCardHours">#REF!</definedName>
    <definedName name="qryTimeCardHours_Aug" localSheetId="0">[97]qryTimeCardHours!$A$1:$N$1883</definedName>
    <definedName name="qryTimeCardHours_Aug">[98]qryTimeCardHours!$A$1:$N$1883</definedName>
    <definedName name="qrytimecardhours_aug_07" localSheetId="0">#REF!</definedName>
    <definedName name="qrytimecardhours_aug_07">#REF!</definedName>
    <definedName name="qryTimeCardHoursEmployeeList" localSheetId="0">#REF!</definedName>
    <definedName name="qryTimeCardHoursEmployeeList">#REF!</definedName>
    <definedName name="qryTimeCardHoursJobCardList" localSheetId="0">#REF!</definedName>
    <definedName name="qryTimeCardHoursJobCardList">#REF!</definedName>
    <definedName name="qs" localSheetId="0" hidden="1">{#N/A,#N/A,FALSE,"TabA";#N/A,#N/A,FALSE,"UTopxFx98";#N/A,#N/A,FALSE,"TopxFx98";#N/A,#N/A,FALSE,"TopxNom"}</definedName>
    <definedName name="qs" hidden="1">{#N/A,#N/A,FALSE,"TabA";#N/A,#N/A,FALSE,"UTopxFx98";#N/A,#N/A,FALSE,"TopxFx98";#N/A,#N/A,FALSE,"TopxNom"}</definedName>
    <definedName name="Query2" localSheetId="0">#REF!</definedName>
    <definedName name="Query2">#REF!</definedName>
    <definedName name="Quotes" localSheetId="0">#REF!</definedName>
    <definedName name="Quotes">#REF!</definedName>
    <definedName name="qwe" localSheetId="0" hidden="1">{#N/A,#N/A,TRUE,"Total CAF Charts";#N/A,#N/A,TRUE,"Total CAF Charts (3)";#N/A,#N/A,TRUE,"CAF Technical Charts";#N/A,#N/A,TRUE,"CAF Support Charts";#N/A,#N/A,TRUE,"Opns Tech Charts";#N/A,#N/A,TRUE,"Other CAF KPI Charts"}</definedName>
    <definedName name="qwe" hidden="1">{#N/A,#N/A,TRUE,"Total CAF Charts";#N/A,#N/A,TRUE,"Total CAF Charts (3)";#N/A,#N/A,TRUE,"CAF Technical Charts";#N/A,#N/A,TRUE,"CAF Support Charts";#N/A,#N/A,TRUE,"Opns Tech Charts";#N/A,#N/A,TRUE,"Other CAF KPI Charts"}</definedName>
    <definedName name="qwer" localSheetId="0" hidden="1">{#N/A,#N/A,FALSE,"CHANGES";#N/A,#N/A,FALSE,"PROD SUMMARY";#N/A,#N/A,FALSE,"1995 PO SUM";#N/A,#N/A,FALSE,"1995 GEOG SUM";#N/A,#N/A,FALSE,"1996 PO SUM";#N/A,#N/A,FALSE,"1996 GEOG SUM"}</definedName>
    <definedName name="qwer" hidden="1">{#N/A,#N/A,FALSE,"CHANGES";#N/A,#N/A,FALSE,"PROD SUMMARY";#N/A,#N/A,FALSE,"1995 PO SUM";#N/A,#N/A,FALSE,"1995 GEOG SUM";#N/A,#N/A,FALSE,"1996 PO SUM";#N/A,#N/A,FALSE,"1996 GEOG SUM"}</definedName>
    <definedName name="qwer_1" localSheetId="0" hidden="1">{#N/A,#N/A,FALSE,"CHANGES";#N/A,#N/A,FALSE,"PROD SUMMARY";#N/A,#N/A,FALSE,"1995 PO SUM";#N/A,#N/A,FALSE,"1995 GEOG SUM";#N/A,#N/A,FALSE,"1996 PO SUM";#N/A,#N/A,FALSE,"1996 GEOG SUM"}</definedName>
    <definedName name="qwer_1" hidden="1">{#N/A,#N/A,FALSE,"CHANGES";#N/A,#N/A,FALSE,"PROD SUMMARY";#N/A,#N/A,FALSE,"1995 PO SUM";#N/A,#N/A,FALSE,"1995 GEOG SUM";#N/A,#N/A,FALSE,"1996 PO SUM";#N/A,#N/A,FALSE,"1996 GEOG SUM"}</definedName>
    <definedName name="qwer1" localSheetId="0" hidden="1">{#N/A,#N/A,FALSE,"CHANGES";#N/A,#N/A,FALSE,"PROD SUMMARY";#N/A,#N/A,FALSE,"1995 PO SUM";#N/A,#N/A,FALSE,"1995 GEOG SUM";#N/A,#N/A,FALSE,"1996 PO SUM";#N/A,#N/A,FALSE,"1996 GEOG SUM"}</definedName>
    <definedName name="qwer1" hidden="1">{#N/A,#N/A,FALSE,"CHANGES";#N/A,#N/A,FALSE,"PROD SUMMARY";#N/A,#N/A,FALSE,"1995 PO SUM";#N/A,#N/A,FALSE,"1995 GEOG SUM";#N/A,#N/A,FALSE,"1996 PO SUM";#N/A,#N/A,FALSE,"1996 GEOG SUM"}</definedName>
    <definedName name="qwer1_1" localSheetId="0" hidden="1">{#N/A,#N/A,FALSE,"CHANGES";#N/A,#N/A,FALSE,"PROD SUMMARY";#N/A,#N/A,FALSE,"1995 PO SUM";#N/A,#N/A,FALSE,"1995 GEOG SUM";#N/A,#N/A,FALSE,"1996 PO SUM";#N/A,#N/A,FALSE,"1996 GEOG SUM"}</definedName>
    <definedName name="qwer1_1" hidden="1">{#N/A,#N/A,FALSE,"CHANGES";#N/A,#N/A,FALSE,"PROD SUMMARY";#N/A,#N/A,FALSE,"1995 PO SUM";#N/A,#N/A,FALSE,"1995 GEOG SUM";#N/A,#N/A,FALSE,"1996 PO SUM";#N/A,#N/A,FALSE,"1996 GEOG SUM"}</definedName>
    <definedName name="QXPORT" localSheetId="0">#REF!</definedName>
    <definedName name="QXPORT">#REF!</definedName>
    <definedName name="qzi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qzi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RCArea" localSheetId="0" hidden="1">#REF!</definedName>
    <definedName name="RCArea" hidden="1">#REF!</definedName>
    <definedName name="REACTOR" localSheetId="0">[54]Reactors!$D$5:$I$22</definedName>
    <definedName name="REACTOR">[55]Reactors!$D$5:$I$22</definedName>
    <definedName name="RECORDS" localSheetId="0">#REF!</definedName>
    <definedName name="RECORDS">#REF!</definedName>
    <definedName name="ref_price" localSheetId="0">'[37]AOR Base Parameters'!$F$13:$BD$13</definedName>
    <definedName name="ref_price">'[38]AOR Base Parameters'!$F$13:$BD$13</definedName>
    <definedName name="Report" localSheetId="0">'[73]Metrics Deck Process Summary'!$B$2:$O$40</definedName>
    <definedName name="Report">'[74]Metrics Deck Process Summary'!$B$2:$O$40</definedName>
    <definedName name="Reserves_EMNI" localSheetId="0">#REF!</definedName>
    <definedName name="Reserves_EMNI">#REF!</definedName>
    <definedName name="RESP" localSheetId="0">[83]FABRICATION!#REF!</definedName>
    <definedName name="RESP">[83]FABRICATION!#REF!</definedName>
    <definedName name="Rev_Date" localSheetId="0">#REF!</definedName>
    <definedName name="Rev_Date">#REF!</definedName>
    <definedName name="REVIS" localSheetId="0">#REF!</definedName>
    <definedName name="REVIS">#REF!</definedName>
    <definedName name="Revision" localSheetId="0">#REF!</definedName>
    <definedName name="Revision">#REF!</definedName>
    <definedName name="rewq" localSheetId="0" hidden="1">{#N/A,#N/A,FALSE,"CHANGES";#N/A,#N/A,FALSE,"PROD SUMMARY";#N/A,#N/A,FALSE,"1995 PO SUM";#N/A,#N/A,FALSE,"1995 GEOG SUM";#N/A,#N/A,FALSE,"1996 PO SUM";#N/A,#N/A,FALSE,"1996 GEOG SUM"}</definedName>
    <definedName name="rewq" hidden="1">{#N/A,#N/A,FALSE,"CHANGES";#N/A,#N/A,FALSE,"PROD SUMMARY";#N/A,#N/A,FALSE,"1995 PO SUM";#N/A,#N/A,FALSE,"1995 GEOG SUM";#N/A,#N/A,FALSE,"1996 PO SUM";#N/A,#N/A,FALSE,"1996 GEOG SUM"}</definedName>
    <definedName name="RFSBC" localSheetId="0">#REF!</definedName>
    <definedName name="RFSBC">#REF!</definedName>
    <definedName name="RFSBE" localSheetId="0">#REF!</definedName>
    <definedName name="RFSBE">#REF!</definedName>
    <definedName name="RFSBF" localSheetId="0">#REF!</definedName>
    <definedName name="RFSBF">#REF!</definedName>
    <definedName name="RFSBI">#REF!</definedName>
    <definedName name="RFSBM">#REF!</definedName>
    <definedName name="RFSBO">#REF!</definedName>
    <definedName name="RFSBP">#REF!</definedName>
    <definedName name="RFSBT">#REF!</definedName>
    <definedName name="RFSCC">#REF!</definedName>
    <definedName name="RFSCE">#REF!</definedName>
    <definedName name="RFSCF">#REF!</definedName>
    <definedName name="RFSCI">#REF!</definedName>
    <definedName name="RFSCM">#REF!</definedName>
    <definedName name="RFSCO">#REF!</definedName>
    <definedName name="RFSCP">#REF!</definedName>
    <definedName name="RFSCT">#REF!</definedName>
    <definedName name="RFSOC">#REF!</definedName>
    <definedName name="RFSOE">#REF!</definedName>
    <definedName name="RFSOF">#REF!</definedName>
    <definedName name="RFSOI">#REF!</definedName>
    <definedName name="RFSOM">#REF!</definedName>
    <definedName name="RFSOO">#REF!</definedName>
    <definedName name="RFSOP">#REF!</definedName>
    <definedName name="RFSO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onald" localSheetId="0" hidden="1">{"'Sheet1'!$A$1:$I$38"}</definedName>
    <definedName name="ronald" hidden="1">{"'Sheet1'!$A$1:$I$38"}</definedName>
    <definedName name="ronald2" localSheetId="0" hidden="1">{"'Sheet1'!$A$1:$I$38"}</definedName>
    <definedName name="ronald2" hidden="1">{"'Sheet1'!$A$1:$I$38"}</definedName>
    <definedName name="ronald3" localSheetId="0" hidden="1">{"'Sheet1'!$A$1:$I$38"}</definedName>
    <definedName name="ronald3" hidden="1">{"'Sheet1'!$A$1:$I$38"}</definedName>
    <definedName name="ronald4" localSheetId="0" hidden="1">{"'Sheet1'!$A$1:$I$38"}</definedName>
    <definedName name="ronald4" hidden="1">{"'Sheet1'!$A$1:$I$38"}</definedName>
    <definedName name="ronald5" localSheetId="0" hidden="1">{"'Sheet1'!$A$1:$I$38"}</definedName>
    <definedName name="ronald5" hidden="1">{"'Sheet1'!$A$1:$I$38"}</definedName>
    <definedName name="rotimi" localSheetId="0" hidden="1">{#N/A,#N/A,FALSE,"CHANGES";#N/A,#N/A,FALSE,"PROD SUMMARY";#N/A,#N/A,FALSE,"1995 PO SUM";#N/A,#N/A,FALSE,"1995 GEOG SUM";#N/A,#N/A,FALSE,"1996 PO SUM";#N/A,#N/A,FALSE,"1996 GEOG SUM"}</definedName>
    <definedName name="rotimi" hidden="1">{#N/A,#N/A,FALSE,"CHANGES";#N/A,#N/A,FALSE,"PROD SUMMARY";#N/A,#N/A,FALSE,"1995 PO SUM";#N/A,#N/A,FALSE,"1995 GEOG SUM";#N/A,#N/A,FALSE,"1996 PO SUM";#N/A,#N/A,FALSE,"1996 GEOG SUM"}</definedName>
    <definedName name="rotimi_1" localSheetId="0" hidden="1">{#N/A,#N/A,FALSE,"CHANGES";#N/A,#N/A,FALSE,"PROD SUMMARY";#N/A,#N/A,FALSE,"1995 PO SUM";#N/A,#N/A,FALSE,"1995 GEOG SUM";#N/A,#N/A,FALSE,"1996 PO SUM";#N/A,#N/A,FALSE,"1996 GEOG SUM"}</definedName>
    <definedName name="rotimi_1" hidden="1">{#N/A,#N/A,FALSE,"CHANGES";#N/A,#N/A,FALSE,"PROD SUMMARY";#N/A,#N/A,FALSE,"1995 PO SUM";#N/A,#N/A,FALSE,"1995 GEOG SUM";#N/A,#N/A,FALSE,"1996 PO SUM";#N/A,#N/A,FALSE,"1996 GEOG SUM"}</definedName>
    <definedName name="rotimi1" localSheetId="0" hidden="1">{#N/A,#N/A,FALSE,"CHANGES";#N/A,#N/A,FALSE,"PROD SUMMARY";#N/A,#N/A,FALSE,"1995 PO SUM";#N/A,#N/A,FALSE,"1995 GEOG SUM";#N/A,#N/A,FALSE,"1996 PO SUM";#N/A,#N/A,FALSE,"1996 GEOG SUM"}</definedName>
    <definedName name="rotimi1" hidden="1">{#N/A,#N/A,FALSE,"CHANGES";#N/A,#N/A,FALSE,"PROD SUMMARY";#N/A,#N/A,FALSE,"1995 PO SUM";#N/A,#N/A,FALSE,"1995 GEOG SUM";#N/A,#N/A,FALSE,"1996 PO SUM";#N/A,#N/A,FALSE,"1996 GEOG SUM"}</definedName>
    <definedName name="rotimi1_1" localSheetId="0" hidden="1">{#N/A,#N/A,FALSE,"CHANGES";#N/A,#N/A,FALSE,"PROD SUMMARY";#N/A,#N/A,FALSE,"1995 PO SUM";#N/A,#N/A,FALSE,"1995 GEOG SUM";#N/A,#N/A,FALSE,"1996 PO SUM";#N/A,#N/A,FALSE,"1996 GEOG SUM"}</definedName>
    <definedName name="rotimi1_1" hidden="1">{#N/A,#N/A,FALSE,"CHANGES";#N/A,#N/A,FALSE,"PROD SUMMARY";#N/A,#N/A,FALSE,"1995 PO SUM";#N/A,#N/A,FALSE,"1995 GEOG SUM";#N/A,#N/A,FALSE,"1996 PO SUM";#N/A,#N/A,FALSE,"1996 GEOG SUM"}</definedName>
    <definedName name="roy_rate" localSheetId="0">'[37]AOR Base Parameters'!$I$3</definedName>
    <definedName name="roy_rate">'[38]AOR Base Parameters'!$I$3</definedName>
    <definedName name="RT" localSheetId="0">#REF!</definedName>
    <definedName name="RT">#REF!</definedName>
    <definedName name="RUT" localSheetId="0">#REF!</definedName>
    <definedName name="RUT">#REF!</definedName>
    <definedName name="RWC" localSheetId="0">#REF!</definedName>
    <definedName name="RWC">#REF!</definedName>
    <definedName name="Rwvu.CapersView." localSheetId="0" hidden="1">'[43]THREE VARIABLES'!$A$1:$M$65536</definedName>
    <definedName name="Rwvu.CapersView." hidden="1">'[44]THREE VARIABLES'!$A$1:$M$65536</definedName>
    <definedName name="Rwvu.CONLEY." localSheetId="0" hidden="1">'[41]OPEX REPORT'!#REF!,'[41]OPEX REPORT'!#REF!</definedName>
    <definedName name="Rwvu.CONLEY." hidden="1">'[42]OPEX REPORT'!#REF!,'[42]OPEX REPORT'!#REF!</definedName>
    <definedName name="Rwvu.Japan_Capers_Ed_Pub." localSheetId="0" hidden="1">'[43]THREE VARIABLES'!$A$1:$M$65536</definedName>
    <definedName name="Rwvu.Japan_Capers_Ed_Pub." hidden="1">'[44]THREE VARIABLES'!$A$1:$M$65536</definedName>
    <definedName name="Rwvu.KJP_CC." localSheetId="0" hidden="1">'[43]THREE VARIABLES'!$A$1:$M$65536</definedName>
    <definedName name="Rwvu.KJP_CC." hidden="1">'[44]THREE VARIABLES'!$A$1:$M$65536</definedName>
    <definedName name="Rwvu.stew._.rept." localSheetId="0" hidden="1">'[41]OPEX REPORT'!#REF!</definedName>
    <definedName name="Rwvu.stew._.rept." hidden="1">'[42]OPEX REPORT'!#REF!</definedName>
    <definedName name="Rwvu.STEW._.RPT." localSheetId="0" hidden="1">'[41]OPEX REPORT'!#REF!</definedName>
    <definedName name="Rwvu.STEW._.RPT." hidden="1">'[42]OPEX REPORT'!#REF!</definedName>
    <definedName name="S" localSheetId="0" hidden="1">{"'Liquid'!$A$1:$U$57"}</definedName>
    <definedName name="s">#REF!</definedName>
    <definedName name="sada" localSheetId="0" hidden="1">{#N/A,#N/A,FALSE,"CHANGES";#N/A,#N/A,FALSE,"PROD SUMMARY";#N/A,#N/A,FALSE,"1995 PO SUM";#N/A,#N/A,FALSE,"1995 GEOG SUM";#N/A,#N/A,FALSE,"1996 PO SUM";#N/A,#N/A,FALSE,"1996 GEOG SUM"}</definedName>
    <definedName name="sada" hidden="1">{#N/A,#N/A,FALSE,"CHANGES";#N/A,#N/A,FALSE,"PROD SUMMARY";#N/A,#N/A,FALSE,"1995 PO SUM";#N/A,#N/A,FALSE,"1995 GEOG SUM";#N/A,#N/A,FALSE,"1996 PO SUM";#N/A,#N/A,FALSE,"1996 GEOG SUM"}</definedName>
    <definedName name="sadasd" localSheetId="0" hidden="1">{"'Sheet1'!$A$1:$I$38"}</definedName>
    <definedName name="sadasd" hidden="1">{"'Sheet1'!$A$1:$I$38"}</definedName>
    <definedName name="sadf" localSheetId="0" hidden="1">{#N/A,#N/A,FALSE,"CHANGES";#N/A,#N/A,FALSE,"PROD SUMMARY";#N/A,#N/A,FALSE,"1995 PO SUM";#N/A,#N/A,FALSE,"1995 GEOG SUM";#N/A,#N/A,FALSE,"1996 PO SUM";#N/A,#N/A,FALSE,"1996 GEOG SUM"}</definedName>
    <definedName name="sadf" hidden="1">{#N/A,#N/A,FALSE,"CHANGES";#N/A,#N/A,FALSE,"PROD SUMMARY";#N/A,#N/A,FALSE,"1995 PO SUM";#N/A,#N/A,FALSE,"1995 GEOG SUM";#N/A,#N/A,FALSE,"1996 PO SUM";#N/A,#N/A,FALSE,"1996 GEOG SUM"}</definedName>
    <definedName name="Safety1" localSheetId="0" hidden="1">{#N/A,#N/A,FALSE,"TabA";#N/A,#N/A,FALSE,"UTopxFx98";#N/A,#N/A,FALSE,"TopxFx98";#N/A,#N/A,FALSE,"TopxNom"}</definedName>
    <definedName name="Safety1" hidden="1">{#N/A,#N/A,FALSE,"TabA";#N/A,#N/A,FALSE,"UTopxFx98";#N/A,#N/A,FALSE,"TopxFx98";#N/A,#N/A,FALSE,"TopxNom"}</definedName>
    <definedName name="SAPBEXdnldView" hidden="1">"3WVRUL2LQS0H25H5FUPZYAG13"</definedName>
    <definedName name="SAPBEXhrIndnt" hidden="1">1</definedName>
    <definedName name="SAPBEXrevision" hidden="1">2</definedName>
    <definedName name="SAPBEXsysID" hidden="1">"W2P"</definedName>
    <definedName name="SAPBEXwbID" hidden="1">"3PHOFDP3TFH3D8TFDN905UCV8"</definedName>
    <definedName name="SCHEDULE" localSheetId="0">#REF!</definedName>
    <definedName name="SCHEDULE">#REF!</definedName>
    <definedName name="scurves12" localSheetId="0" hidden="1">{#N/A,#N/A,FALSE,"detailo";#N/A,#N/A,FALSE,"Summary For Snamprogetti"}</definedName>
    <definedName name="scurves12" hidden="1">{#N/A,#N/A,FALSE,"detailo";#N/A,#N/A,FALSE,"Summary For Snamprogetti"}</definedName>
    <definedName name="sdfs" localSheetId="0" hidden="1">{"'Sheet1'!$A$1:$I$38"}</definedName>
    <definedName name="sdfs" hidden="1">{"'Sheet1'!$A$1:$I$38"}</definedName>
    <definedName name="sdfsfd" localSheetId="0" hidden="1">{"'PRODUCTIONCOST SHEET'!$B$3:$G$48"}</definedName>
    <definedName name="sdfsfd" hidden="1">{"'PRODUCTIONCOST SHEET'!$B$3:$G$48"}</definedName>
    <definedName name="sdgsdfg" localSheetId="0" hidden="1">{#N/A,#N/A,FALSE,"CHANGES";#N/A,#N/A,FALSE,"PROD SUMMARY";#N/A,#N/A,FALSE,"1995 PO SUM";#N/A,#N/A,FALSE,"1995 GEOG SUM";#N/A,#N/A,FALSE,"1996 PO SUM";#N/A,#N/A,FALSE,"1996 GEOG SUM"}</definedName>
    <definedName name="sdgsdfg" hidden="1">{#N/A,#N/A,FALSE,"CHANGES";#N/A,#N/A,FALSE,"PROD SUMMARY";#N/A,#N/A,FALSE,"1995 PO SUM";#N/A,#N/A,FALSE,"1995 GEOG SUM";#N/A,#N/A,FALSE,"1996 PO SUM";#N/A,#N/A,FALSE,"1996 GEOG SUM"}</definedName>
    <definedName name="sdl" localSheetId="0" hidden="1">{#N/A,#N/A,FALSE,"CHANGES";#N/A,#N/A,FALSE,"PROD SUMMARY";#N/A,#N/A,FALSE,"1995 PO SUM";#N/A,#N/A,FALSE,"1995 GEOG SUM";#N/A,#N/A,FALSE,"1996 PO SUM";#N/A,#N/A,FALSE,"1996 GEOG SUM"}</definedName>
    <definedName name="sdl" hidden="1">{#N/A,#N/A,FALSE,"CHANGES";#N/A,#N/A,FALSE,"PROD SUMMARY";#N/A,#N/A,FALSE,"1995 PO SUM";#N/A,#N/A,FALSE,"1995 GEOG SUM";#N/A,#N/A,FALSE,"1996 PO SUM";#N/A,#N/A,FALSE,"1996 GEOG SUM"}</definedName>
    <definedName name="second_allowance" localSheetId="0">#REF!</definedName>
    <definedName name="second_allowance">#REF!</definedName>
    <definedName name="SECONDMD" localSheetId="0">#REF!</definedName>
    <definedName name="SECONDMD">#REF!</definedName>
    <definedName name="SECONDMDCOST" localSheetId="0">#REF!</definedName>
    <definedName name="SECONDMDCOST">#REF!</definedName>
    <definedName name="sencount" hidden="1">1</definedName>
    <definedName name="sg_00" localSheetId="0">'[45]MH RATE'!$F$12</definedName>
    <definedName name="sg_00">'[45]MH RATE'!$F$12</definedName>
    <definedName name="sg_01" localSheetId="0">'[45]MH RATE'!$H$12</definedName>
    <definedName name="sg_01">'[45]MH RATE'!$H$12</definedName>
    <definedName name="sg_02" localSheetId="0">'[45]MH RATE'!$J$12</definedName>
    <definedName name="sg_02">'[45]MH RATE'!$J$12</definedName>
    <definedName name="sg_03" localSheetId="0">'[45]MH RATE'!$L$12</definedName>
    <definedName name="sg_03">'[45]MH RATE'!$L$12</definedName>
    <definedName name="sg_04" localSheetId="0">'[35]MH RATE'!$H$12</definedName>
    <definedName name="sg_04">'[36]MH RATE'!$H$12</definedName>
    <definedName name="sg_05" localSheetId="0">'[35]MH RATE'!$J$12</definedName>
    <definedName name="sg_05">'[36]MH RATE'!$J$12</definedName>
    <definedName name="sg_99" localSheetId="0">'[45]MH RATE'!$D$12</definedName>
    <definedName name="sg_99">'[45]MH RATE'!$D$12</definedName>
    <definedName name="sg_HR_M" localSheetId="0">'[45]MH RATE'!$N$12</definedName>
    <definedName name="sg_HR_M">'[45]MH RATE'!$N$12</definedName>
    <definedName name="SGCOMMH" localSheetId="0">#REF!</definedName>
    <definedName name="SGCOMMH">#REF!</definedName>
    <definedName name="SGCOMMHCOST" localSheetId="0">#REF!</definedName>
    <definedName name="SGCOMMHCOST">#REF!</definedName>
    <definedName name="SGCOMMM" localSheetId="0">#REF!</definedName>
    <definedName name="SGCOMMM">#REF!</definedName>
    <definedName name="SGMH">#REF!</definedName>
    <definedName name="SGMHCOST">#REF!</definedName>
    <definedName name="SGMM">#REF!</definedName>
    <definedName name="Shape" localSheetId="0">#REF!</definedName>
    <definedName name="Shape">#REF!</definedName>
    <definedName name="she" localSheetId="0" hidden="1">{#N/A,#N/A,FALSE,"CHANGES";#N/A,#N/A,FALSE,"PROD SUMMARY";#N/A,#N/A,FALSE,"1995 PO SUM";#N/A,#N/A,FALSE,"1995 GEOG SUM";#N/A,#N/A,FALSE,"1996 PO SUM";#N/A,#N/A,FALSE,"1996 GEOG SUM"}</definedName>
    <definedName name="she" hidden="1">{#N/A,#N/A,FALSE,"CHANGES";#N/A,#N/A,FALSE,"PROD SUMMARY";#N/A,#N/A,FALSE,"1995 PO SUM";#N/A,#N/A,FALSE,"1995 GEOG SUM";#N/A,#N/A,FALSE,"1996 PO SUM";#N/A,#N/A,FALSE,"1996 GEOG SUM"}</definedName>
    <definedName name="shelf" localSheetId="0" hidden="1">{#N/A,#N/A,FALSE,"CHANGES";#N/A,#N/A,FALSE,"PROD SUMMARY";#N/A,#N/A,FALSE,"1995 PO SUM";#N/A,#N/A,FALSE,"1995 GEOG SUM";#N/A,#N/A,FALSE,"1996 PO SUM";#N/A,#N/A,FALSE,"1996 GEOG SUM"}</definedName>
    <definedName name="shelf" hidden="1">{#N/A,#N/A,FALSE,"CHANGES";#N/A,#N/A,FALSE,"PROD SUMMARY";#N/A,#N/A,FALSE,"1995 PO SUM";#N/A,#N/A,FALSE,"1995 GEOG SUM";#N/A,#N/A,FALSE,"1996 PO SUM";#N/A,#N/A,FALSE,"1996 GEOG SUM"}</definedName>
    <definedName name="shelf_1" localSheetId="0" hidden="1">{#N/A,#N/A,FALSE,"CHANGES";#N/A,#N/A,FALSE,"PROD SUMMARY";#N/A,#N/A,FALSE,"1995 PO SUM";#N/A,#N/A,FALSE,"1995 GEOG SUM";#N/A,#N/A,FALSE,"1996 PO SUM";#N/A,#N/A,FALSE,"1996 GEOG SUM"}</definedName>
    <definedName name="shelf_1" hidden="1">{#N/A,#N/A,FALSE,"CHANGES";#N/A,#N/A,FALSE,"PROD SUMMARY";#N/A,#N/A,FALSE,"1995 PO SUM";#N/A,#N/A,FALSE,"1995 GEOG SUM";#N/A,#N/A,FALSE,"1996 PO SUM";#N/A,#N/A,FALSE,"1996 GEOG SUM"}</definedName>
    <definedName name="shelf1" localSheetId="0" hidden="1">{#N/A,#N/A,FALSE,"CHANGES";#N/A,#N/A,FALSE,"PROD SUMMARY";#N/A,#N/A,FALSE,"1995 PO SUM";#N/A,#N/A,FALSE,"1995 GEOG SUM";#N/A,#N/A,FALSE,"1996 PO SUM";#N/A,#N/A,FALSE,"1996 GEOG SUM"}</definedName>
    <definedName name="shelf1" hidden="1">{#N/A,#N/A,FALSE,"CHANGES";#N/A,#N/A,FALSE,"PROD SUMMARY";#N/A,#N/A,FALSE,"1995 PO SUM";#N/A,#N/A,FALSE,"1995 GEOG SUM";#N/A,#N/A,FALSE,"1996 PO SUM";#N/A,#N/A,FALSE,"1996 GEOG SUM"}</definedName>
    <definedName name="shelf1_1" localSheetId="0" hidden="1">{#N/A,#N/A,FALSE,"CHANGES";#N/A,#N/A,FALSE,"PROD SUMMARY";#N/A,#N/A,FALSE,"1995 PO SUM";#N/A,#N/A,FALSE,"1995 GEOG SUM";#N/A,#N/A,FALSE,"1996 PO SUM";#N/A,#N/A,FALSE,"1996 GEOG SUM"}</definedName>
    <definedName name="shelf1_1" hidden="1">{#N/A,#N/A,FALSE,"CHANGES";#N/A,#N/A,FALSE,"PROD SUMMARY";#N/A,#N/A,FALSE,"1995 PO SUM";#N/A,#N/A,FALSE,"1995 GEOG SUM";#N/A,#N/A,FALSE,"1996 PO SUM";#N/A,#N/A,FALSE,"1996 GEOG SUM"}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pecialPrice" localSheetId="0" hidden="1">#REF!</definedName>
    <definedName name="SpecialPrice" hidden="1">#REF!</definedName>
    <definedName name="SPMI.List" localSheetId="0">[99]DfltData!#REF!</definedName>
    <definedName name="SPMI.List">[100]DfltData!#REF!</definedName>
    <definedName name="SPMI.Location" localSheetId="0">[99]DfltData!#REF!</definedName>
    <definedName name="SPMI.Location">[100]DfltData!#REF!</definedName>
    <definedName name="SpoolTracker" localSheetId="0">#REF!</definedName>
    <definedName name="SpoolTracker">#REF!</definedName>
    <definedName name="SPREAD" localSheetId="0">#REF!</definedName>
    <definedName name="SPREAD">#REF!</definedName>
    <definedName name="srfvwdvv" localSheetId="0" hidden="1">{#N/A,#N/A,FALSE,"CHANGES";#N/A,#N/A,FALSE,"PROD SUMMARY";#N/A,#N/A,FALSE,"1995 PO SUM";#N/A,#N/A,FALSE,"1995 GEOG SUM";#N/A,#N/A,FALSE,"1996 PO SUM";#N/A,#N/A,FALSE,"1996 GEOG SUM"}</definedName>
    <definedName name="srfvwdvv" hidden="1">{#N/A,#N/A,FALSE,"CHANGES";#N/A,#N/A,FALSE,"PROD SUMMARY";#N/A,#N/A,FALSE,"1995 PO SUM";#N/A,#N/A,FALSE,"1995 GEOG SUM";#N/A,#N/A,FALSE,"1996 PO SUM";#N/A,#N/A,FALSE,"1996 GEOG SUM"}</definedName>
    <definedName name="SS_AVG_SIZE" localSheetId="0">#REF!</definedName>
    <definedName name="SS_AVG_SIZE">#REF!</definedName>
    <definedName name="SS_WELDING" localSheetId="0">#REF!</definedName>
    <definedName name="SS_WELDING">#REF!</definedName>
    <definedName name="SSMCC" localSheetId="0">#REF!</definedName>
    <definedName name="SSMCC">#REF!</definedName>
    <definedName name="SSMCC1" localSheetId="0">#REF!</definedName>
    <definedName name="SSMCC1">#REF!</definedName>
    <definedName name="sss" localSheetId="0" hidden="1">{#N/A,#N/A,TRUE,"PRODUCTION CAPEX OVERVIEW";#N/A,#N/A,TRUE,"Affiliate Detail";#N/A,#N/A,TRUE,"CAPEX PLANNING OVERVIEW"}</definedName>
    <definedName name="sss" hidden="1">{#N/A,#N/A,TRUE,"PRODUCTION CAPEX OVERVIEW";#N/A,#N/A,TRUE,"Affiliate Detail";#N/A,#N/A,TRUE,"CAPEX PLANNING OVERVIEW"}</definedName>
    <definedName name="ssss" localSheetId="0" hidden="1">{#N/A,#N/A,FALSE,"TabA";#N/A,#N/A,FALSE,"UTopxFx98";#N/A,#N/A,FALSE,"TopxFx98";#N/A,#N/A,FALSE,"TopxNom"}</definedName>
    <definedName name="ssss" hidden="1">{#N/A,#N/A,FALSE,"TabA";#N/A,#N/A,FALSE,"UTopxFx98";#N/A,#N/A,FALSE,"TopxFx98";#N/A,#N/A,FALSE,"TopxNom"}</definedName>
    <definedName name="ssss_1" localSheetId="0" hidden="1">{#N/A,#N/A,FALSE,"TabA";#N/A,#N/A,FALSE,"UTopxFx98";#N/A,#N/A,FALSE,"TopxFx98";#N/A,#N/A,FALSE,"TopxNom"}</definedName>
    <definedName name="ssss_1" hidden="1">{#N/A,#N/A,FALSE,"TabA";#N/A,#N/A,FALSE,"UTopxFx98";#N/A,#N/A,FALSE,"TopxFx98";#N/A,#N/A,FALSE,"TopxNom"}</definedName>
    <definedName name="ssss1" localSheetId="0" hidden="1">{#N/A,#N/A,FALSE,"TabA";#N/A,#N/A,FALSE,"UTopxFx98";#N/A,#N/A,FALSE,"TopxFx98";#N/A,#N/A,FALSE,"TopxNom"}</definedName>
    <definedName name="ssss1" hidden="1">{#N/A,#N/A,FALSE,"TabA";#N/A,#N/A,FALSE,"UTopxFx98";#N/A,#N/A,FALSE,"TopxFx98";#N/A,#N/A,FALSE,"TopxNom"}</definedName>
    <definedName name="ssss1_1" localSheetId="0" hidden="1">{#N/A,#N/A,FALSE,"TabA";#N/A,#N/A,FALSE,"UTopxFx98";#N/A,#N/A,FALSE,"TopxFx98";#N/A,#N/A,FALSE,"TopxNom"}</definedName>
    <definedName name="ssss1_1" hidden="1">{#N/A,#N/A,FALSE,"TabA";#N/A,#N/A,FALSE,"UTopxFx98";#N/A,#N/A,FALSE,"TopxFx98";#N/A,#N/A,FALSE,"TopxNom"}</definedName>
    <definedName name="staff" localSheetId="0" hidden="1">{#N/A,#N/A,TRUE,"PRODUCTION CAPEX OVERVIEW";#N/A,#N/A,TRUE,"Affiliate Detail";#N/A,#N/A,TRUE,"CAPEX PLANNING OVERVIEW"}</definedName>
    <definedName name="staff" hidden="1">{#N/A,#N/A,TRUE,"PRODUCTION CAPEX OVERVIEW";#N/A,#N/A,TRUE,"Affiliate Detail";#N/A,#N/A,TRUE,"CAPEX PLANNING OVERVIEW"}</definedName>
    <definedName name="staff_max" localSheetId="0">#REF!</definedName>
    <definedName name="staff_max">#REF!</definedName>
    <definedName name="STAFF_RT" localSheetId="0">#REF!</definedName>
    <definedName name="STAFF_RT">#REF!</definedName>
    <definedName name="Staffing." localSheetId="0" hidden="1">{#N/A,#N/A,TRUE,"PRODUCTION CAPEX OVERVIEW";#N/A,#N/A,TRUE,"Affiliate Detail";#N/A,#N/A,TRUE,"CAPEX PLANNING OVERVIEW"}</definedName>
    <definedName name="Staffing." hidden="1">{#N/A,#N/A,TRUE,"PRODUCTION CAPEX OVERVIEW";#N/A,#N/A,TRUE,"Affiliate Detail";#N/A,#N/A,TRUE,"CAPEX PLANNING OVERVIEW"}</definedName>
    <definedName name="Start10" localSheetId="0">'[81]Pipe Lay &lt; 40 km - km Basis'!$A$1</definedName>
    <definedName name="Start10">'[82]Pipe Lay &lt; 40 km - km Basis'!$A$1</definedName>
    <definedName name="Start11" localSheetId="0">'[81]Pipe Lay &gt; 40 Km - in km basis'!$A$1</definedName>
    <definedName name="Start11">'[82]Pipe Lay &gt; 40 Km - in km basis'!$A$1</definedName>
    <definedName name="Start12" localSheetId="0">'[81]Down Time Summary + Cost Dist'!$A$1</definedName>
    <definedName name="Start12">'[82]Down Time Summary + Cost Dist'!$A$1</definedName>
    <definedName name="Start13" localSheetId="0">'[101]Weather &amp; NPT Application'!$A$1</definedName>
    <definedName name="Start13">'[102]Weather &amp; NPT Application'!$A$1</definedName>
    <definedName name="Start14" localSheetId="0">'[81]Durations for TS Activities'!$A$1</definedName>
    <definedName name="Start14">'[82]Durations for TS Activities'!$A$1</definedName>
    <definedName name="Start15" localSheetId="0">'[81]Shut Down Description'!$A$1</definedName>
    <definedName name="Start15">'[82]Shut Down Description'!$A$1</definedName>
    <definedName name="Start16" localSheetId="0">'[81]Shut Down Concept Dev'!$A$1</definedName>
    <definedName name="Start16">'[82]Shut Down Concept Dev'!$A$1</definedName>
    <definedName name="Start17" localSheetId="0">'[81]Shut Down Schedule Basis'!$A$1</definedName>
    <definedName name="Start17">'[82]Shut Down Schedule Basis'!$A$1</definedName>
    <definedName name="Start18" localSheetId="0">'[81]Level 3 Shut Down Logic (Typ) '!$A$1</definedName>
    <definedName name="Start18">'[82]Level 3 Shut Down Logic (Typ) '!$A$1</definedName>
    <definedName name="Start19" localSheetId="0">'[81]Target Vessel Durations'!$A$1</definedName>
    <definedName name="Start19">'[82]Target Vessel Durations'!$A$1</definedName>
    <definedName name="Start2" localSheetId="0">'[81]Cover Sheet'!$A$1</definedName>
    <definedName name="Start2">'[82]Cover Sheet'!$A$1</definedName>
    <definedName name="Start20" localSheetId="0">'[81]Fabrication Durations Chart'!$A$1</definedName>
    <definedName name="Start20">'[82]Fabrication Durations Chart'!$A$1</definedName>
    <definedName name="Start21" localSheetId="0">'[81]Feed and Engineering Durations'!$A$1</definedName>
    <definedName name="Start21">'[82]Feed and Engineering Durations'!$A$1</definedName>
    <definedName name="Start22" localSheetId="0">'[81]Cost Development Work Sheet'!$A$1</definedName>
    <definedName name="Start22">'[82]Cost Development Work Sheet'!$A$1</definedName>
    <definedName name="Start23" localSheetId="0">'[81]Cost of Standby Time'!$A$1</definedName>
    <definedName name="Start23">'[82]Cost of Standby Time'!$A$1</definedName>
    <definedName name="Start24" localSheetId="0">'[81] Staff Matrix Large EPCM Proj'!$A$1</definedName>
    <definedName name="Start24">'[82] Staff Matrix Large EPCM Proj'!$A$1</definedName>
    <definedName name="Start25" localSheetId="0">'[81] Staff Matrix Large SA Proj'!$A$1</definedName>
    <definedName name="Start25">'[82] Staff Matrix Large SA Proj'!$A$1</definedName>
    <definedName name="Start26" localSheetId="0">'[81]Small &amp; Medium Projects'!$A$1</definedName>
    <definedName name="Start26">'[82]Small &amp; Medium Projects'!$A$1</definedName>
    <definedName name="Start27" localSheetId="0">'[81]Weighted Contingency Workup'!$A$1</definedName>
    <definedName name="Start27">'[82]Weighted Contingency Workup'!$A$1</definedName>
    <definedName name="Start28" localSheetId="0">'[81]Weighted Contingency Workup'!$A$1</definedName>
    <definedName name="Start28">'[82]Weighted Contingency Workup'!$A$1</definedName>
    <definedName name="Start3" localSheetId="0">[81]Contents!$A$1</definedName>
    <definedName name="Start3">[82]Contents!$A$1</definedName>
    <definedName name="Start4" localSheetId="0">'[81]Gates 1 &amp; 2 Responsibilities'!$A$1</definedName>
    <definedName name="Start4">'[82]Gates 1 &amp; 2 Responsibilities'!$A$1</definedName>
    <definedName name="Start5" localSheetId="0">'[81]Gates 1 &amp; 2 Methodology'!$A$1</definedName>
    <definedName name="Start5">'[82]Gates 1 &amp; 2 Methodology'!$A$1</definedName>
    <definedName name="Start6" localSheetId="0">'[81]Project Level 1 Schedule'!$A$1</definedName>
    <definedName name="Start6">'[82]Project Level 1 Schedule'!$A$1</definedName>
    <definedName name="Start7" localSheetId="0">'[81]Integrated Offshore Schedule'!$A$1</definedName>
    <definedName name="Start7">'[82]Integrated Offshore Schedule'!$A$1</definedName>
    <definedName name="Start8" localSheetId="0">'[81]Schedule Development Work Sheet'!$A$1</definedName>
    <definedName name="Start8">'[82]Schedule Development Work Sheet'!$A$1</definedName>
    <definedName name="Start9" localSheetId="0">'[81]Durations forSubsea Activities '!$A$1</definedName>
    <definedName name="Start9">'[82]Durations forSubsea Activities '!$A$1</definedName>
    <definedName name="Stew_Well_Count" localSheetId="0">#REF!</definedName>
    <definedName name="Stew_Well_Count">#REF!</definedName>
    <definedName name="Stewardship_Year_Capex_and_Volumes" localSheetId="0">#REF!</definedName>
    <definedName name="Stewardship_Year_Capex_and_Volumes">#REF!</definedName>
    <definedName name="STRESS_RELIEVIN" localSheetId="0">#REF!</definedName>
    <definedName name="STRESS_RELIEVIN">#REF!</definedName>
    <definedName name="SU" localSheetId="0">#REF!</definedName>
    <definedName name="SU">#REF!</definedName>
    <definedName name="SUBCON">#REF!</definedName>
    <definedName name="SUBCONFORMATION">#REF!</definedName>
    <definedName name="Successors" localSheetId="0">#REF!</definedName>
    <definedName name="Successors">#REF!</definedName>
    <definedName name="Sum" localSheetId="0">#REF!</definedName>
    <definedName name="Sum">#REF!</definedName>
    <definedName name="SUM_OPEX" localSheetId="0" hidden="1">{#N/A,#N/A,FALSE,"CHANGES";#N/A,#N/A,FALSE,"PROD SUMMARY";#N/A,#N/A,FALSE,"1995 PO SUM";#N/A,#N/A,FALSE,"1995 GEOG SUM";#N/A,#N/A,FALSE,"1996 PO SUM";#N/A,#N/A,FALSE,"1996 GEOG SUM"}</definedName>
    <definedName name="SUM_OPEX" hidden="1">{#N/A,#N/A,FALSE,"CHANGES";#N/A,#N/A,FALSE,"PROD SUMMARY";#N/A,#N/A,FALSE,"1995 PO SUM";#N/A,#N/A,FALSE,"1995 GEOG SUM";#N/A,#N/A,FALSE,"1996 PO SUM";#N/A,#N/A,FALSE,"1996 GEOG SUM"}</definedName>
    <definedName name="Summary" localSheetId="0">#REF!</definedName>
    <definedName name="Summary">#REF!</definedName>
    <definedName name="SUPV" localSheetId="0">#REF!</definedName>
    <definedName name="SUPV">#REF!</definedName>
    <definedName name="sut" localSheetId="0" hidden="1">{#N/A,#N/A,FALSE,"TabA";#N/A,#N/A,FALSE,"UTopxFx98";#N/A,#N/A,FALSE,"TopxFx98";#N/A,#N/A,FALSE,"TopxNom"}</definedName>
    <definedName name="sut" hidden="1">{#N/A,#N/A,FALSE,"TabA";#N/A,#N/A,FALSE,"UTopxFx98";#N/A,#N/A,FALSE,"TopxFx98";#N/A,#N/A,FALSE,"TopxNom"}</definedName>
    <definedName name="Swvu.ACT._.EARNINGS." localSheetId="0" hidden="1">#REF!</definedName>
    <definedName name="Swvu.ACT._.EARNINGS." hidden="1">#REF!</definedName>
    <definedName name="Swvu.CONLEY." localSheetId="0" hidden="1">'[41]OPEX REPORT'!#REF!</definedName>
    <definedName name="Swvu.CONLEY." hidden="1">'[42]OPEX REPORT'!#REF!</definedName>
    <definedName name="Swvu.Japan_Capers_Ed_Pub." localSheetId="0" hidden="1">'[43]THREE VARIABLES'!$N$1:$V$165</definedName>
    <definedName name="Swvu.Japan_Capers_Ed_Pub." hidden="1">'[44]THREE VARIABLES'!$N$1:$V$165</definedName>
    <definedName name="Swvu.KJP_CC." localSheetId="0" hidden="1">'[43]THREE VARIABLES'!$N$4:$U$165</definedName>
    <definedName name="Swvu.KJP_CC." hidden="1">'[44]THREE VARIABLES'!$N$4:$U$165</definedName>
    <definedName name="Swvu.STEW._.COVER2." localSheetId="0" hidden="1">#REF!</definedName>
    <definedName name="Swvu.STEW._.COVER2." hidden="1">#REF!</definedName>
    <definedName name="Swvu.STEW._.EARNINGS." localSheetId="0" hidden="1">#REF!</definedName>
    <definedName name="Swvu.STEW._.EARNINGS." hidden="1">#REF!</definedName>
    <definedName name="Swvu.STEW._.GAS." localSheetId="0" hidden="1">#REF!</definedName>
    <definedName name="Swvu.STEW._.GAS." hidden="1">#REF!</definedName>
    <definedName name="Swvu.stew._.rept." localSheetId="0" hidden="1">'[41]OPEX REPORT'!$J$20</definedName>
    <definedName name="Swvu.stew._.rept." hidden="1">'[42]OPEX REPORT'!$J$20</definedName>
    <definedName name="Swvu.STEW._.RPT." localSheetId="0" hidden="1">'[41]OPEX REPORT'!$B$3:$S$38</definedName>
    <definedName name="Swvu.STEW._.RPT." hidden="1">'[42]OPEX REPORT'!$B$3:$S$38</definedName>
    <definedName name="SYST" localSheetId="0">#REF!</definedName>
    <definedName name="SYST">#REF!</definedName>
    <definedName name="t" localSheetId="0">#REF!</definedName>
    <definedName name="T">#REF!</definedName>
    <definedName name="T_1" localSheetId="0">'[37]AOR Base Parameters'!$F$33:$BD$33</definedName>
    <definedName name="T_1">'[38]AOR Base Parameters'!$F$33:$BD$33</definedName>
    <definedName name="T_2" localSheetId="0">'[37]AOR Base Parameters'!$F$37:$BD$37</definedName>
    <definedName name="T_2">'[38]AOR Base Parameters'!$F$37:$BD$37</definedName>
    <definedName name="TABLE" localSheetId="0">#REF!</definedName>
    <definedName name="TABLE">#REF!</definedName>
    <definedName name="Table.EngSource" localSheetId="0">#REF!</definedName>
    <definedName name="Table.EngSource">#REF!</definedName>
    <definedName name="tbl_ProdInfo" localSheetId="0" hidden="1">#REF!</definedName>
    <definedName name="tbl_ProdInfo" hidden="1">#REF!</definedName>
    <definedName name="TCIB_00000" localSheetId="0" hidden="1">#REF!</definedName>
    <definedName name="TCIB_00000" hidden="1">#REF!</definedName>
    <definedName name="TCIB_00001" localSheetId="0" hidden="1">#REF!</definedName>
    <definedName name="TCIB_00001" hidden="1">#REF!</definedName>
    <definedName name="TCIB_00002" localSheetId="0" hidden="1">#REF!</definedName>
    <definedName name="TCIB_00002" hidden="1">#REF!</definedName>
    <definedName name="TCIB_00003" localSheetId="0" hidden="1">#REF!</definedName>
    <definedName name="TCIB_00003" hidden="1">#REF!</definedName>
    <definedName name="TCIB_00004" localSheetId="0" hidden="1">#REF!</definedName>
    <definedName name="TCIB_00004" hidden="1">#REF!</definedName>
    <definedName name="TCIB_00005" localSheetId="0" hidden="1">#REF!</definedName>
    <definedName name="TCIB_00005" hidden="1">#REF!</definedName>
    <definedName name="TCIB_00006" localSheetId="0" hidden="1">#REF!</definedName>
    <definedName name="TCIB_00006" hidden="1">#REF!</definedName>
    <definedName name="TCIB_00007" localSheetId="0" hidden="1">#REF!</definedName>
    <definedName name="TCIB_00007" hidden="1">#REF!</definedName>
    <definedName name="TCIB_00008" localSheetId="0" hidden="1">#REF!</definedName>
    <definedName name="TCIB_00008" hidden="1">#REF!</definedName>
    <definedName name="TCIB_00009" localSheetId="0" hidden="1">#REF!</definedName>
    <definedName name="TCIB_00009" hidden="1">#REF!</definedName>
    <definedName name="TCIB_00010" localSheetId="0" hidden="1">#REF!</definedName>
    <definedName name="TCIB_00010" hidden="1">#REF!</definedName>
    <definedName name="TCIB_00011" localSheetId="0" hidden="1">#REF!</definedName>
    <definedName name="TCIB_00011" hidden="1">#REF!</definedName>
    <definedName name="tec_labor">#REF!</definedName>
    <definedName name="tec_matl">#REF!</definedName>
    <definedName name="tec_sc">#REF!</definedName>
    <definedName name="TECHNIC">#REF!</definedName>
    <definedName name="test" localSheetId="0" hidden="1">[103]INPUTS!$B$1:$BV$66</definedName>
    <definedName name="test" hidden="1">[104]INPUTS!$B$1:$BV$66</definedName>
    <definedName name="tetewyreurur" localSheetId="0" hidden="1">{#N/A,#N/A,FALSE,"CHANGES";#N/A,#N/A,FALSE,"PROD SUMMARY";#N/A,#N/A,FALSE,"1995 PO SUM";#N/A,#N/A,FALSE,"1995 GEOG SUM";#N/A,#N/A,FALSE,"1996 PO SUM";#N/A,#N/A,FALSE,"1996 GEOG SUM"}</definedName>
    <definedName name="tetewyreurur" hidden="1">{#N/A,#N/A,FALSE,"CHANGES";#N/A,#N/A,FALSE,"PROD SUMMARY";#N/A,#N/A,FALSE,"1995 PO SUM";#N/A,#N/A,FALSE,"1995 GEOG SUM";#N/A,#N/A,FALSE,"1996 PO SUM";#N/A,#N/A,FALSE,"1996 GEOG SUM"}</definedName>
    <definedName name="tetewyreurur_1" localSheetId="0" hidden="1">{#N/A,#N/A,FALSE,"CHANGES";#N/A,#N/A,FALSE,"PROD SUMMARY";#N/A,#N/A,FALSE,"1995 PO SUM";#N/A,#N/A,FALSE,"1995 GEOG SUM";#N/A,#N/A,FALSE,"1996 PO SUM";#N/A,#N/A,FALSE,"1996 GEOG SUM"}</definedName>
    <definedName name="tetewyreurur_1" hidden="1">{#N/A,#N/A,FALSE,"CHANGES";#N/A,#N/A,FALSE,"PROD SUMMARY";#N/A,#N/A,FALSE,"1995 PO SUM";#N/A,#N/A,FALSE,"1995 GEOG SUM";#N/A,#N/A,FALSE,"1996 PO SUM";#N/A,#N/A,FALSE,"1996 GEOG SUM"}</definedName>
    <definedName name="tetre" localSheetId="0" hidden="1">{#N/A,#N/A,FALSE,"CHANGES";#N/A,#N/A,FALSE,"PROD SUMMARY";#N/A,#N/A,FALSE,"1995 PO SUM";#N/A,#N/A,FALSE,"1995 GEOG SUM";#N/A,#N/A,FALSE,"1996 PO SUM";#N/A,#N/A,FALSE,"1996 GEOG SUM"}</definedName>
    <definedName name="tetre" hidden="1">{#N/A,#N/A,FALSE,"CHANGES";#N/A,#N/A,FALSE,"PROD SUMMARY";#N/A,#N/A,FALSE,"1995 PO SUM";#N/A,#N/A,FALSE,"1995 GEOG SUM";#N/A,#N/A,FALSE,"1996 PO SUM";#N/A,#N/A,FALSE,"1996 GEOG SUM"}</definedName>
    <definedName name="tetre_1" localSheetId="0" hidden="1">{#N/A,#N/A,FALSE,"CHANGES";#N/A,#N/A,FALSE,"PROD SUMMARY";#N/A,#N/A,FALSE,"1995 PO SUM";#N/A,#N/A,FALSE,"1995 GEOG SUM";#N/A,#N/A,FALSE,"1996 PO SUM";#N/A,#N/A,FALSE,"1996 GEOG SUM"}</definedName>
    <definedName name="tetre_1" hidden="1">{#N/A,#N/A,FALSE,"CHANGES";#N/A,#N/A,FALSE,"PROD SUMMARY";#N/A,#N/A,FALSE,"1995 PO SUM";#N/A,#N/A,FALSE,"1995 GEOG SUM";#N/A,#N/A,FALSE,"1996 PO SUM";#N/A,#N/A,FALSE,"1996 GEOG SUM"}</definedName>
    <definedName name="Text_Color" localSheetId="0">#REF!</definedName>
    <definedName name="Text_Color">#REF!</definedName>
    <definedName name="TextRange" localSheetId="0">#REF!</definedName>
    <definedName name="TextRange">#REF!</definedName>
    <definedName name="thetha" localSheetId="0" hidden="1">{#N/A,#N/A,FALSE,"CHANGES";#N/A,#N/A,FALSE,"PROD SUMMARY";#N/A,#N/A,FALSE,"1995 PO SUM";#N/A,#N/A,FALSE,"1995 GEOG SUM";#N/A,#N/A,FALSE,"1996 PO SUM";#N/A,#N/A,FALSE,"1996 GEOG SUM"}</definedName>
    <definedName name="thetha" hidden="1">{#N/A,#N/A,FALSE,"CHANGES";#N/A,#N/A,FALSE,"PROD SUMMARY";#N/A,#N/A,FALSE,"1995 PO SUM";#N/A,#N/A,FALSE,"1995 GEOG SUM";#N/A,#N/A,FALSE,"1996 PO SUM";#N/A,#N/A,FALSE,"1996 GEOG SUM"}</definedName>
    <definedName name="TI" localSheetId="0">#REF!</definedName>
    <definedName name="TI">#REF!</definedName>
    <definedName name="TimeRange" localSheetId="0">#REF!</definedName>
    <definedName name="TimeRange">#REF!</definedName>
    <definedName name="TIPR" localSheetId="0">'[37]AOR Base Parameters'!$F$56</definedName>
    <definedName name="TIPR">'[38]AOR Base Parameters'!$F$56</definedName>
    <definedName name="TITLE" localSheetId="0">#REF!</definedName>
    <definedName name="TITLE">#REF!</definedName>
    <definedName name="TITLE2" localSheetId="0">#REF!</definedName>
    <definedName name="TITLE2">#REF!</definedName>
    <definedName name="TOP" localSheetId="0">#REF!</definedName>
    <definedName name="TOP">#REF!</definedName>
    <definedName name="TOTAL" localSheetId="0">#REF!</definedName>
    <definedName name="TOTAL">#REF!</definedName>
    <definedName name="TOTAPC">#REF!</definedName>
    <definedName name="TOTCAB">#REF!</definedName>
    <definedName name="TOTCOM">#REF!</definedName>
    <definedName name="TOTFFC">#REF!</definedName>
    <definedName name="TOTOCB">#REF!</definedName>
    <definedName name="TOTOVR">#REF!</definedName>
    <definedName name="TOTTRA">#REF!</definedName>
    <definedName name="TOWER" localSheetId="0">[54]Towers!$D$5:$J$53</definedName>
    <definedName name="TOWER">[55]Towers!$D$5:$J$53</definedName>
    <definedName name="trash" localSheetId="0" hidden="1">{#N/A,#N/A,FALSE,"CHANGES";#N/A,#N/A,FALSE,"PROD SUMMARY";#N/A,#N/A,FALSE,"1995 PO SUM";#N/A,#N/A,FALSE,"1995 GEOG SUM";#N/A,#N/A,FALSE,"1996 PO SUM";#N/A,#N/A,FALSE,"1996 GEOG SUM"}</definedName>
    <definedName name="trash" hidden="1">{#N/A,#N/A,FALSE,"CHANGES";#N/A,#N/A,FALSE,"PROD SUMMARY";#N/A,#N/A,FALSE,"1995 PO SUM";#N/A,#N/A,FALSE,"1995 GEOG SUM";#N/A,#N/A,FALSE,"1996 PO SUM";#N/A,#N/A,FALSE,"1996 GEOG SUM"}</definedName>
    <definedName name="ttt" localSheetId="0" hidden="1">{TRUE,TRUE,19.75,10,455.25,236.25,FALSE,TRUE,TRUE,TRUE,0,27,#N/A,12,#N/A,6.65909090909091,9.38235294117647,1,FALSE,FALSE,1,TRUE,1,FALSE,100,"Swvu.STEWCOVER.","ACwvu.STEWCOVER.",1,FALSE,FALSE,0.551181102362205,0,0.551181102362205,0.0393700787401575,2,"","&amp;L&amp;""Arial""&amp;8&amp;D &amp;T &amp;F STEW GAS ",FALSE,FALSE,FALSE,FALSE,1,110,#N/A,#N/A,"=R1C25:R22C33",FALSE,#N/A,#N/A,FALSE,FALSE}</definedName>
    <definedName name="ttt" hidden="1">{TRUE,TRUE,19.75,10,455.25,236.25,FALSE,TRUE,TRUE,TRUE,0,27,#N/A,12,#N/A,6.65909090909091,9.38235294117647,1,FALSE,FALSE,1,TRUE,1,FALSE,100,"Swvu.STEWCOVER.","ACwvu.STEWCOVER.",1,FALSE,FALSE,0.551181102362205,0,0.551181102362205,0.0393700787401575,2,"","&amp;L&amp;""Arial""&amp;8&amp;D &amp;T &amp;F STEW GAS ",FALSE,FALSE,FALSE,FALSE,1,110,#N/A,#N/A,"=R1C25:R22C33",FALSE,#N/A,#N/A,FALSE,FALSE}</definedName>
    <definedName name="TTTT" localSheetId="0" hidden="1">{#N/A,#N/A,FALSE,"TabA";#N/A,#N/A,FALSE,"UTopxFx98";#N/A,#N/A,FALSE,"TopxFx98";#N/A,#N/A,FALSE,"TopxNom"}</definedName>
    <definedName name="TTTT" hidden="1">{#N/A,#N/A,FALSE,"TabA";#N/A,#N/A,FALSE,"UTopxFx98";#N/A,#N/A,FALSE,"TopxFx98";#N/A,#N/A,FALSE,"TopxNom"}</definedName>
    <definedName name="TWEntries" localSheetId="0">#REF!</definedName>
    <definedName name="TWEntries">#REF!</definedName>
    <definedName name="TYPE" localSheetId="0">#REF!</definedName>
    <definedName name="TYPE">#REF!</definedName>
    <definedName name="Ubit">#REF!</definedName>
    <definedName name="Ubit_Capex">#REF!</definedName>
    <definedName name="Ubit_prod">#REF!</definedName>
    <definedName name="uj" localSheetId="0" hidden="1">{#N/A,#N/A,FALSE,"CHANGES";#N/A,#N/A,FALSE,"PROD SUMMARY";#N/A,#N/A,FALSE,"1995 PO SUM";#N/A,#N/A,FALSE,"1995 GEOG SUM";#N/A,#N/A,FALSE,"1996 PO SUM";#N/A,#N/A,FALSE,"1996 GEOG SUM"}</definedName>
    <definedName name="uj" hidden="1">{#N/A,#N/A,FALSE,"CHANGES";#N/A,#N/A,FALSE,"PROD SUMMARY";#N/A,#N/A,FALSE,"1995 PO SUM";#N/A,#N/A,FALSE,"1995 GEOG SUM";#N/A,#N/A,FALSE,"1996 PO SUM";#N/A,#N/A,FALSE,"1996 GEOG SUM"}</definedName>
    <definedName name="uk_00" localSheetId="0">'[45]MH RATE'!$F$11</definedName>
    <definedName name="uk_00">'[45]MH RATE'!$F$11</definedName>
    <definedName name="uk_01" localSheetId="0">'[45]MH RATE'!$H$11</definedName>
    <definedName name="uk_01">'[45]MH RATE'!$H$11</definedName>
    <definedName name="uk_02" localSheetId="0">'[45]MH RATE'!$J$11</definedName>
    <definedName name="uk_02">'[45]MH RATE'!$J$11</definedName>
    <definedName name="uk_03" localSheetId="0">'[45]MH RATE'!$L$11</definedName>
    <definedName name="uk_03">'[45]MH RATE'!$L$11</definedName>
    <definedName name="uk_04" localSheetId="0">'[35]MH RATE'!$H$11</definedName>
    <definedName name="uk_04">'[36]MH RATE'!$H$11</definedName>
    <definedName name="uk_05" localSheetId="0">'[35]MH RATE'!$J$11</definedName>
    <definedName name="uk_05">'[36]MH RATE'!$J$11</definedName>
    <definedName name="uk_99" localSheetId="0">'[45]MH RATE'!$D$11</definedName>
    <definedName name="uk_99">'[45]MH RATE'!$D$11</definedName>
    <definedName name="uk_HR_M" localSheetId="0">'[45]MH RATE'!$N$11</definedName>
    <definedName name="uk_HR_M">'[45]MH RATE'!$N$11</definedName>
    <definedName name="UKCAMP_MD" localSheetId="0">#REF!</definedName>
    <definedName name="UKCAMP_MD">#REF!</definedName>
    <definedName name="UKCOMMH" localSheetId="0">#REF!</definedName>
    <definedName name="UKCOMMH">#REF!</definedName>
    <definedName name="UKCOMMHCOST" localSheetId="0">#REF!</definedName>
    <definedName name="UKCOMMHCOST">#REF!</definedName>
    <definedName name="UKCOMMM">#REF!</definedName>
    <definedName name="UKMH">#REF!</definedName>
    <definedName name="UKMHCOST">#REF!</definedName>
    <definedName name="UKM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0">#REF!</definedName>
    <definedName name="UNIT">#REF!</definedName>
    <definedName name="upper_price" localSheetId="0">'[37]AOR Base Parameters'!$F$14:$BD$14</definedName>
    <definedName name="upper_price">'[38]AOR Base Parameters'!$F$14:$BD$14</definedName>
    <definedName name="Upstream_CAPEX" localSheetId="0">#REF!</definedName>
    <definedName name="Upstream_CAPEX">#REF!</definedName>
    <definedName name="uranus" localSheetId="0" hidden="1">{#N/A,#N/A,FALSE,"CHANGES";#N/A,#N/A,FALSE,"PROD SUMMARY";#N/A,#N/A,FALSE,"1995 PO SUM";#N/A,#N/A,FALSE,"1995 GEOG SUM";#N/A,#N/A,FALSE,"1996 PO SUM";#N/A,#N/A,FALSE,"1996 GEOG SUM"}</definedName>
    <definedName name="uranus" hidden="1">{#N/A,#N/A,FALSE,"CHANGES";#N/A,#N/A,FALSE,"PROD SUMMARY";#N/A,#N/A,FALSE,"1995 PO SUM";#N/A,#N/A,FALSE,"1995 GEOG SUM";#N/A,#N/A,FALSE,"1996 PO SUM";#N/A,#N/A,FALSE,"1996 GEOG SUM"}</definedName>
    <definedName name="USARI" localSheetId="0">#REF!</definedName>
    <definedName name="USARI">#REF!</definedName>
    <definedName name="USARI_PM" localSheetId="0">'[48]PTD Costs'!$B$405</definedName>
    <definedName name="USARI_PM">'[49]PTD Costs'!$B$405</definedName>
    <definedName name="USD_Eqv_cash_In" localSheetId="0" hidden="1">{"VISTA_1",#N/A,FALSE,"GRAFO"}</definedName>
    <definedName name="USD_Eqv_cash_In" hidden="1">{"VISTA_1",#N/A,FALSE,"GRAFO"}</definedName>
    <definedName name="USD_Eqv_cash_Out" localSheetId="0" hidden="1">{#N/A,#N/A,FALSE,"COPERTINA"}</definedName>
    <definedName name="USD_Eqv_cash_Out" hidden="1">{#N/A,#N/A,FALSE,"COPERTINA"}</definedName>
    <definedName name="Utilities" localSheetId="0" hidden="1">{#N/A,#N/A,FALSE,"CHANGES";#N/A,#N/A,FALSE,"PROD SUMMARY";#N/A,#N/A,FALSE,"1995 PO SUM";#N/A,#N/A,FALSE,"1995 GEOG SUM";#N/A,#N/A,FALSE,"1996 PO SUM";#N/A,#N/A,FALSE,"1996 GEOG SUM"}</definedName>
    <definedName name="Utilities" hidden="1">{#N/A,#N/A,FALSE,"CHANGES";#N/A,#N/A,FALSE,"PROD SUMMARY";#N/A,#N/A,FALSE,"1995 PO SUM";#N/A,#N/A,FALSE,"1995 GEOG SUM";#N/A,#N/A,FALSE,"1996 PO SUM";#N/A,#N/A,FALSE,"1996 GEOG SUM"}</definedName>
    <definedName name="UTIT" localSheetId="0">'[37]AOR Base Parameters'!$F$35:$BD$35</definedName>
    <definedName name="UTIT">'[38]AOR Base Parameters'!$F$35:$BD$35</definedName>
    <definedName name="Utue" localSheetId="0">#REF!</definedName>
    <definedName name="Utue">#REF!</definedName>
    <definedName name="UU" localSheetId="0" hidden="1">{#N/A,#N/A,FALSE,"JACKETS (1100 t) (1)"}</definedName>
    <definedName name="UU" hidden="1">{#N/A,#N/A,FALSE,"JACKETS (1100 t) (1)"}</definedName>
    <definedName name="UUUU" localSheetId="0" hidden="1">{#N/A,#N/A,FALSE,"JACKETS (1100 t) (1)"}</definedName>
    <definedName name="UUUU" hidden="1">{#N/A,#N/A,FALSE,"JACKETS (1100 t) (1)"}</definedName>
    <definedName name="uyt" localSheetId="0" hidden="1">{#N/A,#N/A,FALSE,"TabA";#N/A,#N/A,FALSE,"UTopxFx98";#N/A,#N/A,FALSE,"TopxFx98";#N/A,#N/A,FALSE,"TopxNom"}</definedName>
    <definedName name="uyt" hidden="1">{#N/A,#N/A,FALSE,"TabA";#N/A,#N/A,FALSE,"UTopxFx98";#N/A,#N/A,FALSE,"TopxFx98";#N/A,#N/A,FALSE,"TopxNom"}</definedName>
    <definedName name="v" localSheetId="0" hidden="1">{#N/A,#N/A,FALSE,"CHANGES";#N/A,#N/A,FALSE,"PROD SUMMARY";#N/A,#N/A,FALSE,"1995 PO SUM";#N/A,#N/A,FALSE,"1995 GEOG SUM";#N/A,#N/A,FALSE,"1996 PO SUM";#N/A,#N/A,FALSE,"1996 GEOG SUM"}</definedName>
    <definedName name="v" hidden="1">{#N/A,#N/A,FALSE,"CHANGES";#N/A,#N/A,FALSE,"PROD SUMMARY";#N/A,#N/A,FALSE,"1995 PO SUM";#N/A,#N/A,FALSE,"1995 GEOG SUM";#N/A,#N/A,FALSE,"1996 PO SUM";#N/A,#N/A,FALSE,"1996 GEOG SUM"}</definedName>
    <definedName name="VARAPP" localSheetId="0">#REF!</definedName>
    <definedName name="VARAPP">#REF!</definedName>
    <definedName name="varCtrlPanel" localSheetId="0" hidden="1">'[62]Facility Integrity'!$C$10:$E$22</definedName>
    <definedName name="varCtrlPanel" hidden="1">'[63]Facility Integrity'!$C$10:$E$22</definedName>
    <definedName name="vcbntryt6ryhn" localSheetId="0" hidden="1">{"QUARTERLY VIEW",#N/A,FALSE,"YEAR TOTAL"}</definedName>
    <definedName name="vcbntryt6ryhn" hidden="1">{"QUARTERLY VIEW",#N/A,FALSE,"YEAR TOTAL"}</definedName>
    <definedName name="VESS" localSheetId="0">[83]FABRICATION!#REF!</definedName>
    <definedName name="VESS">[83]FABRICATION!#REF!</definedName>
    <definedName name="VESSEL" localSheetId="0">[54]Drums!$D$6:$I$123</definedName>
    <definedName name="VESSEL">[55]Drums!$D$6:$I$123</definedName>
    <definedName name="VJA_A" localSheetId="0">#REF!</definedName>
    <definedName name="VJA_A">#REF!</definedName>
    <definedName name="VJA_B" localSheetId="0">#REF!</definedName>
    <definedName name="VJA_B">#REF!</definedName>
    <definedName name="w" localSheetId="0">#REF!</definedName>
    <definedName name="w">#REF!</definedName>
    <definedName name="WAB.TEST" localSheetId="0" hidden="1">{#N/A,#N/A,FALSE,"TabA";#N/A,#N/A,FALSE,"UTopxFx98";#N/A,#N/A,FALSE,"TopxFx98";#N/A,#N/A,FALSE,"TopxNom"}</definedName>
    <definedName name="WAB.TEST" hidden="1">{#N/A,#N/A,FALSE,"TabA";#N/A,#N/A,FALSE,"UTopxFx98";#N/A,#N/A,FALSE,"TopxFx98";#N/A,#N/A,FALSE,"TopxNom"}</definedName>
    <definedName name="WAGE_RATE" localSheetId="0">#REF!</definedName>
    <definedName name="WAGE_RATE">#REF!</definedName>
    <definedName name="Water" localSheetId="0" hidden="1">{#N/A,#N/A,FALSE,"CHANGES";#N/A,#N/A,FALSE,"PROD SUMMARY";#N/A,#N/A,FALSE,"1995 PO SUM";#N/A,#N/A,FALSE,"1995 GEOG SUM";#N/A,#N/A,FALSE,"1996 PO SUM";#N/A,#N/A,FALSE,"1996 GEOG SUM"}</definedName>
    <definedName name="Water" hidden="1">{#N/A,#N/A,FALSE,"CHANGES";#N/A,#N/A,FALSE,"PROD SUMMARY";#N/A,#N/A,FALSE,"1995 PO SUM";#N/A,#N/A,FALSE,"1995 GEOG SUM";#N/A,#N/A,FALSE,"1996 PO SUM";#N/A,#N/A,FALSE,"1996 GEOG SUM"}</definedName>
    <definedName name="we" localSheetId="0">#REF!</definedName>
    <definedName name="we">#REF!</definedName>
    <definedName name="week" localSheetId="0" hidden="1">{#N/A,#N/A,FALSE,"COPERTINA"}</definedName>
    <definedName name="week" hidden="1">{#N/A,#N/A,FALSE,"COPERTINA"}</definedName>
    <definedName name="Wellhead_Platforms" localSheetId="0">#REF!</definedName>
    <definedName name="Wellhead_Platforms">#REF!</definedName>
    <definedName name="wer" localSheetId="0" hidden="1">{TRUE,TRUE,19.75,18.25,455.25,236.25,FALSE,TRUE,TRUE,TRUE,0,1,#N/A,1,#N/A,5.58823529411765,11.0769230769231,1,FALSE,FALSE,1,TRUE,1,FALSE,100,"Swvu.STEW._.LIQUIDS.","ACwvu.STEW._.LIQUIDS.",1,FALSE,FALSE,0,0,0.551181102362205,0.0393700787401575,2,"","&amp;L&amp;""Arial,Regular""&amp;8&amp;D &amp;T &amp;F &amp;A ",TRUE,FALSE,FALSE,FALSE,1,#N/A,1,1,"=R3C1:R32C11",FALSE,#N/A,#N/A,FALSE,FALSE,FALSE,1,65532,65532,FALSE,FALSE,TRUE,TRUE,TRUE}</definedName>
    <definedName name="wer" hidden="1">{TRUE,TRUE,19.75,18.25,455.25,236.25,FALSE,TRUE,TRUE,TRUE,0,1,#N/A,1,#N/A,5.58823529411765,11.0769230769231,1,FALSE,FALSE,1,TRUE,1,FALSE,100,"Swvu.STEW._.LIQUIDS.","ACwvu.STEW._.LIQUIDS.",1,FALSE,FALSE,0,0,0.551181102362205,0.0393700787401575,2,"","&amp;L&amp;""Arial,Regular""&amp;8&amp;D &amp;T &amp;F &amp;A ",TRUE,FALSE,FALSE,FALSE,1,#N/A,1,1,"=R3C1:R32C11",FALSE,#N/A,#N/A,FALSE,FALSE,FALSE,1,65532,65532,FALSE,FALSE,TRUE,TRUE,TRUE}</definedName>
    <definedName name="wf" localSheetId="0" hidden="1">{#N/A,#N/A,FALSE,"TabA";#N/A,#N/A,FALSE,"UTopxFx98";#N/A,#N/A,FALSE,"TopxFx98";#N/A,#N/A,FALSE,"TopxNom"}</definedName>
    <definedName name="wf" hidden="1">{#N/A,#N/A,FALSE,"TabA";#N/A,#N/A,FALSE,"UTopxFx98";#N/A,#N/A,FALSE,"TopxFx98";#N/A,#N/A,FALSE,"TopxNom"}</definedName>
    <definedName name="whatever" localSheetId="0" hidden="1">{#N/A,#N/A,FALSE,"CHANGES";#N/A,#N/A,FALSE,"PROD SUMMARY";#N/A,#N/A,FALSE,"1995 PO SUM";#N/A,#N/A,FALSE,"1995 GEOG SUM";#N/A,#N/A,FALSE,"1996 PO SUM";#N/A,#N/A,FALSE,"1996 GEOG SUM"}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hatever_1" localSheetId="0" hidden="1">{#N/A,#N/A,FALSE,"CHANGES";#N/A,#N/A,FALSE,"PROD SUMMARY";#N/A,#N/A,FALSE,"1995 PO SUM";#N/A,#N/A,FALSE,"1995 GEOG SUM";#N/A,#N/A,FALSE,"1996 PO SUM";#N/A,#N/A,FALSE,"1996 GEOG SUM"}</definedName>
    <definedName name="whatever_1" hidden="1">{#N/A,#N/A,FALSE,"CHANGES";#N/A,#N/A,FALSE,"PROD SUMMARY";#N/A,#N/A,FALSE,"1995 PO SUM";#N/A,#N/A,FALSE,"1995 GEOG SUM";#N/A,#N/A,FALSE,"1996 PO SUM";#N/A,#N/A,FALSE,"1996 GEOG SUM"}</definedName>
    <definedName name="whatever2" localSheetId="0" hidden="1">{#N/A,#N/A,FALSE,"CHANGES";#N/A,#N/A,FALSE,"PROD SUMMARY";#N/A,#N/A,FALSE,"1995 PO SUM";#N/A,#N/A,FALSE,"1995 GEOG SUM";#N/A,#N/A,FALSE,"1996 PO SUM";#N/A,#N/A,FALSE,"1996 GEOG SUM"}</definedName>
    <definedName name="whatever2" hidden="1">{#N/A,#N/A,FALSE,"CHANGES";#N/A,#N/A,FALSE,"PROD SUMMARY";#N/A,#N/A,FALSE,"1995 PO SUM";#N/A,#N/A,FALSE,"1995 GEOG SUM";#N/A,#N/A,FALSE,"1996 PO SUM";#N/A,#N/A,FALSE,"1996 GEOG SUM"}</definedName>
    <definedName name="wix" localSheetId="0" hidden="1">{#N/A,#N/A,FALSE,"CHANGES";#N/A,#N/A,FALSE,"PROD SUMMARY";#N/A,#N/A,FALSE,"1995 PO SUM";#N/A,#N/A,FALSE,"1995 GEOG SUM";#N/A,#N/A,FALSE,"1996 PO SUM";#N/A,#N/A,FALSE,"1996 GEOG SUM"}</definedName>
    <definedName name="wix" hidden="1">{#N/A,#N/A,FALSE,"CHANGES";#N/A,#N/A,FALSE,"PROD SUMMARY";#N/A,#N/A,FALSE,"1995 PO SUM";#N/A,#N/A,FALSE,"1995 GEOG SUM";#N/A,#N/A,FALSE,"1996 PO SUM";#N/A,#N/A,FALSE,"1996 GEOG SUM"}</definedName>
    <definedName name="workbook" localSheetId="0" hidden="1">{#N/A,#N/A,FALSE,"CHANGES";#N/A,#N/A,FALSE,"PROD SUMMARY";#N/A,#N/A,FALSE,"1995 PO SUM";#N/A,#N/A,FALSE,"1995 GEOG SUM";#N/A,#N/A,FALSE,"1996 PO SUM";#N/A,#N/A,FALSE,"1996 GEOG SUM"}</definedName>
    <definedName name="workbook" hidden="1">{#N/A,#N/A,FALSE,"CHANGES";#N/A,#N/A,FALSE,"PROD SUMMARY";#N/A,#N/A,FALSE,"1995 PO SUM";#N/A,#N/A,FALSE,"1995 GEOG SUM";#N/A,#N/A,FALSE,"1996 PO SUM";#N/A,#N/A,FALSE,"1996 GEOG SUM"}</definedName>
    <definedName name="WORKCONDITION1" localSheetId="0">#REF!</definedName>
    <definedName name="WORKCONDITION1">#REF!</definedName>
    <definedName name="WORKCONDITION2" localSheetId="0">#REF!</definedName>
    <definedName name="WORKCONDITION2">#REF!</definedName>
    <definedName name="WPVT" localSheetId="0">#REF!</definedName>
    <definedName name="WPVT">#REF!</definedName>
    <definedName name="wqww" localSheetId="0" hidden="1">#REF!</definedName>
    <definedName name="wqww" hidden="1">#REF!</definedName>
    <definedName name="wrm" localSheetId="0" hidden="1">{#N/A,#N/A,FALSE,"JACKETS (1100 t) (1)"}</definedName>
    <definedName name="wrm" hidden="1">{#N/A,#N/A,FALSE,"JACKETS (1100 t) (1)"}</definedName>
    <definedName name="wrn.1._.SUMS._.w._.DF." localSheetId="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Plant";"sum 1 overall",#N/A,TRUE,"Sum - Overall";"sum 3100",#N/A,TRUE,"Sum-BP Inlet 3100";"DF 3100",#N/A,TRUE,"D-Fac BP Inlet 3100";"sum 3200",#N/A,TRUE,"Sum-BP Dehy 3200";"DF 3200",#N/A,TRUE,"D-Fac BP Dehy 3200";"sum 3300",#N/A,TRUE,"Sum-Bulk CO2 3300";"DF 3300",#N/A,TRUE,"D-Fac Bulk CO2 3300";"sum 3400",#N/A,TRUE,"Sum-Recomp 3400";"DF 3400",#N/A,TRUE,"D-Fac Recomp 3400";"sum 3500",#N/A,TRUE,"Sum-Bulk CO2 Refrig 3500";"DF 3500",#N/A,TRUE,"D-Fac Bulk CO2 Refrig 3500";"sum 4100",#N/A,TRUE,"Sum-BP Selexol 4100";"DF 4100",#N/A,TRUE,"D-Fac BP Selexol 4100";"sum 4200",#N/A,TRUE,"Sum-BP Recy Comp 4200";"DF 4200",#N/A,TRUE,"D-Fac BP Recy Comp 4200";"sum 4400",#N/A,TRUE,"Sum-Expander 4400";"DF 4400",#N/A,TRUE,"D-Fac Expander 4400";"sum 5000",#N/A,TRUE,"Sum-Sour Fluid Inj 5000";"DF 5000",#N/A,TRUE,"D-Fac Sour Fluid Inj 5000";"sum 6000",#N/A,TRUE,"Sum-BP Utilities 6000";"DF 6000",#N/A,TRUE,"D-Fac BP Utilities 6000";"int sctf 3200",#N/A,TRUE,"Sum-SCTF-New Meth 3200";"DF sctf 3200",#N/A,TRUE,"D-Fac SCTF-New Meth 3200";"sum sctf 3300",#N/A,TRUE,"Sum-SCTF-CO2 Compr 3300";"DF sctf 3300",#N/A,TRUE,"D-Fac SCTF-CO2 Compr 3300";"sum sctf 4100",#N/A,TRUE,"Sum-SCTF-Selexol CO2 4100";"DF sctf 4100",#N/A,TRUE,"D-Fac SCTF-Selexol CO2 4100";"sum sctf 4200",#N/A,TRUE,"Sum-SCTF-New Mol S 4200";"DF sctf 4200",#N/A,TRUE,"D-Fac SCTF-New Mol S 4200";"sum sctf 4300",#N/A,TRUE,"Sum-SCTF-New NRU 4300";"DF sctf 4300",#N/A,TRUE,"D-Fac SCTF-New NRU 4300";"sum sctf 4900",#N/A,TRUE,"Sum-SCTF-Cogen Comp 4900";"DF sctf 4900",#N/A,TRUE,"D-Fac SCTF-Cogen Compr 4900";"sum sctf 5600",#N/A,TRUE,"Sum-SCTF-Utilities 5600";"DF sctf 5600",#N/A,TRUE,"D-Fac SCTF-Utilities 5600";"sum sctf 7500",#N/A,TRUE,"Sum-SCTF-New He 7500";"DF sctf 7500",#N/A,TRUE,"D-Fac SCTF-New He 7500";"sum sctf 8 mods",#N/A,TRUE,"Sum-SCTF Mods";"DF sctf 8",#N/A,TRUE,"D-Fac SCTF Mods"}</definedName>
    <definedName name="wrn.1._.SUMS._.w._.DF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Plant";"sum 1 overall",#N/A,TRUE,"Sum - Overall";"sum 3100",#N/A,TRUE,"Sum-BP Inlet 3100";"DF 3100",#N/A,TRUE,"D-Fac BP Inlet 3100";"sum 3200",#N/A,TRUE,"Sum-BP Dehy 3200";"DF 3200",#N/A,TRUE,"D-Fac BP Dehy 3200";"sum 3300",#N/A,TRUE,"Sum-Bulk CO2 3300";"DF 3300",#N/A,TRUE,"D-Fac Bulk CO2 3300";"sum 3400",#N/A,TRUE,"Sum-Recomp 3400";"DF 3400",#N/A,TRUE,"D-Fac Recomp 3400";"sum 3500",#N/A,TRUE,"Sum-Bulk CO2 Refrig 3500";"DF 3500",#N/A,TRUE,"D-Fac Bulk CO2 Refrig 3500";"sum 4100",#N/A,TRUE,"Sum-BP Selexol 4100";"DF 4100",#N/A,TRUE,"D-Fac BP Selexol 4100";"sum 4200",#N/A,TRUE,"Sum-BP Recy Comp 4200";"DF 4200",#N/A,TRUE,"D-Fac BP Recy Comp 4200";"sum 4400",#N/A,TRUE,"Sum-Expander 4400";"DF 4400",#N/A,TRUE,"D-Fac Expander 4400";"sum 5000",#N/A,TRUE,"Sum-Sour Fluid Inj 5000";"DF 5000",#N/A,TRUE,"D-Fac Sour Fluid Inj 5000";"sum 6000",#N/A,TRUE,"Sum-BP Utilities 6000";"DF 6000",#N/A,TRUE,"D-Fac BP Utilities 6000";"int sctf 3200",#N/A,TRUE,"Sum-SCTF-New Meth 3200";"DF sctf 3200",#N/A,TRUE,"D-Fac SCTF-New Meth 3200";"sum sctf 3300",#N/A,TRUE,"Sum-SCTF-CO2 Compr 3300";"DF sctf 3300",#N/A,TRUE,"D-Fac SCTF-CO2 Compr 3300";"sum sctf 4100",#N/A,TRUE,"Sum-SCTF-Selexol CO2 4100";"DF sctf 4100",#N/A,TRUE,"D-Fac SCTF-Selexol CO2 4100";"sum sctf 4200",#N/A,TRUE,"Sum-SCTF-New Mol S 4200";"DF sctf 4200",#N/A,TRUE,"D-Fac SCTF-New Mol S 4200";"sum sctf 4300",#N/A,TRUE,"Sum-SCTF-New NRU 4300";"DF sctf 4300",#N/A,TRUE,"D-Fac SCTF-New NRU 4300";"sum sctf 4900",#N/A,TRUE,"Sum-SCTF-Cogen Comp 4900";"DF sctf 4900",#N/A,TRUE,"D-Fac SCTF-Cogen Compr 4900";"sum sctf 5600",#N/A,TRUE,"Sum-SCTF-Utilities 5600";"DF sctf 5600",#N/A,TRUE,"D-Fac SCTF-Utilities 5600";"sum sctf 7500",#N/A,TRUE,"Sum-SCTF-New He 7500";"DF sctf 7500",#N/A,TRUE,"D-Fac SCTF-New He 7500";"sum sctf 8 mods",#N/A,TRUE,"Sum-SCTF Mods";"DF sctf 8",#N/A,TRUE,"D-Fac SCTF Mods"}</definedName>
    <definedName name="wrn.1998._.CAF._.Results." localSheetId="0" hidden="1">{#N/A,#N/A,TRUE,"Total CAF Charts";#N/A,#N/A,TRUE,"Total CAF Charts (3)";#N/A,#N/A,TRUE,"CAF Technical Charts";#N/A,#N/A,TRUE,"CAF Support Charts";#N/A,#N/A,TRUE,"Opns Tech Charts";#N/A,#N/A,TRUE,"Other CAF KPI Charts"}</definedName>
    <definedName name="wrn.1998._.CAF._.Results." hidden="1">{#N/A,#N/A,TRUE,"Total CAF Charts";#N/A,#N/A,TRUE,"Total CAF Charts (3)";#N/A,#N/A,TRUE,"CAF Technical Charts";#N/A,#N/A,TRUE,"CAF Support Charts";#N/A,#N/A,TRUE,"Opns Tech Charts";#N/A,#N/A,TRUE,"Other CAF KPI Charts"}</definedName>
    <definedName name="wrn.1st._.qtr." localSheetId="0" hidden="1">{"COVER",#N/A,FALSE,"EARNINGS_VOLUMES";"ACTQTR",#N/A,FALSE,"EARNINGS_VOLUMES";"PRIOR QTR",#N/A,FALSE,"EARNINGS_VOLUMES";"UPDATE",#N/A,FALSE,"EARNINGS_VOLUMES";"FORECAST",#N/A,FALSE,"EARNINGS_VOLUMES";#N/A,#N/A,FALSE,"OPEX"}</definedName>
    <definedName name="wrn.1st._.qtr." hidden="1">{"COVER",#N/A,FALSE,"EARNINGS_VOLUMES";"ACTQTR",#N/A,FALSE,"EARNINGS_VOLUMES";"PRIOR QTR",#N/A,FALSE,"EARNINGS_VOLUMES";"UPDATE",#N/A,FALSE,"EARNINGS_VOLUMES";"FORECAST",#N/A,FALSE,"EARNINGS_VOLUMES";#N/A,#N/A,FALSE,"OPEX"}</definedName>
    <definedName name="wrn.1st_.qtr.1" localSheetId="0" hidden="1">{"COVER",#N/A,FALSE,"EARNINGS_VOLUMES";"ACTQTR",#N/A,FALSE,"EARNINGS_VOLUMES";"PRIOR QTR",#N/A,FALSE,"EARNINGS_VOLUMES";"UPDATE",#N/A,FALSE,"EARNINGS_VOLUMES";"FORECAST",#N/A,FALSE,"EARNINGS_VOLUMES";#N/A,#N/A,FALSE,"OPEX"}</definedName>
    <definedName name="wrn.1st_.qtr.1" hidden="1">{"COVER",#N/A,FALSE,"EARNINGS_VOLUMES";"ACTQTR",#N/A,FALSE,"EARNINGS_VOLUMES";"PRIOR QTR",#N/A,FALSE,"EARNINGS_VOLUMES";"UPDATE",#N/A,FALSE,"EARNINGS_VOLUMES";"FORECAST",#N/A,FALSE,"EARNINGS_VOLUMES";#N/A,#N/A,FALSE,"OPEX"}</definedName>
    <definedName name="wrn.2._.INT._.w._.DF." localSheetId="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wrn.2._.INT._.w._.DF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wrn.3._.overall." localSheetId="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Plant"}</definedName>
    <definedName name="wrn.3._.overall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Plant"}</definedName>
    <definedName name="wrn.4._.SUMS._.ALL." localSheetId="0" hidden="1">{"sum 1 overall",#N/A,TRUE,"Sum - Overall";"sum 3100",#N/A,TRUE,"Sum-BP Inlet 3100";"sum 3200",#N/A,TRUE,"Sum-BP Dehy 3200";"sum 3300",#N/A,TRUE,"Sum-Bulk CO2 3300";"sum 3400",#N/A,TRUE,"Sum-Recomp 3400";"sum 3500",#N/A,TRUE,"Sum-Bulk CO2 Refrig 3500";"sum 4100",#N/A,TRUE,"Sum-BP Selexol 4100";"sum 4200",#N/A,TRUE,"Sum-BP Recy Comp 4200";"sum 4400",#N/A,TRUE,"Sum-Expander 4400";"sum 5000",#N/A,TRUE,"Sum-Sour Fluid Inj 5000";"sum 6000",#N/A,TRUE,"Sum-BP Utilities 6000";"sum sctf 3200",#N/A,TRUE,"Sum-SCTF-New Meth 3200";"sum sctf 3300",#N/A,TRUE,"Sum-SCTF-CO2 Compr 3300";"sum sctf 4100",#N/A,TRUE,"Sum-SCTF-Selexol CO2 4100";"sum sctf 4200",#N/A,TRUE,"Sum-SCTF-New Mol S 4200";"sum sctf 4300",#N/A,TRUE,"Sum-SCTF-New NRU 4300";"sum sctf 4900",#N/A,TRUE,"Sum-SCTF-Cogen Comp 4900";"sum sctf 5600",#N/A,TRUE,"Sum-SCTF-Utilities 5600";"sum sctf 7500",#N/A,TRUE,"Sum-SCTF-New He 7500";"sum sctf 8 mods",#N/A,TRUE,"Sum-SCTF Mods"}</definedName>
    <definedName name="wrn.4._.SUMS._.ALL." hidden="1">{"sum 1 overall",#N/A,TRUE,"Sum - Overall";"sum 3100",#N/A,TRUE,"Sum-BP Inlet 3100";"sum 3200",#N/A,TRUE,"Sum-BP Dehy 3200";"sum 3300",#N/A,TRUE,"Sum-Bulk CO2 3300";"sum 3400",#N/A,TRUE,"Sum-Recomp 3400";"sum 3500",#N/A,TRUE,"Sum-Bulk CO2 Refrig 3500";"sum 4100",#N/A,TRUE,"Sum-BP Selexol 4100";"sum 4200",#N/A,TRUE,"Sum-BP Recy Comp 4200";"sum 4400",#N/A,TRUE,"Sum-Expander 4400";"sum 5000",#N/A,TRUE,"Sum-Sour Fluid Inj 5000";"sum 6000",#N/A,TRUE,"Sum-BP Utilities 6000";"sum sctf 3200",#N/A,TRUE,"Sum-SCTF-New Meth 3200";"sum sctf 3300",#N/A,TRUE,"Sum-SCTF-CO2 Compr 3300";"sum sctf 4100",#N/A,TRUE,"Sum-SCTF-Selexol CO2 4100";"sum sctf 4200",#N/A,TRUE,"Sum-SCTF-New Mol S 4200";"sum sctf 4300",#N/A,TRUE,"Sum-SCTF-New NRU 4300";"sum sctf 4900",#N/A,TRUE,"Sum-SCTF-Cogen Comp 4900";"sum sctf 5600",#N/A,TRUE,"Sum-SCTF-Utilities 5600";"sum sctf 7500",#N/A,TRUE,"Sum-SCTF-New He 7500";"sum sctf 8 mods",#N/A,TRUE,"Sum-SCTF Mods"}</definedName>
    <definedName name="wrn.5._.INT._.ALL." localSheetId="0" hidden="1">{"int 1 overall",#N/A,TRUE,"INT Summary - Overall";"int 3100",#N/A,TRUE,"INT Sum BP Inlet 3100";"int 3200",#N/A,TRUE,"INT Sum BP Dehy 3200";"int 3300",#N/A,TRUE,"INT Sum Bulk CO2 3300";"int 3400",#N/A,TRUE,"INT Sum Recomp 3400";"int 3500",#N/A,TRUE,"INT Sum Bulk CO2 Refrig 3500";"int 4100",#N/A,TRUE,"INT Sum BP Selexol 4100";"int 4200",#N/A,TRUE,"INT Sum BP Recy Comp 4200";"int 4400",#N/A,TRUE,"INT Sum Expander 4400";"int 5000",#N/A,TRUE,"INT Sum Sour Fluid Inj 5000";"int 6000",#N/A,TRUE,"INT Sum BP Utilities 6000";"int sctf 3200",#N/A,TRUE,"INT Sum SCTF-New Meth 3200";"int sctf 3300",#N/A,TRUE,"INT Sum SCTF-CO2 Compr 3300";"int sctf 4100",#N/A,TRUE,"Int Sum SCTF-Selexol CO2 4100";"int sctf 4200",#N/A,TRUE,"INT Sum SCTF-New Mol S 4200";"int sctf 4300",#N/A,TRUE,"INT Sum SCTF-New NRU 4300";"int sctf 4900",#N/A,TRUE,"INT Sum SCTF-Cogen Comp 4900";"int sctf 5600",#N/A,TRUE,"INT Sum SCTF-Utilities 5600";"int sctf 7500",#N/A,TRUE,"INT Sum SCTF-New He 7500";"int sctf 8 mods",#N/A,TRUE,"INT Sum SCTF Mods"}</definedName>
    <definedName name="wrn.5._.INT._.ALL." hidden="1">{"int 1 overall",#N/A,TRUE,"INT Summary - Overall";"int 3100",#N/A,TRUE,"INT Sum BP Inlet 3100";"int 3200",#N/A,TRUE,"INT Sum BP Dehy 3200";"int 3300",#N/A,TRUE,"INT Sum Bulk CO2 3300";"int 3400",#N/A,TRUE,"INT Sum Recomp 3400";"int 3500",#N/A,TRUE,"INT Sum Bulk CO2 Refrig 3500";"int 4100",#N/A,TRUE,"INT Sum BP Selexol 4100";"int 4200",#N/A,TRUE,"INT Sum BP Recy Comp 4200";"int 4400",#N/A,TRUE,"INT Sum Expander 4400";"int 5000",#N/A,TRUE,"INT Sum Sour Fluid Inj 5000";"int 6000",#N/A,TRUE,"INT Sum BP Utilities 6000";"int sctf 3200",#N/A,TRUE,"INT Sum SCTF-New Meth 3200";"int sctf 3300",#N/A,TRUE,"INT Sum SCTF-CO2 Compr 3300";"int sctf 4100",#N/A,TRUE,"Int Sum SCTF-Selexol CO2 4100";"int sctf 4200",#N/A,TRUE,"INT Sum SCTF-New Mol S 4200";"int sctf 4300",#N/A,TRUE,"INT Sum SCTF-New NRU 4300";"int sctf 4900",#N/A,TRUE,"INT Sum SCTF-Cogen Comp 4900";"int sctf 5600",#N/A,TRUE,"INT Sum SCTF-Utilities 5600";"int sctf 7500",#N/A,TRUE,"INT Sum SCTF-New He 7500";"int sctf 8 mods",#N/A,TRUE,"INT Sum SCTF Mods"}</definedName>
    <definedName name="wrn.6._.DFac." localSheetId="0" hidden="1">{"DF 3100",#N/A,TRUE,"Sum-BP Inlet 3100";"DF 3200",#N/A,TRUE,"D-Fac BP Dehy 3200";"DF 3300",#N/A,TRUE,"D-Fac Bulk CO2 3300";"DF 3400",#N/A,TRUE,"D-Fac Recomp 3400";"DF 3500",#N/A,TRUE,"D-Fac Bulk CO2 Refrig 3500";"DF 4100",#N/A,TRUE,"D-Fac BP Selexol 4100";"DF 4200",#N/A,TRUE,"D-Fac BP Recy Comp 4200";"DF 4400",#N/A,TRUE,"D-Fac Expander 4400";"DF 5000",#N/A,TRUE,"D-Fac Sour Fluid Inj 5000";"DF 6000",#N/A,TRUE,"D-Fac BP Utilities 6000";"DF sctf 3200",#N/A,TRUE,"D-Fac SCTF-New Meth 3200";"DF sctf 3300",#N/A,TRUE,"D-Fac SCTF-CO2 Compr 3300";"DF sctf 4100",#N/A,TRUE,"D-Fac SCTF-Selexol CO2 4100";"DF sctf 4200",#N/A,TRUE,"D-Fac SCTF-New Mol S 4200";"DF sctf 4300",#N/A,TRUE,"D-Fac SCTF-New NRU 4300";"DF sctf 4900",#N/A,TRUE,"D-Fac SCTF-Cogen Compr 4900";"DF sctf 5600",#N/A,TRUE,"D-Fac SCTF-Utilities 5600";"DF sctf 7500",#N/A,TRUE,"D-Fac SCTF-New He 7500";"DF sctf 8",#N/A,TRUE,"D-Fac SCTF Mods"}</definedName>
    <definedName name="wrn.6._.DFac." hidden="1">{"DF 3100",#N/A,TRUE,"Sum-BP Inlet 3100";"DF 3200",#N/A,TRUE,"D-Fac BP Dehy 3200";"DF 3300",#N/A,TRUE,"D-Fac Bulk CO2 3300";"DF 3400",#N/A,TRUE,"D-Fac Recomp 3400";"DF 3500",#N/A,TRUE,"D-Fac Bulk CO2 Refrig 3500";"DF 4100",#N/A,TRUE,"D-Fac BP Selexol 4100";"DF 4200",#N/A,TRUE,"D-Fac BP Recy Comp 4200";"DF 4400",#N/A,TRUE,"D-Fac Expander 4400";"DF 5000",#N/A,TRUE,"D-Fac Sour Fluid Inj 5000";"DF 6000",#N/A,TRUE,"D-Fac BP Utilities 6000";"DF sctf 3200",#N/A,TRUE,"D-Fac SCTF-New Meth 3200";"DF sctf 3300",#N/A,TRUE,"D-Fac SCTF-CO2 Compr 3300";"DF sctf 4100",#N/A,TRUE,"D-Fac SCTF-Selexol CO2 4100";"DF sctf 4200",#N/A,TRUE,"D-Fac SCTF-New Mol S 4200";"DF sctf 4300",#N/A,TRUE,"D-Fac SCTF-New NRU 4300";"DF sctf 4900",#N/A,TRUE,"D-Fac SCTF-Cogen Compr 4900";"DF sctf 5600",#N/A,TRUE,"D-Fac SCTF-Utilities 5600";"DF sctf 7500",#N/A,TRUE,"D-Fac SCTF-New He 7500";"DF sctf 8",#N/A,TRUE,"D-Fac SCTF Mods"}</definedName>
    <definedName name="wrn.95PB._.Recap." localSheetId="0" hidden="1">{#N/A,#N/A,FALSE,"Liq_96PB";#N/A,#N/A,FALSE,"Gas_95PB";#N/A,#N/A,FALSE,"LiqIncrUp_96PB";#N/A,#N/A,FALSE,"LiqIncrDn_95PB";#N/A,#N/A,FALSE,"LiqUp_95PB";#N/A,#N/A,FALSE,"LiqDn_95PB"}</definedName>
    <definedName name="wrn.95PB._.Recap." hidden="1">{#N/A,#N/A,FALSE,"Liq_96PB";#N/A,#N/A,FALSE,"Gas_95PB";#N/A,#N/A,FALSE,"LiqIncrUp_96PB";#N/A,#N/A,FALSE,"LiqIncrDn_95PB";#N/A,#N/A,FALSE,"LiqUp_95PB";#N/A,#N/A,FALSE,"LiqDn_95PB"}</definedName>
    <definedName name="wrn.97._.Service._.Fee._.Outlook." localSheetId="0" hidden="1">{"Cost Allocation",#N/A,FALSE,"97OL";"Summary",#N/A,FALSE,"97OL";"Affiliate Summary",#N/A,FALSE,"97OL";"Formula",#N/A,FALSE,"97OL";"Billing",#N/A,FALSE,"97OL"}</definedName>
    <definedName name="wrn.97._.Service._.Fee._.Outlook." hidden="1">{"Cost Allocation",#N/A,FALSE,"97OL";"Summary",#N/A,FALSE,"97OL";"Affiliate Summary",#N/A,FALSE,"97OL";"Formula",#N/A,FALSE,"97OL";"Billing",#N/A,FALSE,"97OL"}</definedName>
    <definedName name="wrn.A._.Key._.Par._.Sheets." localSheetId="0" hidden="1">{#N/A,#N/A,FALSE,"DB";#N/A,#N/A,FALSE,"Seg Earns";#N/A,#N/A,FALSE,"Norm Earns 05 bas";#N/A,#N/A,FALSE,"EFA Bal Sum";#N/A,#N/A,FALSE,"CE DB";#N/A,#N/A,FALSE,"ROCE Seg Earns";#N/A,#N/A,FALSE,"YE CE EM Share";#N/A,#N/A,FALSE,"NCG DB";#N/A,#N/A,FALSE,"Net Cash Gen"}</definedName>
    <definedName name="wrn.A._.Key._.Par._.Sheets." hidden="1">{#N/A,#N/A,FALSE,"DB";#N/A,#N/A,FALSE,"Seg Earns";#N/A,#N/A,FALSE,"Norm Earns 05 bas";#N/A,#N/A,FALSE,"EFA Bal Sum";#N/A,#N/A,FALSE,"CE DB";#N/A,#N/A,FALSE,"ROCE Seg Earns";#N/A,#N/A,FALSE,"YE CE EM Share";#N/A,#N/A,FALSE,"NCG DB";#N/A,#N/A,FALSE,"Net Cash Gen"}</definedName>
    <definedName name="wrn.AFFILIATE._.ALLOCATION." localSheetId="0" hidden="1">{#N/A,#N/A,TRUE,"Outlook";#N/A,#N/A,TRUE,"AffAlloc"}</definedName>
    <definedName name="wrn.AFFILIATE._.ALLOCATION." hidden="1">{#N/A,#N/A,TRUE,"Outlook";#N/A,#N/A,TRUE,"AffAlloc"}</definedName>
    <definedName name="wrn.Affiliate._.Detail." localSheetId="0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wrn.Affiliate._.Detail." hidden="1">{#N/A,#N/A,TRUE,"TOTAL";#N/A,#N/A,TRUE,"ProdAff";#N/A,#N/A,TRUE,"NonProdAff";#N/A,#N/A,TRUE,"Check";#N/A,#N/A,TRUE,"ABU";#N/A,#N/A,TRUE,"AUS";#N/A,#N/A,TRUE,"COL";#N/A,#N/A,TRUE,"EGY";#N/A,#N/A,TRUE,"FRA";#N/A,#N/A,TRUE,"GER";#N/A,#N/A,TRUE,"JAP";#N/A,#N/A,TRUE,"PTS";#N/A,#N/A,TRUE,"MAL";#N/A,#N/A,TRUE,"NL";#N/A,#N/A,TRUE,"NOR";#N/A,#N/A,TRUE,"THA";#N/A,#N/A,TRUE,"UK";#N/A,#N/A,TRUE,"YMO";#N/A,#N/A,TRUE,"OTH";#N/A,#N/A,TRUE,"CHA";#N/A,#N/A,TRUE,"CIS";#N/A,#N/A,TRUE,"NAT";#N/A,#N/A,TRUE,"PNG";#N/A,#N/A,TRUE,"QAT";#N/A,#N/A,TRUE,"VHO";#N/A,#N/A,TRUE,"VLG";#N/A,#N/A,TRUE,"YMG";#N/A,#N/A,TRUE,"APL";#N/A,#N/A,TRUE,"EEC";#N/A,#N/A,TRUE,"HQ"}</definedName>
    <definedName name="wrn.All._.Affiliates.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1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1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CE._.P._.Sheets." localSheetId="0" hidden="1">{#N/A,#N/A,FALSE,"CE DB";#N/A,#N/A,FALSE,"ROCE Seg Earns";#N/A,#N/A,FALSE,"ROCE Norm Earn 04 bas";#N/A,#N/A,FALSE,"YE CE EM Share";#N/A,#N/A,FALSE,"CE Fac An 02 Ac_03 YEO";#N/A,#N/A,FALSE,"CE Fac An 03 STWD_03 YEO";#N/A,#N/A,FALSE,"CE Fac An 03 YEO_04 FC";#N/A,#N/A,FALSE,"CE Fac An 04 FC_05 FC";#N/A,#N/A,FALSE,"ROCE NCG 01 Act to 02 Act";#N/A,#N/A,FALSE,"YE CE Cash &amp; Mrkt Sec.";#N/A,#N/A,FALSE,"YE CE Inv";#N/A,#N/A,FALSE,"YE CE Trade Rec.";#N/A,#N/A,FALSE,"YE CE Oth Op Wrk Cap";#N/A,#N/A,FALSE,"YE CE Acct Payables";#N/A,#N/A,FALSE,"YE CE Net PPE";#N/A,#N/A,FALSE,"YE CE Oth";#N/A,#N/A,FALSE,"YE CE Min Sh";#N/A,#N/A,FALSE,"CE EMOP";#N/A,#N/A,FALSE,"CE OBO"}</definedName>
    <definedName name="wrn.ALL._.CE._.P._.Sheets." hidden="1">{#N/A,#N/A,FALSE,"CE DB";#N/A,#N/A,FALSE,"ROCE Seg Earns";#N/A,#N/A,FALSE,"ROCE Norm Earn 04 bas";#N/A,#N/A,FALSE,"YE CE EM Share";#N/A,#N/A,FALSE,"CE Fac An 02 Ac_03 YEO";#N/A,#N/A,FALSE,"CE Fac An 03 STWD_03 YEO";#N/A,#N/A,FALSE,"CE Fac An 03 YEO_04 FC";#N/A,#N/A,FALSE,"CE Fac An 04 FC_05 FC";#N/A,#N/A,FALSE,"ROCE NCG 01 Act to 02 Act";#N/A,#N/A,FALSE,"YE CE Cash &amp; Mrkt Sec.";#N/A,#N/A,FALSE,"YE CE Inv";#N/A,#N/A,FALSE,"YE CE Trade Rec.";#N/A,#N/A,FALSE,"YE CE Oth Op Wrk Cap";#N/A,#N/A,FALSE,"YE CE Acct Payables";#N/A,#N/A,FALSE,"YE CE Net PPE";#N/A,#N/A,FALSE,"YE CE Oth";#N/A,#N/A,FALSE,"YE CE Min Sh";#N/A,#N/A,FALSE,"CE EMOP";#N/A,#N/A,FALSE,"CE OBO"}</definedName>
    <definedName name="wrn.Attachments._.in._.Dollars." localSheetId="0" hidden="1">{#N/A,#N/A,FALSE,"M - Cost Summary";#N/A,#N/A,FALSE,"M - Other Indirects";#N/A,#N/A,FALSE,"M - Project Implementation Ser.";#N/A,#N/A,FALSE,"M - Owner's Costs";#N/A,#N/A,FALSE,"M - Unit TEC Costs";#N/A,#N/A,FALSE,"Expense";"D Expenditure Profile",#N/A,FALSE,"Expenditure Profile";#N/A,#N/A,FALSE,"Schedule"}</definedName>
    <definedName name="wrn.Attachments._.in._.Dollars." hidden="1">{#N/A,#N/A,FALSE,"M - Cost Summary";#N/A,#N/A,FALSE,"M - Other Indirects";#N/A,#N/A,FALSE,"M - Project Implementation Ser.";#N/A,#N/A,FALSE,"M - Owner's Costs";#N/A,#N/A,FALSE,"M - Unit TEC Costs";#N/A,#N/A,FALSE,"Expense";"D Expenditure Profile",#N/A,FALSE,"Expenditure Profile";#N/A,#N/A,FALSE,"Schedule"}</definedName>
    <definedName name="wrn.Attachments._.in._.Dollars._1" localSheetId="0" hidden="1">{#N/A,#N/A,FALSE,"M - Cost Summary";#N/A,#N/A,FALSE,"M - Other Indirects";#N/A,#N/A,FALSE,"M - Project Implementation Ser.";#N/A,#N/A,FALSE,"M - Owner's Costs";#N/A,#N/A,FALSE,"M - Unit TEC Costs";#N/A,#N/A,FALSE,"Expense";"D Expenditure Profile",#N/A,FALSE,"Expenditure Profile";#N/A,#N/A,FALSE,"Schedule"}</definedName>
    <definedName name="wrn.Attachments._.in._.Dollars._1" hidden="1">{#N/A,#N/A,FALSE,"M - Cost Summary";#N/A,#N/A,FALSE,"M - Other Indirects";#N/A,#N/A,FALSE,"M - Project Implementation Ser.";#N/A,#N/A,FALSE,"M - Owner's Costs";#N/A,#N/A,FALSE,"M - Unit TEC Costs";#N/A,#N/A,FALSE,"Expense";"D Expenditure Profile",#N/A,FALSE,"Expenditure Profile";#N/A,#N/A,FALSE,"Schedule"}</definedName>
    <definedName name="wrn.Attachments._.in._.Local._.Currency." localSheetId="0" hidden="1">{"Other Indirect Costs - Local Currency",#N/A,FALSE,"M - Other Indirects - Loc. Cur.";"Project Implementation Services - Local Currency",#N/A,FALSE,"M - Other Indirects - Loc. Cur.";"Owner's Costs - Local Currency",#N/A,FALSE,"M - Other Indirects - Loc. Cur.";"TEC Summary - Loc. Cur.",#N/A,FALSE,"M - Other Indirects - Loc. Cur.";"Unit Prorata TEC Capital Costs - Local Currency",#N/A,FALSE,"M - Other Indirects - Loc. Cur.";"Expenditure Profile - Loc. Cur.",#N/A,FALSE,"M - Other Indirects - Loc. Cur.";"Capital Expense Split - Loc. Cur.",#N/A,FALSE,"M - Other Indirects - Loc. Cur."}</definedName>
    <definedName name="wrn.Attachments._.in._.Local._.Currency." hidden="1">{"Other Indirect Costs - Local Currency",#N/A,FALSE,"M - Other Indirects - Loc. Cur.";"Project Implementation Services - Local Currency",#N/A,FALSE,"M - Other Indirects - Loc. Cur.";"Owner's Costs - Local Currency",#N/A,FALSE,"M - Other Indirects - Loc. Cur.";"TEC Summary - Loc. Cur.",#N/A,FALSE,"M - Other Indirects - Loc. Cur.";"Unit Prorata TEC Capital Costs - Local Currency",#N/A,FALSE,"M - Other Indirects - Loc. Cur.";"Expenditure Profile - Loc. Cur.",#N/A,FALSE,"M - Other Indirects - Loc. Cur.";"Capital Expense Split - Loc. Cur.",#N/A,FALSE,"M - Other Indirects - Loc. Cur."}</definedName>
    <definedName name="wrn.Attachments._.in._.Local._.Currency._1" localSheetId="0" hidden="1">{"Other Indirect Costs - Local Currency",#N/A,FALSE,"M - Other Indirects - Loc. Cur.";"Project Implementation Services - Local Currency",#N/A,FALSE,"M - Other Indirects - Loc. Cur.";"Owner's Costs - Local Currency",#N/A,FALSE,"M - Other Indirects - Loc. Cur.";"TEC Summary - Loc. Cur.",#N/A,FALSE,"M - Other Indirects - Loc. Cur.";"Unit Prorata TEC Capital Costs - Local Currency",#N/A,FALSE,"M - Other Indirects - Loc. Cur.";"Expenditure Profile - Loc. Cur.",#N/A,FALSE,"M - Other Indirects - Loc. Cur.";"Capital Expense Split - Loc. Cur.",#N/A,FALSE,"M - Other Indirects - Loc. Cur."}</definedName>
    <definedName name="wrn.Attachments._.in._.Local._.Currency._1" hidden="1">{"Other Indirect Costs - Local Currency",#N/A,FALSE,"M - Other Indirects - Loc. Cur.";"Project Implementation Services - Local Currency",#N/A,FALSE,"M - Other Indirects - Loc. Cur.";"Owner's Costs - Local Currency",#N/A,FALSE,"M - Other Indirects - Loc. Cur.";"TEC Summary - Loc. Cur.",#N/A,FALSE,"M - Other Indirects - Loc. Cur.";"Unit Prorata TEC Capital Costs - Local Currency",#N/A,FALSE,"M - Other Indirects - Loc. Cur.";"Expenditure Profile - Loc. Cur.",#N/A,FALSE,"M - Other Indirects - Loc. Cur.";"Capital Expense Split - Loc. Cur.",#N/A,FALSE,"M - Other Indirects - Loc. Cur."}</definedName>
    <definedName name="wrn.Attachments._.in._.USDL." localSheetId="0" hidden="1">{"Other Indirect Costs - USDL",#N/A,FALSE,"M - Cost Summary";"Project Implementation Services - USDL",#N/A,FALSE,"M - Cost Summary";"Owner's Costs - USDL",#N/A,FALSE,"M - Cost Summary";"TEC Summary - USDL",#N/A,FALSE,"M - Cost Summary";"Unit Prorata TEC Capital Costs",#N/A,FALSE,"M - Cost Summary";"Expenditure Profile - USDL",#N/A,FALSE,"M - Cost Summary";"Capital Expense Split - USDL",#N/A,FALSE,"M - Cost Summary"}</definedName>
    <definedName name="wrn.Attachments._.in._.USDL." hidden="1">{"Other Indirect Costs - USDL",#N/A,FALSE,"M - Cost Summary";"Project Implementation Services - USDL",#N/A,FALSE,"M - Cost Summary";"Owner's Costs - USDL",#N/A,FALSE,"M - Cost Summary";"TEC Summary - USDL",#N/A,FALSE,"M - Cost Summary";"Unit Prorata TEC Capital Costs",#N/A,FALSE,"M - Cost Summary";"Expenditure Profile - USDL",#N/A,FALSE,"M - Cost Summary";"Capital Expense Split - USDL",#N/A,FALSE,"M - Cost Summary"}</definedName>
    <definedName name="wrn.Attachments._.in._.USDL._1" localSheetId="0" hidden="1">{"Other Indirect Costs - USDL",#N/A,FALSE,"M - Cost Summary";"Project Implementation Services - USDL",#N/A,FALSE,"M - Cost Summary";"Owner's Costs - USDL",#N/A,FALSE,"M - Cost Summary";"TEC Summary - USDL",#N/A,FALSE,"M - Cost Summary";"Unit Prorata TEC Capital Costs",#N/A,FALSE,"M - Cost Summary";"Expenditure Profile - USDL",#N/A,FALSE,"M - Cost Summary";"Capital Expense Split - USDL",#N/A,FALSE,"M - Cost Summary"}</definedName>
    <definedName name="wrn.Attachments._.in._.USDL._1" hidden="1">{"Other Indirect Costs - USDL",#N/A,FALSE,"M - Cost Summary";"Project Implementation Services - USDL",#N/A,FALSE,"M - Cost Summary";"Owner's Costs - USDL",#N/A,FALSE,"M - Cost Summary";"TEC Summary - USDL",#N/A,FALSE,"M - Cost Summary";"Unit Prorata TEC Capital Costs",#N/A,FALSE,"M - Cost Summary";"Expenditure Profile - USDL",#N/A,FALSE,"M - Cost Summary";"Capital Expense Split - USDL",#N/A,FALSE,"M - Cost Summary"}</definedName>
    <definedName name="wrn.CapersPlotter." localSheetId="0" hidden="1">{#N/A,#N/A,FALSE,"DI 2 YEAR MASTER SCHEDULE"}</definedName>
    <definedName name="wrn.CapersPlotter." hidden="1">{#N/A,#N/A,FALSE,"DI 2 YEAR MASTER SCHEDULE"}</definedName>
    <definedName name="wrn.Capex._.Sheet." localSheetId="0" hidden="1">{"Capex Table",#N/A,FALSE,"CAPEX";"Capex YTD",#N/A,FALSE,"CAPEX";"Capex Forex",#N/A,FALSE,"CAPEX";"Capex Gas",#N/A,FALSE,"CAPEX"}</definedName>
    <definedName name="wrn.Capex._.Sheet." hidden="1">{"Capex Table",#N/A,FALSE,"CAPEX";"Capex YTD",#N/A,FALSE,"CAPEX";"Capex Forex",#N/A,FALSE,"CAPEX";"Capex Gas",#N/A,FALSE,"CAPEX"}</definedName>
    <definedName name="wrn.CE._.components." localSheetId="0" hidden="1">{#N/A,#N/A,FALSE,"CE DB";#N/A,#N/A,FALSE,"YE CE Cash &amp; Mrkt Sec.";#N/A,#N/A,FALSE,"YE CE Inventories";#N/A,#N/A,FALSE,"YE CE Trade Rec.";#N/A,#N/A,FALSE,"YE CE Acct Payables";#N/A,#N/A,FALSE,"YE CE Other Opr. Working Cap.";#N/A,#N/A,FALSE,"YE CE Oth";#N/A,#N/A,FALSE,"YE CE Net PPE";#N/A,#N/A,FALSE,"YE CE EM Share"}</definedName>
    <definedName name="wrn.CE._.components." hidden="1">{#N/A,#N/A,FALSE,"CE DB";#N/A,#N/A,FALSE,"YE CE Cash &amp; Mrkt Sec.";#N/A,#N/A,FALSE,"YE CE Inventories";#N/A,#N/A,FALSE,"YE CE Trade Rec.";#N/A,#N/A,FALSE,"YE CE Acct Payables";#N/A,#N/A,FALSE,"YE CE Other Opr. Working Cap.";#N/A,#N/A,FALSE,"YE CE Oth";#N/A,#N/A,FALSE,"YE CE Net PPE";#N/A,#N/A,FALSE,"YE CE EM Share"}</definedName>
    <definedName name="wrn.CMR._.DPT._.print._.format._.B._.and._.W." localSheetId="0" hidden="1">{"CF 2000 only",#N/A,FALSE,"2004 DPT 2000,2010,2020";"CF 2010 only",#N/A,FALSE,"2004 DPT 2000,2010,2020";"CF 2020 only",#N/A,FALSE,"2004 DPT 2000,2010,2020";"CF 2040 only",#N/A,FALSE,"2004 DPT 2040"}</definedName>
    <definedName name="wrn.CMR._.DPT._.print._.format._.B._.and._.W." hidden="1">{"CF 2000 only",#N/A,FALSE,"2004 DPT 2000,2010,2020";"CF 2010 only",#N/A,FALSE,"2004 DPT 2000,2010,2020";"CF 2020 only",#N/A,FALSE,"2004 DPT 2000,2010,2020";"CF 2040 only",#N/A,FALSE,"2004 DPT 2040"}</definedName>
    <definedName name="wrn.CMR._.DPT._.print._.format._.color." localSheetId="0" hidden="1">{"conform 2000 only",#N/A,FALSE,"2004 DPT 2000,2010,2020";"conform 2010 only",#N/A,FALSE,"2004 DPT 2000,2010,2020";"conform 2020 only",#N/A,FALSE,"2004 DPT 2000,2010,2020";"conform 2040 only",#N/A,FALSE,"2004 DPT 2000,2010,2020"}</definedName>
    <definedName name="wrn.CMR._.DPT._.print._.format._.color." hidden="1">{"conform 2000 only",#N/A,FALSE,"2004 DPT 2000,2010,2020";"conform 2010 only",#N/A,FALSE,"2004 DPT 2000,2010,2020";"conform 2020 only",#N/A,FALSE,"2004 DPT 2000,2010,2020";"conform 2040 only",#N/A,FALSE,"2004 DPT 2000,2010,2020"}</definedName>
    <definedName name="wrn.Detail1." localSheetId="0" hidden="1">{"detail expenditures",#N/A,FALSE,"1998 Capital Approp, Expended"}</definedName>
    <definedName name="wrn.Detail1." hidden="1">{"detail expenditures",#N/A,FALSE,"1998 Capital Approp, Expended"}</definedName>
    <definedName name="wrn.Detail2." localSheetId="0" hidden="1">{#N/A,#N/A,FALSE,"1997 Capital Approp, Expended"}</definedName>
    <definedName name="wrn.Detail2." hidden="1">{#N/A,#N/A,FALSE,"1997 Capital Approp, Expended"}</definedName>
    <definedName name="wrn.Detailed._.print.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1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1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ownload._.Capex." localSheetId="0" hidden="1">{"Download Capex 1",#N/A,FALSE,"DOWNLOAD";"Download Capex 2",#N/A,FALSE,"DOWNLOAD";"Download Capex 3",#N/A,FALSE,"DOWNLOAD";"Download Capex 4",#N/A,FALSE,"DOWNLOAD"}</definedName>
    <definedName name="wrn.Download._.Capex." hidden="1">{"Download Capex 1",#N/A,FALSE,"DOWNLOAD";"Download Capex 2",#N/A,FALSE,"DOWNLOAD";"Download Capex 3",#N/A,FALSE,"DOWNLOAD";"Download Capex 4",#N/A,FALSE,"DOWNLOAD"}</definedName>
    <definedName name="wrn.earn_pric_ce_ncg_key._.pages." localSheetId="0" hidden="1">{#N/A,#N/A,FALSE,"Segment Earnings";#N/A,#N/A,FALSE,"Other Earnings";#N/A,#N/A,FALSE,"Other Non Opr";#N/A,#N/A,FALSE,"Earnings $OEB";#N/A,#N/A,FALSE,"Realization C&amp;C";#N/A,#N/A,FALSE,"Realization Gas";#N/A,#N/A,FALSE,"Realization Gas 3rd Party";#N/A,#N/A,FALSE,"YE CE Cash &amp; Mrkt Sec.";#N/A,#N/A,FALSE,"YE CE Trade Rec.";#N/A,#N/A,FALSE,"YE CE Inventories";#N/A,#N/A,FALSE,"YE CE Acct Payables";#N/A,#N/A,FALSE,"YE CE Other Opr. Working Cap.";#N/A,#N/A,FALSE,"YE CE Net PPE";#N/A,#N/A,FALSE,"YE CE Other";#N/A,#N/A,FALSE,"YE CE Minority Share";#N/A,#N/A,FALSE,"YE CE ExxonMobil Share";#N/A,#N/A,FALSE,"ROCE Segment Earn";#N/A,#N/A,FALSE,"ROCE Norm Earn";#N/A,#N/A,FALSE,"Net Cash Gen";#N/A,#N/A,FALSE,"NCG EAFE";#N/A,#N/A,FALSE,"NCG Other Non Owner Equity";#N/A,#N/A,FALSE,"NCG Seg. Earn. Min. Share";#N/A,#N/A,FALSE,"NCG Adjustments"}</definedName>
    <definedName name="wrn.earn_pric_ce_ncg_key._.pages." hidden="1">{#N/A,#N/A,FALSE,"Segment Earnings";#N/A,#N/A,FALSE,"Other Earnings";#N/A,#N/A,FALSE,"Other Non Opr";#N/A,#N/A,FALSE,"Earnings $OEB";#N/A,#N/A,FALSE,"Realization C&amp;C";#N/A,#N/A,FALSE,"Realization Gas";#N/A,#N/A,FALSE,"Realization Gas 3rd Party";#N/A,#N/A,FALSE,"YE CE Cash &amp; Mrkt Sec.";#N/A,#N/A,FALSE,"YE CE Trade Rec.";#N/A,#N/A,FALSE,"YE CE Inventories";#N/A,#N/A,FALSE,"YE CE Acct Payables";#N/A,#N/A,FALSE,"YE CE Other Opr. Working Cap.";#N/A,#N/A,FALSE,"YE CE Net PPE";#N/A,#N/A,FALSE,"YE CE Other";#N/A,#N/A,FALSE,"YE CE Minority Share";#N/A,#N/A,FALSE,"YE CE ExxonMobil Share";#N/A,#N/A,FALSE,"ROCE Segment Earn";#N/A,#N/A,FALSE,"ROCE Norm Earn";#N/A,#N/A,FALSE,"Net Cash Gen";#N/A,#N/A,FALSE,"NCG EAFE";#N/A,#N/A,FALSE,"NCG Other Non Owner Equity";#N/A,#N/A,FALSE,"NCG Seg. Earn. Min. Share";#N/A,#N/A,FALSE,"NCG Adjustments"}</definedName>
    <definedName name="wrn.Edutainment._.Priority._.List." localSheetId="0" hidden="1">{#N/A,#N/A,FALSE,"DI 2 YEAR MASTER SCHEDULE"}</definedName>
    <definedName name="wrn.Edutainment._.Priority._.List." hidden="1">{#N/A,#N/A,FALSE,"DI 2 YEAR MASTER SCHEDULE"}</definedName>
    <definedName name="wrn.eng1." localSheetId="0" hidden="1">{#N/A,#N/A,FALSE,"Eng_LV1"}</definedName>
    <definedName name="wrn.eng1." hidden="1">{#N/A,#N/A,FALSE,"Eng_LV1"}</definedName>
    <definedName name="wrn.Estimate._.Costs." localSheetId="0" hidden="1">{#N/A,#N/A,TRUE,"Cover";#N/A,#N/A,TRUE,"SUM";#N/A,#N/A,TRUE,"MAN";#N/A,#N/A,TRUE,"RESRC";#N/A,#N/A,TRUE,"SUBS";#N/A,#N/A,TRUE,"HIRE";#N/A,#N/A,TRUE,"SITE ESTAB";#N/A,#N/A,TRUE,"MAT"}</definedName>
    <definedName name="wrn.Estimate._.Costs." hidden="1">{#N/A,#N/A,TRUE,"Cover";#N/A,#N/A,TRUE,"SUM";#N/A,#N/A,TRUE,"MAN";#N/A,#N/A,TRUE,"RESRC";#N/A,#N/A,TRUE,"SUBS";#N/A,#N/A,TRUE,"HIRE";#N/A,#N/A,TRUE,"SITE ESTAB";#N/A,#N/A,TRUE,"MAT"}</definedName>
    <definedName name="wrn.excl._.future." localSheetId="0" hidden="1">{#N/A,#N/A,FALSE,"Topic Schedule"}</definedName>
    <definedName name="wrn.excl._.future." hidden="1">{#N/A,#N/A,FALSE,"Topic Schedule"}</definedName>
    <definedName name="wrn.EXTERNAL." localSheetId="0" hidden="1">{#N/A,#N/A,TRUE,"Ext Sum - Overall";#N/A,#N/A,TRUE,"Ext Sum - Dehy";#N/A,#N/A,TRUE,"Ext Sum - Gas Proc";#N/A,#N/A,TRUE,"Ext Sum - Pipeline "}</definedName>
    <definedName name="wrn.EXTERNAL." hidden="1">{#N/A,#N/A,TRUE,"Ext Sum - Overall";#N/A,#N/A,TRUE,"Ext Sum - Dehy";#N/A,#N/A,TRUE,"Ext Sum - Gas Proc";#N/A,#N/A,TRUE,"Ext Sum - Pipeline "}</definedName>
    <definedName name="wrn.EXTERNAL._.SUMS." localSheetId="0" hidden="1">{"EXT_OSUM",#N/A,FALSE,"Overall Int Sum Case 1A";"EXT_3100",#N/A,FALSE,"Int &amp; Ext Sum 3100";"EXT_4100",#N/A,FALSE,"Int &amp; Ext Sum 4100";"EXT_4200",#N/A,FALSE,"Int &amp; Ext Sum 4200";"EXT_4400",#N/A,FALSE,"Int &amp; Ext Sum 4400";"EXT_4500",#N/A,FALSE,"Int &amp; Ext Sum 4500";"EXT_5000",#N/A,FALSE,"Int &amp; Ext Sum 5000";"EXT_6000",#N/A,FALSE,"Int &amp; Ext Sum 6000"}</definedName>
    <definedName name="wrn.EXTERNAL._.SUMS." hidden="1">{"EXT_OSUM",#N/A,FALSE,"Overall Int Sum Case 1A";"EXT_3100",#N/A,FALSE,"Int &amp; Ext Sum 3100";"EXT_4100",#N/A,FALSE,"Int &amp; Ext Sum 4100";"EXT_4200",#N/A,FALSE,"Int &amp; Ext Sum 4200";"EXT_4400",#N/A,FALSE,"Int &amp; Ext Sum 4400";"EXT_4500",#N/A,FALSE,"Int &amp; Ext Sum 4500";"EXT_5000",#N/A,FALSE,"Int &amp; Ext Sum 5000";"EXT_6000",#N/A,FALSE,"Int &amp; Ext Sum 6000"}</definedName>
    <definedName name="wrn.fend1." localSheetId="0" hidden="1">{#N/A,#N/A,FALSE,"FE_LV1"}</definedName>
    <definedName name="wrn.fend1." hidden="1">{#N/A,#N/A,FALSE,"FE_LV1"}</definedName>
    <definedName name="wrn.FLO._.Summary." localSheetId="0" hidden="1">{"FLO Summary - USDL",#N/A,FALSE,"FLO"}</definedName>
    <definedName name="wrn.FLO._.Summary." hidden="1">{"FLO Summary - USDL",#N/A,FALSE,"FLO"}</definedName>
    <definedName name="wrn.FLO._.Summary._1" localSheetId="0" hidden="1">{"FLO Summary - USDL",#N/A,FALSE,"FLO"}</definedName>
    <definedName name="wrn.FLO._.Summary._1" hidden="1">{"FLO Summary - USDL",#N/A,FALSE,"FLO"}</definedName>
    <definedName name="wrn.Full._.Print." localSheetId="0" hidden="1">{#N/A,#N/A,FALSE,"Titles";#N/A,#N/A,FALSE,"Ts&amp;Cs";#N/A,#N/A,FALSE,"Variables";#N/A,#N/A,FALSE,"Labour"}</definedName>
    <definedName name="wrn.Full._.Print." hidden="1">{#N/A,#N/A,FALSE,"Titles";#N/A,#N/A,FALSE,"Ts&amp;Cs";#N/A,#N/A,FALSE,"Variables";#N/A,#N/A,FALSE,"Labour"}</definedName>
    <definedName name="wrn.GRF_1." localSheetId="0" hidden="1">{"VISTA_1",#N/A,FALSE,"GRAFO"}</definedName>
    <definedName name="wrn.GRF_1." hidden="1">{"VISTA_1",#N/A,FALSE,"GRAFO"}</definedName>
    <definedName name="wrn.INTERNAL." localSheetId="0" hidden="1">{#N/A,#N/A,FALSE,"Summary - Overall";#N/A,#N/A,FALSE,"Summary - Dehy";#N/A,#N/A,FALSE,"Summary - Gas Proc";#N/A,#N/A,FALSE,"Summary - Pipeline"}</definedName>
    <definedName name="wrn.INTERNAL." hidden="1">{#N/A,#N/A,FALSE,"Summary - Overall";#N/A,#N/A,FALSE,"Summary - Dehy";#N/A,#N/A,FALSE,"Summary - Gas Proc";#N/A,#N/A,FALSE,"Summary - Pipeline"}</definedName>
    <definedName name="wrn.INTERNAL._.SUMS." localSheetId="0" hidden="1">{"INT_OSUM",#N/A,FALSE,"Overall Int Sum Case 1A";"INT_3100",#N/A,FALSE,"Int &amp; Ext Sum 3100";"INT_4100",#N/A,FALSE,"Int &amp; Ext Sum 4100";"INT_4200",#N/A,FALSE,"Int &amp; Ext Sum 4200";"INT_4400",#N/A,FALSE,"Int &amp; Ext Sum 4400";"INT_4500",#N/A,FALSE,"Int &amp; Ext Sum 4500";"INT_5000",#N/A,FALSE,"Int &amp; Ext Sum 5000";"INT_6000",#N/A,FALSE,"Int &amp; Ext Sum 6000"}</definedName>
    <definedName name="wrn.INTERNAL._.SUMS." hidden="1">{"INT_OSUM",#N/A,FALSE,"Overall Int Sum Case 1A";"INT_3100",#N/A,FALSE,"Int &amp; Ext Sum 3100";"INT_4100",#N/A,FALSE,"Int &amp; Ext Sum 4100";"INT_4200",#N/A,FALSE,"Int &amp; Ext Sum 4200";"INT_4400",#N/A,FALSE,"Int &amp; Ext Sum 4400";"INT_4500",#N/A,FALSE,"Int &amp; Ext Sum 4500";"INT_5000",#N/A,FALSE,"Int &amp; Ext Sum 5000";"INT_6000",#N/A,FALSE,"Int &amp; Ext Sum 6000"}</definedName>
    <definedName name="wrn.Japan_Capers_Ed._.Pub." localSheetId="0" hidden="1">{"Japan_Capers_Ed_Pub",#N/A,FALSE,"DI 2 YEAR MASTER SCHEDULE"}</definedName>
    <definedName name="wrn.Japan_Capers_Ed._.Pub." hidden="1">{"Japan_Capers_Ed_Pub",#N/A,FALSE,"DI 2 YEAR MASTER SCHEDULE"}</definedName>
    <definedName name="wrn.LANE._.REPORT." localSheetId="0" hidden="1">{#N/A,#N/A,FALSE,"TITLE";#N/A,#N/A,FALSE,"SUMMARY";#N/A,#N/A,FALSE,"SAFETY";#N/A,#N/A,FALSE,"OPINCIDENTS";#N/A,#N/A,FALSE,"OP.PERF";#N/A,#N/A,FALSE,"EARNINGS";#N/A,#N/A,FALSE,"CRUDE";#N/A,#N/A,FALSE,"GAS";#N/A,#N/A,FALSE,"OPEX"}</definedName>
    <definedName name="wrn.LANE._.REPORT." hidden="1">{#N/A,#N/A,FALSE,"TITLE";#N/A,#N/A,FALSE,"SUMMARY";#N/A,#N/A,FALSE,"SAFETY";#N/A,#N/A,FALSE,"OPINCIDENTS";#N/A,#N/A,FALSE,"OP.PERF";#N/A,#N/A,FALSE,"EARNINGS";#N/A,#N/A,FALSE,"CRUDE";#N/A,#N/A,FALSE,"GAS";#N/A,#N/A,FALSE,"OPEX"}</definedName>
    <definedName name="wrn.matrix." localSheetId="0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wrn.matrix." hidden="1">{#N/A,#N/A,FALSE,"summary";#N/A,#N/A,FALSE,"prelim1";#N/A,#N/A,FALSE,"prelim2";#N/A,#N/A,FALSE,"struct.1";#N/A,#N/A,FALSE,"struc.2";#N/A,#N/A,FALSE,"piping";#N/A,#N/A,FALSE,"mechan.";#N/A,#N/A,FALSE,"seafast.";#N/A,#N/A,FALSE,"engin.";#N/A,#N/A,FALSE,"E&amp;I";#N/A,#N/A,FALSE,"Arch.";#N/A,#N/A,FALSE,"wallcl,";#N/A,#N/A,FALSE,"painting";#N/A,#N/A,FALSE,"firepr.";#N/A,#N/A,FALSE,"insul.";#N/A,#N/A,FALSE,"safety";#N/A,#N/A,FALSE,"hvac";#N/A,#N/A,FALSE,"Pre-Comm.";#N/A,#N/A,FALSE,"Interim Lifts";#N/A,#N/A,FALSE,"In-shore Hook-up";#N/A,#N/A,FALSE,"loadout";#N/A,#N/A,FALSE,"Hookup";#N/A,#N/A,FALSE,"Install."}</definedName>
    <definedName name="wrn.MC._.CHARTS." localSheetId="0" hidden="1">{"MC COVER",#N/A,FALSE;"ACTUAL LIQUIDS",#N/A,FALSE;"ACTUAL GAS",#N/A,FALSE;"CRUDE REALIZATIONS",#N/A,FALSE;"GAS REALIZATIONS",#N/A,FALSE;"ACT EARNINGS",#N/A,FALSE}</definedName>
    <definedName name="wrn.MC._.CHARTS." hidden="1">{"MC COVER",#N/A,FALSE;"ACTUAL LIQUIDS",#N/A,FALSE;"ACTUAL GAS",#N/A,FALSE;"CRUDE REALIZATIONS",#N/A,FALSE;"GAS REALIZATIONS",#N/A,FALSE;"ACT EARNINGS",#N/A,FALSE}</definedName>
    <definedName name="wrn.NCG._.P._.Sheets." localSheetId="0" hidden="1">{#N/A,#N/A,FALSE,"NCG DB";#N/A,#N/A,FALSE,"Net Cash Gen";#N/A,#N/A,FALSE,"NCG Seg. Earn. Min. Share";#N/A,#N/A,FALSE,"NCG Oth Non Own Eq";#N/A,#N/A,FALSE,"NCG EAFE";#N/A,#N/A,FALSE,"NCG Adj"}</definedName>
    <definedName name="wrn.NCG._.P._.Sheets." hidden="1">{#N/A,#N/A,FALSE,"NCG DB";#N/A,#N/A,FALSE,"Net Cash Gen";#N/A,#N/A,FALSE,"NCG Seg. Earn. Min. Share";#N/A,#N/A,FALSE,"NCG Oth Non Own Eq";#N/A,#N/A,FALSE,"NCG EAFE";#N/A,#N/A,FALSE,"NCG Adj"}</definedName>
    <definedName name="wrn.NORMAL." localSheetId="0" hidden="1">{"COVER",#N/A,FALSE,"EARNINGS_VOLUMES";"ACTQTR",#N/A,FALSE,"EARNINGS_VOLUMES";"PRIOR QTR",#N/A,FALSE,"EARNINGS_VOLUMES";"YTD",#N/A,FALSE,"EARNINGS_VOLUMES";"UPDATE",#N/A,FALSE,"EARNINGS_VOLUMES";"FORECAST",#N/A,FALSE,"EARNINGS_VOLUMES";#N/A,#N/A,FALSE,"OPEX"}</definedName>
    <definedName name="wrn.NORMAL." hidden="1">{"COVER",#N/A,FALSE,"EARNINGS_VOLUMES";"ACTQTR",#N/A,FALSE,"EARNINGS_VOLUMES";"PRIOR QTR",#N/A,FALSE,"EARNINGS_VOLUMES";"YTD",#N/A,FALSE,"EARNINGS_VOLUMES";"UPDATE",#N/A,FALSE,"EARNINGS_VOLUMES";"FORECAST",#N/A,FALSE,"EARNINGS_VOLUMES";#N/A,#N/A,FALSE,"OPEX"}</definedName>
    <definedName name="wrn.OilFcst." localSheetId="0" hidden="1">{"Input",#N/A,TRUE,"FCST_MAIN";"OilRate",#N/A,TRUE,"FCST_MAIN"}</definedName>
    <definedName name="wrn.OilFcst." hidden="1">{"Input",#N/A,TRUE,"FCST_MAIN";"OilRate",#N/A,TRUE,"FCST_MAIN"}</definedName>
    <definedName name="wrn.OilFcst._1" localSheetId="0" hidden="1">{"Input",#N/A,TRUE,"FCST_MAIN";"OilRate",#N/A,TRUE,"FCST_MAIN"}</definedName>
    <definedName name="wrn.OilFcst._1" hidden="1">{"Input",#N/A,TRUE,"FCST_MAIN";"OilRate",#N/A,TRUE,"FCST_MAIN"}</definedName>
    <definedName name="wrn.pag_1." localSheetId="0" hidden="1">{#N/A,#N/A,FALSE,"COPERTINA"}</definedName>
    <definedName name="wrn.pag_1." hidden="1">{#N/A,#N/A,FALSE,"COPERTINA"}</definedName>
    <definedName name="wrn.PRESENTATION." localSheetId="0" hidden="1">{#N/A,#N/A,TRUE,"PRODUCTION CAPEX OVERVIEW";#N/A,#N/A,TRUE,"Affiliate Detail";#N/A,#N/A,TRUE,"CAPEX PLANNING OVERVIEW"}</definedName>
    <definedName name="wrn.PRESENTATION." hidden="1">{#N/A,#N/A,TRUE,"PRODUCTION CAPEX OVERVIEW";#N/A,#N/A,TRUE,"Affiliate Detail";#N/A,#N/A,TRUE,"CAPEX PLANNING OVERVIEW"}</definedName>
    <definedName name="wrn.PRESENTATION._1" localSheetId="0" hidden="1">{#N/A,#N/A,TRUE,"PRODUCTION CAPEX OVERVIEW";#N/A,#N/A,TRUE,"Affiliate Detail";#N/A,#N/A,TRUE,"CAPEX PLANNING OVERVIEW"}</definedName>
    <definedName name="wrn.PRESENTATION._1" hidden="1">{#N/A,#N/A,TRUE,"PRODUCTION CAPEX OVERVIEW";#N/A,#N/A,TRUE,"Affiliate Detail";#N/A,#N/A,TRUE,"CAPEX PLANNING OVERVIEW"}</definedName>
    <definedName name="wrn.Price_Sensitivities." localSheetId="0" hidden="1">{#N/A,#N/A,FALSE,"Realization C&amp;C";#N/A,#N/A,FALSE,"Realization Gas";#N/A,#N/A,FALSE,"Realization Gas 3rd Party";#N/A,#N/A,FALSE,"Crude Pr Sens- Liq";#N/A,#N/A,FALSE,"Crude Pr Sens-Gas Link";#N/A,#N/A,FALSE,"Crude Pr Sen - Liq + gas";#N/A,#N/A,FALSE,"Gas Price Sens";#N/A,#N/A,FALSE,"Liq Prod Sens";#N/A,#N/A,FALSE,"Gas Prod Sens";#N/A,#N/A,FALSE,"Forex Sens"}</definedName>
    <definedName name="wrn.Price_Sensitivities." hidden="1">{#N/A,#N/A,FALSE,"Realization C&amp;C";#N/A,#N/A,FALSE,"Realization Gas";#N/A,#N/A,FALSE,"Realization Gas 3rd Party";#N/A,#N/A,FALSE,"Crude Pr Sens- Liq";#N/A,#N/A,FALSE,"Crude Pr Sens-Gas Link";#N/A,#N/A,FALSE,"Crude Pr Sen - Liq + gas";#N/A,#N/A,FALSE,"Gas Price Sens";#N/A,#N/A,FALSE,"Liq Prod Sens";#N/A,#N/A,FALSE,"Gas Prod Sens";#N/A,#N/A,FALSE,"Forex Sens"}</definedName>
    <definedName name="wrn.Print._.all." localSheetId="0" hidden="1">{#N/A,#N/A,FALSE,"EG-1999Act";#N/A,#N/A,FALSE,"EG-2000Act";#N/A,#N/A,FALSE,"EG-2000Plan";#N/A,#N/A,FALSE,"EG-F&amp;OSumry"}</definedName>
    <definedName name="wrn.Print._.all." hidden="1">{#N/A,#N/A,FALSE,"EG-1999Act";#N/A,#N/A,FALSE,"EG-2000Act";#N/A,#N/A,FALSE,"EG-2000Plan";#N/A,#N/A,FALSE,"EG-F&amp;OSumry"}</definedName>
    <definedName name="wrn.print._all.v1" localSheetId="0" hidden="1">{#N/A,#N/A,TRUE,"Nig-F&amp;OSumry";#N/A,#N/A,TRUE,"Nig-2001Act";#N/A,#N/A,TRUE,"Nig-2001Plan";#N/A,#N/A,TRUE,"Nig-2000Act"}</definedName>
    <definedName name="wrn.print._all.v1" hidden="1">{#N/A,#N/A,TRUE,"Nig-F&amp;OSumry";#N/A,#N/A,TRUE,"Nig-2001Act";#N/A,#N/A,TRUE,"Nig-2001Plan";#N/A,#N/A,TRUE,"Nig-2000Act"}</definedName>
    <definedName name="wrn.Priority._.list." localSheetId="0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hidden="1">{#N/A,#N/A,FALSE,"PRJCTED QTRLY QTY's"}</definedName>
    <definedName name="wrn.pro1." localSheetId="0" hidden="1">{#N/A,#N/A,FALSE,"PRO_LV1"}</definedName>
    <definedName name="wrn.pro1." hidden="1">{#N/A,#N/A,FALSE,"PRO_LV1"}</definedName>
    <definedName name="wrn.QUARTERLY._.VIEW." localSheetId="0" hidden="1">{"QUARTERLY VIEW",#N/A,FALSE,"YEAR TOTAL"}</definedName>
    <definedName name="wrn.QUARTERLY._.VIEW." hidden="1">{"QUARTERLY VIEW",#N/A,FALSE,"YEAR TOTAL"}</definedName>
    <definedName name="wrn.ratio." localSheetId="0" hidden="1">{#N/A,#N/A,FALSE,"JACKETS (1100 t) (1)"}</definedName>
    <definedName name="wrn.ratio." hidden="1">{#N/A,#N/A,FALSE,"JACKETS (1100 t) (1)"}</definedName>
    <definedName name="wrn.Reconciliations." localSheetId="0" hidden="1">{#N/A,#N/A,FALSE,"1996 Co Plan EF versus 1995";#N/A,#N/A,FALSE,"1996 EF versus 1995 Co Plan";#N/A,#N/A,FALSE,"1997 Forecast versus 1996 EF";#N/A,#N/A,FALSE,"1996 Co Plan UFS Earnings Input"}</definedName>
    <definedName name="wrn.Reconciliations." hidden="1">{#N/A,#N/A,FALSE,"1996 Co Plan EF versus 1995";#N/A,#N/A,FALSE,"1996 EF versus 1995 Co Plan";#N/A,#N/A,FALSE,"1997 Forecast versus 1996 EF";#N/A,#N/A,FALSE,"1996 Co Plan UFS Earnings Input"}</definedName>
    <definedName name="wrn.Report._.For._.DMM." localSheetId="0" hidden="1">{#N/A,#N/A,FALSE,"detailo (2)";#N/A,#N/A,FALSE,"Summary for DMM"}</definedName>
    <definedName name="wrn.Report._.For._.DMM." hidden="1">{#N/A,#N/A,FALSE,"detailo (2)";#N/A,#N/A,FALSE,"Summary for DMM"}</definedName>
    <definedName name="wrn.Report._.for._.SNAM." localSheetId="0" hidden="1">{#N/A,#N/A,FALSE,"detailo";#N/A,#N/A,FALSE,"Summary For Snamprogetti"}</definedName>
    <definedName name="wrn.Report._.for._.SNAM." hidden="1">{#N/A,#N/A,FALSE,"detailo";#N/A,#N/A,FALSE,"Summary For Snamprogetti"}</definedName>
    <definedName name="wrn.Review._.only._.no._.backup." localSheetId="0" hidden="1">{#N/A,#N/A,FALSE,"Total Opex";#N/A,#N/A,FALSE,"Cash Opex";#N/A,#N/A,FALSE,"BU&gt;Cash Cats";#N/A,#N/A,FALSE,"Field Op";#N/A,#N/A,FALSE,"CAF";#N/A,#N/A,FALSE,"NonCash";#N/A,#N/A,FALSE,"Eff Summ";#N/A,#N/A,FALSE,"BACK UP";#N/A,#N/A,FALSE,"FEE";#N/A,#N/A,FALSE,"YEO_CNC";#N/A,#N/A,FALSE,"BU&gt;Opex Initv";#N/A,#N/A,FALSE,"BU&gt; Cash FA v2 Pt1";#N/A,#N/A,FALSE,"BU&gt; Cash FA v2 Pt2";#N/A,#N/A,FALSE,"BU&gt; NC FA v2 Pt1";#N/A,#N/A,FALSE,"BU&gt; NC FA v2 Pt2"}</definedName>
    <definedName name="wrn.Review._.only._.no._.backup." hidden="1">{#N/A,#N/A,FALSE,"Total Opex";#N/A,#N/A,FALSE,"Cash Opex";#N/A,#N/A,FALSE,"BU&gt;Cash Cats";#N/A,#N/A,FALSE,"Field Op";#N/A,#N/A,FALSE,"CAF";#N/A,#N/A,FALSE,"NonCash";#N/A,#N/A,FALSE,"Eff Summ";#N/A,#N/A,FALSE,"BACK UP";#N/A,#N/A,FALSE,"FEE";#N/A,#N/A,FALSE,"YEO_CNC";#N/A,#N/A,FALSE,"BU&gt;Opex Initv";#N/A,#N/A,FALSE,"BU&gt; Cash FA v2 Pt1";#N/A,#N/A,FALSE,"BU&gt; Cash FA v2 Pt2";#N/A,#N/A,FALSE,"BU&gt; NC FA v2 Pt1";#N/A,#N/A,FALSE,"BU&gt; NC FA v2 Pt2"}</definedName>
    <definedName name="wrn.RHD._.RESERVE._.REPORT." localSheetId="0" hidden="1">{#N/A,#N/A,FALSE,"CHANGES";#N/A,#N/A,FALSE,"PROD SUMMARY";#N/A,#N/A,FALSE,"1995 PO SUM";#N/A,#N/A,FALSE,"1995 GEOG SUM";#N/A,#N/A,FALSE,"1996 PO SUM";#N/A,#N/A,FALSE,"1996 GEOG SUM"}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_.RESERVE._.REPORT._1" localSheetId="0" hidden="1">{#N/A,#N/A,FALSE,"CHANGES";#N/A,#N/A,FALSE,"PROD SUMMARY";#N/A,#N/A,FALSE,"1995 PO SUM";#N/A,#N/A,FALSE,"1995 GEOG SUM";#N/A,#N/A,FALSE,"1996 PO SUM";#N/A,#N/A,FALSE,"1996 GEOG SUM"}</definedName>
    <definedName name="wrn.RHD._.RESERVE._.REPORT._1" hidden="1">{#N/A,#N/A,FALSE,"CHANGES";#N/A,#N/A,FALSE,"PROD SUMMARY";#N/A,#N/A,FALSE,"1995 PO SUM";#N/A,#N/A,FALSE,"1995 GEOG SUM";#N/A,#N/A,FALSE,"1996 PO SUM";#N/A,#N/A,FALSE,"1996 GEOG SUM"}</definedName>
    <definedName name="wrn.rhd.whatever" localSheetId="0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rhd.whatever_1" localSheetId="0" hidden="1">{#N/A,#N/A,FALSE,"CHANGES";#N/A,#N/A,FALSE,"PROD SUMMARY";#N/A,#N/A,FALSE,"1995 PO SUM";#N/A,#N/A,FALSE,"1995 GEOG SUM";#N/A,#N/A,FALSE,"1996 PO SUM";#N/A,#N/A,FALSE,"1996 GEOG SUM"}</definedName>
    <definedName name="wrn.rhd.whatever_1" hidden="1">{#N/A,#N/A,FALSE,"CHANGES";#N/A,#N/A,FALSE,"PROD SUMMARY";#N/A,#N/A,FALSE,"1995 PO SUM";#N/A,#N/A,FALSE,"1995 GEOG SUM";#N/A,#N/A,FALSE,"1996 PO SUM";#N/A,#N/A,FALSE,"1996 GEOG SUM"}</definedName>
    <definedName name="wrn.SE._.12._.FOT." localSheetId="0" hidden="1">{#N/A,#N/A,TRUE,"Cover";#N/A,#N/A,TRUE,"Sched 2";#N/A,#N/A,TRUE,"Sched 3";#N/A,#N/A,TRUE,"Sched 4";#N/A,#N/A,TRUE,"Sched 9"}</definedName>
    <definedName name="wrn.SE._.12._.FOT." hidden="1">{#N/A,#N/A,TRUE,"Cover";#N/A,#N/A,TRUE,"Sched 2";#N/A,#N/A,TRUE,"Sched 3";#N/A,#N/A,TRUE,"Sched 4";#N/A,#N/A,TRUE,"Sched 9"}</definedName>
    <definedName name="wrn.Service._.Fee." localSheetId="0" hidden="1">{"Cost Allocation",#N/A,FALSE,"97OL";"Summary",#N/A,FALSE,"97OL";"Affiliate Summary",#N/A,FALSE,"97OL";"Formula",#N/A,FALSE,"97OL";"Billing",#N/A,FALSE,"97OL"}</definedName>
    <definedName name="wrn.Service._.Fee." hidden="1">{"Cost Allocation",#N/A,FALSE,"97OL";"Summary",#N/A,FALSE,"97OL";"Affiliate Summary",#N/A,FALSE,"97OL";"Formula",#N/A,FALSE,"97OL";"Billing",#N/A,FALSE,"97OL"}</definedName>
    <definedName name="wrn.SIMS._.Dump." localSheetId="0" hidden="1">{#N/A,#N/A,FALSE,"Alaska_Base";#N/A,#N/A,FALSE,"Alaska_Inc";#N/A,#N/A,FALSE,"DW_Base";#N/A,#N/A,FALSE,"Llano_Base";#N/A,#N/A,FALSE,"DWDevOvhd_Base";#N/A,#N/A,FALSE,"DWStrat_EC";#N/A,#N/A,FALSE,"MobileBay_Base";#N/A,#N/A,FALSE,"MobileBay_Inc";#N/A,#N/A,FALSE,"MobileBay_NS";#N/A,#N/A,FALSE,"Shelf_Base";#N/A,#N/A,FALSE,"Shelf_Inc";#N/A,#N/A,FALSE,"Shelf_NS";#N/A,#N/A,FALSE,"ShelfExplor_NS";#N/A,#N/A,FALSE,"Hugoton_Base";#N/A,#N/A,FALSE,"Hugoton_NS";#N/A,#N/A,FALSE,"PermGas_Base";#N/A,#N/A,FALSE,"PermGas_Inc";#N/A,#N/A,FALSE,"PermGas_NS";#N/A,#N/A,FALSE,"PermOil_Base";#N/A,#N/A,FALSE,"PermOil_Inc";#N/A,#N/A,FALSE,"RkyMtn_Base";#N/A,#N/A,FALSE,"RkyMtn_Inc";#N/A,#N/A,FALSE,"SouthLA_Base";#N/A,#N/A,FALSE,"SouthLA_NS";#N/A,#N/A,FALSE,"SouthTX_Base";#N/A,#N/A,FALSE,"SouthTX_Inc";#N/A,#N/A,FALSE,"SouthTX_NS";#N/A,#N/A,FALSE,"Affiliate";#N/A,#N/A,FALSE,"Aera_NonI&amp;A";#N/A,#N/A,FALSE,"Aera_PriceCollar";#N/A,#N/A,FALSE,"NonRABU";#N/A,#N/A,FALSE,"LandRoyalty";#N/A,#N/A,FALSE,"OtherArchived"}</definedName>
    <definedName name="wrn.SIMS._.Dump." hidden="1">{#N/A,#N/A,FALSE,"Alaska_Base";#N/A,#N/A,FALSE,"Alaska_Inc";#N/A,#N/A,FALSE,"DW_Base";#N/A,#N/A,FALSE,"Llano_Base";#N/A,#N/A,FALSE,"DWDevOvhd_Base";#N/A,#N/A,FALSE,"DWStrat_EC";#N/A,#N/A,FALSE,"MobileBay_Base";#N/A,#N/A,FALSE,"MobileBay_Inc";#N/A,#N/A,FALSE,"MobileBay_NS";#N/A,#N/A,FALSE,"Shelf_Base";#N/A,#N/A,FALSE,"Shelf_Inc";#N/A,#N/A,FALSE,"Shelf_NS";#N/A,#N/A,FALSE,"ShelfExplor_NS";#N/A,#N/A,FALSE,"Hugoton_Base";#N/A,#N/A,FALSE,"Hugoton_NS";#N/A,#N/A,FALSE,"PermGas_Base";#N/A,#N/A,FALSE,"PermGas_Inc";#N/A,#N/A,FALSE,"PermGas_NS";#N/A,#N/A,FALSE,"PermOil_Base";#N/A,#N/A,FALSE,"PermOil_Inc";#N/A,#N/A,FALSE,"RkyMtn_Base";#N/A,#N/A,FALSE,"RkyMtn_Inc";#N/A,#N/A,FALSE,"SouthLA_Base";#N/A,#N/A,FALSE,"SouthLA_NS";#N/A,#N/A,FALSE,"SouthTX_Base";#N/A,#N/A,FALSE,"SouthTX_Inc";#N/A,#N/A,FALSE,"SouthTX_NS";#N/A,#N/A,FALSE,"Affiliate";#N/A,#N/A,FALSE,"Aera_NonI&amp;A";#N/A,#N/A,FALSE,"Aera_PriceCollar";#N/A,#N/A,FALSE,"NonRABU";#N/A,#N/A,FALSE,"LandRoyalty";#N/A,#N/A,FALSE,"OtherArchived"}</definedName>
    <definedName name="wrn.STEW._.CHARTS." localSheetId="0" hidden="1">{"STEWCOVER",#N/A,FALSE;"STEW LIQUIDS",#N/A,FALSE;"STEW GAS",#N/A,FALSE;"STEW EARNINGS",#N/A,FALSE}</definedName>
    <definedName name="wrn.STEW._.CHARTS." hidden="1">{"STEWCOVER",#N/A,FALSE;"STEW LIQUIDS",#N/A,FALSE;"STEW GAS",#N/A,FALSE;"STEW EARNINGS",#N/A,FALSE}</definedName>
    <definedName name="wrn.Summary." localSheetId="0" hidden="1">{"recommended p&amp;b changes",#N/A,FALSE,"Master";"recommend NOT to pursue",#N/A,FALSE,"Master"}</definedName>
    <definedName name="wrn.Summary." hidden="1">{"recommended p&amp;b changes",#N/A,FALSE,"Master";"recommend NOT to pursue",#N/A,FALSE,"Master"}</definedName>
    <definedName name="wrn.Summary._.Schedule." localSheetId="0" hidden="1">{"Summary Schedule",#N/A,FALSE,"Schedule"}</definedName>
    <definedName name="wrn.Summary._.Schedule." hidden="1">{"Summary Schedule",#N/A,FALSE,"Schedule"}</definedName>
    <definedName name="wrn.Summary._.Schedule._1" localSheetId="0" hidden="1">{"Summary Schedule",#N/A,FALSE,"Schedule"}</definedName>
    <definedName name="wrn.Summary._.Schedule._1" hidden="1">{"Summary Schedule",#N/A,FALSE,"Schedule"}</definedName>
    <definedName name="wrn.Sumry_._.2000._.Act." localSheetId="0" hidden="1">{#N/A,#N/A,FALSE,"EG-2000Act";#N/A,#N/A,FALSE,"EG-F&amp;OSumry"}</definedName>
    <definedName name="wrn.Sumry_._.2000._.Act." hidden="1">{#N/A,#N/A,FALSE,"EG-2000Act";#N/A,#N/A,FALSE,"EG-F&amp;OSumry"}</definedName>
    <definedName name="wrn.test." localSheetId="0" hidden="1">{#N/A,#N/A,FALSE,"TabA";#N/A,#N/A,FALSE,"UTopxFx98";#N/A,#N/A,FALSE,"TopxFx98";#N/A,#N/A,FALSE,"TopxNom"}</definedName>
    <definedName name="wrn.test." hidden="1">{#N/A,#N/A,FALSE,"TabA";#N/A,#N/A,FALSE,"UTopxFx98";#N/A,#N/A,FALSE,"TopxFx98";#N/A,#N/A,FALSE,"TopxNom"}</definedName>
    <definedName name="wrn.test._1" localSheetId="0" hidden="1">{#N/A,#N/A,FALSE,"TabA";#N/A,#N/A,FALSE,"UTopxFx98";#N/A,#N/A,FALSE,"TopxFx98";#N/A,#N/A,FALSE,"TopxNom"}</definedName>
    <definedName name="wrn.test._1" hidden="1">{#N/A,#N/A,FALSE,"TabA";#N/A,#N/A,FALSE,"UTopxFx98";#N/A,#N/A,FALSE,"TopxFx98";#N/A,#N/A,FALSE,"TopxNom"}</definedName>
    <definedName name="wrn.UPA._.Reconciliations." localSheetId="0" hidden="1">{#N/A,#N/A,FALSE,"UP&amp;A - 1996 EF versus 1995";#N/A,#N/A,FALSE,"UP&amp;A - 1996 EF versus 1995 CP";#N/A,#N/A,FALSE,"UP&amp;A - 1997 versus 1996 EF"}</definedName>
    <definedName name="wrn.UPA._.Reconciliations." hidden="1">{#N/A,#N/A,FALSE,"UP&amp;A - 1996 EF versus 1995";#N/A,#N/A,FALSE,"UP&amp;A - 1996 EF versus 1995 CP";#N/A,#N/A,FALSE,"UP&amp;A - 1997 versus 1996 EF"}</definedName>
    <definedName name="wrn.Volume._.Summary." localSheetId="0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wrn.Volume._.Summary." hidden="1">{#N/A,#N/A,TRUE,"Liq";#N/A,#N/A,TRUE,"Gas";#N/A,#N/A,TRUE,"Koebd";#N/A,#N/A,TRUE,"LiqIncrUp";#N/A,#N/A,TRUE,"LiqIncrDn";#N/A,#N/A,TRUE,"LiqUp";#N/A,#N/A,TRUE,"LiqDn";#N/A,#N/A,TRUE,"GasIncrUp";#N/A,#N/A,TRUE,"GasIncrDn";#N/A,#N/A,TRUE,"Liq_Exist";#N/A,#N/A,TRUE,"Liq_Appro";#N/A,#N/A,TRUE,"Liq_Exist+Appr";#N/A,#N/A,TRUE,"Liq_Planned";#N/A,#N/A,TRUE,"Liq_Exst+App+Pln";#N/A,#N/A,TRUE,"Liq_Dscvr";#N/A,#N/A,TRUE,"Gas_Exist";#N/A,#N/A,TRUE,"Gas_Appro";#N/A,#N/A,TRUE,"Gas_Exist+Appr";#N/A,#N/A,TRUE,"Gas_Planned";#N/A,#N/A,TRUE,"Gas_Exst+App+Pln";#N/A,#N/A,TRUE,"Gas_Dscvr";#N/A,#N/A,TRUE,"GasProd";#N/A,#N/A,TRUE,"RGas"}</definedName>
    <definedName name="wrn.YEAR._.VIEW." localSheetId="0" hidden="1">{#N/A,#N/A,FALSE,"Sheet2"}</definedName>
    <definedName name="wrn.YEAR._.VIEW." hidden="1">{#N/A,#N/A,FALSE,"Sheet2"}</definedName>
    <definedName name="wvu.ACT._.EARNINGS." localSheetId="0" hidden="1">{TRUE,TRUE,19.75,18.25,455.25,236.25,FALSE,TRUE,TRUE,TRUE,0,1,#N/A,59,#N/A,5.58823529411765,7.93333333333333,1,FALSE,FALSE,1,TRUE,1,FALSE,100,"Swvu.ACT._.EARNINGS.","ACwvu.ACT._.EARNINGS.",1,FALSE,FALSE,0.551181102362205,0,0.551181102362205,0.0393700787401575,2,"","&amp;L&amp;""Arial""&amp;8&amp;D &amp;T &amp;F STEW GAS ",FALSE,FALSE,FALSE,FALSE,1,#N/A,1,1,"=R63C1:R83C10",FALSE,#N/A,#N/A,FALSE,FALSE,FALSE,1,65532,65532,FALSE,FALSE,TRUE,TRUE,TRUE}</definedName>
    <definedName name="wvu.ACT._.EARNINGS." hidden="1">{TRUE,TRUE,19.75,18.25,455.25,236.25,FALSE,TRUE,TRUE,TRUE,0,1,#N/A,59,#N/A,5.58823529411765,7.93333333333333,1,FALSE,FALSE,1,TRUE,1,FALSE,100,"Swvu.ACT._.EARNINGS.","ACwvu.ACT._.EARNINGS.",1,FALSE,FALSE,0.551181102362205,0,0.551181102362205,0.0393700787401575,2,"","&amp;L&amp;""Arial""&amp;8&amp;D &amp;T &amp;F STEW GAS ",FALSE,FALSE,FALSE,FALSE,1,#N/A,1,1,"=R63C1:R83C10",FALSE,#N/A,#N/A,FALSE,FALSE,FALSE,1,65532,65532,FALSE,FALSE,TRUE,TRUE,TRUE}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ONLEY." localSheetId="0" hidden="1">{TRUE,TRUE,19.75,18.25,455.25,236.25,FALSE,TRUE,TRUE,TRUE,0,20,#N/A,35,#N/A,8.19318181818182,12.8235294117647,1,FALSE,FALSE,1,TRUE,1,FALSE,100,"Swvu.CONLEY.","ACwvu.CONLEY.",1,FALSE,FALSE,0.748031496062992,0.748031496062992,0.62,0.984251968503937,2,"","&amp;L&amp;D &amp;T&amp;C&amp;F",FALSE,FALSE,FALSE,FALSE,1,#N/A,1,1,"=R1C19:R46C30",FALSE,"Rwvu.CONLEY.",#N/A,FALSE,FALSE}</definedName>
    <definedName name="wvu.CONLEY." hidden="1">{TRUE,TRUE,19.75,18.25,455.25,236.25,FALSE,TRUE,TRUE,TRUE,0,20,#N/A,35,#N/A,8.19318181818182,12.8235294117647,1,FALSE,FALSE,1,TRUE,1,FALSE,100,"Swvu.CONLEY.","ACwvu.CONLEY.",1,FALSE,FALSE,0.748031496062992,0.748031496062992,0.62,0.984251968503937,2,"","&amp;L&amp;D &amp;T&amp;C&amp;F",FALSE,FALSE,FALSE,FALSE,1,#N/A,1,1,"=R1C19:R46C30",FALSE,"Rwvu.CONLEY.",#N/A,FALSE,FALSE}</definedName>
    <definedName name="wvu.DEC._.CLOSING." localSheetId="0" hidden="1">{TRUE,TRUE,19.75,10,455.25,236.25,FALSE,TRUE,TRUE,TRUE,0,46,#N/A,8,#N/A,13.8636363636364,19.6153846153846,1,FALSE,FALSE,1,TRUE,1,FALSE,50,"Swvu.DEC._.CLOSING.","ACwvu.DEC._.CLOSING.",1,FALSE,FALSE,0,0,0.551181102362205,0.0393700787401575,2,"","&amp;L&amp;""Arial,Regular""&amp;8&amp;D &amp;T &amp;F &amp;A ",TRUE,FALSE,FALSE,FALSE,1,#N/A,1,1,"=R1C46:R23C55",FALSE,#N/A,#N/A,FALSE,FALSE,FALSE,1,65532,65532,FALSE,FALSE,TRUE,TRUE,TRUE}</definedName>
    <definedName name="wvu.DEC._.CLOSING." hidden="1">{TRUE,TRUE,19.75,10,455.25,236.25,FALSE,TRUE,TRUE,TRUE,0,46,#N/A,8,#N/A,13.8636363636364,19.6153846153846,1,FALSE,FALSE,1,TRUE,1,FALSE,50,"Swvu.DEC._.CLOSING.","ACwvu.DEC._.CLOSING.",1,FALSE,FALSE,0,0,0.551181102362205,0.0393700787401575,2,"","&amp;L&amp;""Arial,Regular""&amp;8&amp;D &amp;T &amp;F &amp;A ",TRUE,FALSE,FALSE,FALSE,1,#N/A,1,1,"=R1C46:R23C55",FALSE,#N/A,#N/A,FALSE,FALSE,FALSE,1,65532,65532,FALSE,FALSE,TRUE,TRUE,TRUE}</definedName>
    <definedName name="wvu.DEC._.STEW._.COVER." localSheetId="0" hidden="1">{TRUE,TRUE,19.75,10,455.25,236.25,FALSE,TRUE,TRUE,TRUE,0,23,#N/A,1,#N/A,6.17821782178218,11.0769230769231,1,FALSE,FALSE,1,TRUE,1,FALSE,100,"Swvu.DEC._.STEW._.COVER.","ACwvu.DEC._.STEW._.COVER.",1,FALSE,FALSE,0.551181102362205,0,0.551181102362205,0.0393700787401575,2,"","&amp;L&amp;""Arial,Regular""&amp;8&amp;D &amp;T &amp;F &amp;A ",TRUE,FALSE,FALSE,FALSE,1,#N/A,1,1,"=R1C25:R20C32",FALSE,#N/A,#N/A,FALSE,FALSE,FALSE,1,65532,65532,FALSE,FALSE,TRUE,TRUE,TRUE}</definedName>
    <definedName name="wvu.DEC._.STEW._.COVER." hidden="1">{TRUE,TRUE,19.75,10,455.25,236.25,FALSE,TRUE,TRUE,TRUE,0,23,#N/A,1,#N/A,6.17821782178218,11.0769230769231,1,FALSE,FALSE,1,TRUE,1,FALSE,100,"Swvu.DEC._.STEW._.COVER.","ACwvu.DEC._.STEW._.COVER.",1,FALSE,FALSE,0.551181102362205,0,0.551181102362205,0.0393700787401575,2,"","&amp;L&amp;""Arial,Regular""&amp;8&amp;D &amp;T &amp;F &amp;A ",TRUE,FALSE,FALSE,FALSE,1,#N/A,1,1,"=R1C25:R20C32",FALSE,#N/A,#N/A,FALSE,FALSE,FALSE,1,65532,65532,FALSE,FALSE,TRUE,TRUE,TRUE}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STEW._.COVER2." localSheetId="0" hidden="1">{TRUE,TRUE,19.75,10,455.25,236.25,FALSE,TRUE,TRUE,TRUE,0,23,#N/A,31,#N/A,6.17821782178218,10.5333333333333,1,FALSE,FALSE,1,TRUE,1,FALSE,100,"Swvu.STEW._.COVER2.","ACwvu.STEW._.COVER2.",1,FALSE,FALSE,0.94488188976378,0,0.551181102362205,0.393700787401575,2,"","&amp;L&amp;""Arial""&amp;8&amp;D &amp;T &amp;F STEW GAS ",FALSE,FALSE,FALSE,FALSE,1,#N/A,1,1,"=R36C25:R56C34",FALSE,#N/A,#N/A,FALSE,FALSE,FALSE,1,65532,65532,FALSE,FALSE,TRUE,TRUE,TRUE}</definedName>
    <definedName name="wvu.STEW._.COVER2." hidden="1">{TRUE,TRUE,19.75,10,455.25,236.25,FALSE,TRUE,TRUE,TRUE,0,23,#N/A,31,#N/A,6.17821782178218,10.5333333333333,1,FALSE,FALSE,1,TRUE,1,FALSE,100,"Swvu.STEW._.COVER2.","ACwvu.STEW._.COVER2.",1,FALSE,FALSE,0.94488188976378,0,0.551181102362205,0.393700787401575,2,"","&amp;L&amp;""Arial""&amp;8&amp;D &amp;T &amp;F STEW GAS ",FALSE,FALSE,FALSE,FALSE,1,#N/A,1,1,"=R36C25:R56C34",FALSE,#N/A,#N/A,FALSE,FALSE,FALSE,1,65532,65532,FALSE,FALSE,TRUE,TRUE,TRUE}</definedName>
    <definedName name="wvu.STEW._.EARNINGS." localSheetId="0" hidden="1">{TRUE,TRUE,19.75,18.25,455.25,236.25,FALSE,TRUE,TRUE,TRUE,0,1,#N/A,84,#N/A,5.58823529411765,6.5,1,FALSE,FALSE,1,TRUE,1,FALSE,100,"Swvu.STEW._.EARNINGS.","ACwvu.STEW._.EARNINGS.",1,FALSE,FALSE,0,0,0.551181102362205,0.0393700787401575,2,"","&amp;L&amp;""Arial,Regular""&amp;8&amp;D &amp;T &amp;F &amp;A ",TRUE,FALSE,FALSE,FALSE,1,#N/A,1,1,"=R88C1:R109C10",FALSE,#N/A,#N/A,FALSE,FALSE,FALSE,1,65532,65532,FALSE,FALSE,TRUE,TRUE,TRUE}</definedName>
    <definedName name="wvu.STEW._.EARNINGS." hidden="1">{TRUE,TRUE,19.75,18.25,455.25,236.25,FALSE,TRUE,TRUE,TRUE,0,1,#N/A,84,#N/A,5.58823529411765,6.5,1,FALSE,FALSE,1,TRUE,1,FALSE,100,"Swvu.STEW._.EARNINGS.","ACwvu.STEW._.EARNINGS.",1,FALSE,FALSE,0,0,0.551181102362205,0.0393700787401575,2,"","&amp;L&amp;""Arial,Regular""&amp;8&amp;D &amp;T &amp;F &amp;A ",TRUE,FALSE,FALSE,FALSE,1,#N/A,1,1,"=R88C1:R109C10",FALSE,#N/A,#N/A,FALSE,FALSE,FALSE,1,65532,65532,FALSE,FALSE,TRUE,TRUE,TRUE}</definedName>
    <definedName name="wvu.STEW._.GAS." localSheetId="0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wvu.STEW._.GAS." hidden="1">{TRUE,TRUE,19.75,18.25,455.25,236.25,FALSE,TRUE,TRUE,TRUE,0,1,#N/A,38,#N/A,5.72268907563025,8.83673469387755,1,FALSE,FALSE,1,TRUE,1,FALSE,100,"Swvu.STEW._.GAS.","ACwvu.STEW._.GAS.",1,FALSE,FALSE,0.511811023622047,0.73,0.551181102362205,0.393700787401575,2,"","&amp;L&amp;""Arial""&amp;8&amp;D &amp;T &amp;F STEW GAS ",TRUE,FALSE,FALSE,FALSE,1,85,#N/A,#N/A,"=R34C1:R62C11",FALSE,#N/A,#N/A,FALSE,FALSE,FALSE,1,65532,65532,FALSE,FALSE,TRUE,TRUE,TRUE}</definedName>
    <definedName name="wvu.STEW._.LIQUIDS." localSheetId="0" hidden="1">{TRUE,TRUE,19.75,18.25,455.25,236.25,FALSE,TRUE,TRUE,TRUE,0,1,#N/A,1,#N/A,5.58823529411765,11.0769230769231,1,FALSE,FALSE,1,TRUE,1,FALSE,100,"Swvu.STEW._.LIQUIDS.","ACwvu.STEW._.LIQUIDS.",1,FALSE,FALSE,0,0,0.551181102362205,0.0393700787401575,2,"","&amp;L&amp;""Arial,Regular""&amp;8&amp;D &amp;T &amp;F &amp;A ",TRUE,FALSE,FALSE,FALSE,1,#N/A,1,1,"=R3C1:R32C11",FALSE,#N/A,#N/A,FALSE,FALSE,FALSE,1,65532,65532,FALSE,FALSE,TRUE,TRUE,TRUE}</definedName>
    <definedName name="wvu.STEW._.LIQUIDS." hidden="1">{TRUE,TRUE,19.75,18.25,455.25,236.25,FALSE,TRUE,TRUE,TRUE,0,1,#N/A,1,#N/A,5.58823529411765,11.0769230769231,1,FALSE,FALSE,1,TRUE,1,FALSE,100,"Swvu.STEW._.LIQUIDS.","ACwvu.STEW._.LIQUIDS.",1,FALSE,FALSE,0,0,0.551181102362205,0.0393700787401575,2,"","&amp;L&amp;""Arial,Regular""&amp;8&amp;D &amp;T &amp;F &amp;A ",TRUE,FALSE,FALSE,FALSE,1,#N/A,1,1,"=R3C1:R32C11",FALSE,#N/A,#N/A,FALSE,FALSE,FALSE,1,65532,65532,FALSE,FALSE,TRUE,TRUE,TRUE}</definedName>
    <definedName name="wvu.stew._.rept." localSheetId="0" hidden="1">{TRUE,TRUE,19.75,18.25,455.25,236.25,FALSE,TRUE,TRUE,TRUE,0,7,#N/A,13,#N/A,10.265625,12.8,1,FALSE,FALSE,1,TRUE,1,FALSE,100,"Swvu.stew._.rept.","ACwvu.stew._.rept.",1,FALSE,FALSE,0.748031496062992,0.748031496062992,0.62,0.984251968503937,2,"","&amp;L&amp;D &amp;T&amp;C&amp;F",FALSE,FALSE,FALSE,FALSE,1,#N/A,1,1,"=R2C1:R46C18",FALSE,"Rwvu.stew._.rept.",#N/A,FALSE,FALSE}</definedName>
    <definedName name="wvu.stew._.rept." hidden="1">{TRUE,TRUE,19.75,18.25,455.25,236.25,FALSE,TRUE,TRUE,TRUE,0,7,#N/A,13,#N/A,10.265625,12.8,1,FALSE,FALSE,1,TRUE,1,FALSE,100,"Swvu.stew._.rept.","ACwvu.stew._.rept.",1,FALSE,FALSE,0.748031496062992,0.748031496062992,0.62,0.984251968503937,2,"","&amp;L&amp;D &amp;T&amp;C&amp;F",FALSE,FALSE,FALSE,FALSE,1,#N/A,1,1,"=R2C1:R46C18",FALSE,"Rwvu.stew._.rept.",#N/A,FALSE,FALSE}</definedName>
    <definedName name="wvu.STEW._.RPT." localSheetId="0" hidden="1">{TRUE,TRUE,19.75,18.25,455.25,236.25,FALSE,TRUE,TRUE,TRUE,0,1,#N/A,1,#N/A,6.89230769230769,12.7,1,FALSE,FALSE,1,TRUE,1,FALSE,100,"Swvu.STEW._.RPT.","ACwvu.STEW._.RPT.",1,FALSE,FALSE,0.748031496062992,0.748031496062992,0.62,0.984251968503937,2,"","&amp;L&amp;D &amp;T&amp;C&amp;F",FALSE,FALSE,FALSE,FALSE,1,#N/A,1,1,"=R2C1:R46C20",FALSE,"Rwvu.STEW._.RPT.",#N/A,FALSE,FALSE}</definedName>
    <definedName name="wvu.STEW._.RPT." hidden="1">{TRUE,TRUE,19.75,18.25,455.25,236.25,FALSE,TRUE,TRUE,TRUE,0,1,#N/A,1,#N/A,6.89230769230769,12.7,1,FALSE,FALSE,1,TRUE,1,FALSE,100,"Swvu.STEW._.RPT.","ACwvu.STEW._.RPT.",1,FALSE,FALSE,0.748031496062992,0.748031496062992,0.62,0.984251968503937,2,"","&amp;L&amp;D &amp;T&amp;C&amp;F",FALSE,FALSE,FALSE,FALSE,1,#N/A,1,1,"=R2C1:R46C20",FALSE,"Rwvu.STEW._.RPT.",#N/A,FALSE,FALSE}</definedName>
    <definedName name="wvu.STEWCOVER." localSheetId="0" hidden="1">{TRUE,TRUE,19.75,10,455.25,236.25,FALSE,TRUE,TRUE,TRUE,0,27,#N/A,12,#N/A,6.65909090909091,9.38235294117647,1,FALSE,FALSE,1,TRUE,1,FALSE,100,"Swvu.STEWCOVER.","ACwvu.STEWCOVER.",1,FALSE,FALSE,0.551181102362205,0,0.551181102362205,0.0393700787401575,2,"","&amp;L&amp;""Arial""&amp;8&amp;D &amp;T &amp;F STEW GAS ",FALSE,FALSE,FALSE,FALSE,1,110,#N/A,#N/A,"=R1C25:R22C33",FALSE,#N/A,#N/A,FALSE,FALSE}</definedName>
    <definedName name="wvu.STEWCOVER." hidden="1">{TRUE,TRUE,19.75,10,455.25,236.25,FALSE,TRUE,TRUE,TRUE,0,27,#N/A,12,#N/A,6.65909090909091,9.38235294117647,1,FALSE,FALSE,1,TRUE,1,FALSE,100,"Swvu.STEWCOVER.","ACwvu.STEWCOVER.",1,FALSE,FALSE,0.551181102362205,0,0.551181102362205,0.0393700787401575,2,"","&amp;L&amp;""Arial""&amp;8&amp;D &amp;T &amp;F STEW GAS ",FALSE,FALSE,FALSE,FALSE,1,110,#N/A,#N/A,"=R1C25:R22C33",FALSE,#N/A,#N/A,FALSE,FALSE}</definedName>
    <definedName name="ww_1" localSheetId="0" hidden="1">{#N/A,#N/A,FALSE,"TabA";#N/A,#N/A,FALSE,"UTopxFx98";#N/A,#N/A,FALSE,"TopxFx98";#N/A,#N/A,FALSE,"TopxNom"}</definedName>
    <definedName name="ww_1" hidden="1">{#N/A,#N/A,FALSE,"TabA";#N/A,#N/A,FALSE,"UTopxFx98";#N/A,#N/A,FALSE,"TopxFx98";#N/A,#N/A,FALSE,"TopxNom"}</definedName>
    <definedName name="WWW" localSheetId="0" hidden="1">{#N/A,#N/A,TRUE,"PRODUCTION CAPEX OVERVIEW";#N/A,#N/A,TRUE,"Affiliate Detail";#N/A,#N/A,TRUE,"CAPEX PLANNING OVERVIEW"}</definedName>
    <definedName name="WWW" hidden="1">{#N/A,#N/A,TRUE,"PRODUCTION CAPEX OVERVIEW";#N/A,#N/A,TRUE,"Affiliate Detail";#N/A,#N/A,TRUE,"CAPEX PLANNING OVERVIEW"}</definedName>
    <definedName name="wxyz" localSheetId="0" hidden="1">{#N/A,#N/A,FALSE,"CHANGES";#N/A,#N/A,FALSE,"PROD SUMMARY";#N/A,#N/A,FALSE,"1995 PO SUM";#N/A,#N/A,FALSE,"1995 GEOG SUM";#N/A,#N/A,FALSE,"1996 PO SUM";#N/A,#N/A,FALSE,"1996 GEOG SUM"}</definedName>
    <definedName name="wxyz" hidden="1">{#N/A,#N/A,FALSE,"CHANGES";#N/A,#N/A,FALSE,"PROD SUMMARY";#N/A,#N/A,FALSE,"1995 PO SUM";#N/A,#N/A,FALSE,"1995 GEOG SUM";#N/A,#N/A,FALSE,"1996 PO SUM";#N/A,#N/A,FALSE,"1996 GEOG SUM"}</definedName>
    <definedName name="xadcsa" localSheetId="0" hidden="1">{#N/A,#N/A,FALSE,"TabA";#N/A,#N/A,FALSE,"UTopxFx98";#N/A,#N/A,FALSE,"TopxFx98";#N/A,#N/A,FALSE,"TopxNom"}</definedName>
    <definedName name="xadcsa" hidden="1">{#N/A,#N/A,FALSE,"TabA";#N/A,#N/A,FALSE,"UTopxFx98";#N/A,#N/A,FALSE,"TopxFx98";#N/A,#N/A,FALSE,"TopxNom"}</definedName>
    <definedName name="xx" localSheetId="0" hidden="1">#REF!</definedName>
    <definedName name="xx" hidden="1">#REF!</definedName>
    <definedName name="xxx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xxx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xxxx" localSheetId="0" hidden="1">{#N/A,#N/A,FALSE,"TabA";#N/A,#N/A,FALSE,"UTopxFx98";#N/A,#N/A,FALSE,"TopxFx98";#N/A,#N/A,FALSE,"TopxNom"}</definedName>
    <definedName name="xxxx" hidden="1">{#N/A,#N/A,FALSE,"TabA";#N/A,#N/A,FALSE,"UTopxFx98";#N/A,#N/A,FALSE,"TopxFx98";#N/A,#N/A,FALSE,"TopxNom"}</definedName>
    <definedName name="xxxxxx" localSheetId="0" hidden="1">{"'Sheet1'!$A$1:$I$38"}</definedName>
    <definedName name="xxxxxx" hidden="1">{"'Sheet1'!$A$1:$I$38"}</definedName>
    <definedName name="XYZ" localSheetId="0" hidden="1">{#N/A,#N/A,FALSE,"CHANGES";#N/A,#N/A,FALSE,"PROD SUMMARY";#N/A,#N/A,FALSE,"1995 PO SUM";#N/A,#N/A,FALSE,"1995 GEOG SUM";#N/A,#N/A,FALSE,"1996 PO SUM";#N/A,#N/A,FALSE,"1996 GEOG SUM"}</definedName>
    <definedName name="XYZ" hidden="1">{#N/A,#N/A,FALSE,"CHANGES";#N/A,#N/A,FALSE,"PROD SUMMARY";#N/A,#N/A,FALSE,"1995 PO SUM";#N/A,#N/A,FALSE,"1995 GEOG SUM";#N/A,#N/A,FALSE,"1996 PO SUM";#N/A,#N/A,FALSE,"1996 GEOG SUM"}</definedName>
    <definedName name="Y" localSheetId="0" hidden="1">{#N/A,#N/A,FALSE,"CHANGES";#N/A,#N/A,FALSE,"PROD SUMMARY";#N/A,#N/A,FALSE,"1995 PO SUM";#N/A,#N/A,FALSE,"1995 GEOG SUM";#N/A,#N/A,FALSE,"1996 PO SUM";#N/A,#N/A,FALSE,"1996 GEOG SUM"}</definedName>
    <definedName name="Y" hidden="1">{#N/A,#N/A,FALSE,"CHANGES";#N/A,#N/A,FALSE,"PROD SUMMARY";#N/A,#N/A,FALSE,"1995 PO SUM";#N/A,#N/A,FALSE,"1995 GEOG SUM";#N/A,#N/A,FALSE,"1996 PO SUM";#N/A,#N/A,FALSE,"1996 GEOG SUM"}</definedName>
    <definedName name="YEAR" localSheetId="0">#REF!</definedName>
    <definedName name="YEAR">#REF!</definedName>
    <definedName name="Yoho" localSheetId="0">#REF!</definedName>
    <definedName name="Yoho">#REF!</definedName>
    <definedName name="Yoho_Capex" localSheetId="0">#REF!</definedName>
    <definedName name="Yoho_Capex">#REF!</definedName>
    <definedName name="Yoho_prod">#REF!</definedName>
    <definedName name="YTD" localSheetId="0" hidden="1">{#N/A,#N/A,FALSE,"TabA";#N/A,#N/A,FALSE,"UTopxFx98";#N/A,#N/A,FALSE,"TopxFx98";#N/A,#N/A,FALSE,"TopxNom"}</definedName>
    <definedName name="YTD" hidden="1">{#N/A,#N/A,FALSE,"TabA";#N/A,#N/A,FALSE,"UTopxFx98";#N/A,#N/A,FALSE,"TopxFx98";#N/A,#N/A,FALSE,"TopxNom"}</definedName>
    <definedName name="yu" localSheetId="0" hidden="1">{#N/A,#N/A,FALSE,"TabA";#N/A,#N/A,FALSE,"UTopxFx98";#N/A,#N/A,FALSE,"TopxFx98";#N/A,#N/A,FALSE,"TopxNom"}</definedName>
    <definedName name="yu" hidden="1">{#N/A,#N/A,FALSE,"TabA";#N/A,#N/A,FALSE,"UTopxFx98";#N/A,#N/A,FALSE,"TopxFx98";#N/A,#N/A,FALSE,"TopxNom"}</definedName>
    <definedName name="yy" localSheetId="0" hidden="1">{#N/A,#N/A,FALSE,"TabA";#N/A,#N/A,FALSE,"UTopxFx98";#N/A,#N/A,FALSE,"TopxFx98";#N/A,#N/A,FALSE,"TopxNom"}</definedName>
    <definedName name="yy" hidden="1">{#N/A,#N/A,FALSE,"TabA";#N/A,#N/A,FALSE,"UTopxFx98";#N/A,#N/A,FALSE,"TopxFx98";#N/A,#N/A,FALSE,"TopxNom"}</definedName>
    <definedName name="yyy" localSheetId="0" hidden="1">{#N/A,#N/A,TRUE,"PRODUCTION CAPEX OVERVIEW";#N/A,#N/A,TRUE,"Affiliate Detail";#N/A,#N/A,TRUE,"CAPEX PLANNING OVERVIEW"}</definedName>
    <definedName name="yyy" hidden="1">{#N/A,#N/A,TRUE,"PRODUCTION CAPEX OVERVIEW";#N/A,#N/A,TRUE,"Affiliate Detail";#N/A,#N/A,TRUE,"CAPEX PLANNING OVERVIEW"}</definedName>
    <definedName name="z" localSheetId="0" hidden="1">{#N/A,#N/A,FALSE,"TabA";#N/A,#N/A,FALSE,"UTopxFx98";#N/A,#N/A,FALSE,"TopxFx98";#N/A,#N/A,FALSE,"TopxNom"}</definedName>
    <definedName name="z" hidden="1">{#N/A,#N/A,FALSE,"TabA";#N/A,#N/A,FALSE,"UTopxFx98";#N/A,#N/A,FALSE,"TopxFx98";#N/A,#N/A,FALSE,"TopxNom"}</definedName>
    <definedName name="Z_08FF69F1_8DF6_11D6_A9D5_444553544200_.wvu.PrintArea" hidden="1">'[32]Control Document'!$C$4:$Z$111</definedName>
    <definedName name="Z_3141E03F_9802_11D6_ACAE_00B0D06D1B36_.wvu.PrintArea" hidden="1">'[32]Control Document'!$C$4:$Z$111</definedName>
    <definedName name="Z_5E1C5FAC_73F7_11D7_A49B_00065BBECD15_.wvu.Cols" localSheetId="0" hidden="1">#REF!</definedName>
    <definedName name="Z_5E1C5FAC_73F7_11D7_A49B_00065BBECD15_.wvu.Cols" hidden="1">#REF!</definedName>
    <definedName name="Z_5E1C5FAC_73F7_11D7_A49B_00065BBECD15_.wvu.PrintArea" localSheetId="0" hidden="1">#REF!</definedName>
    <definedName name="Z_5E1C5FAC_73F7_11D7_A49B_00065BBECD15_.wvu.PrintArea" hidden="1">#REF!</definedName>
    <definedName name="Z_5E1C5FAC_73F7_11D7_A49B_00065BBECD15_.wvu.PrintTitles" localSheetId="0" hidden="1">#REF!</definedName>
    <definedName name="Z_5E1C5FAC_73F7_11D7_A49B_00065BBECD15_.wvu.PrintTitles" hidden="1">#REF!</definedName>
    <definedName name="Z_5E1C5FAC_73F7_11D7_A49B_00065BBECD15_.wvu.Rows" localSheetId="0" hidden="1">#REF!,#REF!</definedName>
    <definedName name="Z_5E1C5FAC_73F7_11D7_A49B_00065BBECD15_.wvu.Rows" hidden="1">#REF!,#REF!</definedName>
    <definedName name="Z_7B83AEC2_61E0_11D6_A993_00B0D0015855_.wvu.PrintArea" hidden="1">'[32]Control Document'!$C$4:$G$111</definedName>
    <definedName name="Z_9A428CE1_B4D9_11D0_A8AA_0000C071AEE7_.wvu.PrintArea" localSheetId="0" hidden="1">'[43]THREE VARIABLES'!$N$4:$S$5</definedName>
    <definedName name="Z_9A428CE1_B4D9_11D0_A8AA_0000C071AEE7_.wvu.PrintArea" hidden="1">'[44]THREE VARIABLES'!$N$4:$S$5</definedName>
    <definedName name="Z_A8696F41_559A_485B_A800_EBF0FF8BE317_.wvu.FilterData" localSheetId="0" hidden="1">#REF!</definedName>
    <definedName name="Z_A8696F41_559A_485B_A800_EBF0FF8BE317_.wvu.FilterData" hidden="1">#REF!</definedName>
    <definedName name="z_Application" localSheetId="0" hidden="1">'[62]Facility Integrity'!$D$9</definedName>
    <definedName name="z_Application" hidden="1">'[63]Facility Integrity'!$D$9</definedName>
    <definedName name="Z_BE204CEB_4AFA_4571_8208_6C2A1943A3BD_.wvu.FilterData" localSheetId="0" hidden="1">#REF!</definedName>
    <definedName name="Z_BE204CEB_4AFA_4571_8208_6C2A1943A3BD_.wvu.FilterData" hidden="1">#REF!</definedName>
    <definedName name="Z_CEB28C12_742E_11D7_AE2C_444553544200_.wvu.Cols" localSheetId="0" hidden="1">#REF!</definedName>
    <definedName name="Z_CEB28C12_742E_11D7_AE2C_444553544200_.wvu.Cols" hidden="1">#REF!</definedName>
    <definedName name="Z_CEB28C12_742E_11D7_AE2C_444553544200_.wvu.PrintArea" localSheetId="0" hidden="1">#REF!</definedName>
    <definedName name="Z_CEB28C12_742E_11D7_AE2C_444553544200_.wvu.PrintArea" hidden="1">#REF!</definedName>
    <definedName name="Z_CEB28C12_742E_11D7_AE2C_444553544200_.wvu.PrintTitles" localSheetId="0" hidden="1">#REF!</definedName>
    <definedName name="Z_CEB28C12_742E_11D7_AE2C_444553544200_.wvu.PrintTitles" hidden="1">#REF!</definedName>
    <definedName name="Z_CEB28C12_742E_11D7_AE2C_444553544200_.wvu.Rows" localSheetId="0" hidden="1">#REF!,#REF!</definedName>
    <definedName name="Z_CEB28C12_742E_11D7_AE2C_444553544200_.wvu.Rows" hidden="1">#REF!,#REF!</definedName>
    <definedName name="Z_FE742448_7F32_11D6_AFC8_00508BCF9F1A_.wvu.PrintArea" hidden="1">'[32]Control Document'!$C$4:$G$111</definedName>
    <definedName name="zxcvv" localSheetId="0" hidden="1">{#N/A,#N/A,FALSE,"CHANGES";#N/A,#N/A,FALSE,"PROD SUMMARY";#N/A,#N/A,FALSE,"1995 PO SUM";#N/A,#N/A,FALSE,"1995 GEOG SUM";#N/A,#N/A,FALSE,"1996 PO SUM";#N/A,#N/A,FALSE,"1996 GEOG SUM"}</definedName>
    <definedName name="zxcvv" hidden="1">{#N/A,#N/A,FALSE,"CHANGES";#N/A,#N/A,FALSE,"PROD SUMMARY";#N/A,#N/A,FALSE,"1995 PO SUM";#N/A,#N/A,FALSE,"1995 GEOG SUM";#N/A,#N/A,FALSE,"1996 PO SUM";#N/A,#N/A,FALSE,"1996 GEOG SUM"}</definedName>
    <definedName name="zxv" localSheetId="0" hidden="1">{#N/A,#N/A,FALSE,"CHANGES";#N/A,#N/A,FALSE,"PROD SUMMARY";#N/A,#N/A,FALSE,"1995 PO SUM";#N/A,#N/A,FALSE,"1995 GEOG SUM";#N/A,#N/A,FALSE,"1996 PO SUM";#N/A,#N/A,FALSE,"1996 GEOG SUM"}</definedName>
    <definedName name="zxv" hidden="1">{#N/A,#N/A,FALSE,"CHANGES";#N/A,#N/A,FALSE,"PROD SUMMARY";#N/A,#N/A,FALSE,"1995 PO SUM";#N/A,#N/A,FALSE,"1995 GEOG SUM";#N/A,#N/A,FALSE,"1996 PO SUM";#N/A,#N/A,FALSE,"1996 GEOG SUM"}</definedName>
    <definedName name="zyzy" localSheetId="0" hidden="1">{#N/A,#N/A,FALSE,"CHANGES";#N/A,#N/A,FALSE,"PROD SUMMARY";#N/A,#N/A,FALSE,"1995 PO SUM";#N/A,#N/A,FALSE,"1995 GEOG SUM";#N/A,#N/A,FALSE,"1996 PO SUM";#N/A,#N/A,FALSE,"1996 GEOG SUM"}</definedName>
    <definedName name="zyzy" hidden="1">{#N/A,#N/A,FALSE,"CHANGES";#N/A,#N/A,FALSE,"PROD SUMMARY";#N/A,#N/A,FALSE,"1995 PO SUM";#N/A,#N/A,FALSE,"1995 GEOG SUM";#N/A,#N/A,FALSE,"1996 PO SUM";#N/A,#N/A,FALSE,"1996 GEOG SUM"}</definedName>
    <definedName name="ZZ" localSheetId="0">#REF!</definedName>
    <definedName name="ZZ">#REF!</definedName>
    <definedName name="ZZ_EVCOMOPTS" hidden="1">5</definedName>
    <definedName name="zzz" localSheetId="0" hidden="1">{#N/A,#N/A,FALSE,"TabA";#N/A,#N/A,FALSE,"UTopxFx98";#N/A,#N/A,FALSE,"TopxFx98";#N/A,#N/A,FALSE,"TopxNom"}</definedName>
    <definedName name="zzz" hidden="1">{#N/A,#N/A,FALSE,"TabA";#N/A,#N/A,FALSE,"UTopxFx98";#N/A,#N/A,FALSE,"TopxFx98";#N/A,#N/A,FALSE,"TopxNom"}</definedName>
    <definedName name="zzzz" localSheetId="0" hidden="1">{#N/A,#N/A,FALSE,"TabA";#N/A,#N/A,FALSE,"UTopxFx98";#N/A,#N/A,FALSE,"TopxFx98";#N/A,#N/A,FALSE,"TopxNom"}</definedName>
    <definedName name="zzzz" hidden="1">{#N/A,#N/A,FALSE,"TabA";#N/A,#N/A,FALSE,"UTopxFx98";#N/A,#N/A,FALSE,"TopxFx98";#N/A,#N/A,FALSE,"TopxNom"}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H28" i="1" s="1"/>
  <c r="F27" i="1"/>
  <c r="F28" i="1" s="1"/>
  <c r="H27" i="1"/>
  <c r="H2" i="1"/>
  <c r="J8" i="1"/>
  <c r="F8" i="1"/>
  <c r="K5" i="1"/>
  <c r="K4" i="1" s="1"/>
  <c r="E9" i="1" l="1"/>
  <c r="G8" i="1"/>
  <c r="L5" i="1"/>
  <c r="L4" i="1" s="1"/>
  <c r="K8" i="1"/>
  <c r="M5" i="1" l="1"/>
  <c r="M4" i="1" s="1"/>
  <c r="L8" i="1"/>
  <c r="F9" i="1"/>
  <c r="E10" i="1" s="1"/>
  <c r="G10" i="1" s="1"/>
  <c r="K9" i="1" l="1"/>
  <c r="E11" i="1"/>
  <c r="F11" i="1" s="1"/>
  <c r="L9" i="1"/>
  <c r="G9" i="1"/>
  <c r="M9" i="1"/>
  <c r="M8" i="1"/>
  <c r="N5" i="1"/>
  <c r="N4" i="1" s="1"/>
  <c r="M10" i="1" l="1"/>
  <c r="N8" i="1"/>
  <c r="O5" i="1"/>
  <c r="O4" i="1" s="1"/>
  <c r="N9" i="1"/>
  <c r="O10" i="1" l="1"/>
  <c r="N10" i="1"/>
  <c r="K10" i="1"/>
  <c r="L10" i="1"/>
  <c r="O8" i="1"/>
  <c r="P5" i="1"/>
  <c r="P4" i="1" s="1"/>
  <c r="O9" i="1"/>
  <c r="P8" i="1" l="1"/>
  <c r="Q5" i="1"/>
  <c r="Q4" i="1" s="1"/>
  <c r="P9" i="1"/>
  <c r="P10" i="1"/>
  <c r="K11" i="1"/>
  <c r="N11" i="1"/>
  <c r="E7" i="1"/>
  <c r="O11" i="1" l="1"/>
  <c r="L11" i="1"/>
  <c r="Q11" i="1"/>
  <c r="M11" i="1"/>
  <c r="G11" i="1"/>
  <c r="F7" i="1"/>
  <c r="N7" i="1" s="1"/>
  <c r="P11" i="1"/>
  <c r="Q8" i="1"/>
  <c r="R5" i="1"/>
  <c r="R4" i="1" s="1"/>
  <c r="Q9" i="1"/>
  <c r="Q10" i="1"/>
  <c r="Q7" i="1" l="1"/>
  <c r="L7" i="1"/>
  <c r="K7" i="1"/>
  <c r="O7" i="1"/>
  <c r="P7" i="1"/>
  <c r="M7" i="1"/>
  <c r="R8" i="1"/>
  <c r="S5" i="1"/>
  <c r="S4" i="1" s="1"/>
  <c r="R9" i="1"/>
  <c r="R10" i="1"/>
  <c r="R11" i="1"/>
  <c r="R7" i="1"/>
  <c r="R12" i="1" l="1"/>
  <c r="E13" i="1"/>
  <c r="S12" i="1"/>
  <c r="N12" i="1"/>
  <c r="O12" i="1"/>
  <c r="M12" i="1"/>
  <c r="E18" i="1"/>
  <c r="G12" i="1"/>
  <c r="K12" i="1"/>
  <c r="S8" i="1"/>
  <c r="T5" i="1"/>
  <c r="T4" i="1" s="1"/>
  <c r="S9" i="1"/>
  <c r="S10" i="1"/>
  <c r="S11" i="1"/>
  <c r="S7" i="1"/>
  <c r="P12" i="1"/>
  <c r="Q12" i="1"/>
  <c r="L12" i="1"/>
  <c r="H13" i="1" l="1"/>
  <c r="F13" i="1"/>
  <c r="S13" i="1"/>
  <c r="T13" i="1"/>
  <c r="Q13" i="1"/>
  <c r="O13" i="1"/>
  <c r="R13" i="1"/>
  <c r="L13" i="1"/>
  <c r="M13" i="1"/>
  <c r="N13" i="1"/>
  <c r="K13" i="1"/>
  <c r="P13" i="1"/>
  <c r="H18" i="1"/>
  <c r="J18" i="1" s="1"/>
  <c r="E19" i="1"/>
  <c r="F18" i="1"/>
  <c r="G18" i="1" s="1"/>
  <c r="T8" i="1"/>
  <c r="U5" i="1"/>
  <c r="U4" i="1" s="1"/>
  <c r="T9" i="1"/>
  <c r="T10" i="1"/>
  <c r="T11" i="1"/>
  <c r="T7" i="1"/>
  <c r="T12" i="1"/>
  <c r="G13" i="1" l="1"/>
  <c r="E15" i="1"/>
  <c r="U13" i="1"/>
  <c r="H19" i="1"/>
  <c r="F19" i="1"/>
  <c r="E20" i="1" s="1"/>
  <c r="F20" i="1" s="1"/>
  <c r="E22" i="1" s="1"/>
  <c r="F22" i="1" s="1"/>
  <c r="R18" i="1"/>
  <c r="M18" i="1"/>
  <c r="O18" i="1"/>
  <c r="T18" i="1"/>
  <c r="S18" i="1"/>
  <c r="U18" i="1"/>
  <c r="K18" i="1"/>
  <c r="Q18" i="1"/>
  <c r="P18" i="1"/>
  <c r="U8" i="1"/>
  <c r="V5" i="1"/>
  <c r="U9" i="1"/>
  <c r="U10" i="1"/>
  <c r="U11" i="1"/>
  <c r="U7" i="1"/>
  <c r="U12" i="1"/>
  <c r="L18" i="1"/>
  <c r="N18" i="1"/>
  <c r="F15" i="1" l="1"/>
  <c r="V4" i="1"/>
  <c r="V13" i="1"/>
  <c r="V8" i="1"/>
  <c r="W5" i="1"/>
  <c r="V9" i="1"/>
  <c r="V10" i="1"/>
  <c r="V11" i="1"/>
  <c r="V7" i="1"/>
  <c r="V12" i="1"/>
  <c r="V18" i="1"/>
  <c r="J20" i="1"/>
  <c r="U20" i="1"/>
  <c r="J19" i="1"/>
  <c r="O19" i="1"/>
  <c r="W15" i="1" l="1"/>
  <c r="G15" i="1"/>
  <c r="P15" i="1"/>
  <c r="R15" i="1"/>
  <c r="L15" i="1"/>
  <c r="N15" i="1"/>
  <c r="S15" i="1"/>
  <c r="K15" i="1"/>
  <c r="V15" i="1"/>
  <c r="Q15" i="1"/>
  <c r="M15" i="1"/>
  <c r="U15" i="1"/>
  <c r="T15" i="1"/>
  <c r="O15" i="1"/>
  <c r="W4" i="1"/>
  <c r="W13" i="1"/>
  <c r="M20" i="1"/>
  <c r="K20" i="1"/>
  <c r="P19" i="1"/>
  <c r="R20" i="1"/>
  <c r="S20" i="1"/>
  <c r="L20" i="1"/>
  <c r="L19" i="1"/>
  <c r="S19" i="1"/>
  <c r="U19" i="1"/>
  <c r="E21" i="1"/>
  <c r="F21" i="1" s="1"/>
  <c r="G20" i="1"/>
  <c r="P20" i="1"/>
  <c r="W20" i="1"/>
  <c r="V20" i="1"/>
  <c r="O20" i="1"/>
  <c r="K19" i="1"/>
  <c r="N19" i="1"/>
  <c r="Q19" i="1"/>
  <c r="R19" i="1"/>
  <c r="Q20" i="1"/>
  <c r="X5" i="1"/>
  <c r="X15" i="1" s="1"/>
  <c r="W8" i="1"/>
  <c r="W9" i="1"/>
  <c r="W10" i="1"/>
  <c r="W11" i="1"/>
  <c r="W7" i="1"/>
  <c r="W12" i="1"/>
  <c r="W18" i="1"/>
  <c r="G19" i="1"/>
  <c r="M19" i="1"/>
  <c r="T19" i="1"/>
  <c r="V19" i="1"/>
  <c r="W19" i="1"/>
  <c r="T20" i="1"/>
  <c r="N20" i="1"/>
  <c r="X4" i="1" l="1"/>
  <c r="X13" i="1"/>
  <c r="J21" i="1"/>
  <c r="S21" i="1"/>
  <c r="U21" i="1"/>
  <c r="Y5" i="1"/>
  <c r="Y15" i="1" s="1"/>
  <c r="X8" i="1"/>
  <c r="X9" i="1"/>
  <c r="X10" i="1"/>
  <c r="X11" i="1"/>
  <c r="X7" i="1"/>
  <c r="X12" i="1"/>
  <c r="X18" i="1"/>
  <c r="X19" i="1"/>
  <c r="X20" i="1"/>
  <c r="Y4" i="1" l="1"/>
  <c r="Y13" i="1"/>
  <c r="R21" i="1"/>
  <c r="O21" i="1"/>
  <c r="M21" i="1"/>
  <c r="L21" i="1"/>
  <c r="W21" i="1"/>
  <c r="X21" i="1"/>
  <c r="K21" i="1"/>
  <c r="N21" i="1"/>
  <c r="Y8" i="1"/>
  <c r="Z5" i="1"/>
  <c r="Z15" i="1" s="1"/>
  <c r="Y9" i="1"/>
  <c r="Y10" i="1"/>
  <c r="Y11" i="1"/>
  <c r="Y7" i="1"/>
  <c r="Y12" i="1"/>
  <c r="Y18" i="1"/>
  <c r="Y19" i="1"/>
  <c r="Y20" i="1"/>
  <c r="G21" i="1"/>
  <c r="T21" i="1"/>
  <c r="P21" i="1"/>
  <c r="V21" i="1"/>
  <c r="Y21" i="1"/>
  <c r="Q21" i="1"/>
  <c r="Z4" i="1" l="1"/>
  <c r="Z13" i="1"/>
  <c r="W22" i="1"/>
  <c r="AA5" i="1"/>
  <c r="AA15" i="1" s="1"/>
  <c r="Z8" i="1"/>
  <c r="Z9" i="1"/>
  <c r="Z10" i="1"/>
  <c r="Z11" i="1"/>
  <c r="Z7" i="1"/>
  <c r="Z12" i="1"/>
  <c r="Z18" i="1"/>
  <c r="Z19" i="1"/>
  <c r="Z20" i="1"/>
  <c r="Z21" i="1"/>
  <c r="AA4" i="1" l="1"/>
  <c r="AA13" i="1"/>
  <c r="V22" i="1"/>
  <c r="Q22" i="1"/>
  <c r="L22" i="1"/>
  <c r="P22" i="1"/>
  <c r="AA22" i="1"/>
  <c r="M22" i="1"/>
  <c r="X22" i="1"/>
  <c r="R22" i="1"/>
  <c r="S22" i="1"/>
  <c r="T22" i="1"/>
  <c r="U22" i="1"/>
  <c r="K22" i="1"/>
  <c r="N22" i="1"/>
  <c r="O22" i="1"/>
  <c r="Y22" i="1"/>
  <c r="Z22" i="1"/>
  <c r="AB5" i="1"/>
  <c r="AB15" i="1" s="1"/>
  <c r="AA8" i="1"/>
  <c r="AA9" i="1"/>
  <c r="AA10" i="1"/>
  <c r="AA11" i="1"/>
  <c r="AA7" i="1"/>
  <c r="AA12" i="1"/>
  <c r="AA18" i="1"/>
  <c r="AA20" i="1"/>
  <c r="AA19" i="1"/>
  <c r="AA21" i="1"/>
  <c r="G22" i="1"/>
  <c r="E23" i="1"/>
  <c r="AB4" i="1" l="1"/>
  <c r="AB13" i="1"/>
  <c r="F23" i="1"/>
  <c r="AA23" i="1" s="1"/>
  <c r="AB8" i="1"/>
  <c r="AC5" i="1"/>
  <c r="AC15" i="1" s="1"/>
  <c r="AB9" i="1"/>
  <c r="AB10" i="1"/>
  <c r="AB11" i="1"/>
  <c r="AB7" i="1"/>
  <c r="AB12" i="1"/>
  <c r="AB18" i="1"/>
  <c r="AB20" i="1"/>
  <c r="AB19" i="1"/>
  <c r="AB21" i="1"/>
  <c r="AB22" i="1"/>
  <c r="AC4" i="1" l="1"/>
  <c r="AC13" i="1"/>
  <c r="U23" i="1"/>
  <c r="T23" i="1"/>
  <c r="X23" i="1"/>
  <c r="L23" i="1"/>
  <c r="Q23" i="1"/>
  <c r="V23" i="1"/>
  <c r="Y23" i="1"/>
  <c r="M23" i="1"/>
  <c r="Z23" i="1"/>
  <c r="N23" i="1"/>
  <c r="AB23" i="1"/>
  <c r="P23" i="1"/>
  <c r="AC8" i="1"/>
  <c r="AD5" i="1"/>
  <c r="AD15" i="1" s="1"/>
  <c r="AC9" i="1"/>
  <c r="AC10" i="1"/>
  <c r="AC11" i="1"/>
  <c r="AC7" i="1"/>
  <c r="AC12" i="1"/>
  <c r="AC18" i="1"/>
  <c r="AC20" i="1"/>
  <c r="AC19" i="1"/>
  <c r="AC21" i="1"/>
  <c r="AC22" i="1"/>
  <c r="AC23" i="1"/>
  <c r="R23" i="1"/>
  <c r="S23" i="1"/>
  <c r="O23" i="1"/>
  <c r="W23" i="1"/>
  <c r="E24" i="1"/>
  <c r="G23" i="1"/>
  <c r="K23" i="1"/>
  <c r="AD4" i="1" l="1"/>
  <c r="AD13" i="1"/>
  <c r="J24" i="1"/>
  <c r="F24" i="1"/>
  <c r="AD24" i="1" s="1"/>
  <c r="AE5" i="1"/>
  <c r="AE15" i="1" s="1"/>
  <c r="AD8" i="1"/>
  <c r="AD9" i="1"/>
  <c r="AD10" i="1"/>
  <c r="AD11" i="1"/>
  <c r="AD7" i="1"/>
  <c r="AD12" i="1"/>
  <c r="AD18" i="1"/>
  <c r="AD19" i="1"/>
  <c r="AD20" i="1"/>
  <c r="AD21" i="1"/>
  <c r="AD22" i="1"/>
  <c r="AD23" i="1"/>
  <c r="AE4" i="1" l="1"/>
  <c r="AE13" i="1"/>
  <c r="Y24" i="1"/>
  <c r="R24" i="1"/>
  <c r="S24" i="1"/>
  <c r="U24" i="1"/>
  <c r="T24" i="1"/>
  <c r="V24" i="1"/>
  <c r="X24" i="1"/>
  <c r="M24" i="1"/>
  <c r="AA24" i="1"/>
  <c r="K24" i="1"/>
  <c r="N24" i="1"/>
  <c r="P24" i="1"/>
  <c r="Q24" i="1"/>
  <c r="AB24" i="1"/>
  <c r="L24" i="1"/>
  <c r="Z24" i="1"/>
  <c r="AF5" i="1"/>
  <c r="AF15" i="1" s="1"/>
  <c r="AE8" i="1"/>
  <c r="AE9" i="1"/>
  <c r="AE10" i="1"/>
  <c r="AE11" i="1"/>
  <c r="AE7" i="1"/>
  <c r="AE12" i="1"/>
  <c r="AE18" i="1"/>
  <c r="AE19" i="1"/>
  <c r="AE20" i="1"/>
  <c r="AE21" i="1"/>
  <c r="AE22" i="1"/>
  <c r="AE23" i="1"/>
  <c r="AC24" i="1"/>
  <c r="W24" i="1"/>
  <c r="AE24" i="1"/>
  <c r="E25" i="1"/>
  <c r="G24" i="1"/>
  <c r="O24" i="1"/>
  <c r="AF4" i="1" l="1"/>
  <c r="AF13" i="1"/>
  <c r="G28" i="1"/>
  <c r="J28" i="1"/>
  <c r="J25" i="1"/>
  <c r="F25" i="1"/>
  <c r="Q25" i="1" s="1"/>
  <c r="E17" i="1"/>
  <c r="AF8" i="1"/>
  <c r="AG5" i="1"/>
  <c r="AG15" i="1" s="1"/>
  <c r="AF9" i="1"/>
  <c r="AF10" i="1"/>
  <c r="AF11" i="1"/>
  <c r="AF7" i="1"/>
  <c r="AF12" i="1"/>
  <c r="AF18" i="1"/>
  <c r="AF19" i="1"/>
  <c r="AF20" i="1"/>
  <c r="AF21" i="1"/>
  <c r="AF22" i="1"/>
  <c r="AF23" i="1"/>
  <c r="AF24" i="1"/>
  <c r="AG4" i="1" l="1"/>
  <c r="AG13" i="1"/>
  <c r="P28" i="1"/>
  <c r="AG28" i="1"/>
  <c r="K25" i="1"/>
  <c r="U25" i="1"/>
  <c r="K28" i="1"/>
  <c r="L28" i="1"/>
  <c r="Q28" i="1"/>
  <c r="AC25" i="1"/>
  <c r="R25" i="1"/>
  <c r="AE25" i="1"/>
  <c r="X25" i="1"/>
  <c r="W25" i="1"/>
  <c r="S25" i="1"/>
  <c r="L25" i="1"/>
  <c r="Z28" i="1"/>
  <c r="AF25" i="1"/>
  <c r="AA25" i="1"/>
  <c r="N25" i="1"/>
  <c r="O25" i="1"/>
  <c r="T25" i="1"/>
  <c r="AB25" i="1"/>
  <c r="V28" i="1"/>
  <c r="M25" i="1"/>
  <c r="Y25" i="1"/>
  <c r="Z25" i="1"/>
  <c r="X28" i="1"/>
  <c r="T28" i="1"/>
  <c r="AH5" i="1"/>
  <c r="AH15" i="1" s="1"/>
  <c r="AG8" i="1"/>
  <c r="AG9" i="1"/>
  <c r="AG10" i="1"/>
  <c r="AG11" i="1"/>
  <c r="AG7" i="1"/>
  <c r="AG12" i="1"/>
  <c r="AG18" i="1"/>
  <c r="AG20" i="1"/>
  <c r="AG19" i="1"/>
  <c r="AG21" i="1"/>
  <c r="AG22" i="1"/>
  <c r="AG23" i="1"/>
  <c r="AG24" i="1"/>
  <c r="R28" i="1"/>
  <c r="G25" i="1"/>
  <c r="F17" i="1"/>
  <c r="L17" i="1" s="1"/>
  <c r="P25" i="1"/>
  <c r="U28" i="1"/>
  <c r="AF28" i="1"/>
  <c r="W28" i="1"/>
  <c r="O28" i="1"/>
  <c r="AD28" i="1"/>
  <c r="N28" i="1"/>
  <c r="AC28" i="1"/>
  <c r="AG25" i="1"/>
  <c r="V25" i="1"/>
  <c r="AD25" i="1"/>
  <c r="M28" i="1"/>
  <c r="AB28" i="1"/>
  <c r="S28" i="1"/>
  <c r="Y28" i="1"/>
  <c r="AA28" i="1"/>
  <c r="AE28" i="1"/>
  <c r="AH4" i="1" l="1"/>
  <c r="AH13" i="1"/>
  <c r="S17" i="1"/>
  <c r="V17" i="1"/>
  <c r="AB17" i="1"/>
  <c r="O17" i="1"/>
  <c r="AE17" i="1"/>
  <c r="Q17" i="1"/>
  <c r="AF17" i="1"/>
  <c r="P17" i="1"/>
  <c r="K17" i="1"/>
  <c r="X17" i="1"/>
  <c r="AD17" i="1"/>
  <c r="AH8" i="1"/>
  <c r="AI5" i="1"/>
  <c r="AI15" i="1" s="1"/>
  <c r="AH9" i="1"/>
  <c r="AH10" i="1"/>
  <c r="AH11" i="1"/>
  <c r="AH7" i="1"/>
  <c r="AH12" i="1"/>
  <c r="AH18" i="1"/>
  <c r="AH19" i="1"/>
  <c r="AH20" i="1"/>
  <c r="AH21" i="1"/>
  <c r="AH22" i="1"/>
  <c r="AH23" i="1"/>
  <c r="AH24" i="1"/>
  <c r="AH25" i="1"/>
  <c r="AH28" i="1"/>
  <c r="T17" i="1"/>
  <c r="AC17" i="1"/>
  <c r="W17" i="1"/>
  <c r="U17" i="1"/>
  <c r="AH17" i="1"/>
  <c r="Y17" i="1"/>
  <c r="M17" i="1"/>
  <c r="N17" i="1"/>
  <c r="AC27" i="1"/>
  <c r="R17" i="1"/>
  <c r="AA17" i="1"/>
  <c r="Z17" i="1"/>
  <c r="AG17" i="1"/>
  <c r="AI4" i="1" l="1"/>
  <c r="AI13" i="1"/>
  <c r="AA27" i="1"/>
  <c r="N27" i="1"/>
  <c r="AG27" i="1"/>
  <c r="L27" i="1"/>
  <c r="X27" i="1"/>
  <c r="O27" i="1"/>
  <c r="P27" i="1"/>
  <c r="AF27" i="1"/>
  <c r="AD27" i="1"/>
  <c r="M27" i="1"/>
  <c r="Y27" i="1"/>
  <c r="T27" i="1"/>
  <c r="Z27" i="1"/>
  <c r="V27" i="1"/>
  <c r="K27" i="1"/>
  <c r="Q27" i="1"/>
  <c r="U27" i="1"/>
  <c r="AB27" i="1"/>
  <c r="E29" i="1"/>
  <c r="G27" i="1"/>
  <c r="AI8" i="1"/>
  <c r="AJ5" i="1"/>
  <c r="AJ15" i="1" s="1"/>
  <c r="AI9" i="1"/>
  <c r="AI10" i="1"/>
  <c r="AI11" i="1"/>
  <c r="AI7" i="1"/>
  <c r="AI12" i="1"/>
  <c r="AI18" i="1"/>
  <c r="AI20" i="1"/>
  <c r="AI19" i="1"/>
  <c r="AI21" i="1"/>
  <c r="AI22" i="1"/>
  <c r="AI23" i="1"/>
  <c r="AI24" i="1"/>
  <c r="AI28" i="1"/>
  <c r="AI25" i="1"/>
  <c r="AI17" i="1"/>
  <c r="AE27" i="1"/>
  <c r="W27" i="1"/>
  <c r="AI27" i="1"/>
  <c r="S27" i="1"/>
  <c r="R27" i="1"/>
  <c r="AH27" i="1"/>
  <c r="AJ4" i="1" l="1"/>
  <c r="AJ13" i="1"/>
  <c r="E30" i="1"/>
  <c r="H29" i="1"/>
  <c r="AJ8" i="1"/>
  <c r="AK5" i="1"/>
  <c r="AK15" i="1" s="1"/>
  <c r="AJ9" i="1"/>
  <c r="AJ10" i="1"/>
  <c r="AJ11" i="1"/>
  <c r="AJ7" i="1"/>
  <c r="AJ12" i="1"/>
  <c r="AJ18" i="1"/>
  <c r="AJ19" i="1"/>
  <c r="AJ20" i="1"/>
  <c r="AJ21" i="1"/>
  <c r="AJ22" i="1"/>
  <c r="AJ23" i="1"/>
  <c r="AJ24" i="1"/>
  <c r="AJ28" i="1"/>
  <c r="AJ25" i="1"/>
  <c r="AJ17" i="1"/>
  <c r="AJ27" i="1"/>
  <c r="F29" i="1"/>
  <c r="AJ29" i="1" s="1"/>
  <c r="AK4" i="1" l="1"/>
  <c r="AK13" i="1"/>
  <c r="H30" i="1"/>
  <c r="F30" i="1"/>
  <c r="X29" i="1"/>
  <c r="K29" i="1"/>
  <c r="Y29" i="1"/>
  <c r="S29" i="1"/>
  <c r="AE29" i="1"/>
  <c r="AH29" i="1"/>
  <c r="Q29" i="1"/>
  <c r="AK29" i="1"/>
  <c r="AI29" i="1"/>
  <c r="O29" i="1"/>
  <c r="L29" i="1"/>
  <c r="AB29" i="1"/>
  <c r="M29" i="1"/>
  <c r="N29" i="1"/>
  <c r="U29" i="1"/>
  <c r="Z29" i="1"/>
  <c r="V29" i="1"/>
  <c r="W29" i="1"/>
  <c r="AA29" i="1"/>
  <c r="R29" i="1"/>
  <c r="AC29" i="1"/>
  <c r="AD29" i="1"/>
  <c r="AG29" i="1"/>
  <c r="G29" i="1"/>
  <c r="T29" i="1"/>
  <c r="AF29" i="1"/>
  <c r="P29" i="1"/>
  <c r="AK8" i="1"/>
  <c r="AL5" i="1"/>
  <c r="AL15" i="1" s="1"/>
  <c r="AK9" i="1"/>
  <c r="AK10" i="1"/>
  <c r="AK11" i="1"/>
  <c r="AK7" i="1"/>
  <c r="AK12" i="1"/>
  <c r="AK18" i="1"/>
  <c r="AK20" i="1"/>
  <c r="AK19" i="1"/>
  <c r="AK21" i="1"/>
  <c r="AK22" i="1"/>
  <c r="AK23" i="1"/>
  <c r="AK24" i="1"/>
  <c r="AK25" i="1"/>
  <c r="AK28" i="1"/>
  <c r="AK17" i="1"/>
  <c r="AK27" i="1"/>
  <c r="AL4" i="1" l="1"/>
  <c r="AL13" i="1"/>
  <c r="AL8" i="1"/>
  <c r="AM5" i="1"/>
  <c r="AM15" i="1" s="1"/>
  <c r="AL9" i="1"/>
  <c r="AL10" i="1"/>
  <c r="AL11" i="1"/>
  <c r="AL7" i="1"/>
  <c r="AL12" i="1"/>
  <c r="AL18" i="1"/>
  <c r="AL20" i="1"/>
  <c r="AL19" i="1"/>
  <c r="AL21" i="1"/>
  <c r="AL22" i="1"/>
  <c r="AL23" i="1"/>
  <c r="AL24" i="1"/>
  <c r="AL28" i="1"/>
  <c r="AL25" i="1"/>
  <c r="AL17" i="1"/>
  <c r="AL27" i="1"/>
  <c r="AL29" i="1"/>
  <c r="AC30" i="1"/>
  <c r="J30" i="1"/>
  <c r="AM4" i="1" l="1"/>
  <c r="AM13" i="1"/>
  <c r="N30" i="1"/>
  <c r="P30" i="1"/>
  <c r="AE30" i="1"/>
  <c r="AG30" i="1"/>
  <c r="X30" i="1"/>
  <c r="Q30" i="1"/>
  <c r="AJ30" i="1"/>
  <c r="AA30" i="1"/>
  <c r="K30" i="1"/>
  <c r="L30" i="1"/>
  <c r="O30" i="1"/>
  <c r="W30" i="1"/>
  <c r="M30" i="1"/>
  <c r="T30" i="1"/>
  <c r="U30" i="1"/>
  <c r="AK30" i="1"/>
  <c r="AM30" i="1"/>
  <c r="G30" i="1"/>
  <c r="E31" i="1"/>
  <c r="AL30" i="1"/>
  <c r="R30" i="1"/>
  <c r="AH30" i="1"/>
  <c r="V30" i="1"/>
  <c r="AB30" i="1"/>
  <c r="Z30" i="1"/>
  <c r="AF30" i="1"/>
  <c r="AD30" i="1"/>
  <c r="S30" i="1"/>
  <c r="Y30" i="1"/>
  <c r="AN5" i="1"/>
  <c r="AN15" i="1" s="1"/>
  <c r="AM8" i="1"/>
  <c r="AM9" i="1"/>
  <c r="AM10" i="1"/>
  <c r="AM11" i="1"/>
  <c r="AM7" i="1"/>
  <c r="AM12" i="1"/>
  <c r="AM18" i="1"/>
  <c r="AM20" i="1"/>
  <c r="AM19" i="1"/>
  <c r="AM21" i="1"/>
  <c r="AM22" i="1"/>
  <c r="AM23" i="1"/>
  <c r="AM24" i="1"/>
  <c r="AM28" i="1"/>
  <c r="AM25" i="1"/>
  <c r="AM17" i="1"/>
  <c r="AM27" i="1"/>
  <c r="AM29" i="1"/>
  <c r="AI30" i="1"/>
  <c r="AN4" i="1" l="1"/>
  <c r="AN13" i="1"/>
  <c r="AN8" i="1"/>
  <c r="AO5" i="1"/>
  <c r="AO15" i="1" s="1"/>
  <c r="AN9" i="1"/>
  <c r="AN10" i="1"/>
  <c r="AN11" i="1"/>
  <c r="AN7" i="1"/>
  <c r="AN12" i="1"/>
  <c r="AN18" i="1"/>
  <c r="AN20" i="1"/>
  <c r="AN19" i="1"/>
  <c r="AN21" i="1"/>
  <c r="AN22" i="1"/>
  <c r="AN23" i="1"/>
  <c r="AN24" i="1"/>
  <c r="AN25" i="1"/>
  <c r="AN28" i="1"/>
  <c r="AN17" i="1"/>
  <c r="AN27" i="1"/>
  <c r="AN29" i="1"/>
  <c r="AN30" i="1"/>
  <c r="J31" i="1"/>
  <c r="F31" i="1"/>
  <c r="AE31" i="1" s="1"/>
  <c r="AO4" i="1" l="1"/>
  <c r="AO13" i="1"/>
  <c r="Y31" i="1"/>
  <c r="M31" i="1"/>
  <c r="X31" i="1"/>
  <c r="AG31" i="1"/>
  <c r="AJ31" i="1"/>
  <c r="AK31" i="1"/>
  <c r="Q31" i="1"/>
  <c r="AO31" i="1"/>
  <c r="AM31" i="1"/>
  <c r="Z31" i="1"/>
  <c r="AH31" i="1"/>
  <c r="R31" i="1"/>
  <c r="V31" i="1"/>
  <c r="AL31" i="1"/>
  <c r="AN31" i="1"/>
  <c r="L31" i="1"/>
  <c r="W31" i="1"/>
  <c r="P31" i="1"/>
  <c r="AB31" i="1"/>
  <c r="K31" i="1"/>
  <c r="AC31" i="1"/>
  <c r="O31" i="1"/>
  <c r="S31" i="1"/>
  <c r="G31" i="1"/>
  <c r="E32" i="1"/>
  <c r="F32" i="1" s="1"/>
  <c r="AI31" i="1"/>
  <c r="T31" i="1"/>
  <c r="N31" i="1"/>
  <c r="AF31" i="1"/>
  <c r="AO8" i="1"/>
  <c r="AP5" i="1"/>
  <c r="AP15" i="1" s="1"/>
  <c r="AO9" i="1"/>
  <c r="AO10" i="1"/>
  <c r="AO11" i="1"/>
  <c r="AO7" i="1"/>
  <c r="AO12" i="1"/>
  <c r="AO18" i="1"/>
  <c r="AO19" i="1"/>
  <c r="AO20" i="1"/>
  <c r="AO21" i="1"/>
  <c r="AO22" i="1"/>
  <c r="AO23" i="1"/>
  <c r="AO24" i="1"/>
  <c r="AO28" i="1"/>
  <c r="AO25" i="1"/>
  <c r="AO17" i="1"/>
  <c r="AO27" i="1"/>
  <c r="AO29" i="1"/>
  <c r="AO30" i="1"/>
  <c r="AA31" i="1"/>
  <c r="AD31" i="1"/>
  <c r="U31" i="1"/>
  <c r="AP4" i="1" l="1"/>
  <c r="AP13" i="1"/>
  <c r="AQ5" i="1"/>
  <c r="AQ15" i="1" s="1"/>
  <c r="AP8" i="1"/>
  <c r="AP9" i="1"/>
  <c r="AP10" i="1"/>
  <c r="AP11" i="1"/>
  <c r="AP7" i="1"/>
  <c r="AP12" i="1"/>
  <c r="AP18" i="1"/>
  <c r="AP19" i="1"/>
  <c r="AP20" i="1"/>
  <c r="AP21" i="1"/>
  <c r="AP22" i="1"/>
  <c r="AP23" i="1"/>
  <c r="AP24" i="1"/>
  <c r="AP28" i="1"/>
  <c r="AP25" i="1"/>
  <c r="AP17" i="1"/>
  <c r="AP27" i="1"/>
  <c r="AP29" i="1"/>
  <c r="AP30" i="1"/>
  <c r="AP31" i="1"/>
  <c r="J32" i="1"/>
  <c r="AH32" i="1"/>
  <c r="AQ4" i="1" l="1"/>
  <c r="AQ13" i="1"/>
  <c r="AP32" i="1"/>
  <c r="S32" i="1"/>
  <c r="O32" i="1"/>
  <c r="AG32" i="1"/>
  <c r="AN32" i="1"/>
  <c r="AF32" i="1"/>
  <c r="AA32" i="1"/>
  <c r="AO32" i="1"/>
  <c r="N32" i="1"/>
  <c r="V32" i="1"/>
  <c r="Z32" i="1"/>
  <c r="AJ32" i="1"/>
  <c r="AD32" i="1"/>
  <c r="G32" i="1"/>
  <c r="E33" i="1"/>
  <c r="P32" i="1"/>
  <c r="R32" i="1"/>
  <c r="AL32" i="1"/>
  <c r="M32" i="1"/>
  <c r="K32" i="1"/>
  <c r="AQ32" i="1"/>
  <c r="Y32" i="1"/>
  <c r="X32" i="1"/>
  <c r="AK32" i="1"/>
  <c r="AC32" i="1"/>
  <c r="W32" i="1"/>
  <c r="L32" i="1"/>
  <c r="AI32" i="1"/>
  <c r="T32" i="1"/>
  <c r="U32" i="1"/>
  <c r="AE32" i="1"/>
  <c r="AM32" i="1"/>
  <c r="Q32" i="1"/>
  <c r="AB32" i="1"/>
  <c r="AR5" i="1"/>
  <c r="AR15" i="1" s="1"/>
  <c r="AQ8" i="1"/>
  <c r="AQ9" i="1"/>
  <c r="AQ10" i="1"/>
  <c r="AQ11" i="1"/>
  <c r="AQ7" i="1"/>
  <c r="AQ12" i="1"/>
  <c r="AQ18" i="1"/>
  <c r="AQ19" i="1"/>
  <c r="AQ20" i="1"/>
  <c r="AQ21" i="1"/>
  <c r="AQ22" i="1"/>
  <c r="AQ23" i="1"/>
  <c r="AQ24" i="1"/>
  <c r="AQ28" i="1"/>
  <c r="AQ25" i="1"/>
  <c r="AQ17" i="1"/>
  <c r="AQ27" i="1"/>
  <c r="AQ29" i="1"/>
  <c r="AQ30" i="1"/>
  <c r="AQ31" i="1"/>
  <c r="AR4" i="1" l="1"/>
  <c r="AR13" i="1"/>
  <c r="AR8" i="1"/>
  <c r="AS5" i="1"/>
  <c r="AS15" i="1" s="1"/>
  <c r="AR9" i="1"/>
  <c r="AR10" i="1"/>
  <c r="AR11" i="1"/>
  <c r="AR7" i="1"/>
  <c r="AR12" i="1"/>
  <c r="AR18" i="1"/>
  <c r="AR19" i="1"/>
  <c r="AR20" i="1"/>
  <c r="AR21" i="1"/>
  <c r="AR22" i="1"/>
  <c r="AR23" i="1"/>
  <c r="AR24" i="1"/>
  <c r="AR28" i="1"/>
  <c r="AR25" i="1"/>
  <c r="AR17" i="1"/>
  <c r="AR27" i="1"/>
  <c r="AR29" i="1"/>
  <c r="AR30" i="1"/>
  <c r="AR31" i="1"/>
  <c r="AR32" i="1"/>
  <c r="J33" i="1"/>
  <c r="F33" i="1"/>
  <c r="AS4" i="1" l="1"/>
  <c r="AS13" i="1"/>
  <c r="Z33" i="1"/>
  <c r="E37" i="1"/>
  <c r="AJ33" i="1"/>
  <c r="X33" i="1"/>
  <c r="M33" i="1"/>
  <c r="S33" i="1"/>
  <c r="AK33" i="1"/>
  <c r="R33" i="1"/>
  <c r="U33" i="1"/>
  <c r="V33" i="1"/>
  <c r="AR33" i="1"/>
  <c r="AO33" i="1"/>
  <c r="AC33" i="1"/>
  <c r="K33" i="1"/>
  <c r="AP33" i="1"/>
  <c r="Q33" i="1"/>
  <c r="AS33" i="1"/>
  <c r="AD33" i="1"/>
  <c r="AF33" i="1"/>
  <c r="Y33" i="1"/>
  <c r="AH33" i="1"/>
  <c r="AQ33" i="1"/>
  <c r="AI33" i="1"/>
  <c r="AM33" i="1"/>
  <c r="AE33" i="1"/>
  <c r="E34" i="1"/>
  <c r="G33" i="1"/>
  <c r="AG33" i="1"/>
  <c r="W33" i="1"/>
  <c r="T33" i="1"/>
  <c r="N33" i="1"/>
  <c r="AL33" i="1"/>
  <c r="AA33" i="1"/>
  <c r="O33" i="1"/>
  <c r="AT5" i="1"/>
  <c r="AT15" i="1" s="1"/>
  <c r="AS8" i="1"/>
  <c r="AS9" i="1"/>
  <c r="AS10" i="1"/>
  <c r="AS11" i="1"/>
  <c r="AS7" i="1"/>
  <c r="AS12" i="1"/>
  <c r="AS18" i="1"/>
  <c r="AS19" i="1"/>
  <c r="AS20" i="1"/>
  <c r="AS21" i="1"/>
  <c r="AS22" i="1"/>
  <c r="AS23" i="1"/>
  <c r="AS24" i="1"/>
  <c r="AS25" i="1"/>
  <c r="AS28" i="1"/>
  <c r="AS17" i="1"/>
  <c r="AS27" i="1"/>
  <c r="AS29" i="1"/>
  <c r="AS30" i="1"/>
  <c r="AS31" i="1"/>
  <c r="AS32" i="1"/>
  <c r="AN33" i="1"/>
  <c r="AB33" i="1"/>
  <c r="P33" i="1"/>
  <c r="L33" i="1"/>
  <c r="AT4" i="1" l="1"/>
  <c r="AT13" i="1"/>
  <c r="J37" i="1"/>
  <c r="F37" i="1"/>
  <c r="G37" i="1" s="1"/>
  <c r="F34" i="1"/>
  <c r="L34" i="1" s="1"/>
  <c r="J34" i="1"/>
  <c r="E26" i="1"/>
  <c r="AT8" i="1"/>
  <c r="AU5" i="1"/>
  <c r="AT9" i="1"/>
  <c r="AT10" i="1"/>
  <c r="AT11" i="1"/>
  <c r="AT7" i="1"/>
  <c r="AT12" i="1"/>
  <c r="AT18" i="1"/>
  <c r="AT19" i="1"/>
  <c r="AT20" i="1"/>
  <c r="AT21" i="1"/>
  <c r="AT22" i="1"/>
  <c r="AT23" i="1"/>
  <c r="AT24" i="1"/>
  <c r="AT28" i="1"/>
  <c r="AT25" i="1"/>
  <c r="AT17" i="1"/>
  <c r="AT27" i="1"/>
  <c r="AT29" i="1"/>
  <c r="AT30" i="1"/>
  <c r="AT31" i="1"/>
  <c r="AT32" i="1"/>
  <c r="AT33" i="1"/>
  <c r="AU13" i="1" l="1"/>
  <c r="AU15" i="1"/>
  <c r="O34" i="1"/>
  <c r="AF34" i="1"/>
  <c r="AU37" i="1"/>
  <c r="AU4" i="1"/>
  <c r="AI37" i="1"/>
  <c r="R34" i="1"/>
  <c r="Y37" i="1"/>
  <c r="Z37" i="1"/>
  <c r="W37" i="1"/>
  <c r="AG34" i="1"/>
  <c r="P34" i="1"/>
  <c r="T34" i="1"/>
  <c r="AT34" i="1"/>
  <c r="AH34" i="1"/>
  <c r="AN34" i="1"/>
  <c r="AE34" i="1"/>
  <c r="AQ37" i="1"/>
  <c r="Z34" i="1"/>
  <c r="AR34" i="1"/>
  <c r="L37" i="1"/>
  <c r="AB34" i="1"/>
  <c r="M34" i="1"/>
  <c r="AE37" i="1"/>
  <c r="Y34" i="1"/>
  <c r="M37" i="1"/>
  <c r="K34" i="1"/>
  <c r="AK34" i="1"/>
  <c r="AF37" i="1"/>
  <c r="AD34" i="1"/>
  <c r="AL34" i="1"/>
  <c r="AJ37" i="1"/>
  <c r="P37" i="1"/>
  <c r="AO34" i="1"/>
  <c r="AI34" i="1"/>
  <c r="AK37" i="1"/>
  <c r="AB37" i="1"/>
  <c r="AN37" i="1"/>
  <c r="AA34" i="1"/>
  <c r="AJ34" i="1"/>
  <c r="V37" i="1"/>
  <c r="AS37" i="1"/>
  <c r="E16" i="1"/>
  <c r="N34" i="1"/>
  <c r="N37" i="1"/>
  <c r="T37" i="1"/>
  <c r="K37" i="1"/>
  <c r="Q37" i="1"/>
  <c r="AP34" i="1"/>
  <c r="Q34" i="1"/>
  <c r="X34" i="1"/>
  <c r="AQ34" i="1"/>
  <c r="AC34" i="1"/>
  <c r="AM34" i="1"/>
  <c r="X37" i="1"/>
  <c r="AM37" i="1"/>
  <c r="AR37" i="1"/>
  <c r="AA37" i="1"/>
  <c r="AC37" i="1"/>
  <c r="AU34" i="1"/>
  <c r="AS34" i="1"/>
  <c r="AO37" i="1"/>
  <c r="AV5" i="1"/>
  <c r="AU8" i="1"/>
  <c r="AU9" i="1"/>
  <c r="AU10" i="1"/>
  <c r="AU11" i="1"/>
  <c r="AU7" i="1"/>
  <c r="AU12" i="1"/>
  <c r="AU18" i="1"/>
  <c r="AU19" i="1"/>
  <c r="AU20" i="1"/>
  <c r="AU21" i="1"/>
  <c r="AU22" i="1"/>
  <c r="AU23" i="1"/>
  <c r="AU24" i="1"/>
  <c r="AU25" i="1"/>
  <c r="AU28" i="1"/>
  <c r="AU17" i="1"/>
  <c r="AU27" i="1"/>
  <c r="AU29" i="1"/>
  <c r="AU30" i="1"/>
  <c r="AU31" i="1"/>
  <c r="AU32" i="1"/>
  <c r="AU33" i="1"/>
  <c r="AT37" i="1"/>
  <c r="R37" i="1"/>
  <c r="W34" i="1"/>
  <c r="AD37" i="1"/>
  <c r="E36" i="1"/>
  <c r="G34" i="1"/>
  <c r="F26" i="1"/>
  <c r="F16" i="1" s="1"/>
  <c r="AP37" i="1"/>
  <c r="U37" i="1"/>
  <c r="U34" i="1"/>
  <c r="V34" i="1"/>
  <c r="S34" i="1"/>
  <c r="AL37" i="1"/>
  <c r="O37" i="1"/>
  <c r="AH37" i="1"/>
  <c r="S37" i="1"/>
  <c r="AG37" i="1"/>
  <c r="AV13" i="1" l="1"/>
  <c r="AV15" i="1"/>
  <c r="AV26" i="1"/>
  <c r="AV4" i="1"/>
  <c r="AA26" i="1"/>
  <c r="AO26" i="1"/>
  <c r="AU26" i="1"/>
  <c r="L26" i="1"/>
  <c r="AT26" i="1"/>
  <c r="Z26" i="1"/>
  <c r="AB26" i="1"/>
  <c r="AP26" i="1"/>
  <c r="AC26" i="1"/>
  <c r="AQ26" i="1"/>
  <c r="AD26" i="1"/>
  <c r="AR26" i="1"/>
  <c r="W26" i="1"/>
  <c r="AM26" i="1"/>
  <c r="AI26" i="1"/>
  <c r="U26" i="1"/>
  <c r="AO16" i="1"/>
  <c r="AC16" i="1"/>
  <c r="Q16" i="1"/>
  <c r="AM16" i="1"/>
  <c r="AA16" i="1"/>
  <c r="O16" i="1"/>
  <c r="AL16" i="1"/>
  <c r="Z16" i="1"/>
  <c r="N16" i="1"/>
  <c r="AV16" i="1"/>
  <c r="AJ16" i="1"/>
  <c r="X16" i="1"/>
  <c r="L16" i="1"/>
  <c r="AU16" i="1"/>
  <c r="AI16" i="1"/>
  <c r="W16" i="1"/>
  <c r="K16" i="1"/>
  <c r="AT16" i="1"/>
  <c r="AH16" i="1"/>
  <c r="V16" i="1"/>
  <c r="AN16" i="1"/>
  <c r="P16" i="1"/>
  <c r="AP16" i="1"/>
  <c r="AK16" i="1"/>
  <c r="M16" i="1"/>
  <c r="AG16" i="1"/>
  <c r="AF16" i="1"/>
  <c r="AE16" i="1"/>
  <c r="AD16" i="1"/>
  <c r="T16" i="1"/>
  <c r="AB16" i="1"/>
  <c r="AR16" i="1"/>
  <c r="R16" i="1"/>
  <c r="Y16" i="1"/>
  <c r="AQ16" i="1"/>
  <c r="S16" i="1"/>
  <c r="AS16" i="1"/>
  <c r="U16" i="1"/>
  <c r="AS26" i="1"/>
  <c r="AG26" i="1"/>
  <c r="AJ26" i="1"/>
  <c r="Q26" i="1"/>
  <c r="R26" i="1"/>
  <c r="AN26" i="1"/>
  <c r="S26" i="1"/>
  <c r="AH26" i="1"/>
  <c r="T26" i="1"/>
  <c r="Y26" i="1"/>
  <c r="AW5" i="1"/>
  <c r="AW15" i="1" s="1"/>
  <c r="AV8" i="1"/>
  <c r="AV9" i="1"/>
  <c r="AV10" i="1"/>
  <c r="AV11" i="1"/>
  <c r="AV7" i="1"/>
  <c r="AV12" i="1"/>
  <c r="AV18" i="1"/>
  <c r="AV20" i="1"/>
  <c r="AV19" i="1"/>
  <c r="AV21" i="1"/>
  <c r="AV22" i="1"/>
  <c r="AV23" i="1"/>
  <c r="AV24" i="1"/>
  <c r="AV28" i="1"/>
  <c r="AV25" i="1"/>
  <c r="AV17" i="1"/>
  <c r="AV27" i="1"/>
  <c r="AV29" i="1"/>
  <c r="AV30" i="1"/>
  <c r="AV31" i="1"/>
  <c r="AV32" i="1"/>
  <c r="AV33" i="1"/>
  <c r="AV34" i="1"/>
  <c r="AV37" i="1"/>
  <c r="AK26" i="1"/>
  <c r="AE26" i="1"/>
  <c r="X26" i="1"/>
  <c r="F36" i="1"/>
  <c r="Y36" i="1" s="1"/>
  <c r="AL26" i="1"/>
  <c r="AF26" i="1"/>
  <c r="V26" i="1"/>
  <c r="M26" i="1"/>
  <c r="N26" i="1"/>
  <c r="O26" i="1"/>
  <c r="P26" i="1"/>
  <c r="K26" i="1"/>
  <c r="AW4" i="1" l="1"/>
  <c r="AW13" i="1"/>
  <c r="AI36" i="1"/>
  <c r="AL36" i="1"/>
  <c r="AO36" i="1"/>
  <c r="AS36" i="1"/>
  <c r="P36" i="1"/>
  <c r="AM36" i="1"/>
  <c r="Q36" i="1"/>
  <c r="AB36" i="1"/>
  <c r="AU36" i="1"/>
  <c r="O36" i="1"/>
  <c r="AW36" i="1"/>
  <c r="AW16" i="1"/>
  <c r="AJ36" i="1"/>
  <c r="R36" i="1"/>
  <c r="M36" i="1"/>
  <c r="N36" i="1"/>
  <c r="W36" i="1"/>
  <c r="AN36" i="1"/>
  <c r="AC36" i="1"/>
  <c r="S36" i="1"/>
  <c r="AK36" i="1"/>
  <c r="E38" i="1"/>
  <c r="G36" i="1"/>
  <c r="AG36" i="1"/>
  <c r="AF36" i="1"/>
  <c r="L36" i="1"/>
  <c r="AD36" i="1"/>
  <c r="AE36" i="1"/>
  <c r="V36" i="1"/>
  <c r="Z36" i="1"/>
  <c r="AV36" i="1"/>
  <c r="AA36" i="1"/>
  <c r="AP36" i="1"/>
  <c r="AQ36" i="1"/>
  <c r="AH36" i="1"/>
  <c r="AR36" i="1"/>
  <c r="AT36" i="1"/>
  <c r="AW8" i="1"/>
  <c r="AX5" i="1"/>
  <c r="AX15" i="1" s="1"/>
  <c r="AW9" i="1"/>
  <c r="AW10" i="1"/>
  <c r="AW11" i="1"/>
  <c r="AW7" i="1"/>
  <c r="AW12" i="1"/>
  <c r="AW18" i="1"/>
  <c r="AW20" i="1"/>
  <c r="AW19" i="1"/>
  <c r="AW21" i="1"/>
  <c r="AW22" i="1"/>
  <c r="AW23" i="1"/>
  <c r="AW24" i="1"/>
  <c r="AW28" i="1"/>
  <c r="AW25" i="1"/>
  <c r="AW17" i="1"/>
  <c r="AW27" i="1"/>
  <c r="AW29" i="1"/>
  <c r="AW30" i="1"/>
  <c r="AW31" i="1"/>
  <c r="AW32" i="1"/>
  <c r="AW33" i="1"/>
  <c r="AW34" i="1"/>
  <c r="AW37" i="1"/>
  <c r="AW26" i="1"/>
  <c r="K36" i="1"/>
  <c r="U36" i="1"/>
  <c r="X36" i="1"/>
  <c r="T36" i="1"/>
  <c r="AX4" i="1" l="1"/>
  <c r="AX13" i="1"/>
  <c r="AX8" i="1"/>
  <c r="AY5" i="1"/>
  <c r="AY15" i="1" s="1"/>
  <c r="AX9" i="1"/>
  <c r="AX10" i="1"/>
  <c r="AX11" i="1"/>
  <c r="AX7" i="1"/>
  <c r="AX12" i="1"/>
  <c r="AX18" i="1"/>
  <c r="AX20" i="1"/>
  <c r="AX19" i="1"/>
  <c r="AX21" i="1"/>
  <c r="AX22" i="1"/>
  <c r="AX23" i="1"/>
  <c r="AX24" i="1"/>
  <c r="AX28" i="1"/>
  <c r="AX25" i="1"/>
  <c r="AX17" i="1"/>
  <c r="AX27" i="1"/>
  <c r="AX29" i="1"/>
  <c r="AX30" i="1"/>
  <c r="AX31" i="1"/>
  <c r="AX32" i="1"/>
  <c r="AX33" i="1"/>
  <c r="AX37" i="1"/>
  <c r="AX34" i="1"/>
  <c r="AX26" i="1"/>
  <c r="AX36" i="1"/>
  <c r="AX16" i="1"/>
  <c r="F38" i="1"/>
  <c r="AG38" i="1" s="1"/>
  <c r="AY4" i="1" l="1"/>
  <c r="AY13" i="1"/>
  <c r="W38" i="1"/>
  <c r="L38" i="1"/>
  <c r="AR38" i="1"/>
  <c r="AT38" i="1"/>
  <c r="AX38" i="1"/>
  <c r="AH38" i="1"/>
  <c r="N38" i="1"/>
  <c r="O38" i="1"/>
  <c r="G38" i="1"/>
  <c r="E39" i="1"/>
  <c r="T38" i="1"/>
  <c r="AU38" i="1"/>
  <c r="Y38" i="1"/>
  <c r="AL38" i="1"/>
  <c r="AM38" i="1"/>
  <c r="M38" i="1"/>
  <c r="U38" i="1"/>
  <c r="P38" i="1"/>
  <c r="AJ38" i="1"/>
  <c r="AY38" i="1"/>
  <c r="AV38" i="1"/>
  <c r="AB38" i="1"/>
  <c r="Q38" i="1"/>
  <c r="AW38" i="1"/>
  <c r="Z38" i="1"/>
  <c r="X38" i="1"/>
  <c r="AN38" i="1"/>
  <c r="AC38" i="1"/>
  <c r="R38" i="1"/>
  <c r="AK38" i="1"/>
  <c r="AS38" i="1"/>
  <c r="AO38" i="1"/>
  <c r="AD38" i="1"/>
  <c r="S38" i="1"/>
  <c r="AI38" i="1"/>
  <c r="AP38" i="1"/>
  <c r="AY8" i="1"/>
  <c r="AZ5" i="1"/>
  <c r="AZ15" i="1" s="1"/>
  <c r="AY9" i="1"/>
  <c r="AY10" i="1"/>
  <c r="AY11" i="1"/>
  <c r="AY7" i="1"/>
  <c r="AY12" i="1"/>
  <c r="AY18" i="1"/>
  <c r="AY19" i="1"/>
  <c r="AY20" i="1"/>
  <c r="AY21" i="1"/>
  <c r="AY22" i="1"/>
  <c r="AY23" i="1"/>
  <c r="AY24" i="1"/>
  <c r="AY28" i="1"/>
  <c r="AY25" i="1"/>
  <c r="AY17" i="1"/>
  <c r="AY27" i="1"/>
  <c r="AY29" i="1"/>
  <c r="AY30" i="1"/>
  <c r="AY31" i="1"/>
  <c r="AY32" i="1"/>
  <c r="AY33" i="1"/>
  <c r="AY34" i="1"/>
  <c r="AY37" i="1"/>
  <c r="AY26" i="1"/>
  <c r="AY36" i="1"/>
  <c r="AY16" i="1"/>
  <c r="AA38" i="1"/>
  <c r="K38" i="1"/>
  <c r="AE38" i="1"/>
  <c r="AF38" i="1"/>
  <c r="AQ38" i="1"/>
  <c r="V38" i="1"/>
  <c r="AZ4" i="1" l="1"/>
  <c r="AZ13" i="1"/>
  <c r="AZ8" i="1"/>
  <c r="BA5" i="1"/>
  <c r="BA15" i="1" s="1"/>
  <c r="AZ9" i="1"/>
  <c r="AZ10" i="1"/>
  <c r="AZ11" i="1"/>
  <c r="AZ7" i="1"/>
  <c r="AZ12" i="1"/>
  <c r="AZ18" i="1"/>
  <c r="AZ20" i="1"/>
  <c r="AZ19" i="1"/>
  <c r="AZ21" i="1"/>
  <c r="AZ22" i="1"/>
  <c r="AZ23" i="1"/>
  <c r="AZ24" i="1"/>
  <c r="AZ25" i="1"/>
  <c r="AZ28" i="1"/>
  <c r="AZ17" i="1"/>
  <c r="AZ27" i="1"/>
  <c r="AZ29" i="1"/>
  <c r="AZ30" i="1"/>
  <c r="AZ31" i="1"/>
  <c r="AZ32" i="1"/>
  <c r="AZ33" i="1"/>
  <c r="AZ34" i="1"/>
  <c r="AZ37" i="1"/>
  <c r="AZ26" i="1"/>
  <c r="AZ16" i="1"/>
  <c r="AZ36" i="1"/>
  <c r="AZ38" i="1"/>
  <c r="F39" i="1"/>
  <c r="AR39" i="1" s="1"/>
  <c r="J39" i="1"/>
  <c r="AH39" i="1"/>
  <c r="BA4" i="1" l="1"/>
  <c r="BA13" i="1"/>
  <c r="O39" i="1"/>
  <c r="U39" i="1"/>
  <c r="Q39" i="1"/>
  <c r="S39" i="1"/>
  <c r="M39" i="1"/>
  <c r="AS39" i="1"/>
  <c r="R39" i="1"/>
  <c r="W39" i="1"/>
  <c r="AA39" i="1"/>
  <c r="AQ39" i="1"/>
  <c r="Y39" i="1"/>
  <c r="AB39" i="1"/>
  <c r="K39" i="1"/>
  <c r="AJ39" i="1"/>
  <c r="AM39" i="1"/>
  <c r="AV39" i="1"/>
  <c r="AI39" i="1"/>
  <c r="T39" i="1"/>
  <c r="AC39" i="1"/>
  <c r="P39" i="1"/>
  <c r="AW39" i="1"/>
  <c r="BA39" i="1"/>
  <c r="AN39" i="1"/>
  <c r="AD39" i="1"/>
  <c r="AY39" i="1"/>
  <c r="AP39" i="1"/>
  <c r="AO39" i="1"/>
  <c r="G39" i="1"/>
  <c r="E40" i="1"/>
  <c r="N39" i="1"/>
  <c r="AE39" i="1"/>
  <c r="AF39" i="1"/>
  <c r="AG39" i="1"/>
  <c r="V39" i="1"/>
  <c r="Z39" i="1"/>
  <c r="AT39" i="1"/>
  <c r="AU39" i="1"/>
  <c r="AK39" i="1"/>
  <c r="AL39" i="1"/>
  <c r="AZ39" i="1"/>
  <c r="AX39" i="1"/>
  <c r="L39" i="1"/>
  <c r="BA8" i="1"/>
  <c r="BB5" i="1"/>
  <c r="BB15" i="1" s="1"/>
  <c r="BA9" i="1"/>
  <c r="BA10" i="1"/>
  <c r="BA11" i="1"/>
  <c r="BA7" i="1"/>
  <c r="BA12" i="1"/>
  <c r="BA18" i="1"/>
  <c r="BA19" i="1"/>
  <c r="BA20" i="1"/>
  <c r="BA21" i="1"/>
  <c r="BA22" i="1"/>
  <c r="BA23" i="1"/>
  <c r="BA24" i="1"/>
  <c r="BA25" i="1"/>
  <c r="BA28" i="1"/>
  <c r="BA17" i="1"/>
  <c r="BA27" i="1"/>
  <c r="BA29" i="1"/>
  <c r="BA30" i="1"/>
  <c r="BA31" i="1"/>
  <c r="BA32" i="1"/>
  <c r="BA33" i="1"/>
  <c r="BA37" i="1"/>
  <c r="BA34" i="1"/>
  <c r="BA26" i="1"/>
  <c r="BA16" i="1"/>
  <c r="BA36" i="1"/>
  <c r="BA38" i="1"/>
  <c r="X39" i="1"/>
  <c r="BB4" i="1" l="1"/>
  <c r="BB13" i="1"/>
  <c r="BB8" i="1"/>
  <c r="BC5" i="1"/>
  <c r="BC15" i="1" s="1"/>
  <c r="BB9" i="1"/>
  <c r="BB10" i="1"/>
  <c r="BB11" i="1"/>
  <c r="BB7" i="1"/>
  <c r="BB12" i="1"/>
  <c r="BB18" i="1"/>
  <c r="BB19" i="1"/>
  <c r="BB20" i="1"/>
  <c r="BB21" i="1"/>
  <c r="BB22" i="1"/>
  <c r="BB23" i="1"/>
  <c r="BB24" i="1"/>
  <c r="BB28" i="1"/>
  <c r="BB25" i="1"/>
  <c r="BB17" i="1"/>
  <c r="BB27" i="1"/>
  <c r="BB29" i="1"/>
  <c r="BB30" i="1"/>
  <c r="BB31" i="1"/>
  <c r="BB32" i="1"/>
  <c r="BB33" i="1"/>
  <c r="BB37" i="1"/>
  <c r="BB34" i="1"/>
  <c r="BB26" i="1"/>
  <c r="BB36" i="1"/>
  <c r="BB16" i="1"/>
  <c r="BB38" i="1"/>
  <c r="BB39" i="1"/>
  <c r="J40" i="1"/>
  <c r="F40" i="1"/>
  <c r="AH40" i="1" s="1"/>
  <c r="BC4" i="1" l="1"/>
  <c r="BC13" i="1"/>
  <c r="AU40" i="1"/>
  <c r="AP40" i="1"/>
  <c r="AY40" i="1"/>
  <c r="BB40" i="1"/>
  <c r="Y40" i="1"/>
  <c r="K40" i="1"/>
  <c r="V40" i="1"/>
  <c r="U40" i="1"/>
  <c r="AK40" i="1"/>
  <c r="AD40" i="1"/>
  <c r="AO40" i="1"/>
  <c r="AT40" i="1"/>
  <c r="AJ40" i="1"/>
  <c r="AW40" i="1"/>
  <c r="N40" i="1"/>
  <c r="P40" i="1"/>
  <c r="AR40" i="1"/>
  <c r="T40" i="1"/>
  <c r="BC40" i="1"/>
  <c r="Z40" i="1"/>
  <c r="AM40" i="1"/>
  <c r="AI40" i="1"/>
  <c r="AL40" i="1"/>
  <c r="W40" i="1"/>
  <c r="X40" i="1"/>
  <c r="S40" i="1"/>
  <c r="BA40" i="1"/>
  <c r="AX40" i="1"/>
  <c r="AE40" i="1"/>
  <c r="E41" i="1"/>
  <c r="G40" i="1"/>
  <c r="L40" i="1"/>
  <c r="R40" i="1"/>
  <c r="AZ40" i="1"/>
  <c r="AC40" i="1"/>
  <c r="AF40" i="1"/>
  <c r="AN40" i="1"/>
  <c r="AQ40" i="1"/>
  <c r="AG40" i="1"/>
  <c r="Q40" i="1"/>
  <c r="AV40" i="1"/>
  <c r="O40" i="1"/>
  <c r="BC8" i="1"/>
  <c r="BD5" i="1"/>
  <c r="BD15" i="1" s="1"/>
  <c r="BC9" i="1"/>
  <c r="BC10" i="1"/>
  <c r="BC11" i="1"/>
  <c r="BC7" i="1"/>
  <c r="BC12" i="1"/>
  <c r="BC18" i="1"/>
  <c r="BC19" i="1"/>
  <c r="BC20" i="1"/>
  <c r="BC21" i="1"/>
  <c r="BC22" i="1"/>
  <c r="BC23" i="1"/>
  <c r="BC24" i="1"/>
  <c r="BC25" i="1"/>
  <c r="BC28" i="1"/>
  <c r="BC17" i="1"/>
  <c r="BC27" i="1"/>
  <c r="BC29" i="1"/>
  <c r="BC30" i="1"/>
  <c r="BC31" i="1"/>
  <c r="BC32" i="1"/>
  <c r="BC33" i="1"/>
  <c r="BC37" i="1"/>
  <c r="BC34" i="1"/>
  <c r="BC26" i="1"/>
  <c r="BC36" i="1"/>
  <c r="BC16" i="1"/>
  <c r="BC38" i="1"/>
  <c r="BC39" i="1"/>
  <c r="M40" i="1"/>
  <c r="AB40" i="1"/>
  <c r="AS40" i="1"/>
  <c r="AA40" i="1"/>
  <c r="BD4" i="1" l="1"/>
  <c r="BD13" i="1"/>
  <c r="BD8" i="1"/>
  <c r="BE5" i="1"/>
  <c r="BE15" i="1" s="1"/>
  <c r="BD9" i="1"/>
  <c r="BD10" i="1"/>
  <c r="BD11" i="1"/>
  <c r="BD7" i="1"/>
  <c r="BD12" i="1"/>
  <c r="BD18" i="1"/>
  <c r="BD20" i="1"/>
  <c r="BD19" i="1"/>
  <c r="BD21" i="1"/>
  <c r="BD22" i="1"/>
  <c r="BD23" i="1"/>
  <c r="BD24" i="1"/>
  <c r="BD25" i="1"/>
  <c r="BD28" i="1"/>
  <c r="BD17" i="1"/>
  <c r="BD27" i="1"/>
  <c r="BD29" i="1"/>
  <c r="BD30" i="1"/>
  <c r="BD31" i="1"/>
  <c r="BD32" i="1"/>
  <c r="BD33" i="1"/>
  <c r="BD37" i="1"/>
  <c r="BD34" i="1"/>
  <c r="BD26" i="1"/>
  <c r="BD36" i="1"/>
  <c r="BD16" i="1"/>
  <c r="BD38" i="1"/>
  <c r="BD39" i="1"/>
  <c r="BD40" i="1"/>
  <c r="J41" i="1"/>
  <c r="F41" i="1"/>
  <c r="T41" i="1" s="1"/>
  <c r="BE4" i="1" l="1"/>
  <c r="BE13" i="1"/>
  <c r="L41" i="1"/>
  <c r="K41" i="1"/>
  <c r="BC41" i="1"/>
  <c r="Z41" i="1"/>
  <c r="AL41" i="1"/>
  <c r="AF41" i="1"/>
  <c r="AC41" i="1"/>
  <c r="AD41" i="1"/>
  <c r="AR41" i="1"/>
  <c r="AT41" i="1"/>
  <c r="AX41" i="1"/>
  <c r="M41" i="1"/>
  <c r="O41" i="1"/>
  <c r="Q41" i="1"/>
  <c r="AA41" i="1"/>
  <c r="AH41" i="1"/>
  <c r="AO41" i="1"/>
  <c r="AI41" i="1"/>
  <c r="BA41" i="1"/>
  <c r="V41" i="1"/>
  <c r="BB41" i="1"/>
  <c r="AV41" i="1"/>
  <c r="Y41" i="1"/>
  <c r="P41" i="1"/>
  <c r="AB41" i="1"/>
  <c r="AG41" i="1"/>
  <c r="AN41" i="1"/>
  <c r="AM41" i="1"/>
  <c r="AW41" i="1"/>
  <c r="W41" i="1"/>
  <c r="AZ41" i="1"/>
  <c r="AY41" i="1"/>
  <c r="AP41" i="1"/>
  <c r="AS41" i="1"/>
  <c r="E42" i="1"/>
  <c r="G41" i="1"/>
  <c r="X41" i="1"/>
  <c r="AJ41" i="1"/>
  <c r="S41" i="1"/>
  <c r="U41" i="1"/>
  <c r="AU41" i="1"/>
  <c r="BE41" i="1"/>
  <c r="BD41" i="1"/>
  <c r="AE41" i="1"/>
  <c r="BE8" i="1"/>
  <c r="BF5" i="1"/>
  <c r="BF15" i="1" s="1"/>
  <c r="BE9" i="1"/>
  <c r="BE10" i="1"/>
  <c r="BE11" i="1"/>
  <c r="BE7" i="1"/>
  <c r="BE12" i="1"/>
  <c r="BE18" i="1"/>
  <c r="BE19" i="1"/>
  <c r="BE20" i="1"/>
  <c r="BE21" i="1"/>
  <c r="BE22" i="1"/>
  <c r="BE23" i="1"/>
  <c r="BE24" i="1"/>
  <c r="BE28" i="1"/>
  <c r="BE25" i="1"/>
  <c r="BE17" i="1"/>
  <c r="BE27" i="1"/>
  <c r="BE29" i="1"/>
  <c r="BE30" i="1"/>
  <c r="BE31" i="1"/>
  <c r="BE32" i="1"/>
  <c r="BE33" i="1"/>
  <c r="BE34" i="1"/>
  <c r="BE37" i="1"/>
  <c r="BE26" i="1"/>
  <c r="BE36" i="1"/>
  <c r="BE16" i="1"/>
  <c r="BE38" i="1"/>
  <c r="BE39" i="1"/>
  <c r="BE40" i="1"/>
  <c r="AK41" i="1"/>
  <c r="R41" i="1"/>
  <c r="AQ41" i="1"/>
  <c r="N41" i="1"/>
  <c r="BF4" i="1" l="1"/>
  <c r="BF13" i="1"/>
  <c r="F42" i="1"/>
  <c r="P42" i="1" s="1"/>
  <c r="BA42" i="1"/>
  <c r="AV42" i="1"/>
  <c r="S42" i="1"/>
  <c r="AX42" i="1"/>
  <c r="AW42" i="1"/>
  <c r="AQ42" i="1"/>
  <c r="J42" i="1"/>
  <c r="BF8" i="1"/>
  <c r="BG5" i="1"/>
  <c r="BF9" i="1"/>
  <c r="BF10" i="1"/>
  <c r="BF11" i="1"/>
  <c r="BF7" i="1"/>
  <c r="BF12" i="1"/>
  <c r="BF18" i="1"/>
  <c r="BF20" i="1"/>
  <c r="BF19" i="1"/>
  <c r="BF21" i="1"/>
  <c r="BF22" i="1"/>
  <c r="BF23" i="1"/>
  <c r="BF24" i="1"/>
  <c r="BF25" i="1"/>
  <c r="BF28" i="1"/>
  <c r="BF17" i="1"/>
  <c r="BF27" i="1"/>
  <c r="BF29" i="1"/>
  <c r="BF30" i="1"/>
  <c r="BF31" i="1"/>
  <c r="BF32" i="1"/>
  <c r="BF33" i="1"/>
  <c r="BF34" i="1"/>
  <c r="BF37" i="1"/>
  <c r="BF26" i="1"/>
  <c r="BF36" i="1"/>
  <c r="BF16" i="1"/>
  <c r="BF38" i="1"/>
  <c r="BF39" i="1"/>
  <c r="BF40" i="1"/>
  <c r="BF41" i="1"/>
  <c r="R42" i="1" l="1"/>
  <c r="BG13" i="1"/>
  <c r="BG15" i="1"/>
  <c r="AL42" i="1"/>
  <c r="AD42" i="1"/>
  <c r="AT42" i="1"/>
  <c r="AS42" i="1"/>
  <c r="Y42" i="1"/>
  <c r="M42" i="1"/>
  <c r="N42" i="1"/>
  <c r="AU42" i="1"/>
  <c r="V42" i="1"/>
  <c r="X42" i="1"/>
  <c r="BF42" i="1"/>
  <c r="Z42" i="1"/>
  <c r="BG42" i="1"/>
  <c r="BG4" i="1"/>
  <c r="AP42" i="1"/>
  <c r="AF42" i="1"/>
  <c r="AR42" i="1"/>
  <c r="AE42" i="1"/>
  <c r="L42" i="1"/>
  <c r="BD42" i="1"/>
  <c r="U42" i="1"/>
  <c r="AG42" i="1"/>
  <c r="AH42" i="1"/>
  <c r="O42" i="1"/>
  <c r="K42" i="1"/>
  <c r="AI42" i="1"/>
  <c r="Q42" i="1"/>
  <c r="AA42" i="1"/>
  <c r="AJ42" i="1"/>
  <c r="AK42" i="1"/>
  <c r="AC42" i="1"/>
  <c r="AM42" i="1"/>
  <c r="BE42" i="1"/>
  <c r="W42" i="1"/>
  <c r="AO42" i="1"/>
  <c r="AZ42" i="1"/>
  <c r="BH5" i="1"/>
  <c r="BH15" i="1" s="1"/>
  <c r="BG8" i="1"/>
  <c r="BG9" i="1"/>
  <c r="BG10" i="1"/>
  <c r="BG11" i="1"/>
  <c r="BG7" i="1"/>
  <c r="BG12" i="1"/>
  <c r="BG18" i="1"/>
  <c r="BG20" i="1"/>
  <c r="BG19" i="1"/>
  <c r="BG21" i="1"/>
  <c r="BG22" i="1"/>
  <c r="BG23" i="1"/>
  <c r="BG24" i="1"/>
  <c r="BG28" i="1"/>
  <c r="BG25" i="1"/>
  <c r="BG17" i="1"/>
  <c r="BG27" i="1"/>
  <c r="BG29" i="1"/>
  <c r="BG30" i="1"/>
  <c r="BG31" i="1"/>
  <c r="BG32" i="1"/>
  <c r="BG33" i="1"/>
  <c r="BG34" i="1"/>
  <c r="BG37" i="1"/>
  <c r="BG26" i="1"/>
  <c r="BG36" i="1"/>
  <c r="BG16" i="1"/>
  <c r="BG38" i="1"/>
  <c r="BG39" i="1"/>
  <c r="BG40" i="1"/>
  <c r="BG41" i="1"/>
  <c r="AY42" i="1"/>
  <c r="G42" i="1"/>
  <c r="AB42" i="1"/>
  <c r="BC42" i="1"/>
  <c r="BB42" i="1"/>
  <c r="T42" i="1"/>
  <c r="AN42" i="1"/>
  <c r="BH4" i="1" l="1"/>
  <c r="BH13" i="1"/>
  <c r="J46" i="1"/>
  <c r="F46" i="1"/>
  <c r="AC46" i="1" s="1"/>
  <c r="E35" i="1"/>
  <c r="BH8" i="1"/>
  <c r="BI5" i="1"/>
  <c r="BH9" i="1"/>
  <c r="BH10" i="1"/>
  <c r="BH11" i="1"/>
  <c r="BH7" i="1"/>
  <c r="BH12" i="1"/>
  <c r="BH18" i="1"/>
  <c r="BH19" i="1"/>
  <c r="BH20" i="1"/>
  <c r="BH21" i="1"/>
  <c r="BH22" i="1"/>
  <c r="BH23" i="1"/>
  <c r="BH24" i="1"/>
  <c r="BH28" i="1"/>
  <c r="BH25" i="1"/>
  <c r="BH17" i="1"/>
  <c r="BH27" i="1"/>
  <c r="BH29" i="1"/>
  <c r="BH30" i="1"/>
  <c r="BH31" i="1"/>
  <c r="BH32" i="1"/>
  <c r="BH33" i="1"/>
  <c r="BH37" i="1"/>
  <c r="BH34" i="1"/>
  <c r="BH26" i="1"/>
  <c r="BH36" i="1"/>
  <c r="BH16" i="1"/>
  <c r="BH38" i="1"/>
  <c r="BH39" i="1"/>
  <c r="BH40" i="1"/>
  <c r="BH41" i="1"/>
  <c r="BH42" i="1"/>
  <c r="BI13" i="1" l="1"/>
  <c r="BI15" i="1"/>
  <c r="AJ46" i="1"/>
  <c r="AV46" i="1"/>
  <c r="AI46" i="1"/>
  <c r="BI46" i="1"/>
  <c r="BI4" i="1"/>
  <c r="Y46" i="1"/>
  <c r="AG46" i="1"/>
  <c r="AS46" i="1"/>
  <c r="AK46" i="1"/>
  <c r="AW46" i="1"/>
  <c r="BE46" i="1"/>
  <c r="AL46" i="1"/>
  <c r="AA46" i="1"/>
  <c r="AM46" i="1"/>
  <c r="AF46" i="1"/>
  <c r="V46" i="1"/>
  <c r="N46" i="1"/>
  <c r="L46" i="1"/>
  <c r="BD46" i="1"/>
  <c r="AH46" i="1"/>
  <c r="O46" i="1"/>
  <c r="AY46" i="1"/>
  <c r="R46" i="1"/>
  <c r="AT46" i="1"/>
  <c r="Z46" i="1"/>
  <c r="AX46" i="1"/>
  <c r="T46" i="1"/>
  <c r="AD46" i="1"/>
  <c r="BF46" i="1"/>
  <c r="BG46" i="1"/>
  <c r="AR46" i="1"/>
  <c r="AP46" i="1"/>
  <c r="P46" i="1"/>
  <c r="M46" i="1"/>
  <c r="W46" i="1"/>
  <c r="S46" i="1"/>
  <c r="AB46" i="1"/>
  <c r="BH46" i="1"/>
  <c r="AU46" i="1"/>
  <c r="BC46" i="1"/>
  <c r="AZ46" i="1"/>
  <c r="K46" i="1"/>
  <c r="X46" i="1"/>
  <c r="U46" i="1"/>
  <c r="BA46" i="1"/>
  <c r="E6" i="1"/>
  <c r="BJ5" i="1"/>
  <c r="BJ15" i="1" s="1"/>
  <c r="BI8" i="1"/>
  <c r="BI9" i="1"/>
  <c r="BI10" i="1"/>
  <c r="BI11" i="1"/>
  <c r="BI7" i="1"/>
  <c r="BI12" i="1"/>
  <c r="BI18" i="1"/>
  <c r="BI20" i="1"/>
  <c r="BI19" i="1"/>
  <c r="BI21" i="1"/>
  <c r="BI22" i="1"/>
  <c r="BI23" i="1"/>
  <c r="BI24" i="1"/>
  <c r="BI28" i="1"/>
  <c r="BI25" i="1"/>
  <c r="BI17" i="1"/>
  <c r="BI27" i="1"/>
  <c r="BI29" i="1"/>
  <c r="BI30" i="1"/>
  <c r="BI31" i="1"/>
  <c r="BI32" i="1"/>
  <c r="BI33" i="1"/>
  <c r="BI34" i="1"/>
  <c r="BI37" i="1"/>
  <c r="BI26" i="1"/>
  <c r="BI36" i="1"/>
  <c r="BI16" i="1"/>
  <c r="BI38" i="1"/>
  <c r="BI39" i="1"/>
  <c r="BI40" i="1"/>
  <c r="BI41" i="1"/>
  <c r="BI42" i="1"/>
  <c r="AN46" i="1"/>
  <c r="Q46" i="1"/>
  <c r="BB46" i="1"/>
  <c r="AE46" i="1"/>
  <c r="G46" i="1"/>
  <c r="F35" i="1"/>
  <c r="BA35" i="1" s="1"/>
  <c r="AQ46" i="1"/>
  <c r="AO46" i="1"/>
  <c r="BJ4" i="1" l="1"/>
  <c r="BJ13" i="1"/>
  <c r="BJ35" i="1"/>
  <c r="AY35" i="1"/>
  <c r="BF35" i="1"/>
  <c r="AU35" i="1"/>
  <c r="AI35" i="1"/>
  <c r="W35" i="1"/>
  <c r="AF35" i="1"/>
  <c r="AP35" i="1"/>
  <c r="BB35" i="1"/>
  <c r="L35" i="1"/>
  <c r="Z35" i="1"/>
  <c r="BH35" i="1"/>
  <c r="AV35" i="1"/>
  <c r="AJ35" i="1"/>
  <c r="K35" i="1"/>
  <c r="F6" i="1"/>
  <c r="G6" i="1" s="1"/>
  <c r="AZ35" i="1"/>
  <c r="BC35" i="1"/>
  <c r="P35" i="1"/>
  <c r="Y35" i="1"/>
  <c r="BI35" i="1"/>
  <c r="AW35" i="1"/>
  <c r="X35" i="1"/>
  <c r="O35" i="1"/>
  <c r="AN35" i="1"/>
  <c r="AS35" i="1"/>
  <c r="AK35" i="1"/>
  <c r="R35" i="1"/>
  <c r="M35" i="1"/>
  <c r="AD35" i="1"/>
  <c r="AX35" i="1"/>
  <c r="AE35" i="1"/>
  <c r="Q35" i="1"/>
  <c r="S35" i="1"/>
  <c r="AB35" i="1"/>
  <c r="AG35" i="1"/>
  <c r="AL35" i="1"/>
  <c r="BG35" i="1"/>
  <c r="AR35" i="1"/>
  <c r="AC35" i="1"/>
  <c r="AM35" i="1"/>
  <c r="BK5" i="1"/>
  <c r="BK15" i="1" s="1"/>
  <c r="BJ8" i="1"/>
  <c r="BJ9" i="1"/>
  <c r="BJ10" i="1"/>
  <c r="BJ11" i="1"/>
  <c r="BJ7" i="1"/>
  <c r="BJ12" i="1"/>
  <c r="BJ18" i="1"/>
  <c r="BJ20" i="1"/>
  <c r="BJ19" i="1"/>
  <c r="BJ21" i="1"/>
  <c r="BJ22" i="1"/>
  <c r="BJ23" i="1"/>
  <c r="BJ24" i="1"/>
  <c r="BJ25" i="1"/>
  <c r="BJ28" i="1"/>
  <c r="BJ17" i="1"/>
  <c r="BJ27" i="1"/>
  <c r="BJ29" i="1"/>
  <c r="BJ30" i="1"/>
  <c r="BJ31" i="1"/>
  <c r="BJ32" i="1"/>
  <c r="BJ33" i="1"/>
  <c r="BJ37" i="1"/>
  <c r="BJ34" i="1"/>
  <c r="BJ26" i="1"/>
  <c r="BJ16" i="1"/>
  <c r="BJ36" i="1"/>
  <c r="BJ38" i="1"/>
  <c r="BJ39" i="1"/>
  <c r="BJ40" i="1"/>
  <c r="BJ41" i="1"/>
  <c r="BJ42" i="1"/>
  <c r="BJ46" i="1"/>
  <c r="V35" i="1"/>
  <c r="AA35" i="1"/>
  <c r="T35" i="1"/>
  <c r="BE35" i="1"/>
  <c r="AO35" i="1"/>
  <c r="U35" i="1"/>
  <c r="AH35" i="1"/>
  <c r="AT35" i="1"/>
  <c r="N35" i="1"/>
  <c r="BD35" i="1"/>
  <c r="AQ35" i="1"/>
  <c r="BK4" i="1" l="1"/>
  <c r="BK13" i="1"/>
  <c r="BB6" i="1"/>
  <c r="AD6" i="1"/>
  <c r="AQ6" i="1"/>
  <c r="AZ6" i="1"/>
  <c r="AT6" i="1"/>
  <c r="BG6" i="1"/>
  <c r="V6" i="1"/>
  <c r="BK6" i="1"/>
  <c r="AU6" i="1"/>
  <c r="K6" i="1"/>
  <c r="BH6" i="1"/>
  <c r="BD6" i="1"/>
  <c r="AI6" i="1"/>
  <c r="X6" i="1"/>
  <c r="AE6" i="1"/>
  <c r="AW6" i="1"/>
  <c r="AK6" i="1"/>
  <c r="O6" i="1"/>
  <c r="S6" i="1"/>
  <c r="Z6" i="1"/>
  <c r="AR6" i="1"/>
  <c r="T6" i="1"/>
  <c r="AF6" i="1"/>
  <c r="BJ6" i="1"/>
  <c r="AX6" i="1"/>
  <c r="L6" i="1"/>
  <c r="M6" i="1"/>
  <c r="Q6" i="1"/>
  <c r="BE6" i="1"/>
  <c r="AS6" i="1"/>
  <c r="BF6" i="1"/>
  <c r="W6" i="1"/>
  <c r="AL6" i="1"/>
  <c r="BA6" i="1"/>
  <c r="AC6" i="1"/>
  <c r="AP6" i="1"/>
  <c r="AN6" i="1"/>
  <c r="P6" i="1"/>
  <c r="BC6" i="1"/>
  <c r="AA6" i="1"/>
  <c r="AH6" i="1"/>
  <c r="BK8" i="1"/>
  <c r="BL5" i="1"/>
  <c r="BL15" i="1" s="1"/>
  <c r="BK9" i="1"/>
  <c r="BK10" i="1"/>
  <c r="BK11" i="1"/>
  <c r="BK7" i="1"/>
  <c r="BK12" i="1"/>
  <c r="BK18" i="1"/>
  <c r="BK20" i="1"/>
  <c r="BK19" i="1"/>
  <c r="BK21" i="1"/>
  <c r="BK22" i="1"/>
  <c r="BK23" i="1"/>
  <c r="BK24" i="1"/>
  <c r="BK25" i="1"/>
  <c r="BK28" i="1"/>
  <c r="BK17" i="1"/>
  <c r="BK27" i="1"/>
  <c r="BK29" i="1"/>
  <c r="BK30" i="1"/>
  <c r="BK31" i="1"/>
  <c r="BK32" i="1"/>
  <c r="BK33" i="1"/>
  <c r="BK37" i="1"/>
  <c r="BK34" i="1"/>
  <c r="BK26" i="1"/>
  <c r="BK36" i="1"/>
  <c r="BK16" i="1"/>
  <c r="BK38" i="1"/>
  <c r="BK39" i="1"/>
  <c r="BK40" i="1"/>
  <c r="BK41" i="1"/>
  <c r="BK42" i="1"/>
  <c r="BK46" i="1"/>
  <c r="BK35" i="1"/>
  <c r="Y6" i="1"/>
  <c r="AB6" i="1"/>
  <c r="N6" i="1"/>
  <c r="U6" i="1"/>
  <c r="BI6" i="1"/>
  <c r="AJ6" i="1"/>
  <c r="AY6" i="1"/>
  <c r="AO6" i="1"/>
  <c r="R6" i="1"/>
  <c r="AG6" i="1"/>
  <c r="AM6" i="1"/>
  <c r="AV6" i="1"/>
  <c r="BL4" i="1" l="1"/>
  <c r="BL13" i="1"/>
  <c r="BL8" i="1"/>
  <c r="BM5" i="1"/>
  <c r="BM15" i="1" s="1"/>
  <c r="BL9" i="1"/>
  <c r="BL10" i="1"/>
  <c r="BL11" i="1"/>
  <c r="BL7" i="1"/>
  <c r="BL12" i="1"/>
  <c r="BL18" i="1"/>
  <c r="BL20" i="1"/>
  <c r="BL19" i="1"/>
  <c r="BL21" i="1"/>
  <c r="BL22" i="1"/>
  <c r="BL23" i="1"/>
  <c r="BL24" i="1"/>
  <c r="BL25" i="1"/>
  <c r="BL28" i="1"/>
  <c r="BL17" i="1"/>
  <c r="BL27" i="1"/>
  <c r="BL29" i="1"/>
  <c r="BL30" i="1"/>
  <c r="BL31" i="1"/>
  <c r="BL32" i="1"/>
  <c r="BL33" i="1"/>
  <c r="BL37" i="1"/>
  <c r="BL34" i="1"/>
  <c r="BL26" i="1"/>
  <c r="BL36" i="1"/>
  <c r="BL16" i="1"/>
  <c r="BL38" i="1"/>
  <c r="BL39" i="1"/>
  <c r="BL40" i="1"/>
  <c r="BL41" i="1"/>
  <c r="BL42" i="1"/>
  <c r="BL46" i="1"/>
  <c r="BL35" i="1"/>
  <c r="BL6" i="1"/>
  <c r="BM4" i="1" l="1"/>
  <c r="BM13" i="1"/>
  <c r="BM8" i="1"/>
  <c r="BN5" i="1"/>
  <c r="BN15" i="1" s="1"/>
  <c r="BM9" i="1"/>
  <c r="BM10" i="1"/>
  <c r="BM11" i="1"/>
  <c r="BM7" i="1"/>
  <c r="BM12" i="1"/>
  <c r="BM18" i="1"/>
  <c r="BM19" i="1"/>
  <c r="BM20" i="1"/>
  <c r="BM21" i="1"/>
  <c r="BM22" i="1"/>
  <c r="BM23" i="1"/>
  <c r="BM24" i="1"/>
  <c r="BM28" i="1"/>
  <c r="BM25" i="1"/>
  <c r="BM17" i="1"/>
  <c r="BM27" i="1"/>
  <c r="BM29" i="1"/>
  <c r="BM30" i="1"/>
  <c r="BM31" i="1"/>
  <c r="BM32" i="1"/>
  <c r="BM33" i="1"/>
  <c r="BM37" i="1"/>
  <c r="BM34" i="1"/>
  <c r="BM26" i="1"/>
  <c r="BM16" i="1"/>
  <c r="BM36" i="1"/>
  <c r="BM38" i="1"/>
  <c r="BM39" i="1"/>
  <c r="BM40" i="1"/>
  <c r="BM41" i="1"/>
  <c r="BM42" i="1"/>
  <c r="BM46" i="1"/>
  <c r="BM35" i="1"/>
  <c r="BM6" i="1"/>
  <c r="BN4" i="1" l="1"/>
  <c r="BN13" i="1"/>
  <c r="BO5" i="1"/>
  <c r="BO15" i="1" s="1"/>
  <c r="BN8" i="1"/>
  <c r="BN9" i="1"/>
  <c r="BN10" i="1"/>
  <c r="BN11" i="1"/>
  <c r="BN7" i="1"/>
  <c r="BN12" i="1"/>
  <c r="BN18" i="1"/>
  <c r="BN19" i="1"/>
  <c r="BN20" i="1"/>
  <c r="BN21" i="1"/>
  <c r="BN22" i="1"/>
  <c r="BN23" i="1"/>
  <c r="BN24" i="1"/>
  <c r="BN25" i="1"/>
  <c r="BN28" i="1"/>
  <c r="BN17" i="1"/>
  <c r="BN27" i="1"/>
  <c r="BN29" i="1"/>
  <c r="BN30" i="1"/>
  <c r="BN31" i="1"/>
  <c r="BN32" i="1"/>
  <c r="BN33" i="1"/>
  <c r="BN37" i="1"/>
  <c r="BN34" i="1"/>
  <c r="BN26" i="1"/>
  <c r="BN36" i="1"/>
  <c r="BN16" i="1"/>
  <c r="BN38" i="1"/>
  <c r="BN39" i="1"/>
  <c r="BN40" i="1"/>
  <c r="BN41" i="1"/>
  <c r="BN42" i="1"/>
  <c r="BN46" i="1"/>
  <c r="BN35" i="1"/>
  <c r="BN6" i="1"/>
  <c r="BO4" i="1" l="1"/>
  <c r="BO13" i="1"/>
  <c r="BP5" i="1"/>
  <c r="BP15" i="1" s="1"/>
  <c r="BO8" i="1"/>
  <c r="BO9" i="1"/>
  <c r="BO10" i="1"/>
  <c r="BO11" i="1"/>
  <c r="BO7" i="1"/>
  <c r="BO12" i="1"/>
  <c r="BO18" i="1"/>
  <c r="BO20" i="1"/>
  <c r="BO19" i="1"/>
  <c r="BO21" i="1"/>
  <c r="BO22" i="1"/>
  <c r="BO23" i="1"/>
  <c r="BO24" i="1"/>
  <c r="BO28" i="1"/>
  <c r="BO25" i="1"/>
  <c r="BO17" i="1"/>
  <c r="BO27" i="1"/>
  <c r="BO29" i="1"/>
  <c r="BO30" i="1"/>
  <c r="BO31" i="1"/>
  <c r="BO32" i="1"/>
  <c r="BO33" i="1"/>
  <c r="BO37" i="1"/>
  <c r="BO34" i="1"/>
  <c r="BO26" i="1"/>
  <c r="BO36" i="1"/>
  <c r="BO16" i="1"/>
  <c r="BO38" i="1"/>
  <c r="BO39" i="1"/>
  <c r="BO40" i="1"/>
  <c r="BO41" i="1"/>
  <c r="BO42" i="1"/>
  <c r="BO46" i="1"/>
  <c r="BO35" i="1"/>
  <c r="BO6" i="1"/>
  <c r="BP4" i="1" l="1"/>
  <c r="BP13" i="1"/>
  <c r="BP8" i="1"/>
  <c r="BQ5" i="1"/>
  <c r="BQ15" i="1" s="1"/>
  <c r="BP9" i="1"/>
  <c r="BP10" i="1"/>
  <c r="BP11" i="1"/>
  <c r="BP7" i="1"/>
  <c r="BP12" i="1"/>
  <c r="BP18" i="1"/>
  <c r="BP20" i="1"/>
  <c r="BP19" i="1"/>
  <c r="BP21" i="1"/>
  <c r="BP22" i="1"/>
  <c r="BP23" i="1"/>
  <c r="BP24" i="1"/>
  <c r="BP28" i="1"/>
  <c r="BP25" i="1"/>
  <c r="BP17" i="1"/>
  <c r="BP27" i="1"/>
  <c r="BP29" i="1"/>
  <c r="BP30" i="1"/>
  <c r="BP31" i="1"/>
  <c r="BP32" i="1"/>
  <c r="BP33" i="1"/>
  <c r="BP37" i="1"/>
  <c r="BP34" i="1"/>
  <c r="BP26" i="1"/>
  <c r="BP36" i="1"/>
  <c r="BP16" i="1"/>
  <c r="BP38" i="1"/>
  <c r="BP39" i="1"/>
  <c r="BP40" i="1"/>
  <c r="BP41" i="1"/>
  <c r="BP42" i="1"/>
  <c r="BP46" i="1"/>
  <c r="BP35" i="1"/>
  <c r="BP6" i="1"/>
  <c r="BQ4" i="1" l="1"/>
  <c r="BQ13" i="1"/>
  <c r="BR5" i="1"/>
  <c r="BR15" i="1" s="1"/>
  <c r="BQ8" i="1"/>
  <c r="BQ9" i="1"/>
  <c r="BQ10" i="1"/>
  <c r="BQ11" i="1"/>
  <c r="BQ7" i="1"/>
  <c r="BQ12" i="1"/>
  <c r="BQ18" i="1"/>
  <c r="BQ20" i="1"/>
  <c r="BQ19" i="1"/>
  <c r="BQ21" i="1"/>
  <c r="BQ22" i="1"/>
  <c r="BQ23" i="1"/>
  <c r="BQ24" i="1"/>
  <c r="BQ28" i="1"/>
  <c r="BQ25" i="1"/>
  <c r="BQ17" i="1"/>
  <c r="BQ27" i="1"/>
  <c r="BQ29" i="1"/>
  <c r="BQ30" i="1"/>
  <c r="BQ31" i="1"/>
  <c r="BQ32" i="1"/>
  <c r="BQ33" i="1"/>
  <c r="BQ34" i="1"/>
  <c r="BQ37" i="1"/>
  <c r="BQ26" i="1"/>
  <c r="BQ36" i="1"/>
  <c r="BQ16" i="1"/>
  <c r="BQ38" i="1"/>
  <c r="BQ39" i="1"/>
  <c r="BQ40" i="1"/>
  <c r="BQ41" i="1"/>
  <c r="BQ42" i="1"/>
  <c r="BQ46" i="1"/>
  <c r="BQ35" i="1"/>
  <c r="BQ6" i="1"/>
  <c r="BR4" i="1" l="1"/>
  <c r="BR13" i="1"/>
  <c r="BR8" i="1"/>
  <c r="BS5" i="1"/>
  <c r="BS15" i="1" s="1"/>
  <c r="BR9" i="1"/>
  <c r="BR10" i="1"/>
  <c r="BR11" i="1"/>
  <c r="BR7" i="1"/>
  <c r="BR12" i="1"/>
  <c r="BR18" i="1"/>
  <c r="BR20" i="1"/>
  <c r="BR19" i="1"/>
  <c r="BR21" i="1"/>
  <c r="BR22" i="1"/>
  <c r="BR23" i="1"/>
  <c r="BR24" i="1"/>
  <c r="BR28" i="1"/>
  <c r="BR25" i="1"/>
  <c r="BR17" i="1"/>
  <c r="BR27" i="1"/>
  <c r="BR29" i="1"/>
  <c r="BR30" i="1"/>
  <c r="BR31" i="1"/>
  <c r="BR32" i="1"/>
  <c r="BR33" i="1"/>
  <c r="BR37" i="1"/>
  <c r="BR34" i="1"/>
  <c r="BR26" i="1"/>
  <c r="BR16" i="1"/>
  <c r="BR36" i="1"/>
  <c r="BR38" i="1"/>
  <c r="BR39" i="1"/>
  <c r="BR40" i="1"/>
  <c r="BR41" i="1"/>
  <c r="BR42" i="1"/>
  <c r="BR46" i="1"/>
  <c r="BR35" i="1"/>
  <c r="BR6" i="1"/>
  <c r="BS4" i="1" l="1"/>
  <c r="BS13" i="1"/>
  <c r="BS8" i="1"/>
  <c r="BT5" i="1"/>
  <c r="BT15" i="1" s="1"/>
  <c r="BS9" i="1"/>
  <c r="BS10" i="1"/>
  <c r="BS11" i="1"/>
  <c r="BS7" i="1"/>
  <c r="BS12" i="1"/>
  <c r="BS18" i="1"/>
  <c r="BS20" i="1"/>
  <c r="BS19" i="1"/>
  <c r="BS21" i="1"/>
  <c r="BS22" i="1"/>
  <c r="BS23" i="1"/>
  <c r="BS24" i="1"/>
  <c r="BS28" i="1"/>
  <c r="BS25" i="1"/>
  <c r="BS17" i="1"/>
  <c r="BS27" i="1"/>
  <c r="BS29" i="1"/>
  <c r="BS30" i="1"/>
  <c r="BS31" i="1"/>
  <c r="BS32" i="1"/>
  <c r="BS33" i="1"/>
  <c r="BS34" i="1"/>
  <c r="BS37" i="1"/>
  <c r="BS26" i="1"/>
  <c r="BS36" i="1"/>
  <c r="BS16" i="1"/>
  <c r="BS38" i="1"/>
  <c r="BS39" i="1"/>
  <c r="BS40" i="1"/>
  <c r="BS41" i="1"/>
  <c r="BS42" i="1"/>
  <c r="BS46" i="1"/>
  <c r="BS35" i="1"/>
  <c r="BS6" i="1"/>
  <c r="BT4" i="1" l="1"/>
  <c r="BT13" i="1"/>
  <c r="BT8" i="1"/>
  <c r="BU5" i="1"/>
  <c r="BU15" i="1" s="1"/>
  <c r="BT9" i="1"/>
  <c r="BT10" i="1"/>
  <c r="BT11" i="1"/>
  <c r="BT7" i="1"/>
  <c r="BT12" i="1"/>
  <c r="BT18" i="1"/>
  <c r="BT20" i="1"/>
  <c r="BT19" i="1"/>
  <c r="BT21" i="1"/>
  <c r="BT22" i="1"/>
  <c r="BT23" i="1"/>
  <c r="BT24" i="1"/>
  <c r="BT25" i="1"/>
  <c r="BT28" i="1"/>
  <c r="BT17" i="1"/>
  <c r="BT27" i="1"/>
  <c r="BT29" i="1"/>
  <c r="BT30" i="1"/>
  <c r="BT31" i="1"/>
  <c r="BT32" i="1"/>
  <c r="BT33" i="1"/>
  <c r="BT34" i="1"/>
  <c r="BT37" i="1"/>
  <c r="BT26" i="1"/>
  <c r="BT16" i="1"/>
  <c r="BT36" i="1"/>
  <c r="BT38" i="1"/>
  <c r="BT39" i="1"/>
  <c r="BT40" i="1"/>
  <c r="BT41" i="1"/>
  <c r="BT42" i="1"/>
  <c r="BT46" i="1"/>
  <c r="BT35" i="1"/>
  <c r="BT6" i="1"/>
  <c r="BU4" i="1" l="1"/>
  <c r="BU13" i="1"/>
  <c r="BU8" i="1"/>
  <c r="BV5" i="1"/>
  <c r="BV15" i="1" s="1"/>
  <c r="BU9" i="1"/>
  <c r="BU10" i="1"/>
  <c r="BU11" i="1"/>
  <c r="BU7" i="1"/>
  <c r="BU12" i="1"/>
  <c r="BU18" i="1"/>
  <c r="BU20" i="1"/>
  <c r="BU19" i="1"/>
  <c r="BU21" i="1"/>
  <c r="BU22" i="1"/>
  <c r="BU23" i="1"/>
  <c r="BU24" i="1"/>
  <c r="BU25" i="1"/>
  <c r="BU28" i="1"/>
  <c r="BU17" i="1"/>
  <c r="BU27" i="1"/>
  <c r="BU29" i="1"/>
  <c r="BU30" i="1"/>
  <c r="BU31" i="1"/>
  <c r="BU32" i="1"/>
  <c r="BU33" i="1"/>
  <c r="BU34" i="1"/>
  <c r="BU37" i="1"/>
  <c r="BU26" i="1"/>
  <c r="BU36" i="1"/>
  <c r="BU16" i="1"/>
  <c r="BU38" i="1"/>
  <c r="BU39" i="1"/>
  <c r="BU40" i="1"/>
  <c r="BU41" i="1"/>
  <c r="BU42" i="1"/>
  <c r="BU46" i="1"/>
  <c r="BU35" i="1"/>
  <c r="BU6" i="1"/>
  <c r="BV4" i="1" l="1"/>
  <c r="BV13" i="1"/>
  <c r="BV8" i="1"/>
  <c r="BW5" i="1"/>
  <c r="BW15" i="1" s="1"/>
  <c r="BV9" i="1"/>
  <c r="BV10" i="1"/>
  <c r="BV11" i="1"/>
  <c r="BV7" i="1"/>
  <c r="BV12" i="1"/>
  <c r="BV18" i="1"/>
  <c r="BV20" i="1"/>
  <c r="BV19" i="1"/>
  <c r="BV21" i="1"/>
  <c r="BV22" i="1"/>
  <c r="BV23" i="1"/>
  <c r="BV24" i="1"/>
  <c r="BV25" i="1"/>
  <c r="BV28" i="1"/>
  <c r="BV17" i="1"/>
  <c r="BV27" i="1"/>
  <c r="BV29" i="1"/>
  <c r="BV30" i="1"/>
  <c r="BV31" i="1"/>
  <c r="BV32" i="1"/>
  <c r="BV33" i="1"/>
  <c r="BV37" i="1"/>
  <c r="BV34" i="1"/>
  <c r="BV26" i="1"/>
  <c r="BV36" i="1"/>
  <c r="BV16" i="1"/>
  <c r="BV38" i="1"/>
  <c r="BV39" i="1"/>
  <c r="BV40" i="1"/>
  <c r="BV41" i="1"/>
  <c r="BV42" i="1"/>
  <c r="BV46" i="1"/>
  <c r="BV35" i="1"/>
  <c r="BV6" i="1"/>
  <c r="BW4" i="1" l="1"/>
  <c r="BW13" i="1"/>
  <c r="BW8" i="1"/>
  <c r="BX5" i="1"/>
  <c r="BX15" i="1" s="1"/>
  <c r="BW9" i="1"/>
  <c r="BW10" i="1"/>
  <c r="BW11" i="1"/>
  <c r="BW7" i="1"/>
  <c r="BW12" i="1"/>
  <c r="BW18" i="1"/>
  <c r="BW20" i="1"/>
  <c r="BW19" i="1"/>
  <c r="BW21" i="1"/>
  <c r="BW22" i="1"/>
  <c r="BW23" i="1"/>
  <c r="BW24" i="1"/>
  <c r="BW25" i="1"/>
  <c r="BW28" i="1"/>
  <c r="BW17" i="1"/>
  <c r="BW27" i="1"/>
  <c r="BW29" i="1"/>
  <c r="BW30" i="1"/>
  <c r="BW31" i="1"/>
  <c r="BW32" i="1"/>
  <c r="BW33" i="1"/>
  <c r="BW34" i="1"/>
  <c r="BW37" i="1"/>
  <c r="BW26" i="1"/>
  <c r="BW16" i="1"/>
  <c r="BW36" i="1"/>
  <c r="BW38" i="1"/>
  <c r="BW39" i="1"/>
  <c r="BW40" i="1"/>
  <c r="BW41" i="1"/>
  <c r="BW42" i="1"/>
  <c r="BW46" i="1"/>
  <c r="BW35" i="1"/>
  <c r="BW6" i="1"/>
  <c r="BX4" i="1" l="1"/>
  <c r="BX13" i="1"/>
  <c r="BX8" i="1"/>
  <c r="BY5" i="1"/>
  <c r="BY15" i="1" s="1"/>
  <c r="BX9" i="1"/>
  <c r="BX10" i="1"/>
  <c r="BX11" i="1"/>
  <c r="BX7" i="1"/>
  <c r="BX12" i="1"/>
  <c r="BX18" i="1"/>
  <c r="BX19" i="1"/>
  <c r="BX20" i="1"/>
  <c r="BX21" i="1"/>
  <c r="BX22" i="1"/>
  <c r="BX23" i="1"/>
  <c r="BX24" i="1"/>
  <c r="BX25" i="1"/>
  <c r="BX28" i="1"/>
  <c r="BX17" i="1"/>
  <c r="BX27" i="1"/>
  <c r="BX29" i="1"/>
  <c r="BX30" i="1"/>
  <c r="BX31" i="1"/>
  <c r="BX32" i="1"/>
  <c r="BX33" i="1"/>
  <c r="BX34" i="1"/>
  <c r="BX37" i="1"/>
  <c r="BX26" i="1"/>
  <c r="BX16" i="1"/>
  <c r="BX36" i="1"/>
  <c r="BX38" i="1"/>
  <c r="BX39" i="1"/>
  <c r="BX40" i="1"/>
  <c r="BX41" i="1"/>
  <c r="BX42" i="1"/>
  <c r="BX46" i="1"/>
  <c r="BX35" i="1"/>
  <c r="BX6" i="1"/>
  <c r="BY4" i="1" l="1"/>
  <c r="BY13" i="1"/>
  <c r="BY8" i="1"/>
  <c r="BZ5" i="1"/>
  <c r="BZ15" i="1" s="1"/>
  <c r="BY9" i="1"/>
  <c r="BY10" i="1"/>
  <c r="BY11" i="1"/>
  <c r="BY7" i="1"/>
  <c r="BY12" i="1"/>
  <c r="BY18" i="1"/>
  <c r="BY19" i="1"/>
  <c r="BY20" i="1"/>
  <c r="BY21" i="1"/>
  <c r="BY22" i="1"/>
  <c r="BY23" i="1"/>
  <c r="BY24" i="1"/>
  <c r="BY28" i="1"/>
  <c r="BY25" i="1"/>
  <c r="BY17" i="1"/>
  <c r="BY27" i="1"/>
  <c r="BY29" i="1"/>
  <c r="BY30" i="1"/>
  <c r="BY31" i="1"/>
  <c r="BY32" i="1"/>
  <c r="BY33" i="1"/>
  <c r="BY37" i="1"/>
  <c r="BY34" i="1"/>
  <c r="BY26" i="1"/>
  <c r="BY16" i="1"/>
  <c r="BY36" i="1"/>
  <c r="BY38" i="1"/>
  <c r="BY39" i="1"/>
  <c r="BY40" i="1"/>
  <c r="BY41" i="1"/>
  <c r="BY42" i="1"/>
  <c r="BY46" i="1"/>
  <c r="BY35" i="1"/>
  <c r="BY6" i="1"/>
  <c r="BZ4" i="1" l="1"/>
  <c r="BZ13" i="1"/>
  <c r="BZ8" i="1"/>
  <c r="CA5" i="1"/>
  <c r="CA15" i="1" s="1"/>
  <c r="BZ9" i="1"/>
  <c r="BZ10" i="1"/>
  <c r="BZ11" i="1"/>
  <c r="BZ7" i="1"/>
  <c r="BZ12" i="1"/>
  <c r="BZ18" i="1"/>
  <c r="BZ19" i="1"/>
  <c r="BZ20" i="1"/>
  <c r="BZ21" i="1"/>
  <c r="BZ22" i="1"/>
  <c r="BZ23" i="1"/>
  <c r="BZ24" i="1"/>
  <c r="BZ25" i="1"/>
  <c r="BZ28" i="1"/>
  <c r="BZ17" i="1"/>
  <c r="BZ27" i="1"/>
  <c r="BZ29" i="1"/>
  <c r="BZ30" i="1"/>
  <c r="BZ31" i="1"/>
  <c r="BZ32" i="1"/>
  <c r="BZ33" i="1"/>
  <c r="BZ37" i="1"/>
  <c r="BZ34" i="1"/>
  <c r="BZ26" i="1"/>
  <c r="BZ36" i="1"/>
  <c r="BZ16" i="1"/>
  <c r="BZ38" i="1"/>
  <c r="BZ39" i="1"/>
  <c r="BZ40" i="1"/>
  <c r="BZ41" i="1"/>
  <c r="BZ42" i="1"/>
  <c r="BZ46" i="1"/>
  <c r="BZ35" i="1"/>
  <c r="BZ6" i="1"/>
  <c r="CA4" i="1" l="1"/>
  <c r="CA13" i="1"/>
  <c r="CB5" i="1"/>
  <c r="CB15" i="1" s="1"/>
  <c r="CA8" i="1"/>
  <c r="CA9" i="1"/>
  <c r="CA10" i="1"/>
  <c r="CA11" i="1"/>
  <c r="CA7" i="1"/>
  <c r="CA12" i="1"/>
  <c r="CA18" i="1"/>
  <c r="CA19" i="1"/>
  <c r="CA20" i="1"/>
  <c r="CA21" i="1"/>
  <c r="CA22" i="1"/>
  <c r="CA23" i="1"/>
  <c r="CA24" i="1"/>
  <c r="CA28" i="1"/>
  <c r="CA25" i="1"/>
  <c r="CA17" i="1"/>
  <c r="CA27" i="1"/>
  <c r="CA29" i="1"/>
  <c r="CA30" i="1"/>
  <c r="CA31" i="1"/>
  <c r="CA32" i="1"/>
  <c r="CA33" i="1"/>
  <c r="CA34" i="1"/>
  <c r="CA37" i="1"/>
  <c r="CA26" i="1"/>
  <c r="CA16" i="1"/>
  <c r="CA36" i="1"/>
  <c r="CA38" i="1"/>
  <c r="CA39" i="1"/>
  <c r="CA40" i="1"/>
  <c r="CA41" i="1"/>
  <c r="CA42" i="1"/>
  <c r="CA46" i="1"/>
  <c r="CA35" i="1"/>
  <c r="CA6" i="1"/>
  <c r="CB4" i="1" l="1"/>
  <c r="CB13" i="1"/>
  <c r="CB8" i="1"/>
  <c r="CC5" i="1"/>
  <c r="CC15" i="1" s="1"/>
  <c r="CB9" i="1"/>
  <c r="CB10" i="1"/>
  <c r="CB11" i="1"/>
  <c r="CB7" i="1"/>
  <c r="CB12" i="1"/>
  <c r="CB18" i="1"/>
  <c r="CB20" i="1"/>
  <c r="CB19" i="1"/>
  <c r="CB21" i="1"/>
  <c r="CB22" i="1"/>
  <c r="CB23" i="1"/>
  <c r="CB24" i="1"/>
  <c r="CB25" i="1"/>
  <c r="CB28" i="1"/>
  <c r="CB17" i="1"/>
  <c r="CB27" i="1"/>
  <c r="CB29" i="1"/>
  <c r="CB30" i="1"/>
  <c r="CB31" i="1"/>
  <c r="CB32" i="1"/>
  <c r="CB33" i="1"/>
  <c r="CB37" i="1"/>
  <c r="CB34" i="1"/>
  <c r="CB26" i="1"/>
  <c r="CB16" i="1"/>
  <c r="CB36" i="1"/>
  <c r="CB38" i="1"/>
  <c r="CB39" i="1"/>
  <c r="CB40" i="1"/>
  <c r="CB41" i="1"/>
  <c r="CB42" i="1"/>
  <c r="CB46" i="1"/>
  <c r="CB35" i="1"/>
  <c r="CB6" i="1"/>
  <c r="CC4" i="1" l="1"/>
  <c r="CC13" i="1"/>
  <c r="CD5" i="1"/>
  <c r="CD15" i="1" s="1"/>
  <c r="CC8" i="1"/>
  <c r="CC9" i="1"/>
  <c r="CC10" i="1"/>
  <c r="CC11" i="1"/>
  <c r="CC7" i="1"/>
  <c r="CC12" i="1"/>
  <c r="CC18" i="1"/>
  <c r="CC20" i="1"/>
  <c r="CC19" i="1"/>
  <c r="CC21" i="1"/>
  <c r="CC22" i="1"/>
  <c r="CC23" i="1"/>
  <c r="CC24" i="1"/>
  <c r="CC28" i="1"/>
  <c r="CC25" i="1"/>
  <c r="CC17" i="1"/>
  <c r="CC27" i="1"/>
  <c r="CC29" i="1"/>
  <c r="CC30" i="1"/>
  <c r="CC31" i="1"/>
  <c r="CC32" i="1"/>
  <c r="CC33" i="1"/>
  <c r="CC37" i="1"/>
  <c r="CC34" i="1"/>
  <c r="CC26" i="1"/>
  <c r="CC16" i="1"/>
  <c r="CC36" i="1"/>
  <c r="CC38" i="1"/>
  <c r="CC39" i="1"/>
  <c r="CC40" i="1"/>
  <c r="CC41" i="1"/>
  <c r="CC42" i="1"/>
  <c r="CC46" i="1"/>
  <c r="CC35" i="1"/>
  <c r="CC6" i="1"/>
  <c r="CD4" i="1" l="1"/>
  <c r="CD13" i="1"/>
  <c r="CD8" i="1"/>
  <c r="CE5" i="1"/>
  <c r="CE15" i="1" s="1"/>
  <c r="CD9" i="1"/>
  <c r="CD10" i="1"/>
  <c r="CD11" i="1"/>
  <c r="CD7" i="1"/>
  <c r="CD12" i="1"/>
  <c r="CD18" i="1"/>
  <c r="CD20" i="1"/>
  <c r="CD19" i="1"/>
  <c r="CD21" i="1"/>
  <c r="CD22" i="1"/>
  <c r="CD23" i="1"/>
  <c r="CD24" i="1"/>
  <c r="CD28" i="1"/>
  <c r="CD25" i="1"/>
  <c r="CD17" i="1"/>
  <c r="CD27" i="1"/>
  <c r="CD29" i="1"/>
  <c r="CD30" i="1"/>
  <c r="CD31" i="1"/>
  <c r="CD32" i="1"/>
  <c r="CD33" i="1"/>
  <c r="CD34" i="1"/>
  <c r="CD37" i="1"/>
  <c r="CD26" i="1"/>
  <c r="CD36" i="1"/>
  <c r="CD16" i="1"/>
  <c r="CD38" i="1"/>
  <c r="CD39" i="1"/>
  <c r="CD40" i="1"/>
  <c r="CD41" i="1"/>
  <c r="CD42" i="1"/>
  <c r="CD46" i="1"/>
  <c r="CD35" i="1"/>
  <c r="CD6" i="1"/>
  <c r="CE4" i="1" l="1"/>
  <c r="CE13" i="1"/>
  <c r="CE8" i="1"/>
  <c r="CF5" i="1"/>
  <c r="CF15" i="1" s="1"/>
  <c r="CE9" i="1"/>
  <c r="CE10" i="1"/>
  <c r="CE11" i="1"/>
  <c r="CE7" i="1"/>
  <c r="CE12" i="1"/>
  <c r="CE18" i="1"/>
  <c r="CE20" i="1"/>
  <c r="CE19" i="1"/>
  <c r="CE21" i="1"/>
  <c r="CE22" i="1"/>
  <c r="CE23" i="1"/>
  <c r="CE24" i="1"/>
  <c r="CE25" i="1"/>
  <c r="CE28" i="1"/>
  <c r="CE17" i="1"/>
  <c r="CE27" i="1"/>
  <c r="CE29" i="1"/>
  <c r="CE30" i="1"/>
  <c r="CE31" i="1"/>
  <c r="CE32" i="1"/>
  <c r="CE33" i="1"/>
  <c r="CE37" i="1"/>
  <c r="CE34" i="1"/>
  <c r="CE26" i="1"/>
  <c r="CE16" i="1"/>
  <c r="CE36" i="1"/>
  <c r="CE38" i="1"/>
  <c r="CE39" i="1"/>
  <c r="CE40" i="1"/>
  <c r="CE41" i="1"/>
  <c r="CE42" i="1"/>
  <c r="CE46" i="1"/>
  <c r="CE35" i="1"/>
  <c r="CE6" i="1"/>
  <c r="CF4" i="1" l="1"/>
  <c r="CF13" i="1"/>
  <c r="CG5" i="1"/>
  <c r="CG15" i="1" s="1"/>
  <c r="CF8" i="1"/>
  <c r="CF9" i="1"/>
  <c r="CF10" i="1"/>
  <c r="CF11" i="1"/>
  <c r="CF7" i="1"/>
  <c r="CF12" i="1"/>
  <c r="CF18" i="1"/>
  <c r="CF19" i="1"/>
  <c r="CF20" i="1"/>
  <c r="CF21" i="1"/>
  <c r="CF22" i="1"/>
  <c r="CF23" i="1"/>
  <c r="CF24" i="1"/>
  <c r="CF25" i="1"/>
  <c r="CF28" i="1"/>
  <c r="CF17" i="1"/>
  <c r="CF27" i="1"/>
  <c r="CF29" i="1"/>
  <c r="CF30" i="1"/>
  <c r="CF31" i="1"/>
  <c r="CF32" i="1"/>
  <c r="CF33" i="1"/>
  <c r="CF37" i="1"/>
  <c r="CF34" i="1"/>
  <c r="CF26" i="1"/>
  <c r="CF36" i="1"/>
  <c r="CF16" i="1"/>
  <c r="CF38" i="1"/>
  <c r="CF39" i="1"/>
  <c r="CF40" i="1"/>
  <c r="CF41" i="1"/>
  <c r="CF42" i="1"/>
  <c r="CF46" i="1"/>
  <c r="CF35" i="1"/>
  <c r="CF6" i="1"/>
  <c r="CG4" i="1" l="1"/>
  <c r="CG13" i="1"/>
  <c r="CG8" i="1"/>
  <c r="CH5" i="1"/>
  <c r="CH15" i="1" s="1"/>
  <c r="CG9" i="1"/>
  <c r="CG10" i="1"/>
  <c r="CG11" i="1"/>
  <c r="CG7" i="1"/>
  <c r="CG12" i="1"/>
  <c r="CG18" i="1"/>
  <c r="CG20" i="1"/>
  <c r="CG19" i="1"/>
  <c r="CG21" i="1"/>
  <c r="CG22" i="1"/>
  <c r="CG23" i="1"/>
  <c r="CG24" i="1"/>
  <c r="CG25" i="1"/>
  <c r="CG28" i="1"/>
  <c r="CG17" i="1"/>
  <c r="CG27" i="1"/>
  <c r="CG29" i="1"/>
  <c r="CG30" i="1"/>
  <c r="CG31" i="1"/>
  <c r="CG32" i="1"/>
  <c r="CG33" i="1"/>
  <c r="CG34" i="1"/>
  <c r="CG37" i="1"/>
  <c r="CG26" i="1"/>
  <c r="CG16" i="1"/>
  <c r="CG36" i="1"/>
  <c r="CG38" i="1"/>
  <c r="CG39" i="1"/>
  <c r="CG40" i="1"/>
  <c r="CG41" i="1"/>
  <c r="CG42" i="1"/>
  <c r="CG46" i="1"/>
  <c r="CG35" i="1"/>
  <c r="CG6" i="1"/>
  <c r="CH4" i="1" l="1"/>
  <c r="CH13" i="1"/>
  <c r="CH8" i="1"/>
  <c r="CI5" i="1"/>
  <c r="CI15" i="1" s="1"/>
  <c r="CH9" i="1"/>
  <c r="CH10" i="1"/>
  <c r="CH11" i="1"/>
  <c r="CH7" i="1"/>
  <c r="CH12" i="1"/>
  <c r="CH18" i="1"/>
  <c r="CH19" i="1"/>
  <c r="CH20" i="1"/>
  <c r="CH21" i="1"/>
  <c r="CH22" i="1"/>
  <c r="CH23" i="1"/>
  <c r="CH24" i="1"/>
  <c r="CH25" i="1"/>
  <c r="CH28" i="1"/>
  <c r="CH17" i="1"/>
  <c r="CH27" i="1"/>
  <c r="CH29" i="1"/>
  <c r="CH30" i="1"/>
  <c r="CH31" i="1"/>
  <c r="CH32" i="1"/>
  <c r="CH33" i="1"/>
  <c r="CH37" i="1"/>
  <c r="CH34" i="1"/>
  <c r="CH26" i="1"/>
  <c r="CH36" i="1"/>
  <c r="CH16" i="1"/>
  <c r="CH38" i="1"/>
  <c r="CH39" i="1"/>
  <c r="CH40" i="1"/>
  <c r="CH41" i="1"/>
  <c r="CH42" i="1"/>
  <c r="CH46" i="1"/>
  <c r="CH35" i="1"/>
  <c r="CH6" i="1"/>
  <c r="CI4" i="1" l="1"/>
  <c r="CI13" i="1"/>
  <c r="CI8" i="1"/>
  <c r="CJ5" i="1"/>
  <c r="CJ15" i="1" s="1"/>
  <c r="CI9" i="1"/>
  <c r="CI10" i="1"/>
  <c r="CI11" i="1"/>
  <c r="CI7" i="1"/>
  <c r="CI12" i="1"/>
  <c r="CI18" i="1"/>
  <c r="CI20" i="1"/>
  <c r="CI19" i="1"/>
  <c r="CI21" i="1"/>
  <c r="CI22" i="1"/>
  <c r="CI23" i="1"/>
  <c r="CI24" i="1"/>
  <c r="CI28" i="1"/>
  <c r="CI25" i="1"/>
  <c r="CI17" i="1"/>
  <c r="CI27" i="1"/>
  <c r="CI29" i="1"/>
  <c r="CI30" i="1"/>
  <c r="CI31" i="1"/>
  <c r="CI32" i="1"/>
  <c r="CI33" i="1"/>
  <c r="CI37" i="1"/>
  <c r="CI34" i="1"/>
  <c r="CI26" i="1"/>
  <c r="CI36" i="1"/>
  <c r="CI16" i="1"/>
  <c r="CI38" i="1"/>
  <c r="CI39" i="1"/>
  <c r="CI40" i="1"/>
  <c r="CI41" i="1"/>
  <c r="CI42" i="1"/>
  <c r="CI46" i="1"/>
  <c r="CI35" i="1"/>
  <c r="CI6" i="1"/>
  <c r="CJ4" i="1" l="1"/>
  <c r="CJ13" i="1"/>
  <c r="CJ8" i="1"/>
  <c r="CK5" i="1"/>
  <c r="CK15" i="1" s="1"/>
  <c r="CJ9" i="1"/>
  <c r="CJ10" i="1"/>
  <c r="CJ11" i="1"/>
  <c r="CJ7" i="1"/>
  <c r="CJ12" i="1"/>
  <c r="CJ18" i="1"/>
  <c r="CJ19" i="1"/>
  <c r="CJ20" i="1"/>
  <c r="CJ21" i="1"/>
  <c r="CJ22" i="1"/>
  <c r="CJ23" i="1"/>
  <c r="CJ24" i="1"/>
  <c r="CJ28" i="1"/>
  <c r="CJ25" i="1"/>
  <c r="CJ17" i="1"/>
  <c r="CJ27" i="1"/>
  <c r="CJ29" i="1"/>
  <c r="CJ30" i="1"/>
  <c r="CJ31" i="1"/>
  <c r="CJ32" i="1"/>
  <c r="CJ33" i="1"/>
  <c r="CJ37" i="1"/>
  <c r="CJ34" i="1"/>
  <c r="CJ26" i="1"/>
  <c r="CJ16" i="1"/>
  <c r="CJ36" i="1"/>
  <c r="CJ38" i="1"/>
  <c r="CJ39" i="1"/>
  <c r="CJ40" i="1"/>
  <c r="CJ41" i="1"/>
  <c r="CJ42" i="1"/>
  <c r="CJ46" i="1"/>
  <c r="CJ35" i="1"/>
  <c r="CJ6" i="1"/>
  <c r="CK4" i="1" l="1"/>
  <c r="CK13" i="1"/>
  <c r="CK8" i="1"/>
  <c r="CL5" i="1"/>
  <c r="CL15" i="1" s="1"/>
  <c r="CK9" i="1"/>
  <c r="CK10" i="1"/>
  <c r="CK11" i="1"/>
  <c r="CK7" i="1"/>
  <c r="CK12" i="1"/>
  <c r="CK18" i="1"/>
  <c r="CK20" i="1"/>
  <c r="CK19" i="1"/>
  <c r="CK21" i="1"/>
  <c r="CK22" i="1"/>
  <c r="CK23" i="1"/>
  <c r="CK24" i="1"/>
  <c r="CK25" i="1"/>
  <c r="CK28" i="1"/>
  <c r="CK17" i="1"/>
  <c r="CK27" i="1"/>
  <c r="CK29" i="1"/>
  <c r="CK30" i="1"/>
  <c r="CK31" i="1"/>
  <c r="CK32" i="1"/>
  <c r="CK33" i="1"/>
  <c r="CK37" i="1"/>
  <c r="CK34" i="1"/>
  <c r="CK26" i="1"/>
  <c r="CK36" i="1"/>
  <c r="CK16" i="1"/>
  <c r="CK38" i="1"/>
  <c r="CK39" i="1"/>
  <c r="CK40" i="1"/>
  <c r="CK41" i="1"/>
  <c r="CK42" i="1"/>
  <c r="CK46" i="1"/>
  <c r="CK35" i="1"/>
  <c r="CK6" i="1"/>
  <c r="CL4" i="1" l="1"/>
  <c r="CL13" i="1"/>
  <c r="CM5" i="1"/>
  <c r="CM15" i="1" s="1"/>
  <c r="CL8" i="1"/>
  <c r="CL9" i="1"/>
  <c r="CL10" i="1"/>
  <c r="CL11" i="1"/>
  <c r="CL7" i="1"/>
  <c r="CL12" i="1"/>
  <c r="CL18" i="1"/>
  <c r="CL20" i="1"/>
  <c r="CL19" i="1"/>
  <c r="CL21" i="1"/>
  <c r="CL22" i="1"/>
  <c r="CL23" i="1"/>
  <c r="CL24" i="1"/>
  <c r="CL25" i="1"/>
  <c r="CL28" i="1"/>
  <c r="CL17" i="1"/>
  <c r="CL27" i="1"/>
  <c r="CL29" i="1"/>
  <c r="CL30" i="1"/>
  <c r="CL31" i="1"/>
  <c r="CL32" i="1"/>
  <c r="CL33" i="1"/>
  <c r="CL37" i="1"/>
  <c r="CL34" i="1"/>
  <c r="CL26" i="1"/>
  <c r="CL36" i="1"/>
  <c r="CL16" i="1"/>
  <c r="CL38" i="1"/>
  <c r="CL39" i="1"/>
  <c r="CL40" i="1"/>
  <c r="CL41" i="1"/>
  <c r="CL42" i="1"/>
  <c r="CL46" i="1"/>
  <c r="CL35" i="1"/>
  <c r="CL6" i="1"/>
  <c r="CM4" i="1" l="1"/>
  <c r="CM13" i="1"/>
  <c r="CN5" i="1"/>
  <c r="CN15" i="1" s="1"/>
  <c r="CM8" i="1"/>
  <c r="CM9" i="1"/>
  <c r="CM10" i="1"/>
  <c r="CM11" i="1"/>
  <c r="CM7" i="1"/>
  <c r="CM12" i="1"/>
  <c r="CM18" i="1"/>
  <c r="CM19" i="1"/>
  <c r="CM20" i="1"/>
  <c r="CM21" i="1"/>
  <c r="CM22" i="1"/>
  <c r="CM23" i="1"/>
  <c r="CM24" i="1"/>
  <c r="CM25" i="1"/>
  <c r="CM28" i="1"/>
  <c r="CM17" i="1"/>
  <c r="CM27" i="1"/>
  <c r="CM29" i="1"/>
  <c r="CM30" i="1"/>
  <c r="CM31" i="1"/>
  <c r="CM32" i="1"/>
  <c r="CM33" i="1"/>
  <c r="CM34" i="1"/>
  <c r="CM37" i="1"/>
  <c r="CM26" i="1"/>
  <c r="CM36" i="1"/>
  <c r="CM16" i="1"/>
  <c r="CM38" i="1"/>
  <c r="CM39" i="1"/>
  <c r="CM40" i="1"/>
  <c r="CM41" i="1"/>
  <c r="CM42" i="1"/>
  <c r="CM46" i="1"/>
  <c r="CM35" i="1"/>
  <c r="CM6" i="1"/>
  <c r="CN4" i="1" l="1"/>
  <c r="CN13" i="1"/>
  <c r="CN8" i="1"/>
  <c r="CO5" i="1"/>
  <c r="CO15" i="1" s="1"/>
  <c r="CN9" i="1"/>
  <c r="CN10" i="1"/>
  <c r="CN11" i="1"/>
  <c r="CN7" i="1"/>
  <c r="CN12" i="1"/>
  <c r="CN18" i="1"/>
  <c r="CN20" i="1"/>
  <c r="CN19" i="1"/>
  <c r="CN21" i="1"/>
  <c r="CN22" i="1"/>
  <c r="CN23" i="1"/>
  <c r="CN24" i="1"/>
  <c r="CN25" i="1"/>
  <c r="CN28" i="1"/>
  <c r="CN17" i="1"/>
  <c r="CN27" i="1"/>
  <c r="CN29" i="1"/>
  <c r="CN30" i="1"/>
  <c r="CN31" i="1"/>
  <c r="CN32" i="1"/>
  <c r="CN33" i="1"/>
  <c r="CN37" i="1"/>
  <c r="CN34" i="1"/>
  <c r="CN26" i="1"/>
  <c r="CN36" i="1"/>
  <c r="CN16" i="1"/>
  <c r="CN38" i="1"/>
  <c r="CN39" i="1"/>
  <c r="CN40" i="1"/>
  <c r="CN41" i="1"/>
  <c r="CN42" i="1"/>
  <c r="CN46" i="1"/>
  <c r="CN35" i="1"/>
  <c r="CN6" i="1"/>
  <c r="CO4" i="1" l="1"/>
  <c r="CO13" i="1"/>
  <c r="CP5" i="1"/>
  <c r="CP15" i="1" s="1"/>
  <c r="CO8" i="1"/>
  <c r="CO9" i="1"/>
  <c r="CO10" i="1"/>
  <c r="CO11" i="1"/>
  <c r="CO7" i="1"/>
  <c r="CO12" i="1"/>
  <c r="CO18" i="1"/>
  <c r="CO19" i="1"/>
  <c r="CO20" i="1"/>
  <c r="CO21" i="1"/>
  <c r="CO22" i="1"/>
  <c r="CO23" i="1"/>
  <c r="CO24" i="1"/>
  <c r="CO28" i="1"/>
  <c r="CO25" i="1"/>
  <c r="CO17" i="1"/>
  <c r="CO27" i="1"/>
  <c r="CO29" i="1"/>
  <c r="CO30" i="1"/>
  <c r="CO31" i="1"/>
  <c r="CO32" i="1"/>
  <c r="CO33" i="1"/>
  <c r="CO34" i="1"/>
  <c r="CO37" i="1"/>
  <c r="CO26" i="1"/>
  <c r="CO16" i="1"/>
  <c r="CO36" i="1"/>
  <c r="CO38" i="1"/>
  <c r="CO39" i="1"/>
  <c r="CO40" i="1"/>
  <c r="CO41" i="1"/>
  <c r="CO42" i="1"/>
  <c r="CO46" i="1"/>
  <c r="CO35" i="1"/>
  <c r="CO6" i="1"/>
  <c r="CP4" i="1" l="1"/>
  <c r="CP13" i="1"/>
  <c r="CP8" i="1"/>
  <c r="CQ5" i="1"/>
  <c r="CQ15" i="1" s="1"/>
  <c r="CP9" i="1"/>
  <c r="CP10" i="1"/>
  <c r="CP11" i="1"/>
  <c r="CP7" i="1"/>
  <c r="CP12" i="1"/>
  <c r="CP18" i="1"/>
  <c r="CP20" i="1"/>
  <c r="CP19" i="1"/>
  <c r="CP21" i="1"/>
  <c r="CP22" i="1"/>
  <c r="CP23" i="1"/>
  <c r="CP24" i="1"/>
  <c r="CP28" i="1"/>
  <c r="CP25" i="1"/>
  <c r="CP17" i="1"/>
  <c r="CP27" i="1"/>
  <c r="CP29" i="1"/>
  <c r="CP30" i="1"/>
  <c r="CP31" i="1"/>
  <c r="CP32" i="1"/>
  <c r="CP33" i="1"/>
  <c r="CP34" i="1"/>
  <c r="CP37" i="1"/>
  <c r="CP26" i="1"/>
  <c r="CP36" i="1"/>
  <c r="CP16" i="1"/>
  <c r="CP38" i="1"/>
  <c r="CP39" i="1"/>
  <c r="CP40" i="1"/>
  <c r="CP41" i="1"/>
  <c r="CP42" i="1"/>
  <c r="CP46" i="1"/>
  <c r="CP35" i="1"/>
  <c r="CP6" i="1"/>
  <c r="CQ4" i="1" l="1"/>
  <c r="CQ13" i="1"/>
  <c r="CR5" i="1"/>
  <c r="CR15" i="1" s="1"/>
  <c r="CQ8" i="1"/>
  <c r="CQ9" i="1"/>
  <c r="CQ10" i="1"/>
  <c r="CQ11" i="1"/>
  <c r="CQ7" i="1"/>
  <c r="CQ12" i="1"/>
  <c r="CQ18" i="1"/>
  <c r="CQ20" i="1"/>
  <c r="CQ19" i="1"/>
  <c r="CQ21" i="1"/>
  <c r="CQ22" i="1"/>
  <c r="CQ23" i="1"/>
  <c r="CQ24" i="1"/>
  <c r="CQ25" i="1"/>
  <c r="CQ28" i="1"/>
  <c r="CQ17" i="1"/>
  <c r="CQ27" i="1"/>
  <c r="CQ29" i="1"/>
  <c r="CQ30" i="1"/>
  <c r="CQ31" i="1"/>
  <c r="CQ32" i="1"/>
  <c r="CQ33" i="1"/>
  <c r="CQ37" i="1"/>
  <c r="CQ34" i="1"/>
  <c r="CQ26" i="1"/>
  <c r="CQ16" i="1"/>
  <c r="CQ36" i="1"/>
  <c r="CQ38" i="1"/>
  <c r="CQ39" i="1"/>
  <c r="CQ40" i="1"/>
  <c r="CQ41" i="1"/>
  <c r="CQ42" i="1"/>
  <c r="CQ46" i="1"/>
  <c r="CQ35" i="1"/>
  <c r="CQ6" i="1"/>
  <c r="CR4" i="1" l="1"/>
  <c r="CR13" i="1"/>
  <c r="CR8" i="1"/>
  <c r="CS5" i="1"/>
  <c r="CS15" i="1" s="1"/>
  <c r="CR9" i="1"/>
  <c r="CR10" i="1"/>
  <c r="CR11" i="1"/>
  <c r="CR7" i="1"/>
  <c r="CR12" i="1"/>
  <c r="CR18" i="1"/>
  <c r="CR20" i="1"/>
  <c r="CR19" i="1"/>
  <c r="CR21" i="1"/>
  <c r="CR22" i="1"/>
  <c r="CR23" i="1"/>
  <c r="CR24" i="1"/>
  <c r="CR25" i="1"/>
  <c r="CR28" i="1"/>
  <c r="CR17" i="1"/>
  <c r="CR27" i="1"/>
  <c r="CR29" i="1"/>
  <c r="CR30" i="1"/>
  <c r="CR31" i="1"/>
  <c r="CR32" i="1"/>
  <c r="CR33" i="1"/>
  <c r="CR37" i="1"/>
  <c r="CR34" i="1"/>
  <c r="CR26" i="1"/>
  <c r="CR16" i="1"/>
  <c r="CR36" i="1"/>
  <c r="CR38" i="1"/>
  <c r="CR39" i="1"/>
  <c r="CR40" i="1"/>
  <c r="CR41" i="1"/>
  <c r="CR42" i="1"/>
  <c r="CR46" i="1"/>
  <c r="CR35" i="1"/>
  <c r="CR6" i="1"/>
  <c r="CS4" i="1" l="1"/>
  <c r="CS13" i="1"/>
  <c r="CS8" i="1"/>
  <c r="CT5" i="1"/>
  <c r="CT15" i="1" s="1"/>
  <c r="CS9" i="1"/>
  <c r="CS10" i="1"/>
  <c r="CS11" i="1"/>
  <c r="CS7" i="1"/>
  <c r="CS12" i="1"/>
  <c r="CS18" i="1"/>
  <c r="CS19" i="1"/>
  <c r="CS20" i="1"/>
  <c r="CS21" i="1"/>
  <c r="CS22" i="1"/>
  <c r="CS23" i="1"/>
  <c r="CS24" i="1"/>
  <c r="CS25" i="1"/>
  <c r="CS28" i="1"/>
  <c r="CS17" i="1"/>
  <c r="CS27" i="1"/>
  <c r="CS29" i="1"/>
  <c r="CS30" i="1"/>
  <c r="CS31" i="1"/>
  <c r="CS32" i="1"/>
  <c r="CS33" i="1"/>
  <c r="CS37" i="1"/>
  <c r="CS34" i="1"/>
  <c r="CS26" i="1"/>
  <c r="CS36" i="1"/>
  <c r="CS16" i="1"/>
  <c r="CS38" i="1"/>
  <c r="CS39" i="1"/>
  <c r="CS40" i="1"/>
  <c r="CS41" i="1"/>
  <c r="CS42" i="1"/>
  <c r="CS46" i="1"/>
  <c r="CS35" i="1"/>
  <c r="CS6" i="1"/>
  <c r="CT4" i="1" l="1"/>
  <c r="CT13" i="1"/>
  <c r="CU5" i="1"/>
  <c r="CU15" i="1" s="1"/>
  <c r="CT8" i="1"/>
  <c r="CT9" i="1"/>
  <c r="CT10" i="1"/>
  <c r="CT11" i="1"/>
  <c r="CT7" i="1"/>
  <c r="CT12" i="1"/>
  <c r="CT18" i="1"/>
  <c r="CT19" i="1"/>
  <c r="CT20" i="1"/>
  <c r="CT21" i="1"/>
  <c r="CT22" i="1"/>
  <c r="CT23" i="1"/>
  <c r="CT24" i="1"/>
  <c r="CT28" i="1"/>
  <c r="CT25" i="1"/>
  <c r="CT17" i="1"/>
  <c r="CT27" i="1"/>
  <c r="CT29" i="1"/>
  <c r="CT30" i="1"/>
  <c r="CT31" i="1"/>
  <c r="CT32" i="1"/>
  <c r="CT33" i="1"/>
  <c r="CT37" i="1"/>
  <c r="CT34" i="1"/>
  <c r="CT26" i="1"/>
  <c r="CT36" i="1"/>
  <c r="CT16" i="1"/>
  <c r="CT38" i="1"/>
  <c r="CT39" i="1"/>
  <c r="CT40" i="1"/>
  <c r="CT41" i="1"/>
  <c r="CT42" i="1"/>
  <c r="CT46" i="1"/>
  <c r="CT35" i="1"/>
  <c r="CT6" i="1"/>
  <c r="CU4" i="1" l="1"/>
  <c r="CU13" i="1"/>
  <c r="CU8" i="1"/>
  <c r="CV5" i="1"/>
  <c r="CV15" i="1" s="1"/>
  <c r="CU9" i="1"/>
  <c r="CU10" i="1"/>
  <c r="CU11" i="1"/>
  <c r="CU7" i="1"/>
  <c r="CU12" i="1"/>
  <c r="CU18" i="1"/>
  <c r="CU19" i="1"/>
  <c r="CU20" i="1"/>
  <c r="CU21" i="1"/>
  <c r="CU22" i="1"/>
  <c r="CU23" i="1"/>
  <c r="CU24" i="1"/>
  <c r="CU25" i="1"/>
  <c r="CU28" i="1"/>
  <c r="CU17" i="1"/>
  <c r="CU27" i="1"/>
  <c r="CU29" i="1"/>
  <c r="CU30" i="1"/>
  <c r="CU31" i="1"/>
  <c r="CU32" i="1"/>
  <c r="CU33" i="1"/>
  <c r="CU37" i="1"/>
  <c r="CU34" i="1"/>
  <c r="CU26" i="1"/>
  <c r="CU36" i="1"/>
  <c r="CU16" i="1"/>
  <c r="CU38" i="1"/>
  <c r="CU39" i="1"/>
  <c r="CU40" i="1"/>
  <c r="CU41" i="1"/>
  <c r="CU42" i="1"/>
  <c r="CU46" i="1"/>
  <c r="CU35" i="1"/>
  <c r="CU6" i="1"/>
  <c r="CV4" i="1" l="1"/>
  <c r="CV13" i="1"/>
  <c r="CV8" i="1"/>
  <c r="CW5" i="1"/>
  <c r="CW15" i="1" s="1"/>
  <c r="CV9" i="1"/>
  <c r="CV10" i="1"/>
  <c r="CV11" i="1"/>
  <c r="CV7" i="1"/>
  <c r="CV12" i="1"/>
  <c r="CV18" i="1"/>
  <c r="CV19" i="1"/>
  <c r="CV20" i="1"/>
  <c r="CV21" i="1"/>
  <c r="CV22" i="1"/>
  <c r="CV23" i="1"/>
  <c r="CV24" i="1"/>
  <c r="CV28" i="1"/>
  <c r="CV25" i="1"/>
  <c r="CV17" i="1"/>
  <c r="CV27" i="1"/>
  <c r="CV29" i="1"/>
  <c r="CV30" i="1"/>
  <c r="CV31" i="1"/>
  <c r="CV32" i="1"/>
  <c r="CV33" i="1"/>
  <c r="CV37" i="1"/>
  <c r="CV34" i="1"/>
  <c r="CV26" i="1"/>
  <c r="CV36" i="1"/>
  <c r="CV16" i="1"/>
  <c r="CV38" i="1"/>
  <c r="CV39" i="1"/>
  <c r="CV40" i="1"/>
  <c r="CV41" i="1"/>
  <c r="CV42" i="1"/>
  <c r="CV46" i="1"/>
  <c r="CV35" i="1"/>
  <c r="CV6" i="1"/>
  <c r="CW4" i="1" l="1"/>
  <c r="CW13" i="1"/>
  <c r="CW8" i="1"/>
  <c r="CX5" i="1"/>
  <c r="CX15" i="1" s="1"/>
  <c r="CW9" i="1"/>
  <c r="CW10" i="1"/>
  <c r="CW11" i="1"/>
  <c r="CW7" i="1"/>
  <c r="CW12" i="1"/>
  <c r="CW18" i="1"/>
  <c r="CW20" i="1"/>
  <c r="CW19" i="1"/>
  <c r="CW21" i="1"/>
  <c r="CW22" i="1"/>
  <c r="CW23" i="1"/>
  <c r="CW24" i="1"/>
  <c r="CW25" i="1"/>
  <c r="CW28" i="1"/>
  <c r="CW17" i="1"/>
  <c r="CW27" i="1"/>
  <c r="CW29" i="1"/>
  <c r="CW30" i="1"/>
  <c r="CW31" i="1"/>
  <c r="CW32" i="1"/>
  <c r="CW33" i="1"/>
  <c r="CW37" i="1"/>
  <c r="CW34" i="1"/>
  <c r="CW26" i="1"/>
  <c r="CW16" i="1"/>
  <c r="CW36" i="1"/>
  <c r="CW38" i="1"/>
  <c r="CW39" i="1"/>
  <c r="CW40" i="1"/>
  <c r="CW41" i="1"/>
  <c r="CW42" i="1"/>
  <c r="CW46" i="1"/>
  <c r="CW35" i="1"/>
  <c r="CW6" i="1"/>
  <c r="CX4" i="1" l="1"/>
  <c r="CX13" i="1"/>
  <c r="CY5" i="1"/>
  <c r="CY15" i="1" s="1"/>
  <c r="CX8" i="1"/>
  <c r="CX9" i="1"/>
  <c r="CX10" i="1"/>
  <c r="CX11" i="1"/>
  <c r="CX7" i="1"/>
  <c r="CX12" i="1"/>
  <c r="CX18" i="1"/>
  <c r="CX20" i="1"/>
  <c r="CX19" i="1"/>
  <c r="CX21" i="1"/>
  <c r="CX22" i="1"/>
  <c r="CX23" i="1"/>
  <c r="CX24" i="1"/>
  <c r="CX28" i="1"/>
  <c r="CX25" i="1"/>
  <c r="CX17" i="1"/>
  <c r="CX27" i="1"/>
  <c r="CX29" i="1"/>
  <c r="CX30" i="1"/>
  <c r="CX31" i="1"/>
  <c r="CX32" i="1"/>
  <c r="CX33" i="1"/>
  <c r="CX34" i="1"/>
  <c r="CX37" i="1"/>
  <c r="CX26" i="1"/>
  <c r="CX16" i="1"/>
  <c r="CX36" i="1"/>
  <c r="CX38" i="1"/>
  <c r="CX39" i="1"/>
  <c r="CX40" i="1"/>
  <c r="CX41" i="1"/>
  <c r="CX42" i="1"/>
  <c r="CX46" i="1"/>
  <c r="CX35" i="1"/>
  <c r="CX6" i="1"/>
  <c r="CY4" i="1" l="1"/>
  <c r="CY13" i="1"/>
  <c r="CZ5" i="1"/>
  <c r="CZ15" i="1" s="1"/>
  <c r="CY8" i="1"/>
  <c r="CY9" i="1"/>
  <c r="CY10" i="1"/>
  <c r="CY11" i="1"/>
  <c r="CY7" i="1"/>
  <c r="CY12" i="1"/>
  <c r="CY18" i="1"/>
  <c r="CY20" i="1"/>
  <c r="CY19" i="1"/>
  <c r="CY21" i="1"/>
  <c r="CY22" i="1"/>
  <c r="CY23" i="1"/>
  <c r="CY24" i="1"/>
  <c r="CY25" i="1"/>
  <c r="CY28" i="1"/>
  <c r="CY17" i="1"/>
  <c r="CY27" i="1"/>
  <c r="CY29" i="1"/>
  <c r="CY30" i="1"/>
  <c r="CY31" i="1"/>
  <c r="CY32" i="1"/>
  <c r="CY33" i="1"/>
  <c r="CY37" i="1"/>
  <c r="CY34" i="1"/>
  <c r="CY26" i="1"/>
  <c r="CY36" i="1"/>
  <c r="CY16" i="1"/>
  <c r="CY38" i="1"/>
  <c r="CY39" i="1"/>
  <c r="CY40" i="1"/>
  <c r="CY41" i="1"/>
  <c r="CY42" i="1"/>
  <c r="CY46" i="1"/>
  <c r="CY35" i="1"/>
  <c r="CY6" i="1"/>
  <c r="CZ4" i="1" l="1"/>
  <c r="CZ13" i="1"/>
  <c r="CZ8" i="1"/>
  <c r="DA5" i="1"/>
  <c r="DA15" i="1" s="1"/>
  <c r="CZ9" i="1"/>
  <c r="CZ10" i="1"/>
  <c r="CZ11" i="1"/>
  <c r="CZ7" i="1"/>
  <c r="CZ12" i="1"/>
  <c r="CZ18" i="1"/>
  <c r="CZ19" i="1"/>
  <c r="CZ20" i="1"/>
  <c r="CZ21" i="1"/>
  <c r="CZ22" i="1"/>
  <c r="CZ23" i="1"/>
  <c r="CZ24" i="1"/>
  <c r="CZ28" i="1"/>
  <c r="CZ25" i="1"/>
  <c r="CZ17" i="1"/>
  <c r="CZ27" i="1"/>
  <c r="CZ29" i="1"/>
  <c r="CZ30" i="1"/>
  <c r="CZ31" i="1"/>
  <c r="CZ32" i="1"/>
  <c r="CZ33" i="1"/>
  <c r="CZ37" i="1"/>
  <c r="CZ34" i="1"/>
  <c r="CZ26" i="1"/>
  <c r="CZ16" i="1"/>
  <c r="CZ36" i="1"/>
  <c r="CZ38" i="1"/>
  <c r="CZ39" i="1"/>
  <c r="CZ40" i="1"/>
  <c r="CZ41" i="1"/>
  <c r="CZ42" i="1"/>
  <c r="CZ46" i="1"/>
  <c r="CZ35" i="1"/>
  <c r="CZ6" i="1"/>
  <c r="DA4" i="1" l="1"/>
  <c r="DA13" i="1"/>
  <c r="DB5" i="1"/>
  <c r="DB15" i="1" s="1"/>
  <c r="DA8" i="1"/>
  <c r="DA9" i="1"/>
  <c r="DA10" i="1"/>
  <c r="DA11" i="1"/>
  <c r="DA7" i="1"/>
  <c r="DA12" i="1"/>
  <c r="DA18" i="1"/>
  <c r="DA19" i="1"/>
  <c r="DA20" i="1"/>
  <c r="DA21" i="1"/>
  <c r="DA22" i="1"/>
  <c r="DA23" i="1"/>
  <c r="DA24" i="1"/>
  <c r="DA25" i="1"/>
  <c r="DA28" i="1"/>
  <c r="DA17" i="1"/>
  <c r="DA27" i="1"/>
  <c r="DA29" i="1"/>
  <c r="DA30" i="1"/>
  <c r="DA31" i="1"/>
  <c r="DA32" i="1"/>
  <c r="DA33" i="1"/>
  <c r="DA34" i="1"/>
  <c r="DA37" i="1"/>
  <c r="DA26" i="1"/>
  <c r="DA36" i="1"/>
  <c r="DA16" i="1"/>
  <c r="DA38" i="1"/>
  <c r="DA39" i="1"/>
  <c r="DA40" i="1"/>
  <c r="DA41" i="1"/>
  <c r="DA42" i="1"/>
  <c r="DA46" i="1"/>
  <c r="DA35" i="1"/>
  <c r="DA6" i="1"/>
  <c r="DB4" i="1" l="1"/>
  <c r="DB13" i="1"/>
  <c r="DB8" i="1"/>
  <c r="DC5" i="1"/>
  <c r="DC15" i="1" s="1"/>
  <c r="DB9" i="1"/>
  <c r="DB10" i="1"/>
  <c r="DB11" i="1"/>
  <c r="DB7" i="1"/>
  <c r="DB12" i="1"/>
  <c r="DB18" i="1"/>
  <c r="DB20" i="1"/>
  <c r="DB19" i="1"/>
  <c r="DB21" i="1"/>
  <c r="DB22" i="1"/>
  <c r="DB23" i="1"/>
  <c r="DB24" i="1"/>
  <c r="DB28" i="1"/>
  <c r="DB25" i="1"/>
  <c r="DB17" i="1"/>
  <c r="DB27" i="1"/>
  <c r="DB29" i="1"/>
  <c r="DB30" i="1"/>
  <c r="DB31" i="1"/>
  <c r="DB32" i="1"/>
  <c r="DB33" i="1"/>
  <c r="DB34" i="1"/>
  <c r="DB37" i="1"/>
  <c r="DB26" i="1"/>
  <c r="DB16" i="1"/>
  <c r="DB36" i="1"/>
  <c r="DB38" i="1"/>
  <c r="DB39" i="1"/>
  <c r="DB40" i="1"/>
  <c r="DB41" i="1"/>
  <c r="DB42" i="1"/>
  <c r="DB46" i="1"/>
  <c r="DB35" i="1"/>
  <c r="DB6" i="1"/>
  <c r="DC4" i="1" l="1"/>
  <c r="DC13" i="1"/>
  <c r="DD5" i="1"/>
  <c r="DD15" i="1" s="1"/>
  <c r="DC8" i="1"/>
  <c r="DC9" i="1"/>
  <c r="DC10" i="1"/>
  <c r="DC11" i="1"/>
  <c r="DC7" i="1"/>
  <c r="DC12" i="1"/>
  <c r="DC18" i="1"/>
  <c r="DC19" i="1"/>
  <c r="DC20" i="1"/>
  <c r="DC21" i="1"/>
  <c r="DC22" i="1"/>
  <c r="DC23" i="1"/>
  <c r="DC24" i="1"/>
  <c r="DC28" i="1"/>
  <c r="DC25" i="1"/>
  <c r="DC17" i="1"/>
  <c r="DC27" i="1"/>
  <c r="DC29" i="1"/>
  <c r="DC30" i="1"/>
  <c r="DC31" i="1"/>
  <c r="DC32" i="1"/>
  <c r="DC33" i="1"/>
  <c r="DC37" i="1"/>
  <c r="DC34" i="1"/>
  <c r="DC26" i="1"/>
  <c r="DC16" i="1"/>
  <c r="DC36" i="1"/>
  <c r="DC38" i="1"/>
  <c r="DC39" i="1"/>
  <c r="DC40" i="1"/>
  <c r="DC41" i="1"/>
  <c r="DC42" i="1"/>
  <c r="DC46" i="1"/>
  <c r="DC35" i="1"/>
  <c r="DC6" i="1"/>
  <c r="DD4" i="1" l="1"/>
  <c r="DD13" i="1"/>
  <c r="DE5" i="1"/>
  <c r="DE15" i="1" s="1"/>
  <c r="DD8" i="1"/>
  <c r="DD9" i="1"/>
  <c r="DD10" i="1"/>
  <c r="DD11" i="1"/>
  <c r="DD7" i="1"/>
  <c r="DD12" i="1"/>
  <c r="DD18" i="1"/>
  <c r="DD20" i="1"/>
  <c r="DD19" i="1"/>
  <c r="DD21" i="1"/>
  <c r="DD22" i="1"/>
  <c r="DD23" i="1"/>
  <c r="DD24" i="1"/>
  <c r="DD25" i="1"/>
  <c r="DD28" i="1"/>
  <c r="DD17" i="1"/>
  <c r="DD27" i="1"/>
  <c r="DD29" i="1"/>
  <c r="DD30" i="1"/>
  <c r="DD31" i="1"/>
  <c r="DD32" i="1"/>
  <c r="DD33" i="1"/>
  <c r="DD34" i="1"/>
  <c r="DD37" i="1"/>
  <c r="DD26" i="1"/>
  <c r="DD16" i="1"/>
  <c r="DD36" i="1"/>
  <c r="DD38" i="1"/>
  <c r="DD39" i="1"/>
  <c r="DD40" i="1"/>
  <c r="DD41" i="1"/>
  <c r="DD42" i="1"/>
  <c r="DD46" i="1"/>
  <c r="DD35" i="1"/>
  <c r="DD6" i="1"/>
  <c r="DE4" i="1" l="1"/>
  <c r="DE13" i="1"/>
  <c r="DE8" i="1"/>
  <c r="DF5" i="1"/>
  <c r="DF15" i="1" s="1"/>
  <c r="DE9" i="1"/>
  <c r="DE10" i="1"/>
  <c r="DE11" i="1"/>
  <c r="DE7" i="1"/>
  <c r="DE12" i="1"/>
  <c r="DE18" i="1"/>
  <c r="DE19" i="1"/>
  <c r="DE20" i="1"/>
  <c r="DE21" i="1"/>
  <c r="DE22" i="1"/>
  <c r="DE23" i="1"/>
  <c r="DE24" i="1"/>
  <c r="DE25" i="1"/>
  <c r="DE28" i="1"/>
  <c r="DE17" i="1"/>
  <c r="DE27" i="1"/>
  <c r="DE29" i="1"/>
  <c r="DE30" i="1"/>
  <c r="DE31" i="1"/>
  <c r="DE32" i="1"/>
  <c r="DE33" i="1"/>
  <c r="DE37" i="1"/>
  <c r="DE34" i="1"/>
  <c r="DE26" i="1"/>
  <c r="DE16" i="1"/>
  <c r="DE36" i="1"/>
  <c r="DE38" i="1"/>
  <c r="DE39" i="1"/>
  <c r="DE40" i="1"/>
  <c r="DE41" i="1"/>
  <c r="DE42" i="1"/>
  <c r="DE46" i="1"/>
  <c r="DE35" i="1"/>
  <c r="DE6" i="1"/>
  <c r="DF4" i="1" l="1"/>
  <c r="DF13" i="1"/>
  <c r="DF8" i="1"/>
  <c r="DG5" i="1"/>
  <c r="DG15" i="1" s="1"/>
  <c r="DF9" i="1"/>
  <c r="DF10" i="1"/>
  <c r="DF11" i="1"/>
  <c r="DF7" i="1"/>
  <c r="DF12" i="1"/>
  <c r="DF18" i="1"/>
  <c r="DF20" i="1"/>
  <c r="DF19" i="1"/>
  <c r="DF21" i="1"/>
  <c r="DF22" i="1"/>
  <c r="DF23" i="1"/>
  <c r="DF24" i="1"/>
  <c r="DF28" i="1"/>
  <c r="DF25" i="1"/>
  <c r="DF17" i="1"/>
  <c r="DF27" i="1"/>
  <c r="DF29" i="1"/>
  <c r="DF30" i="1"/>
  <c r="DF31" i="1"/>
  <c r="DF32" i="1"/>
  <c r="DF33" i="1"/>
  <c r="DF34" i="1"/>
  <c r="DF37" i="1"/>
  <c r="DF26" i="1"/>
  <c r="DF36" i="1"/>
  <c r="DF16" i="1"/>
  <c r="DF38" i="1"/>
  <c r="DF39" i="1"/>
  <c r="DF40" i="1"/>
  <c r="DF41" i="1"/>
  <c r="DF42" i="1"/>
  <c r="DF46" i="1"/>
  <c r="DF35" i="1"/>
  <c r="DF6" i="1"/>
  <c r="DG4" i="1" l="1"/>
  <c r="DG13" i="1"/>
  <c r="DG8" i="1"/>
  <c r="DH5" i="1"/>
  <c r="DH15" i="1" s="1"/>
  <c r="DG9" i="1"/>
  <c r="DG10" i="1"/>
  <c r="DG11" i="1"/>
  <c r="DG7" i="1"/>
  <c r="DG12" i="1"/>
  <c r="DG18" i="1"/>
  <c r="DG20" i="1"/>
  <c r="DG19" i="1"/>
  <c r="DG21" i="1"/>
  <c r="DG22" i="1"/>
  <c r="DG23" i="1"/>
  <c r="DG24" i="1"/>
  <c r="DG28" i="1"/>
  <c r="DG25" i="1"/>
  <c r="DG17" i="1"/>
  <c r="DG27" i="1"/>
  <c r="DG29" i="1"/>
  <c r="DG30" i="1"/>
  <c r="DG31" i="1"/>
  <c r="DG32" i="1"/>
  <c r="DG33" i="1"/>
  <c r="DG37" i="1"/>
  <c r="DG34" i="1"/>
  <c r="DG26" i="1"/>
  <c r="DG36" i="1"/>
  <c r="DG16" i="1"/>
  <c r="DG38" i="1"/>
  <c r="DG39" i="1"/>
  <c r="DG40" i="1"/>
  <c r="DG41" i="1"/>
  <c r="DG42" i="1"/>
  <c r="DG46" i="1"/>
  <c r="DG35" i="1"/>
  <c r="DG6" i="1"/>
  <c r="DH4" i="1" l="1"/>
  <c r="DH13" i="1"/>
  <c r="DH8" i="1"/>
  <c r="DI5" i="1"/>
  <c r="DI15" i="1" s="1"/>
  <c r="DH9" i="1"/>
  <c r="DH10" i="1"/>
  <c r="DH11" i="1"/>
  <c r="DH7" i="1"/>
  <c r="DH12" i="1"/>
  <c r="DH18" i="1"/>
  <c r="DH19" i="1"/>
  <c r="DH20" i="1"/>
  <c r="DH21" i="1"/>
  <c r="DH22" i="1"/>
  <c r="DH23" i="1"/>
  <c r="DH24" i="1"/>
  <c r="DH25" i="1"/>
  <c r="DH28" i="1"/>
  <c r="DH17" i="1"/>
  <c r="DH27" i="1"/>
  <c r="DH29" i="1"/>
  <c r="DH30" i="1"/>
  <c r="DH31" i="1"/>
  <c r="DH32" i="1"/>
  <c r="DH33" i="1"/>
  <c r="DH37" i="1"/>
  <c r="DH34" i="1"/>
  <c r="DH26" i="1"/>
  <c r="DH36" i="1"/>
  <c r="DH16" i="1"/>
  <c r="DH38" i="1"/>
  <c r="DH39" i="1"/>
  <c r="DH40" i="1"/>
  <c r="DH41" i="1"/>
  <c r="DH42" i="1"/>
  <c r="DH46" i="1"/>
  <c r="DH35" i="1"/>
  <c r="DH6" i="1"/>
  <c r="DI4" i="1" l="1"/>
  <c r="DI13" i="1"/>
  <c r="DI8" i="1"/>
  <c r="DJ5" i="1"/>
  <c r="DJ15" i="1" s="1"/>
  <c r="DI9" i="1"/>
  <c r="DI10" i="1"/>
  <c r="DI11" i="1"/>
  <c r="DI7" i="1"/>
  <c r="DI12" i="1"/>
  <c r="DI18" i="1"/>
  <c r="DI20" i="1"/>
  <c r="DI19" i="1"/>
  <c r="DI21" i="1"/>
  <c r="DI22" i="1"/>
  <c r="DI23" i="1"/>
  <c r="DI24" i="1"/>
  <c r="DI28" i="1"/>
  <c r="DI25" i="1"/>
  <c r="DI17" i="1"/>
  <c r="DI27" i="1"/>
  <c r="DI29" i="1"/>
  <c r="DI30" i="1"/>
  <c r="DI31" i="1"/>
  <c r="DI32" i="1"/>
  <c r="DI33" i="1"/>
  <c r="DI34" i="1"/>
  <c r="DI37" i="1"/>
  <c r="DI26" i="1"/>
  <c r="DI16" i="1"/>
  <c r="DI36" i="1"/>
  <c r="DI38" i="1"/>
  <c r="DI39" i="1"/>
  <c r="DI40" i="1"/>
  <c r="DI41" i="1"/>
  <c r="DI42" i="1"/>
  <c r="DI46" i="1"/>
  <c r="DI35" i="1"/>
  <c r="DI6" i="1"/>
  <c r="DJ4" i="1" l="1"/>
  <c r="DJ13" i="1"/>
  <c r="DJ8" i="1"/>
  <c r="DK5" i="1"/>
  <c r="DK15" i="1" s="1"/>
  <c r="DJ9" i="1"/>
  <c r="DJ10" i="1"/>
  <c r="DJ11" i="1"/>
  <c r="DJ7" i="1"/>
  <c r="DJ12" i="1"/>
  <c r="DJ18" i="1"/>
  <c r="DJ19" i="1"/>
  <c r="DJ20" i="1"/>
  <c r="DJ21" i="1"/>
  <c r="DJ22" i="1"/>
  <c r="DJ23" i="1"/>
  <c r="DJ24" i="1"/>
  <c r="DJ25" i="1"/>
  <c r="DJ28" i="1"/>
  <c r="DJ17" i="1"/>
  <c r="DJ27" i="1"/>
  <c r="DJ29" i="1"/>
  <c r="DJ30" i="1"/>
  <c r="DJ31" i="1"/>
  <c r="DJ32" i="1"/>
  <c r="DJ33" i="1"/>
  <c r="DJ34" i="1"/>
  <c r="DJ37" i="1"/>
  <c r="DJ26" i="1"/>
  <c r="DJ16" i="1"/>
  <c r="DJ36" i="1"/>
  <c r="DJ38" i="1"/>
  <c r="DJ39" i="1"/>
  <c r="DJ40" i="1"/>
  <c r="DJ41" i="1"/>
  <c r="DJ42" i="1"/>
  <c r="DJ46" i="1"/>
  <c r="DJ35" i="1"/>
  <c r="DJ6" i="1"/>
  <c r="DK4" i="1" l="1"/>
  <c r="DK13" i="1"/>
  <c r="DK8" i="1"/>
  <c r="DL5" i="1"/>
  <c r="DL15" i="1" s="1"/>
  <c r="DK9" i="1"/>
  <c r="DK10" i="1"/>
  <c r="DK11" i="1"/>
  <c r="DK7" i="1"/>
  <c r="DK12" i="1"/>
  <c r="DK18" i="1"/>
  <c r="DK19" i="1"/>
  <c r="DK20" i="1"/>
  <c r="DK21" i="1"/>
  <c r="DK22" i="1"/>
  <c r="DK23" i="1"/>
  <c r="DK24" i="1"/>
  <c r="DK25" i="1"/>
  <c r="DK28" i="1"/>
  <c r="DK17" i="1"/>
  <c r="DK27" i="1"/>
  <c r="DK29" i="1"/>
  <c r="DK30" i="1"/>
  <c r="DK31" i="1"/>
  <c r="DK32" i="1"/>
  <c r="DK33" i="1"/>
  <c r="DK37" i="1"/>
  <c r="DK34" i="1"/>
  <c r="DK26" i="1"/>
  <c r="DK16" i="1"/>
  <c r="DK36" i="1"/>
  <c r="DK38" i="1"/>
  <c r="DK39" i="1"/>
  <c r="DK40" i="1"/>
  <c r="DK41" i="1"/>
  <c r="DK42" i="1"/>
  <c r="DK46" i="1"/>
  <c r="DK35" i="1"/>
  <c r="DK6" i="1"/>
  <c r="DL4" i="1" l="1"/>
  <c r="DL13" i="1"/>
  <c r="DL8" i="1"/>
  <c r="DM5" i="1"/>
  <c r="DM15" i="1" s="1"/>
  <c r="DL9" i="1"/>
  <c r="DL10" i="1"/>
  <c r="DL11" i="1"/>
  <c r="DL7" i="1"/>
  <c r="DL12" i="1"/>
  <c r="DL18" i="1"/>
  <c r="DL20" i="1"/>
  <c r="DL19" i="1"/>
  <c r="DL21" i="1"/>
  <c r="DL22" i="1"/>
  <c r="DL23" i="1"/>
  <c r="DL24" i="1"/>
  <c r="DL28" i="1"/>
  <c r="DL25" i="1"/>
  <c r="DL17" i="1"/>
  <c r="DL27" i="1"/>
  <c r="DL29" i="1"/>
  <c r="DL30" i="1"/>
  <c r="DL31" i="1"/>
  <c r="DL32" i="1"/>
  <c r="DL33" i="1"/>
  <c r="DL37" i="1"/>
  <c r="DL34" i="1"/>
  <c r="DL26" i="1"/>
  <c r="DL16" i="1"/>
  <c r="DL36" i="1"/>
  <c r="DL38" i="1"/>
  <c r="DL39" i="1"/>
  <c r="DL40" i="1"/>
  <c r="DL41" i="1"/>
  <c r="DL42" i="1"/>
  <c r="DL46" i="1"/>
  <c r="DL35" i="1"/>
  <c r="DL6" i="1"/>
  <c r="DM4" i="1" l="1"/>
  <c r="DM13" i="1"/>
  <c r="DN5" i="1"/>
  <c r="DN15" i="1" s="1"/>
  <c r="DM8" i="1"/>
  <c r="DM9" i="1"/>
  <c r="DM10" i="1"/>
  <c r="DM11" i="1"/>
  <c r="DM7" i="1"/>
  <c r="DM12" i="1"/>
  <c r="DM18" i="1"/>
  <c r="DM19" i="1"/>
  <c r="DM20" i="1"/>
  <c r="DM21" i="1"/>
  <c r="DM22" i="1"/>
  <c r="DM23" i="1"/>
  <c r="DM24" i="1"/>
  <c r="DM25" i="1"/>
  <c r="DM28" i="1"/>
  <c r="DM17" i="1"/>
  <c r="DM27" i="1"/>
  <c r="DM29" i="1"/>
  <c r="DM30" i="1"/>
  <c r="DM31" i="1"/>
  <c r="DM32" i="1"/>
  <c r="DM33" i="1"/>
  <c r="DM37" i="1"/>
  <c r="DM34" i="1"/>
  <c r="DM26" i="1"/>
  <c r="DM16" i="1"/>
  <c r="DM36" i="1"/>
  <c r="DM38" i="1"/>
  <c r="DM39" i="1"/>
  <c r="DM40" i="1"/>
  <c r="DM41" i="1"/>
  <c r="DM42" i="1"/>
  <c r="DM46" i="1"/>
  <c r="DM35" i="1"/>
  <c r="DM6" i="1"/>
  <c r="DN4" i="1" l="1"/>
  <c r="DN13" i="1"/>
  <c r="DN8" i="1"/>
  <c r="DO5" i="1"/>
  <c r="DO15" i="1" s="1"/>
  <c r="DN9" i="1"/>
  <c r="DN10" i="1"/>
  <c r="DN11" i="1"/>
  <c r="DN7" i="1"/>
  <c r="DN12" i="1"/>
  <c r="DN18" i="1"/>
  <c r="DN20" i="1"/>
  <c r="DN19" i="1"/>
  <c r="DN21" i="1"/>
  <c r="DN22" i="1"/>
  <c r="DN23" i="1"/>
  <c r="DN24" i="1"/>
  <c r="DN28" i="1"/>
  <c r="DN25" i="1"/>
  <c r="DN17" i="1"/>
  <c r="DN27" i="1"/>
  <c r="DN29" i="1"/>
  <c r="DN30" i="1"/>
  <c r="DN31" i="1"/>
  <c r="DN32" i="1"/>
  <c r="DN33" i="1"/>
  <c r="DN37" i="1"/>
  <c r="DN34" i="1"/>
  <c r="DN26" i="1"/>
  <c r="DN16" i="1"/>
  <c r="DN36" i="1"/>
  <c r="DN38" i="1"/>
  <c r="DN39" i="1"/>
  <c r="DN40" i="1"/>
  <c r="DN41" i="1"/>
  <c r="DN42" i="1"/>
  <c r="DN46" i="1"/>
  <c r="DN35" i="1"/>
  <c r="DN6" i="1"/>
  <c r="DO4" i="1" l="1"/>
  <c r="DO13" i="1"/>
  <c r="DO8" i="1"/>
  <c r="DP5" i="1"/>
  <c r="DP15" i="1" s="1"/>
  <c r="DO9" i="1"/>
  <c r="DO10" i="1"/>
  <c r="DO11" i="1"/>
  <c r="DO7" i="1"/>
  <c r="DO12" i="1"/>
  <c r="DO18" i="1"/>
  <c r="DO20" i="1"/>
  <c r="DO19" i="1"/>
  <c r="DO21" i="1"/>
  <c r="DO22" i="1"/>
  <c r="DO23" i="1"/>
  <c r="DO24" i="1"/>
  <c r="DO25" i="1"/>
  <c r="DO28" i="1"/>
  <c r="DO17" i="1"/>
  <c r="DO27" i="1"/>
  <c r="DO29" i="1"/>
  <c r="DO30" i="1"/>
  <c r="DO31" i="1"/>
  <c r="DO32" i="1"/>
  <c r="DO33" i="1"/>
  <c r="DO37" i="1"/>
  <c r="DO34" i="1"/>
  <c r="DO26" i="1"/>
  <c r="DO16" i="1"/>
  <c r="DO36" i="1"/>
  <c r="DO38" i="1"/>
  <c r="DO39" i="1"/>
  <c r="DO40" i="1"/>
  <c r="DO41" i="1"/>
  <c r="DO42" i="1"/>
  <c r="DO46" i="1"/>
  <c r="DO35" i="1"/>
  <c r="DO6" i="1"/>
  <c r="DP4" i="1" l="1"/>
  <c r="DP13" i="1"/>
  <c r="DQ5" i="1"/>
  <c r="DQ15" i="1" s="1"/>
  <c r="DP8" i="1"/>
  <c r="DP9" i="1"/>
  <c r="DP10" i="1"/>
  <c r="DP11" i="1"/>
  <c r="DP7" i="1"/>
  <c r="DP12" i="1"/>
  <c r="DP18" i="1"/>
  <c r="DP19" i="1"/>
  <c r="DP20" i="1"/>
  <c r="DP21" i="1"/>
  <c r="DP22" i="1"/>
  <c r="DP23" i="1"/>
  <c r="DP24" i="1"/>
  <c r="DP28" i="1"/>
  <c r="DP25" i="1"/>
  <c r="DP17" i="1"/>
  <c r="DP27" i="1"/>
  <c r="DP29" i="1"/>
  <c r="DP30" i="1"/>
  <c r="DP31" i="1"/>
  <c r="DP32" i="1"/>
  <c r="DP33" i="1"/>
  <c r="DP37" i="1"/>
  <c r="DP34" i="1"/>
  <c r="DP26" i="1"/>
  <c r="DP36" i="1"/>
  <c r="DP16" i="1"/>
  <c r="DP38" i="1"/>
  <c r="DP39" i="1"/>
  <c r="DP40" i="1"/>
  <c r="DP41" i="1"/>
  <c r="DP42" i="1"/>
  <c r="DP46" i="1"/>
  <c r="DP35" i="1"/>
  <c r="DP6" i="1"/>
  <c r="DQ4" i="1" l="1"/>
  <c r="DQ13" i="1"/>
  <c r="DQ8" i="1"/>
  <c r="DR5" i="1"/>
  <c r="DR15" i="1" s="1"/>
  <c r="DQ9" i="1"/>
  <c r="DQ10" i="1"/>
  <c r="DQ11" i="1"/>
  <c r="DQ7" i="1"/>
  <c r="DQ12" i="1"/>
  <c r="DQ18" i="1"/>
  <c r="DQ20" i="1"/>
  <c r="DQ19" i="1"/>
  <c r="DQ21" i="1"/>
  <c r="DQ22" i="1"/>
  <c r="DQ23" i="1"/>
  <c r="DQ24" i="1"/>
  <c r="DQ28" i="1"/>
  <c r="DQ25" i="1"/>
  <c r="DQ17" i="1"/>
  <c r="DQ27" i="1"/>
  <c r="DQ29" i="1"/>
  <c r="DQ30" i="1"/>
  <c r="DQ31" i="1"/>
  <c r="DQ32" i="1"/>
  <c r="DQ33" i="1"/>
  <c r="DQ34" i="1"/>
  <c r="DQ37" i="1"/>
  <c r="DQ26" i="1"/>
  <c r="DQ36" i="1"/>
  <c r="DQ16" i="1"/>
  <c r="DQ38" i="1"/>
  <c r="DQ39" i="1"/>
  <c r="DQ40" i="1"/>
  <c r="DQ41" i="1"/>
  <c r="DQ42" i="1"/>
  <c r="DQ46" i="1"/>
  <c r="DQ35" i="1"/>
  <c r="DQ6" i="1"/>
  <c r="DR4" i="1" l="1"/>
  <c r="DR13" i="1"/>
  <c r="DR8" i="1"/>
  <c r="DS5" i="1"/>
  <c r="DS15" i="1" s="1"/>
  <c r="DR9" i="1"/>
  <c r="DR10" i="1"/>
  <c r="DR11" i="1"/>
  <c r="DR7" i="1"/>
  <c r="DR12" i="1"/>
  <c r="DR18" i="1"/>
  <c r="DR20" i="1"/>
  <c r="DR19" i="1"/>
  <c r="DR21" i="1"/>
  <c r="DR22" i="1"/>
  <c r="DR23" i="1"/>
  <c r="DR24" i="1"/>
  <c r="DR25" i="1"/>
  <c r="DR28" i="1"/>
  <c r="DR17" i="1"/>
  <c r="DR27" i="1"/>
  <c r="DR29" i="1"/>
  <c r="DR30" i="1"/>
  <c r="DR31" i="1"/>
  <c r="DR32" i="1"/>
  <c r="DR33" i="1"/>
  <c r="DR37" i="1"/>
  <c r="DR34" i="1"/>
  <c r="DR26" i="1"/>
  <c r="DR16" i="1"/>
  <c r="DR36" i="1"/>
  <c r="DR38" i="1"/>
  <c r="DR39" i="1"/>
  <c r="DR40" i="1"/>
  <c r="DR41" i="1"/>
  <c r="DR42" i="1"/>
  <c r="DR46" i="1"/>
  <c r="DR35" i="1"/>
  <c r="DR6" i="1"/>
  <c r="DS4" i="1" l="1"/>
  <c r="DS13" i="1"/>
  <c r="DS8" i="1"/>
  <c r="DT5" i="1"/>
  <c r="DT15" i="1" s="1"/>
  <c r="DS9" i="1"/>
  <c r="DS10" i="1"/>
  <c r="DS11" i="1"/>
  <c r="DS7" i="1"/>
  <c r="DS12" i="1"/>
  <c r="DS18" i="1"/>
  <c r="DS20" i="1"/>
  <c r="DS19" i="1"/>
  <c r="DS21" i="1"/>
  <c r="DS22" i="1"/>
  <c r="DS23" i="1"/>
  <c r="DS24" i="1"/>
  <c r="DS25" i="1"/>
  <c r="DS28" i="1"/>
  <c r="DS17" i="1"/>
  <c r="DS27" i="1"/>
  <c r="DS29" i="1"/>
  <c r="DS30" i="1"/>
  <c r="DS31" i="1"/>
  <c r="DS32" i="1"/>
  <c r="DS33" i="1"/>
  <c r="DS37" i="1"/>
  <c r="DS34" i="1"/>
  <c r="DS26" i="1"/>
  <c r="DS36" i="1"/>
  <c r="DS16" i="1"/>
  <c r="DS38" i="1"/>
  <c r="DS39" i="1"/>
  <c r="DS40" i="1"/>
  <c r="DS41" i="1"/>
  <c r="DS42" i="1"/>
  <c r="DS46" i="1"/>
  <c r="DS35" i="1"/>
  <c r="DS6" i="1"/>
  <c r="DT4" i="1" l="1"/>
  <c r="DT13" i="1"/>
  <c r="DT8" i="1"/>
  <c r="DU5" i="1"/>
  <c r="DU15" i="1" s="1"/>
  <c r="DT9" i="1"/>
  <c r="DT10" i="1"/>
  <c r="DT11" i="1"/>
  <c r="DT7" i="1"/>
  <c r="DT12" i="1"/>
  <c r="DT18" i="1"/>
  <c r="DT19" i="1"/>
  <c r="DT20" i="1"/>
  <c r="DT21" i="1"/>
  <c r="DT22" i="1"/>
  <c r="DT23" i="1"/>
  <c r="DT24" i="1"/>
  <c r="DT28" i="1"/>
  <c r="DT25" i="1"/>
  <c r="DT17" i="1"/>
  <c r="DT27" i="1"/>
  <c r="DT29" i="1"/>
  <c r="DT30" i="1"/>
  <c r="DT31" i="1"/>
  <c r="DT32" i="1"/>
  <c r="DT33" i="1"/>
  <c r="DT37" i="1"/>
  <c r="DT34" i="1"/>
  <c r="DT26" i="1"/>
  <c r="DT36" i="1"/>
  <c r="DT16" i="1"/>
  <c r="DT38" i="1"/>
  <c r="DT39" i="1"/>
  <c r="DT40" i="1"/>
  <c r="DT41" i="1"/>
  <c r="DT42" i="1"/>
  <c r="DT46" i="1"/>
  <c r="DT35" i="1"/>
  <c r="DT6" i="1"/>
  <c r="DU4" i="1" l="1"/>
  <c r="DU13" i="1"/>
  <c r="DU8" i="1"/>
  <c r="DV5" i="1"/>
  <c r="DV15" i="1" s="1"/>
  <c r="DU9" i="1"/>
  <c r="DU10" i="1"/>
  <c r="DU11" i="1"/>
  <c r="DU7" i="1"/>
  <c r="DU12" i="1"/>
  <c r="DU18" i="1"/>
  <c r="DU20" i="1"/>
  <c r="DU19" i="1"/>
  <c r="DU21" i="1"/>
  <c r="DU22" i="1"/>
  <c r="DU23" i="1"/>
  <c r="DU24" i="1"/>
  <c r="DU25" i="1"/>
  <c r="DU28" i="1"/>
  <c r="DU17" i="1"/>
  <c r="DU27" i="1"/>
  <c r="DU29" i="1"/>
  <c r="DU30" i="1"/>
  <c r="DU31" i="1"/>
  <c r="DU32" i="1"/>
  <c r="DU33" i="1"/>
  <c r="DU37" i="1"/>
  <c r="DU34" i="1"/>
  <c r="DU26" i="1"/>
  <c r="DU36" i="1"/>
  <c r="DU16" i="1"/>
  <c r="DU38" i="1"/>
  <c r="DU39" i="1"/>
  <c r="DU40" i="1"/>
  <c r="DU41" i="1"/>
  <c r="DU42" i="1"/>
  <c r="DU46" i="1"/>
  <c r="DU35" i="1"/>
  <c r="DU6" i="1"/>
  <c r="DV4" i="1" l="1"/>
  <c r="DV13" i="1"/>
  <c r="DW5" i="1"/>
  <c r="DW15" i="1" s="1"/>
  <c r="DV8" i="1"/>
  <c r="DV9" i="1"/>
  <c r="DV10" i="1"/>
  <c r="DV11" i="1"/>
  <c r="DV7" i="1"/>
  <c r="DV12" i="1"/>
  <c r="DV18" i="1"/>
  <c r="DV20" i="1"/>
  <c r="DV19" i="1"/>
  <c r="DV21" i="1"/>
  <c r="DV22" i="1"/>
  <c r="DV23" i="1"/>
  <c r="DV24" i="1"/>
  <c r="DV25" i="1"/>
  <c r="DV28" i="1"/>
  <c r="DV17" i="1"/>
  <c r="DV27" i="1"/>
  <c r="DV29" i="1"/>
  <c r="DV30" i="1"/>
  <c r="DV31" i="1"/>
  <c r="DV32" i="1"/>
  <c r="DV33" i="1"/>
  <c r="DV34" i="1"/>
  <c r="DV37" i="1"/>
  <c r="DV26" i="1"/>
  <c r="DV36" i="1"/>
  <c r="DV16" i="1"/>
  <c r="DV38" i="1"/>
  <c r="DV39" i="1"/>
  <c r="DV40" i="1"/>
  <c r="DV41" i="1"/>
  <c r="DV42" i="1"/>
  <c r="DV46" i="1"/>
  <c r="DV35" i="1"/>
  <c r="DV6" i="1"/>
  <c r="DW4" i="1" l="1"/>
  <c r="DW13" i="1"/>
  <c r="DX5" i="1"/>
  <c r="DX15" i="1" s="1"/>
  <c r="DW8" i="1"/>
  <c r="DW9" i="1"/>
  <c r="DW10" i="1"/>
  <c r="DW11" i="1"/>
  <c r="DW7" i="1"/>
  <c r="DW12" i="1"/>
  <c r="DW18" i="1"/>
  <c r="DW20" i="1"/>
  <c r="DW19" i="1"/>
  <c r="DW21" i="1"/>
  <c r="DW22" i="1"/>
  <c r="DW23" i="1"/>
  <c r="DW24" i="1"/>
  <c r="DW28" i="1"/>
  <c r="DW25" i="1"/>
  <c r="DW17" i="1"/>
  <c r="DW27" i="1"/>
  <c r="DW29" i="1"/>
  <c r="DW30" i="1"/>
  <c r="DW31" i="1"/>
  <c r="DW32" i="1"/>
  <c r="DW33" i="1"/>
  <c r="DW37" i="1"/>
  <c r="DW34" i="1"/>
  <c r="DW26" i="1"/>
  <c r="DW16" i="1"/>
  <c r="DW36" i="1"/>
  <c r="DW38" i="1"/>
  <c r="DW39" i="1"/>
  <c r="DW40" i="1"/>
  <c r="DW41" i="1"/>
  <c r="DW42" i="1"/>
  <c r="DW46" i="1"/>
  <c r="DW35" i="1"/>
  <c r="DW6" i="1"/>
  <c r="DX4" i="1" l="1"/>
  <c r="DX13" i="1"/>
  <c r="DX8" i="1"/>
  <c r="DY5" i="1"/>
  <c r="DY15" i="1" s="1"/>
  <c r="DX9" i="1"/>
  <c r="DX10" i="1"/>
  <c r="DX11" i="1"/>
  <c r="DX7" i="1"/>
  <c r="DX12" i="1"/>
  <c r="DX18" i="1"/>
  <c r="DX19" i="1"/>
  <c r="DX20" i="1"/>
  <c r="DX21" i="1"/>
  <c r="DX22" i="1"/>
  <c r="DX23" i="1"/>
  <c r="DX24" i="1"/>
  <c r="DX28" i="1"/>
  <c r="DX25" i="1"/>
  <c r="DX17" i="1"/>
  <c r="DX27" i="1"/>
  <c r="DX29" i="1"/>
  <c r="DX30" i="1"/>
  <c r="DX31" i="1"/>
  <c r="DX32" i="1"/>
  <c r="DX33" i="1"/>
  <c r="DX34" i="1"/>
  <c r="DX37" i="1"/>
  <c r="DX26" i="1"/>
  <c r="DX16" i="1"/>
  <c r="DX36" i="1"/>
  <c r="DX38" i="1"/>
  <c r="DX39" i="1"/>
  <c r="DX40" i="1"/>
  <c r="DX41" i="1"/>
  <c r="DX42" i="1"/>
  <c r="DX46" i="1"/>
  <c r="DX35" i="1"/>
  <c r="DX6" i="1"/>
  <c r="DY4" i="1" l="1"/>
  <c r="DY13" i="1"/>
  <c r="DZ5" i="1"/>
  <c r="DZ15" i="1" s="1"/>
  <c r="DY8" i="1"/>
  <c r="DY9" i="1"/>
  <c r="DY10" i="1"/>
  <c r="DY11" i="1"/>
  <c r="DY7" i="1"/>
  <c r="DY12" i="1"/>
  <c r="DY18" i="1"/>
  <c r="DY19" i="1"/>
  <c r="DY20" i="1"/>
  <c r="DY21" i="1"/>
  <c r="DY22" i="1"/>
  <c r="DY23" i="1"/>
  <c r="DY24" i="1"/>
  <c r="DY28" i="1"/>
  <c r="DY25" i="1"/>
  <c r="DY17" i="1"/>
  <c r="DY27" i="1"/>
  <c r="DY29" i="1"/>
  <c r="DY30" i="1"/>
  <c r="DY31" i="1"/>
  <c r="DY32" i="1"/>
  <c r="DY33" i="1"/>
  <c r="DY34" i="1"/>
  <c r="DY37" i="1"/>
  <c r="DY26" i="1"/>
  <c r="DY16" i="1"/>
  <c r="DY36" i="1"/>
  <c r="DY38" i="1"/>
  <c r="DY39" i="1"/>
  <c r="DY40" i="1"/>
  <c r="DY41" i="1"/>
  <c r="DY42" i="1"/>
  <c r="DY46" i="1"/>
  <c r="DY35" i="1"/>
  <c r="DY6" i="1"/>
  <c r="DZ4" i="1" l="1"/>
  <c r="DZ13" i="1"/>
  <c r="DZ8" i="1"/>
  <c r="EA5" i="1"/>
  <c r="EA15" i="1" s="1"/>
  <c r="DZ9" i="1"/>
  <c r="DZ10" i="1"/>
  <c r="DZ11" i="1"/>
  <c r="DZ7" i="1"/>
  <c r="DZ12" i="1"/>
  <c r="DZ18" i="1"/>
  <c r="DZ19" i="1"/>
  <c r="DZ20" i="1"/>
  <c r="DZ21" i="1"/>
  <c r="DZ22" i="1"/>
  <c r="DZ23" i="1"/>
  <c r="DZ24" i="1"/>
  <c r="DZ28" i="1"/>
  <c r="DZ25" i="1"/>
  <c r="DZ17" i="1"/>
  <c r="DZ27" i="1"/>
  <c r="DZ29" i="1"/>
  <c r="DZ30" i="1"/>
  <c r="DZ31" i="1"/>
  <c r="DZ32" i="1"/>
  <c r="DZ33" i="1"/>
  <c r="DZ37" i="1"/>
  <c r="DZ34" i="1"/>
  <c r="DZ26" i="1"/>
  <c r="DZ16" i="1"/>
  <c r="DZ36" i="1"/>
  <c r="DZ38" i="1"/>
  <c r="DZ39" i="1"/>
  <c r="DZ40" i="1"/>
  <c r="DZ41" i="1"/>
  <c r="DZ42" i="1"/>
  <c r="DZ46" i="1"/>
  <c r="DZ35" i="1"/>
  <c r="DZ6" i="1"/>
  <c r="EA4" i="1" l="1"/>
  <c r="EA13" i="1"/>
  <c r="EA8" i="1"/>
  <c r="EB5" i="1"/>
  <c r="EB15" i="1" s="1"/>
  <c r="EA9" i="1"/>
  <c r="EA10" i="1"/>
  <c r="EA11" i="1"/>
  <c r="EA7" i="1"/>
  <c r="EA12" i="1"/>
  <c r="EA18" i="1"/>
  <c r="EA20" i="1"/>
  <c r="EA19" i="1"/>
  <c r="EA21" i="1"/>
  <c r="EA22" i="1"/>
  <c r="EA23" i="1"/>
  <c r="EA24" i="1"/>
  <c r="EA28" i="1"/>
  <c r="EA25" i="1"/>
  <c r="EA17" i="1"/>
  <c r="EA27" i="1"/>
  <c r="EA29" i="1"/>
  <c r="EA30" i="1"/>
  <c r="EA31" i="1"/>
  <c r="EA32" i="1"/>
  <c r="EA33" i="1"/>
  <c r="EA37" i="1"/>
  <c r="EA34" i="1"/>
  <c r="EA26" i="1"/>
  <c r="EA16" i="1"/>
  <c r="EA36" i="1"/>
  <c r="EA38" i="1"/>
  <c r="EA39" i="1"/>
  <c r="EA40" i="1"/>
  <c r="EA41" i="1"/>
  <c r="EA42" i="1"/>
  <c r="EA46" i="1"/>
  <c r="EA35" i="1"/>
  <c r="EA6" i="1"/>
  <c r="EB4" i="1" l="1"/>
  <c r="EB13" i="1"/>
  <c r="EB8" i="1"/>
  <c r="EC5" i="1"/>
  <c r="EC15" i="1" s="1"/>
  <c r="EB9" i="1"/>
  <c r="EB10" i="1"/>
  <c r="EB11" i="1"/>
  <c r="EB7" i="1"/>
  <c r="EB12" i="1"/>
  <c r="EB18" i="1"/>
  <c r="EB19" i="1"/>
  <c r="EB20" i="1"/>
  <c r="EB21" i="1"/>
  <c r="EB22" i="1"/>
  <c r="EB23" i="1"/>
  <c r="EB24" i="1"/>
  <c r="EB25" i="1"/>
  <c r="EB28" i="1"/>
  <c r="EB17" i="1"/>
  <c r="EB27" i="1"/>
  <c r="EB29" i="1"/>
  <c r="EB30" i="1"/>
  <c r="EB31" i="1"/>
  <c r="EB32" i="1"/>
  <c r="EB33" i="1"/>
  <c r="EB34" i="1"/>
  <c r="EB37" i="1"/>
  <c r="EB26" i="1"/>
  <c r="EB16" i="1"/>
  <c r="EB36" i="1"/>
  <c r="EB38" i="1"/>
  <c r="EB39" i="1"/>
  <c r="EB40" i="1"/>
  <c r="EB41" i="1"/>
  <c r="EB42" i="1"/>
  <c r="EB46" i="1"/>
  <c r="EB35" i="1"/>
  <c r="EB6" i="1"/>
  <c r="EC4" i="1" l="1"/>
  <c r="EC13" i="1"/>
  <c r="EC8" i="1"/>
  <c r="ED5" i="1"/>
  <c r="ED15" i="1" s="1"/>
  <c r="EC9" i="1"/>
  <c r="EC10" i="1"/>
  <c r="EC11" i="1"/>
  <c r="EC7" i="1"/>
  <c r="EC12" i="1"/>
  <c r="EC18" i="1"/>
  <c r="EC19" i="1"/>
  <c r="EC20" i="1"/>
  <c r="EC21" i="1"/>
  <c r="EC22" i="1"/>
  <c r="EC23" i="1"/>
  <c r="EC24" i="1"/>
  <c r="EC25" i="1"/>
  <c r="EC28" i="1"/>
  <c r="EC17" i="1"/>
  <c r="EC27" i="1"/>
  <c r="EC29" i="1"/>
  <c r="EC30" i="1"/>
  <c r="EC31" i="1"/>
  <c r="EC32" i="1"/>
  <c r="EC33" i="1"/>
  <c r="EC34" i="1"/>
  <c r="EC37" i="1"/>
  <c r="EC26" i="1"/>
  <c r="EC36" i="1"/>
  <c r="EC16" i="1"/>
  <c r="EC38" i="1"/>
  <c r="EC39" i="1"/>
  <c r="EC40" i="1"/>
  <c r="EC41" i="1"/>
  <c r="EC42" i="1"/>
  <c r="EC46" i="1"/>
  <c r="EC35" i="1"/>
  <c r="EC6" i="1"/>
  <c r="ED4" i="1" l="1"/>
  <c r="ED13" i="1"/>
  <c r="ED8" i="1"/>
  <c r="EE5" i="1"/>
  <c r="EE15" i="1" s="1"/>
  <c r="ED9" i="1"/>
  <c r="ED10" i="1"/>
  <c r="ED11" i="1"/>
  <c r="ED7" i="1"/>
  <c r="ED12" i="1"/>
  <c r="ED18" i="1"/>
  <c r="ED20" i="1"/>
  <c r="ED19" i="1"/>
  <c r="ED21" i="1"/>
  <c r="ED22" i="1"/>
  <c r="ED23" i="1"/>
  <c r="ED24" i="1"/>
  <c r="ED28" i="1"/>
  <c r="ED25" i="1"/>
  <c r="ED17" i="1"/>
  <c r="ED27" i="1"/>
  <c r="ED29" i="1"/>
  <c r="ED30" i="1"/>
  <c r="ED31" i="1"/>
  <c r="ED32" i="1"/>
  <c r="ED33" i="1"/>
  <c r="ED34" i="1"/>
  <c r="ED37" i="1"/>
  <c r="ED26" i="1"/>
  <c r="ED16" i="1"/>
  <c r="ED36" i="1"/>
  <c r="ED38" i="1"/>
  <c r="ED39" i="1"/>
  <c r="ED40" i="1"/>
  <c r="ED41" i="1"/>
  <c r="ED42" i="1"/>
  <c r="ED46" i="1"/>
  <c r="ED35" i="1"/>
  <c r="ED6" i="1"/>
  <c r="EE4" i="1" l="1"/>
  <c r="EE13" i="1"/>
  <c r="EE8" i="1"/>
  <c r="EF5" i="1"/>
  <c r="EF15" i="1" s="1"/>
  <c r="EE9" i="1"/>
  <c r="EE10" i="1"/>
  <c r="EE11" i="1"/>
  <c r="EE7" i="1"/>
  <c r="EE12" i="1"/>
  <c r="EE18" i="1"/>
  <c r="EE19" i="1"/>
  <c r="EE20" i="1"/>
  <c r="EE21" i="1"/>
  <c r="EE22" i="1"/>
  <c r="EE23" i="1"/>
  <c r="EE24" i="1"/>
  <c r="EE28" i="1"/>
  <c r="EE25" i="1"/>
  <c r="EE17" i="1"/>
  <c r="EE27" i="1"/>
  <c r="EE29" i="1"/>
  <c r="EE30" i="1"/>
  <c r="EE31" i="1"/>
  <c r="EE32" i="1"/>
  <c r="EE33" i="1"/>
  <c r="EE34" i="1"/>
  <c r="EE37" i="1"/>
  <c r="EE26" i="1"/>
  <c r="EE36" i="1"/>
  <c r="EE16" i="1"/>
  <c r="EE38" i="1"/>
  <c r="EE39" i="1"/>
  <c r="EE40" i="1"/>
  <c r="EE41" i="1"/>
  <c r="EE42" i="1"/>
  <c r="EE46" i="1"/>
  <c r="EE35" i="1"/>
  <c r="EE6" i="1"/>
  <c r="EF4" i="1" l="1"/>
  <c r="EF13" i="1"/>
  <c r="EF8" i="1"/>
  <c r="EG5" i="1"/>
  <c r="EG15" i="1" s="1"/>
  <c r="EF9" i="1"/>
  <c r="EF10" i="1"/>
  <c r="EF11" i="1"/>
  <c r="EF7" i="1"/>
  <c r="EF12" i="1"/>
  <c r="EF18" i="1"/>
  <c r="EF19" i="1"/>
  <c r="EF20" i="1"/>
  <c r="EF21" i="1"/>
  <c r="EF22" i="1"/>
  <c r="EF23" i="1"/>
  <c r="EF24" i="1"/>
  <c r="EF25" i="1"/>
  <c r="EF28" i="1"/>
  <c r="EF17" i="1"/>
  <c r="EF27" i="1"/>
  <c r="EF29" i="1"/>
  <c r="EF30" i="1"/>
  <c r="EF31" i="1"/>
  <c r="EF32" i="1"/>
  <c r="EF33" i="1"/>
  <c r="EF34" i="1"/>
  <c r="EF37" i="1"/>
  <c r="EF26" i="1"/>
  <c r="EF16" i="1"/>
  <c r="EF36" i="1"/>
  <c r="EF38" i="1"/>
  <c r="EF39" i="1"/>
  <c r="EF40" i="1"/>
  <c r="EF41" i="1"/>
  <c r="EF42" i="1"/>
  <c r="EF46" i="1"/>
  <c r="EF35" i="1"/>
  <c r="EF6" i="1"/>
  <c r="EG4" i="1" l="1"/>
  <c r="EG13" i="1"/>
  <c r="EG8" i="1"/>
  <c r="EH5" i="1"/>
  <c r="EH15" i="1" s="1"/>
  <c r="EG9" i="1"/>
  <c r="EG10" i="1"/>
  <c r="EG11" i="1"/>
  <c r="EG7" i="1"/>
  <c r="EG12" i="1"/>
  <c r="EG18" i="1"/>
  <c r="EG19" i="1"/>
  <c r="EG20" i="1"/>
  <c r="EG21" i="1"/>
  <c r="EG22" i="1"/>
  <c r="EG23" i="1"/>
  <c r="EG24" i="1"/>
  <c r="EG28" i="1"/>
  <c r="EG25" i="1"/>
  <c r="EG17" i="1"/>
  <c r="EG27" i="1"/>
  <c r="EG29" i="1"/>
  <c r="EG30" i="1"/>
  <c r="EG31" i="1"/>
  <c r="EG32" i="1"/>
  <c r="EG33" i="1"/>
  <c r="EG34" i="1"/>
  <c r="EG37" i="1"/>
  <c r="EG26" i="1"/>
  <c r="EG16" i="1"/>
  <c r="EG36" i="1"/>
  <c r="EG38" i="1"/>
  <c r="EG39" i="1"/>
  <c r="EG40" i="1"/>
  <c r="EG41" i="1"/>
  <c r="EG42" i="1"/>
  <c r="EG46" i="1"/>
  <c r="EG35" i="1"/>
  <c r="EG6" i="1"/>
  <c r="EH4" i="1" l="1"/>
  <c r="EH13" i="1"/>
  <c r="EH8" i="1"/>
  <c r="EI5" i="1"/>
  <c r="EI15" i="1" s="1"/>
  <c r="EH9" i="1"/>
  <c r="EH10" i="1"/>
  <c r="EH11" i="1"/>
  <c r="EH7" i="1"/>
  <c r="EH12" i="1"/>
  <c r="EH18" i="1"/>
  <c r="EH20" i="1"/>
  <c r="EH19" i="1"/>
  <c r="EH21" i="1"/>
  <c r="EH22" i="1"/>
  <c r="EH23" i="1"/>
  <c r="EH24" i="1"/>
  <c r="EH28" i="1"/>
  <c r="EH25" i="1"/>
  <c r="EH17" i="1"/>
  <c r="EH27" i="1"/>
  <c r="EH29" i="1"/>
  <c r="EH30" i="1"/>
  <c r="EH31" i="1"/>
  <c r="EH32" i="1"/>
  <c r="EH33" i="1"/>
  <c r="EH34" i="1"/>
  <c r="EH37" i="1"/>
  <c r="EH26" i="1"/>
  <c r="EH16" i="1"/>
  <c r="EH36" i="1"/>
  <c r="EH38" i="1"/>
  <c r="EH39" i="1"/>
  <c r="EH40" i="1"/>
  <c r="EH41" i="1"/>
  <c r="EH42" i="1"/>
  <c r="EH46" i="1"/>
  <c r="EH35" i="1"/>
  <c r="EH6" i="1"/>
  <c r="EI4" i="1" l="1"/>
  <c r="EI13" i="1"/>
  <c r="EI8" i="1"/>
  <c r="EJ5" i="1"/>
  <c r="EJ15" i="1" s="1"/>
  <c r="EI9" i="1"/>
  <c r="EI10" i="1"/>
  <c r="EI11" i="1"/>
  <c r="EI7" i="1"/>
  <c r="EI12" i="1"/>
  <c r="EI18" i="1"/>
  <c r="EI20" i="1"/>
  <c r="EI19" i="1"/>
  <c r="EI21" i="1"/>
  <c r="EI22" i="1"/>
  <c r="EI23" i="1"/>
  <c r="EI24" i="1"/>
  <c r="EI25" i="1"/>
  <c r="EI28" i="1"/>
  <c r="EI17" i="1"/>
  <c r="EI27" i="1"/>
  <c r="EI29" i="1"/>
  <c r="EI30" i="1"/>
  <c r="EI31" i="1"/>
  <c r="EI32" i="1"/>
  <c r="EI33" i="1"/>
  <c r="EI34" i="1"/>
  <c r="EI37" i="1"/>
  <c r="EI26" i="1"/>
  <c r="EI36" i="1"/>
  <c r="EI16" i="1"/>
  <c r="EI38" i="1"/>
  <c r="EI39" i="1"/>
  <c r="EI40" i="1"/>
  <c r="EI41" i="1"/>
  <c r="EI42" i="1"/>
  <c r="EI46" i="1"/>
  <c r="EI35" i="1"/>
  <c r="EI6" i="1"/>
  <c r="EJ4" i="1" l="1"/>
  <c r="EJ13" i="1"/>
  <c r="EJ8" i="1"/>
  <c r="EK5" i="1"/>
  <c r="EK15" i="1" s="1"/>
  <c r="EJ9" i="1"/>
  <c r="EJ10" i="1"/>
  <c r="EJ11" i="1"/>
  <c r="EJ7" i="1"/>
  <c r="EJ12" i="1"/>
  <c r="EJ18" i="1"/>
  <c r="EJ19" i="1"/>
  <c r="EJ20" i="1"/>
  <c r="EJ21" i="1"/>
  <c r="EJ22" i="1"/>
  <c r="EJ23" i="1"/>
  <c r="EJ24" i="1"/>
  <c r="EJ25" i="1"/>
  <c r="EJ28" i="1"/>
  <c r="EJ17" i="1"/>
  <c r="EJ27" i="1"/>
  <c r="EJ29" i="1"/>
  <c r="EJ30" i="1"/>
  <c r="EJ31" i="1"/>
  <c r="EJ32" i="1"/>
  <c r="EJ33" i="1"/>
  <c r="EJ34" i="1"/>
  <c r="EJ37" i="1"/>
  <c r="EJ26" i="1"/>
  <c r="EJ16" i="1"/>
  <c r="EJ36" i="1"/>
  <c r="EJ38" i="1"/>
  <c r="EJ39" i="1"/>
  <c r="EJ40" i="1"/>
  <c r="EJ41" i="1"/>
  <c r="EJ42" i="1"/>
  <c r="EJ46" i="1"/>
  <c r="EJ35" i="1"/>
  <c r="EJ6" i="1"/>
  <c r="EK4" i="1" l="1"/>
  <c r="EK13" i="1"/>
  <c r="EK8" i="1"/>
  <c r="EL5" i="1"/>
  <c r="EL15" i="1" s="1"/>
  <c r="EK9" i="1"/>
  <c r="EK10" i="1"/>
  <c r="EK11" i="1"/>
  <c r="EK7" i="1"/>
  <c r="EK12" i="1"/>
  <c r="EK18" i="1"/>
  <c r="EK20" i="1"/>
  <c r="EK19" i="1"/>
  <c r="EK21" i="1"/>
  <c r="EK22" i="1"/>
  <c r="EK23" i="1"/>
  <c r="EK24" i="1"/>
  <c r="EK25" i="1"/>
  <c r="EK28" i="1"/>
  <c r="EK17" i="1"/>
  <c r="EK27" i="1"/>
  <c r="EK29" i="1"/>
  <c r="EK30" i="1"/>
  <c r="EK31" i="1"/>
  <c r="EK32" i="1"/>
  <c r="EK33" i="1"/>
  <c r="EK37" i="1"/>
  <c r="EK34" i="1"/>
  <c r="EK26" i="1"/>
  <c r="EK36" i="1"/>
  <c r="EK16" i="1"/>
  <c r="EK38" i="1"/>
  <c r="EK39" i="1"/>
  <c r="EK40" i="1"/>
  <c r="EK41" i="1"/>
  <c r="EK42" i="1"/>
  <c r="EK46" i="1"/>
  <c r="EK35" i="1"/>
  <c r="EK6" i="1"/>
  <c r="EL4" i="1" l="1"/>
  <c r="EL13" i="1"/>
  <c r="EL8" i="1"/>
  <c r="EM5" i="1"/>
  <c r="EM15" i="1" s="1"/>
  <c r="EL9" i="1"/>
  <c r="EL10" i="1"/>
  <c r="EL11" i="1"/>
  <c r="EL7" i="1"/>
  <c r="EL12" i="1"/>
  <c r="EL18" i="1"/>
  <c r="EL20" i="1"/>
  <c r="EL19" i="1"/>
  <c r="EL21" i="1"/>
  <c r="EL22" i="1"/>
  <c r="EL23" i="1"/>
  <c r="EL24" i="1"/>
  <c r="EL25" i="1"/>
  <c r="EL28" i="1"/>
  <c r="EL17" i="1"/>
  <c r="EL27" i="1"/>
  <c r="EL29" i="1"/>
  <c r="EL30" i="1"/>
  <c r="EL31" i="1"/>
  <c r="EL32" i="1"/>
  <c r="EL33" i="1"/>
  <c r="EL37" i="1"/>
  <c r="EL34" i="1"/>
  <c r="EL26" i="1"/>
  <c r="EL36" i="1"/>
  <c r="EL16" i="1"/>
  <c r="EL38" i="1"/>
  <c r="EL39" i="1"/>
  <c r="EL40" i="1"/>
  <c r="EL41" i="1"/>
  <c r="EL42" i="1"/>
  <c r="EL46" i="1"/>
  <c r="EL35" i="1"/>
  <c r="EL6" i="1"/>
  <c r="EM4" i="1" l="1"/>
  <c r="EM13" i="1"/>
  <c r="EN5" i="1"/>
  <c r="EN15" i="1" s="1"/>
  <c r="EM8" i="1"/>
  <c r="EM9" i="1"/>
  <c r="EM10" i="1"/>
  <c r="EM11" i="1"/>
  <c r="EM7" i="1"/>
  <c r="EM12" i="1"/>
  <c r="EM18" i="1"/>
  <c r="EM19" i="1"/>
  <c r="EM20" i="1"/>
  <c r="EM21" i="1"/>
  <c r="EM22" i="1"/>
  <c r="EM23" i="1"/>
  <c r="EM24" i="1"/>
  <c r="EM28" i="1"/>
  <c r="EM25" i="1"/>
  <c r="EM17" i="1"/>
  <c r="EM27" i="1"/>
  <c r="EM29" i="1"/>
  <c r="EM30" i="1"/>
  <c r="EM31" i="1"/>
  <c r="EM32" i="1"/>
  <c r="EM33" i="1"/>
  <c r="EM34" i="1"/>
  <c r="EM37" i="1"/>
  <c r="EM26" i="1"/>
  <c r="EM16" i="1"/>
  <c r="EM36" i="1"/>
  <c r="EM38" i="1"/>
  <c r="EM39" i="1"/>
  <c r="EM40" i="1"/>
  <c r="EM41" i="1"/>
  <c r="EM42" i="1"/>
  <c r="EM46" i="1"/>
  <c r="EM35" i="1"/>
  <c r="EM6" i="1"/>
  <c r="EN4" i="1" l="1"/>
  <c r="EN13" i="1"/>
  <c r="EN8" i="1"/>
  <c r="EO5" i="1"/>
  <c r="EO15" i="1" s="1"/>
  <c r="EN9" i="1"/>
  <c r="EN10" i="1"/>
  <c r="EN11" i="1"/>
  <c r="EN7" i="1"/>
  <c r="EN12" i="1"/>
  <c r="EN18" i="1"/>
  <c r="EN19" i="1"/>
  <c r="EN20" i="1"/>
  <c r="EN21" i="1"/>
  <c r="EN22" i="1"/>
  <c r="EN23" i="1"/>
  <c r="EN24" i="1"/>
  <c r="EN28" i="1"/>
  <c r="EN25" i="1"/>
  <c r="EN17" i="1"/>
  <c r="EN27" i="1"/>
  <c r="EN29" i="1"/>
  <c r="EN30" i="1"/>
  <c r="EN31" i="1"/>
  <c r="EN32" i="1"/>
  <c r="EN33" i="1"/>
  <c r="EN34" i="1"/>
  <c r="EN37" i="1"/>
  <c r="EN26" i="1"/>
  <c r="EN16" i="1"/>
  <c r="EN36" i="1"/>
  <c r="EN38" i="1"/>
  <c r="EN39" i="1"/>
  <c r="EN40" i="1"/>
  <c r="EN41" i="1"/>
  <c r="EN42" i="1"/>
  <c r="EN46" i="1"/>
  <c r="EN35" i="1"/>
  <c r="EN6" i="1"/>
  <c r="EO4" i="1" l="1"/>
  <c r="EO13" i="1"/>
  <c r="EO8" i="1"/>
  <c r="EP5" i="1"/>
  <c r="EP15" i="1" s="1"/>
  <c r="EO9" i="1"/>
  <c r="EO10" i="1"/>
  <c r="EO11" i="1"/>
  <c r="EO7" i="1"/>
  <c r="EO12" i="1"/>
  <c r="EO18" i="1"/>
  <c r="EO19" i="1"/>
  <c r="EO20" i="1"/>
  <c r="EO21" i="1"/>
  <c r="EO22" i="1"/>
  <c r="EO23" i="1"/>
  <c r="EO24" i="1"/>
  <c r="EO25" i="1"/>
  <c r="EO28" i="1"/>
  <c r="EO17" i="1"/>
  <c r="EO27" i="1"/>
  <c r="EO29" i="1"/>
  <c r="EO30" i="1"/>
  <c r="EO31" i="1"/>
  <c r="EO32" i="1"/>
  <c r="EO33" i="1"/>
  <c r="EO37" i="1"/>
  <c r="EO34" i="1"/>
  <c r="EO26" i="1"/>
  <c r="EO16" i="1"/>
  <c r="EO36" i="1"/>
  <c r="EO38" i="1"/>
  <c r="EO39" i="1"/>
  <c r="EO40" i="1"/>
  <c r="EO41" i="1"/>
  <c r="EO42" i="1"/>
  <c r="EO46" i="1"/>
  <c r="EO35" i="1"/>
  <c r="EO6" i="1"/>
  <c r="EP4" i="1" l="1"/>
  <c r="EP13" i="1"/>
  <c r="EQ5" i="1"/>
  <c r="EQ15" i="1" s="1"/>
  <c r="EP8" i="1"/>
  <c r="EP9" i="1"/>
  <c r="EP10" i="1"/>
  <c r="EP11" i="1"/>
  <c r="EP7" i="1"/>
  <c r="EP12" i="1"/>
  <c r="EP18" i="1"/>
  <c r="EP19" i="1"/>
  <c r="EP20" i="1"/>
  <c r="EP21" i="1"/>
  <c r="EP22" i="1"/>
  <c r="EP23" i="1"/>
  <c r="EP24" i="1"/>
  <c r="EP28" i="1"/>
  <c r="EP25" i="1"/>
  <c r="EP17" i="1"/>
  <c r="EP27" i="1"/>
  <c r="EP29" i="1"/>
  <c r="EP30" i="1"/>
  <c r="EP31" i="1"/>
  <c r="EP32" i="1"/>
  <c r="EP33" i="1"/>
  <c r="EP34" i="1"/>
  <c r="EP37" i="1"/>
  <c r="EP26" i="1"/>
  <c r="EP16" i="1"/>
  <c r="EP36" i="1"/>
  <c r="EP38" i="1"/>
  <c r="EP39" i="1"/>
  <c r="EP40" i="1"/>
  <c r="EP41" i="1"/>
  <c r="EP42" i="1"/>
  <c r="EP46" i="1"/>
  <c r="EP35" i="1"/>
  <c r="EP6" i="1"/>
  <c r="EQ4" i="1" l="1"/>
  <c r="EQ13" i="1"/>
  <c r="EQ8" i="1"/>
  <c r="ER5" i="1"/>
  <c r="ER15" i="1" s="1"/>
  <c r="EQ9" i="1"/>
  <c r="EQ10" i="1"/>
  <c r="EQ11" i="1"/>
  <c r="EQ7" i="1"/>
  <c r="EQ12" i="1"/>
  <c r="EQ18" i="1"/>
  <c r="EQ20" i="1"/>
  <c r="EQ19" i="1"/>
  <c r="EQ21" i="1"/>
  <c r="EQ22" i="1"/>
  <c r="EQ23" i="1"/>
  <c r="EQ24" i="1"/>
  <c r="EQ28" i="1"/>
  <c r="EQ25" i="1"/>
  <c r="EQ17" i="1"/>
  <c r="EQ27" i="1"/>
  <c r="EQ29" i="1"/>
  <c r="EQ30" i="1"/>
  <c r="EQ31" i="1"/>
  <c r="EQ32" i="1"/>
  <c r="EQ33" i="1"/>
  <c r="EQ37" i="1"/>
  <c r="EQ34" i="1"/>
  <c r="EQ26" i="1"/>
  <c r="EQ36" i="1"/>
  <c r="EQ16" i="1"/>
  <c r="EQ38" i="1"/>
  <c r="EQ39" i="1"/>
  <c r="EQ40" i="1"/>
  <c r="EQ41" i="1"/>
  <c r="EQ42" i="1"/>
  <c r="EQ46" i="1"/>
  <c r="EQ35" i="1"/>
  <c r="EQ6" i="1"/>
  <c r="ER4" i="1" l="1"/>
  <c r="ER13" i="1"/>
  <c r="ER8" i="1"/>
  <c r="ES5" i="1"/>
  <c r="ES15" i="1" s="1"/>
  <c r="ER9" i="1"/>
  <c r="ER10" i="1"/>
  <c r="ER11" i="1"/>
  <c r="ER7" i="1"/>
  <c r="ER12" i="1"/>
  <c r="ER18" i="1"/>
  <c r="ER20" i="1"/>
  <c r="ER19" i="1"/>
  <c r="ER21" i="1"/>
  <c r="ER22" i="1"/>
  <c r="ER23" i="1"/>
  <c r="ER24" i="1"/>
  <c r="ER28" i="1"/>
  <c r="ER25" i="1"/>
  <c r="ER17" i="1"/>
  <c r="ER27" i="1"/>
  <c r="ER29" i="1"/>
  <c r="ER30" i="1"/>
  <c r="ER31" i="1"/>
  <c r="ER32" i="1"/>
  <c r="ER33" i="1"/>
  <c r="ER37" i="1"/>
  <c r="ER34" i="1"/>
  <c r="ER26" i="1"/>
  <c r="ER16" i="1"/>
  <c r="ER36" i="1"/>
  <c r="ER38" i="1"/>
  <c r="ER39" i="1"/>
  <c r="ER40" i="1"/>
  <c r="ER41" i="1"/>
  <c r="ER42" i="1"/>
  <c r="ER46" i="1"/>
  <c r="ER35" i="1"/>
  <c r="ER6" i="1"/>
  <c r="ES4" i="1" l="1"/>
  <c r="ES13" i="1"/>
  <c r="ES8" i="1"/>
  <c r="ET5" i="1"/>
  <c r="ET15" i="1" s="1"/>
  <c r="ES9" i="1"/>
  <c r="ES10" i="1"/>
  <c r="ES11" i="1"/>
  <c r="ES7" i="1"/>
  <c r="ES12" i="1"/>
  <c r="ES18" i="1"/>
  <c r="ES19" i="1"/>
  <c r="ES20" i="1"/>
  <c r="ES21" i="1"/>
  <c r="ES22" i="1"/>
  <c r="ES23" i="1"/>
  <c r="ES24" i="1"/>
  <c r="ES28" i="1"/>
  <c r="ES25" i="1"/>
  <c r="ES17" i="1"/>
  <c r="ES27" i="1"/>
  <c r="ES29" i="1"/>
  <c r="ES30" i="1"/>
  <c r="ES31" i="1"/>
  <c r="ES32" i="1"/>
  <c r="ES33" i="1"/>
  <c r="ES34" i="1"/>
  <c r="ES37" i="1"/>
  <c r="ES26" i="1"/>
  <c r="ES16" i="1"/>
  <c r="ES36" i="1"/>
  <c r="ES38" i="1"/>
  <c r="ES39" i="1"/>
  <c r="ES40" i="1"/>
  <c r="ES41" i="1"/>
  <c r="ES42" i="1"/>
  <c r="ES46" i="1"/>
  <c r="ES35" i="1"/>
  <c r="ES6" i="1"/>
  <c r="ET4" i="1" l="1"/>
  <c r="ET13" i="1"/>
  <c r="EU5" i="1"/>
  <c r="EU15" i="1" s="1"/>
  <c r="ET8" i="1"/>
  <c r="ET9" i="1"/>
  <c r="ET10" i="1"/>
  <c r="ET11" i="1"/>
  <c r="ET7" i="1"/>
  <c r="ET12" i="1"/>
  <c r="ET18" i="1"/>
  <c r="ET20" i="1"/>
  <c r="ET19" i="1"/>
  <c r="ET21" i="1"/>
  <c r="ET22" i="1"/>
  <c r="ET23" i="1"/>
  <c r="ET24" i="1"/>
  <c r="ET25" i="1"/>
  <c r="ET28" i="1"/>
  <c r="ET17" i="1"/>
  <c r="ET27" i="1"/>
  <c r="ET29" i="1"/>
  <c r="ET30" i="1"/>
  <c r="ET31" i="1"/>
  <c r="ET32" i="1"/>
  <c r="ET33" i="1"/>
  <c r="ET34" i="1"/>
  <c r="ET37" i="1"/>
  <c r="ET26" i="1"/>
  <c r="ET36" i="1"/>
  <c r="ET16" i="1"/>
  <c r="ET38" i="1"/>
  <c r="ET39" i="1"/>
  <c r="ET40" i="1"/>
  <c r="ET41" i="1"/>
  <c r="ET42" i="1"/>
  <c r="ET46" i="1"/>
  <c r="ET35" i="1"/>
  <c r="ET6" i="1"/>
  <c r="EU4" i="1" l="1"/>
  <c r="EU13" i="1"/>
  <c r="EU8" i="1"/>
  <c r="EV5" i="1"/>
  <c r="EV15" i="1" s="1"/>
  <c r="EU9" i="1"/>
  <c r="EU10" i="1"/>
  <c r="EU11" i="1"/>
  <c r="EU7" i="1"/>
  <c r="EU12" i="1"/>
  <c r="EU18" i="1"/>
  <c r="EU20" i="1"/>
  <c r="EU19" i="1"/>
  <c r="EU21" i="1"/>
  <c r="EU22" i="1"/>
  <c r="EU23" i="1"/>
  <c r="EU24" i="1"/>
  <c r="EU25" i="1"/>
  <c r="EU28" i="1"/>
  <c r="EU17" i="1"/>
  <c r="EU27" i="1"/>
  <c r="EU29" i="1"/>
  <c r="EU30" i="1"/>
  <c r="EU31" i="1"/>
  <c r="EU32" i="1"/>
  <c r="EU33" i="1"/>
  <c r="EU37" i="1"/>
  <c r="EU34" i="1"/>
  <c r="EU26" i="1"/>
  <c r="EU36" i="1"/>
  <c r="EU16" i="1"/>
  <c r="EU38" i="1"/>
  <c r="EU39" i="1"/>
  <c r="EU40" i="1"/>
  <c r="EU41" i="1"/>
  <c r="EU42" i="1"/>
  <c r="EU46" i="1"/>
  <c r="EU35" i="1"/>
  <c r="EU6" i="1"/>
  <c r="EV4" i="1" l="1"/>
  <c r="EV13" i="1"/>
  <c r="EV8" i="1"/>
  <c r="EW5" i="1"/>
  <c r="EW15" i="1" s="1"/>
  <c r="EV9" i="1"/>
  <c r="EV10" i="1"/>
  <c r="EV11" i="1"/>
  <c r="EV7" i="1"/>
  <c r="EV12" i="1"/>
  <c r="EV18" i="1"/>
  <c r="EV20" i="1"/>
  <c r="EV19" i="1"/>
  <c r="EV21" i="1"/>
  <c r="EV22" i="1"/>
  <c r="EV23" i="1"/>
  <c r="EV24" i="1"/>
  <c r="EV28" i="1"/>
  <c r="EV25" i="1"/>
  <c r="EV17" i="1"/>
  <c r="EV27" i="1"/>
  <c r="EV29" i="1"/>
  <c r="EV30" i="1"/>
  <c r="EV31" i="1"/>
  <c r="EV32" i="1"/>
  <c r="EV33" i="1"/>
  <c r="EV34" i="1"/>
  <c r="EV37" i="1"/>
  <c r="EV26" i="1"/>
  <c r="EV36" i="1"/>
  <c r="EV16" i="1"/>
  <c r="EV38" i="1"/>
  <c r="EV39" i="1"/>
  <c r="EV40" i="1"/>
  <c r="EV41" i="1"/>
  <c r="EV42" i="1"/>
  <c r="EV46" i="1"/>
  <c r="EV35" i="1"/>
  <c r="EV6" i="1"/>
  <c r="EW4" i="1" l="1"/>
  <c r="EW13" i="1"/>
  <c r="EX5" i="1"/>
  <c r="EX15" i="1" s="1"/>
  <c r="EW8" i="1"/>
  <c r="EW9" i="1"/>
  <c r="EW10" i="1"/>
  <c r="EW11" i="1"/>
  <c r="EW7" i="1"/>
  <c r="EW12" i="1"/>
  <c r="EW18" i="1"/>
  <c r="EW20" i="1"/>
  <c r="EW19" i="1"/>
  <c r="EW21" i="1"/>
  <c r="EW22" i="1"/>
  <c r="EW23" i="1"/>
  <c r="EW24" i="1"/>
  <c r="EW25" i="1"/>
  <c r="EW28" i="1"/>
  <c r="EW17" i="1"/>
  <c r="EW27" i="1"/>
  <c r="EW29" i="1"/>
  <c r="EW30" i="1"/>
  <c r="EW31" i="1"/>
  <c r="EW32" i="1"/>
  <c r="EW33" i="1"/>
  <c r="EW34" i="1"/>
  <c r="EW37" i="1"/>
  <c r="EW26" i="1"/>
  <c r="EW36" i="1"/>
  <c r="EW16" i="1"/>
  <c r="EW38" i="1"/>
  <c r="EW39" i="1"/>
  <c r="EW40" i="1"/>
  <c r="EW41" i="1"/>
  <c r="EW42" i="1"/>
  <c r="EW46" i="1"/>
  <c r="EW35" i="1"/>
  <c r="EW6" i="1"/>
  <c r="EX4" i="1" l="1"/>
  <c r="EX13" i="1"/>
  <c r="EX8" i="1"/>
  <c r="EY5" i="1"/>
  <c r="EY15" i="1" s="1"/>
  <c r="EX9" i="1"/>
  <c r="EX10" i="1"/>
  <c r="EX11" i="1"/>
  <c r="EX7" i="1"/>
  <c r="EX12" i="1"/>
  <c r="EX18" i="1"/>
  <c r="EX20" i="1"/>
  <c r="EX19" i="1"/>
  <c r="EX21" i="1"/>
  <c r="EX22" i="1"/>
  <c r="EX23" i="1"/>
  <c r="EX24" i="1"/>
  <c r="EX28" i="1"/>
  <c r="EX25" i="1"/>
  <c r="EX17" i="1"/>
  <c r="EX27" i="1"/>
  <c r="EX29" i="1"/>
  <c r="EX30" i="1"/>
  <c r="EX31" i="1"/>
  <c r="EX32" i="1"/>
  <c r="EX33" i="1"/>
  <c r="EX37" i="1"/>
  <c r="EX34" i="1"/>
  <c r="EX26" i="1"/>
  <c r="EX16" i="1"/>
  <c r="EX36" i="1"/>
  <c r="EX38" i="1"/>
  <c r="EX39" i="1"/>
  <c r="EX40" i="1"/>
  <c r="EX41" i="1"/>
  <c r="EX42" i="1"/>
  <c r="EX46" i="1"/>
  <c r="EX35" i="1"/>
  <c r="EX6" i="1"/>
  <c r="EY4" i="1" l="1"/>
  <c r="EY13" i="1"/>
  <c r="EY8" i="1"/>
  <c r="EZ5" i="1"/>
  <c r="EZ15" i="1" s="1"/>
  <c r="EY9" i="1"/>
  <c r="EY10" i="1"/>
  <c r="EY11" i="1"/>
  <c r="EY7" i="1"/>
  <c r="EY12" i="1"/>
  <c r="EY18" i="1"/>
  <c r="EY19" i="1"/>
  <c r="EY20" i="1"/>
  <c r="EY21" i="1"/>
  <c r="EY22" i="1"/>
  <c r="EY23" i="1"/>
  <c r="EY24" i="1"/>
  <c r="EY28" i="1"/>
  <c r="EY25" i="1"/>
  <c r="EY17" i="1"/>
  <c r="EY27" i="1"/>
  <c r="EY29" i="1"/>
  <c r="EY30" i="1"/>
  <c r="EY31" i="1"/>
  <c r="EY32" i="1"/>
  <c r="EY33" i="1"/>
  <c r="EY34" i="1"/>
  <c r="EY37" i="1"/>
  <c r="EY26" i="1"/>
  <c r="EY16" i="1"/>
  <c r="EY36" i="1"/>
  <c r="EY38" i="1"/>
  <c r="EY39" i="1"/>
  <c r="EY40" i="1"/>
  <c r="EY41" i="1"/>
  <c r="EY42" i="1"/>
  <c r="EY46" i="1"/>
  <c r="EY35" i="1"/>
  <c r="EY6" i="1"/>
  <c r="EZ4" i="1" l="1"/>
  <c r="EZ13" i="1"/>
  <c r="EZ8" i="1"/>
  <c r="FA5" i="1"/>
  <c r="FA15" i="1" s="1"/>
  <c r="EZ9" i="1"/>
  <c r="EZ10" i="1"/>
  <c r="EZ11" i="1"/>
  <c r="EZ7" i="1"/>
  <c r="EZ12" i="1"/>
  <c r="EZ18" i="1"/>
  <c r="EZ19" i="1"/>
  <c r="EZ20" i="1"/>
  <c r="EZ21" i="1"/>
  <c r="EZ22" i="1"/>
  <c r="EZ23" i="1"/>
  <c r="EZ24" i="1"/>
  <c r="EZ25" i="1"/>
  <c r="EZ28" i="1"/>
  <c r="EZ17" i="1"/>
  <c r="EZ27" i="1"/>
  <c r="EZ29" i="1"/>
  <c r="EZ30" i="1"/>
  <c r="EZ31" i="1"/>
  <c r="EZ32" i="1"/>
  <c r="EZ33" i="1"/>
  <c r="EZ37" i="1"/>
  <c r="EZ34" i="1"/>
  <c r="EZ26" i="1"/>
  <c r="EZ16" i="1"/>
  <c r="EZ36" i="1"/>
  <c r="EZ38" i="1"/>
  <c r="EZ39" i="1"/>
  <c r="EZ40" i="1"/>
  <c r="EZ41" i="1"/>
  <c r="EZ42" i="1"/>
  <c r="EZ46" i="1"/>
  <c r="EZ35" i="1"/>
  <c r="EZ6" i="1"/>
  <c r="FA4" i="1" l="1"/>
  <c r="FA13" i="1"/>
  <c r="FA8" i="1"/>
  <c r="FB5" i="1"/>
  <c r="FB15" i="1" s="1"/>
  <c r="FA9" i="1"/>
  <c r="FA10" i="1"/>
  <c r="FA11" i="1"/>
  <c r="FA7" i="1"/>
  <c r="FA12" i="1"/>
  <c r="FA18" i="1"/>
  <c r="FA19" i="1"/>
  <c r="FA20" i="1"/>
  <c r="FA21" i="1"/>
  <c r="FA22" i="1"/>
  <c r="FA23" i="1"/>
  <c r="FA24" i="1"/>
  <c r="FA28" i="1"/>
  <c r="FA25" i="1"/>
  <c r="FA17" i="1"/>
  <c r="FA27" i="1"/>
  <c r="FA29" i="1"/>
  <c r="FA30" i="1"/>
  <c r="FA31" i="1"/>
  <c r="FA32" i="1"/>
  <c r="FA33" i="1"/>
  <c r="FA37" i="1"/>
  <c r="FA34" i="1"/>
  <c r="FA26" i="1"/>
  <c r="FA16" i="1"/>
  <c r="FA36" i="1"/>
  <c r="FA38" i="1"/>
  <c r="FA39" i="1"/>
  <c r="FA40" i="1"/>
  <c r="FA41" i="1"/>
  <c r="FA42" i="1"/>
  <c r="FA46" i="1"/>
  <c r="FA35" i="1"/>
  <c r="FA6" i="1"/>
  <c r="FB4" i="1" l="1"/>
  <c r="FB13" i="1"/>
  <c r="FB8" i="1"/>
  <c r="FC5" i="1"/>
  <c r="FC15" i="1" s="1"/>
  <c r="FB9" i="1"/>
  <c r="FB10" i="1"/>
  <c r="FB11" i="1"/>
  <c r="FB7" i="1"/>
  <c r="FB12" i="1"/>
  <c r="FB18" i="1"/>
  <c r="FB19" i="1"/>
  <c r="FB20" i="1"/>
  <c r="FB21" i="1"/>
  <c r="FB22" i="1"/>
  <c r="FB23" i="1"/>
  <c r="FB24" i="1"/>
  <c r="FB25" i="1"/>
  <c r="FB28" i="1"/>
  <c r="FB17" i="1"/>
  <c r="FB27" i="1"/>
  <c r="FB29" i="1"/>
  <c r="FB30" i="1"/>
  <c r="FB31" i="1"/>
  <c r="FB32" i="1"/>
  <c r="FB33" i="1"/>
  <c r="FB37" i="1"/>
  <c r="FB34" i="1"/>
  <c r="FB26" i="1"/>
  <c r="FB36" i="1"/>
  <c r="FB16" i="1"/>
  <c r="FB38" i="1"/>
  <c r="FB39" i="1"/>
  <c r="FB40" i="1"/>
  <c r="FB41" i="1"/>
  <c r="FB42" i="1"/>
  <c r="FB46" i="1"/>
  <c r="FB35" i="1"/>
  <c r="FB6" i="1"/>
  <c r="FC4" i="1" l="1"/>
  <c r="FC13" i="1"/>
  <c r="FC8" i="1"/>
  <c r="FD5" i="1"/>
  <c r="FD15" i="1" s="1"/>
  <c r="FC9" i="1"/>
  <c r="FC10" i="1"/>
  <c r="FC11" i="1"/>
  <c r="FC7" i="1"/>
  <c r="FC12" i="1"/>
  <c r="FC18" i="1"/>
  <c r="FC19" i="1"/>
  <c r="FC20" i="1"/>
  <c r="FC21" i="1"/>
  <c r="FC22" i="1"/>
  <c r="FC23" i="1"/>
  <c r="FC24" i="1"/>
  <c r="FC25" i="1"/>
  <c r="FC28" i="1"/>
  <c r="FC17" i="1"/>
  <c r="FC27" i="1"/>
  <c r="FC29" i="1"/>
  <c r="FC30" i="1"/>
  <c r="FC31" i="1"/>
  <c r="FC32" i="1"/>
  <c r="FC33" i="1"/>
  <c r="FC37" i="1"/>
  <c r="FC34" i="1"/>
  <c r="FC26" i="1"/>
  <c r="FC36" i="1"/>
  <c r="FC16" i="1"/>
  <c r="FC38" i="1"/>
  <c r="FC39" i="1"/>
  <c r="FC40" i="1"/>
  <c r="FC41" i="1"/>
  <c r="FC42" i="1"/>
  <c r="FC46" i="1"/>
  <c r="FC35" i="1"/>
  <c r="FC6" i="1"/>
  <c r="FD4" i="1" l="1"/>
  <c r="FD13" i="1"/>
  <c r="FD8" i="1"/>
  <c r="FE5" i="1"/>
  <c r="FE15" i="1" s="1"/>
  <c r="FD9" i="1"/>
  <c r="FD10" i="1"/>
  <c r="FD11" i="1"/>
  <c r="FD7" i="1"/>
  <c r="FD12" i="1"/>
  <c r="FD18" i="1"/>
  <c r="FD20" i="1"/>
  <c r="FD19" i="1"/>
  <c r="FD21" i="1"/>
  <c r="FD22" i="1"/>
  <c r="FD23" i="1"/>
  <c r="FD24" i="1"/>
  <c r="FD28" i="1"/>
  <c r="FD25" i="1"/>
  <c r="FD17" i="1"/>
  <c r="FD27" i="1"/>
  <c r="FD29" i="1"/>
  <c r="FD30" i="1"/>
  <c r="FD31" i="1"/>
  <c r="FD32" i="1"/>
  <c r="FD33" i="1"/>
  <c r="FD34" i="1"/>
  <c r="FD37" i="1"/>
  <c r="FD26" i="1"/>
  <c r="FD16" i="1"/>
  <c r="FD36" i="1"/>
  <c r="FD38" i="1"/>
  <c r="FD39" i="1"/>
  <c r="FD40" i="1"/>
  <c r="FD41" i="1"/>
  <c r="FD42" i="1"/>
  <c r="FD46" i="1"/>
  <c r="FD35" i="1"/>
  <c r="FD6" i="1"/>
  <c r="FE4" i="1" l="1"/>
  <c r="FE13" i="1"/>
  <c r="FE8" i="1"/>
  <c r="FF5" i="1"/>
  <c r="FF15" i="1" s="1"/>
  <c r="FE9" i="1"/>
  <c r="FE10" i="1"/>
  <c r="FE11" i="1"/>
  <c r="FE7" i="1"/>
  <c r="FE12" i="1"/>
  <c r="FE18" i="1"/>
  <c r="FE20" i="1"/>
  <c r="FE19" i="1"/>
  <c r="FE21" i="1"/>
  <c r="FE22" i="1"/>
  <c r="FE23" i="1"/>
  <c r="FE24" i="1"/>
  <c r="FE28" i="1"/>
  <c r="FE25" i="1"/>
  <c r="FE17" i="1"/>
  <c r="FE27" i="1"/>
  <c r="FE29" i="1"/>
  <c r="FE30" i="1"/>
  <c r="FE31" i="1"/>
  <c r="FE32" i="1"/>
  <c r="FE33" i="1"/>
  <c r="FE34" i="1"/>
  <c r="FE37" i="1"/>
  <c r="FE26" i="1"/>
  <c r="FE36" i="1"/>
  <c r="FE16" i="1"/>
  <c r="FE38" i="1"/>
  <c r="FE39" i="1"/>
  <c r="FE40" i="1"/>
  <c r="FE41" i="1"/>
  <c r="FE42" i="1"/>
  <c r="FE46" i="1"/>
  <c r="FE35" i="1"/>
  <c r="FE6" i="1"/>
  <c r="FF4" i="1" l="1"/>
  <c r="FF13" i="1"/>
  <c r="FF8" i="1"/>
  <c r="FG5" i="1"/>
  <c r="FG15" i="1" s="1"/>
  <c r="FF9" i="1"/>
  <c r="FF10" i="1"/>
  <c r="FF11" i="1"/>
  <c r="FF7" i="1"/>
  <c r="FF12" i="1"/>
  <c r="FF18" i="1"/>
  <c r="FF20" i="1"/>
  <c r="FF19" i="1"/>
  <c r="FF21" i="1"/>
  <c r="FF22" i="1"/>
  <c r="FF23" i="1"/>
  <c r="FF24" i="1"/>
  <c r="FF28" i="1"/>
  <c r="FF25" i="1"/>
  <c r="FF17" i="1"/>
  <c r="FF27" i="1"/>
  <c r="FF29" i="1"/>
  <c r="FF30" i="1"/>
  <c r="FF31" i="1"/>
  <c r="FF32" i="1"/>
  <c r="FF33" i="1"/>
  <c r="FF34" i="1"/>
  <c r="FF37" i="1"/>
  <c r="FF26" i="1"/>
  <c r="FF36" i="1"/>
  <c r="FF16" i="1"/>
  <c r="FF38" i="1"/>
  <c r="FF39" i="1"/>
  <c r="FF40" i="1"/>
  <c r="FF41" i="1"/>
  <c r="FF42" i="1"/>
  <c r="FF46" i="1"/>
  <c r="FF35" i="1"/>
  <c r="FF6" i="1"/>
  <c r="FG4" i="1" l="1"/>
  <c r="FG13" i="1"/>
  <c r="FG8" i="1"/>
  <c r="FH5" i="1"/>
  <c r="FH15" i="1" s="1"/>
  <c r="FG9" i="1"/>
  <c r="FG10" i="1"/>
  <c r="FG11" i="1"/>
  <c r="FG7" i="1"/>
  <c r="FG12" i="1"/>
  <c r="FG18" i="1"/>
  <c r="FG19" i="1"/>
  <c r="FG20" i="1"/>
  <c r="FG21" i="1"/>
  <c r="FG22" i="1"/>
  <c r="FG23" i="1"/>
  <c r="FG24" i="1"/>
  <c r="FG28" i="1"/>
  <c r="FG25" i="1"/>
  <c r="FG17" i="1"/>
  <c r="FG27" i="1"/>
  <c r="FG29" i="1"/>
  <c r="FG30" i="1"/>
  <c r="FG31" i="1"/>
  <c r="FG32" i="1"/>
  <c r="FG33" i="1"/>
  <c r="FG37" i="1"/>
  <c r="FG34" i="1"/>
  <c r="FG26" i="1"/>
  <c r="FG36" i="1"/>
  <c r="FG16" i="1"/>
  <c r="FG38" i="1"/>
  <c r="FG39" i="1"/>
  <c r="FG40" i="1"/>
  <c r="FG41" i="1"/>
  <c r="FG42" i="1"/>
  <c r="FG46" i="1"/>
  <c r="FG35" i="1"/>
  <c r="FG6" i="1"/>
  <c r="FH4" i="1" l="1"/>
  <c r="FH13" i="1"/>
  <c r="FH8" i="1"/>
  <c r="FI5" i="1"/>
  <c r="FH9" i="1"/>
  <c r="FH10" i="1"/>
  <c r="FH11" i="1"/>
  <c r="FH7" i="1"/>
  <c r="FH12" i="1"/>
  <c r="FH18" i="1"/>
  <c r="FH19" i="1"/>
  <c r="FH20" i="1"/>
  <c r="FH21" i="1"/>
  <c r="FH22" i="1"/>
  <c r="FH23" i="1"/>
  <c r="FH24" i="1"/>
  <c r="FH28" i="1"/>
  <c r="FH25" i="1"/>
  <c r="FH17" i="1"/>
  <c r="FH27" i="1"/>
  <c r="FH29" i="1"/>
  <c r="FH30" i="1"/>
  <c r="FH31" i="1"/>
  <c r="FH32" i="1"/>
  <c r="FH33" i="1"/>
  <c r="FH37" i="1"/>
  <c r="FH34" i="1"/>
  <c r="FH26" i="1"/>
  <c r="FH36" i="1"/>
  <c r="FH16" i="1"/>
  <c r="FH38" i="1"/>
  <c r="FH39" i="1"/>
  <c r="FH40" i="1"/>
  <c r="FH41" i="1"/>
  <c r="FH42" i="1"/>
  <c r="FH46" i="1"/>
  <c r="FH35" i="1"/>
  <c r="FH6" i="1"/>
  <c r="FI13" i="1" l="1"/>
  <c r="FI15" i="1"/>
  <c r="FI8" i="1"/>
  <c r="FJ5" i="1"/>
  <c r="FI9" i="1"/>
  <c r="FI10" i="1"/>
  <c r="FI11" i="1"/>
  <c r="FI7" i="1"/>
  <c r="FI12" i="1"/>
  <c r="FI18" i="1"/>
  <c r="FI19" i="1"/>
  <c r="FI20" i="1"/>
  <c r="FI21" i="1"/>
  <c r="FI22" i="1"/>
  <c r="FI23" i="1"/>
  <c r="FI24" i="1"/>
  <c r="FI28" i="1"/>
  <c r="FI25" i="1"/>
  <c r="FI17" i="1"/>
  <c r="FI27" i="1"/>
  <c r="FI29" i="1"/>
  <c r="FI30" i="1"/>
  <c r="FI31" i="1"/>
  <c r="FI32" i="1"/>
  <c r="FI33" i="1"/>
  <c r="FI37" i="1"/>
  <c r="FI34" i="1"/>
  <c r="FI26" i="1"/>
  <c r="FI16" i="1"/>
  <c r="FI36" i="1"/>
  <c r="FI38" i="1"/>
  <c r="FI39" i="1"/>
  <c r="FI40" i="1"/>
  <c r="FI41" i="1"/>
  <c r="FI42" i="1"/>
  <c r="FI46" i="1"/>
  <c r="FI35" i="1"/>
  <c r="FI6" i="1"/>
  <c r="FJ13" i="1" l="1"/>
  <c r="FJ15" i="1"/>
  <c r="FJ8" i="1"/>
  <c r="FK5" i="1"/>
  <c r="FJ9" i="1"/>
  <c r="FJ10" i="1"/>
  <c r="FJ11" i="1"/>
  <c r="FJ7" i="1"/>
  <c r="FJ12" i="1"/>
  <c r="FJ18" i="1"/>
  <c r="FJ20" i="1"/>
  <c r="FJ19" i="1"/>
  <c r="FJ21" i="1"/>
  <c r="FJ22" i="1"/>
  <c r="FJ23" i="1"/>
  <c r="FJ24" i="1"/>
  <c r="FJ25" i="1"/>
  <c r="FJ28" i="1"/>
  <c r="FJ17" i="1"/>
  <c r="FJ27" i="1"/>
  <c r="FJ29" i="1"/>
  <c r="FJ30" i="1"/>
  <c r="FJ31" i="1"/>
  <c r="FJ32" i="1"/>
  <c r="FJ33" i="1"/>
  <c r="FJ34" i="1"/>
  <c r="FJ37" i="1"/>
  <c r="FJ26" i="1"/>
  <c r="FJ36" i="1"/>
  <c r="FJ16" i="1"/>
  <c r="FJ38" i="1"/>
  <c r="FJ39" i="1"/>
  <c r="FJ40" i="1"/>
  <c r="FJ41" i="1"/>
  <c r="FJ42" i="1"/>
  <c r="FJ46" i="1"/>
  <c r="FJ35" i="1"/>
  <c r="FJ6" i="1"/>
  <c r="FK13" i="1" l="1"/>
  <c r="FK15" i="1"/>
  <c r="FL5" i="1"/>
  <c r="FK8" i="1"/>
  <c r="FK9" i="1"/>
  <c r="FK10" i="1"/>
  <c r="FK11" i="1"/>
  <c r="FK7" i="1"/>
  <c r="FK12" i="1"/>
  <c r="FK18" i="1"/>
  <c r="FK19" i="1"/>
  <c r="FK20" i="1"/>
  <c r="FK21" i="1"/>
  <c r="FK22" i="1"/>
  <c r="FK23" i="1"/>
  <c r="FK24" i="1"/>
  <c r="FK28" i="1"/>
  <c r="FK25" i="1"/>
  <c r="FK17" i="1"/>
  <c r="FK27" i="1"/>
  <c r="FK29" i="1"/>
  <c r="FK30" i="1"/>
  <c r="FK31" i="1"/>
  <c r="FK32" i="1"/>
  <c r="FK33" i="1"/>
  <c r="FK34" i="1"/>
  <c r="FK37" i="1"/>
  <c r="FK26" i="1"/>
  <c r="FK36" i="1"/>
  <c r="FK16" i="1"/>
  <c r="FK38" i="1"/>
  <c r="FK39" i="1"/>
  <c r="FK40" i="1"/>
  <c r="FK41" i="1"/>
  <c r="FK42" i="1"/>
  <c r="FK46" i="1"/>
  <c r="FK35" i="1"/>
  <c r="FK6" i="1"/>
  <c r="FL13" i="1" l="1"/>
  <c r="FL15" i="1"/>
  <c r="FL8" i="1"/>
  <c r="FM5" i="1"/>
  <c r="FL9" i="1"/>
  <c r="FL10" i="1"/>
  <c r="FL11" i="1"/>
  <c r="FL7" i="1"/>
  <c r="FL12" i="1"/>
  <c r="FL18" i="1"/>
  <c r="FL20" i="1"/>
  <c r="FL19" i="1"/>
  <c r="FL21" i="1"/>
  <c r="FL22" i="1"/>
  <c r="FL23" i="1"/>
  <c r="FL24" i="1"/>
  <c r="FL28" i="1"/>
  <c r="FL25" i="1"/>
  <c r="FL17" i="1"/>
  <c r="FL27" i="1"/>
  <c r="FL29" i="1"/>
  <c r="FL30" i="1"/>
  <c r="FL31" i="1"/>
  <c r="FL32" i="1"/>
  <c r="FL33" i="1"/>
  <c r="FL34" i="1"/>
  <c r="FL37" i="1"/>
  <c r="FL26" i="1"/>
  <c r="FL36" i="1"/>
  <c r="FL16" i="1"/>
  <c r="FL38" i="1"/>
  <c r="FL39" i="1"/>
  <c r="FL40" i="1"/>
  <c r="FL41" i="1"/>
  <c r="FL42" i="1"/>
  <c r="FL46" i="1"/>
  <c r="FL35" i="1"/>
  <c r="FL6" i="1"/>
  <c r="FM13" i="1" l="1"/>
  <c r="FM15" i="1"/>
  <c r="FM8" i="1"/>
  <c r="FN5" i="1"/>
  <c r="FM9" i="1"/>
  <c r="FM10" i="1"/>
  <c r="FM11" i="1"/>
  <c r="FM7" i="1"/>
  <c r="FM12" i="1"/>
  <c r="FM18" i="1"/>
  <c r="FM19" i="1"/>
  <c r="FM20" i="1"/>
  <c r="FM21" i="1"/>
  <c r="FM22" i="1"/>
  <c r="FM23" i="1"/>
  <c r="FM24" i="1"/>
  <c r="FM28" i="1"/>
  <c r="FM25" i="1"/>
  <c r="FM17" i="1"/>
  <c r="FM27" i="1"/>
  <c r="FM29" i="1"/>
  <c r="FM30" i="1"/>
  <c r="FM31" i="1"/>
  <c r="FM32" i="1"/>
  <c r="FM33" i="1"/>
  <c r="FM37" i="1"/>
  <c r="FM34" i="1"/>
  <c r="FM26" i="1"/>
  <c r="FM36" i="1"/>
  <c r="FM16" i="1"/>
  <c r="FM38" i="1"/>
  <c r="FM39" i="1"/>
  <c r="FM40" i="1"/>
  <c r="FM41" i="1"/>
  <c r="FM42" i="1"/>
  <c r="FM46" i="1"/>
  <c r="FM35" i="1"/>
  <c r="FM6" i="1"/>
  <c r="FN13" i="1" l="1"/>
  <c r="FN15" i="1"/>
  <c r="FO5" i="1"/>
  <c r="FN8" i="1"/>
  <c r="FN9" i="1"/>
  <c r="FN10" i="1"/>
  <c r="FN11" i="1"/>
  <c r="FN7" i="1"/>
  <c r="FN12" i="1"/>
  <c r="FN18" i="1"/>
  <c r="FN19" i="1"/>
  <c r="FN20" i="1"/>
  <c r="FN21" i="1"/>
  <c r="FN22" i="1"/>
  <c r="FN23" i="1"/>
  <c r="FN24" i="1"/>
  <c r="FN25" i="1"/>
  <c r="FN28" i="1"/>
  <c r="FN17" i="1"/>
  <c r="FN27" i="1"/>
  <c r="FN29" i="1"/>
  <c r="FN30" i="1"/>
  <c r="FN31" i="1"/>
  <c r="FN32" i="1"/>
  <c r="FN33" i="1"/>
  <c r="FN37" i="1"/>
  <c r="FN34" i="1"/>
  <c r="FN26" i="1"/>
  <c r="FN16" i="1"/>
  <c r="FN36" i="1"/>
  <c r="FN38" i="1"/>
  <c r="FN39" i="1"/>
  <c r="FN40" i="1"/>
  <c r="FN41" i="1"/>
  <c r="FN42" i="1"/>
  <c r="FN46" i="1"/>
  <c r="FN35" i="1"/>
  <c r="FN6" i="1"/>
  <c r="FO13" i="1" l="1"/>
  <c r="FO15" i="1"/>
  <c r="FO8" i="1"/>
  <c r="FP5" i="1"/>
  <c r="FO9" i="1"/>
  <c r="FO10" i="1"/>
  <c r="FO11" i="1"/>
  <c r="FO7" i="1"/>
  <c r="FO12" i="1"/>
  <c r="FO18" i="1"/>
  <c r="FO19" i="1"/>
  <c r="FO20" i="1"/>
  <c r="FO21" i="1"/>
  <c r="FO22" i="1"/>
  <c r="FO23" i="1"/>
  <c r="FO24" i="1"/>
  <c r="FO28" i="1"/>
  <c r="FO25" i="1"/>
  <c r="FO17" i="1"/>
  <c r="FO27" i="1"/>
  <c r="FO29" i="1"/>
  <c r="FO30" i="1"/>
  <c r="FO31" i="1"/>
  <c r="FO32" i="1"/>
  <c r="FO33" i="1"/>
  <c r="FO37" i="1"/>
  <c r="FO34" i="1"/>
  <c r="FO26" i="1"/>
  <c r="FO16" i="1"/>
  <c r="FO36" i="1"/>
  <c r="FO38" i="1"/>
  <c r="FO39" i="1"/>
  <c r="FO40" i="1"/>
  <c r="FO41" i="1"/>
  <c r="FO42" i="1"/>
  <c r="FO46" i="1"/>
  <c r="FO35" i="1"/>
  <c r="FO6" i="1"/>
  <c r="FP13" i="1" l="1"/>
  <c r="FP15" i="1"/>
  <c r="FP8" i="1"/>
  <c r="FQ5" i="1"/>
  <c r="FP9" i="1"/>
  <c r="FP10" i="1"/>
  <c r="FP11" i="1"/>
  <c r="FP7" i="1"/>
  <c r="FP12" i="1"/>
  <c r="FP18" i="1"/>
  <c r="FP20" i="1"/>
  <c r="FP19" i="1"/>
  <c r="FP21" i="1"/>
  <c r="FP22" i="1"/>
  <c r="FP23" i="1"/>
  <c r="FP24" i="1"/>
  <c r="FP28" i="1"/>
  <c r="FP25" i="1"/>
  <c r="FP17" i="1"/>
  <c r="FP27" i="1"/>
  <c r="FP29" i="1"/>
  <c r="FP30" i="1"/>
  <c r="FP31" i="1"/>
  <c r="FP32" i="1"/>
  <c r="FP33" i="1"/>
  <c r="FP34" i="1"/>
  <c r="FP37" i="1"/>
  <c r="FP26" i="1"/>
  <c r="FP36" i="1"/>
  <c r="FP16" i="1"/>
  <c r="FP38" i="1"/>
  <c r="FP39" i="1"/>
  <c r="FP40" i="1"/>
  <c r="FP41" i="1"/>
  <c r="FP42" i="1"/>
  <c r="FP46" i="1"/>
  <c r="FP35" i="1"/>
  <c r="FP6" i="1"/>
  <c r="FQ13" i="1" l="1"/>
  <c r="FQ15" i="1"/>
  <c r="FQ8" i="1"/>
  <c r="FR5" i="1"/>
  <c r="FQ9" i="1"/>
  <c r="FQ10" i="1"/>
  <c r="FQ11" i="1"/>
  <c r="FQ7" i="1"/>
  <c r="FQ12" i="1"/>
  <c r="FQ18" i="1"/>
  <c r="FQ20" i="1"/>
  <c r="FQ19" i="1"/>
  <c r="FQ21" i="1"/>
  <c r="FQ22" i="1"/>
  <c r="FQ23" i="1"/>
  <c r="FQ24" i="1"/>
  <c r="FQ28" i="1"/>
  <c r="FQ25" i="1"/>
  <c r="FQ17" i="1"/>
  <c r="FQ27" i="1"/>
  <c r="FQ29" i="1"/>
  <c r="FQ30" i="1"/>
  <c r="FQ31" i="1"/>
  <c r="FQ32" i="1"/>
  <c r="FQ33" i="1"/>
  <c r="FQ37" i="1"/>
  <c r="FQ34" i="1"/>
  <c r="FQ26" i="1"/>
  <c r="FQ16" i="1"/>
  <c r="FQ36" i="1"/>
  <c r="FQ38" i="1"/>
  <c r="FQ39" i="1"/>
  <c r="FQ40" i="1"/>
  <c r="FQ41" i="1"/>
  <c r="FQ42" i="1"/>
  <c r="FQ46" i="1"/>
  <c r="FQ35" i="1"/>
  <c r="FQ6" i="1"/>
  <c r="FR13" i="1" l="1"/>
  <c r="FR15" i="1"/>
  <c r="FS5" i="1"/>
  <c r="FR8" i="1"/>
  <c r="FR9" i="1"/>
  <c r="FR10" i="1"/>
  <c r="FR11" i="1"/>
  <c r="FR7" i="1"/>
  <c r="FR12" i="1"/>
  <c r="FR18" i="1"/>
  <c r="FR20" i="1"/>
  <c r="FR19" i="1"/>
  <c r="FR21" i="1"/>
  <c r="FR22" i="1"/>
  <c r="FR23" i="1"/>
  <c r="FR24" i="1"/>
  <c r="FR28" i="1"/>
  <c r="FR25" i="1"/>
  <c r="FR17" i="1"/>
  <c r="FR27" i="1"/>
  <c r="FR29" i="1"/>
  <c r="FR30" i="1"/>
  <c r="FR31" i="1"/>
  <c r="FR32" i="1"/>
  <c r="FR33" i="1"/>
  <c r="FR34" i="1"/>
  <c r="FR37" i="1"/>
  <c r="FR26" i="1"/>
  <c r="FR16" i="1"/>
  <c r="FR36" i="1"/>
  <c r="FR38" i="1"/>
  <c r="FR39" i="1"/>
  <c r="FR40" i="1"/>
  <c r="FR41" i="1"/>
  <c r="FR42" i="1"/>
  <c r="FR46" i="1"/>
  <c r="FR35" i="1"/>
  <c r="FR6" i="1"/>
  <c r="FS13" i="1" l="1"/>
  <c r="FS15" i="1"/>
  <c r="FS8" i="1"/>
  <c r="FT5" i="1"/>
  <c r="FS9" i="1"/>
  <c r="FS10" i="1"/>
  <c r="FS11" i="1"/>
  <c r="FS7" i="1"/>
  <c r="FS12" i="1"/>
  <c r="FS18" i="1"/>
  <c r="FS19" i="1"/>
  <c r="FS20" i="1"/>
  <c r="FS21" i="1"/>
  <c r="FS22" i="1"/>
  <c r="FS23" i="1"/>
  <c r="FS24" i="1"/>
  <c r="FS28" i="1"/>
  <c r="FS25" i="1"/>
  <c r="FS17" i="1"/>
  <c r="FS27" i="1"/>
  <c r="FS29" i="1"/>
  <c r="FS30" i="1"/>
  <c r="FS31" i="1"/>
  <c r="FS32" i="1"/>
  <c r="FS33" i="1"/>
  <c r="FS34" i="1"/>
  <c r="FS37" i="1"/>
  <c r="FS26" i="1"/>
  <c r="FS16" i="1"/>
  <c r="FS36" i="1"/>
  <c r="FS38" i="1"/>
  <c r="FS39" i="1"/>
  <c r="FS40" i="1"/>
  <c r="FS41" i="1"/>
  <c r="FS42" i="1"/>
  <c r="FS46" i="1"/>
  <c r="FS35" i="1"/>
  <c r="FS6" i="1"/>
  <c r="FT13" i="1" l="1"/>
  <c r="FT15" i="1"/>
  <c r="FT8" i="1"/>
  <c r="FU5" i="1"/>
  <c r="FT9" i="1"/>
  <c r="FT10" i="1"/>
  <c r="FT11" i="1"/>
  <c r="FT7" i="1"/>
  <c r="FT12" i="1"/>
  <c r="FT18" i="1"/>
  <c r="FT19" i="1"/>
  <c r="FT20" i="1"/>
  <c r="FT21" i="1"/>
  <c r="FT22" i="1"/>
  <c r="FT23" i="1"/>
  <c r="FT24" i="1"/>
  <c r="FT28" i="1"/>
  <c r="FT25" i="1"/>
  <c r="FT17" i="1"/>
  <c r="FT27" i="1"/>
  <c r="FT29" i="1"/>
  <c r="FT30" i="1"/>
  <c r="FT31" i="1"/>
  <c r="FT32" i="1"/>
  <c r="FT33" i="1"/>
  <c r="FT34" i="1"/>
  <c r="FT37" i="1"/>
  <c r="FT26" i="1"/>
  <c r="FT36" i="1"/>
  <c r="FT16" i="1"/>
  <c r="FT38" i="1"/>
  <c r="FT39" i="1"/>
  <c r="FT40" i="1"/>
  <c r="FT41" i="1"/>
  <c r="FT42" i="1"/>
  <c r="FT46" i="1"/>
  <c r="FT35" i="1"/>
  <c r="FT6" i="1"/>
  <c r="FU13" i="1" l="1"/>
  <c r="FU15" i="1"/>
  <c r="FV5" i="1"/>
  <c r="FU8" i="1"/>
  <c r="FU9" i="1"/>
  <c r="FU10" i="1"/>
  <c r="FU11" i="1"/>
  <c r="FU7" i="1"/>
  <c r="FU12" i="1"/>
  <c r="FU18" i="1"/>
  <c r="FU19" i="1"/>
  <c r="FU20" i="1"/>
  <c r="FU21" i="1"/>
  <c r="FU22" i="1"/>
  <c r="FU23" i="1"/>
  <c r="FU24" i="1"/>
  <c r="FU25" i="1"/>
  <c r="FU28" i="1"/>
  <c r="FU17" i="1"/>
  <c r="FU27" i="1"/>
  <c r="FU29" i="1"/>
  <c r="FU30" i="1"/>
  <c r="FU31" i="1"/>
  <c r="FU32" i="1"/>
  <c r="FU33" i="1"/>
  <c r="FU37" i="1"/>
  <c r="FU34" i="1"/>
  <c r="FU26" i="1"/>
  <c r="FU16" i="1"/>
  <c r="FU36" i="1"/>
  <c r="FU38" i="1"/>
  <c r="FU39" i="1"/>
  <c r="FU40" i="1"/>
  <c r="FU41" i="1"/>
  <c r="FU42" i="1"/>
  <c r="FU46" i="1"/>
  <c r="FU35" i="1"/>
  <c r="FU6" i="1"/>
  <c r="FV13" i="1" l="1"/>
  <c r="FV15" i="1"/>
  <c r="FV8" i="1"/>
  <c r="FW5" i="1"/>
  <c r="FV9" i="1"/>
  <c r="FV10" i="1"/>
  <c r="FV11" i="1"/>
  <c r="FV7" i="1"/>
  <c r="FV12" i="1"/>
  <c r="FV18" i="1"/>
  <c r="FV19" i="1"/>
  <c r="FV20" i="1"/>
  <c r="FV21" i="1"/>
  <c r="FV22" i="1"/>
  <c r="FV23" i="1"/>
  <c r="FV24" i="1"/>
  <c r="FV25" i="1"/>
  <c r="FV28" i="1"/>
  <c r="FV17" i="1"/>
  <c r="FV27" i="1"/>
  <c r="FV29" i="1"/>
  <c r="FV30" i="1"/>
  <c r="FV31" i="1"/>
  <c r="FV32" i="1"/>
  <c r="FV33" i="1"/>
  <c r="FV34" i="1"/>
  <c r="FV37" i="1"/>
  <c r="FV26" i="1"/>
  <c r="FV36" i="1"/>
  <c r="FV16" i="1"/>
  <c r="FV38" i="1"/>
  <c r="FV39" i="1"/>
  <c r="FV40" i="1"/>
  <c r="FV41" i="1"/>
  <c r="FV42" i="1"/>
  <c r="FV46" i="1"/>
  <c r="FV35" i="1"/>
  <c r="FV6" i="1"/>
  <c r="FW13" i="1" l="1"/>
  <c r="FW15" i="1"/>
  <c r="FX5" i="1"/>
  <c r="FW8" i="1"/>
  <c r="FW9" i="1"/>
  <c r="FW10" i="1"/>
  <c r="FW11" i="1"/>
  <c r="FW7" i="1"/>
  <c r="FW12" i="1"/>
  <c r="FW18" i="1"/>
  <c r="FW19" i="1"/>
  <c r="FW20" i="1"/>
  <c r="FW21" i="1"/>
  <c r="FW22" i="1"/>
  <c r="FW23" i="1"/>
  <c r="FW24" i="1"/>
  <c r="FW25" i="1"/>
  <c r="FW28" i="1"/>
  <c r="FW17" i="1"/>
  <c r="FW27" i="1"/>
  <c r="FW29" i="1"/>
  <c r="FW30" i="1"/>
  <c r="FW31" i="1"/>
  <c r="FW32" i="1"/>
  <c r="FW33" i="1"/>
  <c r="FW34" i="1"/>
  <c r="FW37" i="1"/>
  <c r="FW26" i="1"/>
  <c r="FW16" i="1"/>
  <c r="FW36" i="1"/>
  <c r="FW38" i="1"/>
  <c r="FW39" i="1"/>
  <c r="FW40" i="1"/>
  <c r="FW41" i="1"/>
  <c r="FW42" i="1"/>
  <c r="FW46" i="1"/>
  <c r="FW35" i="1"/>
  <c r="FW6" i="1"/>
  <c r="FX13" i="1" l="1"/>
  <c r="FX15" i="1"/>
  <c r="FX8" i="1"/>
  <c r="FY5" i="1"/>
  <c r="FX9" i="1"/>
  <c r="FX10" i="1"/>
  <c r="FX11" i="1"/>
  <c r="FX7" i="1"/>
  <c r="FX12" i="1"/>
  <c r="FX18" i="1"/>
  <c r="FX20" i="1"/>
  <c r="FX19" i="1"/>
  <c r="FX21" i="1"/>
  <c r="FX22" i="1"/>
  <c r="FX23" i="1"/>
  <c r="FX24" i="1"/>
  <c r="FX28" i="1"/>
  <c r="FX25" i="1"/>
  <c r="FX17" i="1"/>
  <c r="FX27" i="1"/>
  <c r="FX29" i="1"/>
  <c r="FX30" i="1"/>
  <c r="FX31" i="1"/>
  <c r="FX32" i="1"/>
  <c r="FX33" i="1"/>
  <c r="FX34" i="1"/>
  <c r="FX37" i="1"/>
  <c r="FX26" i="1"/>
  <c r="FX36" i="1"/>
  <c r="FX16" i="1"/>
  <c r="FX38" i="1"/>
  <c r="FX39" i="1"/>
  <c r="FX40" i="1"/>
  <c r="FX41" i="1"/>
  <c r="FX42" i="1"/>
  <c r="FX46" i="1"/>
  <c r="FX35" i="1"/>
  <c r="FX6" i="1"/>
  <c r="FY13" i="1" l="1"/>
  <c r="FY15" i="1"/>
  <c r="FY8" i="1"/>
  <c r="FZ5" i="1"/>
  <c r="FY9" i="1"/>
  <c r="FY10" i="1"/>
  <c r="FY11" i="1"/>
  <c r="FY7" i="1"/>
  <c r="FY12" i="1"/>
  <c r="FY18" i="1"/>
  <c r="FY19" i="1"/>
  <c r="FY20" i="1"/>
  <c r="FY21" i="1"/>
  <c r="FY22" i="1"/>
  <c r="FY23" i="1"/>
  <c r="FY24" i="1"/>
  <c r="FY25" i="1"/>
  <c r="FY28" i="1"/>
  <c r="FY17" i="1"/>
  <c r="FY27" i="1"/>
  <c r="FY29" i="1"/>
  <c r="FY30" i="1"/>
  <c r="FY31" i="1"/>
  <c r="FY32" i="1"/>
  <c r="FY33" i="1"/>
  <c r="FY37" i="1"/>
  <c r="FY34" i="1"/>
  <c r="FY26" i="1"/>
  <c r="FY16" i="1"/>
  <c r="FY36" i="1"/>
  <c r="FY38" i="1"/>
  <c r="FY39" i="1"/>
  <c r="FY40" i="1"/>
  <c r="FY41" i="1"/>
  <c r="FY42" i="1"/>
  <c r="FY46" i="1"/>
  <c r="FY35" i="1"/>
  <c r="FY6" i="1"/>
  <c r="FZ13" i="1" l="1"/>
  <c r="FZ15" i="1"/>
  <c r="FZ8" i="1"/>
  <c r="GA5" i="1"/>
  <c r="FZ9" i="1"/>
  <c r="FZ10" i="1"/>
  <c r="FZ11" i="1"/>
  <c r="FZ7" i="1"/>
  <c r="FZ12" i="1"/>
  <c r="FZ18" i="1"/>
  <c r="FZ19" i="1"/>
  <c r="FZ20" i="1"/>
  <c r="FZ21" i="1"/>
  <c r="FZ22" i="1"/>
  <c r="FZ23" i="1"/>
  <c r="FZ24" i="1"/>
  <c r="FZ28" i="1"/>
  <c r="FZ25" i="1"/>
  <c r="FZ17" i="1"/>
  <c r="FZ27" i="1"/>
  <c r="FZ29" i="1"/>
  <c r="FZ30" i="1"/>
  <c r="FZ31" i="1"/>
  <c r="FZ32" i="1"/>
  <c r="FZ33" i="1"/>
  <c r="FZ37" i="1"/>
  <c r="FZ34" i="1"/>
  <c r="FZ26" i="1"/>
  <c r="FZ16" i="1"/>
  <c r="FZ36" i="1"/>
  <c r="FZ38" i="1"/>
  <c r="FZ39" i="1"/>
  <c r="FZ40" i="1"/>
  <c r="FZ41" i="1"/>
  <c r="FZ42" i="1"/>
  <c r="FZ46" i="1"/>
  <c r="FZ35" i="1"/>
  <c r="FZ6" i="1"/>
  <c r="GA13" i="1" l="1"/>
  <c r="GA15" i="1"/>
  <c r="GA8" i="1"/>
  <c r="GB5" i="1"/>
  <c r="GA9" i="1"/>
  <c r="GA10" i="1"/>
  <c r="GA11" i="1"/>
  <c r="GA7" i="1"/>
  <c r="GA12" i="1"/>
  <c r="GA18" i="1"/>
  <c r="GA19" i="1"/>
  <c r="GA20" i="1"/>
  <c r="GA21" i="1"/>
  <c r="GA22" i="1"/>
  <c r="GA23" i="1"/>
  <c r="GA24" i="1"/>
  <c r="GA25" i="1"/>
  <c r="GA28" i="1"/>
  <c r="GA17" i="1"/>
  <c r="GA27" i="1"/>
  <c r="GA29" i="1"/>
  <c r="GA30" i="1"/>
  <c r="GA31" i="1"/>
  <c r="GA32" i="1"/>
  <c r="GA33" i="1"/>
  <c r="GA34" i="1"/>
  <c r="GA37" i="1"/>
  <c r="GA26" i="1"/>
  <c r="GA16" i="1"/>
  <c r="GA36" i="1"/>
  <c r="GA38" i="1"/>
  <c r="GA39" i="1"/>
  <c r="GA40" i="1"/>
  <c r="GA41" i="1"/>
  <c r="GA42" i="1"/>
  <c r="GA46" i="1"/>
  <c r="GA35" i="1"/>
  <c r="GA6" i="1"/>
  <c r="GB13" i="1" l="1"/>
  <c r="GB15" i="1"/>
  <c r="GB8" i="1"/>
  <c r="GC5" i="1"/>
  <c r="GB9" i="1"/>
  <c r="GB10" i="1"/>
  <c r="GB11" i="1"/>
  <c r="GB7" i="1"/>
  <c r="GB12" i="1"/>
  <c r="GB18" i="1"/>
  <c r="GB20" i="1"/>
  <c r="GB19" i="1"/>
  <c r="GB21" i="1"/>
  <c r="GB22" i="1"/>
  <c r="GB23" i="1"/>
  <c r="GB24" i="1"/>
  <c r="GB25" i="1"/>
  <c r="GB28" i="1"/>
  <c r="GB17" i="1"/>
  <c r="GB27" i="1"/>
  <c r="GB29" i="1"/>
  <c r="GB30" i="1"/>
  <c r="GB31" i="1"/>
  <c r="GB32" i="1"/>
  <c r="GB33" i="1"/>
  <c r="GB37" i="1"/>
  <c r="GB34" i="1"/>
  <c r="GB26" i="1"/>
  <c r="GB16" i="1"/>
  <c r="GB36" i="1"/>
  <c r="GB38" i="1"/>
  <c r="GB39" i="1"/>
  <c r="GB40" i="1"/>
  <c r="GB41" i="1"/>
  <c r="GB42" i="1"/>
  <c r="GB46" i="1"/>
  <c r="GB35" i="1"/>
  <c r="GB6" i="1"/>
  <c r="GC13" i="1" l="1"/>
  <c r="GC15" i="1"/>
  <c r="GC8" i="1"/>
  <c r="GC9" i="1"/>
  <c r="GC10" i="1"/>
  <c r="GC11" i="1"/>
  <c r="GC7" i="1"/>
  <c r="GC12" i="1"/>
  <c r="GC18" i="1"/>
  <c r="GC20" i="1"/>
  <c r="GC19" i="1"/>
  <c r="GC21" i="1"/>
  <c r="GC22" i="1"/>
  <c r="GC23" i="1"/>
  <c r="GC24" i="1"/>
  <c r="GC28" i="1"/>
  <c r="GC25" i="1"/>
  <c r="GC17" i="1"/>
  <c r="GC27" i="1"/>
  <c r="GC29" i="1"/>
  <c r="GC30" i="1"/>
  <c r="GC31" i="1"/>
  <c r="GC32" i="1"/>
  <c r="GC33" i="1"/>
  <c r="GC34" i="1"/>
  <c r="GC37" i="1"/>
  <c r="GC26" i="1"/>
  <c r="GC16" i="1"/>
  <c r="GC36" i="1"/>
  <c r="GC38" i="1"/>
  <c r="GC39" i="1"/>
  <c r="GC40" i="1"/>
  <c r="GC41" i="1"/>
  <c r="GC42" i="1"/>
  <c r="GC46" i="1"/>
  <c r="GC35" i="1"/>
  <c r="GC6" i="1"/>
</calcChain>
</file>

<file path=xl/sharedStrings.xml><?xml version="1.0" encoding="utf-8"?>
<sst xmlns="http://schemas.openxmlformats.org/spreadsheetml/2006/main" count="103" uniqueCount="57">
  <si>
    <t>ILORIN INNOVATION HUB - Work Streams</t>
  </si>
  <si>
    <t>TASK</t>
  </si>
  <si>
    <t>RESPONSIBLE</t>
  </si>
  <si>
    <t>Planned</t>
  </si>
  <si>
    <t>Actual</t>
  </si>
  <si>
    <t>Activity Status</t>
  </si>
  <si>
    <t>Tue</t>
  </si>
  <si>
    <t>Wed</t>
  </si>
  <si>
    <t>Thu</t>
  </si>
  <si>
    <t>Fri</t>
  </si>
  <si>
    <t>Sat</t>
  </si>
  <si>
    <t>Sun</t>
  </si>
  <si>
    <t>Mon</t>
  </si>
  <si>
    <t>Start</t>
  </si>
  <si>
    <t>Finish</t>
  </si>
  <si>
    <t>Dur.</t>
  </si>
  <si>
    <t>PROJECT NAME</t>
  </si>
  <si>
    <t>Project Completion</t>
  </si>
  <si>
    <t>Project BOQ sign off</t>
  </si>
  <si>
    <t>KWSG</t>
  </si>
  <si>
    <t>Provision of Statement of payments</t>
  </si>
  <si>
    <t>Closed</t>
  </si>
  <si>
    <t>Construction Progress Report</t>
  </si>
  <si>
    <t>Ongoing</t>
  </si>
  <si>
    <t xml:space="preserve">Review and Confirmation of Revised SOW </t>
  </si>
  <si>
    <t>IHS</t>
  </si>
  <si>
    <t xml:space="preserve">RFP and Project Manager Engagement </t>
  </si>
  <si>
    <t>Hubs 3D Drawings and Interior plans</t>
  </si>
  <si>
    <t>RFP and Program Manager Engagement</t>
  </si>
  <si>
    <t>HIS</t>
  </si>
  <si>
    <t>Meet with Fit-out vendor</t>
  </si>
  <si>
    <t>HUB Governance &amp; Commercials</t>
  </si>
  <si>
    <t>Vendor Registration &amp; Payments</t>
  </si>
  <si>
    <t>Hub Vendor Registration</t>
  </si>
  <si>
    <t>Provision of Hub CAC and other registration documents</t>
  </si>
  <si>
    <t>Provision of immediate funding requirements</t>
  </si>
  <si>
    <t>Fund Disbursement</t>
  </si>
  <si>
    <t>Submission of 1 year Operations budget</t>
  </si>
  <si>
    <t>closed</t>
  </si>
  <si>
    <t>Budget review and approval</t>
  </si>
  <si>
    <t>Quarterly Advance Requisition</t>
  </si>
  <si>
    <t>HUB Governance</t>
  </si>
  <si>
    <t>Governing Board Nominations</t>
  </si>
  <si>
    <t>IHS/KWSG</t>
  </si>
  <si>
    <t>Agree on Hub management structure</t>
  </si>
  <si>
    <t>Allocation of IHS assigned space in the HUB</t>
  </si>
  <si>
    <t>Board Governance Policy</t>
  </si>
  <si>
    <t>KWSG / IHS</t>
  </si>
  <si>
    <t>Inauguration of Board members</t>
  </si>
  <si>
    <t>Hub Programs Development</t>
  </si>
  <si>
    <t>Hub Strategy Session</t>
  </si>
  <si>
    <t>KWSG/HIS</t>
  </si>
  <si>
    <t>Marketing and PR</t>
  </si>
  <si>
    <t>Pre-launch and Post-launch communication plans</t>
  </si>
  <si>
    <t xml:space="preserve">Branding and Marketing Activities </t>
  </si>
  <si>
    <t>Confirmation of Permanent branding within the hub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</si>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</sst>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[$-409]dd\-mmm\-yy;@"/>
    <numFmt numFmtId="166" formatCode="[$-F800]dd\,\ mm\ dd\,\ yyyy"/>
  </numFmts>
  <fonts count="16">
    <font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00B0F0"/>
      <name val="Arial"/>
      <family val="2"/>
    </font>
    <font>
      <b/>
      <sz val="10"/>
      <name val="Arial"/>
      <family val="2"/>
    </font>
    <font>
      <sz val="12"/>
      <color theme="9" tint="-0.249977111117893"/>
      <name val="Arial"/>
      <family val="2"/>
    </font>
    <font>
      <sz val="18"/>
      <color theme="9" tint="-0.249977111117893"/>
      <name val="Arial"/>
      <family val="2"/>
    </font>
    <font>
      <sz val="16"/>
      <color theme="9" tint="-0.249977111117893"/>
      <name val="Arial"/>
      <family val="2"/>
    </font>
    <font>
      <sz val="10"/>
      <color theme="9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theme="4" tint="-0.24994659260841701"/>
      </top>
      <bottom/>
      <diagonal/>
    </border>
    <border>
      <left style="thin">
        <color theme="0" tint="-0.14993743705557422"/>
      </left>
      <right style="medium">
        <color theme="0"/>
      </right>
      <top style="medium">
        <color theme="4" tint="-0.24994659260841701"/>
      </top>
      <bottom/>
      <diagonal/>
    </border>
    <border>
      <left style="medium">
        <color theme="0"/>
      </left>
      <right style="medium">
        <color theme="0"/>
      </right>
      <top style="medium">
        <color theme="4" tint="-0.24994659260841701"/>
      </top>
      <bottom style="thin">
        <color theme="0" tint="-0.14993743705557422"/>
      </bottom>
      <diagonal/>
    </border>
    <border>
      <left/>
      <right style="medium">
        <color theme="0"/>
      </right>
      <top style="medium">
        <color theme="4" tint="-0.24994659260841701"/>
      </top>
      <bottom style="thin">
        <color theme="0" tint="-0.14993743705557422"/>
      </bottom>
      <diagonal/>
    </border>
    <border>
      <left style="medium">
        <color theme="0"/>
      </left>
      <right/>
      <top style="medium">
        <color theme="4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0"/>
      </right>
      <top/>
      <bottom style="thin">
        <color theme="0" tint="-0.14996795556505021"/>
      </bottom>
      <diagonal/>
    </border>
    <border>
      <left style="medium">
        <color theme="0"/>
      </left>
      <right style="medium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hair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5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indent="1"/>
    </xf>
    <xf numFmtId="0" fontId="5" fillId="0" borderId="0" xfId="1" applyFont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3" fillId="0" borderId="0" xfId="2" applyFont="1" applyAlignment="1">
      <alignment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16" fontId="3" fillId="0" borderId="8" xfId="2" applyNumberFormat="1" applyFont="1" applyBorder="1" applyAlignment="1">
      <alignment horizontal="center" vertical="center" textRotation="90"/>
    </xf>
    <xf numFmtId="16" fontId="3" fillId="0" borderId="9" xfId="2" applyNumberFormat="1" applyFont="1" applyBorder="1" applyAlignment="1">
      <alignment horizontal="center" vertical="center" textRotation="90"/>
    </xf>
    <xf numFmtId="164" fontId="3" fillId="0" borderId="9" xfId="2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10" fillId="0" borderId="1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4" borderId="12" xfId="1" applyFont="1" applyFill="1" applyBorder="1" applyAlignment="1">
      <alignment vertical="center"/>
    </xf>
    <xf numFmtId="165" fontId="6" fillId="4" borderId="13" xfId="1" applyNumberFormat="1" applyFont="1" applyFill="1" applyBorder="1" applyAlignment="1">
      <alignment horizontal="left" vertical="center" indent="1"/>
    </xf>
    <xf numFmtId="0" fontId="3" fillId="4" borderId="15" xfId="1" applyFont="1" applyFill="1" applyBorder="1" applyAlignment="1">
      <alignment vertical="center"/>
    </xf>
    <xf numFmtId="0" fontId="11" fillId="4" borderId="16" xfId="1" applyFont="1" applyFill="1" applyBorder="1" applyAlignment="1">
      <alignment vertical="center"/>
    </xf>
    <xf numFmtId="0" fontId="6" fillId="4" borderId="12" xfId="1" applyFont="1" applyFill="1" applyBorder="1" applyAlignment="1">
      <alignment horizontal="left" vertical="center" indent="1"/>
    </xf>
    <xf numFmtId="0" fontId="3" fillId="5" borderId="0" xfId="2" applyFont="1" applyFill="1" applyAlignment="1">
      <alignment vertical="center"/>
    </xf>
    <xf numFmtId="0" fontId="3" fillId="0" borderId="12" xfId="2" applyFont="1" applyBorder="1" applyAlignment="1">
      <alignment horizontal="left" vertical="center" wrapText="1"/>
    </xf>
    <xf numFmtId="165" fontId="3" fillId="0" borderId="13" xfId="2" applyNumberFormat="1" applyFont="1" applyBorder="1" applyAlignment="1">
      <alignment horizontal="center" vertical="center"/>
    </xf>
    <xf numFmtId="1" fontId="3" fillId="0" borderId="13" xfId="2" applyNumberFormat="1" applyFont="1" applyBorder="1" applyAlignment="1">
      <alignment horizontal="center" vertical="center"/>
    </xf>
    <xf numFmtId="165" fontId="3" fillId="0" borderId="15" xfId="2" applyNumberFormat="1" applyFont="1" applyBorder="1" applyAlignment="1">
      <alignment horizontal="center" vertical="center"/>
    </xf>
    <xf numFmtId="165" fontId="3" fillId="0" borderId="16" xfId="2" applyNumberFormat="1" applyFont="1" applyBorder="1" applyAlignment="1">
      <alignment horizontal="center" vertical="center"/>
    </xf>
    <xf numFmtId="0" fontId="3" fillId="6" borderId="12" xfId="2" applyFont="1" applyFill="1" applyBorder="1" applyAlignment="1">
      <alignment horizontal="center" vertical="center" wrapText="1"/>
    </xf>
    <xf numFmtId="0" fontId="3" fillId="7" borderId="0" xfId="1" applyFont="1" applyFill="1" applyAlignment="1">
      <alignment vertical="center"/>
    </xf>
    <xf numFmtId="0" fontId="11" fillId="7" borderId="11" xfId="1" applyFont="1" applyFill="1" applyBorder="1" applyAlignment="1">
      <alignment horizontal="left" vertical="center" indent="4"/>
    </xf>
    <xf numFmtId="0" fontId="6" fillId="7" borderId="12" xfId="1" applyFont="1" applyFill="1" applyBorder="1" applyAlignment="1">
      <alignment vertical="center"/>
    </xf>
    <xf numFmtId="165" fontId="6" fillId="7" borderId="13" xfId="1" applyNumberFormat="1" applyFont="1" applyFill="1" applyBorder="1" applyAlignment="1">
      <alignment horizontal="left" vertical="center" indent="1"/>
    </xf>
    <xf numFmtId="0" fontId="3" fillId="7" borderId="15" xfId="1" applyFont="1" applyFill="1" applyBorder="1" applyAlignment="1">
      <alignment vertical="center"/>
    </xf>
    <xf numFmtId="0" fontId="11" fillId="7" borderId="16" xfId="1" applyFont="1" applyFill="1" applyBorder="1" applyAlignment="1">
      <alignment vertical="center"/>
    </xf>
    <xf numFmtId="0" fontId="6" fillId="7" borderId="12" xfId="1" applyFont="1" applyFill="1" applyBorder="1" applyAlignment="1">
      <alignment horizontal="left" vertical="center" indent="1"/>
    </xf>
    <xf numFmtId="0" fontId="3" fillId="0" borderId="0" xfId="2" applyFont="1" applyAlignment="1">
      <alignment horizontal="left" vertical="center"/>
    </xf>
    <xf numFmtId="0" fontId="3" fillId="6" borderId="11" xfId="2" applyFont="1" applyFill="1" applyBorder="1" applyAlignment="1">
      <alignment horizontal="left" vertical="center" wrapText="1"/>
    </xf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8" fillId="8" borderId="11" xfId="1" applyFont="1" applyFill="1" applyBorder="1" applyAlignment="1">
      <alignment vertical="center"/>
    </xf>
    <xf numFmtId="0" fontId="8" fillId="8" borderId="12" xfId="1" applyFont="1" applyFill="1" applyBorder="1" applyAlignment="1">
      <alignment vertical="center"/>
    </xf>
    <xf numFmtId="165" fontId="8" fillId="8" borderId="13" xfId="1" applyNumberFormat="1" applyFont="1" applyFill="1" applyBorder="1" applyAlignment="1">
      <alignment horizontal="left" vertical="center" indent="1"/>
    </xf>
    <xf numFmtId="1" fontId="8" fillId="8" borderId="13" xfId="1" applyNumberFormat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vertical="center"/>
    </xf>
    <xf numFmtId="0" fontId="8" fillId="8" borderId="12" xfId="1" applyFont="1" applyFill="1" applyBorder="1" applyAlignment="1">
      <alignment horizontal="left" vertical="center" indent="1"/>
    </xf>
    <xf numFmtId="164" fontId="3" fillId="0" borderId="9" xfId="2" applyNumberFormat="1" applyFont="1" applyBorder="1" applyAlignment="1">
      <alignment horizontal="center" vertical="center" textRotation="90"/>
    </xf>
    <xf numFmtId="0" fontId="11" fillId="4" borderId="11" xfId="1" applyFont="1" applyFill="1" applyBorder="1" applyAlignment="1">
      <alignment horizontal="left" vertical="center"/>
    </xf>
    <xf numFmtId="166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166" fontId="13" fillId="0" borderId="0" xfId="1" applyNumberFormat="1" applyFont="1" applyAlignment="1">
      <alignment horizontal="center" vertical="center"/>
    </xf>
  </cellXfs>
  <cellStyles count="3">
    <cellStyle name="Normal" xfId="0" builtinId="0"/>
    <cellStyle name="Normal 2 4" xfId="2" xr:uid="{53806061-597D-452A-8A25-EBE50D9B3DF6}"/>
    <cellStyle name="Normal 3" xfId="1" xr:uid="{8725FA78-ADF5-46A8-B2A9-4C77A9D83884}"/>
  </cellStyles>
  <dxfs count="24">
    <dxf>
      <fill>
        <patternFill>
          <bgColor rgb="FFFFC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6060"/>
        </patternFill>
      </fill>
    </dxf>
    <dxf>
      <font>
        <color theme="1"/>
      </font>
      <fill>
        <patternFill>
          <bgColor rgb="FFFFCDD3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6060"/>
        </patternFill>
      </fill>
    </dxf>
    <dxf>
      <font>
        <color theme="1"/>
      </font>
      <fill>
        <patternFill>
          <bgColor rgb="FFFFCDD3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6060"/>
        </patternFill>
      </fill>
    </dxf>
    <dxf>
      <font>
        <color theme="1"/>
      </font>
      <fill>
        <patternFill>
          <bgColor rgb="FFFFCDD3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6060"/>
        </patternFill>
      </fill>
    </dxf>
    <dxf>
      <font>
        <color theme="1"/>
      </font>
      <fill>
        <patternFill>
          <bgColor rgb="FFFFCDD3"/>
        </patternFill>
      </fill>
    </dxf>
    <dxf>
      <font>
        <color theme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styles" Target="styles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sharedStrings" Target="sharedStrings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calcChain" Target="calcChain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D\Documents%20and%20Settings\p0023392\Desktop\Estimate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Documents%20and%20Settings\p0023392\Desktop\Estimate%20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16100\Engineering\Pipelines\Wall%20thickness\REV-Z\Wall%20Thickness\Seamless\X60%20Buoyancy%20Coating%20Check\FBE%20SG=1.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16100\Engineering\Pipelines\Wall%20thickness\REV-Z\Wall%20Thickness\Seamless\X60%20Buoyancy%20Coating%20Check\FBE%20SG=1.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team2.na.xom.com/DATA/NIGERIA/ECON/BONGA6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GRWFN33\kagolde$\DATA\NIGERIA\ECON\BONGA6E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GRWFN33\kagolde$\DATA\NIGERIA\ECON\BONGA6EX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Mac\Users\samuelabolade\Desktop\Mac\Users\samuelabolade\Desktop\C:\Users\olatunji\Documents\Ariosh%20\Projects\MPN\EAP%20IGE%20Replacement\Kishimoto\1630%20Field%20Control\DATE%20DOC\PJ%20MONITORING\0-1250%20BAPCO%20PJ\PLAN%20DATA-2.xls?8FE43363" TargetMode="External"/><Relationship Id="rId1" Type="http://schemas.openxmlformats.org/officeDocument/2006/relationships/externalLinkPath" Target="file:///\\8FE43363\PLAN%20DATA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Kishimoto\1630%20Field%20Control\DATE%20DOC\PJ%20MONITORING\0-1250%20BAPCO%20PJ\PLAN%20DATA-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D\Schedule%20Control\1630%20Field%20Control\Report%20to%20Const.%20Dept\Sep.%20'03\Documents%20and%20Settings\06276\My%20Documents\TURKMEN%20PJ\SCH%20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Schedule%20Control\1630%20Field%20Control\Report%20to%20Const.%20Dept\Sep.%20'03\Documents%20and%20Settings\06276\My%20Documents\TURKMEN%20PJ\SCH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Users\samuelabolade\Desktop\C:\Users\olatunji\Documents\Ariosh%20\Projects\MPN\EAP%20IGE%20Replacement\Kishimoto\1630%20Field%20Control\Documents%20and%20Settings\06276\My%20Documents\PJ%20MONITORING\0-0800%20PARCO\DATA\FINAL%20DATA\Planning&amp;reporting.xls?197BF64C" TargetMode="External"/><Relationship Id="rId1" Type="http://schemas.openxmlformats.org/officeDocument/2006/relationships/externalLinkPath" Target="file:///\\197BF64C\Planning&amp;report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EUD01\!EUDC\DATA\NIGERIA\ECON\1997\NIG97MD6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EUD01\!EUDC\DATA\NIGERIA\ECON\1997\NIG97MD6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grwfn016\n9ward1$\DATA\NIGERIA\ECON\BONGA6E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grwfn016\n9ward1$\DATA\NIGERIA\ECON\BONGA6EX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Users\samuelabolade\Desktop\C:\Users\billygraham\Documents\Ariosh\awarded%20projects\Exxon%20RPP\EAP%20Project\Hand%20over%20action%20list\22-12-2017\D:\Venture_Mgmt\Venture%20Business\Ken%20Kocher\NIGERIA\ECON\BONGA6E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Users\billygraham\Documents\Ariosh\awarded%20projects\Exxon%20RPP\EAP%20Project\Hand%20over%20action%20list\22-12-2017\D:\Venture_Mgmt\Venture%20Business\Ken%20Kocher\NIGERIA\ECON\BONGA6EX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mup.na.xom.com/DATA/NIGERIA/ECON/BONGA6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grwfn46\cvlong1$\DATA\NIGERIA\ECON\BONGA6E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grwfn46\cvlong1$\DATA\NIGERIA\ECON\BONGA6EX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pmt\rgx2\Venture_Mgmt\Venture%20Business\Ken%20Kocher\NIGERIA\ECON\BONGA6EX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pmt\rgx2\Venture_Mgmt\Venture%20Business\Ken%20Kocher\NIGERIA\ECON\BONGA6EX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grwfn009\DFREID1$\DATA\NIGERIA\ECON\BONGA6E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grwfn009\DFREID1$\DATA\NIGERIA\ECON\BONGA6EX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Mac\Users\samuelabolade\Desktop\Mac\Users\samuelabolade\Desktop\C:\Users\olatunji\Documents\Ariosh%20\Projects\MPN\EAP%20IGE%20Replacement\pmt\rgx2\Venture_Mgmt\Venture%20Business\Ken%20Kocher\NIGERIA\ECON\1997\NIG97MD6n.xls?D1839B7E" TargetMode="External"/><Relationship Id="rId1" Type="http://schemas.openxmlformats.org/officeDocument/2006/relationships/externalLinkPath" Target="file:///\\D1839B7E\NIG97MD6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pmt\rgx2\Venture_Mgmt\Venture%20Business\Ken%20Kocher\NIGERIA\ECON\1997\NIG97MD6n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samuelabolade\Desktop\Mac\Users\samuelabolade\Desktop\C:\Users\olatunji\Documents\Ariosh%20\Projects\MPN\EAP%20IGE%20Replacement\UPSGRWFN014\m9oreil$\Data\Projects\Bosi\Dev%20Planning%20Case%20Estimates%20-%20Jan%2008\1.0\NIGERIA\ECON\BONGA6EX.XLS?D33DD161" TargetMode="External"/><Relationship Id="rId1" Type="http://schemas.openxmlformats.org/officeDocument/2006/relationships/externalLinkPath" Target="file:///\\D33DD161\BONGA6EX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Users\samuelabolade\Desktop\C:\Users\billygraham\Documents\Ariosh\awarded%20projects\Exxon%20RPP\EAP%20Project\Hand%20over%20action%20list\22-12-2017\D:\Venture_Mgmt\Venture%20Business\Ken%20Kocher\NIGERIA\ECON\1997\NIG97MD6n.xls?F83C5439" TargetMode="External"/><Relationship Id="rId1" Type="http://schemas.openxmlformats.org/officeDocument/2006/relationships/externalLinkPath" Target="file:///\\F83C5439\NIG97MD6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niglagfn001\y9hisas$\Vacation%20Plan\2004%20Planning%20Department%20Vacation%20Pla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niglagfn001\y9hisas$\Vacation%20Plan\2004%20Planning%20Department%20Vacation%20Pla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team2.na.xom.com/emdc/am-south%20america/LaCeiba-low/06.0%20Cost%20&amp;%20Schedule%20Estimating%20and%20Control%2023-6/6.06%20%20Monthly%20Cost%20Reports/2005/07-July%20'05/LaCeiba%20Cost%20Control%20System%20-%20July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GRWFN7\KLKOCHE$\UE1\Sizing\Pumps\8-3G-3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GRWFN7\KLKOCHE$\UE1\Sizing\Pumps\8-3G-3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D\Schedule%20Control\1630%20Field%20Control\Report%20to%20Const.%20Dept\Sep.%20'03\DOCUME~1\07904\LOCALS~1\Temp\PLANNING%20DOC\STAFF%20MP%20MOB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Schedule%20Control\1630%20Field%20Control\Report%20to%20Const.%20Dept\Sep.%20'03\DOCUME~1\07904\LOCALS~1\Temp\PLANNING%20DOC\STAFF%20MP%20MOB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MPN\Org\Drilling\01000%20-%20Management\1400%20-%20Budget\2003%20P&amp;B%20for%202004\Planning\01_MPN_SPBP\EMDC%20PDS\Model%20v6.03%202001%20P&amp;B%20EAP%20Bas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MPN\Org\Drilling\01000%20-%20Management\1400%20-%20Budget\2003%20P&amp;B%20for%202004\Planning\01_MPN_SPBP\EMDC%20PDS\Model%20v6.03%202001%20P&amp;B%20EAP%20Bas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UPSDAT14\cvlong1$\DATA\NIGERIA\ECON\BONGA6EX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UPSDAT14\cvlong1$\DATA\NIGERIA\ECON\BONGA6EX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niglagfn001\y9hisas$\EARNINGS\EXCEL\PACKAG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niglagfn001\y9hisas$\EARNINGS\EXCEL\PACKAG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billygraham\Documents\Ariosh\awarded%20projects\Exxon%20RPP\EAP%20Project\Hand%20over%20action%20list\22-12-2017\D:\CAPERS\CAPRAPSCHE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billygraham\Documents\Ariosh\awarded%20projects\Exxon%20RPP\EAP%20Project\Hand%20over%20action%20list\22-12-2017\D:\CAPERS\CAPRAPSCHE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samuelabolade\Desktop\C:\C\Users\samuelabolade\Library\Containers\com.apple.mail\Data\Library\Mail%20Downloads\69374D24-688F-48A0-A5AB-A62B19841A55\Kishimoto\1630%20Field%20Control\WINDOWS\TEMP\On-plot%20MP%20Mob.%20&amp;%20cost_R1.xls?7CC4AC53" TargetMode="External"/><Relationship Id="rId1" Type="http://schemas.openxmlformats.org/officeDocument/2006/relationships/externalLinkPath" Target="file:///\\7CC4AC53\On-plot%20MP%20Mob.%20&amp;%20cost_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Users\olatunji\Documents\Ariosh%20\Projects\MPN\EAP%20IGE%20Replacement\niglagfn001\y9hisas$\Data\DATAFL32\Spreadsheets\DataflexPCv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niglagfn001\y9hisas$\Data\DATAFL32\Spreadsheets\DataflexPCv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DOCUME~1\eoidiod\LOCALS~1\Temp\notes4435FB\2006%20Annual%20Expenditure%20Forecast%20-%204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DOCUME~1\eoidiod\LOCALS~1\Temp\notes4435FB\2006%20Annual%20Expenditure%20Forecast%20-%204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ct\ps\Ng_Eiu\0600_Cost_Sch\0699_Other\controls\costreports\EIU%20AFE%20Cost%20Control%2030%20Sept%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ct\ps\Ng_Eiu\0600_Cost_Sch\0699_Other\controls\costreports\EIU%20AFE%20Cost%20Control%2030%20Sept%20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ct\ps\NG_QON_2K2\QFE\0600_Cost_Sch\0605_Cl_V_Est\LEW%20Working%20Files\QGFE%20JAF%20Expenditur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ct\ps\NG_QON_2K2\QFE\0600_Cost_Sch\0605_Cl_V_Est\LEW%20Working%20Files\QGFE%20JAF%20Expenditu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D\Schedule%20Control\1630%20Field%20Control\Report%20to%20Const.%20Dept\Sep.%20'03\Documents%20and%20Settings\06276\My%20Documents\CSPC%20PJ\CATEGORY\1000\TEMPLATE%20EQP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Schedule%20Control\1630%20Field%20Control\Report%20to%20Const.%20Dept\Sep.%20'03\Documents%20and%20Settings\06276\My%20Documents\CSPC%20PJ\CATEGORY\1000\TEMPLATE%20EQ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A\MyDocuments\PROPS%20Monthly%20Report\020521_PROPS%20Monthly%20Report%20Excel%20Time%20lin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A\MyDocuments\PROPS%20Monthly%20Report\020521_PROPS%20Monthly%20Report%20Excel%20Time%20lin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D\Documents%20and%20Settings\p0023392\My%20Documents\Projects\PCO\Estimates\01%20Task%20Orders\0006%20Downstream%20Sector%20Projects\14439%20NRC%204%20-%20Injection%20Pumps%20Sinaiyah\15628011-14439-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Documents%20and%20Settings\p0023392\My%20Documents\Projects\PCO\Estimates\01%20Task%20Orders\0006%20Downstream%20Sector%20Projects\14439%20NRC%204%20-%20Injection%20Pumps%20Sinaiyah\15628011-14439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dop_24PLR\Cost%20Estimates\Cost%20Estimates\Vacation%20Plan\2004%20Planning%20Department%20Vacation%20Pla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dop_24PLR\Cost%20Estimates\Cost%20Estimates\Vacation%20Plan\2004%20Planning%20Department%20Vacation%20Pla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Users\samuelabolade\Desktop\C:\Users\olatunji\Documents\Ariosh%20\Projects\MPN\EAP%20IGE%20Replacement\niglagfn001\y9hisas$\DOCUME~1\jsmodes\LOCALS~1\Temp\notes0944C1\Facility%20Integrity_Input%20Schedule_RSW_rev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Users\olatunji\Documents\Ariosh%20\Projects\MPN\EAP%20IGE%20Replacement\niglagfn001\y9hisas$\DOCUME~1\jsmodes\LOCALS~1\Temp\notes0944C1\Facility%20Integrity_Input%20Schedule_RSW_rev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F\EM\Benchmark%20Files\Current%20Benchmark%20Charts\MPN%20Benchmark%20Cost_Schedule%20Master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F\EM\Benchmark%20Files\Current%20Benchmark%20Charts\MPN%20Benchmark%20Cost_Schedule%20Master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Users\samuelabolade\Desktop\C:\C\D\Documents%20and%20Settings\p0023392\My%20Documents\My%20Projects\PCO\Estimating\01%20Task%20Orders\TO%200014%20Al%20Fathah%20&amp;%20Kirkuk%20Canal%20PL%20Xing\48419%20-%20Al%20Fathah%20River%20Xing\0014-48419-01-03-A.xls?2485B542" TargetMode="External"/><Relationship Id="rId1" Type="http://schemas.openxmlformats.org/officeDocument/2006/relationships/externalLinkPath" Target="file:///\\2485B542\0014-48419-01-03-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D\Documents%20and%20Settings\p0023392\My%20Documents\My%20Projects\PCO\Estimating\01%20Task%20Orders\TO%200014%20Al%20Fathah%20&amp;%20Kirkuk%20Canal%20PL%20Xing\48419%20-%20Al%20Fathah%20River%20Xing\0014-48419-01-03-A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Users\samuelabolade\Desktop\C:\Users\billygraham\Documents\Ariosh\awarded%20projects\Exxon%20RPP\EAP%20Project\Hand%20over%20action%20list\22-12-2017\S:\06700610\310\FFD\Cepu\Cost%20Est%20-%20PDM\LP99-08%20Cepu%20100kbbl%20pls+pump,meter.xls?0A541511" TargetMode="External"/><Relationship Id="rId1" Type="http://schemas.openxmlformats.org/officeDocument/2006/relationships/externalLinkPath" Target="file:///\\0A541511\LP99-08%20Cepu%20100kbbl%20pls+pump,met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kendoan\upstream\projects\OSO%20LP%20A\030829%20Aug%2029\Detailed%20Cost%20Estimate%2029%20Aug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kendoan\upstream\projects\OSO%20LP%20A\030829%20Aug%2029\Detailed%20Cost%20Estimate%2029%20Au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MPN\Org\Planning\DataCenter\NNPC_Budget\2004\NNPC_ProjectCategoryRequest\NNPC_ProjectCategoryRequest_031030_155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MPN\Org\Planning\DataCenter\NNPC_Budget\2004\NNPC_ProjectCategoryRequest\NNPC_ProjectCategoryRequest_031030_155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Mac\Users\samuelabolade\Desktop\Mac\Users\samuelabolade\Desktop\C:\Z\17%20Users\Al%20Salvame\Weekly%20Report\Metrics%20Status5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Z\17%20Users\Al%20Salvame\Weekly%20Report\Metrics%20Status5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S\Etim_Inim_Utue\EIU_Project\0500_Execution\0502%20PEP\!%20EIU%20EPEP%20011218%20Dec%202001%20Rev%20B\EIU%20Cash%20Call%20for%20May%20200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S\Etim_Inim_Utue\EIU_Project\0500_Execution\0502%20PEP\!%20EIU%20EPEP%20011218%20Dec%202001%20Rev%20B\EIU%20Cash%20Call%20for%20May%202001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samuelabolade\Desktop\C:\C\Users\samuelabolade\Library\Containers\com.apple.mail\Data\Library\Mail%20Downloads\69374D24-688F-48A0-A5AB-A62B19841A55\Jc00695\sawamura\DATE%20DOC\PJ%20MONITORING\STD%20DATA\CORRELATION.XLS?FAE06BC3" TargetMode="External"/><Relationship Id="rId1" Type="http://schemas.openxmlformats.org/officeDocument/2006/relationships/externalLinkPath" Target="file:///\\FAE06BC3\CORRELATION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ct\ps\PSS\Cost%20&amp;%20Schedule\Asabo%20Revamp\Asabo\ECP\Current%20Files\Minimal%20Scope%20Option\12_1%20MinOptionCostsRev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ct\ps\PSS\Cost%20&amp;%20Schedule\Asabo%20Revamp\Asabo\ECP\Current%20Files\Minimal%20Scope%20Option\12_1%20MinOptionCostsRev8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C\C\Eugenius%20Pen\Documents\Others%20Important\MPN\Org\Drilling\01000%20-%20Management\1400%20-%20Budget\2003%20P&amp;B%20for%202004\Files\Projects\Nigeria%20Yoho\Economics\0105%20Alternate%20Funding\Model%20v5.00%20Internal%20Yoho%20External%20-%20Jan%202001%20Basis.xls?B76EDE10" TargetMode="External"/><Relationship Id="rId1" Type="http://schemas.openxmlformats.org/officeDocument/2006/relationships/externalLinkPath" Target="file:///\\B76EDE10\Model%20v5.00%20Internal%20Yoho%20External%20-%20Jan%202001%20Basi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stimate%20Methodologies\Gates%201%20&amp;%202%20Estimate%20Methodology\Gates%201%20&amp;%202%20Schedule%20&amp;%20Cost%20Development%20-%202%20Jan%20'0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stimate%20Methodologies\Gates%201%20&amp;%202%20Estimate%20Methodology\Gates%201%20&amp;%202%20Schedule%20&amp;%20Cost%20Development%20-%202%20Jan%20'09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C\Users\samuelabolade\Library\Containers\com.apple.mail\Data\Library\Mail%20Downloads\69374D24-688F-48A0-A5AB-A62B19841A55\niglagfn001\r9colli$\DOCUME~1\r9colli\LOCALS~1\Temp\notes4435FB\CCPRP%20SAIPEM-SPSL%20PROG-%20FEB11.xls?0EB29C01" TargetMode="External"/><Relationship Id="rId1" Type="http://schemas.openxmlformats.org/officeDocument/2006/relationships/externalLinkPath" Target="file:///\\0EB29C01\CCPRP%20SAIPEM-SPSL%20PROG-%20FEB1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MPN\Org\Drilling\01000%20-%20Management\1400%20-%20Budget\2003%20P&amp;B%20for%202004\Planning\2001%20SPBP\NIG%20SPBP%202Augus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MPN\Org\Drilling\01000%20-%20Management\1400%20-%20Budget\2003%20P&amp;B%20for%202004\Planning\2001%20SPBP\NIG%20SPBP%202August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ct\ps\NG_Sat_Dev_Projs\Workroom\Clive%20Duerden\Class%20V%20Estimate\Class%20V%20post%20IPR\Abang%20Class%20V%20Estimate%20Final_Rev%20Escalation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ct\ps\NG_Sat_Dev_Projs\Workroom\Clive%20Duerden\Class%20V%20Estimate\Class%20V%20post%20IPR\Abang%20Class%20V%20Estimate%20Final_Rev%20Escalatio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MPN\Org\Drilling\01000%20-%20Management\1400%20-%20Budget\2003%20P&amp;B%20for%202004\2001%20Works\Model\Yoho\Model%20v5.00%20Internal%20Yoho%20External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MPN\Org\Drilling\01000%20-%20Management\1400%20-%20Budget\2003%20P&amp;B%20for%202004\2001%20Works\Model\Yoho\Model%20v5.00%20Internal%20Yoho%20External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Eugenius%20Pen\Documents\Others%20Important\ct\ps\Ng_Eiu\0600_Cost_Sch\0605_CL_V_Est%20Revise\Revised%20Class%20V%203Q05\PS%20Cost%20Estimating%20Templat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Eugenius%20Pen\Documents\Others%20Important\ct\ps\Ng_Eiu\0600_Cost_Sch\0605_CL_V_Est%20Revise\Revised%20Class%20V%203Q05\PS%20Cost%20Estimating%20Templat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velink.parsons.com/livelink/livelink.exe/ECS-DGS-037_Steel_MTO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Users\samuelabolade\Desktop\C:\Users\olatunji\Documents\Ariosh%20\Projects\MPN\EAP%20IGE%20Replacement\NIGLAGFN001\DOCUME~1\jhenry2\LOCALS~1\Temp\notes3C32E4\May%2003%20Offshore%20Pipelines%202009%20Updat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Users\olatunji\Documents\Ariosh%20\Projects\MPN\EAP%20IGE%20Replacement\NIGLAGFN001\DOCUME~1\jhenry2\LOCALS~1\Temp\notes3C32E4\May%2003%20Offshore%20Pipelines%202009%20Update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C:\Mac\Users\samuelabolade\Desktop\Mac\Users\samuelabolade\Desktop\C:\Users\olatunji\Documents\Ariosh%20\Projects\MPN\EAP%20IGE%20Replacement\NIGLAGFN001\DOCUME~1\jhenry2\LOCALS~1\Temp\notes3C32E4\Apr%2028%20Julia%20Benchmarks.XLS?7E8491F6" TargetMode="External"/><Relationship Id="rId1" Type="http://schemas.openxmlformats.org/officeDocument/2006/relationships/externalLinkPath" Target="file:///\\7E8491F6\Apr%2028%20Julia%20Benchmarks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NIGLAGFN001\DOCUME~1\jhenry2\LOCALS~1\Temp\notes3C32E4\Apr%2028%20Julia%20Benchmark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Documents%20and%20Settings\WB82Exxon02\Local%20Settings\Temporary%20Internet%20Files\Content.IE5\XPJYL3EE\PLATFORMS\PL-CD\DPR's%20Unam%20CD\UNAM%20DPR\Month07-09-20-15-43Timeshee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Documents%20and%20Settings\WB82Exxon02\Local%20Settings\Temporary%20Internet%20Files\Content.IE5\XPJYL3EE\PLATFORMS\PL-CD\DPR's%20Unam%20CD\UNAM%20DPR\Month07-09-20-15-43Timesheet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ct\ps\NG_QON_2K2\QFE\0600_Cost_Sch\0605_Cl_V_Est\Class%20V%20Update\Rev4\Estimate%20Wbk%20v3.1\Est%20Wbk%20v3.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ct\ps\NG_QON_2K2\QFE\0600_Cost_Sch\0605_Cl_V_Est\Class%20V%20Update\Rev4\Estimate%20Wbk%20v3.1\Est%20Wbk%20v3.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Users\samuelabolade\Desktop\C:\C\C\Nigeria%20Projects%20Organization\Pipelines%20Estimates%20and%20Comments\Pipeline%20Repairs\Edop%20QP%20to%20QD%20Pl%20Damage%20&amp;%20QD%20GL%20+%20GI\Edop%20QP%20PL%20Damage%20&amp;%20QD%20GI%20&amp;%20GL%20Summary%2023%20Feb%20'0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C:\C\C\Nigeria%20Projects%20Organization\Pipelines%20Estimates%20and%20Comments\Pipeline%20Repairs\Edop%20QP%20to%20QD%20Pl%20Damage%20&amp;%20QD%20GL%20+%20GI\Edop%20QP%20PL%20Damage%20&amp;%20QD%20GI%20&amp;%20GL%20Summary%2023%20Feb%20'09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Mac\Users\samuelabolade\Desktop\Mac\Users\samuelabolade\Desktop\C:\Users\olatunji\Documents\Ariosh%20\Projects\MPN\EAP%20IGE%20Replacement\niglagfn001\y9hisas$\DOCUME~1\cdmiddl\LOCALS~1\Temp\notes4435FB\NCC%202005%20vs%20CP04.xls?D9F528D9" TargetMode="External"/><Relationship Id="rId1" Type="http://schemas.openxmlformats.org/officeDocument/2006/relationships/externalLinkPath" Target="file:///\\D9F528D9\NCC%202005%20vs%20CP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muelabolade\Desktop\Mac\Users\samuelabolade\Desktop\C:\Users\olatunji\Documents\Ariosh%20\Projects\MPN\EAP%20IGE%20Replacement\niglagfn001\y9hisas$\DOCUME~1\cdmiddl\LOCALS~1\Temp\notes4435FB\NCC%202005%20vs%20CP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F"/>
      <sheetName val="7200 Offsite Stg"/>
      <sheetName val="Manpower"/>
      <sheetName val="Pipe Sta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F"/>
      <sheetName val="7200 Offsite Stg"/>
      <sheetName val="Manpower"/>
      <sheetName val="Pipe Sta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ation Cas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ation Case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setup"/>
      <sheetName val="Summary Results"/>
      <sheetName val="P&amp;B Summary"/>
      <sheetName val="Sensitivities"/>
      <sheetName val="Cashflow Analysis"/>
      <sheetName val="Book Earnings and ROCE"/>
      <sheetName val="Cashflow and Earnings Profile"/>
      <sheetName val="Inflation"/>
      <sheetName val="Prices"/>
      <sheetName val="Block 316  12-2-96"/>
      <sheetName val="Block 212  8-22-96"/>
      <sheetName val="Govt Take"/>
      <sheetName val="Drilling"/>
      <sheetName val="Transportation"/>
      <sheetName val="Exxon Cashflow"/>
      <sheetName val="Social Cashflow"/>
      <sheetName val="PPT graphic"/>
      <sheetName val="Schedules"/>
      <sheetName val="Data initialization"/>
      <sheetName val="Book calculations"/>
      <sheetName val="Block 212  5-15-96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  <sheetName val="Overall Phasing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FWBSB000"/>
      <sheetName val="WPSUM_"/>
      <sheetName val="MP_GRAPH"/>
      <sheetName val="PG_GRAPH"/>
      <sheetName val="PG_GRAPH-2"/>
      <sheetName val="Overall_Phasing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setup"/>
      <sheetName val="Summary Results"/>
      <sheetName val="P&amp;B Summary"/>
      <sheetName val="Sensitivities"/>
      <sheetName val="Cashflow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lendar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lendar"/>
      <sheetName val="2004 Planning Department Vacati"/>
      <sheetName val="Reconciliation"/>
      <sheetName val="Comparison"/>
      <sheetName val="Sheet1"/>
      <sheetName val="Master AFE"/>
      <sheetName val="#REF"/>
      <sheetName val="Props Monthly"/>
      <sheetName val="RX"/>
      <sheetName val="Cost Curv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FE Supplements"/>
      <sheetName val="MOC#12"/>
      <sheetName val="FTECharts"/>
      <sheetName val="Report Summary(2)"/>
      <sheetName val="Control Document"/>
      <sheetName val="Definitions"/>
      <sheetName val="MOC Log"/>
      <sheetName val="Fcst Recon"/>
      <sheetName val="VR DD"/>
      <sheetName val="VR OC"/>
      <sheetName val="VR EPC"/>
      <sheetName val="VR OPS"/>
      <sheetName val="VR 3X&amp;6X"/>
      <sheetName val="Cost Summary"/>
      <sheetName val="Exp-Profile(1)"/>
      <sheetName val="Sheet6"/>
      <sheetName val="Case(all)"/>
      <sheetName val="BaseCase"/>
      <sheetName val="AltBaseCase1"/>
      <sheetName val="AltBaseCase2"/>
      <sheetName val="AltBaseCas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 RATE"/>
      <sheetName val="ALLOWANCE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 RATE"/>
      <sheetName val="ALLOWANCE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R Input"/>
      <sheetName val="AOR Base Parameters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OR Input"/>
      <sheetName val="AOR Base Parameters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REPORT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REPOR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"/>
      <sheetName val="MH RATE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flexPCv8"/>
    </sheetNames>
    <definedNames>
      <definedName name="Main.DfxpcHook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flexPCv8"/>
    </sheetNames>
    <definedNames>
      <definedName name="Main.DfxpcHook"/>
    </defined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 Costs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 Costs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F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F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$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$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 List"/>
      <sheetName val="Reactors"/>
      <sheetName val="Towers"/>
      <sheetName val="Drum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 List"/>
      <sheetName val="Reactors"/>
      <sheetName val="Towers"/>
      <sheetName val="Drum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s Monthly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s Monthly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lendar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Calendar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ility Integrity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ility Integrity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X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X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ing_Summary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ing_Summary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urve 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urve 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L OPEX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L OPEX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ipe spools"/>
      <sheetName val="Metrics Deck Process Summary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ipe spools"/>
      <sheetName val="Metrics Deck Process Summary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FWBSB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Equip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Equip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grated Output"/>
      <sheetName val="NGL Base"/>
      <sheetName val="NGL Carry"/>
      <sheetName val="Oil Base Input"/>
      <sheetName val="Oil Parameters"/>
      <sheetName val="Oil Base Model"/>
      <sheetName val="Oil Base Output"/>
      <sheetName val="Oil Carry Calculations"/>
      <sheetName val="Oil Carry Model"/>
      <sheetName val="Oil Carry Output"/>
      <sheetName val="Reservoir Summary Data"/>
      <sheetName val="Vivaldi Hub 1.3 tcf"/>
      <sheetName val="crewb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ipe Lay &lt; 40 km - km Basis"/>
      <sheetName val="Pipe Lay &gt; 40 Km - in km basis"/>
      <sheetName val="Down Time Summary + Cost Dist"/>
      <sheetName val="Durations for TS Activities"/>
      <sheetName val="Shut Down Description"/>
      <sheetName val="Shut Down Concept Dev"/>
      <sheetName val="Shut Down Schedule Basis"/>
      <sheetName val="Level 3 Shut Down Logic (Typ) "/>
      <sheetName val="Target Vessel Durations"/>
      <sheetName val="Cover Sheet"/>
      <sheetName val="Fabrication Durations Chart"/>
      <sheetName val="Feed and Engineering Durations"/>
      <sheetName val="Cost Development Work Sheet"/>
      <sheetName val="Cost of Standby Time"/>
      <sheetName val=" Staff Matrix Large EPCM Proj"/>
      <sheetName val=" Staff Matrix Large SA Proj"/>
      <sheetName val="Small &amp; Medium Projects"/>
      <sheetName val="Weighted Contingency Workup"/>
      <sheetName val="Contents"/>
      <sheetName val="Gates 1 &amp; 2 Responsibilities"/>
      <sheetName val="Gates 1 &amp; 2 Methodology"/>
      <sheetName val="Project Level 1 Schedule"/>
      <sheetName val="Integrated Offshore Schedule"/>
      <sheetName val="Schedule Development Work Sheet"/>
      <sheetName val="Durations forSubsea Activiti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ipe Lay &lt; 40 km - km Basis"/>
      <sheetName val="Pipe Lay &gt; 40 Km - in km basis"/>
      <sheetName val="Down Time Summary + Cost Dist"/>
      <sheetName val="Durations for TS Activities"/>
      <sheetName val="Shut Down Description"/>
      <sheetName val="Shut Down Concept Dev"/>
      <sheetName val="Shut Down Schedule Basis"/>
      <sheetName val="Level 3 Shut Down Logic (Typ) "/>
      <sheetName val="Target Vessel Durations"/>
      <sheetName val="Cover Sheet"/>
      <sheetName val="Fabrication Durations Chart"/>
      <sheetName val="Feed and Engineering Durations"/>
      <sheetName val="Cost Development Work Sheet"/>
      <sheetName val="Cost of Standby Time"/>
      <sheetName val=" Staff Matrix Large EPCM Proj"/>
      <sheetName val=" Staff Matrix Large SA Proj"/>
      <sheetName val="Small &amp; Medium Projects"/>
      <sheetName val="Weighted Contingency Workup"/>
      <sheetName val="Contents"/>
      <sheetName val="Gates 1 &amp; 2 Responsibilities"/>
      <sheetName val="Gates 1 &amp; 2 Methodology"/>
      <sheetName val="Project Level 1 Schedule"/>
      <sheetName val="Integrated Offshore Schedule"/>
      <sheetName val="Schedule Development Work Sheet"/>
      <sheetName val="Durations forSubsea Activiti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ATION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Business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Business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ang_65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ang_65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Parameters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Parameters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Estimate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Estimate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TEELMTO"/>
    </sheetNames>
    <sheetDataSet>
      <sheetData sheetId="0" refreshError="1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SchOffshorePipeline2008Hist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SchOffshorePipeline2008Hist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SchSURF 2008 History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SchSURF 2008 History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TimeCardHours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TimeCardHours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ltData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ltData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ather &amp; NPT Application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ather &amp; NPT Application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86C2-EFA1-41BF-B5DC-D4677F922F15}">
  <sheetPr>
    <pageSetUpPr fitToPage="1"/>
  </sheetPr>
  <dimension ref="B2:GC46"/>
  <sheetViews>
    <sheetView showGridLines="0" tabSelected="1" topLeftCell="C1" zoomScale="80" zoomScaleNormal="80" zoomScaleSheetLayoutView="119" workbookViewId="0">
      <pane xSplit="8" ySplit="5" topLeftCell="K6" activePane="bottomRight" state="frozen"/>
      <selection pane="bottomRight" activeCell="I24" sqref="I24"/>
      <selection pane="bottomLeft" activeCell="C6" sqref="C6"/>
      <selection pane="topRight" activeCell="K1" sqref="K1"/>
    </sheetView>
  </sheetViews>
  <sheetFormatPr defaultColWidth="8.85546875" defaultRowHeight="12.6" outlineLevelRow="1" outlineLevelCol="2"/>
  <cols>
    <col min="1" max="1" width="1.28515625" style="9" customWidth="1"/>
    <col min="2" max="2" width="0.28515625" style="9" customWidth="1"/>
    <col min="3" max="3" width="46" style="39" customWidth="1"/>
    <col min="4" max="4" width="11.5703125" style="39" customWidth="1"/>
    <col min="5" max="6" width="11.7109375" style="16" customWidth="1"/>
    <col min="7" max="7" width="6.42578125" style="16" customWidth="1"/>
    <col min="8" max="9" width="11.7109375" style="16" customWidth="1"/>
    <col min="10" max="10" width="10.7109375" style="16" customWidth="1"/>
    <col min="11" max="14" width="5.140625" style="9" customWidth="1" outlineLevel="1"/>
    <col min="15" max="15" width="5.140625" style="9" customWidth="1"/>
    <col min="16" max="22" width="5.140625" style="9" customWidth="1" outlineLevel="1"/>
    <col min="23" max="23" width="5.140625" style="9" customWidth="1"/>
    <col min="24" max="29" width="5.140625" style="9" customWidth="1" outlineLevel="1"/>
    <col min="30" max="30" width="5.140625" style="9" customWidth="1"/>
    <col min="31" max="36" width="5.140625" style="9" customWidth="1" outlineLevel="1"/>
    <col min="37" max="37" width="5.140625" style="9" customWidth="1"/>
    <col min="38" max="43" width="5.140625" style="9" customWidth="1" outlineLevel="1"/>
    <col min="44" max="44" width="5.140625" style="9" customWidth="1"/>
    <col min="45" max="50" width="5.140625" style="9" hidden="1" customWidth="1" outlineLevel="2"/>
    <col min="51" max="51" width="5.140625" style="9" customWidth="1" collapsed="1"/>
    <col min="52" max="57" width="5.140625" style="9" customWidth="1" outlineLevel="1"/>
    <col min="58" max="58" width="5.140625" style="9" customWidth="1"/>
    <col min="59" max="64" width="5.140625" style="9" customWidth="1" outlineLevel="1"/>
    <col min="65" max="65" width="5.140625" style="9" customWidth="1"/>
    <col min="66" max="71" width="5.140625" style="9" customWidth="1" outlineLevel="1"/>
    <col min="72" max="72" width="5.140625" style="9" customWidth="1"/>
    <col min="73" max="78" width="5.140625" style="9" customWidth="1" outlineLevel="1"/>
    <col min="79" max="79" width="5.140625" style="9" customWidth="1"/>
    <col min="80" max="85" width="5.140625" style="9" customWidth="1" outlineLevel="1"/>
    <col min="86" max="86" width="5.140625" style="9" customWidth="1"/>
    <col min="87" max="92" width="5.140625" style="9" customWidth="1" outlineLevel="1"/>
    <col min="93" max="93" width="5.140625" style="9" customWidth="1"/>
    <col min="94" max="99" width="5.140625" style="9" customWidth="1" outlineLevel="1"/>
    <col min="100" max="100" width="5.140625" style="9" customWidth="1"/>
    <col min="101" max="106" width="5.140625" style="9" customWidth="1" outlineLevel="1"/>
    <col min="107" max="107" width="5.140625" style="9" customWidth="1"/>
    <col min="108" max="113" width="5.140625" style="9" customWidth="1" outlineLevel="1"/>
    <col min="114" max="114" width="5.140625" style="9" customWidth="1"/>
    <col min="115" max="120" width="5.140625" style="9" customWidth="1" outlineLevel="1"/>
    <col min="121" max="121" width="5.140625" style="9" customWidth="1"/>
    <col min="122" max="127" width="5.140625" style="9" customWidth="1" outlineLevel="1"/>
    <col min="128" max="128" width="5.140625" style="9" customWidth="1"/>
    <col min="129" max="134" width="5.140625" style="9" customWidth="1" outlineLevel="1"/>
    <col min="135" max="135" width="5.140625" style="9" customWidth="1"/>
    <col min="136" max="141" width="5.140625" style="9" customWidth="1" outlineLevel="1"/>
    <col min="142" max="142" width="5.140625" style="9" customWidth="1"/>
    <col min="143" max="148" width="5.140625" style="9" customWidth="1" outlineLevel="1"/>
    <col min="149" max="149" width="5.140625" style="9" customWidth="1"/>
    <col min="150" max="150" width="5.140625" style="9" customWidth="1" outlineLevel="1"/>
    <col min="151" max="156" width="5.140625" style="9" customWidth="1" outlineLevel="1" collapsed="1"/>
    <col min="157" max="157" width="5.140625" style="9" customWidth="1"/>
    <col min="158" max="163" width="5.140625" style="9" customWidth="1" outlineLevel="1" collapsed="1"/>
    <col min="164" max="164" width="5.140625" style="9" customWidth="1"/>
    <col min="165" max="170" width="7.28515625" style="9" customWidth="1" outlineLevel="1" collapsed="1"/>
    <col min="171" max="171" width="7.28515625" style="9" hidden="1" customWidth="1"/>
    <col min="172" max="177" width="7.28515625" style="9" customWidth="1" outlineLevel="1" collapsed="1"/>
    <col min="178" max="178" width="7.28515625" style="9" hidden="1" customWidth="1"/>
    <col min="179" max="184" width="7.28515625" style="9" customWidth="1" outlineLevel="1" collapsed="1"/>
    <col min="185" max="185" width="7.28515625" style="9" hidden="1" customWidth="1"/>
    <col min="186" max="16384" width="8.85546875" style="9"/>
  </cols>
  <sheetData>
    <row r="2" spans="2:185" s="43" customFormat="1" ht="29.1" customHeight="1">
      <c r="B2" s="41"/>
      <c r="C2" s="42" t="s">
        <v>0</v>
      </c>
      <c r="D2" s="42"/>
      <c r="E2" s="64"/>
      <c r="F2" s="64"/>
      <c r="G2" s="64"/>
      <c r="H2" s="52">
        <f ca="1">TODAY()</f>
        <v>45352</v>
      </c>
      <c r="I2" s="53"/>
      <c r="J2" s="53"/>
      <c r="K2" s="53"/>
      <c r="L2" s="53"/>
      <c r="M2" s="53"/>
      <c r="N2" s="53"/>
      <c r="O2" s="53"/>
      <c r="P2" s="53"/>
    </row>
    <row r="3" spans="2:185" s="2" customFormat="1" ht="12.75" customHeight="1" thickBot="1">
      <c r="B3" s="1"/>
      <c r="C3" s="3"/>
      <c r="D3" s="4"/>
      <c r="E3" s="5"/>
      <c r="F3" s="5"/>
      <c r="G3" s="5"/>
      <c r="H3" s="6"/>
      <c r="I3" s="6"/>
      <c r="J3" s="6"/>
      <c r="K3" s="6"/>
      <c r="L3" s="6"/>
      <c r="M3" s="6"/>
      <c r="N3" s="4"/>
      <c r="O3" s="5"/>
      <c r="P3" s="6"/>
    </row>
    <row r="4" spans="2:185" ht="12.95">
      <c r="B4" s="54"/>
      <c r="C4" s="56" t="s">
        <v>1</v>
      </c>
      <c r="D4" s="58" t="s">
        <v>2</v>
      </c>
      <c r="E4" s="60" t="s">
        <v>3</v>
      </c>
      <c r="F4" s="58"/>
      <c r="G4" s="58"/>
      <c r="H4" s="58" t="s">
        <v>4</v>
      </c>
      <c r="I4" s="61"/>
      <c r="J4" s="62" t="s">
        <v>5</v>
      </c>
      <c r="K4" s="7" t="str">
        <f>LEFT(TEXT(K5,"ddd"),3)</f>
        <v>Mon</v>
      </c>
      <c r="L4" s="7" t="str">
        <f t="shared" ref="L4:BW4" si="0">LEFT(TEXT(L5,"ddd"),3)</f>
        <v>Tue</v>
      </c>
      <c r="M4" s="7" t="str">
        <f t="shared" si="0"/>
        <v>Wed</v>
      </c>
      <c r="N4" s="7" t="str">
        <f t="shared" si="0"/>
        <v>Thu</v>
      </c>
      <c r="O4" s="7" t="str">
        <f t="shared" si="0"/>
        <v>Fri</v>
      </c>
      <c r="P4" s="7" t="str">
        <f t="shared" si="0"/>
        <v>Sat</v>
      </c>
      <c r="Q4" s="7" t="str">
        <f t="shared" si="0"/>
        <v>Sun</v>
      </c>
      <c r="R4" s="7" t="str">
        <f t="shared" si="0"/>
        <v>Mon</v>
      </c>
      <c r="S4" s="7" t="str">
        <f t="shared" si="0"/>
        <v>Tue</v>
      </c>
      <c r="T4" s="7" t="str">
        <f t="shared" si="0"/>
        <v>Wed</v>
      </c>
      <c r="U4" s="7" t="str">
        <f t="shared" si="0"/>
        <v>Thu</v>
      </c>
      <c r="V4" s="7" t="str">
        <f t="shared" si="0"/>
        <v>Fri</v>
      </c>
      <c r="W4" s="7" t="str">
        <f t="shared" si="0"/>
        <v>Sat</v>
      </c>
      <c r="X4" s="7" t="str">
        <f t="shared" si="0"/>
        <v>Sun</v>
      </c>
      <c r="Y4" s="7" t="str">
        <f t="shared" si="0"/>
        <v>Mon</v>
      </c>
      <c r="Z4" s="7" t="str">
        <f t="shared" si="0"/>
        <v>Tue</v>
      </c>
      <c r="AA4" s="7" t="str">
        <f t="shared" si="0"/>
        <v>Wed</v>
      </c>
      <c r="AB4" s="7" t="str">
        <f t="shared" si="0"/>
        <v>Thu</v>
      </c>
      <c r="AC4" s="7" t="str">
        <f t="shared" si="0"/>
        <v>Fri</v>
      </c>
      <c r="AD4" s="7" t="str">
        <f t="shared" si="0"/>
        <v>Sat</v>
      </c>
      <c r="AE4" s="7" t="str">
        <f t="shared" si="0"/>
        <v>Sun</v>
      </c>
      <c r="AF4" s="7" t="str">
        <f t="shared" si="0"/>
        <v>Mon</v>
      </c>
      <c r="AG4" s="7" t="str">
        <f t="shared" si="0"/>
        <v>Tue</v>
      </c>
      <c r="AH4" s="7" t="str">
        <f t="shared" si="0"/>
        <v>Wed</v>
      </c>
      <c r="AI4" s="7" t="str">
        <f t="shared" si="0"/>
        <v>Thu</v>
      </c>
      <c r="AJ4" s="7" t="str">
        <f t="shared" si="0"/>
        <v>Fri</v>
      </c>
      <c r="AK4" s="7" t="str">
        <f t="shared" si="0"/>
        <v>Sat</v>
      </c>
      <c r="AL4" s="7" t="str">
        <f t="shared" si="0"/>
        <v>Sun</v>
      </c>
      <c r="AM4" s="7" t="str">
        <f t="shared" si="0"/>
        <v>Mon</v>
      </c>
      <c r="AN4" s="7" t="str">
        <f t="shared" si="0"/>
        <v>Tue</v>
      </c>
      <c r="AO4" s="7" t="str">
        <f t="shared" si="0"/>
        <v>Wed</v>
      </c>
      <c r="AP4" s="7" t="str">
        <f t="shared" si="0"/>
        <v>Thu</v>
      </c>
      <c r="AQ4" s="7" t="str">
        <f t="shared" si="0"/>
        <v>Fri</v>
      </c>
      <c r="AR4" s="7" t="str">
        <f t="shared" si="0"/>
        <v>Sat</v>
      </c>
      <c r="AS4" s="7" t="str">
        <f t="shared" si="0"/>
        <v>Sun</v>
      </c>
      <c r="AT4" s="7" t="str">
        <f t="shared" si="0"/>
        <v>Mon</v>
      </c>
      <c r="AU4" s="7" t="str">
        <f t="shared" si="0"/>
        <v>Tue</v>
      </c>
      <c r="AV4" s="7" t="str">
        <f t="shared" si="0"/>
        <v>Wed</v>
      </c>
      <c r="AW4" s="7" t="str">
        <f t="shared" si="0"/>
        <v>Thu</v>
      </c>
      <c r="AX4" s="7" t="str">
        <f t="shared" si="0"/>
        <v>Fri</v>
      </c>
      <c r="AY4" s="7" t="str">
        <f t="shared" si="0"/>
        <v>Sat</v>
      </c>
      <c r="AZ4" s="7" t="str">
        <f t="shared" si="0"/>
        <v>Sun</v>
      </c>
      <c r="BA4" s="7" t="str">
        <f t="shared" si="0"/>
        <v>Mon</v>
      </c>
      <c r="BB4" s="7" t="str">
        <f t="shared" si="0"/>
        <v>Tue</v>
      </c>
      <c r="BC4" s="7" t="str">
        <f t="shared" si="0"/>
        <v>Wed</v>
      </c>
      <c r="BD4" s="7" t="str">
        <f t="shared" si="0"/>
        <v>Thu</v>
      </c>
      <c r="BE4" s="7" t="str">
        <f t="shared" si="0"/>
        <v>Fri</v>
      </c>
      <c r="BF4" s="7" t="str">
        <f t="shared" si="0"/>
        <v>Sat</v>
      </c>
      <c r="BG4" s="7" t="str">
        <f t="shared" si="0"/>
        <v>Sun</v>
      </c>
      <c r="BH4" s="7" t="str">
        <f t="shared" si="0"/>
        <v>Mon</v>
      </c>
      <c r="BI4" s="7" t="str">
        <f t="shared" si="0"/>
        <v>Tue</v>
      </c>
      <c r="BJ4" s="7" t="str">
        <f t="shared" si="0"/>
        <v>Wed</v>
      </c>
      <c r="BK4" s="7" t="str">
        <f t="shared" si="0"/>
        <v>Thu</v>
      </c>
      <c r="BL4" s="7" t="str">
        <f t="shared" si="0"/>
        <v>Fri</v>
      </c>
      <c r="BM4" s="7" t="str">
        <f t="shared" si="0"/>
        <v>Sat</v>
      </c>
      <c r="BN4" s="7" t="str">
        <f t="shared" si="0"/>
        <v>Sun</v>
      </c>
      <c r="BO4" s="7" t="str">
        <f t="shared" si="0"/>
        <v>Mon</v>
      </c>
      <c r="BP4" s="7" t="str">
        <f t="shared" si="0"/>
        <v>Tue</v>
      </c>
      <c r="BQ4" s="7" t="str">
        <f t="shared" si="0"/>
        <v>Wed</v>
      </c>
      <c r="BR4" s="7" t="str">
        <f t="shared" si="0"/>
        <v>Thu</v>
      </c>
      <c r="BS4" s="7" t="str">
        <f t="shared" si="0"/>
        <v>Fri</v>
      </c>
      <c r="BT4" s="7" t="str">
        <f t="shared" si="0"/>
        <v>Sat</v>
      </c>
      <c r="BU4" s="7" t="str">
        <f t="shared" si="0"/>
        <v>Sun</v>
      </c>
      <c r="BV4" s="7" t="str">
        <f t="shared" si="0"/>
        <v>Mon</v>
      </c>
      <c r="BW4" s="7" t="str">
        <f t="shared" si="0"/>
        <v>Tue</v>
      </c>
      <c r="BX4" s="7" t="str">
        <f t="shared" ref="BX4:EI4" si="1">LEFT(TEXT(BX5,"ddd"),3)</f>
        <v>Wed</v>
      </c>
      <c r="BY4" s="7" t="str">
        <f t="shared" si="1"/>
        <v>Thu</v>
      </c>
      <c r="BZ4" s="7" t="str">
        <f t="shared" si="1"/>
        <v>Fri</v>
      </c>
      <c r="CA4" s="7" t="str">
        <f t="shared" si="1"/>
        <v>Sat</v>
      </c>
      <c r="CB4" s="7" t="str">
        <f t="shared" si="1"/>
        <v>Sun</v>
      </c>
      <c r="CC4" s="7" t="str">
        <f t="shared" si="1"/>
        <v>Mon</v>
      </c>
      <c r="CD4" s="7" t="str">
        <f t="shared" si="1"/>
        <v>Tue</v>
      </c>
      <c r="CE4" s="7" t="str">
        <f t="shared" si="1"/>
        <v>Wed</v>
      </c>
      <c r="CF4" s="7" t="str">
        <f t="shared" si="1"/>
        <v>Thu</v>
      </c>
      <c r="CG4" s="7" t="str">
        <f t="shared" si="1"/>
        <v>Fri</v>
      </c>
      <c r="CH4" s="7" t="str">
        <f t="shared" si="1"/>
        <v>Sat</v>
      </c>
      <c r="CI4" s="7" t="str">
        <f t="shared" si="1"/>
        <v>Sun</v>
      </c>
      <c r="CJ4" s="7" t="str">
        <f t="shared" si="1"/>
        <v>Mon</v>
      </c>
      <c r="CK4" s="7" t="str">
        <f t="shared" si="1"/>
        <v>Tue</v>
      </c>
      <c r="CL4" s="7" t="str">
        <f t="shared" si="1"/>
        <v>Wed</v>
      </c>
      <c r="CM4" s="7" t="str">
        <f t="shared" si="1"/>
        <v>Thu</v>
      </c>
      <c r="CN4" s="7" t="str">
        <f t="shared" si="1"/>
        <v>Fri</v>
      </c>
      <c r="CO4" s="7" t="str">
        <f t="shared" si="1"/>
        <v>Sat</v>
      </c>
      <c r="CP4" s="7" t="str">
        <f t="shared" si="1"/>
        <v>Sun</v>
      </c>
      <c r="CQ4" s="7" t="str">
        <f t="shared" si="1"/>
        <v>Mon</v>
      </c>
      <c r="CR4" s="7" t="str">
        <f t="shared" si="1"/>
        <v>Tue</v>
      </c>
      <c r="CS4" s="7" t="str">
        <f t="shared" si="1"/>
        <v>Wed</v>
      </c>
      <c r="CT4" s="7" t="str">
        <f t="shared" si="1"/>
        <v>Thu</v>
      </c>
      <c r="CU4" s="7" t="str">
        <f t="shared" si="1"/>
        <v>Fri</v>
      </c>
      <c r="CV4" s="7" t="str">
        <f t="shared" si="1"/>
        <v>Sat</v>
      </c>
      <c r="CW4" s="7" t="str">
        <f t="shared" si="1"/>
        <v>Sun</v>
      </c>
      <c r="CX4" s="7" t="str">
        <f t="shared" si="1"/>
        <v>Mon</v>
      </c>
      <c r="CY4" s="7" t="str">
        <f t="shared" si="1"/>
        <v>Tue</v>
      </c>
      <c r="CZ4" s="7" t="str">
        <f t="shared" si="1"/>
        <v>Wed</v>
      </c>
      <c r="DA4" s="7" t="str">
        <f t="shared" si="1"/>
        <v>Thu</v>
      </c>
      <c r="DB4" s="7" t="str">
        <f t="shared" si="1"/>
        <v>Fri</v>
      </c>
      <c r="DC4" s="7" t="str">
        <f t="shared" si="1"/>
        <v>Sat</v>
      </c>
      <c r="DD4" s="7" t="str">
        <f t="shared" si="1"/>
        <v>Sun</v>
      </c>
      <c r="DE4" s="7" t="str">
        <f t="shared" si="1"/>
        <v>Mon</v>
      </c>
      <c r="DF4" s="7" t="str">
        <f t="shared" si="1"/>
        <v>Tue</v>
      </c>
      <c r="DG4" s="7" t="str">
        <f t="shared" si="1"/>
        <v>Wed</v>
      </c>
      <c r="DH4" s="7" t="str">
        <f t="shared" si="1"/>
        <v>Thu</v>
      </c>
      <c r="DI4" s="7" t="str">
        <f t="shared" si="1"/>
        <v>Fri</v>
      </c>
      <c r="DJ4" s="7" t="str">
        <f t="shared" si="1"/>
        <v>Sat</v>
      </c>
      <c r="DK4" s="7" t="str">
        <f t="shared" si="1"/>
        <v>Sun</v>
      </c>
      <c r="DL4" s="7" t="str">
        <f t="shared" si="1"/>
        <v>Mon</v>
      </c>
      <c r="DM4" s="7" t="str">
        <f t="shared" si="1"/>
        <v>Tue</v>
      </c>
      <c r="DN4" s="7" t="str">
        <f t="shared" si="1"/>
        <v>Wed</v>
      </c>
      <c r="DO4" s="7" t="str">
        <f t="shared" si="1"/>
        <v>Thu</v>
      </c>
      <c r="DP4" s="7" t="str">
        <f t="shared" si="1"/>
        <v>Fri</v>
      </c>
      <c r="DQ4" s="7" t="str">
        <f t="shared" si="1"/>
        <v>Sat</v>
      </c>
      <c r="DR4" s="7" t="str">
        <f t="shared" si="1"/>
        <v>Sun</v>
      </c>
      <c r="DS4" s="7" t="str">
        <f t="shared" si="1"/>
        <v>Mon</v>
      </c>
      <c r="DT4" s="7" t="str">
        <f t="shared" si="1"/>
        <v>Tue</v>
      </c>
      <c r="DU4" s="7" t="str">
        <f t="shared" si="1"/>
        <v>Wed</v>
      </c>
      <c r="DV4" s="7" t="str">
        <f t="shared" si="1"/>
        <v>Thu</v>
      </c>
      <c r="DW4" s="7" t="str">
        <f t="shared" si="1"/>
        <v>Fri</v>
      </c>
      <c r="DX4" s="7" t="str">
        <f t="shared" si="1"/>
        <v>Sat</v>
      </c>
      <c r="DY4" s="7" t="str">
        <f t="shared" si="1"/>
        <v>Sun</v>
      </c>
      <c r="DZ4" s="7" t="str">
        <f t="shared" si="1"/>
        <v>Mon</v>
      </c>
      <c r="EA4" s="7" t="str">
        <f t="shared" si="1"/>
        <v>Tue</v>
      </c>
      <c r="EB4" s="7" t="str">
        <f t="shared" si="1"/>
        <v>Wed</v>
      </c>
      <c r="EC4" s="7" t="str">
        <f t="shared" si="1"/>
        <v>Thu</v>
      </c>
      <c r="ED4" s="7" t="str">
        <f t="shared" si="1"/>
        <v>Fri</v>
      </c>
      <c r="EE4" s="7" t="str">
        <f t="shared" si="1"/>
        <v>Sat</v>
      </c>
      <c r="EF4" s="7" t="str">
        <f t="shared" si="1"/>
        <v>Sun</v>
      </c>
      <c r="EG4" s="7" t="str">
        <f t="shared" si="1"/>
        <v>Mon</v>
      </c>
      <c r="EH4" s="7" t="str">
        <f t="shared" si="1"/>
        <v>Tue</v>
      </c>
      <c r="EI4" s="7" t="str">
        <f t="shared" si="1"/>
        <v>Wed</v>
      </c>
      <c r="EJ4" s="7" t="str">
        <f t="shared" ref="EJ4:FH4" si="2">LEFT(TEXT(EJ5,"ddd"),3)</f>
        <v>Thu</v>
      </c>
      <c r="EK4" s="7" t="str">
        <f t="shared" si="2"/>
        <v>Fri</v>
      </c>
      <c r="EL4" s="7" t="str">
        <f t="shared" si="2"/>
        <v>Sat</v>
      </c>
      <c r="EM4" s="7" t="str">
        <f t="shared" si="2"/>
        <v>Sun</v>
      </c>
      <c r="EN4" s="7" t="str">
        <f t="shared" si="2"/>
        <v>Mon</v>
      </c>
      <c r="EO4" s="7" t="str">
        <f t="shared" si="2"/>
        <v>Tue</v>
      </c>
      <c r="EP4" s="7" t="str">
        <f t="shared" si="2"/>
        <v>Wed</v>
      </c>
      <c r="EQ4" s="7" t="str">
        <f t="shared" si="2"/>
        <v>Thu</v>
      </c>
      <c r="ER4" s="7" t="str">
        <f t="shared" si="2"/>
        <v>Fri</v>
      </c>
      <c r="ES4" s="7" t="str">
        <f t="shared" si="2"/>
        <v>Sat</v>
      </c>
      <c r="ET4" s="7" t="str">
        <f t="shared" si="2"/>
        <v>Sun</v>
      </c>
      <c r="EU4" s="7" t="str">
        <f t="shared" si="2"/>
        <v>Mon</v>
      </c>
      <c r="EV4" s="7" t="str">
        <f t="shared" si="2"/>
        <v>Tue</v>
      </c>
      <c r="EW4" s="7" t="str">
        <f t="shared" si="2"/>
        <v>Wed</v>
      </c>
      <c r="EX4" s="7" t="str">
        <f t="shared" si="2"/>
        <v>Thu</v>
      </c>
      <c r="EY4" s="7" t="str">
        <f t="shared" si="2"/>
        <v>Fri</v>
      </c>
      <c r="EZ4" s="7" t="str">
        <f t="shared" si="2"/>
        <v>Sat</v>
      </c>
      <c r="FA4" s="7" t="str">
        <f t="shared" si="2"/>
        <v>Sun</v>
      </c>
      <c r="FB4" s="7" t="str">
        <f t="shared" si="2"/>
        <v>Mon</v>
      </c>
      <c r="FC4" s="7" t="str">
        <f t="shared" si="2"/>
        <v>Tue</v>
      </c>
      <c r="FD4" s="7" t="str">
        <f t="shared" si="2"/>
        <v>Wed</v>
      </c>
      <c r="FE4" s="7" t="str">
        <f t="shared" si="2"/>
        <v>Thu</v>
      </c>
      <c r="FF4" s="7" t="str">
        <f t="shared" si="2"/>
        <v>Fri</v>
      </c>
      <c r="FG4" s="7" t="str">
        <f t="shared" si="2"/>
        <v>Sat</v>
      </c>
      <c r="FH4" s="7" t="str">
        <f t="shared" si="2"/>
        <v>Sun</v>
      </c>
      <c r="FI4" s="8" t="s">
        <v>6</v>
      </c>
      <c r="FJ4" s="8" t="s">
        <v>7</v>
      </c>
      <c r="FK4" s="8" t="s">
        <v>8</v>
      </c>
      <c r="FL4" s="8" t="s">
        <v>9</v>
      </c>
      <c r="FM4" s="8" t="s">
        <v>10</v>
      </c>
      <c r="FN4" s="8" t="s">
        <v>11</v>
      </c>
      <c r="FO4" s="8" t="s">
        <v>12</v>
      </c>
      <c r="FP4" s="8" t="s">
        <v>6</v>
      </c>
      <c r="FQ4" s="8" t="s">
        <v>7</v>
      </c>
      <c r="FR4" s="8" t="s">
        <v>8</v>
      </c>
      <c r="FS4" s="8" t="s">
        <v>9</v>
      </c>
      <c r="FT4" s="8" t="s">
        <v>10</v>
      </c>
      <c r="FU4" s="8" t="s">
        <v>11</v>
      </c>
      <c r="FV4" s="8" t="s">
        <v>12</v>
      </c>
      <c r="FW4" s="8" t="s">
        <v>6</v>
      </c>
      <c r="FX4" s="8" t="s">
        <v>7</v>
      </c>
      <c r="FY4" s="8" t="s">
        <v>8</v>
      </c>
      <c r="FZ4" s="8" t="s">
        <v>9</v>
      </c>
      <c r="GA4" s="8" t="s">
        <v>10</v>
      </c>
      <c r="GB4" s="8" t="s">
        <v>11</v>
      </c>
      <c r="GC4" s="8" t="s">
        <v>12</v>
      </c>
    </row>
    <row r="5" spans="2:185" s="16" customFormat="1" ht="39.75" customHeight="1">
      <c r="B5" s="55"/>
      <c r="C5" s="57"/>
      <c r="D5" s="59"/>
      <c r="E5" s="10" t="s">
        <v>13</v>
      </c>
      <c r="F5" s="11" t="s">
        <v>14</v>
      </c>
      <c r="G5" s="11" t="s">
        <v>15</v>
      </c>
      <c r="H5" s="11" t="s">
        <v>13</v>
      </c>
      <c r="I5" s="12" t="s">
        <v>14</v>
      </c>
      <c r="J5" s="63"/>
      <c r="K5" s="13">
        <f>E8-3</f>
        <v>45320</v>
      </c>
      <c r="L5" s="14">
        <f t="shared" ref="L5:BW5" si="3">K5+1</f>
        <v>45321</v>
      </c>
      <c r="M5" s="14">
        <f t="shared" si="3"/>
        <v>45322</v>
      </c>
      <c r="N5" s="14">
        <f t="shared" si="3"/>
        <v>45323</v>
      </c>
      <c r="O5" s="50">
        <f t="shared" si="3"/>
        <v>45324</v>
      </c>
      <c r="P5" s="50">
        <f t="shared" si="3"/>
        <v>45325</v>
      </c>
      <c r="Q5" s="50">
        <f t="shared" si="3"/>
        <v>45326</v>
      </c>
      <c r="R5" s="50">
        <f t="shared" si="3"/>
        <v>45327</v>
      </c>
      <c r="S5" s="50">
        <f t="shared" si="3"/>
        <v>45328</v>
      </c>
      <c r="T5" s="50">
        <f t="shared" si="3"/>
        <v>45329</v>
      </c>
      <c r="U5" s="50">
        <f t="shared" si="3"/>
        <v>45330</v>
      </c>
      <c r="V5" s="50">
        <f t="shared" si="3"/>
        <v>45331</v>
      </c>
      <c r="W5" s="50">
        <f t="shared" si="3"/>
        <v>45332</v>
      </c>
      <c r="X5" s="50">
        <f t="shared" si="3"/>
        <v>45333</v>
      </c>
      <c r="Y5" s="50">
        <f t="shared" si="3"/>
        <v>45334</v>
      </c>
      <c r="Z5" s="50">
        <f t="shared" si="3"/>
        <v>45335</v>
      </c>
      <c r="AA5" s="50">
        <f t="shared" si="3"/>
        <v>45336</v>
      </c>
      <c r="AB5" s="50">
        <f t="shared" si="3"/>
        <v>45337</v>
      </c>
      <c r="AC5" s="50">
        <f t="shared" si="3"/>
        <v>45338</v>
      </c>
      <c r="AD5" s="50">
        <f t="shared" si="3"/>
        <v>45339</v>
      </c>
      <c r="AE5" s="50">
        <f t="shared" si="3"/>
        <v>45340</v>
      </c>
      <c r="AF5" s="50">
        <f t="shared" si="3"/>
        <v>45341</v>
      </c>
      <c r="AG5" s="50">
        <f t="shared" si="3"/>
        <v>45342</v>
      </c>
      <c r="AH5" s="50">
        <f t="shared" si="3"/>
        <v>45343</v>
      </c>
      <c r="AI5" s="50">
        <f t="shared" si="3"/>
        <v>45344</v>
      </c>
      <c r="AJ5" s="50">
        <f t="shared" si="3"/>
        <v>45345</v>
      </c>
      <c r="AK5" s="50">
        <f t="shared" si="3"/>
        <v>45346</v>
      </c>
      <c r="AL5" s="50">
        <f t="shared" si="3"/>
        <v>45347</v>
      </c>
      <c r="AM5" s="50">
        <f t="shared" si="3"/>
        <v>45348</v>
      </c>
      <c r="AN5" s="50">
        <f t="shared" si="3"/>
        <v>45349</v>
      </c>
      <c r="AO5" s="50">
        <f t="shared" si="3"/>
        <v>45350</v>
      </c>
      <c r="AP5" s="50">
        <f t="shared" si="3"/>
        <v>45351</v>
      </c>
      <c r="AQ5" s="50">
        <f t="shared" si="3"/>
        <v>45352</v>
      </c>
      <c r="AR5" s="50">
        <f t="shared" si="3"/>
        <v>45353</v>
      </c>
      <c r="AS5" s="50">
        <f t="shared" si="3"/>
        <v>45354</v>
      </c>
      <c r="AT5" s="50">
        <f>AS5+1</f>
        <v>45355</v>
      </c>
      <c r="AU5" s="50">
        <f t="shared" ref="AU5:BV5" si="4">AT5+1</f>
        <v>45356</v>
      </c>
      <c r="AV5" s="50">
        <f t="shared" si="4"/>
        <v>45357</v>
      </c>
      <c r="AW5" s="50">
        <f t="shared" si="4"/>
        <v>45358</v>
      </c>
      <c r="AX5" s="50">
        <f t="shared" si="4"/>
        <v>45359</v>
      </c>
      <c r="AY5" s="50">
        <f t="shared" si="4"/>
        <v>45360</v>
      </c>
      <c r="AZ5" s="50">
        <f t="shared" si="4"/>
        <v>45361</v>
      </c>
      <c r="BA5" s="50">
        <f t="shared" si="4"/>
        <v>45362</v>
      </c>
      <c r="BB5" s="50">
        <f t="shared" si="4"/>
        <v>45363</v>
      </c>
      <c r="BC5" s="50">
        <f t="shared" si="4"/>
        <v>45364</v>
      </c>
      <c r="BD5" s="50">
        <f t="shared" si="4"/>
        <v>45365</v>
      </c>
      <c r="BE5" s="50">
        <f t="shared" si="4"/>
        <v>45366</v>
      </c>
      <c r="BF5" s="50">
        <f t="shared" si="4"/>
        <v>45367</v>
      </c>
      <c r="BG5" s="50">
        <f t="shared" si="4"/>
        <v>45368</v>
      </c>
      <c r="BH5" s="50">
        <f t="shared" si="4"/>
        <v>45369</v>
      </c>
      <c r="BI5" s="50">
        <f t="shared" si="4"/>
        <v>45370</v>
      </c>
      <c r="BJ5" s="50">
        <f t="shared" si="4"/>
        <v>45371</v>
      </c>
      <c r="BK5" s="50">
        <f t="shared" si="4"/>
        <v>45372</v>
      </c>
      <c r="BL5" s="50">
        <f t="shared" si="4"/>
        <v>45373</v>
      </c>
      <c r="BM5" s="50">
        <f t="shared" si="4"/>
        <v>45374</v>
      </c>
      <c r="BN5" s="50">
        <f t="shared" si="4"/>
        <v>45375</v>
      </c>
      <c r="BO5" s="50">
        <f t="shared" si="4"/>
        <v>45376</v>
      </c>
      <c r="BP5" s="50">
        <f t="shared" si="4"/>
        <v>45377</v>
      </c>
      <c r="BQ5" s="50">
        <f t="shared" si="4"/>
        <v>45378</v>
      </c>
      <c r="BR5" s="50">
        <f t="shared" si="4"/>
        <v>45379</v>
      </c>
      <c r="BS5" s="50">
        <f t="shared" si="4"/>
        <v>45380</v>
      </c>
      <c r="BT5" s="50">
        <f t="shared" si="4"/>
        <v>45381</v>
      </c>
      <c r="BU5" s="50">
        <f t="shared" si="4"/>
        <v>45382</v>
      </c>
      <c r="BV5" s="50">
        <f t="shared" si="4"/>
        <v>45383</v>
      </c>
      <c r="BW5" s="50">
        <f t="shared" si="3"/>
        <v>45384</v>
      </c>
      <c r="BX5" s="50">
        <f t="shared" ref="BX5:CB5" si="5">BW5+1</f>
        <v>45385</v>
      </c>
      <c r="BY5" s="50">
        <f t="shared" si="5"/>
        <v>45386</v>
      </c>
      <c r="BZ5" s="50">
        <f t="shared" si="5"/>
        <v>45387</v>
      </c>
      <c r="CA5" s="50">
        <f t="shared" si="5"/>
        <v>45388</v>
      </c>
      <c r="CB5" s="50">
        <f t="shared" si="5"/>
        <v>45389</v>
      </c>
      <c r="CC5" s="50">
        <f>CB5+1</f>
        <v>45390</v>
      </c>
      <c r="CD5" s="50">
        <f t="shared" ref="CD5:EO5" si="6">CC5+1</f>
        <v>45391</v>
      </c>
      <c r="CE5" s="50">
        <f t="shared" si="6"/>
        <v>45392</v>
      </c>
      <c r="CF5" s="50">
        <f t="shared" si="6"/>
        <v>45393</v>
      </c>
      <c r="CG5" s="50">
        <f t="shared" si="6"/>
        <v>45394</v>
      </c>
      <c r="CH5" s="50">
        <f t="shared" si="6"/>
        <v>45395</v>
      </c>
      <c r="CI5" s="50">
        <f t="shared" si="6"/>
        <v>45396</v>
      </c>
      <c r="CJ5" s="50">
        <f t="shared" si="6"/>
        <v>45397</v>
      </c>
      <c r="CK5" s="50">
        <f t="shared" si="6"/>
        <v>45398</v>
      </c>
      <c r="CL5" s="50">
        <f t="shared" si="6"/>
        <v>45399</v>
      </c>
      <c r="CM5" s="50">
        <f t="shared" si="6"/>
        <v>45400</v>
      </c>
      <c r="CN5" s="50">
        <f t="shared" si="6"/>
        <v>45401</v>
      </c>
      <c r="CO5" s="50">
        <f t="shared" si="6"/>
        <v>45402</v>
      </c>
      <c r="CP5" s="50">
        <f t="shared" si="6"/>
        <v>45403</v>
      </c>
      <c r="CQ5" s="50">
        <f t="shared" si="6"/>
        <v>45404</v>
      </c>
      <c r="CR5" s="50">
        <f t="shared" si="6"/>
        <v>45405</v>
      </c>
      <c r="CS5" s="50">
        <f t="shared" si="6"/>
        <v>45406</v>
      </c>
      <c r="CT5" s="50">
        <f t="shared" si="6"/>
        <v>45407</v>
      </c>
      <c r="CU5" s="50">
        <f t="shared" si="6"/>
        <v>45408</v>
      </c>
      <c r="CV5" s="50">
        <f t="shared" si="6"/>
        <v>45409</v>
      </c>
      <c r="CW5" s="50">
        <f t="shared" si="6"/>
        <v>45410</v>
      </c>
      <c r="CX5" s="50">
        <f t="shared" si="6"/>
        <v>45411</v>
      </c>
      <c r="CY5" s="50">
        <f t="shared" si="6"/>
        <v>45412</v>
      </c>
      <c r="CZ5" s="50">
        <f t="shared" si="6"/>
        <v>45413</v>
      </c>
      <c r="DA5" s="50">
        <f t="shared" si="6"/>
        <v>45414</v>
      </c>
      <c r="DB5" s="50">
        <f t="shared" si="6"/>
        <v>45415</v>
      </c>
      <c r="DC5" s="50">
        <f t="shared" si="6"/>
        <v>45416</v>
      </c>
      <c r="DD5" s="50">
        <f t="shared" si="6"/>
        <v>45417</v>
      </c>
      <c r="DE5" s="50">
        <f t="shared" si="6"/>
        <v>45418</v>
      </c>
      <c r="DF5" s="50">
        <f t="shared" si="6"/>
        <v>45419</v>
      </c>
      <c r="DG5" s="50">
        <f t="shared" si="6"/>
        <v>45420</v>
      </c>
      <c r="DH5" s="50">
        <f t="shared" si="6"/>
        <v>45421</v>
      </c>
      <c r="DI5" s="50">
        <f t="shared" si="6"/>
        <v>45422</v>
      </c>
      <c r="DJ5" s="50">
        <f t="shared" si="6"/>
        <v>45423</v>
      </c>
      <c r="DK5" s="50">
        <f t="shared" si="6"/>
        <v>45424</v>
      </c>
      <c r="DL5" s="50">
        <f t="shared" si="6"/>
        <v>45425</v>
      </c>
      <c r="DM5" s="50">
        <f t="shared" si="6"/>
        <v>45426</v>
      </c>
      <c r="DN5" s="50">
        <f t="shared" si="6"/>
        <v>45427</v>
      </c>
      <c r="DO5" s="50">
        <f t="shared" si="6"/>
        <v>45428</v>
      </c>
      <c r="DP5" s="50">
        <f t="shared" si="6"/>
        <v>45429</v>
      </c>
      <c r="DQ5" s="50">
        <f t="shared" si="6"/>
        <v>45430</v>
      </c>
      <c r="DR5" s="50">
        <f t="shared" si="6"/>
        <v>45431</v>
      </c>
      <c r="DS5" s="50">
        <f t="shared" si="6"/>
        <v>45432</v>
      </c>
      <c r="DT5" s="50">
        <f t="shared" si="6"/>
        <v>45433</v>
      </c>
      <c r="DU5" s="50">
        <f t="shared" si="6"/>
        <v>45434</v>
      </c>
      <c r="DV5" s="50">
        <f t="shared" si="6"/>
        <v>45435</v>
      </c>
      <c r="DW5" s="50">
        <f t="shared" si="6"/>
        <v>45436</v>
      </c>
      <c r="DX5" s="50">
        <f t="shared" si="6"/>
        <v>45437</v>
      </c>
      <c r="DY5" s="50">
        <f t="shared" si="6"/>
        <v>45438</v>
      </c>
      <c r="DZ5" s="50">
        <f t="shared" si="6"/>
        <v>45439</v>
      </c>
      <c r="EA5" s="50">
        <f t="shared" si="6"/>
        <v>45440</v>
      </c>
      <c r="EB5" s="50">
        <f t="shared" si="6"/>
        <v>45441</v>
      </c>
      <c r="EC5" s="50">
        <f t="shared" si="6"/>
        <v>45442</v>
      </c>
      <c r="ED5" s="50">
        <f t="shared" si="6"/>
        <v>45443</v>
      </c>
      <c r="EE5" s="50">
        <f t="shared" si="6"/>
        <v>45444</v>
      </c>
      <c r="EF5" s="50">
        <f t="shared" si="6"/>
        <v>45445</v>
      </c>
      <c r="EG5" s="50">
        <f t="shared" si="6"/>
        <v>45446</v>
      </c>
      <c r="EH5" s="50">
        <f t="shared" si="6"/>
        <v>45447</v>
      </c>
      <c r="EI5" s="50">
        <f t="shared" si="6"/>
        <v>45448</v>
      </c>
      <c r="EJ5" s="50">
        <f t="shared" si="6"/>
        <v>45449</v>
      </c>
      <c r="EK5" s="50">
        <f t="shared" si="6"/>
        <v>45450</v>
      </c>
      <c r="EL5" s="50">
        <f t="shared" si="6"/>
        <v>45451</v>
      </c>
      <c r="EM5" s="50">
        <f t="shared" si="6"/>
        <v>45452</v>
      </c>
      <c r="EN5" s="50">
        <f t="shared" si="6"/>
        <v>45453</v>
      </c>
      <c r="EO5" s="50">
        <f t="shared" si="6"/>
        <v>45454</v>
      </c>
      <c r="EP5" s="50">
        <f t="shared" ref="EP5:GC5" si="7">EO5+1</f>
        <v>45455</v>
      </c>
      <c r="EQ5" s="50">
        <f t="shared" si="7"/>
        <v>45456</v>
      </c>
      <c r="ER5" s="50">
        <f t="shared" si="7"/>
        <v>45457</v>
      </c>
      <c r="ES5" s="50">
        <f t="shared" si="7"/>
        <v>45458</v>
      </c>
      <c r="ET5" s="50">
        <f t="shared" si="7"/>
        <v>45459</v>
      </c>
      <c r="EU5" s="50">
        <f t="shared" si="7"/>
        <v>45460</v>
      </c>
      <c r="EV5" s="50">
        <f t="shared" si="7"/>
        <v>45461</v>
      </c>
      <c r="EW5" s="50">
        <f t="shared" si="7"/>
        <v>45462</v>
      </c>
      <c r="EX5" s="50">
        <f t="shared" si="7"/>
        <v>45463</v>
      </c>
      <c r="EY5" s="50">
        <f t="shared" si="7"/>
        <v>45464</v>
      </c>
      <c r="EZ5" s="50">
        <f t="shared" si="7"/>
        <v>45465</v>
      </c>
      <c r="FA5" s="50">
        <f t="shared" si="7"/>
        <v>45466</v>
      </c>
      <c r="FB5" s="50">
        <f t="shared" si="7"/>
        <v>45467</v>
      </c>
      <c r="FC5" s="50">
        <f t="shared" si="7"/>
        <v>45468</v>
      </c>
      <c r="FD5" s="50">
        <f t="shared" si="7"/>
        <v>45469</v>
      </c>
      <c r="FE5" s="50">
        <f t="shared" si="7"/>
        <v>45470</v>
      </c>
      <c r="FF5" s="50">
        <f t="shared" si="7"/>
        <v>45471</v>
      </c>
      <c r="FG5" s="50">
        <f t="shared" si="7"/>
        <v>45472</v>
      </c>
      <c r="FH5" s="50">
        <f t="shared" si="7"/>
        <v>45473</v>
      </c>
      <c r="FI5" s="50">
        <f t="shared" si="7"/>
        <v>45474</v>
      </c>
      <c r="FJ5" s="50">
        <f t="shared" si="7"/>
        <v>45475</v>
      </c>
      <c r="FK5" s="50">
        <f t="shared" si="7"/>
        <v>45476</v>
      </c>
      <c r="FL5" s="50">
        <f t="shared" si="7"/>
        <v>45477</v>
      </c>
      <c r="FM5" s="50">
        <f t="shared" si="7"/>
        <v>45478</v>
      </c>
      <c r="FN5" s="50">
        <f t="shared" si="7"/>
        <v>45479</v>
      </c>
      <c r="FO5" s="50">
        <f t="shared" si="7"/>
        <v>45480</v>
      </c>
      <c r="FP5" s="50">
        <f t="shared" si="7"/>
        <v>45481</v>
      </c>
      <c r="FQ5" s="50">
        <f t="shared" si="7"/>
        <v>45482</v>
      </c>
      <c r="FR5" s="50">
        <f t="shared" si="7"/>
        <v>45483</v>
      </c>
      <c r="FS5" s="50">
        <f t="shared" si="7"/>
        <v>45484</v>
      </c>
      <c r="FT5" s="50">
        <f t="shared" si="7"/>
        <v>45485</v>
      </c>
      <c r="FU5" s="50">
        <f t="shared" si="7"/>
        <v>45486</v>
      </c>
      <c r="FV5" s="50">
        <f t="shared" si="7"/>
        <v>45487</v>
      </c>
      <c r="FW5" s="50">
        <f t="shared" si="7"/>
        <v>45488</v>
      </c>
      <c r="FX5" s="50">
        <f t="shared" si="7"/>
        <v>45489</v>
      </c>
      <c r="FY5" s="50">
        <f t="shared" si="7"/>
        <v>45490</v>
      </c>
      <c r="FZ5" s="50">
        <f t="shared" si="7"/>
        <v>45491</v>
      </c>
      <c r="GA5" s="50">
        <f t="shared" si="7"/>
        <v>45492</v>
      </c>
      <c r="GB5" s="50">
        <f t="shared" si="7"/>
        <v>45493</v>
      </c>
      <c r="GC5" s="15">
        <f t="shared" si="7"/>
        <v>45494</v>
      </c>
    </row>
    <row r="6" spans="2:185" s="19" customFormat="1" ht="20.100000000000001" customHeight="1">
      <c r="B6" s="17"/>
      <c r="C6" s="44" t="s">
        <v>16</v>
      </c>
      <c r="D6" s="45"/>
      <c r="E6" s="46">
        <f>MINA(E7:E46)</f>
        <v>45323</v>
      </c>
      <c r="F6" s="46">
        <f>MAXA(F7:F46)</f>
        <v>45442</v>
      </c>
      <c r="G6" s="47">
        <f>((F6-E6-INT(F6-E6-WEEKDAY(F6)+1)/7)-1)+6</f>
        <v>107.57142857142857</v>
      </c>
      <c r="H6" s="48"/>
      <c r="I6" s="44"/>
      <c r="J6" s="49"/>
      <c r="K6" s="18">
        <f t="shared" ref="K6:Z24" si="8">IF(AND($E6&lt;=K$5,$F6&gt;=K$5),1,0)</f>
        <v>0</v>
      </c>
      <c r="L6" s="18">
        <f t="shared" si="8"/>
        <v>0</v>
      </c>
      <c r="M6" s="18">
        <f t="shared" si="8"/>
        <v>0</v>
      </c>
      <c r="N6" s="18">
        <f t="shared" si="8"/>
        <v>1</v>
      </c>
      <c r="O6" s="18">
        <f t="shared" si="8"/>
        <v>1</v>
      </c>
      <c r="P6" s="18">
        <f t="shared" si="8"/>
        <v>1</v>
      </c>
      <c r="Q6" s="18">
        <f t="shared" si="8"/>
        <v>1</v>
      </c>
      <c r="R6" s="18">
        <f t="shared" si="8"/>
        <v>1</v>
      </c>
      <c r="S6" s="18">
        <f t="shared" si="8"/>
        <v>1</v>
      </c>
      <c r="T6" s="18">
        <f t="shared" si="8"/>
        <v>1</v>
      </c>
      <c r="U6" s="18">
        <f t="shared" si="8"/>
        <v>1</v>
      </c>
      <c r="V6" s="18">
        <f t="shared" si="8"/>
        <v>1</v>
      </c>
      <c r="W6" s="18">
        <f t="shared" si="8"/>
        <v>1</v>
      </c>
      <c r="X6" s="18">
        <f t="shared" si="8"/>
        <v>1</v>
      </c>
      <c r="Y6" s="18">
        <f t="shared" si="8"/>
        <v>1</v>
      </c>
      <c r="Z6" s="18">
        <f t="shared" si="8"/>
        <v>1</v>
      </c>
      <c r="AA6" s="18">
        <f t="shared" ref="AA6:AP24" si="9">IF(AND($E6&lt;=AA$5,$F6&gt;=AA$5),1,0)</f>
        <v>1</v>
      </c>
      <c r="AB6" s="18">
        <f t="shared" si="9"/>
        <v>1</v>
      </c>
      <c r="AC6" s="18">
        <f t="shared" si="9"/>
        <v>1</v>
      </c>
      <c r="AD6" s="18">
        <f t="shared" si="9"/>
        <v>1</v>
      </c>
      <c r="AE6" s="18">
        <f t="shared" si="9"/>
        <v>1</v>
      </c>
      <c r="AF6" s="18">
        <f t="shared" si="9"/>
        <v>1</v>
      </c>
      <c r="AG6" s="18">
        <f t="shared" si="9"/>
        <v>1</v>
      </c>
      <c r="AH6" s="18">
        <f t="shared" si="9"/>
        <v>1</v>
      </c>
      <c r="AI6" s="18">
        <f t="shared" si="9"/>
        <v>1</v>
      </c>
      <c r="AJ6" s="18">
        <f t="shared" si="9"/>
        <v>1</v>
      </c>
      <c r="AK6" s="18">
        <f t="shared" si="9"/>
        <v>1</v>
      </c>
      <c r="AL6" s="18">
        <f t="shared" si="9"/>
        <v>1</v>
      </c>
      <c r="AM6" s="18">
        <f t="shared" si="9"/>
        <v>1</v>
      </c>
      <c r="AN6" s="18">
        <f t="shared" si="9"/>
        <v>1</v>
      </c>
      <c r="AO6" s="18">
        <f t="shared" si="9"/>
        <v>1</v>
      </c>
      <c r="AP6" s="18">
        <f t="shared" si="9"/>
        <v>1</v>
      </c>
      <c r="AQ6" s="18">
        <f t="shared" ref="AQ6:DB9" si="10">IF(AND($E6&lt;=AQ$5,$F6&gt;=AQ$5),1,0)</f>
        <v>1</v>
      </c>
      <c r="AR6" s="18">
        <f t="shared" si="10"/>
        <v>1</v>
      </c>
      <c r="AS6" s="18">
        <f t="shared" si="10"/>
        <v>1</v>
      </c>
      <c r="AT6" s="18">
        <f t="shared" si="10"/>
        <v>1</v>
      </c>
      <c r="AU6" s="18">
        <f t="shared" si="10"/>
        <v>1</v>
      </c>
      <c r="AV6" s="18">
        <f t="shared" si="10"/>
        <v>1</v>
      </c>
      <c r="AW6" s="18">
        <f t="shared" si="10"/>
        <v>1</v>
      </c>
      <c r="AX6" s="18">
        <f t="shared" si="10"/>
        <v>1</v>
      </c>
      <c r="AY6" s="18">
        <f t="shared" si="10"/>
        <v>1</v>
      </c>
      <c r="AZ6" s="18">
        <f t="shared" si="10"/>
        <v>1</v>
      </c>
      <c r="BA6" s="18">
        <f t="shared" si="10"/>
        <v>1</v>
      </c>
      <c r="BB6" s="18">
        <f t="shared" si="10"/>
        <v>1</v>
      </c>
      <c r="BC6" s="18">
        <f t="shared" si="10"/>
        <v>1</v>
      </c>
      <c r="BD6" s="18">
        <f t="shared" si="10"/>
        <v>1</v>
      </c>
      <c r="BE6" s="18">
        <f t="shared" si="10"/>
        <v>1</v>
      </c>
      <c r="BF6" s="18">
        <f t="shared" si="10"/>
        <v>1</v>
      </c>
      <c r="BG6" s="18">
        <f t="shared" si="10"/>
        <v>1</v>
      </c>
      <c r="BH6" s="18">
        <f t="shared" si="10"/>
        <v>1</v>
      </c>
      <c r="BI6" s="18">
        <f t="shared" si="10"/>
        <v>1</v>
      </c>
      <c r="BJ6" s="18">
        <f t="shared" si="10"/>
        <v>1</v>
      </c>
      <c r="BK6" s="18">
        <f t="shared" si="10"/>
        <v>1</v>
      </c>
      <c r="BL6" s="18">
        <f t="shared" si="10"/>
        <v>1</v>
      </c>
      <c r="BM6" s="18">
        <f t="shared" si="10"/>
        <v>1</v>
      </c>
      <c r="BN6" s="18">
        <f t="shared" si="10"/>
        <v>1</v>
      </c>
      <c r="BO6" s="18">
        <f t="shared" si="10"/>
        <v>1</v>
      </c>
      <c r="BP6" s="18">
        <f t="shared" si="10"/>
        <v>1</v>
      </c>
      <c r="BQ6" s="18">
        <f t="shared" si="10"/>
        <v>1</v>
      </c>
      <c r="BR6" s="18">
        <f t="shared" si="10"/>
        <v>1</v>
      </c>
      <c r="BS6" s="18">
        <f t="shared" si="10"/>
        <v>1</v>
      </c>
      <c r="BT6" s="18">
        <f t="shared" si="10"/>
        <v>1</v>
      </c>
      <c r="BU6" s="18">
        <f t="shared" si="10"/>
        <v>1</v>
      </c>
      <c r="BV6" s="18">
        <f t="shared" si="10"/>
        <v>1</v>
      </c>
      <c r="BW6" s="18">
        <f t="shared" si="10"/>
        <v>1</v>
      </c>
      <c r="BX6" s="18">
        <f t="shared" si="10"/>
        <v>1</v>
      </c>
      <c r="BY6" s="18">
        <f t="shared" si="10"/>
        <v>1</v>
      </c>
      <c r="BZ6" s="18">
        <f t="shared" si="10"/>
        <v>1</v>
      </c>
      <c r="CA6" s="18">
        <f t="shared" si="10"/>
        <v>1</v>
      </c>
      <c r="CB6" s="18">
        <f t="shared" si="10"/>
        <v>1</v>
      </c>
      <c r="CC6" s="18">
        <f t="shared" si="10"/>
        <v>1</v>
      </c>
      <c r="CD6" s="18">
        <f t="shared" si="10"/>
        <v>1</v>
      </c>
      <c r="CE6" s="18">
        <f t="shared" si="10"/>
        <v>1</v>
      </c>
      <c r="CF6" s="18">
        <f t="shared" si="10"/>
        <v>1</v>
      </c>
      <c r="CG6" s="18">
        <f t="shared" si="10"/>
        <v>1</v>
      </c>
      <c r="CH6" s="18">
        <f t="shared" si="10"/>
        <v>1</v>
      </c>
      <c r="CI6" s="18">
        <f t="shared" si="10"/>
        <v>1</v>
      </c>
      <c r="CJ6" s="18">
        <f t="shared" si="10"/>
        <v>1</v>
      </c>
      <c r="CK6" s="18">
        <f t="shared" si="10"/>
        <v>1</v>
      </c>
      <c r="CL6" s="18">
        <f t="shared" si="10"/>
        <v>1</v>
      </c>
      <c r="CM6" s="18">
        <f t="shared" si="10"/>
        <v>1</v>
      </c>
      <c r="CN6" s="18">
        <f t="shared" si="10"/>
        <v>1</v>
      </c>
      <c r="CO6" s="18">
        <f t="shared" si="10"/>
        <v>1</v>
      </c>
      <c r="CP6" s="18">
        <f t="shared" si="10"/>
        <v>1</v>
      </c>
      <c r="CQ6" s="18">
        <f t="shared" si="10"/>
        <v>1</v>
      </c>
      <c r="CR6" s="18">
        <f t="shared" si="10"/>
        <v>1</v>
      </c>
      <c r="CS6" s="18">
        <f t="shared" si="10"/>
        <v>1</v>
      </c>
      <c r="CT6" s="18">
        <f t="shared" si="10"/>
        <v>1</v>
      </c>
      <c r="CU6" s="18">
        <f t="shared" si="10"/>
        <v>1</v>
      </c>
      <c r="CV6" s="18">
        <f t="shared" si="10"/>
        <v>1</v>
      </c>
      <c r="CW6" s="18">
        <f t="shared" si="10"/>
        <v>1</v>
      </c>
      <c r="CX6" s="18">
        <f t="shared" si="10"/>
        <v>1</v>
      </c>
      <c r="CY6" s="18">
        <f t="shared" si="10"/>
        <v>1</v>
      </c>
      <c r="CZ6" s="18">
        <f t="shared" si="10"/>
        <v>1</v>
      </c>
      <c r="DA6" s="18">
        <f t="shared" si="10"/>
        <v>1</v>
      </c>
      <c r="DB6" s="18">
        <f t="shared" si="10"/>
        <v>1</v>
      </c>
      <c r="DC6" s="18">
        <f t="shared" ref="DC6:ET8" si="11">IF(AND($E6&lt;=DC$5,$F6&gt;=DC$5),1,0)</f>
        <v>1</v>
      </c>
      <c r="DD6" s="18">
        <f t="shared" si="11"/>
        <v>1</v>
      </c>
      <c r="DE6" s="18">
        <f t="shared" si="11"/>
        <v>1</v>
      </c>
      <c r="DF6" s="18">
        <f t="shared" si="11"/>
        <v>1</v>
      </c>
      <c r="DG6" s="18">
        <f t="shared" si="11"/>
        <v>1</v>
      </c>
      <c r="DH6" s="18">
        <f t="shared" si="11"/>
        <v>1</v>
      </c>
      <c r="DI6" s="18">
        <f t="shared" si="11"/>
        <v>1</v>
      </c>
      <c r="DJ6" s="18">
        <f t="shared" si="11"/>
        <v>1</v>
      </c>
      <c r="DK6" s="18">
        <f t="shared" si="11"/>
        <v>1</v>
      </c>
      <c r="DL6" s="18">
        <f t="shared" si="11"/>
        <v>1</v>
      </c>
      <c r="DM6" s="18">
        <f t="shared" si="11"/>
        <v>1</v>
      </c>
      <c r="DN6" s="18">
        <f t="shared" si="11"/>
        <v>1</v>
      </c>
      <c r="DO6" s="18">
        <f t="shared" si="11"/>
        <v>1</v>
      </c>
      <c r="DP6" s="18">
        <f t="shared" si="11"/>
        <v>1</v>
      </c>
      <c r="DQ6" s="18">
        <f t="shared" si="11"/>
        <v>1</v>
      </c>
      <c r="DR6" s="18">
        <f t="shared" si="11"/>
        <v>1</v>
      </c>
      <c r="DS6" s="18">
        <f t="shared" si="11"/>
        <v>1</v>
      </c>
      <c r="DT6" s="18">
        <f t="shared" si="11"/>
        <v>1</v>
      </c>
      <c r="DU6" s="18">
        <f t="shared" si="11"/>
        <v>1</v>
      </c>
      <c r="DV6" s="18">
        <f t="shared" si="11"/>
        <v>1</v>
      </c>
      <c r="DW6" s="18">
        <f t="shared" si="11"/>
        <v>1</v>
      </c>
      <c r="DX6" s="18">
        <f t="shared" si="11"/>
        <v>1</v>
      </c>
      <c r="DY6" s="18">
        <f t="shared" si="11"/>
        <v>1</v>
      </c>
      <c r="DZ6" s="18">
        <f t="shared" si="11"/>
        <v>1</v>
      </c>
      <c r="EA6" s="18">
        <f t="shared" si="11"/>
        <v>1</v>
      </c>
      <c r="EB6" s="18">
        <f t="shared" si="11"/>
        <v>1</v>
      </c>
      <c r="EC6" s="18">
        <f t="shared" si="11"/>
        <v>1</v>
      </c>
      <c r="ED6" s="18">
        <f t="shared" si="11"/>
        <v>0</v>
      </c>
      <c r="EE6" s="18">
        <f t="shared" si="11"/>
        <v>0</v>
      </c>
      <c r="EF6" s="18">
        <f t="shared" si="11"/>
        <v>0</v>
      </c>
      <c r="EG6" s="18">
        <f t="shared" si="11"/>
        <v>0</v>
      </c>
      <c r="EH6" s="18">
        <f t="shared" si="11"/>
        <v>0</v>
      </c>
      <c r="EI6" s="18">
        <f t="shared" si="11"/>
        <v>0</v>
      </c>
      <c r="EJ6" s="18">
        <f t="shared" si="11"/>
        <v>0</v>
      </c>
      <c r="EK6" s="18">
        <f t="shared" si="11"/>
        <v>0</v>
      </c>
      <c r="EL6" s="18">
        <f t="shared" si="11"/>
        <v>0</v>
      </c>
      <c r="EM6" s="18">
        <f t="shared" si="11"/>
        <v>0</v>
      </c>
      <c r="EN6" s="18">
        <f t="shared" si="11"/>
        <v>0</v>
      </c>
      <c r="EO6" s="18">
        <f t="shared" si="11"/>
        <v>0</v>
      </c>
      <c r="EP6" s="18">
        <f t="shared" si="11"/>
        <v>0</v>
      </c>
      <c r="EQ6" s="18">
        <f t="shared" si="11"/>
        <v>0</v>
      </c>
      <c r="ER6" s="18">
        <f t="shared" si="11"/>
        <v>0</v>
      </c>
      <c r="ES6" s="18">
        <f t="shared" si="11"/>
        <v>0</v>
      </c>
      <c r="ET6" s="18">
        <f t="shared" si="11"/>
        <v>0</v>
      </c>
      <c r="EU6" s="18">
        <f t="shared" ref="EU6:GC16" si="12">IF(AND($E6&lt;=EU$5,$F6&gt;=EU$5),1,0)</f>
        <v>0</v>
      </c>
      <c r="EV6" s="18">
        <f t="shared" si="12"/>
        <v>0</v>
      </c>
      <c r="EW6" s="18">
        <f t="shared" si="12"/>
        <v>0</v>
      </c>
      <c r="EX6" s="18">
        <f t="shared" si="12"/>
        <v>0</v>
      </c>
      <c r="EY6" s="18">
        <f t="shared" si="12"/>
        <v>0</v>
      </c>
      <c r="EZ6" s="18">
        <f t="shared" si="12"/>
        <v>0</v>
      </c>
      <c r="FA6" s="18">
        <f t="shared" si="12"/>
        <v>0</v>
      </c>
      <c r="FB6" s="18">
        <f t="shared" si="12"/>
        <v>0</v>
      </c>
      <c r="FC6" s="18">
        <f t="shared" si="12"/>
        <v>0</v>
      </c>
      <c r="FD6" s="18">
        <f t="shared" si="12"/>
        <v>0</v>
      </c>
      <c r="FE6" s="18">
        <f t="shared" si="12"/>
        <v>0</v>
      </c>
      <c r="FF6" s="18">
        <f t="shared" si="12"/>
        <v>0</v>
      </c>
      <c r="FG6" s="18">
        <f t="shared" si="12"/>
        <v>0</v>
      </c>
      <c r="FH6" s="18">
        <f t="shared" si="12"/>
        <v>0</v>
      </c>
      <c r="FI6" s="18">
        <f t="shared" si="12"/>
        <v>0</v>
      </c>
      <c r="FJ6" s="18">
        <f t="shared" si="12"/>
        <v>0</v>
      </c>
      <c r="FK6" s="18">
        <f t="shared" si="12"/>
        <v>0</v>
      </c>
      <c r="FL6" s="18">
        <f t="shared" si="12"/>
        <v>0</v>
      </c>
      <c r="FM6" s="18">
        <f t="shared" si="12"/>
        <v>0</v>
      </c>
      <c r="FN6" s="18">
        <f t="shared" si="12"/>
        <v>0</v>
      </c>
      <c r="FO6" s="18">
        <f t="shared" si="12"/>
        <v>0</v>
      </c>
      <c r="FP6" s="18">
        <f t="shared" si="12"/>
        <v>0</v>
      </c>
      <c r="FQ6" s="18">
        <f t="shared" si="12"/>
        <v>0</v>
      </c>
      <c r="FR6" s="18">
        <f t="shared" si="12"/>
        <v>0</v>
      </c>
      <c r="FS6" s="18">
        <f t="shared" si="12"/>
        <v>0</v>
      </c>
      <c r="FT6" s="18">
        <f t="shared" si="12"/>
        <v>0</v>
      </c>
      <c r="FU6" s="18">
        <f t="shared" si="12"/>
        <v>0</v>
      </c>
      <c r="FV6" s="18">
        <f t="shared" si="12"/>
        <v>0</v>
      </c>
      <c r="FW6" s="18">
        <f t="shared" si="12"/>
        <v>0</v>
      </c>
      <c r="FX6" s="18">
        <f t="shared" si="12"/>
        <v>0</v>
      </c>
      <c r="FY6" s="18">
        <f t="shared" si="12"/>
        <v>0</v>
      </c>
      <c r="FZ6" s="18">
        <f t="shared" si="12"/>
        <v>0</v>
      </c>
      <c r="GA6" s="18">
        <f t="shared" si="12"/>
        <v>0</v>
      </c>
      <c r="GB6" s="18">
        <f t="shared" si="12"/>
        <v>0</v>
      </c>
      <c r="GC6" s="18">
        <f t="shared" si="12"/>
        <v>0</v>
      </c>
    </row>
    <row r="7" spans="2:185" s="19" customFormat="1" ht="20.100000000000001" customHeight="1">
      <c r="B7" s="17"/>
      <c r="C7" s="51" t="s">
        <v>17</v>
      </c>
      <c r="D7" s="20"/>
      <c r="E7" s="21">
        <f>MINA(E8:E11)</f>
        <v>45323</v>
      </c>
      <c r="F7" s="21">
        <f>MAXA(F8:F11)</f>
        <v>45442</v>
      </c>
      <c r="G7" s="21"/>
      <c r="H7" s="22"/>
      <c r="I7" s="23"/>
      <c r="J7" s="24"/>
      <c r="K7" s="18">
        <f t="shared" si="8"/>
        <v>0</v>
      </c>
      <c r="L7" s="18">
        <f t="shared" si="8"/>
        <v>0</v>
      </c>
      <c r="M7" s="18">
        <f t="shared" si="8"/>
        <v>0</v>
      </c>
      <c r="N7" s="18">
        <f t="shared" si="8"/>
        <v>1</v>
      </c>
      <c r="O7" s="18">
        <f t="shared" si="8"/>
        <v>1</v>
      </c>
      <c r="P7" s="18">
        <f t="shared" si="8"/>
        <v>1</v>
      </c>
      <c r="Q7" s="18">
        <f t="shared" si="8"/>
        <v>1</v>
      </c>
      <c r="R7" s="18">
        <f t="shared" si="8"/>
        <v>1</v>
      </c>
      <c r="S7" s="18">
        <f t="shared" si="8"/>
        <v>1</v>
      </c>
      <c r="T7" s="18">
        <f t="shared" si="8"/>
        <v>1</v>
      </c>
      <c r="U7" s="18">
        <f t="shared" si="8"/>
        <v>1</v>
      </c>
      <c r="V7" s="18">
        <f t="shared" si="8"/>
        <v>1</v>
      </c>
      <c r="W7" s="18">
        <f t="shared" si="8"/>
        <v>1</v>
      </c>
      <c r="X7" s="18">
        <f t="shared" si="8"/>
        <v>1</v>
      </c>
      <c r="Y7" s="18">
        <f t="shared" si="8"/>
        <v>1</v>
      </c>
      <c r="Z7" s="18">
        <f t="shared" si="8"/>
        <v>1</v>
      </c>
      <c r="AA7" s="18">
        <f t="shared" si="9"/>
        <v>1</v>
      </c>
      <c r="AB7" s="18">
        <f t="shared" si="9"/>
        <v>1</v>
      </c>
      <c r="AC7" s="18">
        <f t="shared" si="9"/>
        <v>1</v>
      </c>
      <c r="AD7" s="18">
        <f t="shared" si="9"/>
        <v>1</v>
      </c>
      <c r="AE7" s="18">
        <f t="shared" si="9"/>
        <v>1</v>
      </c>
      <c r="AF7" s="18">
        <f t="shared" si="9"/>
        <v>1</v>
      </c>
      <c r="AG7" s="18">
        <f t="shared" si="9"/>
        <v>1</v>
      </c>
      <c r="AH7" s="18">
        <f t="shared" si="9"/>
        <v>1</v>
      </c>
      <c r="AI7" s="18">
        <f t="shared" si="9"/>
        <v>1</v>
      </c>
      <c r="AJ7" s="18">
        <f t="shared" si="9"/>
        <v>1</v>
      </c>
      <c r="AK7" s="18">
        <f t="shared" si="9"/>
        <v>1</v>
      </c>
      <c r="AL7" s="18">
        <f t="shared" si="9"/>
        <v>1</v>
      </c>
      <c r="AM7" s="18">
        <f t="shared" si="9"/>
        <v>1</v>
      </c>
      <c r="AN7" s="18">
        <f t="shared" si="9"/>
        <v>1</v>
      </c>
      <c r="AO7" s="18">
        <f t="shared" si="9"/>
        <v>1</v>
      </c>
      <c r="AP7" s="18">
        <f t="shared" si="9"/>
        <v>1</v>
      </c>
      <c r="AQ7" s="18">
        <f t="shared" si="10"/>
        <v>1</v>
      </c>
      <c r="AR7" s="18">
        <f t="shared" si="10"/>
        <v>1</v>
      </c>
      <c r="AS7" s="18">
        <f t="shared" si="10"/>
        <v>1</v>
      </c>
      <c r="AT7" s="18">
        <f t="shared" si="10"/>
        <v>1</v>
      </c>
      <c r="AU7" s="18">
        <f t="shared" si="10"/>
        <v>1</v>
      </c>
      <c r="AV7" s="18">
        <f t="shared" si="10"/>
        <v>1</v>
      </c>
      <c r="AW7" s="18">
        <f t="shared" si="10"/>
        <v>1</v>
      </c>
      <c r="AX7" s="18">
        <f t="shared" si="10"/>
        <v>1</v>
      </c>
      <c r="AY7" s="18">
        <f t="shared" si="10"/>
        <v>1</v>
      </c>
      <c r="AZ7" s="18">
        <f t="shared" si="10"/>
        <v>1</v>
      </c>
      <c r="BA7" s="18">
        <f t="shared" si="10"/>
        <v>1</v>
      </c>
      <c r="BB7" s="18">
        <f t="shared" si="10"/>
        <v>1</v>
      </c>
      <c r="BC7" s="18">
        <f t="shared" si="10"/>
        <v>1</v>
      </c>
      <c r="BD7" s="18">
        <f t="shared" si="10"/>
        <v>1</v>
      </c>
      <c r="BE7" s="18">
        <f t="shared" si="10"/>
        <v>1</v>
      </c>
      <c r="BF7" s="18">
        <f t="shared" si="10"/>
        <v>1</v>
      </c>
      <c r="BG7" s="18">
        <f t="shared" si="10"/>
        <v>1</v>
      </c>
      <c r="BH7" s="18">
        <f t="shared" si="10"/>
        <v>1</v>
      </c>
      <c r="BI7" s="18">
        <f t="shared" si="10"/>
        <v>1</v>
      </c>
      <c r="BJ7" s="18">
        <f t="shared" si="10"/>
        <v>1</v>
      </c>
      <c r="BK7" s="18">
        <f t="shared" si="10"/>
        <v>1</v>
      </c>
      <c r="BL7" s="18">
        <f t="shared" si="10"/>
        <v>1</v>
      </c>
      <c r="BM7" s="18">
        <f t="shared" si="10"/>
        <v>1</v>
      </c>
      <c r="BN7" s="18">
        <f t="shared" si="10"/>
        <v>1</v>
      </c>
      <c r="BO7" s="18">
        <f t="shared" si="10"/>
        <v>1</v>
      </c>
      <c r="BP7" s="18">
        <f t="shared" si="10"/>
        <v>1</v>
      </c>
      <c r="BQ7" s="18">
        <f t="shared" si="10"/>
        <v>1</v>
      </c>
      <c r="BR7" s="18">
        <f t="shared" si="10"/>
        <v>1</v>
      </c>
      <c r="BS7" s="18">
        <f t="shared" si="10"/>
        <v>1</v>
      </c>
      <c r="BT7" s="18">
        <f t="shared" si="10"/>
        <v>1</v>
      </c>
      <c r="BU7" s="18">
        <f t="shared" si="10"/>
        <v>1</v>
      </c>
      <c r="BV7" s="18">
        <f t="shared" si="10"/>
        <v>1</v>
      </c>
      <c r="BW7" s="18">
        <f t="shared" si="10"/>
        <v>1</v>
      </c>
      <c r="BX7" s="18">
        <f t="shared" si="10"/>
        <v>1</v>
      </c>
      <c r="BY7" s="18">
        <f t="shared" si="10"/>
        <v>1</v>
      </c>
      <c r="BZ7" s="18">
        <f t="shared" si="10"/>
        <v>1</v>
      </c>
      <c r="CA7" s="18">
        <f t="shared" si="10"/>
        <v>1</v>
      </c>
      <c r="CB7" s="18">
        <f t="shared" si="10"/>
        <v>1</v>
      </c>
      <c r="CC7" s="18">
        <f t="shared" si="10"/>
        <v>1</v>
      </c>
      <c r="CD7" s="18">
        <f t="shared" si="10"/>
        <v>1</v>
      </c>
      <c r="CE7" s="18">
        <f t="shared" si="10"/>
        <v>1</v>
      </c>
      <c r="CF7" s="18">
        <f t="shared" si="10"/>
        <v>1</v>
      </c>
      <c r="CG7" s="18">
        <f t="shared" si="10"/>
        <v>1</v>
      </c>
      <c r="CH7" s="18">
        <f t="shared" si="10"/>
        <v>1</v>
      </c>
      <c r="CI7" s="18">
        <f t="shared" si="10"/>
        <v>1</v>
      </c>
      <c r="CJ7" s="18">
        <f t="shared" si="10"/>
        <v>1</v>
      </c>
      <c r="CK7" s="18">
        <f t="shared" si="10"/>
        <v>1</v>
      </c>
      <c r="CL7" s="18">
        <f t="shared" si="10"/>
        <v>1</v>
      </c>
      <c r="CM7" s="18">
        <f t="shared" si="10"/>
        <v>1</v>
      </c>
      <c r="CN7" s="18">
        <f t="shared" si="10"/>
        <v>1</v>
      </c>
      <c r="CO7" s="18">
        <f t="shared" si="10"/>
        <v>1</v>
      </c>
      <c r="CP7" s="18">
        <f t="shared" si="10"/>
        <v>1</v>
      </c>
      <c r="CQ7" s="18">
        <f t="shared" si="10"/>
        <v>1</v>
      </c>
      <c r="CR7" s="18">
        <f t="shared" si="10"/>
        <v>1</v>
      </c>
      <c r="CS7" s="18">
        <f t="shared" si="10"/>
        <v>1</v>
      </c>
      <c r="CT7" s="18">
        <f t="shared" si="10"/>
        <v>1</v>
      </c>
      <c r="CU7" s="18">
        <f t="shared" si="10"/>
        <v>1</v>
      </c>
      <c r="CV7" s="18">
        <f t="shared" si="10"/>
        <v>1</v>
      </c>
      <c r="CW7" s="18">
        <f t="shared" si="10"/>
        <v>1</v>
      </c>
      <c r="CX7" s="18">
        <f t="shared" si="10"/>
        <v>1</v>
      </c>
      <c r="CY7" s="18">
        <f t="shared" si="10"/>
        <v>1</v>
      </c>
      <c r="CZ7" s="18">
        <f t="shared" si="10"/>
        <v>1</v>
      </c>
      <c r="DA7" s="18">
        <f t="shared" si="10"/>
        <v>1</v>
      </c>
      <c r="DB7" s="18">
        <f t="shared" si="10"/>
        <v>1</v>
      </c>
      <c r="DC7" s="18">
        <f t="shared" si="11"/>
        <v>1</v>
      </c>
      <c r="DD7" s="18">
        <f t="shared" si="11"/>
        <v>1</v>
      </c>
      <c r="DE7" s="18">
        <f t="shared" si="11"/>
        <v>1</v>
      </c>
      <c r="DF7" s="18">
        <f t="shared" si="11"/>
        <v>1</v>
      </c>
      <c r="DG7" s="18">
        <f t="shared" si="11"/>
        <v>1</v>
      </c>
      <c r="DH7" s="18">
        <f t="shared" si="11"/>
        <v>1</v>
      </c>
      <c r="DI7" s="18">
        <f t="shared" si="11"/>
        <v>1</v>
      </c>
      <c r="DJ7" s="18">
        <f t="shared" si="11"/>
        <v>1</v>
      </c>
      <c r="DK7" s="18">
        <f t="shared" si="11"/>
        <v>1</v>
      </c>
      <c r="DL7" s="18">
        <f t="shared" si="11"/>
        <v>1</v>
      </c>
      <c r="DM7" s="18">
        <f t="shared" si="11"/>
        <v>1</v>
      </c>
      <c r="DN7" s="18">
        <f t="shared" si="11"/>
        <v>1</v>
      </c>
      <c r="DO7" s="18">
        <f t="shared" si="11"/>
        <v>1</v>
      </c>
      <c r="DP7" s="18">
        <f t="shared" si="11"/>
        <v>1</v>
      </c>
      <c r="DQ7" s="18">
        <f t="shared" si="11"/>
        <v>1</v>
      </c>
      <c r="DR7" s="18">
        <f t="shared" si="11"/>
        <v>1</v>
      </c>
      <c r="DS7" s="18">
        <f t="shared" si="11"/>
        <v>1</v>
      </c>
      <c r="DT7" s="18">
        <f t="shared" si="11"/>
        <v>1</v>
      </c>
      <c r="DU7" s="18">
        <f t="shared" si="11"/>
        <v>1</v>
      </c>
      <c r="DV7" s="18">
        <f t="shared" si="11"/>
        <v>1</v>
      </c>
      <c r="DW7" s="18">
        <f t="shared" si="11"/>
        <v>1</v>
      </c>
      <c r="DX7" s="18">
        <f t="shared" si="11"/>
        <v>1</v>
      </c>
      <c r="DY7" s="18">
        <f t="shared" si="11"/>
        <v>1</v>
      </c>
      <c r="DZ7" s="18">
        <f t="shared" si="11"/>
        <v>1</v>
      </c>
      <c r="EA7" s="18">
        <f t="shared" si="11"/>
        <v>1</v>
      </c>
      <c r="EB7" s="18">
        <f t="shared" si="11"/>
        <v>1</v>
      </c>
      <c r="EC7" s="18">
        <f t="shared" si="11"/>
        <v>1</v>
      </c>
      <c r="ED7" s="18">
        <f t="shared" si="11"/>
        <v>0</v>
      </c>
      <c r="EE7" s="18">
        <f t="shared" si="11"/>
        <v>0</v>
      </c>
      <c r="EF7" s="18">
        <f t="shared" si="11"/>
        <v>0</v>
      </c>
      <c r="EG7" s="18">
        <f t="shared" si="11"/>
        <v>0</v>
      </c>
      <c r="EH7" s="18">
        <f t="shared" si="11"/>
        <v>0</v>
      </c>
      <c r="EI7" s="18">
        <f t="shared" si="11"/>
        <v>0</v>
      </c>
      <c r="EJ7" s="18">
        <f t="shared" si="11"/>
        <v>0</v>
      </c>
      <c r="EK7" s="18">
        <f t="shared" si="11"/>
        <v>0</v>
      </c>
      <c r="EL7" s="18">
        <f t="shared" si="11"/>
        <v>0</v>
      </c>
      <c r="EM7" s="18">
        <f t="shared" si="11"/>
        <v>0</v>
      </c>
      <c r="EN7" s="18">
        <f t="shared" si="11"/>
        <v>0</v>
      </c>
      <c r="EO7" s="18">
        <f t="shared" si="11"/>
        <v>0</v>
      </c>
      <c r="EP7" s="18">
        <f t="shared" si="11"/>
        <v>0</v>
      </c>
      <c r="EQ7" s="18">
        <f t="shared" si="11"/>
        <v>0</v>
      </c>
      <c r="ER7" s="18">
        <f t="shared" si="11"/>
        <v>0</v>
      </c>
      <c r="ES7" s="18">
        <f t="shared" si="11"/>
        <v>0</v>
      </c>
      <c r="ET7" s="18">
        <f t="shared" si="11"/>
        <v>0</v>
      </c>
      <c r="EU7" s="18">
        <f t="shared" si="12"/>
        <v>0</v>
      </c>
      <c r="EV7" s="18">
        <f t="shared" si="12"/>
        <v>0</v>
      </c>
      <c r="EW7" s="18">
        <f t="shared" si="12"/>
        <v>0</v>
      </c>
      <c r="EX7" s="18">
        <f t="shared" si="12"/>
        <v>0</v>
      </c>
      <c r="EY7" s="18">
        <f t="shared" si="12"/>
        <v>0</v>
      </c>
      <c r="EZ7" s="18">
        <f t="shared" si="12"/>
        <v>0</v>
      </c>
      <c r="FA7" s="18">
        <f t="shared" si="12"/>
        <v>0</v>
      </c>
      <c r="FB7" s="18">
        <f t="shared" si="12"/>
        <v>0</v>
      </c>
      <c r="FC7" s="18">
        <f t="shared" si="12"/>
        <v>0</v>
      </c>
      <c r="FD7" s="18">
        <f t="shared" si="12"/>
        <v>0</v>
      </c>
      <c r="FE7" s="18">
        <f t="shared" si="12"/>
        <v>0</v>
      </c>
      <c r="FF7" s="18">
        <f t="shared" si="12"/>
        <v>0</v>
      </c>
      <c r="FG7" s="18">
        <f t="shared" si="12"/>
        <v>0</v>
      </c>
      <c r="FH7" s="18">
        <f t="shared" si="12"/>
        <v>0</v>
      </c>
      <c r="FI7" s="18">
        <f t="shared" si="12"/>
        <v>0</v>
      </c>
      <c r="FJ7" s="18">
        <f t="shared" si="12"/>
        <v>0</v>
      </c>
      <c r="FK7" s="18">
        <f t="shared" si="12"/>
        <v>0</v>
      </c>
      <c r="FL7" s="18">
        <f t="shared" si="12"/>
        <v>0</v>
      </c>
      <c r="FM7" s="18">
        <f t="shared" si="12"/>
        <v>0</v>
      </c>
      <c r="FN7" s="18">
        <f t="shared" si="12"/>
        <v>0</v>
      </c>
      <c r="FO7" s="18">
        <f t="shared" si="12"/>
        <v>0</v>
      </c>
      <c r="FP7" s="18">
        <f t="shared" si="12"/>
        <v>0</v>
      </c>
      <c r="FQ7" s="18">
        <f t="shared" si="12"/>
        <v>0</v>
      </c>
      <c r="FR7" s="18">
        <f t="shared" si="12"/>
        <v>0</v>
      </c>
      <c r="FS7" s="18">
        <f t="shared" si="12"/>
        <v>0</v>
      </c>
      <c r="FT7" s="18">
        <f t="shared" si="12"/>
        <v>0</v>
      </c>
      <c r="FU7" s="18">
        <f t="shared" si="12"/>
        <v>0</v>
      </c>
      <c r="FV7" s="18">
        <f t="shared" si="12"/>
        <v>0</v>
      </c>
      <c r="FW7" s="18">
        <f t="shared" si="12"/>
        <v>0</v>
      </c>
      <c r="FX7" s="18">
        <f t="shared" si="12"/>
        <v>0</v>
      </c>
      <c r="FY7" s="18">
        <f t="shared" si="12"/>
        <v>0</v>
      </c>
      <c r="FZ7" s="18">
        <f t="shared" si="12"/>
        <v>0</v>
      </c>
      <c r="GA7" s="18">
        <f t="shared" si="12"/>
        <v>0</v>
      </c>
      <c r="GB7" s="18">
        <f t="shared" si="12"/>
        <v>0</v>
      </c>
      <c r="GC7" s="18">
        <f t="shared" si="12"/>
        <v>0</v>
      </c>
    </row>
    <row r="8" spans="2:185" ht="17.100000000000001" customHeight="1" outlineLevel="1">
      <c r="B8" s="25"/>
      <c r="C8" s="40" t="s">
        <v>18</v>
      </c>
      <c r="D8" s="26" t="s">
        <v>19</v>
      </c>
      <c r="E8" s="27">
        <v>45323</v>
      </c>
      <c r="F8" s="27">
        <f>E8+7</f>
        <v>45330</v>
      </c>
      <c r="G8" s="28">
        <f>F8-E8</f>
        <v>7</v>
      </c>
      <c r="H8" s="29"/>
      <c r="I8" s="30"/>
      <c r="J8" s="31" t="str">
        <f t="shared" ref="J8:J11" ca="1" si="13">IF(E8="","Open",IF(H8="",IF(E8-NOW()&lt;-1,"Overdue",IF(E8-NOW()&lt;2,"Expedite","Open")),IF(ABS(H8-E8)&lt;0,"Ongoing",IF(I8="","Ongoing","Closed"))))</f>
        <v>Overdue</v>
      </c>
      <c r="K8" s="18">
        <f t="shared" si="8"/>
        <v>0</v>
      </c>
      <c r="L8" s="18">
        <f t="shared" si="8"/>
        <v>0</v>
      </c>
      <c r="M8" s="18">
        <f t="shared" si="8"/>
        <v>0</v>
      </c>
      <c r="N8" s="18">
        <f t="shared" si="8"/>
        <v>1</v>
      </c>
      <c r="O8" s="18">
        <f t="shared" si="8"/>
        <v>1</v>
      </c>
      <c r="P8" s="18">
        <f t="shared" si="8"/>
        <v>1</v>
      </c>
      <c r="Q8" s="18">
        <f t="shared" si="8"/>
        <v>1</v>
      </c>
      <c r="R8" s="18">
        <f t="shared" si="8"/>
        <v>1</v>
      </c>
      <c r="S8" s="18">
        <f t="shared" si="8"/>
        <v>1</v>
      </c>
      <c r="T8" s="18">
        <f t="shared" si="8"/>
        <v>1</v>
      </c>
      <c r="U8" s="18">
        <f t="shared" si="8"/>
        <v>1</v>
      </c>
      <c r="V8" s="18">
        <f t="shared" si="8"/>
        <v>0</v>
      </c>
      <c r="W8" s="18">
        <f t="shared" si="8"/>
        <v>0</v>
      </c>
      <c r="X8" s="18">
        <f t="shared" si="8"/>
        <v>0</v>
      </c>
      <c r="Y8" s="18">
        <f t="shared" si="8"/>
        <v>0</v>
      </c>
      <c r="Z8" s="18">
        <f t="shared" si="8"/>
        <v>0</v>
      </c>
      <c r="AA8" s="18">
        <f t="shared" si="9"/>
        <v>0</v>
      </c>
      <c r="AB8" s="18">
        <f t="shared" si="9"/>
        <v>0</v>
      </c>
      <c r="AC8" s="18">
        <f t="shared" si="9"/>
        <v>0</v>
      </c>
      <c r="AD8" s="18">
        <f t="shared" si="9"/>
        <v>0</v>
      </c>
      <c r="AE8" s="18">
        <f t="shared" si="9"/>
        <v>0</v>
      </c>
      <c r="AF8" s="18">
        <f t="shared" si="9"/>
        <v>0</v>
      </c>
      <c r="AG8" s="18">
        <f t="shared" si="9"/>
        <v>0</v>
      </c>
      <c r="AH8" s="18">
        <f t="shared" si="9"/>
        <v>0</v>
      </c>
      <c r="AI8" s="18">
        <f t="shared" si="9"/>
        <v>0</v>
      </c>
      <c r="AJ8" s="18">
        <f t="shared" si="9"/>
        <v>0</v>
      </c>
      <c r="AK8" s="18">
        <f t="shared" si="9"/>
        <v>0</v>
      </c>
      <c r="AL8" s="18">
        <f t="shared" si="9"/>
        <v>0</v>
      </c>
      <c r="AM8" s="18">
        <f t="shared" si="9"/>
        <v>0</v>
      </c>
      <c r="AN8" s="18">
        <f t="shared" si="9"/>
        <v>0</v>
      </c>
      <c r="AO8" s="18">
        <f t="shared" si="9"/>
        <v>0</v>
      </c>
      <c r="AP8" s="18">
        <f t="shared" si="9"/>
        <v>0</v>
      </c>
      <c r="AQ8" s="18">
        <f t="shared" si="10"/>
        <v>0</v>
      </c>
      <c r="AR8" s="18">
        <f t="shared" si="10"/>
        <v>0</v>
      </c>
      <c r="AS8" s="18">
        <f t="shared" si="10"/>
        <v>0</v>
      </c>
      <c r="AT8" s="18">
        <f t="shared" si="10"/>
        <v>0</v>
      </c>
      <c r="AU8" s="18">
        <f t="shared" si="10"/>
        <v>0</v>
      </c>
      <c r="AV8" s="18">
        <f t="shared" si="10"/>
        <v>0</v>
      </c>
      <c r="AW8" s="18">
        <f t="shared" si="10"/>
        <v>0</v>
      </c>
      <c r="AX8" s="18">
        <f t="shared" si="10"/>
        <v>0</v>
      </c>
      <c r="AY8" s="18">
        <f t="shared" si="10"/>
        <v>0</v>
      </c>
      <c r="AZ8" s="18">
        <f t="shared" si="10"/>
        <v>0</v>
      </c>
      <c r="BA8" s="18">
        <f t="shared" si="10"/>
        <v>0</v>
      </c>
      <c r="BB8" s="18">
        <f t="shared" si="10"/>
        <v>0</v>
      </c>
      <c r="BC8" s="18">
        <f t="shared" si="10"/>
        <v>0</v>
      </c>
      <c r="BD8" s="18">
        <f t="shared" si="10"/>
        <v>0</v>
      </c>
      <c r="BE8" s="18">
        <f t="shared" si="10"/>
        <v>0</v>
      </c>
      <c r="BF8" s="18">
        <f t="shared" si="10"/>
        <v>0</v>
      </c>
      <c r="BG8" s="18">
        <f t="shared" si="10"/>
        <v>0</v>
      </c>
      <c r="BH8" s="18">
        <f t="shared" si="10"/>
        <v>0</v>
      </c>
      <c r="BI8" s="18">
        <f t="shared" si="10"/>
        <v>0</v>
      </c>
      <c r="BJ8" s="18">
        <f t="shared" si="10"/>
        <v>0</v>
      </c>
      <c r="BK8" s="18">
        <f t="shared" si="10"/>
        <v>0</v>
      </c>
      <c r="BL8" s="18">
        <f t="shared" si="10"/>
        <v>0</v>
      </c>
      <c r="BM8" s="18">
        <f t="shared" si="10"/>
        <v>0</v>
      </c>
      <c r="BN8" s="18">
        <f t="shared" si="10"/>
        <v>0</v>
      </c>
      <c r="BO8" s="18">
        <f t="shared" si="10"/>
        <v>0</v>
      </c>
      <c r="BP8" s="18">
        <f t="shared" si="10"/>
        <v>0</v>
      </c>
      <c r="BQ8" s="18">
        <f t="shared" si="10"/>
        <v>0</v>
      </c>
      <c r="BR8" s="18">
        <f t="shared" si="10"/>
        <v>0</v>
      </c>
      <c r="BS8" s="18">
        <f t="shared" si="10"/>
        <v>0</v>
      </c>
      <c r="BT8" s="18">
        <f t="shared" si="10"/>
        <v>0</v>
      </c>
      <c r="BU8" s="18">
        <f t="shared" si="10"/>
        <v>0</v>
      </c>
      <c r="BV8" s="18">
        <f t="shared" si="10"/>
        <v>0</v>
      </c>
      <c r="BW8" s="18">
        <f t="shared" si="10"/>
        <v>0</v>
      </c>
      <c r="BX8" s="18">
        <f t="shared" si="10"/>
        <v>0</v>
      </c>
      <c r="BY8" s="18">
        <f t="shared" si="10"/>
        <v>0</v>
      </c>
      <c r="BZ8" s="18">
        <f t="shared" si="10"/>
        <v>0</v>
      </c>
      <c r="CA8" s="18">
        <f t="shared" si="10"/>
        <v>0</v>
      </c>
      <c r="CB8" s="18">
        <f t="shared" si="10"/>
        <v>0</v>
      </c>
      <c r="CC8" s="18">
        <f t="shared" si="10"/>
        <v>0</v>
      </c>
      <c r="CD8" s="18">
        <f t="shared" si="10"/>
        <v>0</v>
      </c>
      <c r="CE8" s="18">
        <f t="shared" si="10"/>
        <v>0</v>
      </c>
      <c r="CF8" s="18">
        <f t="shared" si="10"/>
        <v>0</v>
      </c>
      <c r="CG8" s="18">
        <f t="shared" si="10"/>
        <v>0</v>
      </c>
      <c r="CH8" s="18">
        <f t="shared" si="10"/>
        <v>0</v>
      </c>
      <c r="CI8" s="18">
        <f t="shared" si="10"/>
        <v>0</v>
      </c>
      <c r="CJ8" s="18">
        <f t="shared" si="10"/>
        <v>0</v>
      </c>
      <c r="CK8" s="18">
        <f t="shared" si="10"/>
        <v>0</v>
      </c>
      <c r="CL8" s="18">
        <f t="shared" si="10"/>
        <v>0</v>
      </c>
      <c r="CM8" s="18">
        <f t="shared" si="10"/>
        <v>0</v>
      </c>
      <c r="CN8" s="18">
        <f t="shared" si="10"/>
        <v>0</v>
      </c>
      <c r="CO8" s="18">
        <f t="shared" si="10"/>
        <v>0</v>
      </c>
      <c r="CP8" s="18">
        <f t="shared" si="10"/>
        <v>0</v>
      </c>
      <c r="CQ8" s="18">
        <f t="shared" si="10"/>
        <v>0</v>
      </c>
      <c r="CR8" s="18">
        <f t="shared" si="10"/>
        <v>0</v>
      </c>
      <c r="CS8" s="18">
        <f t="shared" si="10"/>
        <v>0</v>
      </c>
      <c r="CT8" s="18">
        <f t="shared" si="10"/>
        <v>0</v>
      </c>
      <c r="CU8" s="18">
        <f t="shared" si="10"/>
        <v>0</v>
      </c>
      <c r="CV8" s="18">
        <f t="shared" si="10"/>
        <v>0</v>
      </c>
      <c r="CW8" s="18">
        <f t="shared" si="10"/>
        <v>0</v>
      </c>
      <c r="CX8" s="18">
        <f t="shared" si="10"/>
        <v>0</v>
      </c>
      <c r="CY8" s="18">
        <f t="shared" si="10"/>
        <v>0</v>
      </c>
      <c r="CZ8" s="18">
        <f t="shared" si="10"/>
        <v>0</v>
      </c>
      <c r="DA8" s="18">
        <f t="shared" si="10"/>
        <v>0</v>
      </c>
      <c r="DB8" s="18">
        <f t="shared" si="10"/>
        <v>0</v>
      </c>
      <c r="DC8" s="18">
        <f t="shared" si="11"/>
        <v>0</v>
      </c>
      <c r="DD8" s="18">
        <f t="shared" si="11"/>
        <v>0</v>
      </c>
      <c r="DE8" s="18">
        <f t="shared" si="11"/>
        <v>0</v>
      </c>
      <c r="DF8" s="18">
        <f t="shared" si="11"/>
        <v>0</v>
      </c>
      <c r="DG8" s="18">
        <f t="shared" si="11"/>
        <v>0</v>
      </c>
      <c r="DH8" s="18">
        <f t="shared" si="11"/>
        <v>0</v>
      </c>
      <c r="DI8" s="18">
        <f t="shared" si="11"/>
        <v>0</v>
      </c>
      <c r="DJ8" s="18">
        <f t="shared" si="11"/>
        <v>0</v>
      </c>
      <c r="DK8" s="18">
        <f t="shared" si="11"/>
        <v>0</v>
      </c>
      <c r="DL8" s="18">
        <f t="shared" si="11"/>
        <v>0</v>
      </c>
      <c r="DM8" s="18">
        <f t="shared" si="11"/>
        <v>0</v>
      </c>
      <c r="DN8" s="18">
        <f t="shared" si="11"/>
        <v>0</v>
      </c>
      <c r="DO8" s="18">
        <f t="shared" si="11"/>
        <v>0</v>
      </c>
      <c r="DP8" s="18">
        <f t="shared" si="11"/>
        <v>0</v>
      </c>
      <c r="DQ8" s="18">
        <f t="shared" si="11"/>
        <v>0</v>
      </c>
      <c r="DR8" s="18">
        <f t="shared" si="11"/>
        <v>0</v>
      </c>
      <c r="DS8" s="18">
        <f t="shared" si="11"/>
        <v>0</v>
      </c>
      <c r="DT8" s="18">
        <f t="shared" si="11"/>
        <v>0</v>
      </c>
      <c r="DU8" s="18">
        <f t="shared" si="11"/>
        <v>0</v>
      </c>
      <c r="DV8" s="18">
        <f t="shared" si="11"/>
        <v>0</v>
      </c>
      <c r="DW8" s="18">
        <f t="shared" si="11"/>
        <v>0</v>
      </c>
      <c r="DX8" s="18">
        <f t="shared" si="11"/>
        <v>0</v>
      </c>
      <c r="DY8" s="18">
        <f t="shared" si="11"/>
        <v>0</v>
      </c>
      <c r="DZ8" s="18">
        <f t="shared" si="11"/>
        <v>0</v>
      </c>
      <c r="EA8" s="18">
        <f t="shared" si="11"/>
        <v>0</v>
      </c>
      <c r="EB8" s="18">
        <f t="shared" si="11"/>
        <v>0</v>
      </c>
      <c r="EC8" s="18">
        <f t="shared" si="11"/>
        <v>0</v>
      </c>
      <c r="ED8" s="18">
        <f t="shared" si="11"/>
        <v>0</v>
      </c>
      <c r="EE8" s="18">
        <f t="shared" si="11"/>
        <v>0</v>
      </c>
      <c r="EF8" s="18">
        <f t="shared" si="11"/>
        <v>0</v>
      </c>
      <c r="EG8" s="18">
        <f t="shared" si="11"/>
        <v>0</v>
      </c>
      <c r="EH8" s="18">
        <f t="shared" si="11"/>
        <v>0</v>
      </c>
      <c r="EI8" s="18">
        <f t="shared" si="11"/>
        <v>0</v>
      </c>
      <c r="EJ8" s="18">
        <f t="shared" si="11"/>
        <v>0</v>
      </c>
      <c r="EK8" s="18">
        <f t="shared" si="11"/>
        <v>0</v>
      </c>
      <c r="EL8" s="18">
        <f t="shared" si="11"/>
        <v>0</v>
      </c>
      <c r="EM8" s="18">
        <f t="shared" si="11"/>
        <v>0</v>
      </c>
      <c r="EN8" s="18">
        <f t="shared" si="11"/>
        <v>0</v>
      </c>
      <c r="EO8" s="18">
        <f t="shared" si="11"/>
        <v>0</v>
      </c>
      <c r="EP8" s="18">
        <f t="shared" si="11"/>
        <v>0</v>
      </c>
      <c r="EQ8" s="18">
        <f t="shared" si="11"/>
        <v>0</v>
      </c>
      <c r="ER8" s="18">
        <f t="shared" si="11"/>
        <v>0</v>
      </c>
      <c r="ES8" s="18">
        <f t="shared" si="11"/>
        <v>0</v>
      </c>
      <c r="ET8" s="18">
        <f t="shared" si="11"/>
        <v>0</v>
      </c>
      <c r="EU8" s="18">
        <f t="shared" si="12"/>
        <v>0</v>
      </c>
      <c r="EV8" s="18">
        <f t="shared" si="12"/>
        <v>0</v>
      </c>
      <c r="EW8" s="18">
        <f t="shared" si="12"/>
        <v>0</v>
      </c>
      <c r="EX8" s="18">
        <f t="shared" si="12"/>
        <v>0</v>
      </c>
      <c r="EY8" s="18">
        <f t="shared" si="12"/>
        <v>0</v>
      </c>
      <c r="EZ8" s="18">
        <f t="shared" si="12"/>
        <v>0</v>
      </c>
      <c r="FA8" s="18">
        <f t="shared" si="12"/>
        <v>0</v>
      </c>
      <c r="FB8" s="18">
        <f t="shared" si="12"/>
        <v>0</v>
      </c>
      <c r="FC8" s="18">
        <f t="shared" si="12"/>
        <v>0</v>
      </c>
      <c r="FD8" s="18">
        <f t="shared" si="12"/>
        <v>0</v>
      </c>
      <c r="FE8" s="18">
        <f t="shared" si="12"/>
        <v>0</v>
      </c>
      <c r="FF8" s="18">
        <f t="shared" si="12"/>
        <v>0</v>
      </c>
      <c r="FG8" s="18">
        <f t="shared" si="12"/>
        <v>0</v>
      </c>
      <c r="FH8" s="18">
        <f t="shared" si="12"/>
        <v>0</v>
      </c>
      <c r="FI8" s="18">
        <f t="shared" si="12"/>
        <v>0</v>
      </c>
      <c r="FJ8" s="18">
        <f t="shared" si="12"/>
        <v>0</v>
      </c>
      <c r="FK8" s="18">
        <f t="shared" si="12"/>
        <v>0</v>
      </c>
      <c r="FL8" s="18">
        <f t="shared" si="12"/>
        <v>0</v>
      </c>
      <c r="FM8" s="18">
        <f t="shared" si="12"/>
        <v>0</v>
      </c>
      <c r="FN8" s="18">
        <f t="shared" si="12"/>
        <v>0</v>
      </c>
      <c r="FO8" s="18">
        <f t="shared" si="12"/>
        <v>0</v>
      </c>
      <c r="FP8" s="18">
        <f t="shared" si="12"/>
        <v>0</v>
      </c>
      <c r="FQ8" s="18">
        <f t="shared" si="12"/>
        <v>0</v>
      </c>
      <c r="FR8" s="18">
        <f t="shared" si="12"/>
        <v>0</v>
      </c>
      <c r="FS8" s="18">
        <f t="shared" si="12"/>
        <v>0</v>
      </c>
      <c r="FT8" s="18">
        <f t="shared" si="12"/>
        <v>0</v>
      </c>
      <c r="FU8" s="18">
        <f t="shared" si="12"/>
        <v>0</v>
      </c>
      <c r="FV8" s="18">
        <f t="shared" si="12"/>
        <v>0</v>
      </c>
      <c r="FW8" s="18">
        <f t="shared" si="12"/>
        <v>0</v>
      </c>
      <c r="FX8" s="18">
        <f t="shared" si="12"/>
        <v>0</v>
      </c>
      <c r="FY8" s="18">
        <f t="shared" si="12"/>
        <v>0</v>
      </c>
      <c r="FZ8" s="18">
        <f t="shared" si="12"/>
        <v>0</v>
      </c>
      <c r="GA8" s="18">
        <f t="shared" si="12"/>
        <v>0</v>
      </c>
      <c r="GB8" s="18">
        <f t="shared" si="12"/>
        <v>0</v>
      </c>
      <c r="GC8" s="18">
        <f t="shared" si="12"/>
        <v>0</v>
      </c>
    </row>
    <row r="9" spans="2:185" ht="17.100000000000001" customHeight="1" outlineLevel="1">
      <c r="B9" s="25"/>
      <c r="C9" s="40" t="s">
        <v>20</v>
      </c>
      <c r="D9" s="26" t="s">
        <v>19</v>
      </c>
      <c r="E9" s="27">
        <f>F8+1</f>
        <v>45331</v>
      </c>
      <c r="F9" s="27">
        <f>E9+6</f>
        <v>45337</v>
      </c>
      <c r="G9" s="28">
        <f t="shared" ref="G9:G12" si="14">F9-E9</f>
        <v>6</v>
      </c>
      <c r="H9" s="29"/>
      <c r="I9" s="30"/>
      <c r="J9" s="31" t="s">
        <v>21</v>
      </c>
      <c r="K9" s="18">
        <f t="shared" si="8"/>
        <v>0</v>
      </c>
      <c r="L9" s="18">
        <f t="shared" si="8"/>
        <v>0</v>
      </c>
      <c r="M9" s="18">
        <f t="shared" si="8"/>
        <v>0</v>
      </c>
      <c r="N9" s="18">
        <f t="shared" si="8"/>
        <v>0</v>
      </c>
      <c r="O9" s="18">
        <f t="shared" si="8"/>
        <v>0</v>
      </c>
      <c r="P9" s="18">
        <f t="shared" si="8"/>
        <v>0</v>
      </c>
      <c r="Q9" s="18">
        <f t="shared" si="8"/>
        <v>0</v>
      </c>
      <c r="R9" s="18">
        <f t="shared" si="8"/>
        <v>0</v>
      </c>
      <c r="S9" s="18">
        <f t="shared" si="8"/>
        <v>0</v>
      </c>
      <c r="T9" s="18">
        <f t="shared" si="8"/>
        <v>0</v>
      </c>
      <c r="U9" s="18">
        <f t="shared" si="8"/>
        <v>0</v>
      </c>
      <c r="V9" s="18">
        <f t="shared" si="8"/>
        <v>1</v>
      </c>
      <c r="W9" s="18">
        <f t="shared" si="8"/>
        <v>1</v>
      </c>
      <c r="X9" s="18">
        <f t="shared" si="8"/>
        <v>1</v>
      </c>
      <c r="Y9" s="18">
        <f t="shared" si="8"/>
        <v>1</v>
      </c>
      <c r="Z9" s="18">
        <f t="shared" si="8"/>
        <v>1</v>
      </c>
      <c r="AA9" s="18">
        <f t="shared" si="9"/>
        <v>1</v>
      </c>
      <c r="AB9" s="18">
        <f t="shared" si="9"/>
        <v>1</v>
      </c>
      <c r="AC9" s="18">
        <f t="shared" si="9"/>
        <v>0</v>
      </c>
      <c r="AD9" s="18">
        <f t="shared" si="9"/>
        <v>0</v>
      </c>
      <c r="AE9" s="18">
        <f t="shared" si="9"/>
        <v>0</v>
      </c>
      <c r="AF9" s="18">
        <f t="shared" si="9"/>
        <v>0</v>
      </c>
      <c r="AG9" s="18">
        <f t="shared" si="9"/>
        <v>0</v>
      </c>
      <c r="AH9" s="18">
        <f t="shared" si="9"/>
        <v>0</v>
      </c>
      <c r="AI9" s="18">
        <f t="shared" si="9"/>
        <v>0</v>
      </c>
      <c r="AJ9" s="18">
        <f t="shared" si="9"/>
        <v>0</v>
      </c>
      <c r="AK9" s="18">
        <f t="shared" si="9"/>
        <v>0</v>
      </c>
      <c r="AL9" s="18">
        <f t="shared" si="9"/>
        <v>0</v>
      </c>
      <c r="AM9" s="18">
        <f t="shared" si="9"/>
        <v>0</v>
      </c>
      <c r="AN9" s="18">
        <f t="shared" si="9"/>
        <v>0</v>
      </c>
      <c r="AO9" s="18">
        <f t="shared" si="9"/>
        <v>0</v>
      </c>
      <c r="AP9" s="18">
        <f t="shared" si="9"/>
        <v>0</v>
      </c>
      <c r="AQ9" s="18">
        <f t="shared" si="10"/>
        <v>0</v>
      </c>
      <c r="AR9" s="18">
        <f t="shared" si="10"/>
        <v>0</v>
      </c>
      <c r="AS9" s="18">
        <f t="shared" si="10"/>
        <v>0</v>
      </c>
      <c r="AT9" s="18">
        <f t="shared" si="10"/>
        <v>0</v>
      </c>
      <c r="AU9" s="18">
        <f t="shared" si="10"/>
        <v>0</v>
      </c>
      <c r="AV9" s="18">
        <f t="shared" si="10"/>
        <v>0</v>
      </c>
      <c r="AW9" s="18">
        <f t="shared" si="10"/>
        <v>0</v>
      </c>
      <c r="AX9" s="18">
        <f t="shared" si="10"/>
        <v>0</v>
      </c>
      <c r="AY9" s="18">
        <f t="shared" si="10"/>
        <v>0</v>
      </c>
      <c r="AZ9" s="18">
        <f t="shared" si="10"/>
        <v>0</v>
      </c>
      <c r="BA9" s="18">
        <f t="shared" si="10"/>
        <v>0</v>
      </c>
      <c r="BB9" s="18">
        <f t="shared" si="10"/>
        <v>0</v>
      </c>
      <c r="BC9" s="18">
        <f t="shared" si="10"/>
        <v>0</v>
      </c>
      <c r="BD9" s="18">
        <f t="shared" si="10"/>
        <v>0</v>
      </c>
      <c r="BE9" s="18">
        <f t="shared" si="10"/>
        <v>0</v>
      </c>
      <c r="BF9" s="18">
        <f t="shared" si="10"/>
        <v>0</v>
      </c>
      <c r="BG9" s="18">
        <f t="shared" si="10"/>
        <v>0</v>
      </c>
      <c r="BH9" s="18">
        <f t="shared" si="10"/>
        <v>0</v>
      </c>
      <c r="BI9" s="18">
        <f t="shared" si="10"/>
        <v>0</v>
      </c>
      <c r="BJ9" s="18">
        <f t="shared" si="10"/>
        <v>0</v>
      </c>
      <c r="BK9" s="18">
        <f t="shared" si="10"/>
        <v>0</v>
      </c>
      <c r="BL9" s="18">
        <f t="shared" si="10"/>
        <v>0</v>
      </c>
      <c r="BM9" s="18">
        <f t="shared" si="10"/>
        <v>0</v>
      </c>
      <c r="BN9" s="18">
        <f t="shared" si="10"/>
        <v>0</v>
      </c>
      <c r="BO9" s="18">
        <f t="shared" si="10"/>
        <v>0</v>
      </c>
      <c r="BP9" s="18">
        <f t="shared" si="10"/>
        <v>0</v>
      </c>
      <c r="BQ9" s="18">
        <f t="shared" si="10"/>
        <v>0</v>
      </c>
      <c r="BR9" s="18">
        <f t="shared" si="10"/>
        <v>0</v>
      </c>
      <c r="BS9" s="18">
        <f t="shared" si="10"/>
        <v>0</v>
      </c>
      <c r="BT9" s="18">
        <f t="shared" si="10"/>
        <v>0</v>
      </c>
      <c r="BU9" s="18">
        <f t="shared" si="10"/>
        <v>0</v>
      </c>
      <c r="BV9" s="18">
        <f t="shared" si="10"/>
        <v>0</v>
      </c>
      <c r="BW9" s="18">
        <f t="shared" si="10"/>
        <v>0</v>
      </c>
      <c r="BX9" s="18">
        <f t="shared" si="10"/>
        <v>0</v>
      </c>
      <c r="BY9" s="18">
        <f t="shared" si="10"/>
        <v>0</v>
      </c>
      <c r="BZ9" s="18">
        <f t="shared" si="10"/>
        <v>0</v>
      </c>
      <c r="CA9" s="18">
        <f t="shared" si="10"/>
        <v>0</v>
      </c>
      <c r="CB9" s="18">
        <f t="shared" si="10"/>
        <v>0</v>
      </c>
      <c r="CC9" s="18">
        <f t="shared" si="10"/>
        <v>0</v>
      </c>
      <c r="CD9" s="18">
        <f t="shared" si="10"/>
        <v>0</v>
      </c>
      <c r="CE9" s="18">
        <f t="shared" si="10"/>
        <v>0</v>
      </c>
      <c r="CF9" s="18">
        <f t="shared" si="10"/>
        <v>0</v>
      </c>
      <c r="CG9" s="18">
        <f t="shared" si="10"/>
        <v>0</v>
      </c>
      <c r="CH9" s="18">
        <f t="shared" si="10"/>
        <v>0</v>
      </c>
      <c r="CI9" s="18">
        <f t="shared" si="10"/>
        <v>0</v>
      </c>
      <c r="CJ9" s="18">
        <f t="shared" si="10"/>
        <v>0</v>
      </c>
      <c r="CK9" s="18">
        <f t="shared" si="10"/>
        <v>0</v>
      </c>
      <c r="CL9" s="18">
        <f t="shared" si="10"/>
        <v>0</v>
      </c>
      <c r="CM9" s="18">
        <f t="shared" si="10"/>
        <v>0</v>
      </c>
      <c r="CN9" s="18">
        <f t="shared" si="10"/>
        <v>0</v>
      </c>
      <c r="CO9" s="18">
        <f t="shared" si="10"/>
        <v>0</v>
      </c>
      <c r="CP9" s="18">
        <f t="shared" si="10"/>
        <v>0</v>
      </c>
      <c r="CQ9" s="18">
        <f t="shared" si="10"/>
        <v>0</v>
      </c>
      <c r="CR9" s="18">
        <f t="shared" si="10"/>
        <v>0</v>
      </c>
      <c r="CS9" s="18">
        <f t="shared" si="10"/>
        <v>0</v>
      </c>
      <c r="CT9" s="18">
        <f t="shared" si="10"/>
        <v>0</v>
      </c>
      <c r="CU9" s="18">
        <f t="shared" si="10"/>
        <v>0</v>
      </c>
      <c r="CV9" s="18">
        <f t="shared" si="10"/>
        <v>0</v>
      </c>
      <c r="CW9" s="18">
        <f t="shared" si="10"/>
        <v>0</v>
      </c>
      <c r="CX9" s="18">
        <f t="shared" si="10"/>
        <v>0</v>
      </c>
      <c r="CY9" s="18">
        <f t="shared" si="10"/>
        <v>0</v>
      </c>
      <c r="CZ9" s="18">
        <f t="shared" si="10"/>
        <v>0</v>
      </c>
      <c r="DA9" s="18">
        <f t="shared" si="10"/>
        <v>0</v>
      </c>
      <c r="DB9" s="18">
        <f t="shared" ref="DB9:ET17" si="15">IF(AND($E9&lt;=DB$5,$F9&gt;=DB$5),1,0)</f>
        <v>0</v>
      </c>
      <c r="DC9" s="18">
        <f t="shared" si="15"/>
        <v>0</v>
      </c>
      <c r="DD9" s="18">
        <f t="shared" si="15"/>
        <v>0</v>
      </c>
      <c r="DE9" s="18">
        <f t="shared" si="15"/>
        <v>0</v>
      </c>
      <c r="DF9" s="18">
        <f t="shared" si="15"/>
        <v>0</v>
      </c>
      <c r="DG9" s="18">
        <f t="shared" si="15"/>
        <v>0</v>
      </c>
      <c r="DH9" s="18">
        <f t="shared" si="15"/>
        <v>0</v>
      </c>
      <c r="DI9" s="18">
        <f t="shared" si="15"/>
        <v>0</v>
      </c>
      <c r="DJ9" s="18">
        <f t="shared" si="15"/>
        <v>0</v>
      </c>
      <c r="DK9" s="18">
        <f t="shared" si="15"/>
        <v>0</v>
      </c>
      <c r="DL9" s="18">
        <f t="shared" si="15"/>
        <v>0</v>
      </c>
      <c r="DM9" s="18">
        <f t="shared" si="15"/>
        <v>0</v>
      </c>
      <c r="DN9" s="18">
        <f t="shared" si="15"/>
        <v>0</v>
      </c>
      <c r="DO9" s="18">
        <f t="shared" si="15"/>
        <v>0</v>
      </c>
      <c r="DP9" s="18">
        <f t="shared" si="15"/>
        <v>0</v>
      </c>
      <c r="DQ9" s="18">
        <f t="shared" si="15"/>
        <v>0</v>
      </c>
      <c r="DR9" s="18">
        <f t="shared" si="15"/>
        <v>0</v>
      </c>
      <c r="DS9" s="18">
        <f t="shared" si="15"/>
        <v>0</v>
      </c>
      <c r="DT9" s="18">
        <f t="shared" si="15"/>
        <v>0</v>
      </c>
      <c r="DU9" s="18">
        <f t="shared" si="15"/>
        <v>0</v>
      </c>
      <c r="DV9" s="18">
        <f t="shared" si="15"/>
        <v>0</v>
      </c>
      <c r="DW9" s="18">
        <f t="shared" si="15"/>
        <v>0</v>
      </c>
      <c r="DX9" s="18">
        <f t="shared" si="15"/>
        <v>0</v>
      </c>
      <c r="DY9" s="18">
        <f t="shared" si="15"/>
        <v>0</v>
      </c>
      <c r="DZ9" s="18">
        <f t="shared" si="15"/>
        <v>0</v>
      </c>
      <c r="EA9" s="18">
        <f t="shared" si="15"/>
        <v>0</v>
      </c>
      <c r="EB9" s="18">
        <f t="shared" si="15"/>
        <v>0</v>
      </c>
      <c r="EC9" s="18">
        <f t="shared" si="15"/>
        <v>0</v>
      </c>
      <c r="ED9" s="18">
        <f t="shared" si="15"/>
        <v>0</v>
      </c>
      <c r="EE9" s="18">
        <f t="shared" si="15"/>
        <v>0</v>
      </c>
      <c r="EF9" s="18">
        <f t="shared" si="15"/>
        <v>0</v>
      </c>
      <c r="EG9" s="18">
        <f t="shared" si="15"/>
        <v>0</v>
      </c>
      <c r="EH9" s="18">
        <f t="shared" si="15"/>
        <v>0</v>
      </c>
      <c r="EI9" s="18">
        <f t="shared" si="15"/>
        <v>0</v>
      </c>
      <c r="EJ9" s="18">
        <f t="shared" si="15"/>
        <v>0</v>
      </c>
      <c r="EK9" s="18">
        <f t="shared" si="15"/>
        <v>0</v>
      </c>
      <c r="EL9" s="18">
        <f t="shared" si="15"/>
        <v>0</v>
      </c>
      <c r="EM9" s="18">
        <f t="shared" si="15"/>
        <v>0</v>
      </c>
      <c r="EN9" s="18">
        <f t="shared" si="15"/>
        <v>0</v>
      </c>
      <c r="EO9" s="18">
        <f t="shared" si="15"/>
        <v>0</v>
      </c>
      <c r="EP9" s="18">
        <f t="shared" si="15"/>
        <v>0</v>
      </c>
      <c r="EQ9" s="18">
        <f t="shared" si="15"/>
        <v>0</v>
      </c>
      <c r="ER9" s="18">
        <f t="shared" si="15"/>
        <v>0</v>
      </c>
      <c r="ES9" s="18">
        <f t="shared" si="15"/>
        <v>0</v>
      </c>
      <c r="ET9" s="18">
        <f t="shared" si="15"/>
        <v>0</v>
      </c>
      <c r="EU9" s="18">
        <f t="shared" si="12"/>
        <v>0</v>
      </c>
      <c r="EV9" s="18">
        <f t="shared" si="12"/>
        <v>0</v>
      </c>
      <c r="EW9" s="18">
        <f t="shared" si="12"/>
        <v>0</v>
      </c>
      <c r="EX9" s="18">
        <f t="shared" si="12"/>
        <v>0</v>
      </c>
      <c r="EY9" s="18">
        <f t="shared" si="12"/>
        <v>0</v>
      </c>
      <c r="EZ9" s="18">
        <f t="shared" si="12"/>
        <v>0</v>
      </c>
      <c r="FA9" s="18">
        <f t="shared" si="12"/>
        <v>0</v>
      </c>
      <c r="FB9" s="18">
        <f t="shared" si="12"/>
        <v>0</v>
      </c>
      <c r="FC9" s="18">
        <f t="shared" si="12"/>
        <v>0</v>
      </c>
      <c r="FD9" s="18">
        <f t="shared" si="12"/>
        <v>0</v>
      </c>
      <c r="FE9" s="18">
        <f t="shared" si="12"/>
        <v>0</v>
      </c>
      <c r="FF9" s="18">
        <f t="shared" si="12"/>
        <v>0</v>
      </c>
      <c r="FG9" s="18">
        <f t="shared" si="12"/>
        <v>0</v>
      </c>
      <c r="FH9" s="18">
        <f t="shared" si="12"/>
        <v>0</v>
      </c>
      <c r="FI9" s="18">
        <f t="shared" si="12"/>
        <v>0</v>
      </c>
      <c r="FJ9" s="18">
        <f t="shared" si="12"/>
        <v>0</v>
      </c>
      <c r="FK9" s="18">
        <f t="shared" si="12"/>
        <v>0</v>
      </c>
      <c r="FL9" s="18">
        <f t="shared" si="12"/>
        <v>0</v>
      </c>
      <c r="FM9" s="18">
        <f t="shared" si="12"/>
        <v>0</v>
      </c>
      <c r="FN9" s="18">
        <f t="shared" si="12"/>
        <v>0</v>
      </c>
      <c r="FO9" s="18">
        <f t="shared" si="12"/>
        <v>0</v>
      </c>
      <c r="FP9" s="18">
        <f t="shared" si="12"/>
        <v>0</v>
      </c>
      <c r="FQ9" s="18">
        <f t="shared" si="12"/>
        <v>0</v>
      </c>
      <c r="FR9" s="18">
        <f t="shared" si="12"/>
        <v>0</v>
      </c>
      <c r="FS9" s="18">
        <f t="shared" si="12"/>
        <v>0</v>
      </c>
      <c r="FT9" s="18">
        <f t="shared" si="12"/>
        <v>0</v>
      </c>
      <c r="FU9" s="18">
        <f t="shared" si="12"/>
        <v>0</v>
      </c>
      <c r="FV9" s="18">
        <f t="shared" si="12"/>
        <v>0</v>
      </c>
      <c r="FW9" s="18">
        <f t="shared" si="12"/>
        <v>0</v>
      </c>
      <c r="FX9" s="18">
        <f t="shared" si="12"/>
        <v>0</v>
      </c>
      <c r="FY9" s="18">
        <f t="shared" si="12"/>
        <v>0</v>
      </c>
      <c r="FZ9" s="18">
        <f t="shared" si="12"/>
        <v>0</v>
      </c>
      <c r="GA9" s="18">
        <f t="shared" si="12"/>
        <v>0</v>
      </c>
      <c r="GB9" s="18">
        <f t="shared" si="12"/>
        <v>0</v>
      </c>
      <c r="GC9" s="18">
        <f t="shared" si="12"/>
        <v>0</v>
      </c>
    </row>
    <row r="10" spans="2:185" ht="17.100000000000001" customHeight="1" outlineLevel="1">
      <c r="B10" s="25"/>
      <c r="C10" s="40" t="s">
        <v>22</v>
      </c>
      <c r="D10" s="26" t="s">
        <v>19</v>
      </c>
      <c r="E10" s="27">
        <f>F9+1</f>
        <v>45338</v>
      </c>
      <c r="F10" s="27">
        <v>45442</v>
      </c>
      <c r="G10" s="28">
        <f t="shared" si="14"/>
        <v>104</v>
      </c>
      <c r="H10" s="29">
        <v>45345</v>
      </c>
      <c r="I10" s="30"/>
      <c r="J10" s="31" t="s">
        <v>23</v>
      </c>
      <c r="K10" s="18">
        <f t="shared" si="8"/>
        <v>0</v>
      </c>
      <c r="L10" s="18">
        <f t="shared" si="8"/>
        <v>0</v>
      </c>
      <c r="M10" s="18">
        <f t="shared" si="8"/>
        <v>0</v>
      </c>
      <c r="N10" s="18">
        <f t="shared" si="8"/>
        <v>0</v>
      </c>
      <c r="O10" s="18">
        <f t="shared" si="8"/>
        <v>0</v>
      </c>
      <c r="P10" s="18">
        <f t="shared" si="8"/>
        <v>0</v>
      </c>
      <c r="Q10" s="18">
        <f t="shared" si="8"/>
        <v>0</v>
      </c>
      <c r="R10" s="18">
        <f t="shared" si="8"/>
        <v>0</v>
      </c>
      <c r="S10" s="18">
        <f t="shared" si="8"/>
        <v>0</v>
      </c>
      <c r="T10" s="18">
        <f t="shared" si="8"/>
        <v>0</v>
      </c>
      <c r="U10" s="18">
        <f t="shared" si="8"/>
        <v>0</v>
      </c>
      <c r="V10" s="18">
        <f t="shared" si="8"/>
        <v>0</v>
      </c>
      <c r="W10" s="18">
        <f t="shared" si="8"/>
        <v>0</v>
      </c>
      <c r="X10" s="18">
        <f t="shared" si="8"/>
        <v>0</v>
      </c>
      <c r="Y10" s="18">
        <f t="shared" si="8"/>
        <v>0</v>
      </c>
      <c r="Z10" s="18">
        <f t="shared" si="8"/>
        <v>0</v>
      </c>
      <c r="AA10" s="18">
        <f t="shared" si="9"/>
        <v>0</v>
      </c>
      <c r="AB10" s="18">
        <f t="shared" si="9"/>
        <v>0</v>
      </c>
      <c r="AC10" s="18">
        <f t="shared" si="9"/>
        <v>1</v>
      </c>
      <c r="AD10" s="18">
        <f t="shared" si="9"/>
        <v>1</v>
      </c>
      <c r="AE10" s="18">
        <f t="shared" si="9"/>
        <v>1</v>
      </c>
      <c r="AF10" s="18">
        <f t="shared" si="9"/>
        <v>1</v>
      </c>
      <c r="AG10" s="18">
        <f t="shared" si="9"/>
        <v>1</v>
      </c>
      <c r="AH10" s="18">
        <f t="shared" si="9"/>
        <v>1</v>
      </c>
      <c r="AI10" s="18">
        <f t="shared" si="9"/>
        <v>1</v>
      </c>
      <c r="AJ10" s="18">
        <f t="shared" si="9"/>
        <v>1</v>
      </c>
      <c r="AK10" s="18">
        <f t="shared" si="9"/>
        <v>1</v>
      </c>
      <c r="AL10" s="18">
        <f t="shared" si="9"/>
        <v>1</v>
      </c>
      <c r="AM10" s="18">
        <f t="shared" si="9"/>
        <v>1</v>
      </c>
      <c r="AN10" s="18">
        <f t="shared" si="9"/>
        <v>1</v>
      </c>
      <c r="AO10" s="18">
        <f t="shared" si="9"/>
        <v>1</v>
      </c>
      <c r="AP10" s="18">
        <f t="shared" si="9"/>
        <v>1</v>
      </c>
      <c r="AQ10" s="18">
        <f t="shared" ref="AQ10:DB16" si="16">IF(AND($E10&lt;=AQ$5,$F10&gt;=AQ$5),1,0)</f>
        <v>1</v>
      </c>
      <c r="AR10" s="18">
        <f t="shared" si="16"/>
        <v>1</v>
      </c>
      <c r="AS10" s="18">
        <f t="shared" si="16"/>
        <v>1</v>
      </c>
      <c r="AT10" s="18">
        <f t="shared" si="16"/>
        <v>1</v>
      </c>
      <c r="AU10" s="18">
        <f t="shared" si="16"/>
        <v>1</v>
      </c>
      <c r="AV10" s="18">
        <f t="shared" si="16"/>
        <v>1</v>
      </c>
      <c r="AW10" s="18">
        <f t="shared" si="16"/>
        <v>1</v>
      </c>
      <c r="AX10" s="18">
        <f t="shared" si="16"/>
        <v>1</v>
      </c>
      <c r="AY10" s="18">
        <f t="shared" si="16"/>
        <v>1</v>
      </c>
      <c r="AZ10" s="18">
        <f t="shared" si="16"/>
        <v>1</v>
      </c>
      <c r="BA10" s="18">
        <f t="shared" si="16"/>
        <v>1</v>
      </c>
      <c r="BB10" s="18">
        <f t="shared" si="16"/>
        <v>1</v>
      </c>
      <c r="BC10" s="18">
        <f t="shared" si="16"/>
        <v>1</v>
      </c>
      <c r="BD10" s="18">
        <f t="shared" si="16"/>
        <v>1</v>
      </c>
      <c r="BE10" s="18">
        <f t="shared" si="16"/>
        <v>1</v>
      </c>
      <c r="BF10" s="18">
        <f t="shared" si="16"/>
        <v>1</v>
      </c>
      <c r="BG10" s="18">
        <f t="shared" si="16"/>
        <v>1</v>
      </c>
      <c r="BH10" s="18">
        <f t="shared" si="16"/>
        <v>1</v>
      </c>
      <c r="BI10" s="18">
        <f t="shared" si="16"/>
        <v>1</v>
      </c>
      <c r="BJ10" s="18">
        <f t="shared" si="16"/>
        <v>1</v>
      </c>
      <c r="BK10" s="18">
        <f t="shared" si="16"/>
        <v>1</v>
      </c>
      <c r="BL10" s="18">
        <f t="shared" si="16"/>
        <v>1</v>
      </c>
      <c r="BM10" s="18">
        <f t="shared" si="16"/>
        <v>1</v>
      </c>
      <c r="BN10" s="18">
        <f t="shared" si="16"/>
        <v>1</v>
      </c>
      <c r="BO10" s="18">
        <f t="shared" si="16"/>
        <v>1</v>
      </c>
      <c r="BP10" s="18">
        <f t="shared" si="16"/>
        <v>1</v>
      </c>
      <c r="BQ10" s="18">
        <f t="shared" si="16"/>
        <v>1</v>
      </c>
      <c r="BR10" s="18">
        <f t="shared" si="16"/>
        <v>1</v>
      </c>
      <c r="BS10" s="18">
        <f t="shared" si="16"/>
        <v>1</v>
      </c>
      <c r="BT10" s="18">
        <f t="shared" si="16"/>
        <v>1</v>
      </c>
      <c r="BU10" s="18">
        <f t="shared" si="16"/>
        <v>1</v>
      </c>
      <c r="BV10" s="18">
        <f t="shared" si="16"/>
        <v>1</v>
      </c>
      <c r="BW10" s="18">
        <f t="shared" si="16"/>
        <v>1</v>
      </c>
      <c r="BX10" s="18">
        <f t="shared" si="16"/>
        <v>1</v>
      </c>
      <c r="BY10" s="18">
        <f t="shared" si="16"/>
        <v>1</v>
      </c>
      <c r="BZ10" s="18">
        <f t="shared" si="16"/>
        <v>1</v>
      </c>
      <c r="CA10" s="18">
        <f t="shared" si="16"/>
        <v>1</v>
      </c>
      <c r="CB10" s="18">
        <f t="shared" si="16"/>
        <v>1</v>
      </c>
      <c r="CC10" s="18">
        <f t="shared" si="16"/>
        <v>1</v>
      </c>
      <c r="CD10" s="18">
        <f t="shared" si="16"/>
        <v>1</v>
      </c>
      <c r="CE10" s="18">
        <f t="shared" si="16"/>
        <v>1</v>
      </c>
      <c r="CF10" s="18">
        <f t="shared" si="16"/>
        <v>1</v>
      </c>
      <c r="CG10" s="18">
        <f t="shared" si="16"/>
        <v>1</v>
      </c>
      <c r="CH10" s="18">
        <f t="shared" si="16"/>
        <v>1</v>
      </c>
      <c r="CI10" s="18">
        <f t="shared" si="16"/>
        <v>1</v>
      </c>
      <c r="CJ10" s="18">
        <f t="shared" si="16"/>
        <v>1</v>
      </c>
      <c r="CK10" s="18">
        <f t="shared" si="16"/>
        <v>1</v>
      </c>
      <c r="CL10" s="18">
        <f t="shared" si="16"/>
        <v>1</v>
      </c>
      <c r="CM10" s="18">
        <f t="shared" si="16"/>
        <v>1</v>
      </c>
      <c r="CN10" s="18">
        <f t="shared" si="16"/>
        <v>1</v>
      </c>
      <c r="CO10" s="18">
        <f t="shared" si="16"/>
        <v>1</v>
      </c>
      <c r="CP10" s="18">
        <f t="shared" si="16"/>
        <v>1</v>
      </c>
      <c r="CQ10" s="18">
        <f t="shared" si="16"/>
        <v>1</v>
      </c>
      <c r="CR10" s="18">
        <f t="shared" si="16"/>
        <v>1</v>
      </c>
      <c r="CS10" s="18">
        <f t="shared" si="16"/>
        <v>1</v>
      </c>
      <c r="CT10" s="18">
        <f t="shared" si="16"/>
        <v>1</v>
      </c>
      <c r="CU10" s="18">
        <f t="shared" si="16"/>
        <v>1</v>
      </c>
      <c r="CV10" s="18">
        <f t="shared" si="16"/>
        <v>1</v>
      </c>
      <c r="CW10" s="18">
        <f t="shared" si="16"/>
        <v>1</v>
      </c>
      <c r="CX10" s="18">
        <f t="shared" si="16"/>
        <v>1</v>
      </c>
      <c r="CY10" s="18">
        <f t="shared" si="16"/>
        <v>1</v>
      </c>
      <c r="CZ10" s="18">
        <f t="shared" si="16"/>
        <v>1</v>
      </c>
      <c r="DA10" s="18">
        <f t="shared" si="16"/>
        <v>1</v>
      </c>
      <c r="DB10" s="18">
        <f t="shared" si="16"/>
        <v>1</v>
      </c>
      <c r="DC10" s="18">
        <f t="shared" si="15"/>
        <v>1</v>
      </c>
      <c r="DD10" s="18">
        <f t="shared" si="15"/>
        <v>1</v>
      </c>
      <c r="DE10" s="18">
        <f t="shared" si="15"/>
        <v>1</v>
      </c>
      <c r="DF10" s="18">
        <f t="shared" si="15"/>
        <v>1</v>
      </c>
      <c r="DG10" s="18">
        <f t="shared" si="15"/>
        <v>1</v>
      </c>
      <c r="DH10" s="18">
        <f t="shared" si="15"/>
        <v>1</v>
      </c>
      <c r="DI10" s="18">
        <f t="shared" si="15"/>
        <v>1</v>
      </c>
      <c r="DJ10" s="18">
        <f t="shared" si="15"/>
        <v>1</v>
      </c>
      <c r="DK10" s="18">
        <f t="shared" si="15"/>
        <v>1</v>
      </c>
      <c r="DL10" s="18">
        <f t="shared" si="15"/>
        <v>1</v>
      </c>
      <c r="DM10" s="18">
        <f t="shared" si="15"/>
        <v>1</v>
      </c>
      <c r="DN10" s="18">
        <f t="shared" si="15"/>
        <v>1</v>
      </c>
      <c r="DO10" s="18">
        <f t="shared" si="15"/>
        <v>1</v>
      </c>
      <c r="DP10" s="18">
        <f t="shared" si="15"/>
        <v>1</v>
      </c>
      <c r="DQ10" s="18">
        <f t="shared" si="15"/>
        <v>1</v>
      </c>
      <c r="DR10" s="18">
        <f t="shared" si="15"/>
        <v>1</v>
      </c>
      <c r="DS10" s="18">
        <f t="shared" si="15"/>
        <v>1</v>
      </c>
      <c r="DT10" s="18">
        <f t="shared" si="15"/>
        <v>1</v>
      </c>
      <c r="DU10" s="18">
        <f t="shared" si="15"/>
        <v>1</v>
      </c>
      <c r="DV10" s="18">
        <f t="shared" si="15"/>
        <v>1</v>
      </c>
      <c r="DW10" s="18">
        <f t="shared" si="15"/>
        <v>1</v>
      </c>
      <c r="DX10" s="18">
        <f t="shared" si="15"/>
        <v>1</v>
      </c>
      <c r="DY10" s="18">
        <f t="shared" si="15"/>
        <v>1</v>
      </c>
      <c r="DZ10" s="18">
        <f t="shared" si="15"/>
        <v>1</v>
      </c>
      <c r="EA10" s="18">
        <f t="shared" si="15"/>
        <v>1</v>
      </c>
      <c r="EB10" s="18">
        <f t="shared" si="15"/>
        <v>1</v>
      </c>
      <c r="EC10" s="18">
        <f t="shared" si="15"/>
        <v>1</v>
      </c>
      <c r="ED10" s="18">
        <f t="shared" si="15"/>
        <v>0</v>
      </c>
      <c r="EE10" s="18">
        <f t="shared" si="15"/>
        <v>0</v>
      </c>
      <c r="EF10" s="18">
        <f t="shared" si="15"/>
        <v>0</v>
      </c>
      <c r="EG10" s="18">
        <f t="shared" si="15"/>
        <v>0</v>
      </c>
      <c r="EH10" s="18">
        <f t="shared" si="15"/>
        <v>0</v>
      </c>
      <c r="EI10" s="18">
        <f t="shared" si="15"/>
        <v>0</v>
      </c>
      <c r="EJ10" s="18">
        <f t="shared" si="15"/>
        <v>0</v>
      </c>
      <c r="EK10" s="18">
        <f t="shared" si="15"/>
        <v>0</v>
      </c>
      <c r="EL10" s="18">
        <f t="shared" si="15"/>
        <v>0</v>
      </c>
      <c r="EM10" s="18">
        <f t="shared" si="15"/>
        <v>0</v>
      </c>
      <c r="EN10" s="18">
        <f t="shared" si="15"/>
        <v>0</v>
      </c>
      <c r="EO10" s="18">
        <f t="shared" si="15"/>
        <v>0</v>
      </c>
      <c r="EP10" s="18">
        <f t="shared" si="15"/>
        <v>0</v>
      </c>
      <c r="EQ10" s="18">
        <f t="shared" si="15"/>
        <v>0</v>
      </c>
      <c r="ER10" s="18">
        <f t="shared" si="15"/>
        <v>0</v>
      </c>
      <c r="ES10" s="18">
        <f t="shared" si="15"/>
        <v>0</v>
      </c>
      <c r="ET10" s="18">
        <f t="shared" si="15"/>
        <v>0</v>
      </c>
      <c r="EU10" s="18">
        <f t="shared" si="12"/>
        <v>0</v>
      </c>
      <c r="EV10" s="18">
        <f t="shared" si="12"/>
        <v>0</v>
      </c>
      <c r="EW10" s="18">
        <f t="shared" si="12"/>
        <v>0</v>
      </c>
      <c r="EX10" s="18">
        <f t="shared" si="12"/>
        <v>0</v>
      </c>
      <c r="EY10" s="18">
        <f t="shared" si="12"/>
        <v>0</v>
      </c>
      <c r="EZ10" s="18">
        <f t="shared" si="12"/>
        <v>0</v>
      </c>
      <c r="FA10" s="18">
        <f t="shared" si="12"/>
        <v>0</v>
      </c>
      <c r="FB10" s="18">
        <f t="shared" si="12"/>
        <v>0</v>
      </c>
      <c r="FC10" s="18">
        <f t="shared" si="12"/>
        <v>0</v>
      </c>
      <c r="FD10" s="18">
        <f t="shared" si="12"/>
        <v>0</v>
      </c>
      <c r="FE10" s="18">
        <f t="shared" si="12"/>
        <v>0</v>
      </c>
      <c r="FF10" s="18">
        <f t="shared" si="12"/>
        <v>0</v>
      </c>
      <c r="FG10" s="18">
        <f t="shared" si="12"/>
        <v>0</v>
      </c>
      <c r="FH10" s="18">
        <f t="shared" si="12"/>
        <v>0</v>
      </c>
      <c r="FI10" s="18">
        <f t="shared" si="12"/>
        <v>0</v>
      </c>
      <c r="FJ10" s="18">
        <f t="shared" si="12"/>
        <v>0</v>
      </c>
      <c r="FK10" s="18">
        <f t="shared" si="12"/>
        <v>0</v>
      </c>
      <c r="FL10" s="18">
        <f t="shared" si="12"/>
        <v>0</v>
      </c>
      <c r="FM10" s="18">
        <f t="shared" si="12"/>
        <v>0</v>
      </c>
      <c r="FN10" s="18">
        <f t="shared" si="12"/>
        <v>0</v>
      </c>
      <c r="FO10" s="18">
        <f t="shared" si="12"/>
        <v>0</v>
      </c>
      <c r="FP10" s="18">
        <f t="shared" si="12"/>
        <v>0</v>
      </c>
      <c r="FQ10" s="18">
        <f t="shared" si="12"/>
        <v>0</v>
      </c>
      <c r="FR10" s="18">
        <f t="shared" si="12"/>
        <v>0</v>
      </c>
      <c r="FS10" s="18">
        <f t="shared" si="12"/>
        <v>0</v>
      </c>
      <c r="FT10" s="18">
        <f t="shared" si="12"/>
        <v>0</v>
      </c>
      <c r="FU10" s="18">
        <f t="shared" si="12"/>
        <v>0</v>
      </c>
      <c r="FV10" s="18">
        <f t="shared" si="12"/>
        <v>0</v>
      </c>
      <c r="FW10" s="18">
        <f t="shared" si="12"/>
        <v>0</v>
      </c>
      <c r="FX10" s="18">
        <f t="shared" si="12"/>
        <v>0</v>
      </c>
      <c r="FY10" s="18">
        <f t="shared" si="12"/>
        <v>0</v>
      </c>
      <c r="FZ10" s="18">
        <f t="shared" si="12"/>
        <v>0</v>
      </c>
      <c r="GA10" s="18">
        <f t="shared" si="12"/>
        <v>0</v>
      </c>
      <c r="GB10" s="18">
        <f t="shared" si="12"/>
        <v>0</v>
      </c>
      <c r="GC10" s="18">
        <f t="shared" si="12"/>
        <v>0</v>
      </c>
    </row>
    <row r="11" spans="2:185" ht="17.100000000000001" customHeight="1" outlineLevel="1">
      <c r="B11" s="25"/>
      <c r="C11" s="40" t="s">
        <v>24</v>
      </c>
      <c r="D11" s="26" t="s">
        <v>25</v>
      </c>
      <c r="E11" s="27">
        <f>F9</f>
        <v>45337</v>
      </c>
      <c r="F11" s="27">
        <f>E11+2</f>
        <v>45339</v>
      </c>
      <c r="G11" s="28">
        <f t="shared" si="14"/>
        <v>2</v>
      </c>
      <c r="H11" s="29"/>
      <c r="I11" s="30"/>
      <c r="J11" s="31" t="s">
        <v>23</v>
      </c>
      <c r="K11" s="18">
        <f t="shared" si="8"/>
        <v>0</v>
      </c>
      <c r="L11" s="18">
        <f t="shared" si="8"/>
        <v>0</v>
      </c>
      <c r="M11" s="18">
        <f t="shared" si="8"/>
        <v>0</v>
      </c>
      <c r="N11" s="18">
        <f t="shared" si="8"/>
        <v>0</v>
      </c>
      <c r="O11" s="18">
        <f t="shared" si="8"/>
        <v>0</v>
      </c>
      <c r="P11" s="18">
        <f t="shared" si="8"/>
        <v>0</v>
      </c>
      <c r="Q11" s="18">
        <f t="shared" si="8"/>
        <v>0</v>
      </c>
      <c r="R11" s="18">
        <f t="shared" si="8"/>
        <v>0</v>
      </c>
      <c r="S11" s="18">
        <f t="shared" si="8"/>
        <v>0</v>
      </c>
      <c r="T11" s="18">
        <f t="shared" si="8"/>
        <v>0</v>
      </c>
      <c r="U11" s="18">
        <f t="shared" si="8"/>
        <v>0</v>
      </c>
      <c r="V11" s="18">
        <f t="shared" si="8"/>
        <v>0</v>
      </c>
      <c r="W11" s="18">
        <f t="shared" si="8"/>
        <v>0</v>
      </c>
      <c r="X11" s="18">
        <f t="shared" si="8"/>
        <v>0</v>
      </c>
      <c r="Y11" s="18">
        <f t="shared" si="8"/>
        <v>0</v>
      </c>
      <c r="Z11" s="18">
        <f t="shared" si="8"/>
        <v>0</v>
      </c>
      <c r="AA11" s="18">
        <f t="shared" si="9"/>
        <v>0</v>
      </c>
      <c r="AB11" s="18">
        <f t="shared" si="9"/>
        <v>1</v>
      </c>
      <c r="AC11" s="18">
        <f t="shared" si="9"/>
        <v>1</v>
      </c>
      <c r="AD11" s="18">
        <f t="shared" si="9"/>
        <v>1</v>
      </c>
      <c r="AE11" s="18">
        <f t="shared" si="9"/>
        <v>0</v>
      </c>
      <c r="AF11" s="18">
        <f t="shared" si="9"/>
        <v>0</v>
      </c>
      <c r="AG11" s="18">
        <f t="shared" si="9"/>
        <v>0</v>
      </c>
      <c r="AH11" s="18">
        <f t="shared" si="9"/>
        <v>0</v>
      </c>
      <c r="AI11" s="18">
        <f t="shared" si="9"/>
        <v>0</v>
      </c>
      <c r="AJ11" s="18">
        <f t="shared" si="9"/>
        <v>0</v>
      </c>
      <c r="AK11" s="18">
        <f t="shared" si="9"/>
        <v>0</v>
      </c>
      <c r="AL11" s="18">
        <f t="shared" si="9"/>
        <v>0</v>
      </c>
      <c r="AM11" s="18">
        <f t="shared" si="9"/>
        <v>0</v>
      </c>
      <c r="AN11" s="18">
        <f t="shared" si="9"/>
        <v>0</v>
      </c>
      <c r="AO11" s="18">
        <f t="shared" si="9"/>
        <v>0</v>
      </c>
      <c r="AP11" s="18">
        <f t="shared" si="9"/>
        <v>0</v>
      </c>
      <c r="AQ11" s="18">
        <f t="shared" si="16"/>
        <v>0</v>
      </c>
      <c r="AR11" s="18">
        <f t="shared" si="16"/>
        <v>0</v>
      </c>
      <c r="AS11" s="18">
        <f t="shared" si="16"/>
        <v>0</v>
      </c>
      <c r="AT11" s="18">
        <f t="shared" si="16"/>
        <v>0</v>
      </c>
      <c r="AU11" s="18">
        <f t="shared" si="16"/>
        <v>0</v>
      </c>
      <c r="AV11" s="18">
        <f t="shared" si="16"/>
        <v>0</v>
      </c>
      <c r="AW11" s="18">
        <f t="shared" si="16"/>
        <v>0</v>
      </c>
      <c r="AX11" s="18">
        <f t="shared" si="16"/>
        <v>0</v>
      </c>
      <c r="AY11" s="18">
        <f t="shared" si="16"/>
        <v>0</v>
      </c>
      <c r="AZ11" s="18">
        <f t="shared" si="16"/>
        <v>0</v>
      </c>
      <c r="BA11" s="18">
        <f t="shared" si="16"/>
        <v>0</v>
      </c>
      <c r="BB11" s="18">
        <f t="shared" si="16"/>
        <v>0</v>
      </c>
      <c r="BC11" s="18">
        <f t="shared" si="16"/>
        <v>0</v>
      </c>
      <c r="BD11" s="18">
        <f t="shared" si="16"/>
        <v>0</v>
      </c>
      <c r="BE11" s="18">
        <f t="shared" si="16"/>
        <v>0</v>
      </c>
      <c r="BF11" s="18">
        <f t="shared" si="16"/>
        <v>0</v>
      </c>
      <c r="BG11" s="18">
        <f t="shared" si="16"/>
        <v>0</v>
      </c>
      <c r="BH11" s="18">
        <f t="shared" si="16"/>
        <v>0</v>
      </c>
      <c r="BI11" s="18">
        <f t="shared" si="16"/>
        <v>0</v>
      </c>
      <c r="BJ11" s="18">
        <f t="shared" si="16"/>
        <v>0</v>
      </c>
      <c r="BK11" s="18">
        <f t="shared" si="16"/>
        <v>0</v>
      </c>
      <c r="BL11" s="18">
        <f t="shared" si="16"/>
        <v>0</v>
      </c>
      <c r="BM11" s="18">
        <f t="shared" si="16"/>
        <v>0</v>
      </c>
      <c r="BN11" s="18">
        <f t="shared" si="16"/>
        <v>0</v>
      </c>
      <c r="BO11" s="18">
        <f t="shared" si="16"/>
        <v>0</v>
      </c>
      <c r="BP11" s="18">
        <f t="shared" si="16"/>
        <v>0</v>
      </c>
      <c r="BQ11" s="18">
        <f t="shared" si="16"/>
        <v>0</v>
      </c>
      <c r="BR11" s="18">
        <f t="shared" si="16"/>
        <v>0</v>
      </c>
      <c r="BS11" s="18">
        <f t="shared" si="16"/>
        <v>0</v>
      </c>
      <c r="BT11" s="18">
        <f t="shared" si="16"/>
        <v>0</v>
      </c>
      <c r="BU11" s="18">
        <f t="shared" si="16"/>
        <v>0</v>
      </c>
      <c r="BV11" s="18">
        <f t="shared" si="16"/>
        <v>0</v>
      </c>
      <c r="BW11" s="18">
        <f t="shared" si="16"/>
        <v>0</v>
      </c>
      <c r="BX11" s="18">
        <f t="shared" si="16"/>
        <v>0</v>
      </c>
      <c r="BY11" s="18">
        <f t="shared" si="16"/>
        <v>0</v>
      </c>
      <c r="BZ11" s="18">
        <f t="shared" si="16"/>
        <v>0</v>
      </c>
      <c r="CA11" s="18">
        <f t="shared" si="16"/>
        <v>0</v>
      </c>
      <c r="CB11" s="18">
        <f t="shared" si="16"/>
        <v>0</v>
      </c>
      <c r="CC11" s="18">
        <f t="shared" si="16"/>
        <v>0</v>
      </c>
      <c r="CD11" s="18">
        <f t="shared" si="16"/>
        <v>0</v>
      </c>
      <c r="CE11" s="18">
        <f t="shared" si="16"/>
        <v>0</v>
      </c>
      <c r="CF11" s="18">
        <f t="shared" si="16"/>
        <v>0</v>
      </c>
      <c r="CG11" s="18">
        <f t="shared" si="16"/>
        <v>0</v>
      </c>
      <c r="CH11" s="18">
        <f t="shared" si="16"/>
        <v>0</v>
      </c>
      <c r="CI11" s="18">
        <f t="shared" si="16"/>
        <v>0</v>
      </c>
      <c r="CJ11" s="18">
        <f t="shared" si="16"/>
        <v>0</v>
      </c>
      <c r="CK11" s="18">
        <f t="shared" si="16"/>
        <v>0</v>
      </c>
      <c r="CL11" s="18">
        <f t="shared" si="16"/>
        <v>0</v>
      </c>
      <c r="CM11" s="18">
        <f t="shared" si="16"/>
        <v>0</v>
      </c>
      <c r="CN11" s="18">
        <f t="shared" si="16"/>
        <v>0</v>
      </c>
      <c r="CO11" s="18">
        <f t="shared" si="16"/>
        <v>0</v>
      </c>
      <c r="CP11" s="18">
        <f t="shared" si="16"/>
        <v>0</v>
      </c>
      <c r="CQ11" s="18">
        <f t="shared" si="16"/>
        <v>0</v>
      </c>
      <c r="CR11" s="18">
        <f t="shared" si="16"/>
        <v>0</v>
      </c>
      <c r="CS11" s="18">
        <f t="shared" si="16"/>
        <v>0</v>
      </c>
      <c r="CT11" s="18">
        <f t="shared" si="16"/>
        <v>0</v>
      </c>
      <c r="CU11" s="18">
        <f t="shared" si="16"/>
        <v>0</v>
      </c>
      <c r="CV11" s="18">
        <f t="shared" si="16"/>
        <v>0</v>
      </c>
      <c r="CW11" s="18">
        <f t="shared" si="16"/>
        <v>0</v>
      </c>
      <c r="CX11" s="18">
        <f t="shared" si="16"/>
        <v>0</v>
      </c>
      <c r="CY11" s="18">
        <f t="shared" si="16"/>
        <v>0</v>
      </c>
      <c r="CZ11" s="18">
        <f t="shared" si="16"/>
        <v>0</v>
      </c>
      <c r="DA11" s="18">
        <f t="shared" si="16"/>
        <v>0</v>
      </c>
      <c r="DB11" s="18">
        <f t="shared" si="16"/>
        <v>0</v>
      </c>
      <c r="DC11" s="18">
        <f t="shared" si="15"/>
        <v>0</v>
      </c>
      <c r="DD11" s="18">
        <f t="shared" si="15"/>
        <v>0</v>
      </c>
      <c r="DE11" s="18">
        <f t="shared" si="15"/>
        <v>0</v>
      </c>
      <c r="DF11" s="18">
        <f t="shared" si="15"/>
        <v>0</v>
      </c>
      <c r="DG11" s="18">
        <f t="shared" si="15"/>
        <v>0</v>
      </c>
      <c r="DH11" s="18">
        <f t="shared" si="15"/>
        <v>0</v>
      </c>
      <c r="DI11" s="18">
        <f t="shared" si="15"/>
        <v>0</v>
      </c>
      <c r="DJ11" s="18">
        <f t="shared" si="15"/>
        <v>0</v>
      </c>
      <c r="DK11" s="18">
        <f t="shared" si="15"/>
        <v>0</v>
      </c>
      <c r="DL11" s="18">
        <f t="shared" si="15"/>
        <v>0</v>
      </c>
      <c r="DM11" s="18">
        <f t="shared" si="15"/>
        <v>0</v>
      </c>
      <c r="DN11" s="18">
        <f t="shared" si="15"/>
        <v>0</v>
      </c>
      <c r="DO11" s="18">
        <f t="shared" si="15"/>
        <v>0</v>
      </c>
      <c r="DP11" s="18">
        <f t="shared" si="15"/>
        <v>0</v>
      </c>
      <c r="DQ11" s="18">
        <f t="shared" si="15"/>
        <v>0</v>
      </c>
      <c r="DR11" s="18">
        <f t="shared" si="15"/>
        <v>0</v>
      </c>
      <c r="DS11" s="18">
        <f t="shared" si="15"/>
        <v>0</v>
      </c>
      <c r="DT11" s="18">
        <f t="shared" si="15"/>
        <v>0</v>
      </c>
      <c r="DU11" s="18">
        <f t="shared" si="15"/>
        <v>0</v>
      </c>
      <c r="DV11" s="18">
        <f t="shared" si="15"/>
        <v>0</v>
      </c>
      <c r="DW11" s="18">
        <f t="shared" si="15"/>
        <v>0</v>
      </c>
      <c r="DX11" s="18">
        <f t="shared" si="15"/>
        <v>0</v>
      </c>
      <c r="DY11" s="18">
        <f t="shared" si="15"/>
        <v>0</v>
      </c>
      <c r="DZ11" s="18">
        <f t="shared" si="15"/>
        <v>0</v>
      </c>
      <c r="EA11" s="18">
        <f t="shared" si="15"/>
        <v>0</v>
      </c>
      <c r="EB11" s="18">
        <f t="shared" si="15"/>
        <v>0</v>
      </c>
      <c r="EC11" s="18">
        <f t="shared" si="15"/>
        <v>0</v>
      </c>
      <c r="ED11" s="18">
        <f t="shared" si="15"/>
        <v>0</v>
      </c>
      <c r="EE11" s="18">
        <f t="shared" si="15"/>
        <v>0</v>
      </c>
      <c r="EF11" s="18">
        <f t="shared" si="15"/>
        <v>0</v>
      </c>
      <c r="EG11" s="18">
        <f t="shared" si="15"/>
        <v>0</v>
      </c>
      <c r="EH11" s="18">
        <f t="shared" si="15"/>
        <v>0</v>
      </c>
      <c r="EI11" s="18">
        <f t="shared" si="15"/>
        <v>0</v>
      </c>
      <c r="EJ11" s="18">
        <f t="shared" si="15"/>
        <v>0</v>
      </c>
      <c r="EK11" s="18">
        <f t="shared" si="15"/>
        <v>0</v>
      </c>
      <c r="EL11" s="18">
        <f t="shared" si="15"/>
        <v>0</v>
      </c>
      <c r="EM11" s="18">
        <f t="shared" si="15"/>
        <v>0</v>
      </c>
      <c r="EN11" s="18">
        <f t="shared" si="15"/>
        <v>0</v>
      </c>
      <c r="EO11" s="18">
        <f t="shared" si="15"/>
        <v>0</v>
      </c>
      <c r="EP11" s="18">
        <f t="shared" si="15"/>
        <v>0</v>
      </c>
      <c r="EQ11" s="18">
        <f t="shared" si="15"/>
        <v>0</v>
      </c>
      <c r="ER11" s="18">
        <f t="shared" si="15"/>
        <v>0</v>
      </c>
      <c r="ES11" s="18">
        <f t="shared" si="15"/>
        <v>0</v>
      </c>
      <c r="ET11" s="18">
        <f t="shared" si="15"/>
        <v>0</v>
      </c>
      <c r="EU11" s="18">
        <f t="shared" si="12"/>
        <v>0</v>
      </c>
      <c r="EV11" s="18">
        <f t="shared" si="12"/>
        <v>0</v>
      </c>
      <c r="EW11" s="18">
        <f t="shared" si="12"/>
        <v>0</v>
      </c>
      <c r="EX11" s="18">
        <f t="shared" si="12"/>
        <v>0</v>
      </c>
      <c r="EY11" s="18">
        <f t="shared" si="12"/>
        <v>0</v>
      </c>
      <c r="EZ11" s="18">
        <f t="shared" si="12"/>
        <v>0</v>
      </c>
      <c r="FA11" s="18">
        <f t="shared" si="12"/>
        <v>0</v>
      </c>
      <c r="FB11" s="18">
        <f t="shared" si="12"/>
        <v>0</v>
      </c>
      <c r="FC11" s="18">
        <f t="shared" si="12"/>
        <v>0</v>
      </c>
      <c r="FD11" s="18">
        <f t="shared" si="12"/>
        <v>0</v>
      </c>
      <c r="FE11" s="18">
        <f t="shared" si="12"/>
        <v>0</v>
      </c>
      <c r="FF11" s="18">
        <f t="shared" si="12"/>
        <v>0</v>
      </c>
      <c r="FG11" s="18">
        <f t="shared" si="12"/>
        <v>0</v>
      </c>
      <c r="FH11" s="18">
        <f t="shared" si="12"/>
        <v>0</v>
      </c>
      <c r="FI11" s="18">
        <f t="shared" si="12"/>
        <v>0</v>
      </c>
      <c r="FJ11" s="18">
        <f t="shared" si="12"/>
        <v>0</v>
      </c>
      <c r="FK11" s="18">
        <f t="shared" si="12"/>
        <v>0</v>
      </c>
      <c r="FL11" s="18">
        <f t="shared" si="12"/>
        <v>0</v>
      </c>
      <c r="FM11" s="18">
        <f t="shared" si="12"/>
        <v>0</v>
      </c>
      <c r="FN11" s="18">
        <f t="shared" si="12"/>
        <v>0</v>
      </c>
      <c r="FO11" s="18">
        <f t="shared" si="12"/>
        <v>0</v>
      </c>
      <c r="FP11" s="18">
        <f t="shared" si="12"/>
        <v>0</v>
      </c>
      <c r="FQ11" s="18">
        <f t="shared" si="12"/>
        <v>0</v>
      </c>
      <c r="FR11" s="18">
        <f t="shared" si="12"/>
        <v>0</v>
      </c>
      <c r="FS11" s="18">
        <f t="shared" si="12"/>
        <v>0</v>
      </c>
      <c r="FT11" s="18">
        <f t="shared" si="12"/>
        <v>0</v>
      </c>
      <c r="FU11" s="18">
        <f t="shared" si="12"/>
        <v>0</v>
      </c>
      <c r="FV11" s="18">
        <f t="shared" si="12"/>
        <v>0</v>
      </c>
      <c r="FW11" s="18">
        <f t="shared" si="12"/>
        <v>0</v>
      </c>
      <c r="FX11" s="18">
        <f t="shared" si="12"/>
        <v>0</v>
      </c>
      <c r="FY11" s="18">
        <f t="shared" si="12"/>
        <v>0</v>
      </c>
      <c r="FZ11" s="18">
        <f t="shared" si="12"/>
        <v>0</v>
      </c>
      <c r="GA11" s="18">
        <f t="shared" si="12"/>
        <v>0</v>
      </c>
      <c r="GB11" s="18">
        <f t="shared" si="12"/>
        <v>0</v>
      </c>
      <c r="GC11" s="18">
        <f t="shared" si="12"/>
        <v>0</v>
      </c>
    </row>
    <row r="12" spans="2:185" ht="17.100000000000001" customHeight="1" outlineLevel="1">
      <c r="B12" s="25"/>
      <c r="C12" s="40" t="s">
        <v>26</v>
      </c>
      <c r="D12" s="26" t="s">
        <v>25</v>
      </c>
      <c r="E12" s="27">
        <v>45323</v>
      </c>
      <c r="F12" s="27">
        <v>45337</v>
      </c>
      <c r="G12" s="28">
        <f t="shared" si="14"/>
        <v>14</v>
      </c>
      <c r="H12" s="29">
        <v>45323</v>
      </c>
      <c r="I12" s="30">
        <v>45337</v>
      </c>
      <c r="J12" s="31" t="s">
        <v>21</v>
      </c>
      <c r="K12" s="18">
        <f t="shared" si="8"/>
        <v>0</v>
      </c>
      <c r="L12" s="18">
        <f t="shared" si="8"/>
        <v>0</v>
      </c>
      <c r="M12" s="18">
        <f t="shared" si="8"/>
        <v>0</v>
      </c>
      <c r="N12" s="18">
        <f t="shared" si="8"/>
        <v>1</v>
      </c>
      <c r="O12" s="18">
        <f t="shared" si="8"/>
        <v>1</v>
      </c>
      <c r="P12" s="18">
        <f t="shared" si="8"/>
        <v>1</v>
      </c>
      <c r="Q12" s="18">
        <f t="shared" si="8"/>
        <v>1</v>
      </c>
      <c r="R12" s="18">
        <f t="shared" si="8"/>
        <v>1</v>
      </c>
      <c r="S12" s="18">
        <f t="shared" si="8"/>
        <v>1</v>
      </c>
      <c r="T12" s="18">
        <f t="shared" si="8"/>
        <v>1</v>
      </c>
      <c r="U12" s="18">
        <f t="shared" si="8"/>
        <v>1</v>
      </c>
      <c r="V12" s="18">
        <f t="shared" si="8"/>
        <v>1</v>
      </c>
      <c r="W12" s="18">
        <f t="shared" si="8"/>
        <v>1</v>
      </c>
      <c r="X12" s="18">
        <f t="shared" si="8"/>
        <v>1</v>
      </c>
      <c r="Y12" s="18">
        <f t="shared" si="8"/>
        <v>1</v>
      </c>
      <c r="Z12" s="18">
        <f t="shared" si="8"/>
        <v>1</v>
      </c>
      <c r="AA12" s="18">
        <f t="shared" si="9"/>
        <v>1</v>
      </c>
      <c r="AB12" s="18">
        <f t="shared" si="9"/>
        <v>1</v>
      </c>
      <c r="AC12" s="18">
        <f t="shared" si="9"/>
        <v>0</v>
      </c>
      <c r="AD12" s="18">
        <f t="shared" si="9"/>
        <v>0</v>
      </c>
      <c r="AE12" s="18">
        <f t="shared" si="9"/>
        <v>0</v>
      </c>
      <c r="AF12" s="18">
        <f t="shared" si="9"/>
        <v>0</v>
      </c>
      <c r="AG12" s="18">
        <f t="shared" si="9"/>
        <v>0</v>
      </c>
      <c r="AH12" s="18">
        <f t="shared" si="9"/>
        <v>0</v>
      </c>
      <c r="AI12" s="18">
        <f t="shared" si="9"/>
        <v>0</v>
      </c>
      <c r="AJ12" s="18">
        <f t="shared" si="9"/>
        <v>0</v>
      </c>
      <c r="AK12" s="18">
        <f t="shared" si="9"/>
        <v>0</v>
      </c>
      <c r="AL12" s="18">
        <f t="shared" si="9"/>
        <v>0</v>
      </c>
      <c r="AM12" s="18">
        <f t="shared" si="9"/>
        <v>0</v>
      </c>
      <c r="AN12" s="18">
        <f t="shared" si="9"/>
        <v>0</v>
      </c>
      <c r="AO12" s="18">
        <f t="shared" si="9"/>
        <v>0</v>
      </c>
      <c r="AP12" s="18">
        <f t="shared" si="9"/>
        <v>0</v>
      </c>
      <c r="AQ12" s="18">
        <f t="shared" si="16"/>
        <v>0</v>
      </c>
      <c r="AR12" s="18">
        <f t="shared" si="16"/>
        <v>0</v>
      </c>
      <c r="AS12" s="18">
        <f t="shared" si="16"/>
        <v>0</v>
      </c>
      <c r="AT12" s="18">
        <f t="shared" si="16"/>
        <v>0</v>
      </c>
      <c r="AU12" s="18">
        <f t="shared" si="16"/>
        <v>0</v>
      </c>
      <c r="AV12" s="18">
        <f t="shared" si="16"/>
        <v>0</v>
      </c>
      <c r="AW12" s="18">
        <f t="shared" si="16"/>
        <v>0</v>
      </c>
      <c r="AX12" s="18">
        <f t="shared" si="16"/>
        <v>0</v>
      </c>
      <c r="AY12" s="18">
        <f t="shared" si="16"/>
        <v>0</v>
      </c>
      <c r="AZ12" s="18">
        <f t="shared" si="16"/>
        <v>0</v>
      </c>
      <c r="BA12" s="18">
        <f t="shared" si="16"/>
        <v>0</v>
      </c>
      <c r="BB12" s="18">
        <f t="shared" si="16"/>
        <v>0</v>
      </c>
      <c r="BC12" s="18">
        <f t="shared" si="16"/>
        <v>0</v>
      </c>
      <c r="BD12" s="18">
        <f t="shared" si="16"/>
        <v>0</v>
      </c>
      <c r="BE12" s="18">
        <f t="shared" si="16"/>
        <v>0</v>
      </c>
      <c r="BF12" s="18">
        <f t="shared" si="16"/>
        <v>0</v>
      </c>
      <c r="BG12" s="18">
        <f t="shared" si="16"/>
        <v>0</v>
      </c>
      <c r="BH12" s="18">
        <f t="shared" si="16"/>
        <v>0</v>
      </c>
      <c r="BI12" s="18">
        <f t="shared" si="16"/>
        <v>0</v>
      </c>
      <c r="BJ12" s="18">
        <f t="shared" si="16"/>
        <v>0</v>
      </c>
      <c r="BK12" s="18">
        <f t="shared" si="16"/>
        <v>0</v>
      </c>
      <c r="BL12" s="18">
        <f t="shared" si="16"/>
        <v>0</v>
      </c>
      <c r="BM12" s="18">
        <f t="shared" si="16"/>
        <v>0</v>
      </c>
      <c r="BN12" s="18">
        <f t="shared" si="16"/>
        <v>0</v>
      </c>
      <c r="BO12" s="18">
        <f t="shared" si="16"/>
        <v>0</v>
      </c>
      <c r="BP12" s="18">
        <f t="shared" si="16"/>
        <v>0</v>
      </c>
      <c r="BQ12" s="18">
        <f t="shared" si="16"/>
        <v>0</v>
      </c>
      <c r="BR12" s="18">
        <f t="shared" si="16"/>
        <v>0</v>
      </c>
      <c r="BS12" s="18">
        <f t="shared" si="16"/>
        <v>0</v>
      </c>
      <c r="BT12" s="18">
        <f t="shared" si="16"/>
        <v>0</v>
      </c>
      <c r="BU12" s="18">
        <f t="shared" si="16"/>
        <v>0</v>
      </c>
      <c r="BV12" s="18">
        <f t="shared" si="16"/>
        <v>0</v>
      </c>
      <c r="BW12" s="18">
        <f t="shared" si="16"/>
        <v>0</v>
      </c>
      <c r="BX12" s="18">
        <f t="shared" si="16"/>
        <v>0</v>
      </c>
      <c r="BY12" s="18">
        <f t="shared" si="16"/>
        <v>0</v>
      </c>
      <c r="BZ12" s="18">
        <f t="shared" si="16"/>
        <v>0</v>
      </c>
      <c r="CA12" s="18">
        <f t="shared" si="16"/>
        <v>0</v>
      </c>
      <c r="CB12" s="18">
        <f t="shared" si="16"/>
        <v>0</v>
      </c>
      <c r="CC12" s="18">
        <f t="shared" si="16"/>
        <v>0</v>
      </c>
      <c r="CD12" s="18">
        <f t="shared" si="16"/>
        <v>0</v>
      </c>
      <c r="CE12" s="18">
        <f t="shared" si="16"/>
        <v>0</v>
      </c>
      <c r="CF12" s="18">
        <f t="shared" si="16"/>
        <v>0</v>
      </c>
      <c r="CG12" s="18">
        <f t="shared" si="16"/>
        <v>0</v>
      </c>
      <c r="CH12" s="18">
        <f t="shared" si="16"/>
        <v>0</v>
      </c>
      <c r="CI12" s="18">
        <f t="shared" si="16"/>
        <v>0</v>
      </c>
      <c r="CJ12" s="18">
        <f t="shared" si="16"/>
        <v>0</v>
      </c>
      <c r="CK12" s="18">
        <f t="shared" si="16"/>
        <v>0</v>
      </c>
      <c r="CL12" s="18">
        <f t="shared" si="16"/>
        <v>0</v>
      </c>
      <c r="CM12" s="18">
        <f t="shared" si="16"/>
        <v>0</v>
      </c>
      <c r="CN12" s="18">
        <f t="shared" si="16"/>
        <v>0</v>
      </c>
      <c r="CO12" s="18">
        <f t="shared" si="16"/>
        <v>0</v>
      </c>
      <c r="CP12" s="18">
        <f t="shared" si="16"/>
        <v>0</v>
      </c>
      <c r="CQ12" s="18">
        <f t="shared" si="16"/>
        <v>0</v>
      </c>
      <c r="CR12" s="18">
        <f t="shared" si="16"/>
        <v>0</v>
      </c>
      <c r="CS12" s="18">
        <f t="shared" si="16"/>
        <v>0</v>
      </c>
      <c r="CT12" s="18">
        <f t="shared" si="16"/>
        <v>0</v>
      </c>
      <c r="CU12" s="18">
        <f t="shared" si="16"/>
        <v>0</v>
      </c>
      <c r="CV12" s="18">
        <f t="shared" si="16"/>
        <v>0</v>
      </c>
      <c r="CW12" s="18">
        <f t="shared" si="16"/>
        <v>0</v>
      </c>
      <c r="CX12" s="18">
        <f t="shared" si="16"/>
        <v>0</v>
      </c>
      <c r="CY12" s="18">
        <f t="shared" si="16"/>
        <v>0</v>
      </c>
      <c r="CZ12" s="18">
        <f t="shared" si="16"/>
        <v>0</v>
      </c>
      <c r="DA12" s="18">
        <f t="shared" si="16"/>
        <v>0</v>
      </c>
      <c r="DB12" s="18">
        <f t="shared" si="16"/>
        <v>0</v>
      </c>
      <c r="DC12" s="18">
        <f t="shared" si="15"/>
        <v>0</v>
      </c>
      <c r="DD12" s="18">
        <f t="shared" si="15"/>
        <v>0</v>
      </c>
      <c r="DE12" s="18">
        <f t="shared" si="15"/>
        <v>0</v>
      </c>
      <c r="DF12" s="18">
        <f t="shared" si="15"/>
        <v>0</v>
      </c>
      <c r="DG12" s="18">
        <f t="shared" si="15"/>
        <v>0</v>
      </c>
      <c r="DH12" s="18">
        <f t="shared" si="15"/>
        <v>0</v>
      </c>
      <c r="DI12" s="18">
        <f t="shared" si="15"/>
        <v>0</v>
      </c>
      <c r="DJ12" s="18">
        <f t="shared" si="15"/>
        <v>0</v>
      </c>
      <c r="DK12" s="18">
        <f t="shared" si="15"/>
        <v>0</v>
      </c>
      <c r="DL12" s="18">
        <f t="shared" si="15"/>
        <v>0</v>
      </c>
      <c r="DM12" s="18">
        <f t="shared" si="15"/>
        <v>0</v>
      </c>
      <c r="DN12" s="18">
        <f t="shared" si="15"/>
        <v>0</v>
      </c>
      <c r="DO12" s="18">
        <f t="shared" si="15"/>
        <v>0</v>
      </c>
      <c r="DP12" s="18">
        <f t="shared" si="15"/>
        <v>0</v>
      </c>
      <c r="DQ12" s="18">
        <f t="shared" si="15"/>
        <v>0</v>
      </c>
      <c r="DR12" s="18">
        <f t="shared" si="15"/>
        <v>0</v>
      </c>
      <c r="DS12" s="18">
        <f t="shared" si="15"/>
        <v>0</v>
      </c>
      <c r="DT12" s="18">
        <f t="shared" si="15"/>
        <v>0</v>
      </c>
      <c r="DU12" s="18">
        <f t="shared" si="15"/>
        <v>0</v>
      </c>
      <c r="DV12" s="18">
        <f t="shared" si="15"/>
        <v>0</v>
      </c>
      <c r="DW12" s="18">
        <f t="shared" si="15"/>
        <v>0</v>
      </c>
      <c r="DX12" s="18">
        <f t="shared" si="15"/>
        <v>0</v>
      </c>
      <c r="DY12" s="18">
        <f t="shared" si="15"/>
        <v>0</v>
      </c>
      <c r="DZ12" s="18">
        <f t="shared" si="15"/>
        <v>0</v>
      </c>
      <c r="EA12" s="18">
        <f t="shared" si="15"/>
        <v>0</v>
      </c>
      <c r="EB12" s="18">
        <f t="shared" si="15"/>
        <v>0</v>
      </c>
      <c r="EC12" s="18">
        <f t="shared" si="15"/>
        <v>0</v>
      </c>
      <c r="ED12" s="18">
        <f t="shared" si="15"/>
        <v>0</v>
      </c>
      <c r="EE12" s="18">
        <f t="shared" si="15"/>
        <v>0</v>
      </c>
      <c r="EF12" s="18">
        <f t="shared" si="15"/>
        <v>0</v>
      </c>
      <c r="EG12" s="18">
        <f t="shared" si="15"/>
        <v>0</v>
      </c>
      <c r="EH12" s="18">
        <f t="shared" si="15"/>
        <v>0</v>
      </c>
      <c r="EI12" s="18">
        <f t="shared" si="15"/>
        <v>0</v>
      </c>
      <c r="EJ12" s="18">
        <f t="shared" si="15"/>
        <v>0</v>
      </c>
      <c r="EK12" s="18">
        <f t="shared" si="15"/>
        <v>0</v>
      </c>
      <c r="EL12" s="18">
        <f t="shared" si="15"/>
        <v>0</v>
      </c>
      <c r="EM12" s="18">
        <f t="shared" si="15"/>
        <v>0</v>
      </c>
      <c r="EN12" s="18">
        <f t="shared" si="15"/>
        <v>0</v>
      </c>
      <c r="EO12" s="18">
        <f t="shared" si="15"/>
        <v>0</v>
      </c>
      <c r="EP12" s="18">
        <f t="shared" si="15"/>
        <v>0</v>
      </c>
      <c r="EQ12" s="18">
        <f t="shared" si="15"/>
        <v>0</v>
      </c>
      <c r="ER12" s="18">
        <f t="shared" si="15"/>
        <v>0</v>
      </c>
      <c r="ES12" s="18">
        <f t="shared" si="15"/>
        <v>0</v>
      </c>
      <c r="ET12" s="18">
        <f t="shared" si="15"/>
        <v>0</v>
      </c>
      <c r="EU12" s="18">
        <f t="shared" si="12"/>
        <v>0</v>
      </c>
      <c r="EV12" s="18">
        <f t="shared" si="12"/>
        <v>0</v>
      </c>
      <c r="EW12" s="18">
        <f t="shared" si="12"/>
        <v>0</v>
      </c>
      <c r="EX12" s="18">
        <f t="shared" si="12"/>
        <v>0</v>
      </c>
      <c r="EY12" s="18">
        <f t="shared" si="12"/>
        <v>0</v>
      </c>
      <c r="EZ12" s="18">
        <f t="shared" si="12"/>
        <v>0</v>
      </c>
      <c r="FA12" s="18">
        <f t="shared" si="12"/>
        <v>0</v>
      </c>
      <c r="FB12" s="18">
        <f t="shared" si="12"/>
        <v>0</v>
      </c>
      <c r="FC12" s="18">
        <f t="shared" si="12"/>
        <v>0</v>
      </c>
      <c r="FD12" s="18">
        <f t="shared" si="12"/>
        <v>0</v>
      </c>
      <c r="FE12" s="18">
        <f t="shared" si="12"/>
        <v>0</v>
      </c>
      <c r="FF12" s="18">
        <f t="shared" si="12"/>
        <v>0</v>
      </c>
      <c r="FG12" s="18">
        <f t="shared" si="12"/>
        <v>0</v>
      </c>
      <c r="FH12" s="18">
        <f t="shared" si="12"/>
        <v>0</v>
      </c>
      <c r="FI12" s="18">
        <f t="shared" si="12"/>
        <v>0</v>
      </c>
      <c r="FJ12" s="18">
        <f t="shared" si="12"/>
        <v>0</v>
      </c>
      <c r="FK12" s="18">
        <f t="shared" si="12"/>
        <v>0</v>
      </c>
      <c r="FL12" s="18">
        <f t="shared" si="12"/>
        <v>0</v>
      </c>
      <c r="FM12" s="18">
        <f t="shared" si="12"/>
        <v>0</v>
      </c>
      <c r="FN12" s="18">
        <f t="shared" si="12"/>
        <v>0</v>
      </c>
      <c r="FO12" s="18">
        <f t="shared" si="12"/>
        <v>0</v>
      </c>
      <c r="FP12" s="18">
        <f t="shared" si="12"/>
        <v>0</v>
      </c>
      <c r="FQ12" s="18">
        <f t="shared" si="12"/>
        <v>0</v>
      </c>
      <c r="FR12" s="18">
        <f t="shared" si="12"/>
        <v>0</v>
      </c>
      <c r="FS12" s="18">
        <f t="shared" si="12"/>
        <v>0</v>
      </c>
      <c r="FT12" s="18">
        <f t="shared" si="12"/>
        <v>0</v>
      </c>
      <c r="FU12" s="18">
        <f t="shared" si="12"/>
        <v>0</v>
      </c>
      <c r="FV12" s="18">
        <f t="shared" si="12"/>
        <v>0</v>
      </c>
      <c r="FW12" s="18">
        <f t="shared" si="12"/>
        <v>0</v>
      </c>
      <c r="FX12" s="18">
        <f t="shared" si="12"/>
        <v>0</v>
      </c>
      <c r="FY12" s="18">
        <f t="shared" si="12"/>
        <v>0</v>
      </c>
      <c r="FZ12" s="18">
        <f t="shared" si="12"/>
        <v>0</v>
      </c>
      <c r="GA12" s="18">
        <f t="shared" si="12"/>
        <v>0</v>
      </c>
      <c r="GB12" s="18">
        <f t="shared" si="12"/>
        <v>0</v>
      </c>
      <c r="GC12" s="18">
        <f t="shared" si="12"/>
        <v>0</v>
      </c>
    </row>
    <row r="13" spans="2:185" ht="17.100000000000001" customHeight="1" outlineLevel="1">
      <c r="B13" s="25"/>
      <c r="C13" s="40" t="s">
        <v>27</v>
      </c>
      <c r="D13" s="26" t="s">
        <v>19</v>
      </c>
      <c r="E13" s="27">
        <f>F12</f>
        <v>45337</v>
      </c>
      <c r="F13" s="27">
        <f>E13+10</f>
        <v>45347</v>
      </c>
      <c r="G13" s="28">
        <f t="shared" ref="G13" si="17">F13-E13</f>
        <v>10</v>
      </c>
      <c r="H13" s="29">
        <f>E13</f>
        <v>45337</v>
      </c>
      <c r="I13" s="30">
        <v>45345</v>
      </c>
      <c r="J13" s="31" t="s">
        <v>21</v>
      </c>
      <c r="K13" s="18">
        <f t="shared" ref="K13:BV15" si="18">IF(AND($E13&lt;=K$5,$F13&gt;=K$5),1,0)</f>
        <v>0</v>
      </c>
      <c r="L13" s="18">
        <f t="shared" si="18"/>
        <v>0</v>
      </c>
      <c r="M13" s="18">
        <f t="shared" si="18"/>
        <v>0</v>
      </c>
      <c r="N13" s="18">
        <f t="shared" si="18"/>
        <v>0</v>
      </c>
      <c r="O13" s="18">
        <f t="shared" si="18"/>
        <v>0</v>
      </c>
      <c r="P13" s="18">
        <f t="shared" si="18"/>
        <v>0</v>
      </c>
      <c r="Q13" s="18">
        <f t="shared" si="18"/>
        <v>0</v>
      </c>
      <c r="R13" s="18">
        <f t="shared" si="18"/>
        <v>0</v>
      </c>
      <c r="S13" s="18">
        <f t="shared" si="18"/>
        <v>0</v>
      </c>
      <c r="T13" s="18">
        <f t="shared" si="18"/>
        <v>0</v>
      </c>
      <c r="U13" s="18">
        <f t="shared" si="18"/>
        <v>0</v>
      </c>
      <c r="V13" s="18">
        <f t="shared" si="18"/>
        <v>0</v>
      </c>
      <c r="W13" s="18">
        <f t="shared" si="18"/>
        <v>0</v>
      </c>
      <c r="X13" s="18">
        <f t="shared" si="18"/>
        <v>0</v>
      </c>
      <c r="Y13" s="18">
        <f t="shared" si="18"/>
        <v>0</v>
      </c>
      <c r="Z13" s="18">
        <f t="shared" si="18"/>
        <v>0</v>
      </c>
      <c r="AA13" s="18">
        <f t="shared" si="18"/>
        <v>0</v>
      </c>
      <c r="AB13" s="18">
        <f t="shared" si="18"/>
        <v>1</v>
      </c>
      <c r="AC13" s="18">
        <f t="shared" si="18"/>
        <v>1</v>
      </c>
      <c r="AD13" s="18">
        <f t="shared" si="18"/>
        <v>1</v>
      </c>
      <c r="AE13" s="18">
        <f t="shared" si="18"/>
        <v>1</v>
      </c>
      <c r="AF13" s="18">
        <f t="shared" si="18"/>
        <v>1</v>
      </c>
      <c r="AG13" s="18">
        <f t="shared" si="18"/>
        <v>1</v>
      </c>
      <c r="AH13" s="18">
        <f t="shared" si="18"/>
        <v>1</v>
      </c>
      <c r="AI13" s="18">
        <f t="shared" si="18"/>
        <v>1</v>
      </c>
      <c r="AJ13" s="18">
        <f t="shared" si="18"/>
        <v>1</v>
      </c>
      <c r="AK13" s="18">
        <f t="shared" si="18"/>
        <v>1</v>
      </c>
      <c r="AL13" s="18">
        <f t="shared" si="18"/>
        <v>1</v>
      </c>
      <c r="AM13" s="18">
        <f t="shared" si="18"/>
        <v>0</v>
      </c>
      <c r="AN13" s="18">
        <f t="shared" si="18"/>
        <v>0</v>
      </c>
      <c r="AO13" s="18">
        <f t="shared" si="18"/>
        <v>0</v>
      </c>
      <c r="AP13" s="18">
        <f t="shared" si="18"/>
        <v>0</v>
      </c>
      <c r="AQ13" s="18">
        <f t="shared" si="18"/>
        <v>0</v>
      </c>
      <c r="AR13" s="18">
        <f t="shared" si="18"/>
        <v>0</v>
      </c>
      <c r="AS13" s="18">
        <f t="shared" si="18"/>
        <v>0</v>
      </c>
      <c r="AT13" s="18">
        <f t="shared" si="18"/>
        <v>0</v>
      </c>
      <c r="AU13" s="18">
        <f t="shared" si="18"/>
        <v>0</v>
      </c>
      <c r="AV13" s="18">
        <f t="shared" si="18"/>
        <v>0</v>
      </c>
      <c r="AW13" s="18">
        <f t="shared" si="18"/>
        <v>0</v>
      </c>
      <c r="AX13" s="18">
        <f t="shared" si="18"/>
        <v>0</v>
      </c>
      <c r="AY13" s="18">
        <f t="shared" si="18"/>
        <v>0</v>
      </c>
      <c r="AZ13" s="18">
        <f t="shared" si="18"/>
        <v>0</v>
      </c>
      <c r="BA13" s="18">
        <f t="shared" si="18"/>
        <v>0</v>
      </c>
      <c r="BB13" s="18">
        <f t="shared" si="18"/>
        <v>0</v>
      </c>
      <c r="BC13" s="18">
        <f t="shared" si="18"/>
        <v>0</v>
      </c>
      <c r="BD13" s="18">
        <f t="shared" si="18"/>
        <v>0</v>
      </c>
      <c r="BE13" s="18">
        <f t="shared" si="18"/>
        <v>0</v>
      </c>
      <c r="BF13" s="18">
        <f t="shared" si="18"/>
        <v>0</v>
      </c>
      <c r="BG13" s="18">
        <f t="shared" si="18"/>
        <v>0</v>
      </c>
      <c r="BH13" s="18">
        <f t="shared" si="18"/>
        <v>0</v>
      </c>
      <c r="BI13" s="18">
        <f t="shared" si="18"/>
        <v>0</v>
      </c>
      <c r="BJ13" s="18">
        <f t="shared" si="18"/>
        <v>0</v>
      </c>
      <c r="BK13" s="18">
        <f t="shared" si="18"/>
        <v>0</v>
      </c>
      <c r="BL13" s="18">
        <f t="shared" si="18"/>
        <v>0</v>
      </c>
      <c r="BM13" s="18">
        <f t="shared" si="18"/>
        <v>0</v>
      </c>
      <c r="BN13" s="18">
        <f t="shared" si="18"/>
        <v>0</v>
      </c>
      <c r="BO13" s="18">
        <f t="shared" si="18"/>
        <v>0</v>
      </c>
      <c r="BP13" s="18">
        <f t="shared" si="18"/>
        <v>0</v>
      </c>
      <c r="BQ13" s="18">
        <f t="shared" si="18"/>
        <v>0</v>
      </c>
      <c r="BR13" s="18">
        <f t="shared" si="18"/>
        <v>0</v>
      </c>
      <c r="BS13" s="18">
        <f t="shared" si="18"/>
        <v>0</v>
      </c>
      <c r="BT13" s="18">
        <f t="shared" si="18"/>
        <v>0</v>
      </c>
      <c r="BU13" s="18">
        <f t="shared" si="18"/>
        <v>0</v>
      </c>
      <c r="BV13" s="18">
        <f t="shared" si="18"/>
        <v>0</v>
      </c>
      <c r="BW13" s="18">
        <f t="shared" ref="BW13:EH15" si="19">IF(AND($E13&lt;=BW$5,$F13&gt;=BW$5),1,0)</f>
        <v>0</v>
      </c>
      <c r="BX13" s="18">
        <f t="shared" si="19"/>
        <v>0</v>
      </c>
      <c r="BY13" s="18">
        <f t="shared" si="19"/>
        <v>0</v>
      </c>
      <c r="BZ13" s="18">
        <f t="shared" si="19"/>
        <v>0</v>
      </c>
      <c r="CA13" s="18">
        <f t="shared" si="19"/>
        <v>0</v>
      </c>
      <c r="CB13" s="18">
        <f t="shared" si="19"/>
        <v>0</v>
      </c>
      <c r="CC13" s="18">
        <f t="shared" si="19"/>
        <v>0</v>
      </c>
      <c r="CD13" s="18">
        <f t="shared" si="19"/>
        <v>0</v>
      </c>
      <c r="CE13" s="18">
        <f t="shared" si="19"/>
        <v>0</v>
      </c>
      <c r="CF13" s="18">
        <f t="shared" si="19"/>
        <v>0</v>
      </c>
      <c r="CG13" s="18">
        <f t="shared" si="19"/>
        <v>0</v>
      </c>
      <c r="CH13" s="18">
        <f t="shared" si="19"/>
        <v>0</v>
      </c>
      <c r="CI13" s="18">
        <f t="shared" si="19"/>
        <v>0</v>
      </c>
      <c r="CJ13" s="18">
        <f t="shared" si="19"/>
        <v>0</v>
      </c>
      <c r="CK13" s="18">
        <f t="shared" si="19"/>
        <v>0</v>
      </c>
      <c r="CL13" s="18">
        <f t="shared" si="19"/>
        <v>0</v>
      </c>
      <c r="CM13" s="18">
        <f t="shared" si="19"/>
        <v>0</v>
      </c>
      <c r="CN13" s="18">
        <f t="shared" si="19"/>
        <v>0</v>
      </c>
      <c r="CO13" s="18">
        <f t="shared" si="19"/>
        <v>0</v>
      </c>
      <c r="CP13" s="18">
        <f t="shared" si="19"/>
        <v>0</v>
      </c>
      <c r="CQ13" s="18">
        <f t="shared" si="19"/>
        <v>0</v>
      </c>
      <c r="CR13" s="18">
        <f t="shared" si="19"/>
        <v>0</v>
      </c>
      <c r="CS13" s="18">
        <f t="shared" si="19"/>
        <v>0</v>
      </c>
      <c r="CT13" s="18">
        <f t="shared" si="19"/>
        <v>0</v>
      </c>
      <c r="CU13" s="18">
        <f t="shared" si="19"/>
        <v>0</v>
      </c>
      <c r="CV13" s="18">
        <f t="shared" si="19"/>
        <v>0</v>
      </c>
      <c r="CW13" s="18">
        <f t="shared" si="19"/>
        <v>0</v>
      </c>
      <c r="CX13" s="18">
        <f t="shared" si="19"/>
        <v>0</v>
      </c>
      <c r="CY13" s="18">
        <f t="shared" si="19"/>
        <v>0</v>
      </c>
      <c r="CZ13" s="18">
        <f t="shared" si="19"/>
        <v>0</v>
      </c>
      <c r="DA13" s="18">
        <f t="shared" si="19"/>
        <v>0</v>
      </c>
      <c r="DB13" s="18">
        <f t="shared" si="19"/>
        <v>0</v>
      </c>
      <c r="DC13" s="18">
        <f t="shared" si="19"/>
        <v>0</v>
      </c>
      <c r="DD13" s="18">
        <f t="shared" si="19"/>
        <v>0</v>
      </c>
      <c r="DE13" s="18">
        <f t="shared" si="19"/>
        <v>0</v>
      </c>
      <c r="DF13" s="18">
        <f t="shared" si="19"/>
        <v>0</v>
      </c>
      <c r="DG13" s="18">
        <f t="shared" si="19"/>
        <v>0</v>
      </c>
      <c r="DH13" s="18">
        <f t="shared" si="19"/>
        <v>0</v>
      </c>
      <c r="DI13" s="18">
        <f t="shared" si="19"/>
        <v>0</v>
      </c>
      <c r="DJ13" s="18">
        <f t="shared" si="19"/>
        <v>0</v>
      </c>
      <c r="DK13" s="18">
        <f t="shared" si="19"/>
        <v>0</v>
      </c>
      <c r="DL13" s="18">
        <f t="shared" si="19"/>
        <v>0</v>
      </c>
      <c r="DM13" s="18">
        <f t="shared" si="19"/>
        <v>0</v>
      </c>
      <c r="DN13" s="18">
        <f t="shared" si="19"/>
        <v>0</v>
      </c>
      <c r="DO13" s="18">
        <f t="shared" si="19"/>
        <v>0</v>
      </c>
      <c r="DP13" s="18">
        <f t="shared" si="19"/>
        <v>0</v>
      </c>
      <c r="DQ13" s="18">
        <f t="shared" si="19"/>
        <v>0</v>
      </c>
      <c r="DR13" s="18">
        <f t="shared" si="19"/>
        <v>0</v>
      </c>
      <c r="DS13" s="18">
        <f t="shared" si="19"/>
        <v>0</v>
      </c>
      <c r="DT13" s="18">
        <f t="shared" si="19"/>
        <v>0</v>
      </c>
      <c r="DU13" s="18">
        <f t="shared" si="19"/>
        <v>0</v>
      </c>
      <c r="DV13" s="18">
        <f t="shared" si="19"/>
        <v>0</v>
      </c>
      <c r="DW13" s="18">
        <f t="shared" si="19"/>
        <v>0</v>
      </c>
      <c r="DX13" s="18">
        <f t="shared" si="19"/>
        <v>0</v>
      </c>
      <c r="DY13" s="18">
        <f t="shared" si="19"/>
        <v>0</v>
      </c>
      <c r="DZ13" s="18">
        <f t="shared" si="19"/>
        <v>0</v>
      </c>
      <c r="EA13" s="18">
        <f t="shared" si="19"/>
        <v>0</v>
      </c>
      <c r="EB13" s="18">
        <f t="shared" si="19"/>
        <v>0</v>
      </c>
      <c r="EC13" s="18">
        <f t="shared" si="19"/>
        <v>0</v>
      </c>
      <c r="ED13" s="18">
        <f t="shared" si="19"/>
        <v>0</v>
      </c>
      <c r="EE13" s="18">
        <f t="shared" si="19"/>
        <v>0</v>
      </c>
      <c r="EF13" s="18">
        <f t="shared" si="19"/>
        <v>0</v>
      </c>
      <c r="EG13" s="18">
        <f t="shared" si="19"/>
        <v>0</v>
      </c>
      <c r="EH13" s="18">
        <f t="shared" si="19"/>
        <v>0</v>
      </c>
      <c r="EI13" s="18">
        <f t="shared" ref="EI13:GC15" si="20">IF(AND($E13&lt;=EI$5,$F13&gt;=EI$5),1,0)</f>
        <v>0</v>
      </c>
      <c r="EJ13" s="18">
        <f t="shared" si="20"/>
        <v>0</v>
      </c>
      <c r="EK13" s="18">
        <f t="shared" si="20"/>
        <v>0</v>
      </c>
      <c r="EL13" s="18">
        <f t="shared" si="20"/>
        <v>0</v>
      </c>
      <c r="EM13" s="18">
        <f t="shared" si="20"/>
        <v>0</v>
      </c>
      <c r="EN13" s="18">
        <f t="shared" si="20"/>
        <v>0</v>
      </c>
      <c r="EO13" s="18">
        <f t="shared" si="20"/>
        <v>0</v>
      </c>
      <c r="EP13" s="18">
        <f t="shared" si="20"/>
        <v>0</v>
      </c>
      <c r="EQ13" s="18">
        <f t="shared" si="20"/>
        <v>0</v>
      </c>
      <c r="ER13" s="18">
        <f t="shared" si="20"/>
        <v>0</v>
      </c>
      <c r="ES13" s="18">
        <f t="shared" si="20"/>
        <v>0</v>
      </c>
      <c r="ET13" s="18">
        <f t="shared" si="20"/>
        <v>0</v>
      </c>
      <c r="EU13" s="18">
        <f t="shared" si="20"/>
        <v>0</v>
      </c>
      <c r="EV13" s="18">
        <f t="shared" si="20"/>
        <v>0</v>
      </c>
      <c r="EW13" s="18">
        <f t="shared" si="20"/>
        <v>0</v>
      </c>
      <c r="EX13" s="18">
        <f t="shared" si="20"/>
        <v>0</v>
      </c>
      <c r="EY13" s="18">
        <f t="shared" si="20"/>
        <v>0</v>
      </c>
      <c r="EZ13" s="18">
        <f t="shared" si="20"/>
        <v>0</v>
      </c>
      <c r="FA13" s="18">
        <f t="shared" si="20"/>
        <v>0</v>
      </c>
      <c r="FB13" s="18">
        <f t="shared" si="20"/>
        <v>0</v>
      </c>
      <c r="FC13" s="18">
        <f t="shared" si="20"/>
        <v>0</v>
      </c>
      <c r="FD13" s="18">
        <f t="shared" si="20"/>
        <v>0</v>
      </c>
      <c r="FE13" s="18">
        <f t="shared" si="20"/>
        <v>0</v>
      </c>
      <c r="FF13" s="18">
        <f t="shared" si="20"/>
        <v>0</v>
      </c>
      <c r="FG13" s="18">
        <f t="shared" si="20"/>
        <v>0</v>
      </c>
      <c r="FH13" s="18">
        <f t="shared" si="20"/>
        <v>0</v>
      </c>
      <c r="FI13" s="18">
        <f t="shared" si="20"/>
        <v>0</v>
      </c>
      <c r="FJ13" s="18">
        <f t="shared" si="20"/>
        <v>0</v>
      </c>
      <c r="FK13" s="18">
        <f t="shared" si="20"/>
        <v>0</v>
      </c>
      <c r="FL13" s="18">
        <f t="shared" si="20"/>
        <v>0</v>
      </c>
      <c r="FM13" s="18">
        <f t="shared" si="20"/>
        <v>0</v>
      </c>
      <c r="FN13" s="18">
        <f t="shared" si="20"/>
        <v>0</v>
      </c>
      <c r="FO13" s="18">
        <f t="shared" si="20"/>
        <v>0</v>
      </c>
      <c r="FP13" s="18">
        <f t="shared" si="20"/>
        <v>0</v>
      </c>
      <c r="FQ13" s="18">
        <f t="shared" si="20"/>
        <v>0</v>
      </c>
      <c r="FR13" s="18">
        <f t="shared" si="20"/>
        <v>0</v>
      </c>
      <c r="FS13" s="18">
        <f t="shared" si="20"/>
        <v>0</v>
      </c>
      <c r="FT13" s="18">
        <f t="shared" si="20"/>
        <v>0</v>
      </c>
      <c r="FU13" s="18">
        <f t="shared" si="20"/>
        <v>0</v>
      </c>
      <c r="FV13" s="18">
        <f t="shared" si="20"/>
        <v>0</v>
      </c>
      <c r="FW13" s="18">
        <f t="shared" si="20"/>
        <v>0</v>
      </c>
      <c r="FX13" s="18">
        <f t="shared" si="20"/>
        <v>0</v>
      </c>
      <c r="FY13" s="18">
        <f t="shared" si="20"/>
        <v>0</v>
      </c>
      <c r="FZ13" s="18">
        <f t="shared" si="20"/>
        <v>0</v>
      </c>
      <c r="GA13" s="18">
        <f t="shared" si="20"/>
        <v>0</v>
      </c>
      <c r="GB13" s="18">
        <f t="shared" si="20"/>
        <v>0</v>
      </c>
      <c r="GC13" s="18">
        <f t="shared" si="20"/>
        <v>0</v>
      </c>
    </row>
    <row r="14" spans="2:185" ht="17.100000000000001" customHeight="1" outlineLevel="1">
      <c r="B14" s="25"/>
      <c r="C14" s="40" t="s">
        <v>28</v>
      </c>
      <c r="D14" s="26" t="s">
        <v>29</v>
      </c>
      <c r="E14" s="27">
        <v>45334</v>
      </c>
      <c r="F14" s="27">
        <v>45351</v>
      </c>
      <c r="G14" s="28"/>
      <c r="H14" s="29">
        <v>45334</v>
      </c>
      <c r="I14" s="30"/>
      <c r="J14" s="31" t="s">
        <v>23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</row>
    <row r="15" spans="2:185" ht="17.100000000000001" customHeight="1" outlineLevel="1">
      <c r="B15" s="25"/>
      <c r="C15" s="40" t="s">
        <v>30</v>
      </c>
      <c r="D15" s="26" t="s">
        <v>25</v>
      </c>
      <c r="E15" s="27">
        <f>F13-3</f>
        <v>45344</v>
      </c>
      <c r="F15" s="27">
        <f>E15+10</f>
        <v>45354</v>
      </c>
      <c r="G15" s="28">
        <f t="shared" ref="G15" si="21">F15-E15</f>
        <v>10</v>
      </c>
      <c r="H15" s="29">
        <v>45346</v>
      </c>
      <c r="I15" s="30"/>
      <c r="J15" s="31" t="s">
        <v>23</v>
      </c>
      <c r="K15" s="18">
        <f t="shared" si="18"/>
        <v>0</v>
      </c>
      <c r="L15" s="18">
        <f t="shared" si="18"/>
        <v>0</v>
      </c>
      <c r="M15" s="18">
        <f t="shared" si="18"/>
        <v>0</v>
      </c>
      <c r="N15" s="18">
        <f t="shared" si="18"/>
        <v>0</v>
      </c>
      <c r="O15" s="18">
        <f t="shared" si="18"/>
        <v>0</v>
      </c>
      <c r="P15" s="18">
        <f t="shared" si="18"/>
        <v>0</v>
      </c>
      <c r="Q15" s="18">
        <f t="shared" si="18"/>
        <v>0</v>
      </c>
      <c r="R15" s="18">
        <f t="shared" si="18"/>
        <v>0</v>
      </c>
      <c r="S15" s="18">
        <f t="shared" si="18"/>
        <v>0</v>
      </c>
      <c r="T15" s="18">
        <f t="shared" si="18"/>
        <v>0</v>
      </c>
      <c r="U15" s="18">
        <f t="shared" si="18"/>
        <v>0</v>
      </c>
      <c r="V15" s="18">
        <f t="shared" si="18"/>
        <v>0</v>
      </c>
      <c r="W15" s="18">
        <f t="shared" si="18"/>
        <v>0</v>
      </c>
      <c r="X15" s="18">
        <f t="shared" si="18"/>
        <v>0</v>
      </c>
      <c r="Y15" s="18">
        <f t="shared" si="18"/>
        <v>0</v>
      </c>
      <c r="Z15" s="18">
        <f t="shared" si="18"/>
        <v>0</v>
      </c>
      <c r="AA15" s="18">
        <f t="shared" si="18"/>
        <v>0</v>
      </c>
      <c r="AB15" s="18">
        <f t="shared" si="18"/>
        <v>0</v>
      </c>
      <c r="AC15" s="18">
        <f t="shared" si="18"/>
        <v>0</v>
      </c>
      <c r="AD15" s="18">
        <f t="shared" si="18"/>
        <v>0</v>
      </c>
      <c r="AE15" s="18">
        <f t="shared" si="18"/>
        <v>0</v>
      </c>
      <c r="AF15" s="18">
        <f t="shared" si="18"/>
        <v>0</v>
      </c>
      <c r="AG15" s="18">
        <f t="shared" si="18"/>
        <v>0</v>
      </c>
      <c r="AH15" s="18">
        <f t="shared" si="18"/>
        <v>0</v>
      </c>
      <c r="AI15" s="18">
        <f t="shared" si="18"/>
        <v>1</v>
      </c>
      <c r="AJ15" s="18">
        <f t="shared" si="18"/>
        <v>1</v>
      </c>
      <c r="AK15" s="18">
        <f t="shared" si="18"/>
        <v>1</v>
      </c>
      <c r="AL15" s="18">
        <f t="shared" si="18"/>
        <v>1</v>
      </c>
      <c r="AM15" s="18">
        <f t="shared" si="18"/>
        <v>1</v>
      </c>
      <c r="AN15" s="18">
        <f t="shared" si="18"/>
        <v>1</v>
      </c>
      <c r="AO15" s="18">
        <f t="shared" si="18"/>
        <v>1</v>
      </c>
      <c r="AP15" s="18">
        <f t="shared" si="18"/>
        <v>1</v>
      </c>
      <c r="AQ15" s="18">
        <f t="shared" si="18"/>
        <v>1</v>
      </c>
      <c r="AR15" s="18">
        <f t="shared" si="18"/>
        <v>1</v>
      </c>
      <c r="AS15" s="18">
        <f t="shared" si="18"/>
        <v>1</v>
      </c>
      <c r="AT15" s="18">
        <f t="shared" si="18"/>
        <v>0</v>
      </c>
      <c r="AU15" s="18">
        <f t="shared" si="18"/>
        <v>0</v>
      </c>
      <c r="AV15" s="18">
        <f t="shared" si="18"/>
        <v>0</v>
      </c>
      <c r="AW15" s="18">
        <f t="shared" si="18"/>
        <v>0</v>
      </c>
      <c r="AX15" s="18">
        <f t="shared" si="18"/>
        <v>0</v>
      </c>
      <c r="AY15" s="18">
        <f t="shared" si="18"/>
        <v>0</v>
      </c>
      <c r="AZ15" s="18">
        <f t="shared" si="18"/>
        <v>0</v>
      </c>
      <c r="BA15" s="18">
        <f t="shared" si="18"/>
        <v>0</v>
      </c>
      <c r="BB15" s="18">
        <f t="shared" si="18"/>
        <v>0</v>
      </c>
      <c r="BC15" s="18">
        <f t="shared" si="18"/>
        <v>0</v>
      </c>
      <c r="BD15" s="18">
        <f t="shared" si="18"/>
        <v>0</v>
      </c>
      <c r="BE15" s="18">
        <f t="shared" si="18"/>
        <v>0</v>
      </c>
      <c r="BF15" s="18">
        <f t="shared" si="18"/>
        <v>0</v>
      </c>
      <c r="BG15" s="18">
        <f t="shared" si="18"/>
        <v>0</v>
      </c>
      <c r="BH15" s="18">
        <f t="shared" si="18"/>
        <v>0</v>
      </c>
      <c r="BI15" s="18">
        <f t="shared" si="18"/>
        <v>0</v>
      </c>
      <c r="BJ15" s="18">
        <f t="shared" si="18"/>
        <v>0</v>
      </c>
      <c r="BK15" s="18">
        <f t="shared" si="18"/>
        <v>0</v>
      </c>
      <c r="BL15" s="18">
        <f t="shared" si="18"/>
        <v>0</v>
      </c>
      <c r="BM15" s="18">
        <f t="shared" si="18"/>
        <v>0</v>
      </c>
      <c r="BN15" s="18">
        <f t="shared" si="18"/>
        <v>0</v>
      </c>
      <c r="BO15" s="18">
        <f t="shared" si="18"/>
        <v>0</v>
      </c>
      <c r="BP15" s="18">
        <f t="shared" si="18"/>
        <v>0</v>
      </c>
      <c r="BQ15" s="18">
        <f t="shared" si="18"/>
        <v>0</v>
      </c>
      <c r="BR15" s="18">
        <f t="shared" si="18"/>
        <v>0</v>
      </c>
      <c r="BS15" s="18">
        <f t="shared" si="18"/>
        <v>0</v>
      </c>
      <c r="BT15" s="18">
        <f t="shared" si="18"/>
        <v>0</v>
      </c>
      <c r="BU15" s="18">
        <f t="shared" si="18"/>
        <v>0</v>
      </c>
      <c r="BV15" s="18">
        <f t="shared" si="18"/>
        <v>0</v>
      </c>
      <c r="BW15" s="18">
        <f t="shared" si="19"/>
        <v>0</v>
      </c>
      <c r="BX15" s="18">
        <f t="shared" si="19"/>
        <v>0</v>
      </c>
      <c r="BY15" s="18">
        <f t="shared" si="19"/>
        <v>0</v>
      </c>
      <c r="BZ15" s="18">
        <f t="shared" si="19"/>
        <v>0</v>
      </c>
      <c r="CA15" s="18">
        <f t="shared" si="19"/>
        <v>0</v>
      </c>
      <c r="CB15" s="18">
        <f t="shared" si="19"/>
        <v>0</v>
      </c>
      <c r="CC15" s="18">
        <f t="shared" si="19"/>
        <v>0</v>
      </c>
      <c r="CD15" s="18">
        <f t="shared" si="19"/>
        <v>0</v>
      </c>
      <c r="CE15" s="18">
        <f t="shared" si="19"/>
        <v>0</v>
      </c>
      <c r="CF15" s="18">
        <f t="shared" si="19"/>
        <v>0</v>
      </c>
      <c r="CG15" s="18">
        <f t="shared" si="19"/>
        <v>0</v>
      </c>
      <c r="CH15" s="18">
        <f t="shared" si="19"/>
        <v>0</v>
      </c>
      <c r="CI15" s="18">
        <f t="shared" si="19"/>
        <v>0</v>
      </c>
      <c r="CJ15" s="18">
        <f t="shared" si="19"/>
        <v>0</v>
      </c>
      <c r="CK15" s="18">
        <f t="shared" si="19"/>
        <v>0</v>
      </c>
      <c r="CL15" s="18">
        <f t="shared" si="19"/>
        <v>0</v>
      </c>
      <c r="CM15" s="18">
        <f t="shared" si="19"/>
        <v>0</v>
      </c>
      <c r="CN15" s="18">
        <f t="shared" si="19"/>
        <v>0</v>
      </c>
      <c r="CO15" s="18">
        <f t="shared" si="19"/>
        <v>0</v>
      </c>
      <c r="CP15" s="18">
        <f t="shared" si="19"/>
        <v>0</v>
      </c>
      <c r="CQ15" s="18">
        <f t="shared" si="19"/>
        <v>0</v>
      </c>
      <c r="CR15" s="18">
        <f t="shared" si="19"/>
        <v>0</v>
      </c>
      <c r="CS15" s="18">
        <f t="shared" si="19"/>
        <v>0</v>
      </c>
      <c r="CT15" s="18">
        <f t="shared" si="19"/>
        <v>0</v>
      </c>
      <c r="CU15" s="18">
        <f t="shared" si="19"/>
        <v>0</v>
      </c>
      <c r="CV15" s="18">
        <f t="shared" si="19"/>
        <v>0</v>
      </c>
      <c r="CW15" s="18">
        <f t="shared" si="19"/>
        <v>0</v>
      </c>
      <c r="CX15" s="18">
        <f t="shared" si="19"/>
        <v>0</v>
      </c>
      <c r="CY15" s="18">
        <f t="shared" si="19"/>
        <v>0</v>
      </c>
      <c r="CZ15" s="18">
        <f t="shared" si="19"/>
        <v>0</v>
      </c>
      <c r="DA15" s="18">
        <f t="shared" si="19"/>
        <v>0</v>
      </c>
      <c r="DB15" s="18">
        <f t="shared" si="19"/>
        <v>0</v>
      </c>
      <c r="DC15" s="18">
        <f t="shared" si="19"/>
        <v>0</v>
      </c>
      <c r="DD15" s="18">
        <f t="shared" si="19"/>
        <v>0</v>
      </c>
      <c r="DE15" s="18">
        <f t="shared" si="19"/>
        <v>0</v>
      </c>
      <c r="DF15" s="18">
        <f t="shared" si="19"/>
        <v>0</v>
      </c>
      <c r="DG15" s="18">
        <f t="shared" si="19"/>
        <v>0</v>
      </c>
      <c r="DH15" s="18">
        <f t="shared" si="19"/>
        <v>0</v>
      </c>
      <c r="DI15" s="18">
        <f t="shared" si="19"/>
        <v>0</v>
      </c>
      <c r="DJ15" s="18">
        <f t="shared" si="19"/>
        <v>0</v>
      </c>
      <c r="DK15" s="18">
        <f t="shared" si="19"/>
        <v>0</v>
      </c>
      <c r="DL15" s="18">
        <f t="shared" si="19"/>
        <v>0</v>
      </c>
      <c r="DM15" s="18">
        <f t="shared" si="19"/>
        <v>0</v>
      </c>
      <c r="DN15" s="18">
        <f t="shared" si="19"/>
        <v>0</v>
      </c>
      <c r="DO15" s="18">
        <f t="shared" si="19"/>
        <v>0</v>
      </c>
      <c r="DP15" s="18">
        <f t="shared" si="19"/>
        <v>0</v>
      </c>
      <c r="DQ15" s="18">
        <f t="shared" si="19"/>
        <v>0</v>
      </c>
      <c r="DR15" s="18">
        <f t="shared" si="19"/>
        <v>0</v>
      </c>
      <c r="DS15" s="18">
        <f t="shared" si="19"/>
        <v>0</v>
      </c>
      <c r="DT15" s="18">
        <f t="shared" si="19"/>
        <v>0</v>
      </c>
      <c r="DU15" s="18">
        <f t="shared" si="19"/>
        <v>0</v>
      </c>
      <c r="DV15" s="18">
        <f t="shared" si="19"/>
        <v>0</v>
      </c>
      <c r="DW15" s="18">
        <f t="shared" si="19"/>
        <v>0</v>
      </c>
      <c r="DX15" s="18">
        <f t="shared" si="19"/>
        <v>0</v>
      </c>
      <c r="DY15" s="18">
        <f t="shared" si="19"/>
        <v>0</v>
      </c>
      <c r="DZ15" s="18">
        <f t="shared" si="19"/>
        <v>0</v>
      </c>
      <c r="EA15" s="18">
        <f t="shared" si="19"/>
        <v>0</v>
      </c>
      <c r="EB15" s="18">
        <f t="shared" si="19"/>
        <v>0</v>
      </c>
      <c r="EC15" s="18">
        <f t="shared" si="19"/>
        <v>0</v>
      </c>
      <c r="ED15" s="18">
        <f t="shared" si="19"/>
        <v>0</v>
      </c>
      <c r="EE15" s="18">
        <f t="shared" si="19"/>
        <v>0</v>
      </c>
      <c r="EF15" s="18">
        <f t="shared" si="19"/>
        <v>0</v>
      </c>
      <c r="EG15" s="18">
        <f t="shared" si="19"/>
        <v>0</v>
      </c>
      <c r="EH15" s="18">
        <f t="shared" si="19"/>
        <v>0</v>
      </c>
      <c r="EI15" s="18">
        <f t="shared" si="20"/>
        <v>0</v>
      </c>
      <c r="EJ15" s="18">
        <f t="shared" si="20"/>
        <v>0</v>
      </c>
      <c r="EK15" s="18">
        <f t="shared" si="20"/>
        <v>0</v>
      </c>
      <c r="EL15" s="18">
        <f t="shared" si="20"/>
        <v>0</v>
      </c>
      <c r="EM15" s="18">
        <f t="shared" si="20"/>
        <v>0</v>
      </c>
      <c r="EN15" s="18">
        <f t="shared" si="20"/>
        <v>0</v>
      </c>
      <c r="EO15" s="18">
        <f t="shared" si="20"/>
        <v>0</v>
      </c>
      <c r="EP15" s="18">
        <f t="shared" si="20"/>
        <v>0</v>
      </c>
      <c r="EQ15" s="18">
        <f t="shared" si="20"/>
        <v>0</v>
      </c>
      <c r="ER15" s="18">
        <f t="shared" si="20"/>
        <v>0</v>
      </c>
      <c r="ES15" s="18">
        <f t="shared" si="20"/>
        <v>0</v>
      </c>
      <c r="ET15" s="18">
        <f t="shared" si="20"/>
        <v>0</v>
      </c>
      <c r="EU15" s="18">
        <f t="shared" si="20"/>
        <v>0</v>
      </c>
      <c r="EV15" s="18">
        <f t="shared" si="20"/>
        <v>0</v>
      </c>
      <c r="EW15" s="18">
        <f t="shared" si="20"/>
        <v>0</v>
      </c>
      <c r="EX15" s="18">
        <f t="shared" si="20"/>
        <v>0</v>
      </c>
      <c r="EY15" s="18">
        <f t="shared" si="20"/>
        <v>0</v>
      </c>
      <c r="EZ15" s="18">
        <f t="shared" si="20"/>
        <v>0</v>
      </c>
      <c r="FA15" s="18">
        <f t="shared" si="20"/>
        <v>0</v>
      </c>
      <c r="FB15" s="18">
        <f t="shared" si="20"/>
        <v>0</v>
      </c>
      <c r="FC15" s="18">
        <f t="shared" si="20"/>
        <v>0</v>
      </c>
      <c r="FD15" s="18">
        <f t="shared" si="20"/>
        <v>0</v>
      </c>
      <c r="FE15" s="18">
        <f t="shared" si="20"/>
        <v>0</v>
      </c>
      <c r="FF15" s="18">
        <f t="shared" si="20"/>
        <v>0</v>
      </c>
      <c r="FG15" s="18">
        <f t="shared" si="20"/>
        <v>0</v>
      </c>
      <c r="FH15" s="18">
        <f t="shared" si="20"/>
        <v>0</v>
      </c>
      <c r="FI15" s="18">
        <f t="shared" si="20"/>
        <v>0</v>
      </c>
      <c r="FJ15" s="18">
        <f t="shared" si="20"/>
        <v>0</v>
      </c>
      <c r="FK15" s="18">
        <f t="shared" si="20"/>
        <v>0</v>
      </c>
      <c r="FL15" s="18">
        <f t="shared" si="20"/>
        <v>0</v>
      </c>
      <c r="FM15" s="18">
        <f t="shared" si="20"/>
        <v>0</v>
      </c>
      <c r="FN15" s="18">
        <f t="shared" si="20"/>
        <v>0</v>
      </c>
      <c r="FO15" s="18">
        <f t="shared" si="20"/>
        <v>0</v>
      </c>
      <c r="FP15" s="18">
        <f t="shared" si="20"/>
        <v>0</v>
      </c>
      <c r="FQ15" s="18">
        <f t="shared" si="20"/>
        <v>0</v>
      </c>
      <c r="FR15" s="18">
        <f t="shared" si="20"/>
        <v>0</v>
      </c>
      <c r="FS15" s="18">
        <f t="shared" si="20"/>
        <v>0</v>
      </c>
      <c r="FT15" s="18">
        <f t="shared" si="20"/>
        <v>0</v>
      </c>
      <c r="FU15" s="18">
        <f t="shared" si="20"/>
        <v>0</v>
      </c>
      <c r="FV15" s="18">
        <f t="shared" si="20"/>
        <v>0</v>
      </c>
      <c r="FW15" s="18">
        <f t="shared" si="20"/>
        <v>0</v>
      </c>
      <c r="FX15" s="18">
        <f t="shared" si="20"/>
        <v>0</v>
      </c>
      <c r="FY15" s="18">
        <f t="shared" si="20"/>
        <v>0</v>
      </c>
      <c r="FZ15" s="18">
        <f t="shared" si="20"/>
        <v>0</v>
      </c>
      <c r="GA15" s="18">
        <f t="shared" si="20"/>
        <v>0</v>
      </c>
      <c r="GB15" s="18">
        <f t="shared" si="20"/>
        <v>0</v>
      </c>
      <c r="GC15" s="18">
        <f t="shared" si="20"/>
        <v>0</v>
      </c>
    </row>
    <row r="16" spans="2:185" s="19" customFormat="1" ht="20.100000000000001" customHeight="1">
      <c r="B16" s="17"/>
      <c r="C16" s="51" t="s">
        <v>31</v>
      </c>
      <c r="D16" s="20"/>
      <c r="E16" s="21">
        <f>MINA(E17:E34)</f>
        <v>45337</v>
      </c>
      <c r="F16" s="21">
        <f>MAXA(F17:F34)</f>
        <v>45386</v>
      </c>
      <c r="G16" s="21"/>
      <c r="H16" s="22"/>
      <c r="I16" s="23"/>
      <c r="J16" s="24"/>
      <c r="K16" s="18">
        <f t="shared" si="8"/>
        <v>0</v>
      </c>
      <c r="L16" s="18">
        <f t="shared" si="8"/>
        <v>0</v>
      </c>
      <c r="M16" s="18">
        <f t="shared" si="8"/>
        <v>0</v>
      </c>
      <c r="N16" s="18">
        <f t="shared" si="8"/>
        <v>0</v>
      </c>
      <c r="O16" s="18">
        <f t="shared" si="8"/>
        <v>0</v>
      </c>
      <c r="P16" s="18">
        <f t="shared" si="8"/>
        <v>0</v>
      </c>
      <c r="Q16" s="18">
        <f t="shared" si="8"/>
        <v>0</v>
      </c>
      <c r="R16" s="18">
        <f t="shared" si="8"/>
        <v>0</v>
      </c>
      <c r="S16" s="18">
        <f t="shared" si="8"/>
        <v>0</v>
      </c>
      <c r="T16" s="18">
        <f t="shared" si="8"/>
        <v>0</v>
      </c>
      <c r="U16" s="18">
        <f t="shared" si="8"/>
        <v>0</v>
      </c>
      <c r="V16" s="18">
        <f t="shared" si="8"/>
        <v>0</v>
      </c>
      <c r="W16" s="18">
        <f t="shared" si="8"/>
        <v>0</v>
      </c>
      <c r="X16" s="18">
        <f t="shared" si="8"/>
        <v>0</v>
      </c>
      <c r="Y16" s="18">
        <f t="shared" si="8"/>
        <v>0</v>
      </c>
      <c r="Z16" s="18">
        <f t="shared" si="8"/>
        <v>0</v>
      </c>
      <c r="AA16" s="18">
        <f t="shared" si="9"/>
        <v>0</v>
      </c>
      <c r="AB16" s="18">
        <f t="shared" si="9"/>
        <v>1</v>
      </c>
      <c r="AC16" s="18">
        <f t="shared" si="9"/>
        <v>1</v>
      </c>
      <c r="AD16" s="18">
        <f t="shared" si="9"/>
        <v>1</v>
      </c>
      <c r="AE16" s="18">
        <f t="shared" si="9"/>
        <v>1</v>
      </c>
      <c r="AF16" s="18">
        <f t="shared" si="9"/>
        <v>1</v>
      </c>
      <c r="AG16" s="18">
        <f t="shared" si="9"/>
        <v>1</v>
      </c>
      <c r="AH16" s="18">
        <f t="shared" si="9"/>
        <v>1</v>
      </c>
      <c r="AI16" s="18">
        <f t="shared" si="9"/>
        <v>1</v>
      </c>
      <c r="AJ16" s="18">
        <f t="shared" si="9"/>
        <v>1</v>
      </c>
      <c r="AK16" s="18">
        <f t="shared" si="9"/>
        <v>1</v>
      </c>
      <c r="AL16" s="18">
        <f t="shared" si="9"/>
        <v>1</v>
      </c>
      <c r="AM16" s="18">
        <f t="shared" si="9"/>
        <v>1</v>
      </c>
      <c r="AN16" s="18">
        <f t="shared" si="9"/>
        <v>1</v>
      </c>
      <c r="AO16" s="18">
        <f t="shared" si="9"/>
        <v>1</v>
      </c>
      <c r="AP16" s="18">
        <f t="shared" si="9"/>
        <v>1</v>
      </c>
      <c r="AQ16" s="18">
        <f t="shared" si="16"/>
        <v>1</v>
      </c>
      <c r="AR16" s="18">
        <f t="shared" si="16"/>
        <v>1</v>
      </c>
      <c r="AS16" s="18">
        <f t="shared" si="16"/>
        <v>1</v>
      </c>
      <c r="AT16" s="18">
        <f t="shared" si="16"/>
        <v>1</v>
      </c>
      <c r="AU16" s="18">
        <f t="shared" si="16"/>
        <v>1</v>
      </c>
      <c r="AV16" s="18">
        <f t="shared" si="16"/>
        <v>1</v>
      </c>
      <c r="AW16" s="18">
        <f t="shared" si="16"/>
        <v>1</v>
      </c>
      <c r="AX16" s="18">
        <f t="shared" si="16"/>
        <v>1</v>
      </c>
      <c r="AY16" s="18">
        <f t="shared" si="16"/>
        <v>1</v>
      </c>
      <c r="AZ16" s="18">
        <f t="shared" si="16"/>
        <v>1</v>
      </c>
      <c r="BA16" s="18">
        <f t="shared" si="16"/>
        <v>1</v>
      </c>
      <c r="BB16" s="18">
        <f t="shared" si="16"/>
        <v>1</v>
      </c>
      <c r="BC16" s="18">
        <f t="shared" si="16"/>
        <v>1</v>
      </c>
      <c r="BD16" s="18">
        <f t="shared" si="16"/>
        <v>1</v>
      </c>
      <c r="BE16" s="18">
        <f t="shared" si="16"/>
        <v>1</v>
      </c>
      <c r="BF16" s="18">
        <f t="shared" si="16"/>
        <v>1</v>
      </c>
      <c r="BG16" s="18">
        <f t="shared" si="16"/>
        <v>1</v>
      </c>
      <c r="BH16" s="18">
        <f t="shared" si="16"/>
        <v>1</v>
      </c>
      <c r="BI16" s="18">
        <f t="shared" si="16"/>
        <v>1</v>
      </c>
      <c r="BJ16" s="18">
        <f t="shared" si="16"/>
        <v>1</v>
      </c>
      <c r="BK16" s="18">
        <f t="shared" si="16"/>
        <v>1</v>
      </c>
      <c r="BL16" s="18">
        <f t="shared" si="16"/>
        <v>1</v>
      </c>
      <c r="BM16" s="18">
        <f t="shared" si="16"/>
        <v>1</v>
      </c>
      <c r="BN16" s="18">
        <f t="shared" si="16"/>
        <v>1</v>
      </c>
      <c r="BO16" s="18">
        <f t="shared" si="16"/>
        <v>1</v>
      </c>
      <c r="BP16" s="18">
        <f t="shared" si="16"/>
        <v>1</v>
      </c>
      <c r="BQ16" s="18">
        <f t="shared" si="16"/>
        <v>1</v>
      </c>
      <c r="BR16" s="18">
        <f t="shared" si="16"/>
        <v>1</v>
      </c>
      <c r="BS16" s="18">
        <f t="shared" si="16"/>
        <v>1</v>
      </c>
      <c r="BT16" s="18">
        <f t="shared" si="16"/>
        <v>1</v>
      </c>
      <c r="BU16" s="18">
        <f t="shared" si="16"/>
        <v>1</v>
      </c>
      <c r="BV16" s="18">
        <f t="shared" si="16"/>
        <v>1</v>
      </c>
      <c r="BW16" s="18">
        <f t="shared" si="16"/>
        <v>1</v>
      </c>
      <c r="BX16" s="18">
        <f t="shared" si="16"/>
        <v>1</v>
      </c>
      <c r="BY16" s="18">
        <f t="shared" si="16"/>
        <v>1</v>
      </c>
      <c r="BZ16" s="18">
        <f t="shared" si="16"/>
        <v>0</v>
      </c>
      <c r="CA16" s="18">
        <f t="shared" si="16"/>
        <v>0</v>
      </c>
      <c r="CB16" s="18">
        <f t="shared" si="16"/>
        <v>0</v>
      </c>
      <c r="CC16" s="18">
        <f t="shared" si="16"/>
        <v>0</v>
      </c>
      <c r="CD16" s="18">
        <f t="shared" si="16"/>
        <v>0</v>
      </c>
      <c r="CE16" s="18">
        <f t="shared" si="16"/>
        <v>0</v>
      </c>
      <c r="CF16" s="18">
        <f t="shared" si="16"/>
        <v>0</v>
      </c>
      <c r="CG16" s="18">
        <f t="shared" si="16"/>
        <v>0</v>
      </c>
      <c r="CH16" s="18">
        <f t="shared" si="16"/>
        <v>0</v>
      </c>
      <c r="CI16" s="18">
        <f t="shared" si="16"/>
        <v>0</v>
      </c>
      <c r="CJ16" s="18">
        <f t="shared" si="16"/>
        <v>0</v>
      </c>
      <c r="CK16" s="18">
        <f t="shared" si="16"/>
        <v>0</v>
      </c>
      <c r="CL16" s="18">
        <f t="shared" si="16"/>
        <v>0</v>
      </c>
      <c r="CM16" s="18">
        <f t="shared" si="16"/>
        <v>0</v>
      </c>
      <c r="CN16" s="18">
        <f t="shared" si="16"/>
        <v>0</v>
      </c>
      <c r="CO16" s="18">
        <f t="shared" si="16"/>
        <v>0</v>
      </c>
      <c r="CP16" s="18">
        <f t="shared" si="16"/>
        <v>0</v>
      </c>
      <c r="CQ16" s="18">
        <f t="shared" si="16"/>
        <v>0</v>
      </c>
      <c r="CR16" s="18">
        <f t="shared" si="16"/>
        <v>0</v>
      </c>
      <c r="CS16" s="18">
        <f t="shared" si="16"/>
        <v>0</v>
      </c>
      <c r="CT16" s="18">
        <f t="shared" si="16"/>
        <v>0</v>
      </c>
      <c r="CU16" s="18">
        <f t="shared" si="16"/>
        <v>0</v>
      </c>
      <c r="CV16" s="18">
        <f t="shared" si="16"/>
        <v>0</v>
      </c>
      <c r="CW16" s="18">
        <f t="shared" si="16"/>
        <v>0</v>
      </c>
      <c r="CX16" s="18">
        <f t="shared" si="16"/>
        <v>0</v>
      </c>
      <c r="CY16" s="18">
        <f t="shared" si="16"/>
        <v>0</v>
      </c>
      <c r="CZ16" s="18">
        <f t="shared" si="16"/>
        <v>0</v>
      </c>
      <c r="DA16" s="18">
        <f t="shared" si="16"/>
        <v>0</v>
      </c>
      <c r="DB16" s="18">
        <f t="shared" ref="DB16" si="22">IF(AND($E16&lt;=DB$5,$F16&gt;=DB$5),1,0)</f>
        <v>0</v>
      </c>
      <c r="DC16" s="18">
        <f t="shared" si="15"/>
        <v>0</v>
      </c>
      <c r="DD16" s="18">
        <f t="shared" si="15"/>
        <v>0</v>
      </c>
      <c r="DE16" s="18">
        <f t="shared" si="15"/>
        <v>0</v>
      </c>
      <c r="DF16" s="18">
        <f t="shared" si="15"/>
        <v>0</v>
      </c>
      <c r="DG16" s="18">
        <f t="shared" si="15"/>
        <v>0</v>
      </c>
      <c r="DH16" s="18">
        <f t="shared" si="15"/>
        <v>0</v>
      </c>
      <c r="DI16" s="18">
        <f t="shared" si="15"/>
        <v>0</v>
      </c>
      <c r="DJ16" s="18">
        <f t="shared" si="15"/>
        <v>0</v>
      </c>
      <c r="DK16" s="18">
        <f t="shared" si="15"/>
        <v>0</v>
      </c>
      <c r="DL16" s="18">
        <f t="shared" si="15"/>
        <v>0</v>
      </c>
      <c r="DM16" s="18">
        <f t="shared" si="15"/>
        <v>0</v>
      </c>
      <c r="DN16" s="18">
        <f t="shared" si="15"/>
        <v>0</v>
      </c>
      <c r="DO16" s="18">
        <f t="shared" si="15"/>
        <v>0</v>
      </c>
      <c r="DP16" s="18">
        <f t="shared" si="15"/>
        <v>0</v>
      </c>
      <c r="DQ16" s="18">
        <f t="shared" si="15"/>
        <v>0</v>
      </c>
      <c r="DR16" s="18">
        <f t="shared" si="15"/>
        <v>0</v>
      </c>
      <c r="DS16" s="18">
        <f t="shared" si="15"/>
        <v>0</v>
      </c>
      <c r="DT16" s="18">
        <f t="shared" si="15"/>
        <v>0</v>
      </c>
      <c r="DU16" s="18">
        <f t="shared" si="15"/>
        <v>0</v>
      </c>
      <c r="DV16" s="18">
        <f t="shared" si="15"/>
        <v>0</v>
      </c>
      <c r="DW16" s="18">
        <f t="shared" si="15"/>
        <v>0</v>
      </c>
      <c r="DX16" s="18">
        <f t="shared" si="15"/>
        <v>0</v>
      </c>
      <c r="DY16" s="18">
        <f t="shared" si="15"/>
        <v>0</v>
      </c>
      <c r="DZ16" s="18">
        <f t="shared" si="15"/>
        <v>0</v>
      </c>
      <c r="EA16" s="18">
        <f t="shared" si="15"/>
        <v>0</v>
      </c>
      <c r="EB16" s="18">
        <f t="shared" si="15"/>
        <v>0</v>
      </c>
      <c r="EC16" s="18">
        <f t="shared" si="15"/>
        <v>0</v>
      </c>
      <c r="ED16" s="18">
        <f t="shared" si="15"/>
        <v>0</v>
      </c>
      <c r="EE16" s="18">
        <f t="shared" si="15"/>
        <v>0</v>
      </c>
      <c r="EF16" s="18">
        <f t="shared" si="15"/>
        <v>0</v>
      </c>
      <c r="EG16" s="18">
        <f t="shared" si="15"/>
        <v>0</v>
      </c>
      <c r="EH16" s="18">
        <f t="shared" si="15"/>
        <v>0</v>
      </c>
      <c r="EI16" s="18">
        <f t="shared" si="15"/>
        <v>0</v>
      </c>
      <c r="EJ16" s="18">
        <f t="shared" si="15"/>
        <v>0</v>
      </c>
      <c r="EK16" s="18">
        <f t="shared" si="15"/>
        <v>0</v>
      </c>
      <c r="EL16" s="18">
        <f t="shared" si="15"/>
        <v>0</v>
      </c>
      <c r="EM16" s="18">
        <f t="shared" si="15"/>
        <v>0</v>
      </c>
      <c r="EN16" s="18">
        <f t="shared" si="15"/>
        <v>0</v>
      </c>
      <c r="EO16" s="18">
        <f t="shared" si="15"/>
        <v>0</v>
      </c>
      <c r="EP16" s="18">
        <f t="shared" si="15"/>
        <v>0</v>
      </c>
      <c r="EQ16" s="18">
        <f t="shared" si="15"/>
        <v>0</v>
      </c>
      <c r="ER16" s="18">
        <f t="shared" si="15"/>
        <v>0</v>
      </c>
      <c r="ES16" s="18">
        <f t="shared" si="15"/>
        <v>0</v>
      </c>
      <c r="ET16" s="18">
        <f t="shared" si="15"/>
        <v>0</v>
      </c>
      <c r="EU16" s="18">
        <f t="shared" si="12"/>
        <v>0</v>
      </c>
      <c r="EV16" s="18">
        <f t="shared" si="12"/>
        <v>0</v>
      </c>
      <c r="EW16" s="18">
        <f t="shared" si="12"/>
        <v>0</v>
      </c>
      <c r="EX16" s="18">
        <f t="shared" si="12"/>
        <v>0</v>
      </c>
      <c r="EY16" s="18">
        <f t="shared" si="12"/>
        <v>0</v>
      </c>
      <c r="EZ16" s="18">
        <f t="shared" si="12"/>
        <v>0</v>
      </c>
      <c r="FA16" s="18">
        <f t="shared" si="12"/>
        <v>0</v>
      </c>
      <c r="FB16" s="18">
        <f t="shared" si="12"/>
        <v>0</v>
      </c>
      <c r="FC16" s="18">
        <f t="shared" si="12"/>
        <v>0</v>
      </c>
      <c r="FD16" s="18">
        <f t="shared" si="12"/>
        <v>0</v>
      </c>
      <c r="FE16" s="18">
        <f t="shared" ref="FE16:GC16" si="23">IF(AND($E16&lt;=FE$5,$F16&gt;=FE$5),1,0)</f>
        <v>0</v>
      </c>
      <c r="FF16" s="18">
        <f t="shared" si="23"/>
        <v>0</v>
      </c>
      <c r="FG16" s="18">
        <f t="shared" si="23"/>
        <v>0</v>
      </c>
      <c r="FH16" s="18">
        <f t="shared" si="23"/>
        <v>0</v>
      </c>
      <c r="FI16" s="18">
        <f t="shared" si="23"/>
        <v>0</v>
      </c>
      <c r="FJ16" s="18">
        <f t="shared" si="23"/>
        <v>0</v>
      </c>
      <c r="FK16" s="18">
        <f t="shared" si="23"/>
        <v>0</v>
      </c>
      <c r="FL16" s="18">
        <f t="shared" si="23"/>
        <v>0</v>
      </c>
      <c r="FM16" s="18">
        <f t="shared" si="23"/>
        <v>0</v>
      </c>
      <c r="FN16" s="18">
        <f t="shared" si="23"/>
        <v>0</v>
      </c>
      <c r="FO16" s="18">
        <f t="shared" si="23"/>
        <v>0</v>
      </c>
      <c r="FP16" s="18">
        <f t="shared" si="23"/>
        <v>0</v>
      </c>
      <c r="FQ16" s="18">
        <f t="shared" si="23"/>
        <v>0</v>
      </c>
      <c r="FR16" s="18">
        <f t="shared" si="23"/>
        <v>0</v>
      </c>
      <c r="FS16" s="18">
        <f t="shared" si="23"/>
        <v>0</v>
      </c>
      <c r="FT16" s="18">
        <f t="shared" si="23"/>
        <v>0</v>
      </c>
      <c r="FU16" s="18">
        <f t="shared" si="23"/>
        <v>0</v>
      </c>
      <c r="FV16" s="18">
        <f t="shared" si="23"/>
        <v>0</v>
      </c>
      <c r="FW16" s="18">
        <f t="shared" si="23"/>
        <v>0</v>
      </c>
      <c r="FX16" s="18">
        <f t="shared" si="23"/>
        <v>0</v>
      </c>
      <c r="FY16" s="18">
        <f t="shared" si="23"/>
        <v>0</v>
      </c>
      <c r="FZ16" s="18">
        <f t="shared" si="23"/>
        <v>0</v>
      </c>
      <c r="GA16" s="18">
        <f t="shared" si="23"/>
        <v>0</v>
      </c>
      <c r="GB16" s="18">
        <f t="shared" si="23"/>
        <v>0</v>
      </c>
      <c r="GC16" s="18">
        <f t="shared" si="23"/>
        <v>0</v>
      </c>
    </row>
    <row r="17" spans="2:185" s="19" customFormat="1" ht="20.100000000000001" customHeight="1">
      <c r="B17" s="32"/>
      <c r="C17" s="33" t="s">
        <v>32</v>
      </c>
      <c r="D17" s="34"/>
      <c r="E17" s="35">
        <f>MINA(E18:E25)</f>
        <v>45337</v>
      </c>
      <c r="F17" s="35">
        <f>MAXA(F18:F25)</f>
        <v>45378</v>
      </c>
      <c r="G17" s="35"/>
      <c r="H17" s="36"/>
      <c r="I17" s="37"/>
      <c r="J17" s="38"/>
      <c r="K17" s="18">
        <f t="shared" si="8"/>
        <v>0</v>
      </c>
      <c r="L17" s="18">
        <f t="shared" si="8"/>
        <v>0</v>
      </c>
      <c r="M17" s="18">
        <f t="shared" si="8"/>
        <v>0</v>
      </c>
      <c r="N17" s="18">
        <f t="shared" si="8"/>
        <v>0</v>
      </c>
      <c r="O17" s="18">
        <f t="shared" si="8"/>
        <v>0</v>
      </c>
      <c r="P17" s="18">
        <f t="shared" si="8"/>
        <v>0</v>
      </c>
      <c r="Q17" s="18">
        <f t="shared" si="8"/>
        <v>0</v>
      </c>
      <c r="R17" s="18">
        <f t="shared" si="8"/>
        <v>0</v>
      </c>
      <c r="S17" s="18">
        <f t="shared" si="8"/>
        <v>0</v>
      </c>
      <c r="T17" s="18">
        <f t="shared" si="8"/>
        <v>0</v>
      </c>
      <c r="U17" s="18">
        <f t="shared" si="8"/>
        <v>0</v>
      </c>
      <c r="V17" s="18">
        <f t="shared" si="8"/>
        <v>0</v>
      </c>
      <c r="W17" s="18">
        <f t="shared" si="8"/>
        <v>0</v>
      </c>
      <c r="X17" s="18">
        <f t="shared" si="8"/>
        <v>0</v>
      </c>
      <c r="Y17" s="18">
        <f t="shared" si="8"/>
        <v>0</v>
      </c>
      <c r="Z17" s="18">
        <f t="shared" si="8"/>
        <v>0</v>
      </c>
      <c r="AA17" s="18">
        <f t="shared" si="9"/>
        <v>0</v>
      </c>
      <c r="AB17" s="18">
        <f t="shared" si="9"/>
        <v>1</v>
      </c>
      <c r="AC17" s="18">
        <f t="shared" si="9"/>
        <v>1</v>
      </c>
      <c r="AD17" s="18">
        <f t="shared" si="9"/>
        <v>1</v>
      </c>
      <c r="AE17" s="18">
        <f t="shared" si="9"/>
        <v>1</v>
      </c>
      <c r="AF17" s="18">
        <f t="shared" si="9"/>
        <v>1</v>
      </c>
      <c r="AG17" s="18">
        <f t="shared" si="9"/>
        <v>1</v>
      </c>
      <c r="AH17" s="18">
        <f t="shared" si="9"/>
        <v>1</v>
      </c>
      <c r="AI17" s="18">
        <f t="shared" si="9"/>
        <v>1</v>
      </c>
      <c r="AJ17" s="18">
        <f t="shared" si="9"/>
        <v>1</v>
      </c>
      <c r="AK17" s="18">
        <f t="shared" si="9"/>
        <v>1</v>
      </c>
      <c r="AL17" s="18">
        <f t="shared" si="9"/>
        <v>1</v>
      </c>
      <c r="AM17" s="18">
        <f t="shared" si="9"/>
        <v>1</v>
      </c>
      <c r="AN17" s="18">
        <f t="shared" si="9"/>
        <v>1</v>
      </c>
      <c r="AO17" s="18">
        <f t="shared" si="9"/>
        <v>1</v>
      </c>
      <c r="AP17" s="18">
        <f t="shared" si="9"/>
        <v>1</v>
      </c>
      <c r="AQ17" s="18">
        <f t="shared" ref="AQ17:DB20" si="24">IF(AND($E17&lt;=AQ$5,$F17&gt;=AQ$5),1,0)</f>
        <v>1</v>
      </c>
      <c r="AR17" s="18">
        <f t="shared" si="24"/>
        <v>1</v>
      </c>
      <c r="AS17" s="18">
        <f t="shared" si="24"/>
        <v>1</v>
      </c>
      <c r="AT17" s="18">
        <f t="shared" si="24"/>
        <v>1</v>
      </c>
      <c r="AU17" s="18">
        <f t="shared" si="24"/>
        <v>1</v>
      </c>
      <c r="AV17" s="18">
        <f t="shared" si="24"/>
        <v>1</v>
      </c>
      <c r="AW17" s="18">
        <f t="shared" si="24"/>
        <v>1</v>
      </c>
      <c r="AX17" s="18">
        <f t="shared" si="24"/>
        <v>1</v>
      </c>
      <c r="AY17" s="18">
        <f t="shared" si="24"/>
        <v>1</v>
      </c>
      <c r="AZ17" s="18">
        <f t="shared" si="24"/>
        <v>1</v>
      </c>
      <c r="BA17" s="18">
        <f t="shared" si="24"/>
        <v>1</v>
      </c>
      <c r="BB17" s="18">
        <f t="shared" si="24"/>
        <v>1</v>
      </c>
      <c r="BC17" s="18">
        <f t="shared" si="24"/>
        <v>1</v>
      </c>
      <c r="BD17" s="18">
        <f t="shared" si="24"/>
        <v>1</v>
      </c>
      <c r="BE17" s="18">
        <f t="shared" si="24"/>
        <v>1</v>
      </c>
      <c r="BF17" s="18">
        <f t="shared" si="24"/>
        <v>1</v>
      </c>
      <c r="BG17" s="18">
        <f t="shared" si="24"/>
        <v>1</v>
      </c>
      <c r="BH17" s="18">
        <f t="shared" si="24"/>
        <v>1</v>
      </c>
      <c r="BI17" s="18">
        <f t="shared" si="24"/>
        <v>1</v>
      </c>
      <c r="BJ17" s="18">
        <f t="shared" si="24"/>
        <v>1</v>
      </c>
      <c r="BK17" s="18">
        <f t="shared" si="24"/>
        <v>1</v>
      </c>
      <c r="BL17" s="18">
        <f t="shared" si="24"/>
        <v>1</v>
      </c>
      <c r="BM17" s="18">
        <f t="shared" si="24"/>
        <v>1</v>
      </c>
      <c r="BN17" s="18">
        <f t="shared" si="24"/>
        <v>1</v>
      </c>
      <c r="BO17" s="18">
        <f t="shared" si="24"/>
        <v>1</v>
      </c>
      <c r="BP17" s="18">
        <f t="shared" si="24"/>
        <v>1</v>
      </c>
      <c r="BQ17" s="18">
        <f t="shared" si="24"/>
        <v>1</v>
      </c>
      <c r="BR17" s="18">
        <f t="shared" si="24"/>
        <v>0</v>
      </c>
      <c r="BS17" s="18">
        <f t="shared" si="24"/>
        <v>0</v>
      </c>
      <c r="BT17" s="18">
        <f t="shared" si="24"/>
        <v>0</v>
      </c>
      <c r="BU17" s="18">
        <f t="shared" si="24"/>
        <v>0</v>
      </c>
      <c r="BV17" s="18">
        <f t="shared" si="24"/>
        <v>0</v>
      </c>
      <c r="BW17" s="18">
        <f t="shared" si="24"/>
        <v>0</v>
      </c>
      <c r="BX17" s="18">
        <f t="shared" si="24"/>
        <v>0</v>
      </c>
      <c r="BY17" s="18">
        <f t="shared" si="24"/>
        <v>0</v>
      </c>
      <c r="BZ17" s="18">
        <f t="shared" si="24"/>
        <v>0</v>
      </c>
      <c r="CA17" s="18">
        <f t="shared" si="24"/>
        <v>0</v>
      </c>
      <c r="CB17" s="18">
        <f t="shared" si="24"/>
        <v>0</v>
      </c>
      <c r="CC17" s="18">
        <f t="shared" si="24"/>
        <v>0</v>
      </c>
      <c r="CD17" s="18">
        <f t="shared" si="24"/>
        <v>0</v>
      </c>
      <c r="CE17" s="18">
        <f t="shared" si="24"/>
        <v>0</v>
      </c>
      <c r="CF17" s="18">
        <f t="shared" si="24"/>
        <v>0</v>
      </c>
      <c r="CG17" s="18">
        <f t="shared" si="24"/>
        <v>0</v>
      </c>
      <c r="CH17" s="18">
        <f t="shared" si="24"/>
        <v>0</v>
      </c>
      <c r="CI17" s="18">
        <f t="shared" si="24"/>
        <v>0</v>
      </c>
      <c r="CJ17" s="18">
        <f t="shared" si="24"/>
        <v>0</v>
      </c>
      <c r="CK17" s="18">
        <f t="shared" si="24"/>
        <v>0</v>
      </c>
      <c r="CL17" s="18">
        <f t="shared" si="24"/>
        <v>0</v>
      </c>
      <c r="CM17" s="18">
        <f t="shared" si="24"/>
        <v>0</v>
      </c>
      <c r="CN17" s="18">
        <f t="shared" si="24"/>
        <v>0</v>
      </c>
      <c r="CO17" s="18">
        <f t="shared" si="24"/>
        <v>0</v>
      </c>
      <c r="CP17" s="18">
        <f t="shared" si="24"/>
        <v>0</v>
      </c>
      <c r="CQ17" s="18">
        <f t="shared" si="24"/>
        <v>0</v>
      </c>
      <c r="CR17" s="18">
        <f t="shared" si="24"/>
        <v>0</v>
      </c>
      <c r="CS17" s="18">
        <f t="shared" si="24"/>
        <v>0</v>
      </c>
      <c r="CT17" s="18">
        <f t="shared" si="24"/>
        <v>0</v>
      </c>
      <c r="CU17" s="18">
        <f t="shared" si="24"/>
        <v>0</v>
      </c>
      <c r="CV17" s="18">
        <f t="shared" si="24"/>
        <v>0</v>
      </c>
      <c r="CW17" s="18">
        <f t="shared" si="24"/>
        <v>0</v>
      </c>
      <c r="CX17" s="18">
        <f t="shared" si="24"/>
        <v>0</v>
      </c>
      <c r="CY17" s="18">
        <f t="shared" si="24"/>
        <v>0</v>
      </c>
      <c r="CZ17" s="18">
        <f t="shared" si="24"/>
        <v>0</v>
      </c>
      <c r="DA17" s="18">
        <f t="shared" si="24"/>
        <v>0</v>
      </c>
      <c r="DB17" s="18">
        <f t="shared" si="24"/>
        <v>0</v>
      </c>
      <c r="DC17" s="18">
        <f t="shared" si="15"/>
        <v>0</v>
      </c>
      <c r="DD17" s="18">
        <f t="shared" si="15"/>
        <v>0</v>
      </c>
      <c r="DE17" s="18">
        <f t="shared" si="15"/>
        <v>0</v>
      </c>
      <c r="DF17" s="18">
        <f t="shared" si="15"/>
        <v>0</v>
      </c>
      <c r="DG17" s="18">
        <f t="shared" si="15"/>
        <v>0</v>
      </c>
      <c r="DH17" s="18">
        <f t="shared" si="15"/>
        <v>0</v>
      </c>
      <c r="DI17" s="18">
        <f t="shared" si="15"/>
        <v>0</v>
      </c>
      <c r="DJ17" s="18">
        <f t="shared" si="15"/>
        <v>0</v>
      </c>
      <c r="DK17" s="18">
        <f t="shared" si="15"/>
        <v>0</v>
      </c>
      <c r="DL17" s="18">
        <f t="shared" si="15"/>
        <v>0</v>
      </c>
      <c r="DM17" s="18">
        <f t="shared" si="15"/>
        <v>0</v>
      </c>
      <c r="DN17" s="18">
        <f t="shared" si="15"/>
        <v>0</v>
      </c>
      <c r="DO17" s="18">
        <f t="shared" si="15"/>
        <v>0</v>
      </c>
      <c r="DP17" s="18">
        <f t="shared" si="15"/>
        <v>0</v>
      </c>
      <c r="DQ17" s="18">
        <f t="shared" si="15"/>
        <v>0</v>
      </c>
      <c r="DR17" s="18">
        <f t="shared" si="15"/>
        <v>0</v>
      </c>
      <c r="DS17" s="18">
        <f t="shared" si="15"/>
        <v>0</v>
      </c>
      <c r="DT17" s="18">
        <f t="shared" si="15"/>
        <v>0</v>
      </c>
      <c r="DU17" s="18">
        <f t="shared" si="15"/>
        <v>0</v>
      </c>
      <c r="DV17" s="18">
        <f t="shared" si="15"/>
        <v>0</v>
      </c>
      <c r="DW17" s="18">
        <f t="shared" si="15"/>
        <v>0</v>
      </c>
      <c r="DX17" s="18">
        <f t="shared" si="15"/>
        <v>0</v>
      </c>
      <c r="DY17" s="18">
        <f t="shared" si="15"/>
        <v>0</v>
      </c>
      <c r="DZ17" s="18">
        <f t="shared" si="15"/>
        <v>0</v>
      </c>
      <c r="EA17" s="18">
        <f t="shared" si="15"/>
        <v>0</v>
      </c>
      <c r="EB17" s="18">
        <f t="shared" si="15"/>
        <v>0</v>
      </c>
      <c r="EC17" s="18">
        <f t="shared" si="15"/>
        <v>0</v>
      </c>
      <c r="ED17" s="18">
        <f t="shared" si="15"/>
        <v>0</v>
      </c>
      <c r="EE17" s="18">
        <f t="shared" si="15"/>
        <v>0</v>
      </c>
      <c r="EF17" s="18">
        <f t="shared" si="15"/>
        <v>0</v>
      </c>
      <c r="EG17" s="18">
        <f t="shared" si="15"/>
        <v>0</v>
      </c>
      <c r="EH17" s="18">
        <f t="shared" si="15"/>
        <v>0</v>
      </c>
      <c r="EI17" s="18">
        <f t="shared" si="15"/>
        <v>0</v>
      </c>
      <c r="EJ17" s="18">
        <f t="shared" si="15"/>
        <v>0</v>
      </c>
      <c r="EK17" s="18">
        <f t="shared" ref="EK17:GC23" si="25">IF(AND($E17&lt;=EK$5,$F17&gt;=EK$5),1,0)</f>
        <v>0</v>
      </c>
      <c r="EL17" s="18">
        <f t="shared" si="25"/>
        <v>0</v>
      </c>
      <c r="EM17" s="18">
        <f t="shared" si="25"/>
        <v>0</v>
      </c>
      <c r="EN17" s="18">
        <f t="shared" si="25"/>
        <v>0</v>
      </c>
      <c r="EO17" s="18">
        <f t="shared" si="25"/>
        <v>0</v>
      </c>
      <c r="EP17" s="18">
        <f t="shared" si="25"/>
        <v>0</v>
      </c>
      <c r="EQ17" s="18">
        <f t="shared" si="25"/>
        <v>0</v>
      </c>
      <c r="ER17" s="18">
        <f t="shared" si="25"/>
        <v>0</v>
      </c>
      <c r="ES17" s="18">
        <f t="shared" si="25"/>
        <v>0</v>
      </c>
      <c r="ET17" s="18">
        <f t="shared" si="25"/>
        <v>0</v>
      </c>
      <c r="EU17" s="18">
        <f t="shared" si="25"/>
        <v>0</v>
      </c>
      <c r="EV17" s="18">
        <f t="shared" si="25"/>
        <v>0</v>
      </c>
      <c r="EW17" s="18">
        <f t="shared" si="25"/>
        <v>0</v>
      </c>
      <c r="EX17" s="18">
        <f t="shared" si="25"/>
        <v>0</v>
      </c>
      <c r="EY17" s="18">
        <f t="shared" si="25"/>
        <v>0</v>
      </c>
      <c r="EZ17" s="18">
        <f t="shared" si="25"/>
        <v>0</v>
      </c>
      <c r="FA17" s="18">
        <f t="shared" si="25"/>
        <v>0</v>
      </c>
      <c r="FB17" s="18">
        <f t="shared" si="25"/>
        <v>0</v>
      </c>
      <c r="FC17" s="18">
        <f t="shared" si="25"/>
        <v>0</v>
      </c>
      <c r="FD17" s="18">
        <f t="shared" si="25"/>
        <v>0</v>
      </c>
      <c r="FE17" s="18">
        <f t="shared" si="25"/>
        <v>0</v>
      </c>
      <c r="FF17" s="18">
        <f t="shared" si="25"/>
        <v>0</v>
      </c>
      <c r="FG17" s="18">
        <f t="shared" si="25"/>
        <v>0</v>
      </c>
      <c r="FH17" s="18">
        <f t="shared" si="25"/>
        <v>0</v>
      </c>
      <c r="FI17" s="18">
        <f t="shared" si="25"/>
        <v>0</v>
      </c>
      <c r="FJ17" s="18">
        <f t="shared" si="25"/>
        <v>0</v>
      </c>
      <c r="FK17" s="18">
        <f t="shared" si="25"/>
        <v>0</v>
      </c>
      <c r="FL17" s="18">
        <f t="shared" si="25"/>
        <v>0</v>
      </c>
      <c r="FM17" s="18">
        <f t="shared" si="25"/>
        <v>0</v>
      </c>
      <c r="FN17" s="18">
        <f t="shared" si="25"/>
        <v>0</v>
      </c>
      <c r="FO17" s="18">
        <f t="shared" si="25"/>
        <v>0</v>
      </c>
      <c r="FP17" s="18">
        <f t="shared" si="25"/>
        <v>0</v>
      </c>
      <c r="FQ17" s="18">
        <f t="shared" si="25"/>
        <v>0</v>
      </c>
      <c r="FR17" s="18">
        <f t="shared" si="25"/>
        <v>0</v>
      </c>
      <c r="FS17" s="18">
        <f t="shared" si="25"/>
        <v>0</v>
      </c>
      <c r="FT17" s="18">
        <f t="shared" si="25"/>
        <v>0</v>
      </c>
      <c r="FU17" s="18">
        <f t="shared" si="25"/>
        <v>0</v>
      </c>
      <c r="FV17" s="18">
        <f t="shared" si="25"/>
        <v>0</v>
      </c>
      <c r="FW17" s="18">
        <f t="shared" si="25"/>
        <v>0</v>
      </c>
      <c r="FX17" s="18">
        <f t="shared" si="25"/>
        <v>0</v>
      </c>
      <c r="FY17" s="18">
        <f t="shared" si="25"/>
        <v>0</v>
      </c>
      <c r="FZ17" s="18">
        <f t="shared" si="25"/>
        <v>0</v>
      </c>
      <c r="GA17" s="18">
        <f t="shared" si="25"/>
        <v>0</v>
      </c>
      <c r="GB17" s="18">
        <f t="shared" si="25"/>
        <v>0</v>
      </c>
      <c r="GC17" s="18">
        <f t="shared" si="25"/>
        <v>0</v>
      </c>
    </row>
    <row r="18" spans="2:185" ht="17.100000000000001" customHeight="1" outlineLevel="1">
      <c r="B18" s="25"/>
      <c r="C18" s="40" t="s">
        <v>33</v>
      </c>
      <c r="D18" s="26" t="s">
        <v>25</v>
      </c>
      <c r="E18" s="27">
        <f>F12</f>
        <v>45337</v>
      </c>
      <c r="F18" s="27">
        <f>E18+14</f>
        <v>45351</v>
      </c>
      <c r="G18" s="28">
        <f t="shared" ref="G18:G25" si="26">F18-E18+1</f>
        <v>15</v>
      </c>
      <c r="H18" s="29">
        <f>E18</f>
        <v>45337</v>
      </c>
      <c r="I18" s="30"/>
      <c r="J18" s="31" t="str">
        <f t="shared" ref="J18:J25" ca="1" si="27">IF(E18="","Open",IF(H18="",IF(E18-NOW()&lt;-1,"Overdue",IF(E18-NOW()&lt;2,"Expedite","Open")),IF(ABS(H18-E18)&lt;0,"Ongoing",IF(I18="","Ongoing","Closed"))))</f>
        <v>Ongoing</v>
      </c>
      <c r="K18" s="18">
        <f t="shared" si="8"/>
        <v>0</v>
      </c>
      <c r="L18" s="18">
        <f t="shared" si="8"/>
        <v>0</v>
      </c>
      <c r="M18" s="18">
        <f t="shared" si="8"/>
        <v>0</v>
      </c>
      <c r="N18" s="18">
        <f t="shared" si="8"/>
        <v>0</v>
      </c>
      <c r="O18" s="18">
        <f t="shared" si="8"/>
        <v>0</v>
      </c>
      <c r="P18" s="18">
        <f t="shared" si="8"/>
        <v>0</v>
      </c>
      <c r="Q18" s="18">
        <f t="shared" si="8"/>
        <v>0</v>
      </c>
      <c r="R18" s="18">
        <f t="shared" si="8"/>
        <v>0</v>
      </c>
      <c r="S18" s="18">
        <f t="shared" si="8"/>
        <v>0</v>
      </c>
      <c r="T18" s="18">
        <f t="shared" si="8"/>
        <v>0</v>
      </c>
      <c r="U18" s="18">
        <f t="shared" si="8"/>
        <v>0</v>
      </c>
      <c r="V18" s="18">
        <f t="shared" si="8"/>
        <v>0</v>
      </c>
      <c r="W18" s="18">
        <f t="shared" si="8"/>
        <v>0</v>
      </c>
      <c r="X18" s="18">
        <f t="shared" si="8"/>
        <v>0</v>
      </c>
      <c r="Y18" s="18">
        <f t="shared" si="8"/>
        <v>0</v>
      </c>
      <c r="Z18" s="18">
        <f t="shared" si="8"/>
        <v>0</v>
      </c>
      <c r="AA18" s="18">
        <f t="shared" si="9"/>
        <v>0</v>
      </c>
      <c r="AB18" s="18">
        <f t="shared" si="9"/>
        <v>1</v>
      </c>
      <c r="AC18" s="18">
        <f t="shared" si="9"/>
        <v>1</v>
      </c>
      <c r="AD18" s="18">
        <f t="shared" si="9"/>
        <v>1</v>
      </c>
      <c r="AE18" s="18">
        <f t="shared" si="9"/>
        <v>1</v>
      </c>
      <c r="AF18" s="18">
        <f t="shared" si="9"/>
        <v>1</v>
      </c>
      <c r="AG18" s="18">
        <f t="shared" si="9"/>
        <v>1</v>
      </c>
      <c r="AH18" s="18">
        <f t="shared" si="9"/>
        <v>1</v>
      </c>
      <c r="AI18" s="18">
        <f t="shared" si="9"/>
        <v>1</v>
      </c>
      <c r="AJ18" s="18">
        <f t="shared" si="9"/>
        <v>1</v>
      </c>
      <c r="AK18" s="18">
        <f t="shared" si="9"/>
        <v>1</v>
      </c>
      <c r="AL18" s="18">
        <f t="shared" si="9"/>
        <v>1</v>
      </c>
      <c r="AM18" s="18">
        <f t="shared" si="9"/>
        <v>1</v>
      </c>
      <c r="AN18" s="18">
        <f t="shared" si="9"/>
        <v>1</v>
      </c>
      <c r="AO18" s="18">
        <f t="shared" si="9"/>
        <v>1</v>
      </c>
      <c r="AP18" s="18">
        <f t="shared" si="9"/>
        <v>1</v>
      </c>
      <c r="AQ18" s="18">
        <f t="shared" si="24"/>
        <v>0</v>
      </c>
      <c r="AR18" s="18">
        <f t="shared" si="24"/>
        <v>0</v>
      </c>
      <c r="AS18" s="18">
        <f t="shared" si="24"/>
        <v>0</v>
      </c>
      <c r="AT18" s="18">
        <f t="shared" si="24"/>
        <v>0</v>
      </c>
      <c r="AU18" s="18">
        <f t="shared" si="24"/>
        <v>0</v>
      </c>
      <c r="AV18" s="18">
        <f t="shared" si="24"/>
        <v>0</v>
      </c>
      <c r="AW18" s="18">
        <f t="shared" si="24"/>
        <v>0</v>
      </c>
      <c r="AX18" s="18">
        <f t="shared" si="24"/>
        <v>0</v>
      </c>
      <c r="AY18" s="18">
        <f t="shared" si="24"/>
        <v>0</v>
      </c>
      <c r="AZ18" s="18">
        <f t="shared" si="24"/>
        <v>0</v>
      </c>
      <c r="BA18" s="18">
        <f t="shared" si="24"/>
        <v>0</v>
      </c>
      <c r="BB18" s="18">
        <f t="shared" si="24"/>
        <v>0</v>
      </c>
      <c r="BC18" s="18">
        <f t="shared" si="24"/>
        <v>0</v>
      </c>
      <c r="BD18" s="18">
        <f t="shared" si="24"/>
        <v>0</v>
      </c>
      <c r="BE18" s="18">
        <f t="shared" si="24"/>
        <v>0</v>
      </c>
      <c r="BF18" s="18">
        <f t="shared" si="24"/>
        <v>0</v>
      </c>
      <c r="BG18" s="18">
        <f t="shared" si="24"/>
        <v>0</v>
      </c>
      <c r="BH18" s="18">
        <f t="shared" si="24"/>
        <v>0</v>
      </c>
      <c r="BI18" s="18">
        <f t="shared" si="24"/>
        <v>0</v>
      </c>
      <c r="BJ18" s="18">
        <f t="shared" si="24"/>
        <v>0</v>
      </c>
      <c r="BK18" s="18">
        <f t="shared" si="24"/>
        <v>0</v>
      </c>
      <c r="BL18" s="18">
        <f t="shared" si="24"/>
        <v>0</v>
      </c>
      <c r="BM18" s="18">
        <f t="shared" si="24"/>
        <v>0</v>
      </c>
      <c r="BN18" s="18">
        <f t="shared" si="24"/>
        <v>0</v>
      </c>
      <c r="BO18" s="18">
        <f t="shared" si="24"/>
        <v>0</v>
      </c>
      <c r="BP18" s="18">
        <f t="shared" si="24"/>
        <v>0</v>
      </c>
      <c r="BQ18" s="18">
        <f t="shared" si="24"/>
        <v>0</v>
      </c>
      <c r="BR18" s="18">
        <f t="shared" si="24"/>
        <v>0</v>
      </c>
      <c r="BS18" s="18">
        <f t="shared" si="24"/>
        <v>0</v>
      </c>
      <c r="BT18" s="18">
        <f t="shared" si="24"/>
        <v>0</v>
      </c>
      <c r="BU18" s="18">
        <f t="shared" si="24"/>
        <v>0</v>
      </c>
      <c r="BV18" s="18">
        <f t="shared" si="24"/>
        <v>0</v>
      </c>
      <c r="BW18" s="18">
        <f t="shared" si="24"/>
        <v>0</v>
      </c>
      <c r="BX18" s="18">
        <f t="shared" si="24"/>
        <v>0</v>
      </c>
      <c r="BY18" s="18">
        <f t="shared" si="24"/>
        <v>0</v>
      </c>
      <c r="BZ18" s="18">
        <f t="shared" si="24"/>
        <v>0</v>
      </c>
      <c r="CA18" s="18">
        <f t="shared" si="24"/>
        <v>0</v>
      </c>
      <c r="CB18" s="18">
        <f t="shared" si="24"/>
        <v>0</v>
      </c>
      <c r="CC18" s="18">
        <f t="shared" si="24"/>
        <v>0</v>
      </c>
      <c r="CD18" s="18">
        <f t="shared" si="24"/>
        <v>0</v>
      </c>
      <c r="CE18" s="18">
        <f t="shared" si="24"/>
        <v>0</v>
      </c>
      <c r="CF18" s="18">
        <f t="shared" si="24"/>
        <v>0</v>
      </c>
      <c r="CG18" s="18">
        <f t="shared" si="24"/>
        <v>0</v>
      </c>
      <c r="CH18" s="18">
        <f t="shared" si="24"/>
        <v>0</v>
      </c>
      <c r="CI18" s="18">
        <f t="shared" si="24"/>
        <v>0</v>
      </c>
      <c r="CJ18" s="18">
        <f t="shared" si="24"/>
        <v>0</v>
      </c>
      <c r="CK18" s="18">
        <f t="shared" si="24"/>
        <v>0</v>
      </c>
      <c r="CL18" s="18">
        <f t="shared" si="24"/>
        <v>0</v>
      </c>
      <c r="CM18" s="18">
        <f t="shared" si="24"/>
        <v>0</v>
      </c>
      <c r="CN18" s="18">
        <f t="shared" si="24"/>
        <v>0</v>
      </c>
      <c r="CO18" s="18">
        <f t="shared" si="24"/>
        <v>0</v>
      </c>
      <c r="CP18" s="18">
        <f t="shared" si="24"/>
        <v>0</v>
      </c>
      <c r="CQ18" s="18">
        <f t="shared" si="24"/>
        <v>0</v>
      </c>
      <c r="CR18" s="18">
        <f t="shared" si="24"/>
        <v>0</v>
      </c>
      <c r="CS18" s="18">
        <f t="shared" si="24"/>
        <v>0</v>
      </c>
      <c r="CT18" s="18">
        <f t="shared" si="24"/>
        <v>0</v>
      </c>
      <c r="CU18" s="18">
        <f t="shared" si="24"/>
        <v>0</v>
      </c>
      <c r="CV18" s="18">
        <f t="shared" si="24"/>
        <v>0</v>
      </c>
      <c r="CW18" s="18">
        <f t="shared" si="24"/>
        <v>0</v>
      </c>
      <c r="CX18" s="18">
        <f t="shared" si="24"/>
        <v>0</v>
      </c>
      <c r="CY18" s="18">
        <f t="shared" si="24"/>
        <v>0</v>
      </c>
      <c r="CZ18" s="18">
        <f t="shared" si="24"/>
        <v>0</v>
      </c>
      <c r="DA18" s="18">
        <f t="shared" si="24"/>
        <v>0</v>
      </c>
      <c r="DB18" s="18">
        <f t="shared" si="24"/>
        <v>0</v>
      </c>
      <c r="DC18" s="18">
        <f t="shared" ref="DC18:ET19" si="28">IF(AND($E18&lt;=DC$5,$F18&gt;=DC$5),1,0)</f>
        <v>0</v>
      </c>
      <c r="DD18" s="18">
        <f t="shared" si="28"/>
        <v>0</v>
      </c>
      <c r="DE18" s="18">
        <f t="shared" si="28"/>
        <v>0</v>
      </c>
      <c r="DF18" s="18">
        <f t="shared" si="28"/>
        <v>0</v>
      </c>
      <c r="DG18" s="18">
        <f t="shared" si="28"/>
        <v>0</v>
      </c>
      <c r="DH18" s="18">
        <f t="shared" si="28"/>
        <v>0</v>
      </c>
      <c r="DI18" s="18">
        <f t="shared" si="28"/>
        <v>0</v>
      </c>
      <c r="DJ18" s="18">
        <f t="shared" si="28"/>
        <v>0</v>
      </c>
      <c r="DK18" s="18">
        <f t="shared" si="28"/>
        <v>0</v>
      </c>
      <c r="DL18" s="18">
        <f t="shared" si="28"/>
        <v>0</v>
      </c>
      <c r="DM18" s="18">
        <f t="shared" si="28"/>
        <v>0</v>
      </c>
      <c r="DN18" s="18">
        <f t="shared" si="28"/>
        <v>0</v>
      </c>
      <c r="DO18" s="18">
        <f t="shared" si="28"/>
        <v>0</v>
      </c>
      <c r="DP18" s="18">
        <f t="shared" si="28"/>
        <v>0</v>
      </c>
      <c r="DQ18" s="18">
        <f t="shared" si="28"/>
        <v>0</v>
      </c>
      <c r="DR18" s="18">
        <f t="shared" si="28"/>
        <v>0</v>
      </c>
      <c r="DS18" s="18">
        <f t="shared" si="28"/>
        <v>0</v>
      </c>
      <c r="DT18" s="18">
        <f t="shared" si="28"/>
        <v>0</v>
      </c>
      <c r="DU18" s="18">
        <f t="shared" si="28"/>
        <v>0</v>
      </c>
      <c r="DV18" s="18">
        <f t="shared" si="28"/>
        <v>0</v>
      </c>
      <c r="DW18" s="18">
        <f t="shared" si="28"/>
        <v>0</v>
      </c>
      <c r="DX18" s="18">
        <f t="shared" si="28"/>
        <v>0</v>
      </c>
      <c r="DY18" s="18">
        <f t="shared" si="28"/>
        <v>0</v>
      </c>
      <c r="DZ18" s="18">
        <f t="shared" si="28"/>
        <v>0</v>
      </c>
      <c r="EA18" s="18">
        <f t="shared" si="28"/>
        <v>0</v>
      </c>
      <c r="EB18" s="18">
        <f t="shared" si="28"/>
        <v>0</v>
      </c>
      <c r="EC18" s="18">
        <f t="shared" si="28"/>
        <v>0</v>
      </c>
      <c r="ED18" s="18">
        <f t="shared" si="28"/>
        <v>0</v>
      </c>
      <c r="EE18" s="18">
        <f t="shared" si="28"/>
        <v>0</v>
      </c>
      <c r="EF18" s="18">
        <f t="shared" si="28"/>
        <v>0</v>
      </c>
      <c r="EG18" s="18">
        <f t="shared" si="28"/>
        <v>0</v>
      </c>
      <c r="EH18" s="18">
        <f t="shared" si="28"/>
        <v>0</v>
      </c>
      <c r="EI18" s="18">
        <f t="shared" si="28"/>
        <v>0</v>
      </c>
      <c r="EJ18" s="18">
        <f t="shared" si="28"/>
        <v>0</v>
      </c>
      <c r="EK18" s="18">
        <f t="shared" si="28"/>
        <v>0</v>
      </c>
      <c r="EL18" s="18">
        <f t="shared" si="28"/>
        <v>0</v>
      </c>
      <c r="EM18" s="18">
        <f t="shared" si="28"/>
        <v>0</v>
      </c>
      <c r="EN18" s="18">
        <f t="shared" si="28"/>
        <v>0</v>
      </c>
      <c r="EO18" s="18">
        <f t="shared" si="28"/>
        <v>0</v>
      </c>
      <c r="EP18" s="18">
        <f t="shared" si="28"/>
        <v>0</v>
      </c>
      <c r="EQ18" s="18">
        <f t="shared" si="28"/>
        <v>0</v>
      </c>
      <c r="ER18" s="18">
        <f t="shared" si="28"/>
        <v>0</v>
      </c>
      <c r="ES18" s="18">
        <f t="shared" si="28"/>
        <v>0</v>
      </c>
      <c r="ET18" s="18">
        <f t="shared" si="28"/>
        <v>0</v>
      </c>
      <c r="EU18" s="18">
        <f t="shared" si="25"/>
        <v>0</v>
      </c>
      <c r="EV18" s="18">
        <f t="shared" si="25"/>
        <v>0</v>
      </c>
      <c r="EW18" s="18">
        <f t="shared" si="25"/>
        <v>0</v>
      </c>
      <c r="EX18" s="18">
        <f t="shared" si="25"/>
        <v>0</v>
      </c>
      <c r="EY18" s="18">
        <f t="shared" si="25"/>
        <v>0</v>
      </c>
      <c r="EZ18" s="18">
        <f t="shared" si="25"/>
        <v>0</v>
      </c>
      <c r="FA18" s="18">
        <f t="shared" si="25"/>
        <v>0</v>
      </c>
      <c r="FB18" s="18">
        <f t="shared" si="25"/>
        <v>0</v>
      </c>
      <c r="FC18" s="18">
        <f t="shared" si="25"/>
        <v>0</v>
      </c>
      <c r="FD18" s="18">
        <f t="shared" si="25"/>
        <v>0</v>
      </c>
      <c r="FE18" s="18">
        <f t="shared" si="25"/>
        <v>0</v>
      </c>
      <c r="FF18" s="18">
        <f t="shared" si="25"/>
        <v>0</v>
      </c>
      <c r="FG18" s="18">
        <f t="shared" si="25"/>
        <v>0</v>
      </c>
      <c r="FH18" s="18">
        <f t="shared" si="25"/>
        <v>0</v>
      </c>
      <c r="FI18" s="18">
        <f t="shared" si="25"/>
        <v>0</v>
      </c>
      <c r="FJ18" s="18">
        <f t="shared" si="25"/>
        <v>0</v>
      </c>
      <c r="FK18" s="18">
        <f t="shared" si="25"/>
        <v>0</v>
      </c>
      <c r="FL18" s="18">
        <f t="shared" si="25"/>
        <v>0</v>
      </c>
      <c r="FM18" s="18">
        <f t="shared" si="25"/>
        <v>0</v>
      </c>
      <c r="FN18" s="18">
        <f t="shared" si="25"/>
        <v>0</v>
      </c>
      <c r="FO18" s="18">
        <f t="shared" si="25"/>
        <v>0</v>
      </c>
      <c r="FP18" s="18">
        <f t="shared" si="25"/>
        <v>0</v>
      </c>
      <c r="FQ18" s="18">
        <f t="shared" si="25"/>
        <v>0</v>
      </c>
      <c r="FR18" s="18">
        <f t="shared" si="25"/>
        <v>0</v>
      </c>
      <c r="FS18" s="18">
        <f t="shared" si="25"/>
        <v>0</v>
      </c>
      <c r="FT18" s="18">
        <f t="shared" si="25"/>
        <v>0</v>
      </c>
      <c r="FU18" s="18">
        <f t="shared" si="25"/>
        <v>0</v>
      </c>
      <c r="FV18" s="18">
        <f t="shared" si="25"/>
        <v>0</v>
      </c>
      <c r="FW18" s="18">
        <f t="shared" si="25"/>
        <v>0</v>
      </c>
      <c r="FX18" s="18">
        <f t="shared" si="25"/>
        <v>0</v>
      </c>
      <c r="FY18" s="18">
        <f t="shared" si="25"/>
        <v>0</v>
      </c>
      <c r="FZ18" s="18">
        <f t="shared" si="25"/>
        <v>0</v>
      </c>
      <c r="GA18" s="18">
        <f t="shared" si="25"/>
        <v>0</v>
      </c>
      <c r="GB18" s="18">
        <f t="shared" si="25"/>
        <v>0</v>
      </c>
      <c r="GC18" s="18">
        <f t="shared" si="25"/>
        <v>0</v>
      </c>
    </row>
    <row r="19" spans="2:185" ht="17.100000000000001" customHeight="1" outlineLevel="1">
      <c r="B19" s="25"/>
      <c r="C19" s="40" t="s">
        <v>34</v>
      </c>
      <c r="D19" s="26" t="s">
        <v>19</v>
      </c>
      <c r="E19" s="27">
        <f>E18+1</f>
        <v>45338</v>
      </c>
      <c r="F19" s="27">
        <f>E19+7</f>
        <v>45345</v>
      </c>
      <c r="G19" s="28">
        <f t="shared" si="26"/>
        <v>8</v>
      </c>
      <c r="H19" s="29">
        <f>E19</f>
        <v>45338</v>
      </c>
      <c r="I19" s="30"/>
      <c r="J19" s="31" t="str">
        <f t="shared" ca="1" si="27"/>
        <v>Ongoing</v>
      </c>
      <c r="K19" s="18">
        <f t="shared" si="8"/>
        <v>0</v>
      </c>
      <c r="L19" s="18">
        <f t="shared" si="8"/>
        <v>0</v>
      </c>
      <c r="M19" s="18">
        <f t="shared" si="8"/>
        <v>0</v>
      </c>
      <c r="N19" s="18">
        <f t="shared" si="8"/>
        <v>0</v>
      </c>
      <c r="O19" s="18">
        <f t="shared" si="8"/>
        <v>0</v>
      </c>
      <c r="P19" s="18">
        <f t="shared" si="8"/>
        <v>0</v>
      </c>
      <c r="Q19" s="18">
        <f t="shared" si="8"/>
        <v>0</v>
      </c>
      <c r="R19" s="18">
        <f t="shared" si="8"/>
        <v>0</v>
      </c>
      <c r="S19" s="18">
        <f t="shared" si="8"/>
        <v>0</v>
      </c>
      <c r="T19" s="18">
        <f t="shared" si="8"/>
        <v>0</v>
      </c>
      <c r="U19" s="18">
        <f t="shared" si="8"/>
        <v>0</v>
      </c>
      <c r="V19" s="18">
        <f t="shared" si="8"/>
        <v>0</v>
      </c>
      <c r="W19" s="18">
        <f t="shared" si="8"/>
        <v>0</v>
      </c>
      <c r="X19" s="18">
        <f t="shared" si="8"/>
        <v>0</v>
      </c>
      <c r="Y19" s="18">
        <f t="shared" si="8"/>
        <v>0</v>
      </c>
      <c r="Z19" s="18">
        <f t="shared" si="8"/>
        <v>0</v>
      </c>
      <c r="AA19" s="18">
        <f t="shared" si="9"/>
        <v>0</v>
      </c>
      <c r="AB19" s="18">
        <f t="shared" si="9"/>
        <v>0</v>
      </c>
      <c r="AC19" s="18">
        <f t="shared" si="9"/>
        <v>1</v>
      </c>
      <c r="AD19" s="18">
        <f t="shared" si="9"/>
        <v>1</v>
      </c>
      <c r="AE19" s="18">
        <f t="shared" si="9"/>
        <v>1</v>
      </c>
      <c r="AF19" s="18">
        <f t="shared" si="9"/>
        <v>1</v>
      </c>
      <c r="AG19" s="18">
        <f t="shared" si="9"/>
        <v>1</v>
      </c>
      <c r="AH19" s="18">
        <f t="shared" si="9"/>
        <v>1</v>
      </c>
      <c r="AI19" s="18">
        <f t="shared" si="9"/>
        <v>1</v>
      </c>
      <c r="AJ19" s="18">
        <f t="shared" si="9"/>
        <v>1</v>
      </c>
      <c r="AK19" s="18">
        <f t="shared" si="9"/>
        <v>0</v>
      </c>
      <c r="AL19" s="18">
        <f t="shared" si="9"/>
        <v>0</v>
      </c>
      <c r="AM19" s="18">
        <f t="shared" si="9"/>
        <v>0</v>
      </c>
      <c r="AN19" s="18">
        <f t="shared" si="9"/>
        <v>0</v>
      </c>
      <c r="AO19" s="18">
        <f t="shared" si="9"/>
        <v>0</v>
      </c>
      <c r="AP19" s="18">
        <f t="shared" si="9"/>
        <v>0</v>
      </c>
      <c r="AQ19" s="18">
        <f t="shared" si="24"/>
        <v>0</v>
      </c>
      <c r="AR19" s="18">
        <f t="shared" si="24"/>
        <v>0</v>
      </c>
      <c r="AS19" s="18">
        <f t="shared" si="24"/>
        <v>0</v>
      </c>
      <c r="AT19" s="18">
        <f t="shared" si="24"/>
        <v>0</v>
      </c>
      <c r="AU19" s="18">
        <f t="shared" si="24"/>
        <v>0</v>
      </c>
      <c r="AV19" s="18">
        <f t="shared" si="24"/>
        <v>0</v>
      </c>
      <c r="AW19" s="18">
        <f t="shared" si="24"/>
        <v>0</v>
      </c>
      <c r="AX19" s="18">
        <f t="shared" si="24"/>
        <v>0</v>
      </c>
      <c r="AY19" s="18">
        <f t="shared" si="24"/>
        <v>0</v>
      </c>
      <c r="AZ19" s="18">
        <f t="shared" si="24"/>
        <v>0</v>
      </c>
      <c r="BA19" s="18">
        <f t="shared" si="24"/>
        <v>0</v>
      </c>
      <c r="BB19" s="18">
        <f t="shared" si="24"/>
        <v>0</v>
      </c>
      <c r="BC19" s="18">
        <f t="shared" si="24"/>
        <v>0</v>
      </c>
      <c r="BD19" s="18">
        <f t="shared" si="24"/>
        <v>0</v>
      </c>
      <c r="BE19" s="18">
        <f t="shared" si="24"/>
        <v>0</v>
      </c>
      <c r="BF19" s="18">
        <f t="shared" si="24"/>
        <v>0</v>
      </c>
      <c r="BG19" s="18">
        <f t="shared" si="24"/>
        <v>0</v>
      </c>
      <c r="BH19" s="18">
        <f t="shared" si="24"/>
        <v>0</v>
      </c>
      <c r="BI19" s="18">
        <f t="shared" si="24"/>
        <v>0</v>
      </c>
      <c r="BJ19" s="18">
        <f t="shared" si="24"/>
        <v>0</v>
      </c>
      <c r="BK19" s="18">
        <f t="shared" si="24"/>
        <v>0</v>
      </c>
      <c r="BL19" s="18">
        <f t="shared" si="24"/>
        <v>0</v>
      </c>
      <c r="BM19" s="18">
        <f t="shared" si="24"/>
        <v>0</v>
      </c>
      <c r="BN19" s="18">
        <f t="shared" si="24"/>
        <v>0</v>
      </c>
      <c r="BO19" s="18">
        <f t="shared" si="24"/>
        <v>0</v>
      </c>
      <c r="BP19" s="18">
        <f t="shared" si="24"/>
        <v>0</v>
      </c>
      <c r="BQ19" s="18">
        <f t="shared" si="24"/>
        <v>0</v>
      </c>
      <c r="BR19" s="18">
        <f t="shared" si="24"/>
        <v>0</v>
      </c>
      <c r="BS19" s="18">
        <f t="shared" si="24"/>
        <v>0</v>
      </c>
      <c r="BT19" s="18">
        <f t="shared" si="24"/>
        <v>0</v>
      </c>
      <c r="BU19" s="18">
        <f t="shared" si="24"/>
        <v>0</v>
      </c>
      <c r="BV19" s="18">
        <f t="shared" si="24"/>
        <v>0</v>
      </c>
      <c r="BW19" s="18">
        <f t="shared" si="24"/>
        <v>0</v>
      </c>
      <c r="BX19" s="18">
        <f t="shared" si="24"/>
        <v>0</v>
      </c>
      <c r="BY19" s="18">
        <f t="shared" si="24"/>
        <v>0</v>
      </c>
      <c r="BZ19" s="18">
        <f t="shared" si="24"/>
        <v>0</v>
      </c>
      <c r="CA19" s="18">
        <f t="shared" si="24"/>
        <v>0</v>
      </c>
      <c r="CB19" s="18">
        <f t="shared" si="24"/>
        <v>0</v>
      </c>
      <c r="CC19" s="18">
        <f t="shared" si="24"/>
        <v>0</v>
      </c>
      <c r="CD19" s="18">
        <f t="shared" si="24"/>
        <v>0</v>
      </c>
      <c r="CE19" s="18">
        <f t="shared" si="24"/>
        <v>0</v>
      </c>
      <c r="CF19" s="18">
        <f t="shared" si="24"/>
        <v>0</v>
      </c>
      <c r="CG19" s="18">
        <f t="shared" si="24"/>
        <v>0</v>
      </c>
      <c r="CH19" s="18">
        <f t="shared" si="24"/>
        <v>0</v>
      </c>
      <c r="CI19" s="18">
        <f t="shared" si="24"/>
        <v>0</v>
      </c>
      <c r="CJ19" s="18">
        <f t="shared" si="24"/>
        <v>0</v>
      </c>
      <c r="CK19" s="18">
        <f t="shared" si="24"/>
        <v>0</v>
      </c>
      <c r="CL19" s="18">
        <f t="shared" si="24"/>
        <v>0</v>
      </c>
      <c r="CM19" s="18">
        <f t="shared" si="24"/>
        <v>0</v>
      </c>
      <c r="CN19" s="18">
        <f t="shared" si="24"/>
        <v>0</v>
      </c>
      <c r="CO19" s="18">
        <f t="shared" si="24"/>
        <v>0</v>
      </c>
      <c r="CP19" s="18">
        <f t="shared" si="24"/>
        <v>0</v>
      </c>
      <c r="CQ19" s="18">
        <f t="shared" si="24"/>
        <v>0</v>
      </c>
      <c r="CR19" s="18">
        <f t="shared" si="24"/>
        <v>0</v>
      </c>
      <c r="CS19" s="18">
        <f t="shared" si="24"/>
        <v>0</v>
      </c>
      <c r="CT19" s="18">
        <f t="shared" si="24"/>
        <v>0</v>
      </c>
      <c r="CU19" s="18">
        <f t="shared" si="24"/>
        <v>0</v>
      </c>
      <c r="CV19" s="18">
        <f t="shared" si="24"/>
        <v>0</v>
      </c>
      <c r="CW19" s="18">
        <f t="shared" si="24"/>
        <v>0</v>
      </c>
      <c r="CX19" s="18">
        <f t="shared" si="24"/>
        <v>0</v>
      </c>
      <c r="CY19" s="18">
        <f t="shared" si="24"/>
        <v>0</v>
      </c>
      <c r="CZ19" s="18">
        <f t="shared" si="24"/>
        <v>0</v>
      </c>
      <c r="DA19" s="18">
        <f t="shared" si="24"/>
        <v>0</v>
      </c>
      <c r="DB19" s="18">
        <f t="shared" si="24"/>
        <v>0</v>
      </c>
      <c r="DC19" s="18">
        <f t="shared" si="28"/>
        <v>0</v>
      </c>
      <c r="DD19" s="18">
        <f t="shared" si="28"/>
        <v>0</v>
      </c>
      <c r="DE19" s="18">
        <f t="shared" si="28"/>
        <v>0</v>
      </c>
      <c r="DF19" s="18">
        <f t="shared" si="28"/>
        <v>0</v>
      </c>
      <c r="DG19" s="18">
        <f t="shared" si="28"/>
        <v>0</v>
      </c>
      <c r="DH19" s="18">
        <f t="shared" si="28"/>
        <v>0</v>
      </c>
      <c r="DI19" s="18">
        <f t="shared" si="28"/>
        <v>0</v>
      </c>
      <c r="DJ19" s="18">
        <f t="shared" si="28"/>
        <v>0</v>
      </c>
      <c r="DK19" s="18">
        <f t="shared" si="28"/>
        <v>0</v>
      </c>
      <c r="DL19" s="18">
        <f t="shared" si="28"/>
        <v>0</v>
      </c>
      <c r="DM19" s="18">
        <f t="shared" si="28"/>
        <v>0</v>
      </c>
      <c r="DN19" s="18">
        <f t="shared" si="28"/>
        <v>0</v>
      </c>
      <c r="DO19" s="18">
        <f t="shared" si="28"/>
        <v>0</v>
      </c>
      <c r="DP19" s="18">
        <f t="shared" si="28"/>
        <v>0</v>
      </c>
      <c r="DQ19" s="18">
        <f t="shared" si="28"/>
        <v>0</v>
      </c>
      <c r="DR19" s="18">
        <f t="shared" si="28"/>
        <v>0</v>
      </c>
      <c r="DS19" s="18">
        <f t="shared" si="28"/>
        <v>0</v>
      </c>
      <c r="DT19" s="18">
        <f t="shared" si="28"/>
        <v>0</v>
      </c>
      <c r="DU19" s="18">
        <f t="shared" si="28"/>
        <v>0</v>
      </c>
      <c r="DV19" s="18">
        <f t="shared" si="28"/>
        <v>0</v>
      </c>
      <c r="DW19" s="18">
        <f t="shared" si="28"/>
        <v>0</v>
      </c>
      <c r="DX19" s="18">
        <f t="shared" si="28"/>
        <v>0</v>
      </c>
      <c r="DY19" s="18">
        <f t="shared" si="28"/>
        <v>0</v>
      </c>
      <c r="DZ19" s="18">
        <f t="shared" si="28"/>
        <v>0</v>
      </c>
      <c r="EA19" s="18">
        <f t="shared" si="28"/>
        <v>0</v>
      </c>
      <c r="EB19" s="18">
        <f t="shared" si="28"/>
        <v>0</v>
      </c>
      <c r="EC19" s="18">
        <f t="shared" si="28"/>
        <v>0</v>
      </c>
      <c r="ED19" s="18">
        <f t="shared" si="28"/>
        <v>0</v>
      </c>
      <c r="EE19" s="18">
        <f t="shared" si="28"/>
        <v>0</v>
      </c>
      <c r="EF19" s="18">
        <f t="shared" si="28"/>
        <v>0</v>
      </c>
      <c r="EG19" s="18">
        <f t="shared" si="28"/>
        <v>0</v>
      </c>
      <c r="EH19" s="18">
        <f t="shared" si="28"/>
        <v>0</v>
      </c>
      <c r="EI19" s="18">
        <f t="shared" si="28"/>
        <v>0</v>
      </c>
      <c r="EJ19" s="18">
        <f t="shared" si="28"/>
        <v>0</v>
      </c>
      <c r="EK19" s="18">
        <f t="shared" si="28"/>
        <v>0</v>
      </c>
      <c r="EL19" s="18">
        <f t="shared" si="28"/>
        <v>0</v>
      </c>
      <c r="EM19" s="18">
        <f t="shared" si="28"/>
        <v>0</v>
      </c>
      <c r="EN19" s="18">
        <f t="shared" si="28"/>
        <v>0</v>
      </c>
      <c r="EO19" s="18">
        <f t="shared" si="28"/>
        <v>0</v>
      </c>
      <c r="EP19" s="18">
        <f t="shared" si="28"/>
        <v>0</v>
      </c>
      <c r="EQ19" s="18">
        <f t="shared" si="28"/>
        <v>0</v>
      </c>
      <c r="ER19" s="18">
        <f t="shared" si="28"/>
        <v>0</v>
      </c>
      <c r="ES19" s="18">
        <f t="shared" si="28"/>
        <v>0</v>
      </c>
      <c r="ET19" s="18">
        <f t="shared" si="28"/>
        <v>0</v>
      </c>
      <c r="EU19" s="18">
        <f t="shared" si="25"/>
        <v>0</v>
      </c>
      <c r="EV19" s="18">
        <f t="shared" si="25"/>
        <v>0</v>
      </c>
      <c r="EW19" s="18">
        <f t="shared" si="25"/>
        <v>0</v>
      </c>
      <c r="EX19" s="18">
        <f t="shared" si="25"/>
        <v>0</v>
      </c>
      <c r="EY19" s="18">
        <f t="shared" si="25"/>
        <v>0</v>
      </c>
      <c r="EZ19" s="18">
        <f t="shared" si="25"/>
        <v>0</v>
      </c>
      <c r="FA19" s="18">
        <f t="shared" si="25"/>
        <v>0</v>
      </c>
      <c r="FB19" s="18">
        <f t="shared" si="25"/>
        <v>0</v>
      </c>
      <c r="FC19" s="18">
        <f t="shared" si="25"/>
        <v>0</v>
      </c>
      <c r="FD19" s="18">
        <f t="shared" si="25"/>
        <v>0</v>
      </c>
      <c r="FE19" s="18">
        <f t="shared" si="25"/>
        <v>0</v>
      </c>
      <c r="FF19" s="18">
        <f t="shared" si="25"/>
        <v>0</v>
      </c>
      <c r="FG19" s="18">
        <f t="shared" si="25"/>
        <v>0</v>
      </c>
      <c r="FH19" s="18">
        <f t="shared" si="25"/>
        <v>0</v>
      </c>
      <c r="FI19" s="18">
        <f t="shared" si="25"/>
        <v>0</v>
      </c>
      <c r="FJ19" s="18">
        <f t="shared" si="25"/>
        <v>0</v>
      </c>
      <c r="FK19" s="18">
        <f t="shared" si="25"/>
        <v>0</v>
      </c>
      <c r="FL19" s="18">
        <f t="shared" si="25"/>
        <v>0</v>
      </c>
      <c r="FM19" s="18">
        <f t="shared" si="25"/>
        <v>0</v>
      </c>
      <c r="FN19" s="18">
        <f t="shared" si="25"/>
        <v>0</v>
      </c>
      <c r="FO19" s="18">
        <f t="shared" si="25"/>
        <v>0</v>
      </c>
      <c r="FP19" s="18">
        <f t="shared" si="25"/>
        <v>0</v>
      </c>
      <c r="FQ19" s="18">
        <f t="shared" si="25"/>
        <v>0</v>
      </c>
      <c r="FR19" s="18">
        <f t="shared" si="25"/>
        <v>0</v>
      </c>
      <c r="FS19" s="18">
        <f t="shared" si="25"/>
        <v>0</v>
      </c>
      <c r="FT19" s="18">
        <f t="shared" si="25"/>
        <v>0</v>
      </c>
      <c r="FU19" s="18">
        <f t="shared" si="25"/>
        <v>0</v>
      </c>
      <c r="FV19" s="18">
        <f t="shared" si="25"/>
        <v>0</v>
      </c>
      <c r="FW19" s="18">
        <f t="shared" si="25"/>
        <v>0</v>
      </c>
      <c r="FX19" s="18">
        <f t="shared" si="25"/>
        <v>0</v>
      </c>
      <c r="FY19" s="18">
        <f t="shared" si="25"/>
        <v>0</v>
      </c>
      <c r="FZ19" s="18">
        <f t="shared" si="25"/>
        <v>0</v>
      </c>
      <c r="GA19" s="18">
        <f t="shared" si="25"/>
        <v>0</v>
      </c>
      <c r="GB19" s="18">
        <f t="shared" si="25"/>
        <v>0</v>
      </c>
      <c r="GC19" s="18">
        <f t="shared" si="25"/>
        <v>0</v>
      </c>
    </row>
    <row r="20" spans="2:185" ht="17.100000000000001" customHeight="1" outlineLevel="1">
      <c r="B20" s="25"/>
      <c r="C20" s="40" t="s">
        <v>35</v>
      </c>
      <c r="D20" s="26" t="s">
        <v>19</v>
      </c>
      <c r="E20" s="27">
        <f>F19-1</f>
        <v>45344</v>
      </c>
      <c r="F20" s="27">
        <f>E20+4</f>
        <v>45348</v>
      </c>
      <c r="G20" s="28">
        <f t="shared" si="26"/>
        <v>5</v>
      </c>
      <c r="H20" s="29"/>
      <c r="I20" s="30"/>
      <c r="J20" s="31" t="str">
        <f t="shared" ca="1" si="27"/>
        <v>Overdue</v>
      </c>
      <c r="K20" s="18">
        <f t="shared" si="8"/>
        <v>0</v>
      </c>
      <c r="L20" s="18">
        <f t="shared" si="8"/>
        <v>0</v>
      </c>
      <c r="M20" s="18">
        <f t="shared" si="8"/>
        <v>0</v>
      </c>
      <c r="N20" s="18">
        <f t="shared" si="8"/>
        <v>0</v>
      </c>
      <c r="O20" s="18">
        <f t="shared" si="8"/>
        <v>0</v>
      </c>
      <c r="P20" s="18">
        <f t="shared" si="8"/>
        <v>0</v>
      </c>
      <c r="Q20" s="18">
        <f t="shared" si="8"/>
        <v>0</v>
      </c>
      <c r="R20" s="18">
        <f t="shared" si="8"/>
        <v>0</v>
      </c>
      <c r="S20" s="18">
        <f t="shared" si="8"/>
        <v>0</v>
      </c>
      <c r="T20" s="18">
        <f t="shared" si="8"/>
        <v>0</v>
      </c>
      <c r="U20" s="18">
        <f t="shared" si="8"/>
        <v>0</v>
      </c>
      <c r="V20" s="18">
        <f t="shared" si="8"/>
        <v>0</v>
      </c>
      <c r="W20" s="18">
        <f t="shared" si="8"/>
        <v>0</v>
      </c>
      <c r="X20" s="18">
        <f t="shared" si="8"/>
        <v>0</v>
      </c>
      <c r="Y20" s="18">
        <f t="shared" si="8"/>
        <v>0</v>
      </c>
      <c r="Z20" s="18">
        <f t="shared" si="8"/>
        <v>0</v>
      </c>
      <c r="AA20" s="18">
        <f t="shared" si="9"/>
        <v>0</v>
      </c>
      <c r="AB20" s="18">
        <f t="shared" si="9"/>
        <v>0</v>
      </c>
      <c r="AC20" s="18">
        <f t="shared" si="9"/>
        <v>0</v>
      </c>
      <c r="AD20" s="18">
        <f t="shared" si="9"/>
        <v>0</v>
      </c>
      <c r="AE20" s="18">
        <f t="shared" si="9"/>
        <v>0</v>
      </c>
      <c r="AF20" s="18">
        <f t="shared" si="9"/>
        <v>0</v>
      </c>
      <c r="AG20" s="18">
        <f t="shared" si="9"/>
        <v>0</v>
      </c>
      <c r="AH20" s="18">
        <f t="shared" si="9"/>
        <v>0</v>
      </c>
      <c r="AI20" s="18">
        <f t="shared" si="9"/>
        <v>1</v>
      </c>
      <c r="AJ20" s="18">
        <f t="shared" si="9"/>
        <v>1</v>
      </c>
      <c r="AK20" s="18">
        <f t="shared" si="9"/>
        <v>1</v>
      </c>
      <c r="AL20" s="18">
        <f t="shared" si="9"/>
        <v>1</v>
      </c>
      <c r="AM20" s="18">
        <f t="shared" si="9"/>
        <v>1</v>
      </c>
      <c r="AN20" s="18">
        <f t="shared" si="9"/>
        <v>0</v>
      </c>
      <c r="AO20" s="18">
        <f t="shared" si="9"/>
        <v>0</v>
      </c>
      <c r="AP20" s="18">
        <f t="shared" si="9"/>
        <v>0</v>
      </c>
      <c r="AQ20" s="18">
        <f t="shared" si="24"/>
        <v>0</v>
      </c>
      <c r="AR20" s="18">
        <f t="shared" si="24"/>
        <v>0</v>
      </c>
      <c r="AS20" s="18">
        <f t="shared" si="24"/>
        <v>0</v>
      </c>
      <c r="AT20" s="18">
        <f t="shared" si="24"/>
        <v>0</v>
      </c>
      <c r="AU20" s="18">
        <f t="shared" si="24"/>
        <v>0</v>
      </c>
      <c r="AV20" s="18">
        <f t="shared" si="24"/>
        <v>0</v>
      </c>
      <c r="AW20" s="18">
        <f t="shared" si="24"/>
        <v>0</v>
      </c>
      <c r="AX20" s="18">
        <f t="shared" si="24"/>
        <v>0</v>
      </c>
      <c r="AY20" s="18">
        <f t="shared" si="24"/>
        <v>0</v>
      </c>
      <c r="AZ20" s="18">
        <f t="shared" si="24"/>
        <v>0</v>
      </c>
      <c r="BA20" s="18">
        <f t="shared" si="24"/>
        <v>0</v>
      </c>
      <c r="BB20" s="18">
        <f t="shared" si="24"/>
        <v>0</v>
      </c>
      <c r="BC20" s="18">
        <f t="shared" si="24"/>
        <v>0</v>
      </c>
      <c r="BD20" s="18">
        <f t="shared" si="24"/>
        <v>0</v>
      </c>
      <c r="BE20" s="18">
        <f t="shared" si="24"/>
        <v>0</v>
      </c>
      <c r="BF20" s="18">
        <f t="shared" si="24"/>
        <v>0</v>
      </c>
      <c r="BG20" s="18">
        <f t="shared" si="24"/>
        <v>0</v>
      </c>
      <c r="BH20" s="18">
        <f t="shared" si="24"/>
        <v>0</v>
      </c>
      <c r="BI20" s="18">
        <f t="shared" si="24"/>
        <v>0</v>
      </c>
      <c r="BJ20" s="18">
        <f t="shared" si="24"/>
        <v>0</v>
      </c>
      <c r="BK20" s="18">
        <f t="shared" si="24"/>
        <v>0</v>
      </c>
      <c r="BL20" s="18">
        <f t="shared" si="24"/>
        <v>0</v>
      </c>
      <c r="BM20" s="18">
        <f t="shared" si="24"/>
        <v>0</v>
      </c>
      <c r="BN20" s="18">
        <f t="shared" si="24"/>
        <v>0</v>
      </c>
      <c r="BO20" s="18">
        <f t="shared" si="24"/>
        <v>0</v>
      </c>
      <c r="BP20" s="18">
        <f t="shared" si="24"/>
        <v>0</v>
      </c>
      <c r="BQ20" s="18">
        <f t="shared" si="24"/>
        <v>0</v>
      </c>
      <c r="BR20" s="18">
        <f t="shared" si="24"/>
        <v>0</v>
      </c>
      <c r="BS20" s="18">
        <f t="shared" si="24"/>
        <v>0</v>
      </c>
      <c r="BT20" s="18">
        <f t="shared" si="24"/>
        <v>0</v>
      </c>
      <c r="BU20" s="18">
        <f t="shared" si="24"/>
        <v>0</v>
      </c>
      <c r="BV20" s="18">
        <f t="shared" si="24"/>
        <v>0</v>
      </c>
      <c r="BW20" s="18">
        <f t="shared" si="24"/>
        <v>0</v>
      </c>
      <c r="BX20" s="18">
        <f t="shared" si="24"/>
        <v>0</v>
      </c>
      <c r="BY20" s="18">
        <f t="shared" si="24"/>
        <v>0</v>
      </c>
      <c r="BZ20" s="18">
        <f t="shared" si="24"/>
        <v>0</v>
      </c>
      <c r="CA20" s="18">
        <f t="shared" si="24"/>
        <v>0</v>
      </c>
      <c r="CB20" s="18">
        <f t="shared" si="24"/>
        <v>0</v>
      </c>
      <c r="CC20" s="18">
        <f t="shared" si="24"/>
        <v>0</v>
      </c>
      <c r="CD20" s="18">
        <f t="shared" si="24"/>
        <v>0</v>
      </c>
      <c r="CE20" s="18">
        <f t="shared" si="24"/>
        <v>0</v>
      </c>
      <c r="CF20" s="18">
        <f t="shared" si="24"/>
        <v>0</v>
      </c>
      <c r="CG20" s="18">
        <f t="shared" si="24"/>
        <v>0</v>
      </c>
      <c r="CH20" s="18">
        <f t="shared" si="24"/>
        <v>0</v>
      </c>
      <c r="CI20" s="18">
        <f t="shared" si="24"/>
        <v>0</v>
      </c>
      <c r="CJ20" s="18">
        <f t="shared" si="24"/>
        <v>0</v>
      </c>
      <c r="CK20" s="18">
        <f t="shared" si="24"/>
        <v>0</v>
      </c>
      <c r="CL20" s="18">
        <f t="shared" si="24"/>
        <v>0</v>
      </c>
      <c r="CM20" s="18">
        <f t="shared" si="24"/>
        <v>0</v>
      </c>
      <c r="CN20" s="18">
        <f t="shared" si="24"/>
        <v>0</v>
      </c>
      <c r="CO20" s="18">
        <f t="shared" si="24"/>
        <v>0</v>
      </c>
      <c r="CP20" s="18">
        <f t="shared" si="24"/>
        <v>0</v>
      </c>
      <c r="CQ20" s="18">
        <f t="shared" si="24"/>
        <v>0</v>
      </c>
      <c r="CR20" s="18">
        <f t="shared" si="24"/>
        <v>0</v>
      </c>
      <c r="CS20" s="18">
        <f t="shared" si="24"/>
        <v>0</v>
      </c>
      <c r="CT20" s="18">
        <f t="shared" si="24"/>
        <v>0</v>
      </c>
      <c r="CU20" s="18">
        <f t="shared" si="24"/>
        <v>0</v>
      </c>
      <c r="CV20" s="18">
        <f t="shared" si="24"/>
        <v>0</v>
      </c>
      <c r="CW20" s="18">
        <f t="shared" si="24"/>
        <v>0</v>
      </c>
      <c r="CX20" s="18">
        <f t="shared" si="24"/>
        <v>0</v>
      </c>
      <c r="CY20" s="18">
        <f t="shared" si="24"/>
        <v>0</v>
      </c>
      <c r="CZ20" s="18">
        <f t="shared" si="24"/>
        <v>0</v>
      </c>
      <c r="DA20" s="18">
        <f t="shared" si="24"/>
        <v>0</v>
      </c>
      <c r="DB20" s="18">
        <f t="shared" ref="DB20:FJ25" si="29">IF(AND($E20&lt;=DB$5,$F20&gt;=DB$5),1,0)</f>
        <v>0</v>
      </c>
      <c r="DC20" s="18">
        <f t="shared" si="29"/>
        <v>0</v>
      </c>
      <c r="DD20" s="18">
        <f t="shared" si="29"/>
        <v>0</v>
      </c>
      <c r="DE20" s="18">
        <f t="shared" si="29"/>
        <v>0</v>
      </c>
      <c r="DF20" s="18">
        <f t="shared" si="29"/>
        <v>0</v>
      </c>
      <c r="DG20" s="18">
        <f t="shared" si="29"/>
        <v>0</v>
      </c>
      <c r="DH20" s="18">
        <f t="shared" si="29"/>
        <v>0</v>
      </c>
      <c r="DI20" s="18">
        <f t="shared" si="29"/>
        <v>0</v>
      </c>
      <c r="DJ20" s="18">
        <f t="shared" si="29"/>
        <v>0</v>
      </c>
      <c r="DK20" s="18">
        <f t="shared" si="29"/>
        <v>0</v>
      </c>
      <c r="DL20" s="18">
        <f t="shared" si="29"/>
        <v>0</v>
      </c>
      <c r="DM20" s="18">
        <f t="shared" si="29"/>
        <v>0</v>
      </c>
      <c r="DN20" s="18">
        <f t="shared" si="29"/>
        <v>0</v>
      </c>
      <c r="DO20" s="18">
        <f t="shared" si="29"/>
        <v>0</v>
      </c>
      <c r="DP20" s="18">
        <f t="shared" si="29"/>
        <v>0</v>
      </c>
      <c r="DQ20" s="18">
        <f t="shared" si="29"/>
        <v>0</v>
      </c>
      <c r="DR20" s="18">
        <f t="shared" si="29"/>
        <v>0</v>
      </c>
      <c r="DS20" s="18">
        <f t="shared" si="29"/>
        <v>0</v>
      </c>
      <c r="DT20" s="18">
        <f t="shared" si="29"/>
        <v>0</v>
      </c>
      <c r="DU20" s="18">
        <f t="shared" si="29"/>
        <v>0</v>
      </c>
      <c r="DV20" s="18">
        <f t="shared" si="29"/>
        <v>0</v>
      </c>
      <c r="DW20" s="18">
        <f t="shared" si="29"/>
        <v>0</v>
      </c>
      <c r="DX20" s="18">
        <f t="shared" si="29"/>
        <v>0</v>
      </c>
      <c r="DY20" s="18">
        <f t="shared" si="29"/>
        <v>0</v>
      </c>
      <c r="DZ20" s="18">
        <f t="shared" si="29"/>
        <v>0</v>
      </c>
      <c r="EA20" s="18">
        <f t="shared" si="29"/>
        <v>0</v>
      </c>
      <c r="EB20" s="18">
        <f t="shared" si="29"/>
        <v>0</v>
      </c>
      <c r="EC20" s="18">
        <f t="shared" si="29"/>
        <v>0</v>
      </c>
      <c r="ED20" s="18">
        <f t="shared" si="29"/>
        <v>0</v>
      </c>
      <c r="EE20" s="18">
        <f t="shared" si="29"/>
        <v>0</v>
      </c>
      <c r="EF20" s="18">
        <f t="shared" si="29"/>
        <v>0</v>
      </c>
      <c r="EG20" s="18">
        <f t="shared" si="29"/>
        <v>0</v>
      </c>
      <c r="EH20" s="18">
        <f t="shared" si="29"/>
        <v>0</v>
      </c>
      <c r="EI20" s="18">
        <f t="shared" si="29"/>
        <v>0</v>
      </c>
      <c r="EJ20" s="18">
        <f t="shared" si="29"/>
        <v>0</v>
      </c>
      <c r="EK20" s="18">
        <f t="shared" si="29"/>
        <v>0</v>
      </c>
      <c r="EL20" s="18">
        <f t="shared" si="29"/>
        <v>0</v>
      </c>
      <c r="EM20" s="18">
        <f t="shared" si="29"/>
        <v>0</v>
      </c>
      <c r="EN20" s="18">
        <f t="shared" si="29"/>
        <v>0</v>
      </c>
      <c r="EO20" s="18">
        <f t="shared" si="29"/>
        <v>0</v>
      </c>
      <c r="EP20" s="18">
        <f t="shared" si="29"/>
        <v>0</v>
      </c>
      <c r="EQ20" s="18">
        <f t="shared" si="29"/>
        <v>0</v>
      </c>
      <c r="ER20" s="18">
        <f t="shared" si="29"/>
        <v>0</v>
      </c>
      <c r="ES20" s="18">
        <f t="shared" si="29"/>
        <v>0</v>
      </c>
      <c r="ET20" s="18">
        <f t="shared" si="29"/>
        <v>0</v>
      </c>
      <c r="EU20" s="18">
        <f t="shared" si="25"/>
        <v>0</v>
      </c>
      <c r="EV20" s="18">
        <f t="shared" si="25"/>
        <v>0</v>
      </c>
      <c r="EW20" s="18">
        <f t="shared" si="25"/>
        <v>0</v>
      </c>
      <c r="EX20" s="18">
        <f t="shared" si="25"/>
        <v>0</v>
      </c>
      <c r="EY20" s="18">
        <f t="shared" si="25"/>
        <v>0</v>
      </c>
      <c r="EZ20" s="18">
        <f t="shared" si="25"/>
        <v>0</v>
      </c>
      <c r="FA20" s="18">
        <f t="shared" si="25"/>
        <v>0</v>
      </c>
      <c r="FB20" s="18">
        <f t="shared" si="25"/>
        <v>0</v>
      </c>
      <c r="FC20" s="18">
        <f t="shared" si="25"/>
        <v>0</v>
      </c>
      <c r="FD20" s="18">
        <f t="shared" si="25"/>
        <v>0</v>
      </c>
      <c r="FE20" s="18">
        <f t="shared" si="25"/>
        <v>0</v>
      </c>
      <c r="FF20" s="18">
        <f t="shared" si="25"/>
        <v>0</v>
      </c>
      <c r="FG20" s="18">
        <f t="shared" si="25"/>
        <v>0</v>
      </c>
      <c r="FH20" s="18">
        <f t="shared" si="25"/>
        <v>0</v>
      </c>
      <c r="FI20" s="18">
        <f t="shared" si="25"/>
        <v>0</v>
      </c>
      <c r="FJ20" s="18">
        <f t="shared" si="25"/>
        <v>0</v>
      </c>
      <c r="FK20" s="18">
        <f t="shared" si="25"/>
        <v>0</v>
      </c>
      <c r="FL20" s="18">
        <f t="shared" si="25"/>
        <v>0</v>
      </c>
      <c r="FM20" s="18">
        <f t="shared" si="25"/>
        <v>0</v>
      </c>
      <c r="FN20" s="18">
        <f t="shared" si="25"/>
        <v>0</v>
      </c>
      <c r="FO20" s="18">
        <f t="shared" si="25"/>
        <v>0</v>
      </c>
      <c r="FP20" s="18">
        <f t="shared" si="25"/>
        <v>0</v>
      </c>
      <c r="FQ20" s="18">
        <f t="shared" si="25"/>
        <v>0</v>
      </c>
      <c r="FR20" s="18">
        <f t="shared" si="25"/>
        <v>0</v>
      </c>
      <c r="FS20" s="18">
        <f t="shared" si="25"/>
        <v>0</v>
      </c>
      <c r="FT20" s="18">
        <f t="shared" si="25"/>
        <v>0</v>
      </c>
      <c r="FU20" s="18">
        <f t="shared" si="25"/>
        <v>0</v>
      </c>
      <c r="FV20" s="18">
        <f t="shared" si="25"/>
        <v>0</v>
      </c>
      <c r="FW20" s="18">
        <f t="shared" si="25"/>
        <v>0</v>
      </c>
      <c r="FX20" s="18">
        <f t="shared" si="25"/>
        <v>0</v>
      </c>
      <c r="FY20" s="18">
        <f t="shared" si="25"/>
        <v>0</v>
      </c>
      <c r="FZ20" s="18">
        <f t="shared" si="25"/>
        <v>0</v>
      </c>
      <c r="GA20" s="18">
        <f t="shared" si="25"/>
        <v>0</v>
      </c>
      <c r="GB20" s="18">
        <f t="shared" si="25"/>
        <v>0</v>
      </c>
      <c r="GC20" s="18">
        <f t="shared" si="25"/>
        <v>0</v>
      </c>
    </row>
    <row r="21" spans="2:185" ht="17.100000000000001" customHeight="1" outlineLevel="1">
      <c r="B21" s="25"/>
      <c r="C21" s="40" t="s">
        <v>36</v>
      </c>
      <c r="D21" s="26" t="s">
        <v>25</v>
      </c>
      <c r="E21" s="27">
        <f>F20</f>
        <v>45348</v>
      </c>
      <c r="F21" s="27">
        <f>E21+30</f>
        <v>45378</v>
      </c>
      <c r="G21" s="28">
        <f t="shared" si="26"/>
        <v>31</v>
      </c>
      <c r="H21" s="29"/>
      <c r="I21" s="30"/>
      <c r="J21" s="31" t="str">
        <f t="shared" ca="1" si="27"/>
        <v>Overdue</v>
      </c>
      <c r="K21" s="18">
        <f t="shared" si="8"/>
        <v>0</v>
      </c>
      <c r="L21" s="18">
        <f t="shared" si="8"/>
        <v>0</v>
      </c>
      <c r="M21" s="18">
        <f t="shared" si="8"/>
        <v>0</v>
      </c>
      <c r="N21" s="18">
        <f t="shared" si="8"/>
        <v>0</v>
      </c>
      <c r="O21" s="18">
        <f t="shared" si="8"/>
        <v>0</v>
      </c>
      <c r="P21" s="18">
        <f t="shared" si="8"/>
        <v>0</v>
      </c>
      <c r="Q21" s="18">
        <f t="shared" si="8"/>
        <v>0</v>
      </c>
      <c r="R21" s="18">
        <f t="shared" si="8"/>
        <v>0</v>
      </c>
      <c r="S21" s="18">
        <f t="shared" si="8"/>
        <v>0</v>
      </c>
      <c r="T21" s="18">
        <f t="shared" si="8"/>
        <v>0</v>
      </c>
      <c r="U21" s="18">
        <f t="shared" si="8"/>
        <v>0</v>
      </c>
      <c r="V21" s="18">
        <f t="shared" si="8"/>
        <v>0</v>
      </c>
      <c r="W21" s="18">
        <f t="shared" si="8"/>
        <v>0</v>
      </c>
      <c r="X21" s="18">
        <f t="shared" si="8"/>
        <v>0</v>
      </c>
      <c r="Y21" s="18">
        <f t="shared" si="8"/>
        <v>0</v>
      </c>
      <c r="Z21" s="18">
        <f t="shared" si="8"/>
        <v>0</v>
      </c>
      <c r="AA21" s="18">
        <f t="shared" si="9"/>
        <v>0</v>
      </c>
      <c r="AB21" s="18">
        <f t="shared" si="9"/>
        <v>0</v>
      </c>
      <c r="AC21" s="18">
        <f t="shared" si="9"/>
        <v>0</v>
      </c>
      <c r="AD21" s="18">
        <f t="shared" si="9"/>
        <v>0</v>
      </c>
      <c r="AE21" s="18">
        <f t="shared" si="9"/>
        <v>0</v>
      </c>
      <c r="AF21" s="18">
        <f t="shared" si="9"/>
        <v>0</v>
      </c>
      <c r="AG21" s="18">
        <f t="shared" si="9"/>
        <v>0</v>
      </c>
      <c r="AH21" s="18">
        <f t="shared" si="9"/>
        <v>0</v>
      </c>
      <c r="AI21" s="18">
        <f t="shared" si="9"/>
        <v>0</v>
      </c>
      <c r="AJ21" s="18">
        <f t="shared" si="9"/>
        <v>0</v>
      </c>
      <c r="AK21" s="18">
        <f t="shared" si="9"/>
        <v>0</v>
      </c>
      <c r="AL21" s="18">
        <f t="shared" si="9"/>
        <v>0</v>
      </c>
      <c r="AM21" s="18">
        <f t="shared" si="9"/>
        <v>1</v>
      </c>
      <c r="AN21" s="18">
        <f t="shared" si="9"/>
        <v>1</v>
      </c>
      <c r="AO21" s="18">
        <f t="shared" si="9"/>
        <v>1</v>
      </c>
      <c r="AP21" s="18">
        <f t="shared" si="9"/>
        <v>1</v>
      </c>
      <c r="AQ21" s="18">
        <f t="shared" ref="AQ21:DB27" si="30">IF(AND($E21&lt;=AQ$5,$F21&gt;=AQ$5),1,0)</f>
        <v>1</v>
      </c>
      <c r="AR21" s="18">
        <f t="shared" si="30"/>
        <v>1</v>
      </c>
      <c r="AS21" s="18">
        <f t="shared" si="30"/>
        <v>1</v>
      </c>
      <c r="AT21" s="18">
        <f t="shared" si="30"/>
        <v>1</v>
      </c>
      <c r="AU21" s="18">
        <f t="shared" si="30"/>
        <v>1</v>
      </c>
      <c r="AV21" s="18">
        <f t="shared" si="30"/>
        <v>1</v>
      </c>
      <c r="AW21" s="18">
        <f t="shared" si="30"/>
        <v>1</v>
      </c>
      <c r="AX21" s="18">
        <f t="shared" si="30"/>
        <v>1</v>
      </c>
      <c r="AY21" s="18">
        <f t="shared" si="30"/>
        <v>1</v>
      </c>
      <c r="AZ21" s="18">
        <f t="shared" si="30"/>
        <v>1</v>
      </c>
      <c r="BA21" s="18">
        <f t="shared" si="30"/>
        <v>1</v>
      </c>
      <c r="BB21" s="18">
        <f t="shared" si="30"/>
        <v>1</v>
      </c>
      <c r="BC21" s="18">
        <f t="shared" si="30"/>
        <v>1</v>
      </c>
      <c r="BD21" s="18">
        <f t="shared" si="30"/>
        <v>1</v>
      </c>
      <c r="BE21" s="18">
        <f t="shared" si="30"/>
        <v>1</v>
      </c>
      <c r="BF21" s="18">
        <f t="shared" si="30"/>
        <v>1</v>
      </c>
      <c r="BG21" s="18">
        <f t="shared" si="30"/>
        <v>1</v>
      </c>
      <c r="BH21" s="18">
        <f t="shared" si="30"/>
        <v>1</v>
      </c>
      <c r="BI21" s="18">
        <f t="shared" si="30"/>
        <v>1</v>
      </c>
      <c r="BJ21" s="18">
        <f t="shared" si="30"/>
        <v>1</v>
      </c>
      <c r="BK21" s="18">
        <f t="shared" si="30"/>
        <v>1</v>
      </c>
      <c r="BL21" s="18">
        <f t="shared" si="30"/>
        <v>1</v>
      </c>
      <c r="BM21" s="18">
        <f t="shared" si="30"/>
        <v>1</v>
      </c>
      <c r="BN21" s="18">
        <f t="shared" si="30"/>
        <v>1</v>
      </c>
      <c r="BO21" s="18">
        <f t="shared" si="30"/>
        <v>1</v>
      </c>
      <c r="BP21" s="18">
        <f t="shared" si="30"/>
        <v>1</v>
      </c>
      <c r="BQ21" s="18">
        <f t="shared" si="30"/>
        <v>1</v>
      </c>
      <c r="BR21" s="18">
        <f t="shared" si="30"/>
        <v>0</v>
      </c>
      <c r="BS21" s="18">
        <f t="shared" si="30"/>
        <v>0</v>
      </c>
      <c r="BT21" s="18">
        <f t="shared" si="30"/>
        <v>0</v>
      </c>
      <c r="BU21" s="18">
        <f t="shared" si="30"/>
        <v>0</v>
      </c>
      <c r="BV21" s="18">
        <f t="shared" si="30"/>
        <v>0</v>
      </c>
      <c r="BW21" s="18">
        <f t="shared" si="30"/>
        <v>0</v>
      </c>
      <c r="BX21" s="18">
        <f t="shared" si="30"/>
        <v>0</v>
      </c>
      <c r="BY21" s="18">
        <f t="shared" si="30"/>
        <v>0</v>
      </c>
      <c r="BZ21" s="18">
        <f t="shared" si="30"/>
        <v>0</v>
      </c>
      <c r="CA21" s="18">
        <f t="shared" si="30"/>
        <v>0</v>
      </c>
      <c r="CB21" s="18">
        <f t="shared" si="30"/>
        <v>0</v>
      </c>
      <c r="CC21" s="18">
        <f t="shared" si="30"/>
        <v>0</v>
      </c>
      <c r="CD21" s="18">
        <f t="shared" si="30"/>
        <v>0</v>
      </c>
      <c r="CE21" s="18">
        <f t="shared" si="30"/>
        <v>0</v>
      </c>
      <c r="CF21" s="18">
        <f t="shared" si="30"/>
        <v>0</v>
      </c>
      <c r="CG21" s="18">
        <f t="shared" si="30"/>
        <v>0</v>
      </c>
      <c r="CH21" s="18">
        <f t="shared" si="30"/>
        <v>0</v>
      </c>
      <c r="CI21" s="18">
        <f t="shared" si="30"/>
        <v>0</v>
      </c>
      <c r="CJ21" s="18">
        <f t="shared" si="30"/>
        <v>0</v>
      </c>
      <c r="CK21" s="18">
        <f t="shared" si="30"/>
        <v>0</v>
      </c>
      <c r="CL21" s="18">
        <f t="shared" si="30"/>
        <v>0</v>
      </c>
      <c r="CM21" s="18">
        <f t="shared" si="30"/>
        <v>0</v>
      </c>
      <c r="CN21" s="18">
        <f t="shared" si="30"/>
        <v>0</v>
      </c>
      <c r="CO21" s="18">
        <f t="shared" si="30"/>
        <v>0</v>
      </c>
      <c r="CP21" s="18">
        <f t="shared" si="30"/>
        <v>0</v>
      </c>
      <c r="CQ21" s="18">
        <f t="shared" si="30"/>
        <v>0</v>
      </c>
      <c r="CR21" s="18">
        <f t="shared" si="30"/>
        <v>0</v>
      </c>
      <c r="CS21" s="18">
        <f t="shared" si="30"/>
        <v>0</v>
      </c>
      <c r="CT21" s="18">
        <f t="shared" si="30"/>
        <v>0</v>
      </c>
      <c r="CU21" s="18">
        <f t="shared" si="30"/>
        <v>0</v>
      </c>
      <c r="CV21" s="18">
        <f t="shared" si="30"/>
        <v>0</v>
      </c>
      <c r="CW21" s="18">
        <f t="shared" si="30"/>
        <v>0</v>
      </c>
      <c r="CX21" s="18">
        <f t="shared" si="30"/>
        <v>0</v>
      </c>
      <c r="CY21" s="18">
        <f t="shared" si="30"/>
        <v>0</v>
      </c>
      <c r="CZ21" s="18">
        <f t="shared" si="30"/>
        <v>0</v>
      </c>
      <c r="DA21" s="18">
        <f t="shared" si="30"/>
        <v>0</v>
      </c>
      <c r="DB21" s="18">
        <f t="shared" si="30"/>
        <v>0</v>
      </c>
      <c r="DC21" s="18">
        <f t="shared" si="29"/>
        <v>0</v>
      </c>
      <c r="DD21" s="18">
        <f t="shared" si="29"/>
        <v>0</v>
      </c>
      <c r="DE21" s="18">
        <f t="shared" si="29"/>
        <v>0</v>
      </c>
      <c r="DF21" s="18">
        <f t="shared" si="29"/>
        <v>0</v>
      </c>
      <c r="DG21" s="18">
        <f t="shared" si="29"/>
        <v>0</v>
      </c>
      <c r="DH21" s="18">
        <f t="shared" si="29"/>
        <v>0</v>
      </c>
      <c r="DI21" s="18">
        <f t="shared" si="29"/>
        <v>0</v>
      </c>
      <c r="DJ21" s="18">
        <f t="shared" si="29"/>
        <v>0</v>
      </c>
      <c r="DK21" s="18">
        <f t="shared" si="29"/>
        <v>0</v>
      </c>
      <c r="DL21" s="18">
        <f t="shared" si="29"/>
        <v>0</v>
      </c>
      <c r="DM21" s="18">
        <f t="shared" si="29"/>
        <v>0</v>
      </c>
      <c r="DN21" s="18">
        <f t="shared" si="29"/>
        <v>0</v>
      </c>
      <c r="DO21" s="18">
        <f t="shared" si="29"/>
        <v>0</v>
      </c>
      <c r="DP21" s="18">
        <f t="shared" si="29"/>
        <v>0</v>
      </c>
      <c r="DQ21" s="18">
        <f t="shared" si="29"/>
        <v>0</v>
      </c>
      <c r="DR21" s="18">
        <f t="shared" si="29"/>
        <v>0</v>
      </c>
      <c r="DS21" s="18">
        <f t="shared" si="29"/>
        <v>0</v>
      </c>
      <c r="DT21" s="18">
        <f t="shared" si="29"/>
        <v>0</v>
      </c>
      <c r="DU21" s="18">
        <f t="shared" si="29"/>
        <v>0</v>
      </c>
      <c r="DV21" s="18">
        <f t="shared" si="29"/>
        <v>0</v>
      </c>
      <c r="DW21" s="18">
        <f t="shared" si="29"/>
        <v>0</v>
      </c>
      <c r="DX21" s="18">
        <f t="shared" si="29"/>
        <v>0</v>
      </c>
      <c r="DY21" s="18">
        <f t="shared" si="29"/>
        <v>0</v>
      </c>
      <c r="DZ21" s="18">
        <f t="shared" si="29"/>
        <v>0</v>
      </c>
      <c r="EA21" s="18">
        <f t="shared" si="29"/>
        <v>0</v>
      </c>
      <c r="EB21" s="18">
        <f t="shared" si="29"/>
        <v>0</v>
      </c>
      <c r="EC21" s="18">
        <f t="shared" si="29"/>
        <v>0</v>
      </c>
      <c r="ED21" s="18">
        <f t="shared" si="29"/>
        <v>0</v>
      </c>
      <c r="EE21" s="18">
        <f t="shared" si="29"/>
        <v>0</v>
      </c>
      <c r="EF21" s="18">
        <f t="shared" si="29"/>
        <v>0</v>
      </c>
      <c r="EG21" s="18">
        <f t="shared" si="29"/>
        <v>0</v>
      </c>
      <c r="EH21" s="18">
        <f t="shared" si="29"/>
        <v>0</v>
      </c>
      <c r="EI21" s="18">
        <f t="shared" si="29"/>
        <v>0</v>
      </c>
      <c r="EJ21" s="18">
        <f t="shared" si="29"/>
        <v>0</v>
      </c>
      <c r="EK21" s="18">
        <f t="shared" si="29"/>
        <v>0</v>
      </c>
      <c r="EL21" s="18">
        <f t="shared" si="29"/>
        <v>0</v>
      </c>
      <c r="EM21" s="18">
        <f t="shared" si="29"/>
        <v>0</v>
      </c>
      <c r="EN21" s="18">
        <f t="shared" si="29"/>
        <v>0</v>
      </c>
      <c r="EO21" s="18">
        <f t="shared" si="29"/>
        <v>0</v>
      </c>
      <c r="EP21" s="18">
        <f t="shared" si="29"/>
        <v>0</v>
      </c>
      <c r="EQ21" s="18">
        <f t="shared" si="29"/>
        <v>0</v>
      </c>
      <c r="ER21" s="18">
        <f t="shared" si="29"/>
        <v>0</v>
      </c>
      <c r="ES21" s="18">
        <f t="shared" si="29"/>
        <v>0</v>
      </c>
      <c r="ET21" s="18">
        <f t="shared" si="29"/>
        <v>0</v>
      </c>
      <c r="EU21" s="18">
        <f t="shared" si="25"/>
        <v>0</v>
      </c>
      <c r="EV21" s="18">
        <f t="shared" si="25"/>
        <v>0</v>
      </c>
      <c r="EW21" s="18">
        <f t="shared" si="25"/>
        <v>0</v>
      </c>
      <c r="EX21" s="18">
        <f t="shared" si="25"/>
        <v>0</v>
      </c>
      <c r="EY21" s="18">
        <f t="shared" si="25"/>
        <v>0</v>
      </c>
      <c r="EZ21" s="18">
        <f t="shared" si="25"/>
        <v>0</v>
      </c>
      <c r="FA21" s="18">
        <f t="shared" si="25"/>
        <v>0</v>
      </c>
      <c r="FB21" s="18">
        <f t="shared" si="25"/>
        <v>0</v>
      </c>
      <c r="FC21" s="18">
        <f t="shared" si="25"/>
        <v>0</v>
      </c>
      <c r="FD21" s="18">
        <f t="shared" si="25"/>
        <v>0</v>
      </c>
      <c r="FE21" s="18">
        <f t="shared" si="25"/>
        <v>0</v>
      </c>
      <c r="FF21" s="18">
        <f t="shared" si="25"/>
        <v>0</v>
      </c>
      <c r="FG21" s="18">
        <f t="shared" si="25"/>
        <v>0</v>
      </c>
      <c r="FH21" s="18">
        <f t="shared" si="25"/>
        <v>0</v>
      </c>
      <c r="FI21" s="18">
        <f t="shared" si="25"/>
        <v>0</v>
      </c>
      <c r="FJ21" s="18">
        <f t="shared" si="25"/>
        <v>0</v>
      </c>
      <c r="FK21" s="18">
        <f t="shared" si="25"/>
        <v>0</v>
      </c>
      <c r="FL21" s="18">
        <f t="shared" si="25"/>
        <v>0</v>
      </c>
      <c r="FM21" s="18">
        <f t="shared" si="25"/>
        <v>0</v>
      </c>
      <c r="FN21" s="18">
        <f t="shared" si="25"/>
        <v>0</v>
      </c>
      <c r="FO21" s="18">
        <f t="shared" si="25"/>
        <v>0</v>
      </c>
      <c r="FP21" s="18">
        <f t="shared" si="25"/>
        <v>0</v>
      </c>
      <c r="FQ21" s="18">
        <f t="shared" si="25"/>
        <v>0</v>
      </c>
      <c r="FR21" s="18">
        <f t="shared" si="25"/>
        <v>0</v>
      </c>
      <c r="FS21" s="18">
        <f t="shared" si="25"/>
        <v>0</v>
      </c>
      <c r="FT21" s="18">
        <f t="shared" si="25"/>
        <v>0</v>
      </c>
      <c r="FU21" s="18">
        <f t="shared" si="25"/>
        <v>0</v>
      </c>
      <c r="FV21" s="18">
        <f t="shared" si="25"/>
        <v>0</v>
      </c>
      <c r="FW21" s="18">
        <f t="shared" si="25"/>
        <v>0</v>
      </c>
      <c r="FX21" s="18">
        <f t="shared" si="25"/>
        <v>0</v>
      </c>
      <c r="FY21" s="18">
        <f t="shared" si="25"/>
        <v>0</v>
      </c>
      <c r="FZ21" s="18">
        <f t="shared" si="25"/>
        <v>0</v>
      </c>
      <c r="GA21" s="18">
        <f t="shared" si="25"/>
        <v>0</v>
      </c>
      <c r="GB21" s="18">
        <f t="shared" si="25"/>
        <v>0</v>
      </c>
      <c r="GC21" s="18">
        <f t="shared" si="25"/>
        <v>0</v>
      </c>
    </row>
    <row r="22" spans="2:185" ht="17.100000000000001" customHeight="1" outlineLevel="1">
      <c r="B22" s="25"/>
      <c r="C22" s="40" t="s">
        <v>37</v>
      </c>
      <c r="D22" s="26" t="s">
        <v>19</v>
      </c>
      <c r="E22" s="27">
        <f>F20</f>
        <v>45348</v>
      </c>
      <c r="F22" s="27">
        <f>E22+2</f>
        <v>45350</v>
      </c>
      <c r="G22" s="28">
        <f t="shared" si="26"/>
        <v>3</v>
      </c>
      <c r="H22" s="29"/>
      <c r="I22" s="30"/>
      <c r="J22" s="31" t="s">
        <v>38</v>
      </c>
      <c r="K22" s="18">
        <f t="shared" si="8"/>
        <v>0</v>
      </c>
      <c r="L22" s="18">
        <f t="shared" si="8"/>
        <v>0</v>
      </c>
      <c r="M22" s="18">
        <f t="shared" si="8"/>
        <v>0</v>
      </c>
      <c r="N22" s="18">
        <f t="shared" si="8"/>
        <v>0</v>
      </c>
      <c r="O22" s="18">
        <f t="shared" si="8"/>
        <v>0</v>
      </c>
      <c r="P22" s="18">
        <f t="shared" si="8"/>
        <v>0</v>
      </c>
      <c r="Q22" s="18">
        <f t="shared" si="8"/>
        <v>0</v>
      </c>
      <c r="R22" s="18">
        <f t="shared" si="8"/>
        <v>0</v>
      </c>
      <c r="S22" s="18">
        <f t="shared" si="8"/>
        <v>0</v>
      </c>
      <c r="T22" s="18">
        <f t="shared" si="8"/>
        <v>0</v>
      </c>
      <c r="U22" s="18">
        <f t="shared" si="8"/>
        <v>0</v>
      </c>
      <c r="V22" s="18">
        <f t="shared" si="8"/>
        <v>0</v>
      </c>
      <c r="W22" s="18">
        <f t="shared" si="8"/>
        <v>0</v>
      </c>
      <c r="X22" s="18">
        <f t="shared" si="8"/>
        <v>0</v>
      </c>
      <c r="Y22" s="18">
        <f t="shared" si="8"/>
        <v>0</v>
      </c>
      <c r="Z22" s="18">
        <f t="shared" si="8"/>
        <v>0</v>
      </c>
      <c r="AA22" s="18">
        <f t="shared" si="9"/>
        <v>0</v>
      </c>
      <c r="AB22" s="18">
        <f t="shared" si="9"/>
        <v>0</v>
      </c>
      <c r="AC22" s="18">
        <f t="shared" si="9"/>
        <v>0</v>
      </c>
      <c r="AD22" s="18">
        <f t="shared" si="9"/>
        <v>0</v>
      </c>
      <c r="AE22" s="18">
        <f t="shared" si="9"/>
        <v>0</v>
      </c>
      <c r="AF22" s="18">
        <f t="shared" si="9"/>
        <v>0</v>
      </c>
      <c r="AG22" s="18">
        <f t="shared" si="9"/>
        <v>0</v>
      </c>
      <c r="AH22" s="18">
        <f t="shared" si="9"/>
        <v>0</v>
      </c>
      <c r="AI22" s="18">
        <f t="shared" si="9"/>
        <v>0</v>
      </c>
      <c r="AJ22" s="18">
        <f t="shared" si="9"/>
        <v>0</v>
      </c>
      <c r="AK22" s="18">
        <f t="shared" si="9"/>
        <v>0</v>
      </c>
      <c r="AL22" s="18">
        <f t="shared" si="9"/>
        <v>0</v>
      </c>
      <c r="AM22" s="18">
        <f t="shared" si="9"/>
        <v>1</v>
      </c>
      <c r="AN22" s="18">
        <f t="shared" si="9"/>
        <v>1</v>
      </c>
      <c r="AO22" s="18">
        <f t="shared" si="9"/>
        <v>1</v>
      </c>
      <c r="AP22" s="18">
        <f t="shared" si="9"/>
        <v>0</v>
      </c>
      <c r="AQ22" s="18">
        <f t="shared" si="30"/>
        <v>0</v>
      </c>
      <c r="AR22" s="18">
        <f t="shared" si="30"/>
        <v>0</v>
      </c>
      <c r="AS22" s="18">
        <f t="shared" si="30"/>
        <v>0</v>
      </c>
      <c r="AT22" s="18">
        <f t="shared" si="30"/>
        <v>0</v>
      </c>
      <c r="AU22" s="18">
        <f t="shared" si="30"/>
        <v>0</v>
      </c>
      <c r="AV22" s="18">
        <f t="shared" si="30"/>
        <v>0</v>
      </c>
      <c r="AW22" s="18">
        <f t="shared" si="30"/>
        <v>0</v>
      </c>
      <c r="AX22" s="18">
        <f t="shared" si="30"/>
        <v>0</v>
      </c>
      <c r="AY22" s="18">
        <f t="shared" si="30"/>
        <v>0</v>
      </c>
      <c r="AZ22" s="18">
        <f t="shared" si="30"/>
        <v>0</v>
      </c>
      <c r="BA22" s="18">
        <f t="shared" si="30"/>
        <v>0</v>
      </c>
      <c r="BB22" s="18">
        <f t="shared" si="30"/>
        <v>0</v>
      </c>
      <c r="BC22" s="18">
        <f t="shared" si="30"/>
        <v>0</v>
      </c>
      <c r="BD22" s="18">
        <f t="shared" si="30"/>
        <v>0</v>
      </c>
      <c r="BE22" s="18">
        <f t="shared" si="30"/>
        <v>0</v>
      </c>
      <c r="BF22" s="18">
        <f t="shared" si="30"/>
        <v>0</v>
      </c>
      <c r="BG22" s="18">
        <f t="shared" si="30"/>
        <v>0</v>
      </c>
      <c r="BH22" s="18">
        <f t="shared" si="30"/>
        <v>0</v>
      </c>
      <c r="BI22" s="18">
        <f t="shared" si="30"/>
        <v>0</v>
      </c>
      <c r="BJ22" s="18">
        <f t="shared" si="30"/>
        <v>0</v>
      </c>
      <c r="BK22" s="18">
        <f t="shared" si="30"/>
        <v>0</v>
      </c>
      <c r="BL22" s="18">
        <f t="shared" si="30"/>
        <v>0</v>
      </c>
      <c r="BM22" s="18">
        <f t="shared" si="30"/>
        <v>0</v>
      </c>
      <c r="BN22" s="18">
        <f t="shared" si="30"/>
        <v>0</v>
      </c>
      <c r="BO22" s="18">
        <f t="shared" si="30"/>
        <v>0</v>
      </c>
      <c r="BP22" s="18">
        <f t="shared" si="30"/>
        <v>0</v>
      </c>
      <c r="BQ22" s="18">
        <f t="shared" si="30"/>
        <v>0</v>
      </c>
      <c r="BR22" s="18">
        <f t="shared" si="30"/>
        <v>0</v>
      </c>
      <c r="BS22" s="18">
        <f t="shared" si="30"/>
        <v>0</v>
      </c>
      <c r="BT22" s="18">
        <f t="shared" si="30"/>
        <v>0</v>
      </c>
      <c r="BU22" s="18">
        <f t="shared" si="30"/>
        <v>0</v>
      </c>
      <c r="BV22" s="18">
        <f t="shared" si="30"/>
        <v>0</v>
      </c>
      <c r="BW22" s="18">
        <f t="shared" si="30"/>
        <v>0</v>
      </c>
      <c r="BX22" s="18">
        <f t="shared" si="30"/>
        <v>0</v>
      </c>
      <c r="BY22" s="18">
        <f t="shared" si="30"/>
        <v>0</v>
      </c>
      <c r="BZ22" s="18">
        <f t="shared" si="30"/>
        <v>0</v>
      </c>
      <c r="CA22" s="18">
        <f t="shared" si="30"/>
        <v>0</v>
      </c>
      <c r="CB22" s="18">
        <f t="shared" si="30"/>
        <v>0</v>
      </c>
      <c r="CC22" s="18">
        <f t="shared" si="30"/>
        <v>0</v>
      </c>
      <c r="CD22" s="18">
        <f t="shared" si="30"/>
        <v>0</v>
      </c>
      <c r="CE22" s="18">
        <f t="shared" si="30"/>
        <v>0</v>
      </c>
      <c r="CF22" s="18">
        <f t="shared" si="30"/>
        <v>0</v>
      </c>
      <c r="CG22" s="18">
        <f t="shared" si="30"/>
        <v>0</v>
      </c>
      <c r="CH22" s="18">
        <f t="shared" si="30"/>
        <v>0</v>
      </c>
      <c r="CI22" s="18">
        <f t="shared" si="30"/>
        <v>0</v>
      </c>
      <c r="CJ22" s="18">
        <f t="shared" si="30"/>
        <v>0</v>
      </c>
      <c r="CK22" s="18">
        <f t="shared" si="30"/>
        <v>0</v>
      </c>
      <c r="CL22" s="18">
        <f t="shared" si="30"/>
        <v>0</v>
      </c>
      <c r="CM22" s="18">
        <f t="shared" si="30"/>
        <v>0</v>
      </c>
      <c r="CN22" s="18">
        <f t="shared" si="30"/>
        <v>0</v>
      </c>
      <c r="CO22" s="18">
        <f t="shared" si="30"/>
        <v>0</v>
      </c>
      <c r="CP22" s="18">
        <f t="shared" si="30"/>
        <v>0</v>
      </c>
      <c r="CQ22" s="18">
        <f t="shared" si="30"/>
        <v>0</v>
      </c>
      <c r="CR22" s="18">
        <f t="shared" si="30"/>
        <v>0</v>
      </c>
      <c r="CS22" s="18">
        <f t="shared" si="30"/>
        <v>0</v>
      </c>
      <c r="CT22" s="18">
        <f t="shared" si="30"/>
        <v>0</v>
      </c>
      <c r="CU22" s="18">
        <f t="shared" si="30"/>
        <v>0</v>
      </c>
      <c r="CV22" s="18">
        <f t="shared" si="30"/>
        <v>0</v>
      </c>
      <c r="CW22" s="18">
        <f t="shared" si="30"/>
        <v>0</v>
      </c>
      <c r="CX22" s="18">
        <f t="shared" si="30"/>
        <v>0</v>
      </c>
      <c r="CY22" s="18">
        <f t="shared" si="30"/>
        <v>0</v>
      </c>
      <c r="CZ22" s="18">
        <f t="shared" si="30"/>
        <v>0</v>
      </c>
      <c r="DA22" s="18">
        <f t="shared" si="30"/>
        <v>0</v>
      </c>
      <c r="DB22" s="18">
        <f t="shared" si="30"/>
        <v>0</v>
      </c>
      <c r="DC22" s="18">
        <f t="shared" si="29"/>
        <v>0</v>
      </c>
      <c r="DD22" s="18">
        <f t="shared" si="29"/>
        <v>0</v>
      </c>
      <c r="DE22" s="18">
        <f t="shared" si="29"/>
        <v>0</v>
      </c>
      <c r="DF22" s="18">
        <f t="shared" si="29"/>
        <v>0</v>
      </c>
      <c r="DG22" s="18">
        <f t="shared" si="29"/>
        <v>0</v>
      </c>
      <c r="DH22" s="18">
        <f t="shared" si="29"/>
        <v>0</v>
      </c>
      <c r="DI22" s="18">
        <f t="shared" si="29"/>
        <v>0</v>
      </c>
      <c r="DJ22" s="18">
        <f t="shared" si="29"/>
        <v>0</v>
      </c>
      <c r="DK22" s="18">
        <f t="shared" si="29"/>
        <v>0</v>
      </c>
      <c r="DL22" s="18">
        <f t="shared" si="29"/>
        <v>0</v>
      </c>
      <c r="DM22" s="18">
        <f t="shared" si="29"/>
        <v>0</v>
      </c>
      <c r="DN22" s="18">
        <f t="shared" si="29"/>
        <v>0</v>
      </c>
      <c r="DO22" s="18">
        <f t="shared" si="29"/>
        <v>0</v>
      </c>
      <c r="DP22" s="18">
        <f t="shared" si="29"/>
        <v>0</v>
      </c>
      <c r="DQ22" s="18">
        <f t="shared" si="29"/>
        <v>0</v>
      </c>
      <c r="DR22" s="18">
        <f t="shared" si="29"/>
        <v>0</v>
      </c>
      <c r="DS22" s="18">
        <f t="shared" si="29"/>
        <v>0</v>
      </c>
      <c r="DT22" s="18">
        <f t="shared" si="29"/>
        <v>0</v>
      </c>
      <c r="DU22" s="18">
        <f t="shared" si="29"/>
        <v>0</v>
      </c>
      <c r="DV22" s="18">
        <f t="shared" si="29"/>
        <v>0</v>
      </c>
      <c r="DW22" s="18">
        <f t="shared" si="29"/>
        <v>0</v>
      </c>
      <c r="DX22" s="18">
        <f t="shared" si="29"/>
        <v>0</v>
      </c>
      <c r="DY22" s="18">
        <f t="shared" si="29"/>
        <v>0</v>
      </c>
      <c r="DZ22" s="18">
        <f t="shared" si="29"/>
        <v>0</v>
      </c>
      <c r="EA22" s="18">
        <f t="shared" si="29"/>
        <v>0</v>
      </c>
      <c r="EB22" s="18">
        <f t="shared" si="29"/>
        <v>0</v>
      </c>
      <c r="EC22" s="18">
        <f t="shared" si="29"/>
        <v>0</v>
      </c>
      <c r="ED22" s="18">
        <f t="shared" si="29"/>
        <v>0</v>
      </c>
      <c r="EE22" s="18">
        <f t="shared" si="29"/>
        <v>0</v>
      </c>
      <c r="EF22" s="18">
        <f t="shared" si="29"/>
        <v>0</v>
      </c>
      <c r="EG22" s="18">
        <f t="shared" si="29"/>
        <v>0</v>
      </c>
      <c r="EH22" s="18">
        <f t="shared" si="29"/>
        <v>0</v>
      </c>
      <c r="EI22" s="18">
        <f t="shared" si="29"/>
        <v>0</v>
      </c>
      <c r="EJ22" s="18">
        <f t="shared" si="29"/>
        <v>0</v>
      </c>
      <c r="EK22" s="18">
        <f t="shared" si="29"/>
        <v>0</v>
      </c>
      <c r="EL22" s="18">
        <f t="shared" si="29"/>
        <v>0</v>
      </c>
      <c r="EM22" s="18">
        <f t="shared" si="29"/>
        <v>0</v>
      </c>
      <c r="EN22" s="18">
        <f t="shared" si="29"/>
        <v>0</v>
      </c>
      <c r="EO22" s="18">
        <f t="shared" si="29"/>
        <v>0</v>
      </c>
      <c r="EP22" s="18">
        <f t="shared" si="29"/>
        <v>0</v>
      </c>
      <c r="EQ22" s="18">
        <f t="shared" si="29"/>
        <v>0</v>
      </c>
      <c r="ER22" s="18">
        <f t="shared" si="29"/>
        <v>0</v>
      </c>
      <c r="ES22" s="18">
        <f t="shared" si="29"/>
        <v>0</v>
      </c>
      <c r="ET22" s="18">
        <f t="shared" si="29"/>
        <v>0</v>
      </c>
      <c r="EU22" s="18">
        <f t="shared" si="25"/>
        <v>0</v>
      </c>
      <c r="EV22" s="18">
        <f t="shared" si="25"/>
        <v>0</v>
      </c>
      <c r="EW22" s="18">
        <f t="shared" si="25"/>
        <v>0</v>
      </c>
      <c r="EX22" s="18">
        <f t="shared" si="25"/>
        <v>0</v>
      </c>
      <c r="EY22" s="18">
        <f t="shared" si="25"/>
        <v>0</v>
      </c>
      <c r="EZ22" s="18">
        <f t="shared" si="25"/>
        <v>0</v>
      </c>
      <c r="FA22" s="18">
        <f t="shared" si="25"/>
        <v>0</v>
      </c>
      <c r="FB22" s="18">
        <f t="shared" si="25"/>
        <v>0</v>
      </c>
      <c r="FC22" s="18">
        <f t="shared" si="25"/>
        <v>0</v>
      </c>
      <c r="FD22" s="18">
        <f t="shared" si="25"/>
        <v>0</v>
      </c>
      <c r="FE22" s="18">
        <f t="shared" si="25"/>
        <v>0</v>
      </c>
      <c r="FF22" s="18">
        <f t="shared" si="25"/>
        <v>0</v>
      </c>
      <c r="FG22" s="18">
        <f t="shared" si="25"/>
        <v>0</v>
      </c>
      <c r="FH22" s="18">
        <f t="shared" si="25"/>
        <v>0</v>
      </c>
      <c r="FI22" s="18">
        <f t="shared" si="25"/>
        <v>0</v>
      </c>
      <c r="FJ22" s="18">
        <f t="shared" si="25"/>
        <v>0</v>
      </c>
      <c r="FK22" s="18">
        <f t="shared" si="25"/>
        <v>0</v>
      </c>
      <c r="FL22" s="18">
        <f t="shared" si="25"/>
        <v>0</v>
      </c>
      <c r="FM22" s="18">
        <f t="shared" si="25"/>
        <v>0</v>
      </c>
      <c r="FN22" s="18">
        <f t="shared" si="25"/>
        <v>0</v>
      </c>
      <c r="FO22" s="18">
        <f t="shared" si="25"/>
        <v>0</v>
      </c>
      <c r="FP22" s="18">
        <f t="shared" si="25"/>
        <v>0</v>
      </c>
      <c r="FQ22" s="18">
        <f t="shared" si="25"/>
        <v>0</v>
      </c>
      <c r="FR22" s="18">
        <f t="shared" si="25"/>
        <v>0</v>
      </c>
      <c r="FS22" s="18">
        <f t="shared" si="25"/>
        <v>0</v>
      </c>
      <c r="FT22" s="18">
        <f t="shared" si="25"/>
        <v>0</v>
      </c>
      <c r="FU22" s="18">
        <f t="shared" si="25"/>
        <v>0</v>
      </c>
      <c r="FV22" s="18">
        <f t="shared" si="25"/>
        <v>0</v>
      </c>
      <c r="FW22" s="18">
        <f t="shared" si="25"/>
        <v>0</v>
      </c>
      <c r="FX22" s="18">
        <f t="shared" si="25"/>
        <v>0</v>
      </c>
      <c r="FY22" s="18">
        <f t="shared" si="25"/>
        <v>0</v>
      </c>
      <c r="FZ22" s="18">
        <f t="shared" si="25"/>
        <v>0</v>
      </c>
      <c r="GA22" s="18">
        <f t="shared" si="25"/>
        <v>0</v>
      </c>
      <c r="GB22" s="18">
        <f t="shared" si="25"/>
        <v>0</v>
      </c>
      <c r="GC22" s="18">
        <f t="shared" si="25"/>
        <v>0</v>
      </c>
    </row>
    <row r="23" spans="2:185" ht="17.100000000000001" customHeight="1" outlineLevel="1">
      <c r="B23" s="25"/>
      <c r="C23" s="40" t="s">
        <v>39</v>
      </c>
      <c r="D23" s="26" t="s">
        <v>25</v>
      </c>
      <c r="E23" s="27">
        <f>F22+1</f>
        <v>45351</v>
      </c>
      <c r="F23" s="27">
        <f>E23+1</f>
        <v>45352</v>
      </c>
      <c r="G23" s="28">
        <f t="shared" si="26"/>
        <v>2</v>
      </c>
      <c r="H23" s="29"/>
      <c r="I23" s="30"/>
      <c r="J23" s="31" t="s">
        <v>23</v>
      </c>
      <c r="K23" s="18">
        <f t="shared" si="8"/>
        <v>0</v>
      </c>
      <c r="L23" s="18">
        <f t="shared" si="8"/>
        <v>0</v>
      </c>
      <c r="M23" s="18">
        <f t="shared" si="8"/>
        <v>0</v>
      </c>
      <c r="N23" s="18">
        <f t="shared" si="8"/>
        <v>0</v>
      </c>
      <c r="O23" s="18">
        <f t="shared" si="8"/>
        <v>0</v>
      </c>
      <c r="P23" s="18">
        <f t="shared" si="8"/>
        <v>0</v>
      </c>
      <c r="Q23" s="18">
        <f t="shared" si="8"/>
        <v>0</v>
      </c>
      <c r="R23" s="18">
        <f t="shared" si="8"/>
        <v>0</v>
      </c>
      <c r="S23" s="18">
        <f t="shared" si="8"/>
        <v>0</v>
      </c>
      <c r="T23" s="18">
        <f t="shared" si="8"/>
        <v>0</v>
      </c>
      <c r="U23" s="18">
        <f t="shared" si="8"/>
        <v>0</v>
      </c>
      <c r="V23" s="18">
        <f t="shared" si="8"/>
        <v>0</v>
      </c>
      <c r="W23" s="18">
        <f t="shared" si="8"/>
        <v>0</v>
      </c>
      <c r="X23" s="18">
        <f t="shared" si="8"/>
        <v>0</v>
      </c>
      <c r="Y23" s="18">
        <f t="shared" si="8"/>
        <v>0</v>
      </c>
      <c r="Z23" s="18">
        <f t="shared" si="8"/>
        <v>0</v>
      </c>
      <c r="AA23" s="18">
        <f t="shared" si="9"/>
        <v>0</v>
      </c>
      <c r="AB23" s="18">
        <f t="shared" si="9"/>
        <v>0</v>
      </c>
      <c r="AC23" s="18">
        <f t="shared" si="9"/>
        <v>0</v>
      </c>
      <c r="AD23" s="18">
        <f t="shared" si="9"/>
        <v>0</v>
      </c>
      <c r="AE23" s="18">
        <f t="shared" si="9"/>
        <v>0</v>
      </c>
      <c r="AF23" s="18">
        <f t="shared" si="9"/>
        <v>0</v>
      </c>
      <c r="AG23" s="18">
        <f t="shared" si="9"/>
        <v>0</v>
      </c>
      <c r="AH23" s="18">
        <f t="shared" si="9"/>
        <v>0</v>
      </c>
      <c r="AI23" s="18">
        <f t="shared" si="9"/>
        <v>0</v>
      </c>
      <c r="AJ23" s="18">
        <f t="shared" si="9"/>
        <v>0</v>
      </c>
      <c r="AK23" s="18">
        <f t="shared" si="9"/>
        <v>0</v>
      </c>
      <c r="AL23" s="18">
        <f t="shared" si="9"/>
        <v>0</v>
      </c>
      <c r="AM23" s="18">
        <f t="shared" si="9"/>
        <v>0</v>
      </c>
      <c r="AN23" s="18">
        <f t="shared" si="9"/>
        <v>0</v>
      </c>
      <c r="AO23" s="18">
        <f t="shared" si="9"/>
        <v>0</v>
      </c>
      <c r="AP23" s="18">
        <f t="shared" si="9"/>
        <v>1</v>
      </c>
      <c r="AQ23" s="18">
        <f t="shared" si="30"/>
        <v>1</v>
      </c>
      <c r="AR23" s="18">
        <f t="shared" si="30"/>
        <v>0</v>
      </c>
      <c r="AS23" s="18">
        <f t="shared" si="30"/>
        <v>0</v>
      </c>
      <c r="AT23" s="18">
        <f t="shared" si="30"/>
        <v>0</v>
      </c>
      <c r="AU23" s="18">
        <f t="shared" si="30"/>
        <v>0</v>
      </c>
      <c r="AV23" s="18">
        <f t="shared" si="30"/>
        <v>0</v>
      </c>
      <c r="AW23" s="18">
        <f t="shared" si="30"/>
        <v>0</v>
      </c>
      <c r="AX23" s="18">
        <f t="shared" si="30"/>
        <v>0</v>
      </c>
      <c r="AY23" s="18">
        <f t="shared" si="30"/>
        <v>0</v>
      </c>
      <c r="AZ23" s="18">
        <f t="shared" si="30"/>
        <v>0</v>
      </c>
      <c r="BA23" s="18">
        <f t="shared" si="30"/>
        <v>0</v>
      </c>
      <c r="BB23" s="18">
        <f t="shared" si="30"/>
        <v>0</v>
      </c>
      <c r="BC23" s="18">
        <f t="shared" si="30"/>
        <v>0</v>
      </c>
      <c r="BD23" s="18">
        <f t="shared" si="30"/>
        <v>0</v>
      </c>
      <c r="BE23" s="18">
        <f t="shared" si="30"/>
        <v>0</v>
      </c>
      <c r="BF23" s="18">
        <f t="shared" si="30"/>
        <v>0</v>
      </c>
      <c r="BG23" s="18">
        <f t="shared" si="30"/>
        <v>0</v>
      </c>
      <c r="BH23" s="18">
        <f t="shared" si="30"/>
        <v>0</v>
      </c>
      <c r="BI23" s="18">
        <f t="shared" si="30"/>
        <v>0</v>
      </c>
      <c r="BJ23" s="18">
        <f t="shared" si="30"/>
        <v>0</v>
      </c>
      <c r="BK23" s="18">
        <f t="shared" si="30"/>
        <v>0</v>
      </c>
      <c r="BL23" s="18">
        <f t="shared" si="30"/>
        <v>0</v>
      </c>
      <c r="BM23" s="18">
        <f t="shared" si="30"/>
        <v>0</v>
      </c>
      <c r="BN23" s="18">
        <f t="shared" si="30"/>
        <v>0</v>
      </c>
      <c r="BO23" s="18">
        <f t="shared" si="30"/>
        <v>0</v>
      </c>
      <c r="BP23" s="18">
        <f t="shared" si="30"/>
        <v>0</v>
      </c>
      <c r="BQ23" s="18">
        <f t="shared" si="30"/>
        <v>0</v>
      </c>
      <c r="BR23" s="18">
        <f t="shared" si="30"/>
        <v>0</v>
      </c>
      <c r="BS23" s="18">
        <f t="shared" si="30"/>
        <v>0</v>
      </c>
      <c r="BT23" s="18">
        <f t="shared" si="30"/>
        <v>0</v>
      </c>
      <c r="BU23" s="18">
        <f t="shared" si="30"/>
        <v>0</v>
      </c>
      <c r="BV23" s="18">
        <f t="shared" si="30"/>
        <v>0</v>
      </c>
      <c r="BW23" s="18">
        <f t="shared" si="30"/>
        <v>0</v>
      </c>
      <c r="BX23" s="18">
        <f t="shared" si="30"/>
        <v>0</v>
      </c>
      <c r="BY23" s="18">
        <f t="shared" si="30"/>
        <v>0</v>
      </c>
      <c r="BZ23" s="18">
        <f t="shared" si="30"/>
        <v>0</v>
      </c>
      <c r="CA23" s="18">
        <f t="shared" si="30"/>
        <v>0</v>
      </c>
      <c r="CB23" s="18">
        <f t="shared" si="30"/>
        <v>0</v>
      </c>
      <c r="CC23" s="18">
        <f t="shared" si="30"/>
        <v>0</v>
      </c>
      <c r="CD23" s="18">
        <f t="shared" si="30"/>
        <v>0</v>
      </c>
      <c r="CE23" s="18">
        <f t="shared" si="30"/>
        <v>0</v>
      </c>
      <c r="CF23" s="18">
        <f t="shared" si="30"/>
        <v>0</v>
      </c>
      <c r="CG23" s="18">
        <f t="shared" si="30"/>
        <v>0</v>
      </c>
      <c r="CH23" s="18">
        <f t="shared" si="30"/>
        <v>0</v>
      </c>
      <c r="CI23" s="18">
        <f t="shared" si="30"/>
        <v>0</v>
      </c>
      <c r="CJ23" s="18">
        <f t="shared" si="30"/>
        <v>0</v>
      </c>
      <c r="CK23" s="18">
        <f t="shared" si="30"/>
        <v>0</v>
      </c>
      <c r="CL23" s="18">
        <f t="shared" si="30"/>
        <v>0</v>
      </c>
      <c r="CM23" s="18">
        <f t="shared" si="30"/>
        <v>0</v>
      </c>
      <c r="CN23" s="18">
        <f t="shared" si="30"/>
        <v>0</v>
      </c>
      <c r="CO23" s="18">
        <f t="shared" si="30"/>
        <v>0</v>
      </c>
      <c r="CP23" s="18">
        <f t="shared" si="30"/>
        <v>0</v>
      </c>
      <c r="CQ23" s="18">
        <f t="shared" si="30"/>
        <v>0</v>
      </c>
      <c r="CR23" s="18">
        <f t="shared" si="30"/>
        <v>0</v>
      </c>
      <c r="CS23" s="18">
        <f t="shared" si="30"/>
        <v>0</v>
      </c>
      <c r="CT23" s="18">
        <f t="shared" si="30"/>
        <v>0</v>
      </c>
      <c r="CU23" s="18">
        <f t="shared" si="30"/>
        <v>0</v>
      </c>
      <c r="CV23" s="18">
        <f t="shared" si="30"/>
        <v>0</v>
      </c>
      <c r="CW23" s="18">
        <f t="shared" si="30"/>
        <v>0</v>
      </c>
      <c r="CX23" s="18">
        <f t="shared" si="30"/>
        <v>0</v>
      </c>
      <c r="CY23" s="18">
        <f t="shared" si="30"/>
        <v>0</v>
      </c>
      <c r="CZ23" s="18">
        <f t="shared" si="30"/>
        <v>0</v>
      </c>
      <c r="DA23" s="18">
        <f t="shared" si="30"/>
        <v>0</v>
      </c>
      <c r="DB23" s="18">
        <f t="shared" si="30"/>
        <v>0</v>
      </c>
      <c r="DC23" s="18">
        <f t="shared" si="29"/>
        <v>0</v>
      </c>
      <c r="DD23" s="18">
        <f t="shared" si="29"/>
        <v>0</v>
      </c>
      <c r="DE23" s="18">
        <f t="shared" si="29"/>
        <v>0</v>
      </c>
      <c r="DF23" s="18">
        <f t="shared" si="29"/>
        <v>0</v>
      </c>
      <c r="DG23" s="18">
        <f t="shared" si="29"/>
        <v>0</v>
      </c>
      <c r="DH23" s="18">
        <f t="shared" si="29"/>
        <v>0</v>
      </c>
      <c r="DI23" s="18">
        <f t="shared" si="29"/>
        <v>0</v>
      </c>
      <c r="DJ23" s="18">
        <f t="shared" si="29"/>
        <v>0</v>
      </c>
      <c r="DK23" s="18">
        <f t="shared" si="29"/>
        <v>0</v>
      </c>
      <c r="DL23" s="18">
        <f t="shared" si="29"/>
        <v>0</v>
      </c>
      <c r="DM23" s="18">
        <f t="shared" si="29"/>
        <v>0</v>
      </c>
      <c r="DN23" s="18">
        <f t="shared" si="29"/>
        <v>0</v>
      </c>
      <c r="DO23" s="18">
        <f t="shared" si="29"/>
        <v>0</v>
      </c>
      <c r="DP23" s="18">
        <f t="shared" si="29"/>
        <v>0</v>
      </c>
      <c r="DQ23" s="18">
        <f t="shared" si="29"/>
        <v>0</v>
      </c>
      <c r="DR23" s="18">
        <f t="shared" si="29"/>
        <v>0</v>
      </c>
      <c r="DS23" s="18">
        <f t="shared" si="29"/>
        <v>0</v>
      </c>
      <c r="DT23" s="18">
        <f t="shared" si="29"/>
        <v>0</v>
      </c>
      <c r="DU23" s="18">
        <f t="shared" si="29"/>
        <v>0</v>
      </c>
      <c r="DV23" s="18">
        <f t="shared" si="29"/>
        <v>0</v>
      </c>
      <c r="DW23" s="18">
        <f t="shared" si="29"/>
        <v>0</v>
      </c>
      <c r="DX23" s="18">
        <f t="shared" si="29"/>
        <v>0</v>
      </c>
      <c r="DY23" s="18">
        <f t="shared" si="29"/>
        <v>0</v>
      </c>
      <c r="DZ23" s="18">
        <f t="shared" si="29"/>
        <v>0</v>
      </c>
      <c r="EA23" s="18">
        <f t="shared" si="29"/>
        <v>0</v>
      </c>
      <c r="EB23" s="18">
        <f t="shared" si="29"/>
        <v>0</v>
      </c>
      <c r="EC23" s="18">
        <f t="shared" si="29"/>
        <v>0</v>
      </c>
      <c r="ED23" s="18">
        <f t="shared" si="29"/>
        <v>0</v>
      </c>
      <c r="EE23" s="18">
        <f t="shared" si="29"/>
        <v>0</v>
      </c>
      <c r="EF23" s="18">
        <f t="shared" si="29"/>
        <v>0</v>
      </c>
      <c r="EG23" s="18">
        <f t="shared" si="29"/>
        <v>0</v>
      </c>
      <c r="EH23" s="18">
        <f t="shared" si="29"/>
        <v>0</v>
      </c>
      <c r="EI23" s="18">
        <f t="shared" si="29"/>
        <v>0</v>
      </c>
      <c r="EJ23" s="18">
        <f t="shared" si="29"/>
        <v>0</v>
      </c>
      <c r="EK23" s="18">
        <f t="shared" si="29"/>
        <v>0</v>
      </c>
      <c r="EL23" s="18">
        <f t="shared" si="29"/>
        <v>0</v>
      </c>
      <c r="EM23" s="18">
        <f t="shared" si="29"/>
        <v>0</v>
      </c>
      <c r="EN23" s="18">
        <f t="shared" si="29"/>
        <v>0</v>
      </c>
      <c r="EO23" s="18">
        <f t="shared" si="29"/>
        <v>0</v>
      </c>
      <c r="EP23" s="18">
        <f t="shared" si="29"/>
        <v>0</v>
      </c>
      <c r="EQ23" s="18">
        <f t="shared" si="29"/>
        <v>0</v>
      </c>
      <c r="ER23" s="18">
        <f t="shared" si="29"/>
        <v>0</v>
      </c>
      <c r="ES23" s="18">
        <f t="shared" si="29"/>
        <v>0</v>
      </c>
      <c r="ET23" s="18">
        <f t="shared" si="29"/>
        <v>0</v>
      </c>
      <c r="EU23" s="18">
        <f t="shared" si="25"/>
        <v>0</v>
      </c>
      <c r="EV23" s="18">
        <f t="shared" si="25"/>
        <v>0</v>
      </c>
      <c r="EW23" s="18">
        <f t="shared" si="25"/>
        <v>0</v>
      </c>
      <c r="EX23" s="18">
        <f t="shared" si="25"/>
        <v>0</v>
      </c>
      <c r="EY23" s="18">
        <f t="shared" si="25"/>
        <v>0</v>
      </c>
      <c r="EZ23" s="18">
        <f t="shared" si="25"/>
        <v>0</v>
      </c>
      <c r="FA23" s="18">
        <f t="shared" si="25"/>
        <v>0</v>
      </c>
      <c r="FB23" s="18">
        <f t="shared" si="25"/>
        <v>0</v>
      </c>
      <c r="FC23" s="18">
        <f t="shared" si="25"/>
        <v>0</v>
      </c>
      <c r="FD23" s="18">
        <f t="shared" si="25"/>
        <v>0</v>
      </c>
      <c r="FE23" s="18">
        <f t="shared" si="25"/>
        <v>0</v>
      </c>
      <c r="FF23" s="18">
        <f t="shared" si="25"/>
        <v>0</v>
      </c>
      <c r="FG23" s="18">
        <f t="shared" si="25"/>
        <v>0</v>
      </c>
      <c r="FH23" s="18">
        <f t="shared" si="25"/>
        <v>0</v>
      </c>
      <c r="FI23" s="18">
        <f t="shared" si="25"/>
        <v>0</v>
      </c>
      <c r="FJ23" s="18">
        <f t="shared" si="25"/>
        <v>0</v>
      </c>
      <c r="FK23" s="18">
        <f t="shared" si="25"/>
        <v>0</v>
      </c>
      <c r="FL23" s="18">
        <f t="shared" si="25"/>
        <v>0</v>
      </c>
      <c r="FM23" s="18">
        <f t="shared" si="25"/>
        <v>0</v>
      </c>
      <c r="FN23" s="18">
        <f t="shared" si="25"/>
        <v>0</v>
      </c>
      <c r="FO23" s="18">
        <f t="shared" si="25"/>
        <v>0</v>
      </c>
      <c r="FP23" s="18">
        <f t="shared" si="25"/>
        <v>0</v>
      </c>
      <c r="FQ23" s="18">
        <f t="shared" si="25"/>
        <v>0</v>
      </c>
      <c r="FR23" s="18">
        <f t="shared" si="25"/>
        <v>0</v>
      </c>
      <c r="FS23" s="18">
        <f t="shared" si="25"/>
        <v>0</v>
      </c>
      <c r="FT23" s="18">
        <f t="shared" si="25"/>
        <v>0</v>
      </c>
      <c r="FU23" s="18">
        <f t="shared" si="25"/>
        <v>0</v>
      </c>
      <c r="FV23" s="18">
        <f t="shared" si="25"/>
        <v>0</v>
      </c>
      <c r="FW23" s="18">
        <f t="shared" si="25"/>
        <v>0</v>
      </c>
      <c r="FX23" s="18">
        <f t="shared" si="25"/>
        <v>0</v>
      </c>
      <c r="FY23" s="18">
        <f t="shared" si="25"/>
        <v>0</v>
      </c>
      <c r="FZ23" s="18">
        <f t="shared" si="25"/>
        <v>0</v>
      </c>
      <c r="GA23" s="18">
        <f t="shared" si="25"/>
        <v>0</v>
      </c>
      <c r="GB23" s="18">
        <f t="shared" si="25"/>
        <v>0</v>
      </c>
      <c r="GC23" s="18">
        <f t="shared" si="25"/>
        <v>0</v>
      </c>
    </row>
    <row r="24" spans="2:185" ht="17.100000000000001" customHeight="1" outlineLevel="1">
      <c r="B24" s="25"/>
      <c r="C24" s="40" t="s">
        <v>40</v>
      </c>
      <c r="D24" s="26" t="s">
        <v>19</v>
      </c>
      <c r="E24" s="27">
        <f>F23</f>
        <v>45352</v>
      </c>
      <c r="F24" s="27">
        <f>E24</f>
        <v>45352</v>
      </c>
      <c r="G24" s="28">
        <f t="shared" si="26"/>
        <v>1</v>
      </c>
      <c r="H24" s="29"/>
      <c r="I24" s="30"/>
      <c r="J24" s="31" t="str">
        <f t="shared" ca="1" si="27"/>
        <v>Expedite</v>
      </c>
      <c r="K24" s="18">
        <f t="shared" si="8"/>
        <v>0</v>
      </c>
      <c r="L24" s="18">
        <f t="shared" si="8"/>
        <v>0</v>
      </c>
      <c r="M24" s="18">
        <f t="shared" si="8"/>
        <v>0</v>
      </c>
      <c r="N24" s="18">
        <f t="shared" si="8"/>
        <v>0</v>
      </c>
      <c r="O24" s="18">
        <f t="shared" si="8"/>
        <v>0</v>
      </c>
      <c r="P24" s="18">
        <f t="shared" si="8"/>
        <v>0</v>
      </c>
      <c r="Q24" s="18">
        <f t="shared" si="8"/>
        <v>0</v>
      </c>
      <c r="R24" s="18">
        <f t="shared" si="8"/>
        <v>0</v>
      </c>
      <c r="S24" s="18">
        <f t="shared" si="8"/>
        <v>0</v>
      </c>
      <c r="T24" s="18">
        <f t="shared" si="8"/>
        <v>0</v>
      </c>
      <c r="U24" s="18">
        <f t="shared" si="8"/>
        <v>0</v>
      </c>
      <c r="V24" s="18">
        <f t="shared" si="8"/>
        <v>0</v>
      </c>
      <c r="W24" s="18">
        <f t="shared" si="8"/>
        <v>0</v>
      </c>
      <c r="X24" s="18">
        <f t="shared" si="8"/>
        <v>0</v>
      </c>
      <c r="Y24" s="18">
        <f t="shared" si="8"/>
        <v>0</v>
      </c>
      <c r="Z24" s="18">
        <f t="shared" ref="Z24" si="31">IF(AND($E24&lt;=Z$5,$F24&gt;=Z$5),1,0)</f>
        <v>0</v>
      </c>
      <c r="AA24" s="18">
        <f t="shared" si="9"/>
        <v>0</v>
      </c>
      <c r="AB24" s="18">
        <f t="shared" si="9"/>
        <v>0</v>
      </c>
      <c r="AC24" s="18">
        <f t="shared" si="9"/>
        <v>0</v>
      </c>
      <c r="AD24" s="18">
        <f t="shared" si="9"/>
        <v>0</v>
      </c>
      <c r="AE24" s="18">
        <f t="shared" si="9"/>
        <v>0</v>
      </c>
      <c r="AF24" s="18">
        <f t="shared" si="9"/>
        <v>0</v>
      </c>
      <c r="AG24" s="18">
        <f t="shared" si="9"/>
        <v>0</v>
      </c>
      <c r="AH24" s="18">
        <f t="shared" si="9"/>
        <v>0</v>
      </c>
      <c r="AI24" s="18">
        <f t="shared" si="9"/>
        <v>0</v>
      </c>
      <c r="AJ24" s="18">
        <f t="shared" si="9"/>
        <v>0</v>
      </c>
      <c r="AK24" s="18">
        <f t="shared" si="9"/>
        <v>0</v>
      </c>
      <c r="AL24" s="18">
        <f t="shared" si="9"/>
        <v>0</v>
      </c>
      <c r="AM24" s="18">
        <f t="shared" si="9"/>
        <v>0</v>
      </c>
      <c r="AN24" s="18">
        <f t="shared" si="9"/>
        <v>0</v>
      </c>
      <c r="AO24" s="18">
        <f t="shared" si="9"/>
        <v>0</v>
      </c>
      <c r="AP24" s="18">
        <f t="shared" ref="AP24:CK24" si="32">IF(AND($E24&lt;=AP$5,$F24&gt;=AP$5),1,0)</f>
        <v>0</v>
      </c>
      <c r="AQ24" s="18">
        <f t="shared" si="32"/>
        <v>1</v>
      </c>
      <c r="AR24" s="18">
        <f t="shared" si="32"/>
        <v>0</v>
      </c>
      <c r="AS24" s="18">
        <f t="shared" si="32"/>
        <v>0</v>
      </c>
      <c r="AT24" s="18">
        <f t="shared" si="32"/>
        <v>0</v>
      </c>
      <c r="AU24" s="18">
        <f t="shared" si="32"/>
        <v>0</v>
      </c>
      <c r="AV24" s="18">
        <f t="shared" si="32"/>
        <v>0</v>
      </c>
      <c r="AW24" s="18">
        <f t="shared" si="32"/>
        <v>0</v>
      </c>
      <c r="AX24" s="18">
        <f t="shared" si="32"/>
        <v>0</v>
      </c>
      <c r="AY24" s="18">
        <f t="shared" si="32"/>
        <v>0</v>
      </c>
      <c r="AZ24" s="18">
        <f t="shared" si="32"/>
        <v>0</v>
      </c>
      <c r="BA24" s="18">
        <f t="shared" si="32"/>
        <v>0</v>
      </c>
      <c r="BB24" s="18">
        <f t="shared" si="32"/>
        <v>0</v>
      </c>
      <c r="BC24" s="18">
        <f t="shared" si="32"/>
        <v>0</v>
      </c>
      <c r="BD24" s="18">
        <f t="shared" si="32"/>
        <v>0</v>
      </c>
      <c r="BE24" s="18">
        <f t="shared" si="32"/>
        <v>0</v>
      </c>
      <c r="BF24" s="18">
        <f t="shared" si="32"/>
        <v>0</v>
      </c>
      <c r="BG24" s="18">
        <f t="shared" si="32"/>
        <v>0</v>
      </c>
      <c r="BH24" s="18">
        <f t="shared" si="32"/>
        <v>0</v>
      </c>
      <c r="BI24" s="18">
        <f t="shared" si="32"/>
        <v>0</v>
      </c>
      <c r="BJ24" s="18">
        <f t="shared" si="32"/>
        <v>0</v>
      </c>
      <c r="BK24" s="18">
        <f t="shared" si="32"/>
        <v>0</v>
      </c>
      <c r="BL24" s="18">
        <f t="shared" si="32"/>
        <v>0</v>
      </c>
      <c r="BM24" s="18">
        <f t="shared" si="32"/>
        <v>0</v>
      </c>
      <c r="BN24" s="18">
        <f t="shared" si="32"/>
        <v>0</v>
      </c>
      <c r="BO24" s="18">
        <f t="shared" si="32"/>
        <v>0</v>
      </c>
      <c r="BP24" s="18">
        <f t="shared" si="32"/>
        <v>0</v>
      </c>
      <c r="BQ24" s="18">
        <f t="shared" si="32"/>
        <v>0</v>
      </c>
      <c r="BR24" s="18">
        <f t="shared" si="32"/>
        <v>0</v>
      </c>
      <c r="BS24" s="18">
        <f t="shared" si="32"/>
        <v>0</v>
      </c>
      <c r="BT24" s="18">
        <f t="shared" si="32"/>
        <v>0</v>
      </c>
      <c r="BU24" s="18">
        <f t="shared" si="32"/>
        <v>0</v>
      </c>
      <c r="BV24" s="18">
        <f t="shared" si="32"/>
        <v>0</v>
      </c>
      <c r="BW24" s="18">
        <f t="shared" si="32"/>
        <v>0</v>
      </c>
      <c r="BX24" s="18">
        <f t="shared" si="32"/>
        <v>0</v>
      </c>
      <c r="BY24" s="18">
        <f t="shared" si="32"/>
        <v>0</v>
      </c>
      <c r="BZ24" s="18">
        <f t="shared" si="32"/>
        <v>0</v>
      </c>
      <c r="CA24" s="18">
        <f t="shared" si="32"/>
        <v>0</v>
      </c>
      <c r="CB24" s="18">
        <f t="shared" si="32"/>
        <v>0</v>
      </c>
      <c r="CC24" s="18">
        <f t="shared" si="32"/>
        <v>0</v>
      </c>
      <c r="CD24" s="18">
        <f t="shared" si="32"/>
        <v>0</v>
      </c>
      <c r="CE24" s="18">
        <f t="shared" si="32"/>
        <v>0</v>
      </c>
      <c r="CF24" s="18">
        <f t="shared" si="32"/>
        <v>0</v>
      </c>
      <c r="CG24" s="18">
        <f t="shared" si="32"/>
        <v>0</v>
      </c>
      <c r="CH24" s="18">
        <f t="shared" si="32"/>
        <v>0</v>
      </c>
      <c r="CI24" s="18">
        <f t="shared" si="32"/>
        <v>0</v>
      </c>
      <c r="CJ24" s="18">
        <f t="shared" si="32"/>
        <v>0</v>
      </c>
      <c r="CK24" s="18">
        <f t="shared" si="32"/>
        <v>0</v>
      </c>
      <c r="CL24" s="18">
        <f t="shared" si="30"/>
        <v>0</v>
      </c>
      <c r="CM24" s="18">
        <f t="shared" si="30"/>
        <v>0</v>
      </c>
      <c r="CN24" s="18">
        <f t="shared" si="30"/>
        <v>0</v>
      </c>
      <c r="CO24" s="18">
        <f t="shared" si="30"/>
        <v>0</v>
      </c>
      <c r="CP24" s="18">
        <f t="shared" si="30"/>
        <v>0</v>
      </c>
      <c r="CQ24" s="18">
        <f t="shared" si="30"/>
        <v>0</v>
      </c>
      <c r="CR24" s="18">
        <f t="shared" si="30"/>
        <v>0</v>
      </c>
      <c r="CS24" s="18">
        <f t="shared" si="30"/>
        <v>0</v>
      </c>
      <c r="CT24" s="18">
        <f t="shared" si="30"/>
        <v>0</v>
      </c>
      <c r="CU24" s="18">
        <f t="shared" si="30"/>
        <v>0</v>
      </c>
      <c r="CV24" s="18">
        <f t="shared" si="30"/>
        <v>0</v>
      </c>
      <c r="CW24" s="18">
        <f t="shared" si="30"/>
        <v>0</v>
      </c>
      <c r="CX24" s="18">
        <f t="shared" si="30"/>
        <v>0</v>
      </c>
      <c r="CY24" s="18">
        <f t="shared" si="30"/>
        <v>0</v>
      </c>
      <c r="CZ24" s="18">
        <f t="shared" si="30"/>
        <v>0</v>
      </c>
      <c r="DA24" s="18">
        <f t="shared" si="30"/>
        <v>0</v>
      </c>
      <c r="DB24" s="18">
        <f t="shared" si="30"/>
        <v>0</v>
      </c>
      <c r="DC24" s="18">
        <f t="shared" si="29"/>
        <v>0</v>
      </c>
      <c r="DD24" s="18">
        <f t="shared" si="29"/>
        <v>0</v>
      </c>
      <c r="DE24" s="18">
        <f t="shared" si="29"/>
        <v>0</v>
      </c>
      <c r="DF24" s="18">
        <f t="shared" si="29"/>
        <v>0</v>
      </c>
      <c r="DG24" s="18">
        <f t="shared" si="29"/>
        <v>0</v>
      </c>
      <c r="DH24" s="18">
        <f t="shared" si="29"/>
        <v>0</v>
      </c>
      <c r="DI24" s="18">
        <f t="shared" si="29"/>
        <v>0</v>
      </c>
      <c r="DJ24" s="18">
        <f t="shared" si="29"/>
        <v>0</v>
      </c>
      <c r="DK24" s="18">
        <f t="shared" si="29"/>
        <v>0</v>
      </c>
      <c r="DL24" s="18">
        <f t="shared" si="29"/>
        <v>0</v>
      </c>
      <c r="DM24" s="18">
        <f t="shared" si="29"/>
        <v>0</v>
      </c>
      <c r="DN24" s="18">
        <f t="shared" si="29"/>
        <v>0</v>
      </c>
      <c r="DO24" s="18">
        <f t="shared" si="29"/>
        <v>0</v>
      </c>
      <c r="DP24" s="18">
        <f t="shared" si="29"/>
        <v>0</v>
      </c>
      <c r="DQ24" s="18">
        <f t="shared" si="29"/>
        <v>0</v>
      </c>
      <c r="DR24" s="18">
        <f t="shared" si="29"/>
        <v>0</v>
      </c>
      <c r="DS24" s="18">
        <f t="shared" si="29"/>
        <v>0</v>
      </c>
      <c r="DT24" s="18">
        <f t="shared" si="29"/>
        <v>0</v>
      </c>
      <c r="DU24" s="18">
        <f t="shared" si="29"/>
        <v>0</v>
      </c>
      <c r="DV24" s="18">
        <f t="shared" si="29"/>
        <v>0</v>
      </c>
      <c r="DW24" s="18">
        <f t="shared" si="29"/>
        <v>0</v>
      </c>
      <c r="DX24" s="18">
        <f t="shared" si="29"/>
        <v>0</v>
      </c>
      <c r="DY24" s="18">
        <f t="shared" si="29"/>
        <v>0</v>
      </c>
      <c r="DZ24" s="18">
        <f t="shared" si="29"/>
        <v>0</v>
      </c>
      <c r="EA24" s="18">
        <f t="shared" si="29"/>
        <v>0</v>
      </c>
      <c r="EB24" s="18">
        <f t="shared" si="29"/>
        <v>0</v>
      </c>
      <c r="EC24" s="18">
        <f t="shared" si="29"/>
        <v>0</v>
      </c>
      <c r="ED24" s="18">
        <f t="shared" si="29"/>
        <v>0</v>
      </c>
      <c r="EE24" s="18">
        <f t="shared" si="29"/>
        <v>0</v>
      </c>
      <c r="EF24" s="18">
        <f t="shared" si="29"/>
        <v>0</v>
      </c>
      <c r="EG24" s="18">
        <f t="shared" si="29"/>
        <v>0</v>
      </c>
      <c r="EH24" s="18">
        <f t="shared" si="29"/>
        <v>0</v>
      </c>
      <c r="EI24" s="18">
        <f t="shared" si="29"/>
        <v>0</v>
      </c>
      <c r="EJ24" s="18">
        <f t="shared" si="29"/>
        <v>0</v>
      </c>
      <c r="EK24" s="18">
        <f t="shared" si="29"/>
        <v>0</v>
      </c>
      <c r="EL24" s="18">
        <f t="shared" si="29"/>
        <v>0</v>
      </c>
      <c r="EM24" s="18">
        <f t="shared" si="29"/>
        <v>0</v>
      </c>
      <c r="EN24" s="18">
        <f t="shared" si="29"/>
        <v>0</v>
      </c>
      <c r="EO24" s="18">
        <f t="shared" si="29"/>
        <v>0</v>
      </c>
      <c r="EP24" s="18">
        <f t="shared" si="29"/>
        <v>0</v>
      </c>
      <c r="EQ24" s="18">
        <f t="shared" si="29"/>
        <v>0</v>
      </c>
      <c r="ER24" s="18">
        <f t="shared" si="29"/>
        <v>0</v>
      </c>
      <c r="ES24" s="18">
        <f t="shared" si="29"/>
        <v>0</v>
      </c>
      <c r="ET24" s="18">
        <f t="shared" si="29"/>
        <v>0</v>
      </c>
      <c r="EU24" s="18">
        <f t="shared" si="29"/>
        <v>0</v>
      </c>
      <c r="EV24" s="18">
        <f t="shared" si="29"/>
        <v>0</v>
      </c>
      <c r="EW24" s="18">
        <f t="shared" si="29"/>
        <v>0</v>
      </c>
      <c r="EX24" s="18">
        <f t="shared" si="29"/>
        <v>0</v>
      </c>
      <c r="EY24" s="18">
        <f t="shared" si="29"/>
        <v>0</v>
      </c>
      <c r="EZ24" s="18">
        <f t="shared" si="29"/>
        <v>0</v>
      </c>
      <c r="FA24" s="18">
        <f t="shared" si="29"/>
        <v>0</v>
      </c>
      <c r="FB24" s="18">
        <f t="shared" si="29"/>
        <v>0</v>
      </c>
      <c r="FC24" s="18">
        <f t="shared" si="29"/>
        <v>0</v>
      </c>
      <c r="FD24" s="18">
        <f t="shared" si="29"/>
        <v>0</v>
      </c>
      <c r="FE24" s="18">
        <f t="shared" si="29"/>
        <v>0</v>
      </c>
      <c r="FF24" s="18">
        <f t="shared" si="29"/>
        <v>0</v>
      </c>
      <c r="FG24" s="18">
        <f t="shared" si="29"/>
        <v>0</v>
      </c>
      <c r="FH24" s="18">
        <f t="shared" si="29"/>
        <v>0</v>
      </c>
      <c r="FI24" s="18">
        <f t="shared" si="29"/>
        <v>0</v>
      </c>
      <c r="FJ24" s="18">
        <f t="shared" si="29"/>
        <v>0</v>
      </c>
      <c r="FK24" s="18">
        <f t="shared" ref="FK24:GC30" si="33">IF(AND($E24&lt;=FK$5,$F24&gt;=FK$5),1,0)</f>
        <v>0</v>
      </c>
      <c r="FL24" s="18">
        <f t="shared" si="33"/>
        <v>0</v>
      </c>
      <c r="FM24" s="18">
        <f t="shared" si="33"/>
        <v>0</v>
      </c>
      <c r="FN24" s="18">
        <f t="shared" si="33"/>
        <v>0</v>
      </c>
      <c r="FO24" s="18">
        <f t="shared" si="33"/>
        <v>0</v>
      </c>
      <c r="FP24" s="18">
        <f t="shared" si="33"/>
        <v>0</v>
      </c>
      <c r="FQ24" s="18">
        <f t="shared" si="33"/>
        <v>0</v>
      </c>
      <c r="FR24" s="18">
        <f t="shared" si="33"/>
        <v>0</v>
      </c>
      <c r="FS24" s="18">
        <f t="shared" si="33"/>
        <v>0</v>
      </c>
      <c r="FT24" s="18">
        <f t="shared" si="33"/>
        <v>0</v>
      </c>
      <c r="FU24" s="18">
        <f t="shared" si="33"/>
        <v>0</v>
      </c>
      <c r="FV24" s="18">
        <f t="shared" si="33"/>
        <v>0</v>
      </c>
      <c r="FW24" s="18">
        <f t="shared" si="33"/>
        <v>0</v>
      </c>
      <c r="FX24" s="18">
        <f t="shared" si="33"/>
        <v>0</v>
      </c>
      <c r="FY24" s="18">
        <f t="shared" si="33"/>
        <v>0</v>
      </c>
      <c r="FZ24" s="18">
        <f t="shared" si="33"/>
        <v>0</v>
      </c>
      <c r="GA24" s="18">
        <f t="shared" si="33"/>
        <v>0</v>
      </c>
      <c r="GB24" s="18">
        <f t="shared" si="33"/>
        <v>0</v>
      </c>
      <c r="GC24" s="18">
        <f t="shared" si="33"/>
        <v>0</v>
      </c>
    </row>
    <row r="25" spans="2:185" ht="17.100000000000001" customHeight="1" outlineLevel="1">
      <c r="B25" s="25"/>
      <c r="C25" s="40"/>
      <c r="D25" s="26"/>
      <c r="E25" s="27">
        <f>F24+1</f>
        <v>45353</v>
      </c>
      <c r="F25" s="27">
        <f>E25+1</f>
        <v>45354</v>
      </c>
      <c r="G25" s="28">
        <f t="shared" si="26"/>
        <v>2</v>
      </c>
      <c r="H25" s="29"/>
      <c r="I25" s="30"/>
      <c r="J25" s="31" t="str">
        <f t="shared" ca="1" si="27"/>
        <v>Expedite</v>
      </c>
      <c r="K25" s="18">
        <f t="shared" ref="K25:Z40" si="34">IF(AND($E25&lt;=K$5,$F25&gt;=K$5),1,0)</f>
        <v>0</v>
      </c>
      <c r="L25" s="18">
        <f t="shared" si="34"/>
        <v>0</v>
      </c>
      <c r="M25" s="18">
        <f t="shared" si="34"/>
        <v>0</v>
      </c>
      <c r="N25" s="18">
        <f t="shared" si="34"/>
        <v>0</v>
      </c>
      <c r="O25" s="18">
        <f t="shared" si="34"/>
        <v>0</v>
      </c>
      <c r="P25" s="18">
        <f t="shared" si="34"/>
        <v>0</v>
      </c>
      <c r="Q25" s="18">
        <f t="shared" si="34"/>
        <v>0</v>
      </c>
      <c r="R25" s="18">
        <f t="shared" si="34"/>
        <v>0</v>
      </c>
      <c r="S25" s="18">
        <f t="shared" si="34"/>
        <v>0</v>
      </c>
      <c r="T25" s="18">
        <f t="shared" si="34"/>
        <v>0</v>
      </c>
      <c r="U25" s="18">
        <f t="shared" si="34"/>
        <v>0</v>
      </c>
      <c r="V25" s="18">
        <f t="shared" si="34"/>
        <v>0</v>
      </c>
      <c r="W25" s="18">
        <f t="shared" si="34"/>
        <v>0</v>
      </c>
      <c r="X25" s="18">
        <f t="shared" si="34"/>
        <v>0</v>
      </c>
      <c r="Y25" s="18">
        <f t="shared" si="34"/>
        <v>0</v>
      </c>
      <c r="Z25" s="18">
        <f t="shared" si="34"/>
        <v>0</v>
      </c>
      <c r="AA25" s="18">
        <f t="shared" ref="AA25:CL28" si="35">IF(AND($E25&lt;=AA$5,$F25&gt;=AA$5),1,0)</f>
        <v>0</v>
      </c>
      <c r="AB25" s="18">
        <f t="shared" si="35"/>
        <v>0</v>
      </c>
      <c r="AC25" s="18">
        <f t="shared" si="35"/>
        <v>0</v>
      </c>
      <c r="AD25" s="18">
        <f t="shared" si="35"/>
        <v>0</v>
      </c>
      <c r="AE25" s="18">
        <f t="shared" si="35"/>
        <v>0</v>
      </c>
      <c r="AF25" s="18">
        <f t="shared" si="35"/>
        <v>0</v>
      </c>
      <c r="AG25" s="18">
        <f t="shared" si="35"/>
        <v>0</v>
      </c>
      <c r="AH25" s="18">
        <f t="shared" si="35"/>
        <v>0</v>
      </c>
      <c r="AI25" s="18">
        <f t="shared" si="35"/>
        <v>0</v>
      </c>
      <c r="AJ25" s="18">
        <f t="shared" si="35"/>
        <v>0</v>
      </c>
      <c r="AK25" s="18">
        <f t="shared" si="35"/>
        <v>0</v>
      </c>
      <c r="AL25" s="18">
        <f t="shared" si="35"/>
        <v>0</v>
      </c>
      <c r="AM25" s="18">
        <f t="shared" si="35"/>
        <v>0</v>
      </c>
      <c r="AN25" s="18">
        <f t="shared" si="35"/>
        <v>0</v>
      </c>
      <c r="AO25" s="18">
        <f t="shared" si="35"/>
        <v>0</v>
      </c>
      <c r="AP25" s="18">
        <f t="shared" si="35"/>
        <v>0</v>
      </c>
      <c r="AQ25" s="18">
        <f t="shared" si="35"/>
        <v>0</v>
      </c>
      <c r="AR25" s="18">
        <f t="shared" si="35"/>
        <v>1</v>
      </c>
      <c r="AS25" s="18">
        <f t="shared" si="35"/>
        <v>1</v>
      </c>
      <c r="AT25" s="18">
        <f t="shared" si="35"/>
        <v>0</v>
      </c>
      <c r="AU25" s="18">
        <f t="shared" si="35"/>
        <v>0</v>
      </c>
      <c r="AV25" s="18">
        <f t="shared" si="35"/>
        <v>0</v>
      </c>
      <c r="AW25" s="18">
        <f t="shared" si="35"/>
        <v>0</v>
      </c>
      <c r="AX25" s="18">
        <f t="shared" si="35"/>
        <v>0</v>
      </c>
      <c r="AY25" s="18">
        <f t="shared" si="35"/>
        <v>0</v>
      </c>
      <c r="AZ25" s="18">
        <f t="shared" si="35"/>
        <v>0</v>
      </c>
      <c r="BA25" s="18">
        <f t="shared" si="35"/>
        <v>0</v>
      </c>
      <c r="BB25" s="18">
        <f t="shared" si="35"/>
        <v>0</v>
      </c>
      <c r="BC25" s="18">
        <f t="shared" si="35"/>
        <v>0</v>
      </c>
      <c r="BD25" s="18">
        <f t="shared" si="35"/>
        <v>0</v>
      </c>
      <c r="BE25" s="18">
        <f t="shared" si="35"/>
        <v>0</v>
      </c>
      <c r="BF25" s="18">
        <f t="shared" si="35"/>
        <v>0</v>
      </c>
      <c r="BG25" s="18">
        <f t="shared" si="35"/>
        <v>0</v>
      </c>
      <c r="BH25" s="18">
        <f t="shared" si="35"/>
        <v>0</v>
      </c>
      <c r="BI25" s="18">
        <f t="shared" si="35"/>
        <v>0</v>
      </c>
      <c r="BJ25" s="18">
        <f t="shared" si="35"/>
        <v>0</v>
      </c>
      <c r="BK25" s="18">
        <f t="shared" si="35"/>
        <v>0</v>
      </c>
      <c r="BL25" s="18">
        <f t="shared" si="35"/>
        <v>0</v>
      </c>
      <c r="BM25" s="18">
        <f t="shared" si="35"/>
        <v>0</v>
      </c>
      <c r="BN25" s="18">
        <f t="shared" si="35"/>
        <v>0</v>
      </c>
      <c r="BO25" s="18">
        <f t="shared" si="35"/>
        <v>0</v>
      </c>
      <c r="BP25" s="18">
        <f t="shared" si="35"/>
        <v>0</v>
      </c>
      <c r="BQ25" s="18">
        <f t="shared" si="35"/>
        <v>0</v>
      </c>
      <c r="BR25" s="18">
        <f t="shared" si="35"/>
        <v>0</v>
      </c>
      <c r="BS25" s="18">
        <f t="shared" si="35"/>
        <v>0</v>
      </c>
      <c r="BT25" s="18">
        <f t="shared" si="35"/>
        <v>0</v>
      </c>
      <c r="BU25" s="18">
        <f t="shared" si="35"/>
        <v>0</v>
      </c>
      <c r="BV25" s="18">
        <f t="shared" si="35"/>
        <v>0</v>
      </c>
      <c r="BW25" s="18">
        <f t="shared" si="35"/>
        <v>0</v>
      </c>
      <c r="BX25" s="18">
        <f t="shared" si="35"/>
        <v>0</v>
      </c>
      <c r="BY25" s="18">
        <f t="shared" si="35"/>
        <v>0</v>
      </c>
      <c r="BZ25" s="18">
        <f t="shared" si="35"/>
        <v>0</v>
      </c>
      <c r="CA25" s="18">
        <f t="shared" si="35"/>
        <v>0</v>
      </c>
      <c r="CB25" s="18">
        <f t="shared" si="35"/>
        <v>0</v>
      </c>
      <c r="CC25" s="18">
        <f t="shared" si="35"/>
        <v>0</v>
      </c>
      <c r="CD25" s="18">
        <f t="shared" si="35"/>
        <v>0</v>
      </c>
      <c r="CE25" s="18">
        <f t="shared" si="35"/>
        <v>0</v>
      </c>
      <c r="CF25" s="18">
        <f t="shared" si="35"/>
        <v>0</v>
      </c>
      <c r="CG25" s="18">
        <f t="shared" si="35"/>
        <v>0</v>
      </c>
      <c r="CH25" s="18">
        <f t="shared" si="35"/>
        <v>0</v>
      </c>
      <c r="CI25" s="18">
        <f t="shared" si="35"/>
        <v>0</v>
      </c>
      <c r="CJ25" s="18">
        <f t="shared" si="35"/>
        <v>0</v>
      </c>
      <c r="CK25" s="18">
        <f t="shared" si="35"/>
        <v>0</v>
      </c>
      <c r="CL25" s="18">
        <f t="shared" si="35"/>
        <v>0</v>
      </c>
      <c r="CM25" s="18">
        <f t="shared" si="30"/>
        <v>0</v>
      </c>
      <c r="CN25" s="18">
        <f t="shared" si="30"/>
        <v>0</v>
      </c>
      <c r="CO25" s="18">
        <f t="shared" si="30"/>
        <v>0</v>
      </c>
      <c r="CP25" s="18">
        <f t="shared" si="30"/>
        <v>0</v>
      </c>
      <c r="CQ25" s="18">
        <f t="shared" si="30"/>
        <v>0</v>
      </c>
      <c r="CR25" s="18">
        <f t="shared" si="30"/>
        <v>0</v>
      </c>
      <c r="CS25" s="18">
        <f t="shared" si="30"/>
        <v>0</v>
      </c>
      <c r="CT25" s="18">
        <f t="shared" si="30"/>
        <v>0</v>
      </c>
      <c r="CU25" s="18">
        <f t="shared" si="30"/>
        <v>0</v>
      </c>
      <c r="CV25" s="18">
        <f t="shared" si="30"/>
        <v>0</v>
      </c>
      <c r="CW25" s="18">
        <f t="shared" si="30"/>
        <v>0</v>
      </c>
      <c r="CX25" s="18">
        <f t="shared" si="30"/>
        <v>0</v>
      </c>
      <c r="CY25" s="18">
        <f t="shared" si="30"/>
        <v>0</v>
      </c>
      <c r="CZ25" s="18">
        <f t="shared" si="30"/>
        <v>0</v>
      </c>
      <c r="DA25" s="18">
        <f t="shared" si="30"/>
        <v>0</v>
      </c>
      <c r="DB25" s="18">
        <f t="shared" si="30"/>
        <v>0</v>
      </c>
      <c r="DC25" s="18">
        <f t="shared" si="29"/>
        <v>0</v>
      </c>
      <c r="DD25" s="18">
        <f t="shared" si="29"/>
        <v>0</v>
      </c>
      <c r="DE25" s="18">
        <f t="shared" si="29"/>
        <v>0</v>
      </c>
      <c r="DF25" s="18">
        <f t="shared" si="29"/>
        <v>0</v>
      </c>
      <c r="DG25" s="18">
        <f t="shared" si="29"/>
        <v>0</v>
      </c>
      <c r="DH25" s="18">
        <f t="shared" si="29"/>
        <v>0</v>
      </c>
      <c r="DI25" s="18">
        <f t="shared" si="29"/>
        <v>0</v>
      </c>
      <c r="DJ25" s="18">
        <f t="shared" si="29"/>
        <v>0</v>
      </c>
      <c r="DK25" s="18">
        <f t="shared" si="29"/>
        <v>0</v>
      </c>
      <c r="DL25" s="18">
        <f t="shared" si="29"/>
        <v>0</v>
      </c>
      <c r="DM25" s="18">
        <f t="shared" si="29"/>
        <v>0</v>
      </c>
      <c r="DN25" s="18">
        <f t="shared" si="29"/>
        <v>0</v>
      </c>
      <c r="DO25" s="18">
        <f t="shared" si="29"/>
        <v>0</v>
      </c>
      <c r="DP25" s="18">
        <f t="shared" si="29"/>
        <v>0</v>
      </c>
      <c r="DQ25" s="18">
        <f t="shared" si="29"/>
        <v>0</v>
      </c>
      <c r="DR25" s="18">
        <f t="shared" si="29"/>
        <v>0</v>
      </c>
      <c r="DS25" s="18">
        <f t="shared" si="29"/>
        <v>0</v>
      </c>
      <c r="DT25" s="18">
        <f t="shared" si="29"/>
        <v>0</v>
      </c>
      <c r="DU25" s="18">
        <f t="shared" ref="DU25:GB31" si="36">IF(AND($E25&lt;=DU$5,$F25&gt;=DU$5),1,0)</f>
        <v>0</v>
      </c>
      <c r="DV25" s="18">
        <f t="shared" si="36"/>
        <v>0</v>
      </c>
      <c r="DW25" s="18">
        <f t="shared" si="36"/>
        <v>0</v>
      </c>
      <c r="DX25" s="18">
        <f t="shared" si="36"/>
        <v>0</v>
      </c>
      <c r="DY25" s="18">
        <f t="shared" si="36"/>
        <v>0</v>
      </c>
      <c r="DZ25" s="18">
        <f t="shared" si="36"/>
        <v>0</v>
      </c>
      <c r="EA25" s="18">
        <f t="shared" si="36"/>
        <v>0</v>
      </c>
      <c r="EB25" s="18">
        <f t="shared" si="36"/>
        <v>0</v>
      </c>
      <c r="EC25" s="18">
        <f t="shared" si="36"/>
        <v>0</v>
      </c>
      <c r="ED25" s="18">
        <f t="shared" si="36"/>
        <v>0</v>
      </c>
      <c r="EE25" s="18">
        <f t="shared" si="36"/>
        <v>0</v>
      </c>
      <c r="EF25" s="18">
        <f t="shared" si="36"/>
        <v>0</v>
      </c>
      <c r="EG25" s="18">
        <f t="shared" si="36"/>
        <v>0</v>
      </c>
      <c r="EH25" s="18">
        <f t="shared" si="36"/>
        <v>0</v>
      </c>
      <c r="EI25" s="18">
        <f t="shared" si="36"/>
        <v>0</v>
      </c>
      <c r="EJ25" s="18">
        <f t="shared" si="36"/>
        <v>0</v>
      </c>
      <c r="EK25" s="18">
        <f t="shared" si="36"/>
        <v>0</v>
      </c>
      <c r="EL25" s="18">
        <f t="shared" si="36"/>
        <v>0</v>
      </c>
      <c r="EM25" s="18">
        <f t="shared" si="36"/>
        <v>0</v>
      </c>
      <c r="EN25" s="18">
        <f t="shared" si="36"/>
        <v>0</v>
      </c>
      <c r="EO25" s="18">
        <f t="shared" si="36"/>
        <v>0</v>
      </c>
      <c r="EP25" s="18">
        <f t="shared" si="36"/>
        <v>0</v>
      </c>
      <c r="EQ25" s="18">
        <f t="shared" si="36"/>
        <v>0</v>
      </c>
      <c r="ER25" s="18">
        <f t="shared" si="36"/>
        <v>0</v>
      </c>
      <c r="ES25" s="18">
        <f t="shared" si="36"/>
        <v>0</v>
      </c>
      <c r="ET25" s="18">
        <f t="shared" si="36"/>
        <v>0</v>
      </c>
      <c r="EU25" s="18">
        <f t="shared" si="36"/>
        <v>0</v>
      </c>
      <c r="EV25" s="18">
        <f t="shared" si="36"/>
        <v>0</v>
      </c>
      <c r="EW25" s="18">
        <f t="shared" si="36"/>
        <v>0</v>
      </c>
      <c r="EX25" s="18">
        <f t="shared" si="36"/>
        <v>0</v>
      </c>
      <c r="EY25" s="18">
        <f t="shared" si="36"/>
        <v>0</v>
      </c>
      <c r="EZ25" s="18">
        <f t="shared" si="36"/>
        <v>0</v>
      </c>
      <c r="FA25" s="18">
        <f t="shared" si="36"/>
        <v>0</v>
      </c>
      <c r="FB25" s="18">
        <f t="shared" si="36"/>
        <v>0</v>
      </c>
      <c r="FC25" s="18">
        <f t="shared" si="36"/>
        <v>0</v>
      </c>
      <c r="FD25" s="18">
        <f t="shared" si="36"/>
        <v>0</v>
      </c>
      <c r="FE25" s="18">
        <f t="shared" si="36"/>
        <v>0</v>
      </c>
      <c r="FF25" s="18">
        <f t="shared" si="36"/>
        <v>0</v>
      </c>
      <c r="FG25" s="18">
        <f t="shared" si="36"/>
        <v>0</v>
      </c>
      <c r="FH25" s="18">
        <f t="shared" si="36"/>
        <v>0</v>
      </c>
      <c r="FI25" s="18">
        <f t="shared" si="36"/>
        <v>0</v>
      </c>
      <c r="FJ25" s="18">
        <f t="shared" si="36"/>
        <v>0</v>
      </c>
      <c r="FK25" s="18">
        <f t="shared" si="36"/>
        <v>0</v>
      </c>
      <c r="FL25" s="18">
        <f t="shared" si="36"/>
        <v>0</v>
      </c>
      <c r="FM25" s="18">
        <f t="shared" si="36"/>
        <v>0</v>
      </c>
      <c r="FN25" s="18">
        <f t="shared" si="36"/>
        <v>0</v>
      </c>
      <c r="FO25" s="18">
        <f t="shared" si="36"/>
        <v>0</v>
      </c>
      <c r="FP25" s="18">
        <f t="shared" si="36"/>
        <v>0</v>
      </c>
      <c r="FQ25" s="18">
        <f t="shared" si="36"/>
        <v>0</v>
      </c>
      <c r="FR25" s="18">
        <f t="shared" si="36"/>
        <v>0</v>
      </c>
      <c r="FS25" s="18">
        <f t="shared" si="36"/>
        <v>0</v>
      </c>
      <c r="FT25" s="18">
        <f t="shared" si="36"/>
        <v>0</v>
      </c>
      <c r="FU25" s="18">
        <f t="shared" si="36"/>
        <v>0</v>
      </c>
      <c r="FV25" s="18">
        <f t="shared" si="36"/>
        <v>0</v>
      </c>
      <c r="FW25" s="18">
        <f t="shared" si="36"/>
        <v>0</v>
      </c>
      <c r="FX25" s="18">
        <f t="shared" si="36"/>
        <v>0</v>
      </c>
      <c r="FY25" s="18">
        <f t="shared" si="36"/>
        <v>0</v>
      </c>
      <c r="FZ25" s="18">
        <f t="shared" si="36"/>
        <v>0</v>
      </c>
      <c r="GA25" s="18">
        <f t="shared" si="36"/>
        <v>0</v>
      </c>
      <c r="GB25" s="18">
        <f t="shared" si="36"/>
        <v>0</v>
      </c>
      <c r="GC25" s="18">
        <f t="shared" si="33"/>
        <v>0</v>
      </c>
    </row>
    <row r="26" spans="2:185" s="19" customFormat="1" ht="20.100000000000001" customHeight="1">
      <c r="B26" s="32"/>
      <c r="C26" s="33" t="s">
        <v>41</v>
      </c>
      <c r="D26" s="34"/>
      <c r="E26" s="35">
        <f>MINA(E27:E34)</f>
        <v>45344</v>
      </c>
      <c r="F26" s="35">
        <f>MAXA(F27:F34)</f>
        <v>45386</v>
      </c>
      <c r="G26" s="35"/>
      <c r="H26" s="36"/>
      <c r="I26" s="37"/>
      <c r="J26" s="38"/>
      <c r="K26" s="18">
        <f t="shared" si="34"/>
        <v>0</v>
      </c>
      <c r="L26" s="18">
        <f t="shared" si="34"/>
        <v>0</v>
      </c>
      <c r="M26" s="18">
        <f t="shared" si="34"/>
        <v>0</v>
      </c>
      <c r="N26" s="18">
        <f t="shared" si="34"/>
        <v>0</v>
      </c>
      <c r="O26" s="18">
        <f t="shared" si="34"/>
        <v>0</v>
      </c>
      <c r="P26" s="18">
        <f t="shared" si="34"/>
        <v>0</v>
      </c>
      <c r="Q26" s="18">
        <f t="shared" si="34"/>
        <v>0</v>
      </c>
      <c r="R26" s="18">
        <f t="shared" si="34"/>
        <v>0</v>
      </c>
      <c r="S26" s="18">
        <f t="shared" si="34"/>
        <v>0</v>
      </c>
      <c r="T26" s="18">
        <f t="shared" si="34"/>
        <v>0</v>
      </c>
      <c r="U26" s="18">
        <f t="shared" si="34"/>
        <v>0</v>
      </c>
      <c r="V26" s="18">
        <f t="shared" si="34"/>
        <v>0</v>
      </c>
      <c r="W26" s="18">
        <f t="shared" si="34"/>
        <v>0</v>
      </c>
      <c r="X26" s="18">
        <f t="shared" si="34"/>
        <v>0</v>
      </c>
      <c r="Y26" s="18">
        <f t="shared" si="34"/>
        <v>0</v>
      </c>
      <c r="Z26" s="18">
        <f t="shared" si="34"/>
        <v>0</v>
      </c>
      <c r="AA26" s="18">
        <f t="shared" si="35"/>
        <v>0</v>
      </c>
      <c r="AB26" s="18">
        <f t="shared" si="35"/>
        <v>0</v>
      </c>
      <c r="AC26" s="18">
        <f t="shared" si="35"/>
        <v>0</v>
      </c>
      <c r="AD26" s="18">
        <f t="shared" si="35"/>
        <v>0</v>
      </c>
      <c r="AE26" s="18">
        <f t="shared" si="35"/>
        <v>0</v>
      </c>
      <c r="AF26" s="18">
        <f t="shared" si="35"/>
        <v>0</v>
      </c>
      <c r="AG26" s="18">
        <f t="shared" si="35"/>
        <v>0</v>
      </c>
      <c r="AH26" s="18">
        <f t="shared" si="35"/>
        <v>0</v>
      </c>
      <c r="AI26" s="18">
        <f t="shared" si="35"/>
        <v>1</v>
      </c>
      <c r="AJ26" s="18">
        <f t="shared" si="35"/>
        <v>1</v>
      </c>
      <c r="AK26" s="18">
        <f t="shared" si="35"/>
        <v>1</v>
      </c>
      <c r="AL26" s="18">
        <f t="shared" si="35"/>
        <v>1</v>
      </c>
      <c r="AM26" s="18">
        <f t="shared" si="35"/>
        <v>1</v>
      </c>
      <c r="AN26" s="18">
        <f t="shared" si="35"/>
        <v>1</v>
      </c>
      <c r="AO26" s="18">
        <f t="shared" si="35"/>
        <v>1</v>
      </c>
      <c r="AP26" s="18">
        <f t="shared" si="35"/>
        <v>1</v>
      </c>
      <c r="AQ26" s="18">
        <f t="shared" si="35"/>
        <v>1</v>
      </c>
      <c r="AR26" s="18">
        <f t="shared" si="35"/>
        <v>1</v>
      </c>
      <c r="AS26" s="18">
        <f t="shared" si="35"/>
        <v>1</v>
      </c>
      <c r="AT26" s="18">
        <f t="shared" si="35"/>
        <v>1</v>
      </c>
      <c r="AU26" s="18">
        <f t="shared" si="35"/>
        <v>1</v>
      </c>
      <c r="AV26" s="18">
        <f t="shared" si="35"/>
        <v>1</v>
      </c>
      <c r="AW26" s="18">
        <f t="shared" si="35"/>
        <v>1</v>
      </c>
      <c r="AX26" s="18">
        <f t="shared" si="35"/>
        <v>1</v>
      </c>
      <c r="AY26" s="18">
        <f t="shared" si="35"/>
        <v>1</v>
      </c>
      <c r="AZ26" s="18">
        <f t="shared" si="35"/>
        <v>1</v>
      </c>
      <c r="BA26" s="18">
        <f t="shared" si="35"/>
        <v>1</v>
      </c>
      <c r="BB26" s="18">
        <f t="shared" si="35"/>
        <v>1</v>
      </c>
      <c r="BC26" s="18">
        <f t="shared" si="35"/>
        <v>1</v>
      </c>
      <c r="BD26" s="18">
        <f t="shared" si="35"/>
        <v>1</v>
      </c>
      <c r="BE26" s="18">
        <f t="shared" si="35"/>
        <v>1</v>
      </c>
      <c r="BF26" s="18">
        <f t="shared" si="35"/>
        <v>1</v>
      </c>
      <c r="BG26" s="18">
        <f t="shared" si="35"/>
        <v>1</v>
      </c>
      <c r="BH26" s="18">
        <f t="shared" si="35"/>
        <v>1</v>
      </c>
      <c r="BI26" s="18">
        <f t="shared" si="35"/>
        <v>1</v>
      </c>
      <c r="BJ26" s="18">
        <f t="shared" si="35"/>
        <v>1</v>
      </c>
      <c r="BK26" s="18">
        <f t="shared" si="35"/>
        <v>1</v>
      </c>
      <c r="BL26" s="18">
        <f t="shared" si="35"/>
        <v>1</v>
      </c>
      <c r="BM26" s="18">
        <f t="shared" si="35"/>
        <v>1</v>
      </c>
      <c r="BN26" s="18">
        <f t="shared" si="35"/>
        <v>1</v>
      </c>
      <c r="BO26" s="18">
        <f t="shared" si="35"/>
        <v>1</v>
      </c>
      <c r="BP26" s="18">
        <f t="shared" si="35"/>
        <v>1</v>
      </c>
      <c r="BQ26" s="18">
        <f t="shared" si="35"/>
        <v>1</v>
      </c>
      <c r="BR26" s="18">
        <f t="shared" si="35"/>
        <v>1</v>
      </c>
      <c r="BS26" s="18">
        <f t="shared" si="35"/>
        <v>1</v>
      </c>
      <c r="BT26" s="18">
        <f t="shared" si="35"/>
        <v>1</v>
      </c>
      <c r="BU26" s="18">
        <f t="shared" si="35"/>
        <v>1</v>
      </c>
      <c r="BV26" s="18">
        <f t="shared" si="35"/>
        <v>1</v>
      </c>
      <c r="BW26" s="18">
        <f t="shared" si="35"/>
        <v>1</v>
      </c>
      <c r="BX26" s="18">
        <f t="shared" si="35"/>
        <v>1</v>
      </c>
      <c r="BY26" s="18">
        <f t="shared" si="35"/>
        <v>1</v>
      </c>
      <c r="BZ26" s="18">
        <f t="shared" si="35"/>
        <v>0</v>
      </c>
      <c r="CA26" s="18">
        <f t="shared" si="35"/>
        <v>0</v>
      </c>
      <c r="CB26" s="18">
        <f t="shared" si="35"/>
        <v>0</v>
      </c>
      <c r="CC26" s="18">
        <f t="shared" si="35"/>
        <v>0</v>
      </c>
      <c r="CD26" s="18">
        <f t="shared" si="35"/>
        <v>0</v>
      </c>
      <c r="CE26" s="18">
        <f t="shared" si="35"/>
        <v>0</v>
      </c>
      <c r="CF26" s="18">
        <f t="shared" si="35"/>
        <v>0</v>
      </c>
      <c r="CG26" s="18">
        <f t="shared" si="35"/>
        <v>0</v>
      </c>
      <c r="CH26" s="18">
        <f t="shared" si="35"/>
        <v>0</v>
      </c>
      <c r="CI26" s="18">
        <f t="shared" si="35"/>
        <v>0</v>
      </c>
      <c r="CJ26" s="18">
        <f t="shared" si="35"/>
        <v>0</v>
      </c>
      <c r="CK26" s="18">
        <f t="shared" si="35"/>
        <v>0</v>
      </c>
      <c r="CL26" s="18">
        <f t="shared" si="35"/>
        <v>0</v>
      </c>
      <c r="CM26" s="18">
        <f t="shared" si="30"/>
        <v>0</v>
      </c>
      <c r="CN26" s="18">
        <f t="shared" si="30"/>
        <v>0</v>
      </c>
      <c r="CO26" s="18">
        <f t="shared" si="30"/>
        <v>0</v>
      </c>
      <c r="CP26" s="18">
        <f t="shared" si="30"/>
        <v>0</v>
      </c>
      <c r="CQ26" s="18">
        <f t="shared" si="30"/>
        <v>0</v>
      </c>
      <c r="CR26" s="18">
        <f t="shared" si="30"/>
        <v>0</v>
      </c>
      <c r="CS26" s="18">
        <f t="shared" si="30"/>
        <v>0</v>
      </c>
      <c r="CT26" s="18">
        <f t="shared" si="30"/>
        <v>0</v>
      </c>
      <c r="CU26" s="18">
        <f t="shared" si="30"/>
        <v>0</v>
      </c>
      <c r="CV26" s="18">
        <f t="shared" si="30"/>
        <v>0</v>
      </c>
      <c r="CW26" s="18">
        <f t="shared" si="30"/>
        <v>0</v>
      </c>
      <c r="CX26" s="18">
        <f t="shared" si="30"/>
        <v>0</v>
      </c>
      <c r="CY26" s="18">
        <f t="shared" si="30"/>
        <v>0</v>
      </c>
      <c r="CZ26" s="18">
        <f t="shared" si="30"/>
        <v>0</v>
      </c>
      <c r="DA26" s="18">
        <f t="shared" si="30"/>
        <v>0</v>
      </c>
      <c r="DB26" s="18">
        <f t="shared" si="30"/>
        <v>0</v>
      </c>
      <c r="DC26" s="18">
        <f t="shared" ref="DC26:ET26" si="37">IF(AND($E26&lt;=DC$5,$F26&gt;=DC$5),1,0)</f>
        <v>0</v>
      </c>
      <c r="DD26" s="18">
        <f t="shared" si="37"/>
        <v>0</v>
      </c>
      <c r="DE26" s="18">
        <f t="shared" si="37"/>
        <v>0</v>
      </c>
      <c r="DF26" s="18">
        <f t="shared" si="37"/>
        <v>0</v>
      </c>
      <c r="DG26" s="18">
        <f t="shared" si="37"/>
        <v>0</v>
      </c>
      <c r="DH26" s="18">
        <f t="shared" si="37"/>
        <v>0</v>
      </c>
      <c r="DI26" s="18">
        <f t="shared" si="37"/>
        <v>0</v>
      </c>
      <c r="DJ26" s="18">
        <f t="shared" si="37"/>
        <v>0</v>
      </c>
      <c r="DK26" s="18">
        <f t="shared" si="37"/>
        <v>0</v>
      </c>
      <c r="DL26" s="18">
        <f t="shared" si="37"/>
        <v>0</v>
      </c>
      <c r="DM26" s="18">
        <f t="shared" si="37"/>
        <v>0</v>
      </c>
      <c r="DN26" s="18">
        <f t="shared" si="37"/>
        <v>0</v>
      </c>
      <c r="DO26" s="18">
        <f t="shared" si="37"/>
        <v>0</v>
      </c>
      <c r="DP26" s="18">
        <f t="shared" si="37"/>
        <v>0</v>
      </c>
      <c r="DQ26" s="18">
        <f t="shared" si="37"/>
        <v>0</v>
      </c>
      <c r="DR26" s="18">
        <f t="shared" si="37"/>
        <v>0</v>
      </c>
      <c r="DS26" s="18">
        <f t="shared" si="37"/>
        <v>0</v>
      </c>
      <c r="DT26" s="18">
        <f t="shared" si="37"/>
        <v>0</v>
      </c>
      <c r="DU26" s="18">
        <f t="shared" si="37"/>
        <v>0</v>
      </c>
      <c r="DV26" s="18">
        <f t="shared" si="37"/>
        <v>0</v>
      </c>
      <c r="DW26" s="18">
        <f t="shared" si="37"/>
        <v>0</v>
      </c>
      <c r="DX26" s="18">
        <f t="shared" si="37"/>
        <v>0</v>
      </c>
      <c r="DY26" s="18">
        <f t="shared" si="37"/>
        <v>0</v>
      </c>
      <c r="DZ26" s="18">
        <f t="shared" si="37"/>
        <v>0</v>
      </c>
      <c r="EA26" s="18">
        <f t="shared" si="37"/>
        <v>0</v>
      </c>
      <c r="EB26" s="18">
        <f t="shared" si="37"/>
        <v>0</v>
      </c>
      <c r="EC26" s="18">
        <f t="shared" si="37"/>
        <v>0</v>
      </c>
      <c r="ED26" s="18">
        <f t="shared" si="37"/>
        <v>0</v>
      </c>
      <c r="EE26" s="18">
        <f t="shared" si="37"/>
        <v>0</v>
      </c>
      <c r="EF26" s="18">
        <f t="shared" si="37"/>
        <v>0</v>
      </c>
      <c r="EG26" s="18">
        <f t="shared" si="37"/>
        <v>0</v>
      </c>
      <c r="EH26" s="18">
        <f t="shared" si="37"/>
        <v>0</v>
      </c>
      <c r="EI26" s="18">
        <f t="shared" si="37"/>
        <v>0</v>
      </c>
      <c r="EJ26" s="18">
        <f t="shared" si="37"/>
        <v>0</v>
      </c>
      <c r="EK26" s="18">
        <f t="shared" si="37"/>
        <v>0</v>
      </c>
      <c r="EL26" s="18">
        <f t="shared" si="37"/>
        <v>0</v>
      </c>
      <c r="EM26" s="18">
        <f t="shared" si="37"/>
        <v>0</v>
      </c>
      <c r="EN26" s="18">
        <f t="shared" si="37"/>
        <v>0</v>
      </c>
      <c r="EO26" s="18">
        <f t="shared" si="37"/>
        <v>0</v>
      </c>
      <c r="EP26" s="18">
        <f t="shared" si="37"/>
        <v>0</v>
      </c>
      <c r="EQ26" s="18">
        <f t="shared" si="37"/>
        <v>0</v>
      </c>
      <c r="ER26" s="18">
        <f t="shared" si="37"/>
        <v>0</v>
      </c>
      <c r="ES26" s="18">
        <f t="shared" si="37"/>
        <v>0</v>
      </c>
      <c r="ET26" s="18">
        <f t="shared" si="37"/>
        <v>0</v>
      </c>
      <c r="EU26" s="18">
        <f t="shared" si="36"/>
        <v>0</v>
      </c>
      <c r="EV26" s="18">
        <f t="shared" si="36"/>
        <v>0</v>
      </c>
      <c r="EW26" s="18">
        <f t="shared" si="36"/>
        <v>0</v>
      </c>
      <c r="EX26" s="18">
        <f t="shared" si="36"/>
        <v>0</v>
      </c>
      <c r="EY26" s="18">
        <f t="shared" si="36"/>
        <v>0</v>
      </c>
      <c r="EZ26" s="18">
        <f t="shared" si="36"/>
        <v>0</v>
      </c>
      <c r="FA26" s="18">
        <f t="shared" si="36"/>
        <v>0</v>
      </c>
      <c r="FB26" s="18">
        <f t="shared" si="36"/>
        <v>0</v>
      </c>
      <c r="FC26" s="18">
        <f t="shared" si="36"/>
        <v>0</v>
      </c>
      <c r="FD26" s="18">
        <f t="shared" si="36"/>
        <v>0</v>
      </c>
      <c r="FE26" s="18">
        <f t="shared" si="36"/>
        <v>0</v>
      </c>
      <c r="FF26" s="18">
        <f t="shared" si="36"/>
        <v>0</v>
      </c>
      <c r="FG26" s="18">
        <f t="shared" si="36"/>
        <v>0</v>
      </c>
      <c r="FH26" s="18">
        <f t="shared" si="36"/>
        <v>0</v>
      </c>
      <c r="FI26" s="18">
        <f t="shared" si="36"/>
        <v>0</v>
      </c>
      <c r="FJ26" s="18">
        <f t="shared" si="36"/>
        <v>0</v>
      </c>
      <c r="FK26" s="18">
        <f t="shared" si="36"/>
        <v>0</v>
      </c>
      <c r="FL26" s="18">
        <f t="shared" si="36"/>
        <v>0</v>
      </c>
      <c r="FM26" s="18">
        <f t="shared" si="36"/>
        <v>0</v>
      </c>
      <c r="FN26" s="18">
        <f t="shared" si="36"/>
        <v>0</v>
      </c>
      <c r="FO26" s="18">
        <f t="shared" si="36"/>
        <v>0</v>
      </c>
      <c r="FP26" s="18">
        <f t="shared" si="36"/>
        <v>0</v>
      </c>
      <c r="FQ26" s="18">
        <f t="shared" si="36"/>
        <v>0</v>
      </c>
      <c r="FR26" s="18">
        <f t="shared" si="36"/>
        <v>0</v>
      </c>
      <c r="FS26" s="18">
        <f t="shared" si="36"/>
        <v>0</v>
      </c>
      <c r="FT26" s="18">
        <f t="shared" si="36"/>
        <v>0</v>
      </c>
      <c r="FU26" s="18">
        <f t="shared" si="36"/>
        <v>0</v>
      </c>
      <c r="FV26" s="18">
        <f t="shared" si="36"/>
        <v>0</v>
      </c>
      <c r="FW26" s="18">
        <f t="shared" si="36"/>
        <v>0</v>
      </c>
      <c r="FX26" s="18">
        <f t="shared" si="36"/>
        <v>0</v>
      </c>
      <c r="FY26" s="18">
        <f t="shared" si="36"/>
        <v>0</v>
      </c>
      <c r="FZ26" s="18">
        <f t="shared" si="36"/>
        <v>0</v>
      </c>
      <c r="GA26" s="18">
        <f t="shared" si="36"/>
        <v>0</v>
      </c>
      <c r="GB26" s="18">
        <f t="shared" si="36"/>
        <v>0</v>
      </c>
      <c r="GC26" s="18">
        <f t="shared" si="33"/>
        <v>0</v>
      </c>
    </row>
    <row r="27" spans="2:185" ht="17.100000000000001" customHeight="1" outlineLevel="1">
      <c r="B27" s="25"/>
      <c r="C27" s="40" t="s">
        <v>42</v>
      </c>
      <c r="D27" s="26" t="s">
        <v>43</v>
      </c>
      <c r="E27" s="27">
        <v>45344</v>
      </c>
      <c r="F27" s="27">
        <f>E27+2</f>
        <v>45346</v>
      </c>
      <c r="G27" s="28">
        <f t="shared" ref="G27:G34" si="38">F27-E27+1</f>
        <v>3</v>
      </c>
      <c r="H27" s="29">
        <f>E27</f>
        <v>45344</v>
      </c>
      <c r="I27" s="30">
        <v>45346</v>
      </c>
      <c r="J27" s="31" t="s">
        <v>23</v>
      </c>
      <c r="K27" s="18">
        <f t="shared" si="34"/>
        <v>0</v>
      </c>
      <c r="L27" s="18">
        <f t="shared" si="34"/>
        <v>0</v>
      </c>
      <c r="M27" s="18">
        <f t="shared" si="34"/>
        <v>0</v>
      </c>
      <c r="N27" s="18">
        <f t="shared" si="34"/>
        <v>0</v>
      </c>
      <c r="O27" s="18">
        <f t="shared" si="34"/>
        <v>0</v>
      </c>
      <c r="P27" s="18">
        <f t="shared" si="34"/>
        <v>0</v>
      </c>
      <c r="Q27" s="18">
        <f t="shared" si="34"/>
        <v>0</v>
      </c>
      <c r="R27" s="18">
        <f t="shared" si="34"/>
        <v>0</v>
      </c>
      <c r="S27" s="18">
        <f t="shared" si="34"/>
        <v>0</v>
      </c>
      <c r="T27" s="18">
        <f t="shared" si="34"/>
        <v>0</v>
      </c>
      <c r="U27" s="18">
        <f t="shared" si="34"/>
        <v>0</v>
      </c>
      <c r="V27" s="18">
        <f t="shared" si="34"/>
        <v>0</v>
      </c>
      <c r="W27" s="18">
        <f t="shared" si="34"/>
        <v>0</v>
      </c>
      <c r="X27" s="18">
        <f t="shared" si="34"/>
        <v>0</v>
      </c>
      <c r="Y27" s="18">
        <f t="shared" si="34"/>
        <v>0</v>
      </c>
      <c r="Z27" s="18">
        <f t="shared" si="34"/>
        <v>0</v>
      </c>
      <c r="AA27" s="18">
        <f t="shared" si="35"/>
        <v>0</v>
      </c>
      <c r="AB27" s="18">
        <f t="shared" si="35"/>
        <v>0</v>
      </c>
      <c r="AC27" s="18">
        <f t="shared" si="35"/>
        <v>0</v>
      </c>
      <c r="AD27" s="18">
        <f t="shared" si="35"/>
        <v>0</v>
      </c>
      <c r="AE27" s="18">
        <f t="shared" si="35"/>
        <v>0</v>
      </c>
      <c r="AF27" s="18">
        <f t="shared" si="35"/>
        <v>0</v>
      </c>
      <c r="AG27" s="18">
        <f t="shared" si="35"/>
        <v>0</v>
      </c>
      <c r="AH27" s="18">
        <f t="shared" si="35"/>
        <v>0</v>
      </c>
      <c r="AI27" s="18">
        <f t="shared" si="35"/>
        <v>1</v>
      </c>
      <c r="AJ27" s="18">
        <f t="shared" si="35"/>
        <v>1</v>
      </c>
      <c r="AK27" s="18">
        <f t="shared" si="35"/>
        <v>1</v>
      </c>
      <c r="AL27" s="18">
        <f t="shared" si="35"/>
        <v>0</v>
      </c>
      <c r="AM27" s="18">
        <f t="shared" si="35"/>
        <v>0</v>
      </c>
      <c r="AN27" s="18">
        <f t="shared" si="35"/>
        <v>0</v>
      </c>
      <c r="AO27" s="18">
        <f t="shared" si="35"/>
        <v>0</v>
      </c>
      <c r="AP27" s="18">
        <f t="shared" si="35"/>
        <v>0</v>
      </c>
      <c r="AQ27" s="18">
        <f t="shared" si="35"/>
        <v>0</v>
      </c>
      <c r="AR27" s="18">
        <f t="shared" si="35"/>
        <v>0</v>
      </c>
      <c r="AS27" s="18">
        <f t="shared" si="35"/>
        <v>0</v>
      </c>
      <c r="AT27" s="18">
        <f t="shared" si="35"/>
        <v>0</v>
      </c>
      <c r="AU27" s="18">
        <f t="shared" si="35"/>
        <v>0</v>
      </c>
      <c r="AV27" s="18">
        <f t="shared" si="35"/>
        <v>0</v>
      </c>
      <c r="AW27" s="18">
        <f t="shared" si="35"/>
        <v>0</v>
      </c>
      <c r="AX27" s="18">
        <f t="shared" si="35"/>
        <v>0</v>
      </c>
      <c r="AY27" s="18">
        <f t="shared" si="35"/>
        <v>0</v>
      </c>
      <c r="AZ27" s="18">
        <f t="shared" si="35"/>
        <v>0</v>
      </c>
      <c r="BA27" s="18">
        <f t="shared" si="35"/>
        <v>0</v>
      </c>
      <c r="BB27" s="18">
        <f t="shared" si="35"/>
        <v>0</v>
      </c>
      <c r="BC27" s="18">
        <f t="shared" si="35"/>
        <v>0</v>
      </c>
      <c r="BD27" s="18">
        <f t="shared" si="35"/>
        <v>0</v>
      </c>
      <c r="BE27" s="18">
        <f t="shared" si="35"/>
        <v>0</v>
      </c>
      <c r="BF27" s="18">
        <f t="shared" si="35"/>
        <v>0</v>
      </c>
      <c r="BG27" s="18">
        <f t="shared" si="35"/>
        <v>0</v>
      </c>
      <c r="BH27" s="18">
        <f t="shared" si="35"/>
        <v>0</v>
      </c>
      <c r="BI27" s="18">
        <f t="shared" si="35"/>
        <v>0</v>
      </c>
      <c r="BJ27" s="18">
        <f t="shared" si="35"/>
        <v>0</v>
      </c>
      <c r="BK27" s="18">
        <f t="shared" si="35"/>
        <v>0</v>
      </c>
      <c r="BL27" s="18">
        <f t="shared" si="35"/>
        <v>0</v>
      </c>
      <c r="BM27" s="18">
        <f t="shared" si="35"/>
        <v>0</v>
      </c>
      <c r="BN27" s="18">
        <f t="shared" si="35"/>
        <v>0</v>
      </c>
      <c r="BO27" s="18">
        <f t="shared" si="35"/>
        <v>0</v>
      </c>
      <c r="BP27" s="18">
        <f t="shared" si="35"/>
        <v>0</v>
      </c>
      <c r="BQ27" s="18">
        <f t="shared" si="35"/>
        <v>0</v>
      </c>
      <c r="BR27" s="18">
        <f t="shared" si="35"/>
        <v>0</v>
      </c>
      <c r="BS27" s="18">
        <f t="shared" si="35"/>
        <v>0</v>
      </c>
      <c r="BT27" s="18">
        <f t="shared" si="35"/>
        <v>0</v>
      </c>
      <c r="BU27" s="18">
        <f t="shared" si="35"/>
        <v>0</v>
      </c>
      <c r="BV27" s="18">
        <f t="shared" si="35"/>
        <v>0</v>
      </c>
      <c r="BW27" s="18">
        <f t="shared" si="35"/>
        <v>0</v>
      </c>
      <c r="BX27" s="18">
        <f t="shared" si="35"/>
        <v>0</v>
      </c>
      <c r="BY27" s="18">
        <f t="shared" si="35"/>
        <v>0</v>
      </c>
      <c r="BZ27" s="18">
        <f t="shared" si="35"/>
        <v>0</v>
      </c>
      <c r="CA27" s="18">
        <f t="shared" si="35"/>
        <v>0</v>
      </c>
      <c r="CB27" s="18">
        <f t="shared" si="35"/>
        <v>0</v>
      </c>
      <c r="CC27" s="18">
        <f t="shared" si="35"/>
        <v>0</v>
      </c>
      <c r="CD27" s="18">
        <f t="shared" si="35"/>
        <v>0</v>
      </c>
      <c r="CE27" s="18">
        <f t="shared" si="35"/>
        <v>0</v>
      </c>
      <c r="CF27" s="18">
        <f t="shared" si="35"/>
        <v>0</v>
      </c>
      <c r="CG27" s="18">
        <f t="shared" si="35"/>
        <v>0</v>
      </c>
      <c r="CH27" s="18">
        <f t="shared" si="35"/>
        <v>0</v>
      </c>
      <c r="CI27" s="18">
        <f t="shared" si="35"/>
        <v>0</v>
      </c>
      <c r="CJ27" s="18">
        <f t="shared" si="35"/>
        <v>0</v>
      </c>
      <c r="CK27" s="18">
        <f t="shared" si="35"/>
        <v>0</v>
      </c>
      <c r="CL27" s="18">
        <f t="shared" si="35"/>
        <v>0</v>
      </c>
      <c r="CM27" s="18">
        <f t="shared" si="30"/>
        <v>0</v>
      </c>
      <c r="CN27" s="18">
        <f t="shared" si="30"/>
        <v>0</v>
      </c>
      <c r="CO27" s="18">
        <f t="shared" si="30"/>
        <v>0</v>
      </c>
      <c r="CP27" s="18">
        <f t="shared" si="30"/>
        <v>0</v>
      </c>
      <c r="CQ27" s="18">
        <f t="shared" si="30"/>
        <v>0</v>
      </c>
      <c r="CR27" s="18">
        <f t="shared" si="30"/>
        <v>0</v>
      </c>
      <c r="CS27" s="18">
        <f t="shared" si="30"/>
        <v>0</v>
      </c>
      <c r="CT27" s="18">
        <f t="shared" si="30"/>
        <v>0</v>
      </c>
      <c r="CU27" s="18">
        <f t="shared" si="30"/>
        <v>0</v>
      </c>
      <c r="CV27" s="18">
        <f t="shared" si="30"/>
        <v>0</v>
      </c>
      <c r="CW27" s="18">
        <f t="shared" si="30"/>
        <v>0</v>
      </c>
      <c r="CX27" s="18">
        <f t="shared" si="30"/>
        <v>0</v>
      </c>
      <c r="CY27" s="18">
        <f t="shared" si="30"/>
        <v>0</v>
      </c>
      <c r="CZ27" s="18">
        <f t="shared" si="30"/>
        <v>0</v>
      </c>
      <c r="DA27" s="18">
        <f t="shared" ref="DA27:ET27" si="39">IF(AND($E27&lt;=DA$5,$F27&gt;=DA$5),1,0)</f>
        <v>0</v>
      </c>
      <c r="DB27" s="18">
        <f t="shared" si="39"/>
        <v>0</v>
      </c>
      <c r="DC27" s="18">
        <f t="shared" si="39"/>
        <v>0</v>
      </c>
      <c r="DD27" s="18">
        <f t="shared" si="39"/>
        <v>0</v>
      </c>
      <c r="DE27" s="18">
        <f t="shared" si="39"/>
        <v>0</v>
      </c>
      <c r="DF27" s="18">
        <f t="shared" si="39"/>
        <v>0</v>
      </c>
      <c r="DG27" s="18">
        <f t="shared" si="39"/>
        <v>0</v>
      </c>
      <c r="DH27" s="18">
        <f t="shared" si="39"/>
        <v>0</v>
      </c>
      <c r="DI27" s="18">
        <f t="shared" si="39"/>
        <v>0</v>
      </c>
      <c r="DJ27" s="18">
        <f t="shared" si="39"/>
        <v>0</v>
      </c>
      <c r="DK27" s="18">
        <f t="shared" si="39"/>
        <v>0</v>
      </c>
      <c r="DL27" s="18">
        <f t="shared" si="39"/>
        <v>0</v>
      </c>
      <c r="DM27" s="18">
        <f t="shared" si="39"/>
        <v>0</v>
      </c>
      <c r="DN27" s="18">
        <f t="shared" si="39"/>
        <v>0</v>
      </c>
      <c r="DO27" s="18">
        <f t="shared" si="39"/>
        <v>0</v>
      </c>
      <c r="DP27" s="18">
        <f t="shared" si="39"/>
        <v>0</v>
      </c>
      <c r="DQ27" s="18">
        <f t="shared" si="39"/>
        <v>0</v>
      </c>
      <c r="DR27" s="18">
        <f t="shared" si="39"/>
        <v>0</v>
      </c>
      <c r="DS27" s="18">
        <f t="shared" si="39"/>
        <v>0</v>
      </c>
      <c r="DT27" s="18">
        <f t="shared" si="39"/>
        <v>0</v>
      </c>
      <c r="DU27" s="18">
        <f t="shared" si="39"/>
        <v>0</v>
      </c>
      <c r="DV27" s="18">
        <f t="shared" si="39"/>
        <v>0</v>
      </c>
      <c r="DW27" s="18">
        <f t="shared" si="39"/>
        <v>0</v>
      </c>
      <c r="DX27" s="18">
        <f t="shared" si="39"/>
        <v>0</v>
      </c>
      <c r="DY27" s="18">
        <f t="shared" si="39"/>
        <v>0</v>
      </c>
      <c r="DZ27" s="18">
        <f t="shared" si="39"/>
        <v>0</v>
      </c>
      <c r="EA27" s="18">
        <f t="shared" si="39"/>
        <v>0</v>
      </c>
      <c r="EB27" s="18">
        <f t="shared" si="39"/>
        <v>0</v>
      </c>
      <c r="EC27" s="18">
        <f t="shared" si="39"/>
        <v>0</v>
      </c>
      <c r="ED27" s="18">
        <f t="shared" si="39"/>
        <v>0</v>
      </c>
      <c r="EE27" s="18">
        <f t="shared" si="39"/>
        <v>0</v>
      </c>
      <c r="EF27" s="18">
        <f t="shared" si="39"/>
        <v>0</v>
      </c>
      <c r="EG27" s="18">
        <f t="shared" si="39"/>
        <v>0</v>
      </c>
      <c r="EH27" s="18">
        <f t="shared" si="39"/>
        <v>0</v>
      </c>
      <c r="EI27" s="18">
        <f t="shared" si="39"/>
        <v>0</v>
      </c>
      <c r="EJ27" s="18">
        <f t="shared" si="39"/>
        <v>0</v>
      </c>
      <c r="EK27" s="18">
        <f t="shared" si="39"/>
        <v>0</v>
      </c>
      <c r="EL27" s="18">
        <f t="shared" si="39"/>
        <v>0</v>
      </c>
      <c r="EM27" s="18">
        <f t="shared" si="39"/>
        <v>0</v>
      </c>
      <c r="EN27" s="18">
        <f t="shared" si="39"/>
        <v>0</v>
      </c>
      <c r="EO27" s="18">
        <f t="shared" si="39"/>
        <v>0</v>
      </c>
      <c r="EP27" s="18">
        <f t="shared" si="39"/>
        <v>0</v>
      </c>
      <c r="EQ27" s="18">
        <f t="shared" si="39"/>
        <v>0</v>
      </c>
      <c r="ER27" s="18">
        <f t="shared" si="39"/>
        <v>0</v>
      </c>
      <c r="ES27" s="18">
        <f t="shared" si="39"/>
        <v>0</v>
      </c>
      <c r="ET27" s="18">
        <f t="shared" si="39"/>
        <v>0</v>
      </c>
      <c r="EU27" s="18">
        <f t="shared" si="36"/>
        <v>0</v>
      </c>
      <c r="EV27" s="18">
        <f t="shared" si="36"/>
        <v>0</v>
      </c>
      <c r="EW27" s="18">
        <f t="shared" si="36"/>
        <v>0</v>
      </c>
      <c r="EX27" s="18">
        <f t="shared" si="36"/>
        <v>0</v>
      </c>
      <c r="EY27" s="18">
        <f t="shared" si="36"/>
        <v>0</v>
      </c>
      <c r="EZ27" s="18">
        <f t="shared" si="36"/>
        <v>0</v>
      </c>
      <c r="FA27" s="18">
        <f t="shared" si="36"/>
        <v>0</v>
      </c>
      <c r="FB27" s="18">
        <f t="shared" si="36"/>
        <v>0</v>
      </c>
      <c r="FC27" s="18">
        <f t="shared" si="36"/>
        <v>0</v>
      </c>
      <c r="FD27" s="18">
        <f t="shared" si="36"/>
        <v>0</v>
      </c>
      <c r="FE27" s="18">
        <f t="shared" si="36"/>
        <v>0</v>
      </c>
      <c r="FF27" s="18">
        <f t="shared" si="36"/>
        <v>0</v>
      </c>
      <c r="FG27" s="18">
        <f t="shared" si="36"/>
        <v>0</v>
      </c>
      <c r="FH27" s="18">
        <f t="shared" si="36"/>
        <v>0</v>
      </c>
      <c r="FI27" s="18">
        <f t="shared" si="36"/>
        <v>0</v>
      </c>
      <c r="FJ27" s="18">
        <f t="shared" si="36"/>
        <v>0</v>
      </c>
      <c r="FK27" s="18">
        <f t="shared" si="36"/>
        <v>0</v>
      </c>
      <c r="FL27" s="18">
        <f t="shared" si="36"/>
        <v>0</v>
      </c>
      <c r="FM27" s="18">
        <f t="shared" si="36"/>
        <v>0</v>
      </c>
      <c r="FN27" s="18">
        <f t="shared" si="36"/>
        <v>0</v>
      </c>
      <c r="FO27" s="18">
        <f t="shared" si="36"/>
        <v>0</v>
      </c>
      <c r="FP27" s="18">
        <f t="shared" si="36"/>
        <v>0</v>
      </c>
      <c r="FQ27" s="18">
        <f t="shared" si="36"/>
        <v>0</v>
      </c>
      <c r="FR27" s="18">
        <f t="shared" si="36"/>
        <v>0</v>
      </c>
      <c r="FS27" s="18">
        <f t="shared" si="36"/>
        <v>0</v>
      </c>
      <c r="FT27" s="18">
        <f t="shared" si="36"/>
        <v>0</v>
      </c>
      <c r="FU27" s="18">
        <f t="shared" si="36"/>
        <v>0</v>
      </c>
      <c r="FV27" s="18">
        <f t="shared" si="36"/>
        <v>0</v>
      </c>
      <c r="FW27" s="18">
        <f t="shared" si="36"/>
        <v>0</v>
      </c>
      <c r="FX27" s="18">
        <f t="shared" si="36"/>
        <v>0</v>
      </c>
      <c r="FY27" s="18">
        <f t="shared" si="36"/>
        <v>0</v>
      </c>
      <c r="FZ27" s="18">
        <f t="shared" si="36"/>
        <v>0</v>
      </c>
      <c r="GA27" s="18">
        <f t="shared" si="36"/>
        <v>0</v>
      </c>
      <c r="GB27" s="18">
        <f t="shared" si="36"/>
        <v>0</v>
      </c>
      <c r="GC27" s="18">
        <f t="shared" si="33"/>
        <v>0</v>
      </c>
    </row>
    <row r="28" spans="2:185" ht="17.100000000000001" customHeight="1" outlineLevel="1">
      <c r="B28" s="25"/>
      <c r="C28" s="40" t="s">
        <v>44</v>
      </c>
      <c r="D28" s="26" t="s">
        <v>43</v>
      </c>
      <c r="E28" s="27">
        <f>E27</f>
        <v>45344</v>
      </c>
      <c r="F28" s="27">
        <f>F27</f>
        <v>45346</v>
      </c>
      <c r="G28" s="28">
        <f t="shared" si="38"/>
        <v>3</v>
      </c>
      <c r="H28" s="29">
        <f>E28</f>
        <v>45344</v>
      </c>
      <c r="I28" s="30">
        <v>45346</v>
      </c>
      <c r="J28" s="31" t="str">
        <f t="shared" ref="J28:J34" ca="1" si="40">IF(E28="","Open",IF(H28="",IF(E28-NOW()&lt;-1,"Overdue",IF(E28-NOW()&lt;2,"Expedite","Open")),IF(ABS(H28-E28)&lt;0,"Ongoing",IF(I28="","Ongoing","Closed"))))</f>
        <v>Closed</v>
      </c>
      <c r="K28" s="18">
        <f t="shared" si="34"/>
        <v>0</v>
      </c>
      <c r="L28" s="18">
        <f t="shared" si="34"/>
        <v>0</v>
      </c>
      <c r="M28" s="18">
        <f t="shared" si="34"/>
        <v>0</v>
      </c>
      <c r="N28" s="18">
        <f t="shared" si="34"/>
        <v>0</v>
      </c>
      <c r="O28" s="18">
        <f t="shared" si="34"/>
        <v>0</v>
      </c>
      <c r="P28" s="18">
        <f t="shared" si="34"/>
        <v>0</v>
      </c>
      <c r="Q28" s="18">
        <f t="shared" si="34"/>
        <v>0</v>
      </c>
      <c r="R28" s="18">
        <f t="shared" si="34"/>
        <v>0</v>
      </c>
      <c r="S28" s="18">
        <f t="shared" si="34"/>
        <v>0</v>
      </c>
      <c r="T28" s="18">
        <f t="shared" si="34"/>
        <v>0</v>
      </c>
      <c r="U28" s="18">
        <f t="shared" si="34"/>
        <v>0</v>
      </c>
      <c r="V28" s="18">
        <f t="shared" si="34"/>
        <v>0</v>
      </c>
      <c r="W28" s="18">
        <f t="shared" si="34"/>
        <v>0</v>
      </c>
      <c r="X28" s="18">
        <f t="shared" si="34"/>
        <v>0</v>
      </c>
      <c r="Y28" s="18">
        <f t="shared" si="34"/>
        <v>0</v>
      </c>
      <c r="Z28" s="18">
        <f t="shared" si="34"/>
        <v>0</v>
      </c>
      <c r="AA28" s="18">
        <f t="shared" si="35"/>
        <v>0</v>
      </c>
      <c r="AB28" s="18">
        <f t="shared" si="35"/>
        <v>0</v>
      </c>
      <c r="AC28" s="18">
        <f t="shared" si="35"/>
        <v>0</v>
      </c>
      <c r="AD28" s="18">
        <f t="shared" si="35"/>
        <v>0</v>
      </c>
      <c r="AE28" s="18">
        <f t="shared" si="35"/>
        <v>0</v>
      </c>
      <c r="AF28" s="18">
        <f t="shared" si="35"/>
        <v>0</v>
      </c>
      <c r="AG28" s="18">
        <f t="shared" si="35"/>
        <v>0</v>
      </c>
      <c r="AH28" s="18">
        <f t="shared" si="35"/>
        <v>0</v>
      </c>
      <c r="AI28" s="18">
        <f t="shared" si="35"/>
        <v>1</v>
      </c>
      <c r="AJ28" s="18">
        <f t="shared" si="35"/>
        <v>1</v>
      </c>
      <c r="AK28" s="18">
        <f t="shared" si="35"/>
        <v>1</v>
      </c>
      <c r="AL28" s="18">
        <f t="shared" si="35"/>
        <v>0</v>
      </c>
      <c r="AM28" s="18">
        <f t="shared" si="35"/>
        <v>0</v>
      </c>
      <c r="AN28" s="18">
        <f t="shared" si="35"/>
        <v>0</v>
      </c>
      <c r="AO28" s="18">
        <f t="shared" si="35"/>
        <v>0</v>
      </c>
      <c r="AP28" s="18">
        <f t="shared" si="35"/>
        <v>0</v>
      </c>
      <c r="AQ28" s="18">
        <f t="shared" si="35"/>
        <v>0</v>
      </c>
      <c r="AR28" s="18">
        <f t="shared" si="35"/>
        <v>0</v>
      </c>
      <c r="AS28" s="18">
        <f t="shared" si="35"/>
        <v>0</v>
      </c>
      <c r="AT28" s="18">
        <f t="shared" si="35"/>
        <v>0</v>
      </c>
      <c r="AU28" s="18">
        <f t="shared" si="35"/>
        <v>0</v>
      </c>
      <c r="AV28" s="18">
        <f t="shared" si="35"/>
        <v>0</v>
      </c>
      <c r="AW28" s="18">
        <f t="shared" si="35"/>
        <v>0</v>
      </c>
      <c r="AX28" s="18">
        <f t="shared" si="35"/>
        <v>0</v>
      </c>
      <c r="AY28" s="18">
        <f t="shared" si="35"/>
        <v>0</v>
      </c>
      <c r="AZ28" s="18">
        <f t="shared" si="35"/>
        <v>0</v>
      </c>
      <c r="BA28" s="18">
        <f t="shared" si="35"/>
        <v>0</v>
      </c>
      <c r="BB28" s="18">
        <f t="shared" si="35"/>
        <v>0</v>
      </c>
      <c r="BC28" s="18">
        <f t="shared" si="35"/>
        <v>0</v>
      </c>
      <c r="BD28" s="18">
        <f t="shared" si="35"/>
        <v>0</v>
      </c>
      <c r="BE28" s="18">
        <f t="shared" si="35"/>
        <v>0</v>
      </c>
      <c r="BF28" s="18">
        <f t="shared" si="35"/>
        <v>0</v>
      </c>
      <c r="BG28" s="18">
        <f t="shared" si="35"/>
        <v>0</v>
      </c>
      <c r="BH28" s="18">
        <f t="shared" si="35"/>
        <v>0</v>
      </c>
      <c r="BI28" s="18">
        <f t="shared" si="35"/>
        <v>0</v>
      </c>
      <c r="BJ28" s="18">
        <f t="shared" si="35"/>
        <v>0</v>
      </c>
      <c r="BK28" s="18">
        <f t="shared" si="35"/>
        <v>0</v>
      </c>
      <c r="BL28" s="18">
        <f t="shared" si="35"/>
        <v>0</v>
      </c>
      <c r="BM28" s="18">
        <f t="shared" si="35"/>
        <v>0</v>
      </c>
      <c r="BN28" s="18">
        <f t="shared" si="35"/>
        <v>0</v>
      </c>
      <c r="BO28" s="18">
        <f t="shared" si="35"/>
        <v>0</v>
      </c>
      <c r="BP28" s="18">
        <f t="shared" si="35"/>
        <v>0</v>
      </c>
      <c r="BQ28" s="18">
        <f t="shared" si="35"/>
        <v>0</v>
      </c>
      <c r="BR28" s="18">
        <f t="shared" si="35"/>
        <v>0</v>
      </c>
      <c r="BS28" s="18">
        <f t="shared" si="35"/>
        <v>0</v>
      </c>
      <c r="BT28" s="18">
        <f t="shared" si="35"/>
        <v>0</v>
      </c>
      <c r="BU28" s="18">
        <f t="shared" si="35"/>
        <v>0</v>
      </c>
      <c r="BV28" s="18">
        <f t="shared" si="35"/>
        <v>0</v>
      </c>
      <c r="BW28" s="18">
        <f t="shared" si="35"/>
        <v>0</v>
      </c>
      <c r="BX28" s="18">
        <f t="shared" si="35"/>
        <v>0</v>
      </c>
      <c r="BY28" s="18">
        <f t="shared" si="35"/>
        <v>0</v>
      </c>
      <c r="BZ28" s="18">
        <f t="shared" si="35"/>
        <v>0</v>
      </c>
      <c r="CA28" s="18">
        <f t="shared" si="35"/>
        <v>0</v>
      </c>
      <c r="CB28" s="18">
        <f t="shared" si="35"/>
        <v>0</v>
      </c>
      <c r="CC28" s="18">
        <f t="shared" si="35"/>
        <v>0</v>
      </c>
      <c r="CD28" s="18">
        <f t="shared" si="35"/>
        <v>0</v>
      </c>
      <c r="CE28" s="18">
        <f t="shared" si="35"/>
        <v>0</v>
      </c>
      <c r="CF28" s="18">
        <f t="shared" si="35"/>
        <v>0</v>
      </c>
      <c r="CG28" s="18">
        <f t="shared" si="35"/>
        <v>0</v>
      </c>
      <c r="CH28" s="18">
        <f t="shared" si="35"/>
        <v>0</v>
      </c>
      <c r="CI28" s="18">
        <f t="shared" si="35"/>
        <v>0</v>
      </c>
      <c r="CJ28" s="18">
        <f t="shared" si="35"/>
        <v>0</v>
      </c>
      <c r="CK28" s="18">
        <f t="shared" si="35"/>
        <v>0</v>
      </c>
      <c r="CL28" s="18">
        <f t="shared" ref="CL28:ET32" si="41">IF(AND($E28&lt;=CL$5,$F28&gt;=CL$5),1,0)</f>
        <v>0</v>
      </c>
      <c r="CM28" s="18">
        <f t="shared" si="41"/>
        <v>0</v>
      </c>
      <c r="CN28" s="18">
        <f t="shared" si="41"/>
        <v>0</v>
      </c>
      <c r="CO28" s="18">
        <f t="shared" si="41"/>
        <v>0</v>
      </c>
      <c r="CP28" s="18">
        <f t="shared" si="41"/>
        <v>0</v>
      </c>
      <c r="CQ28" s="18">
        <f t="shared" si="41"/>
        <v>0</v>
      </c>
      <c r="CR28" s="18">
        <f t="shared" si="41"/>
        <v>0</v>
      </c>
      <c r="CS28" s="18">
        <f t="shared" si="41"/>
        <v>0</v>
      </c>
      <c r="CT28" s="18">
        <f t="shared" si="41"/>
        <v>0</v>
      </c>
      <c r="CU28" s="18">
        <f t="shared" si="41"/>
        <v>0</v>
      </c>
      <c r="CV28" s="18">
        <f t="shared" si="41"/>
        <v>0</v>
      </c>
      <c r="CW28" s="18">
        <f t="shared" si="41"/>
        <v>0</v>
      </c>
      <c r="CX28" s="18">
        <f t="shared" si="41"/>
        <v>0</v>
      </c>
      <c r="CY28" s="18">
        <f t="shared" si="41"/>
        <v>0</v>
      </c>
      <c r="CZ28" s="18">
        <f t="shared" si="41"/>
        <v>0</v>
      </c>
      <c r="DA28" s="18">
        <f t="shared" si="41"/>
        <v>0</v>
      </c>
      <c r="DB28" s="18">
        <f t="shared" si="41"/>
        <v>0</v>
      </c>
      <c r="DC28" s="18">
        <f t="shared" si="41"/>
        <v>0</v>
      </c>
      <c r="DD28" s="18">
        <f t="shared" si="41"/>
        <v>0</v>
      </c>
      <c r="DE28" s="18">
        <f t="shared" si="41"/>
        <v>0</v>
      </c>
      <c r="DF28" s="18">
        <f t="shared" si="41"/>
        <v>0</v>
      </c>
      <c r="DG28" s="18">
        <f t="shared" si="41"/>
        <v>0</v>
      </c>
      <c r="DH28" s="18">
        <f t="shared" si="41"/>
        <v>0</v>
      </c>
      <c r="DI28" s="18">
        <f t="shared" si="41"/>
        <v>0</v>
      </c>
      <c r="DJ28" s="18">
        <f t="shared" si="41"/>
        <v>0</v>
      </c>
      <c r="DK28" s="18">
        <f t="shared" si="41"/>
        <v>0</v>
      </c>
      <c r="DL28" s="18">
        <f t="shared" si="41"/>
        <v>0</v>
      </c>
      <c r="DM28" s="18">
        <f t="shared" si="41"/>
        <v>0</v>
      </c>
      <c r="DN28" s="18">
        <f t="shared" si="41"/>
        <v>0</v>
      </c>
      <c r="DO28" s="18">
        <f t="shared" si="41"/>
        <v>0</v>
      </c>
      <c r="DP28" s="18">
        <f t="shared" si="41"/>
        <v>0</v>
      </c>
      <c r="DQ28" s="18">
        <f t="shared" si="41"/>
        <v>0</v>
      </c>
      <c r="DR28" s="18">
        <f t="shared" si="41"/>
        <v>0</v>
      </c>
      <c r="DS28" s="18">
        <f t="shared" si="41"/>
        <v>0</v>
      </c>
      <c r="DT28" s="18">
        <f t="shared" si="41"/>
        <v>0</v>
      </c>
      <c r="DU28" s="18">
        <f t="shared" si="41"/>
        <v>0</v>
      </c>
      <c r="DV28" s="18">
        <f t="shared" si="41"/>
        <v>0</v>
      </c>
      <c r="DW28" s="18">
        <f t="shared" si="41"/>
        <v>0</v>
      </c>
      <c r="DX28" s="18">
        <f t="shared" si="41"/>
        <v>0</v>
      </c>
      <c r="DY28" s="18">
        <f t="shared" si="41"/>
        <v>0</v>
      </c>
      <c r="DZ28" s="18">
        <f t="shared" si="41"/>
        <v>0</v>
      </c>
      <c r="EA28" s="18">
        <f t="shared" si="41"/>
        <v>0</v>
      </c>
      <c r="EB28" s="18">
        <f t="shared" si="41"/>
        <v>0</v>
      </c>
      <c r="EC28" s="18">
        <f t="shared" si="41"/>
        <v>0</v>
      </c>
      <c r="ED28" s="18">
        <f t="shared" si="41"/>
        <v>0</v>
      </c>
      <c r="EE28" s="18">
        <f t="shared" si="41"/>
        <v>0</v>
      </c>
      <c r="EF28" s="18">
        <f t="shared" si="41"/>
        <v>0</v>
      </c>
      <c r="EG28" s="18">
        <f t="shared" si="41"/>
        <v>0</v>
      </c>
      <c r="EH28" s="18">
        <f t="shared" si="41"/>
        <v>0</v>
      </c>
      <c r="EI28" s="18">
        <f t="shared" si="41"/>
        <v>0</v>
      </c>
      <c r="EJ28" s="18">
        <f t="shared" si="41"/>
        <v>0</v>
      </c>
      <c r="EK28" s="18">
        <f t="shared" si="41"/>
        <v>0</v>
      </c>
      <c r="EL28" s="18">
        <f t="shared" si="41"/>
        <v>0</v>
      </c>
      <c r="EM28" s="18">
        <f t="shared" si="41"/>
        <v>0</v>
      </c>
      <c r="EN28" s="18">
        <f t="shared" si="41"/>
        <v>0</v>
      </c>
      <c r="EO28" s="18">
        <f t="shared" si="41"/>
        <v>0</v>
      </c>
      <c r="EP28" s="18">
        <f t="shared" si="41"/>
        <v>0</v>
      </c>
      <c r="EQ28" s="18">
        <f t="shared" si="41"/>
        <v>0</v>
      </c>
      <c r="ER28" s="18">
        <f t="shared" si="41"/>
        <v>0</v>
      </c>
      <c r="ES28" s="18">
        <f t="shared" si="41"/>
        <v>0</v>
      </c>
      <c r="ET28" s="18">
        <f t="shared" si="41"/>
        <v>0</v>
      </c>
      <c r="EU28" s="18">
        <f t="shared" si="36"/>
        <v>0</v>
      </c>
      <c r="EV28" s="18">
        <f t="shared" si="36"/>
        <v>0</v>
      </c>
      <c r="EW28" s="18">
        <f t="shared" si="36"/>
        <v>0</v>
      </c>
      <c r="EX28" s="18">
        <f t="shared" si="36"/>
        <v>0</v>
      </c>
      <c r="EY28" s="18">
        <f t="shared" si="36"/>
        <v>0</v>
      </c>
      <c r="EZ28" s="18">
        <f t="shared" si="36"/>
        <v>0</v>
      </c>
      <c r="FA28" s="18">
        <f t="shared" si="36"/>
        <v>0</v>
      </c>
      <c r="FB28" s="18">
        <f t="shared" si="36"/>
        <v>0</v>
      </c>
      <c r="FC28" s="18">
        <f t="shared" si="36"/>
        <v>0</v>
      </c>
      <c r="FD28" s="18">
        <f t="shared" si="36"/>
        <v>0</v>
      </c>
      <c r="FE28" s="18">
        <f t="shared" si="36"/>
        <v>0</v>
      </c>
      <c r="FF28" s="18">
        <f t="shared" si="36"/>
        <v>0</v>
      </c>
      <c r="FG28" s="18">
        <f t="shared" si="36"/>
        <v>0</v>
      </c>
      <c r="FH28" s="18">
        <f t="shared" si="36"/>
        <v>0</v>
      </c>
      <c r="FI28" s="18">
        <f t="shared" si="36"/>
        <v>0</v>
      </c>
      <c r="FJ28" s="18">
        <f t="shared" si="36"/>
        <v>0</v>
      </c>
      <c r="FK28" s="18">
        <f t="shared" si="36"/>
        <v>0</v>
      </c>
      <c r="FL28" s="18">
        <f t="shared" si="36"/>
        <v>0</v>
      </c>
      <c r="FM28" s="18">
        <f t="shared" si="36"/>
        <v>0</v>
      </c>
      <c r="FN28" s="18">
        <f t="shared" si="36"/>
        <v>0</v>
      </c>
      <c r="FO28" s="18">
        <f t="shared" si="36"/>
        <v>0</v>
      </c>
      <c r="FP28" s="18">
        <f t="shared" si="36"/>
        <v>0</v>
      </c>
      <c r="FQ28" s="18">
        <f t="shared" si="36"/>
        <v>0</v>
      </c>
      <c r="FR28" s="18">
        <f t="shared" si="36"/>
        <v>0</v>
      </c>
      <c r="FS28" s="18">
        <f t="shared" si="36"/>
        <v>0</v>
      </c>
      <c r="FT28" s="18">
        <f t="shared" si="36"/>
        <v>0</v>
      </c>
      <c r="FU28" s="18">
        <f t="shared" si="36"/>
        <v>0</v>
      </c>
      <c r="FV28" s="18">
        <f t="shared" si="36"/>
        <v>0</v>
      </c>
      <c r="FW28" s="18">
        <f t="shared" si="36"/>
        <v>0</v>
      </c>
      <c r="FX28" s="18">
        <f t="shared" si="36"/>
        <v>0</v>
      </c>
      <c r="FY28" s="18">
        <f t="shared" si="36"/>
        <v>0</v>
      </c>
      <c r="FZ28" s="18">
        <f t="shared" si="36"/>
        <v>0</v>
      </c>
      <c r="GA28" s="18">
        <f t="shared" si="36"/>
        <v>0</v>
      </c>
      <c r="GB28" s="18">
        <f t="shared" si="36"/>
        <v>0</v>
      </c>
      <c r="GC28" s="18">
        <f t="shared" si="33"/>
        <v>0</v>
      </c>
    </row>
    <row r="29" spans="2:185" ht="17.100000000000001" customHeight="1" outlineLevel="1">
      <c r="B29" s="25"/>
      <c r="C29" s="40" t="s">
        <v>45</v>
      </c>
      <c r="D29" s="26" t="s">
        <v>19</v>
      </c>
      <c r="E29" s="27">
        <f>F27</f>
        <v>45346</v>
      </c>
      <c r="F29" s="27">
        <f>E29+7</f>
        <v>45353</v>
      </c>
      <c r="G29" s="28">
        <f t="shared" si="38"/>
        <v>8</v>
      </c>
      <c r="H29" s="29">
        <f>E29</f>
        <v>45346</v>
      </c>
      <c r="I29" s="30"/>
      <c r="J29" s="31" t="s">
        <v>23</v>
      </c>
      <c r="K29" s="18">
        <f t="shared" si="34"/>
        <v>0</v>
      </c>
      <c r="L29" s="18">
        <f t="shared" si="34"/>
        <v>0</v>
      </c>
      <c r="M29" s="18">
        <f t="shared" si="34"/>
        <v>0</v>
      </c>
      <c r="N29" s="18">
        <f t="shared" si="34"/>
        <v>0</v>
      </c>
      <c r="O29" s="18">
        <f t="shared" si="34"/>
        <v>0</v>
      </c>
      <c r="P29" s="18">
        <f t="shared" si="34"/>
        <v>0</v>
      </c>
      <c r="Q29" s="18">
        <f t="shared" si="34"/>
        <v>0</v>
      </c>
      <c r="R29" s="18">
        <f t="shared" si="34"/>
        <v>0</v>
      </c>
      <c r="S29" s="18">
        <f t="shared" si="34"/>
        <v>0</v>
      </c>
      <c r="T29" s="18">
        <f t="shared" si="34"/>
        <v>0</v>
      </c>
      <c r="U29" s="18">
        <f t="shared" si="34"/>
        <v>0</v>
      </c>
      <c r="V29" s="18">
        <f t="shared" si="34"/>
        <v>0</v>
      </c>
      <c r="W29" s="18">
        <f t="shared" si="34"/>
        <v>0</v>
      </c>
      <c r="X29" s="18">
        <f t="shared" si="34"/>
        <v>0</v>
      </c>
      <c r="Y29" s="18">
        <f t="shared" si="34"/>
        <v>0</v>
      </c>
      <c r="Z29" s="18">
        <f t="shared" si="34"/>
        <v>0</v>
      </c>
      <c r="AA29" s="18">
        <f t="shared" ref="AA29:CL32" si="42">IF(AND($E29&lt;=AA$5,$F29&gt;=AA$5),1,0)</f>
        <v>0</v>
      </c>
      <c r="AB29" s="18">
        <f t="shared" si="42"/>
        <v>0</v>
      </c>
      <c r="AC29" s="18">
        <f t="shared" si="42"/>
        <v>0</v>
      </c>
      <c r="AD29" s="18">
        <f t="shared" si="42"/>
        <v>0</v>
      </c>
      <c r="AE29" s="18">
        <f t="shared" si="42"/>
        <v>0</v>
      </c>
      <c r="AF29" s="18">
        <f t="shared" si="42"/>
        <v>0</v>
      </c>
      <c r="AG29" s="18">
        <f t="shared" si="42"/>
        <v>0</v>
      </c>
      <c r="AH29" s="18">
        <f t="shared" si="42"/>
        <v>0</v>
      </c>
      <c r="AI29" s="18">
        <f t="shared" si="42"/>
        <v>0</v>
      </c>
      <c r="AJ29" s="18">
        <f t="shared" si="42"/>
        <v>0</v>
      </c>
      <c r="AK29" s="18">
        <f t="shared" si="42"/>
        <v>1</v>
      </c>
      <c r="AL29" s="18">
        <f t="shared" si="42"/>
        <v>1</v>
      </c>
      <c r="AM29" s="18">
        <f t="shared" si="42"/>
        <v>1</v>
      </c>
      <c r="AN29" s="18">
        <f t="shared" si="42"/>
        <v>1</v>
      </c>
      <c r="AO29" s="18">
        <f t="shared" si="42"/>
        <v>1</v>
      </c>
      <c r="AP29" s="18">
        <f t="shared" si="42"/>
        <v>1</v>
      </c>
      <c r="AQ29" s="18">
        <f t="shared" si="42"/>
        <v>1</v>
      </c>
      <c r="AR29" s="18">
        <f t="shared" si="42"/>
        <v>1</v>
      </c>
      <c r="AS29" s="18">
        <f t="shared" si="42"/>
        <v>0</v>
      </c>
      <c r="AT29" s="18">
        <f t="shared" si="42"/>
        <v>0</v>
      </c>
      <c r="AU29" s="18">
        <f t="shared" si="42"/>
        <v>0</v>
      </c>
      <c r="AV29" s="18">
        <f t="shared" si="42"/>
        <v>0</v>
      </c>
      <c r="AW29" s="18">
        <f t="shared" si="42"/>
        <v>0</v>
      </c>
      <c r="AX29" s="18">
        <f t="shared" si="42"/>
        <v>0</v>
      </c>
      <c r="AY29" s="18">
        <f t="shared" si="42"/>
        <v>0</v>
      </c>
      <c r="AZ29" s="18">
        <f t="shared" si="42"/>
        <v>0</v>
      </c>
      <c r="BA29" s="18">
        <f t="shared" si="42"/>
        <v>0</v>
      </c>
      <c r="BB29" s="18">
        <f t="shared" si="42"/>
        <v>0</v>
      </c>
      <c r="BC29" s="18">
        <f t="shared" si="42"/>
        <v>0</v>
      </c>
      <c r="BD29" s="18">
        <f t="shared" si="42"/>
        <v>0</v>
      </c>
      <c r="BE29" s="18">
        <f t="shared" si="42"/>
        <v>0</v>
      </c>
      <c r="BF29" s="18">
        <f t="shared" si="42"/>
        <v>0</v>
      </c>
      <c r="BG29" s="18">
        <f t="shared" si="42"/>
        <v>0</v>
      </c>
      <c r="BH29" s="18">
        <f t="shared" si="42"/>
        <v>0</v>
      </c>
      <c r="BI29" s="18">
        <f t="shared" si="42"/>
        <v>0</v>
      </c>
      <c r="BJ29" s="18">
        <f t="shared" si="42"/>
        <v>0</v>
      </c>
      <c r="BK29" s="18">
        <f t="shared" si="42"/>
        <v>0</v>
      </c>
      <c r="BL29" s="18">
        <f t="shared" si="42"/>
        <v>0</v>
      </c>
      <c r="BM29" s="18">
        <f t="shared" si="42"/>
        <v>0</v>
      </c>
      <c r="BN29" s="18">
        <f t="shared" si="42"/>
        <v>0</v>
      </c>
      <c r="BO29" s="18">
        <f t="shared" si="42"/>
        <v>0</v>
      </c>
      <c r="BP29" s="18">
        <f t="shared" si="42"/>
        <v>0</v>
      </c>
      <c r="BQ29" s="18">
        <f t="shared" si="42"/>
        <v>0</v>
      </c>
      <c r="BR29" s="18">
        <f t="shared" si="42"/>
        <v>0</v>
      </c>
      <c r="BS29" s="18">
        <f t="shared" si="42"/>
        <v>0</v>
      </c>
      <c r="BT29" s="18">
        <f t="shared" si="42"/>
        <v>0</v>
      </c>
      <c r="BU29" s="18">
        <f t="shared" si="42"/>
        <v>0</v>
      </c>
      <c r="BV29" s="18">
        <f t="shared" si="42"/>
        <v>0</v>
      </c>
      <c r="BW29" s="18">
        <f t="shared" si="42"/>
        <v>0</v>
      </c>
      <c r="BX29" s="18">
        <f t="shared" si="42"/>
        <v>0</v>
      </c>
      <c r="BY29" s="18">
        <f t="shared" si="42"/>
        <v>0</v>
      </c>
      <c r="BZ29" s="18">
        <f t="shared" si="42"/>
        <v>0</v>
      </c>
      <c r="CA29" s="18">
        <f t="shared" si="42"/>
        <v>0</v>
      </c>
      <c r="CB29" s="18">
        <f t="shared" si="42"/>
        <v>0</v>
      </c>
      <c r="CC29" s="18">
        <f t="shared" si="42"/>
        <v>0</v>
      </c>
      <c r="CD29" s="18">
        <f t="shared" si="42"/>
        <v>0</v>
      </c>
      <c r="CE29" s="18">
        <f t="shared" si="42"/>
        <v>0</v>
      </c>
      <c r="CF29" s="18">
        <f t="shared" si="42"/>
        <v>0</v>
      </c>
      <c r="CG29" s="18">
        <f t="shared" si="42"/>
        <v>0</v>
      </c>
      <c r="CH29" s="18">
        <f t="shared" si="42"/>
        <v>0</v>
      </c>
      <c r="CI29" s="18">
        <f t="shared" si="42"/>
        <v>0</v>
      </c>
      <c r="CJ29" s="18">
        <f t="shared" si="42"/>
        <v>0</v>
      </c>
      <c r="CK29" s="18">
        <f t="shared" si="42"/>
        <v>0</v>
      </c>
      <c r="CL29" s="18">
        <f t="shared" si="41"/>
        <v>0</v>
      </c>
      <c r="CM29" s="18">
        <f t="shared" si="41"/>
        <v>0</v>
      </c>
      <c r="CN29" s="18">
        <f t="shared" si="41"/>
        <v>0</v>
      </c>
      <c r="CO29" s="18">
        <f t="shared" si="41"/>
        <v>0</v>
      </c>
      <c r="CP29" s="18">
        <f t="shared" si="41"/>
        <v>0</v>
      </c>
      <c r="CQ29" s="18">
        <f t="shared" si="41"/>
        <v>0</v>
      </c>
      <c r="CR29" s="18">
        <f t="shared" si="41"/>
        <v>0</v>
      </c>
      <c r="CS29" s="18">
        <f t="shared" si="41"/>
        <v>0</v>
      </c>
      <c r="CT29" s="18">
        <f t="shared" si="41"/>
        <v>0</v>
      </c>
      <c r="CU29" s="18">
        <f t="shared" si="41"/>
        <v>0</v>
      </c>
      <c r="CV29" s="18">
        <f t="shared" si="41"/>
        <v>0</v>
      </c>
      <c r="CW29" s="18">
        <f t="shared" si="41"/>
        <v>0</v>
      </c>
      <c r="CX29" s="18">
        <f t="shared" si="41"/>
        <v>0</v>
      </c>
      <c r="CY29" s="18">
        <f t="shared" si="41"/>
        <v>0</v>
      </c>
      <c r="CZ29" s="18">
        <f t="shared" si="41"/>
        <v>0</v>
      </c>
      <c r="DA29" s="18">
        <f t="shared" si="41"/>
        <v>0</v>
      </c>
      <c r="DB29" s="18">
        <f t="shared" si="41"/>
        <v>0</v>
      </c>
      <c r="DC29" s="18">
        <f t="shared" si="41"/>
        <v>0</v>
      </c>
      <c r="DD29" s="18">
        <f t="shared" si="41"/>
        <v>0</v>
      </c>
      <c r="DE29" s="18">
        <f t="shared" si="41"/>
        <v>0</v>
      </c>
      <c r="DF29" s="18">
        <f t="shared" si="41"/>
        <v>0</v>
      </c>
      <c r="DG29" s="18">
        <f t="shared" si="41"/>
        <v>0</v>
      </c>
      <c r="DH29" s="18">
        <f t="shared" si="41"/>
        <v>0</v>
      </c>
      <c r="DI29" s="18">
        <f t="shared" si="41"/>
        <v>0</v>
      </c>
      <c r="DJ29" s="18">
        <f t="shared" si="41"/>
        <v>0</v>
      </c>
      <c r="DK29" s="18">
        <f t="shared" si="41"/>
        <v>0</v>
      </c>
      <c r="DL29" s="18">
        <f t="shared" si="41"/>
        <v>0</v>
      </c>
      <c r="DM29" s="18">
        <f t="shared" si="41"/>
        <v>0</v>
      </c>
      <c r="DN29" s="18">
        <f t="shared" si="41"/>
        <v>0</v>
      </c>
      <c r="DO29" s="18">
        <f t="shared" si="41"/>
        <v>0</v>
      </c>
      <c r="DP29" s="18">
        <f t="shared" si="41"/>
        <v>0</v>
      </c>
      <c r="DQ29" s="18">
        <f t="shared" si="41"/>
        <v>0</v>
      </c>
      <c r="DR29" s="18">
        <f t="shared" si="41"/>
        <v>0</v>
      </c>
      <c r="DS29" s="18">
        <f t="shared" si="41"/>
        <v>0</v>
      </c>
      <c r="DT29" s="18">
        <f t="shared" si="41"/>
        <v>0</v>
      </c>
      <c r="DU29" s="18">
        <f t="shared" si="41"/>
        <v>0</v>
      </c>
      <c r="DV29" s="18">
        <f t="shared" si="41"/>
        <v>0</v>
      </c>
      <c r="DW29" s="18">
        <f t="shared" si="41"/>
        <v>0</v>
      </c>
      <c r="DX29" s="18">
        <f t="shared" si="41"/>
        <v>0</v>
      </c>
      <c r="DY29" s="18">
        <f t="shared" si="41"/>
        <v>0</v>
      </c>
      <c r="DZ29" s="18">
        <f t="shared" si="41"/>
        <v>0</v>
      </c>
      <c r="EA29" s="18">
        <f t="shared" si="41"/>
        <v>0</v>
      </c>
      <c r="EB29" s="18">
        <f t="shared" si="41"/>
        <v>0</v>
      </c>
      <c r="EC29" s="18">
        <f t="shared" si="41"/>
        <v>0</v>
      </c>
      <c r="ED29" s="18">
        <f t="shared" si="41"/>
        <v>0</v>
      </c>
      <c r="EE29" s="18">
        <f t="shared" si="41"/>
        <v>0</v>
      </c>
      <c r="EF29" s="18">
        <f t="shared" si="41"/>
        <v>0</v>
      </c>
      <c r="EG29" s="18">
        <f t="shared" si="41"/>
        <v>0</v>
      </c>
      <c r="EH29" s="18">
        <f t="shared" si="41"/>
        <v>0</v>
      </c>
      <c r="EI29" s="18">
        <f t="shared" si="41"/>
        <v>0</v>
      </c>
      <c r="EJ29" s="18">
        <f t="shared" si="41"/>
        <v>0</v>
      </c>
      <c r="EK29" s="18">
        <f t="shared" si="41"/>
        <v>0</v>
      </c>
      <c r="EL29" s="18">
        <f t="shared" si="41"/>
        <v>0</v>
      </c>
      <c r="EM29" s="18">
        <f t="shared" si="41"/>
        <v>0</v>
      </c>
      <c r="EN29" s="18">
        <f t="shared" si="41"/>
        <v>0</v>
      </c>
      <c r="EO29" s="18">
        <f t="shared" si="41"/>
        <v>0</v>
      </c>
      <c r="EP29" s="18">
        <f t="shared" si="41"/>
        <v>0</v>
      </c>
      <c r="EQ29" s="18">
        <f t="shared" si="41"/>
        <v>0</v>
      </c>
      <c r="ER29" s="18">
        <f t="shared" si="41"/>
        <v>0</v>
      </c>
      <c r="ES29" s="18">
        <f t="shared" si="41"/>
        <v>0</v>
      </c>
      <c r="ET29" s="18">
        <f t="shared" si="41"/>
        <v>0</v>
      </c>
      <c r="EU29" s="18">
        <f t="shared" si="36"/>
        <v>0</v>
      </c>
      <c r="EV29" s="18">
        <f t="shared" si="36"/>
        <v>0</v>
      </c>
      <c r="EW29" s="18">
        <f t="shared" si="36"/>
        <v>0</v>
      </c>
      <c r="EX29" s="18">
        <f t="shared" si="36"/>
        <v>0</v>
      </c>
      <c r="EY29" s="18">
        <f t="shared" si="36"/>
        <v>0</v>
      </c>
      <c r="EZ29" s="18">
        <f t="shared" si="36"/>
        <v>0</v>
      </c>
      <c r="FA29" s="18">
        <f t="shared" si="36"/>
        <v>0</v>
      </c>
      <c r="FB29" s="18">
        <f t="shared" si="36"/>
        <v>0</v>
      </c>
      <c r="FC29" s="18">
        <f t="shared" si="36"/>
        <v>0</v>
      </c>
      <c r="FD29" s="18">
        <f t="shared" si="36"/>
        <v>0</v>
      </c>
      <c r="FE29" s="18">
        <f t="shared" si="36"/>
        <v>0</v>
      </c>
      <c r="FF29" s="18">
        <f t="shared" si="36"/>
        <v>0</v>
      </c>
      <c r="FG29" s="18">
        <f t="shared" si="36"/>
        <v>0</v>
      </c>
      <c r="FH29" s="18">
        <f t="shared" si="36"/>
        <v>0</v>
      </c>
      <c r="FI29" s="18">
        <f t="shared" si="36"/>
        <v>0</v>
      </c>
      <c r="FJ29" s="18">
        <f t="shared" si="36"/>
        <v>0</v>
      </c>
      <c r="FK29" s="18">
        <f t="shared" si="36"/>
        <v>0</v>
      </c>
      <c r="FL29" s="18">
        <f t="shared" si="36"/>
        <v>0</v>
      </c>
      <c r="FM29" s="18">
        <f t="shared" si="36"/>
        <v>0</v>
      </c>
      <c r="FN29" s="18">
        <f t="shared" si="36"/>
        <v>0</v>
      </c>
      <c r="FO29" s="18">
        <f t="shared" si="36"/>
        <v>0</v>
      </c>
      <c r="FP29" s="18">
        <f t="shared" si="36"/>
        <v>0</v>
      </c>
      <c r="FQ29" s="18">
        <f t="shared" si="36"/>
        <v>0</v>
      </c>
      <c r="FR29" s="18">
        <f t="shared" si="36"/>
        <v>0</v>
      </c>
      <c r="FS29" s="18">
        <f t="shared" si="36"/>
        <v>0</v>
      </c>
      <c r="FT29" s="18">
        <f t="shared" si="36"/>
        <v>0</v>
      </c>
      <c r="FU29" s="18">
        <f t="shared" si="36"/>
        <v>0</v>
      </c>
      <c r="FV29" s="18">
        <f t="shared" si="36"/>
        <v>0</v>
      </c>
      <c r="FW29" s="18">
        <f t="shared" si="36"/>
        <v>0</v>
      </c>
      <c r="FX29" s="18">
        <f t="shared" si="36"/>
        <v>0</v>
      </c>
      <c r="FY29" s="18">
        <f t="shared" si="36"/>
        <v>0</v>
      </c>
      <c r="FZ29" s="18">
        <f t="shared" si="36"/>
        <v>0</v>
      </c>
      <c r="GA29" s="18">
        <f t="shared" si="36"/>
        <v>0</v>
      </c>
      <c r="GB29" s="18">
        <f t="shared" si="36"/>
        <v>0</v>
      </c>
      <c r="GC29" s="18">
        <f t="shared" si="33"/>
        <v>0</v>
      </c>
    </row>
    <row r="30" spans="2:185" ht="17.100000000000001" customHeight="1" outlineLevel="1">
      <c r="B30" s="25"/>
      <c r="C30" s="40" t="s">
        <v>46</v>
      </c>
      <c r="D30" s="26" t="s">
        <v>47</v>
      </c>
      <c r="E30" s="27">
        <f>E29</f>
        <v>45346</v>
      </c>
      <c r="F30" s="27">
        <f>E30+6</f>
        <v>45352</v>
      </c>
      <c r="G30" s="28">
        <f t="shared" si="38"/>
        <v>7</v>
      </c>
      <c r="H30" s="29">
        <f>E30</f>
        <v>45346</v>
      </c>
      <c r="I30" s="30"/>
      <c r="J30" s="31" t="str">
        <f t="shared" ca="1" si="40"/>
        <v>Ongoing</v>
      </c>
      <c r="K30" s="18">
        <f t="shared" si="34"/>
        <v>0</v>
      </c>
      <c r="L30" s="18">
        <f t="shared" si="34"/>
        <v>0</v>
      </c>
      <c r="M30" s="18">
        <f t="shared" si="34"/>
        <v>0</v>
      </c>
      <c r="N30" s="18">
        <f t="shared" si="34"/>
        <v>0</v>
      </c>
      <c r="O30" s="18">
        <f t="shared" si="34"/>
        <v>0</v>
      </c>
      <c r="P30" s="18">
        <f t="shared" si="34"/>
        <v>0</v>
      </c>
      <c r="Q30" s="18">
        <f t="shared" si="34"/>
        <v>0</v>
      </c>
      <c r="R30" s="18">
        <f t="shared" si="34"/>
        <v>0</v>
      </c>
      <c r="S30" s="18">
        <f t="shared" si="34"/>
        <v>0</v>
      </c>
      <c r="T30" s="18">
        <f t="shared" si="34"/>
        <v>0</v>
      </c>
      <c r="U30" s="18">
        <f t="shared" si="34"/>
        <v>0</v>
      </c>
      <c r="V30" s="18">
        <f t="shared" si="34"/>
        <v>0</v>
      </c>
      <c r="W30" s="18">
        <f t="shared" si="34"/>
        <v>0</v>
      </c>
      <c r="X30" s="18">
        <f t="shared" si="34"/>
        <v>0</v>
      </c>
      <c r="Y30" s="18">
        <f t="shared" si="34"/>
        <v>0</v>
      </c>
      <c r="Z30" s="18">
        <f t="shared" si="34"/>
        <v>0</v>
      </c>
      <c r="AA30" s="18">
        <f t="shared" si="42"/>
        <v>0</v>
      </c>
      <c r="AB30" s="18">
        <f t="shared" si="42"/>
        <v>0</v>
      </c>
      <c r="AC30" s="18">
        <f t="shared" si="42"/>
        <v>0</v>
      </c>
      <c r="AD30" s="18">
        <f t="shared" si="42"/>
        <v>0</v>
      </c>
      <c r="AE30" s="18">
        <f t="shared" si="42"/>
        <v>0</v>
      </c>
      <c r="AF30" s="18">
        <f t="shared" si="42"/>
        <v>0</v>
      </c>
      <c r="AG30" s="18">
        <f t="shared" si="42"/>
        <v>0</v>
      </c>
      <c r="AH30" s="18">
        <f t="shared" si="42"/>
        <v>0</v>
      </c>
      <c r="AI30" s="18">
        <f t="shared" si="42"/>
        <v>0</v>
      </c>
      <c r="AJ30" s="18">
        <f t="shared" si="42"/>
        <v>0</v>
      </c>
      <c r="AK30" s="18">
        <f t="shared" si="42"/>
        <v>1</v>
      </c>
      <c r="AL30" s="18">
        <f t="shared" si="42"/>
        <v>1</v>
      </c>
      <c r="AM30" s="18">
        <f t="shared" si="42"/>
        <v>1</v>
      </c>
      <c r="AN30" s="18">
        <f t="shared" si="42"/>
        <v>1</v>
      </c>
      <c r="AO30" s="18">
        <f t="shared" si="42"/>
        <v>1</v>
      </c>
      <c r="AP30" s="18">
        <f t="shared" si="42"/>
        <v>1</v>
      </c>
      <c r="AQ30" s="18">
        <f t="shared" si="42"/>
        <v>1</v>
      </c>
      <c r="AR30" s="18">
        <f t="shared" si="42"/>
        <v>0</v>
      </c>
      <c r="AS30" s="18">
        <f t="shared" si="42"/>
        <v>0</v>
      </c>
      <c r="AT30" s="18">
        <f t="shared" si="42"/>
        <v>0</v>
      </c>
      <c r="AU30" s="18">
        <f t="shared" si="42"/>
        <v>0</v>
      </c>
      <c r="AV30" s="18">
        <f t="shared" si="42"/>
        <v>0</v>
      </c>
      <c r="AW30" s="18">
        <f t="shared" si="42"/>
        <v>0</v>
      </c>
      <c r="AX30" s="18">
        <f t="shared" si="42"/>
        <v>0</v>
      </c>
      <c r="AY30" s="18">
        <f t="shared" si="42"/>
        <v>0</v>
      </c>
      <c r="AZ30" s="18">
        <f t="shared" si="42"/>
        <v>0</v>
      </c>
      <c r="BA30" s="18">
        <f t="shared" si="42"/>
        <v>0</v>
      </c>
      <c r="BB30" s="18">
        <f t="shared" si="42"/>
        <v>0</v>
      </c>
      <c r="BC30" s="18">
        <f t="shared" si="42"/>
        <v>0</v>
      </c>
      <c r="BD30" s="18">
        <f t="shared" si="42"/>
        <v>0</v>
      </c>
      <c r="BE30" s="18">
        <f t="shared" si="42"/>
        <v>0</v>
      </c>
      <c r="BF30" s="18">
        <f t="shared" si="42"/>
        <v>0</v>
      </c>
      <c r="BG30" s="18">
        <f t="shared" si="42"/>
        <v>0</v>
      </c>
      <c r="BH30" s="18">
        <f t="shared" si="42"/>
        <v>0</v>
      </c>
      <c r="BI30" s="18">
        <f t="shared" si="42"/>
        <v>0</v>
      </c>
      <c r="BJ30" s="18">
        <f t="shared" si="42"/>
        <v>0</v>
      </c>
      <c r="BK30" s="18">
        <f t="shared" si="42"/>
        <v>0</v>
      </c>
      <c r="BL30" s="18">
        <f t="shared" si="42"/>
        <v>0</v>
      </c>
      <c r="BM30" s="18">
        <f t="shared" si="42"/>
        <v>0</v>
      </c>
      <c r="BN30" s="18">
        <f t="shared" si="42"/>
        <v>0</v>
      </c>
      <c r="BO30" s="18">
        <f t="shared" si="42"/>
        <v>0</v>
      </c>
      <c r="BP30" s="18">
        <f t="shared" si="42"/>
        <v>0</v>
      </c>
      <c r="BQ30" s="18">
        <f t="shared" si="42"/>
        <v>0</v>
      </c>
      <c r="BR30" s="18">
        <f t="shared" si="42"/>
        <v>0</v>
      </c>
      <c r="BS30" s="18">
        <f t="shared" si="42"/>
        <v>0</v>
      </c>
      <c r="BT30" s="18">
        <f t="shared" si="42"/>
        <v>0</v>
      </c>
      <c r="BU30" s="18">
        <f t="shared" si="42"/>
        <v>0</v>
      </c>
      <c r="BV30" s="18">
        <f t="shared" si="42"/>
        <v>0</v>
      </c>
      <c r="BW30" s="18">
        <f t="shared" si="42"/>
        <v>0</v>
      </c>
      <c r="BX30" s="18">
        <f t="shared" si="42"/>
        <v>0</v>
      </c>
      <c r="BY30" s="18">
        <f t="shared" si="42"/>
        <v>0</v>
      </c>
      <c r="BZ30" s="18">
        <f t="shared" si="42"/>
        <v>0</v>
      </c>
      <c r="CA30" s="18">
        <f t="shared" si="42"/>
        <v>0</v>
      </c>
      <c r="CB30" s="18">
        <f t="shared" si="42"/>
        <v>0</v>
      </c>
      <c r="CC30" s="18">
        <f t="shared" si="42"/>
        <v>0</v>
      </c>
      <c r="CD30" s="18">
        <f t="shared" si="42"/>
        <v>0</v>
      </c>
      <c r="CE30" s="18">
        <f t="shared" si="42"/>
        <v>0</v>
      </c>
      <c r="CF30" s="18">
        <f t="shared" si="42"/>
        <v>0</v>
      </c>
      <c r="CG30" s="18">
        <f t="shared" si="42"/>
        <v>0</v>
      </c>
      <c r="CH30" s="18">
        <f t="shared" si="42"/>
        <v>0</v>
      </c>
      <c r="CI30" s="18">
        <f t="shared" si="42"/>
        <v>0</v>
      </c>
      <c r="CJ30" s="18">
        <f t="shared" si="42"/>
        <v>0</v>
      </c>
      <c r="CK30" s="18">
        <f t="shared" si="42"/>
        <v>0</v>
      </c>
      <c r="CL30" s="18">
        <f t="shared" si="42"/>
        <v>0</v>
      </c>
      <c r="CM30" s="18">
        <f t="shared" si="41"/>
        <v>0</v>
      </c>
      <c r="CN30" s="18">
        <f t="shared" si="41"/>
        <v>0</v>
      </c>
      <c r="CO30" s="18">
        <f t="shared" si="41"/>
        <v>0</v>
      </c>
      <c r="CP30" s="18">
        <f t="shared" si="41"/>
        <v>0</v>
      </c>
      <c r="CQ30" s="18">
        <f t="shared" si="41"/>
        <v>0</v>
      </c>
      <c r="CR30" s="18">
        <f t="shared" si="41"/>
        <v>0</v>
      </c>
      <c r="CS30" s="18">
        <f t="shared" si="41"/>
        <v>0</v>
      </c>
      <c r="CT30" s="18">
        <f t="shared" si="41"/>
        <v>0</v>
      </c>
      <c r="CU30" s="18">
        <f t="shared" si="41"/>
        <v>0</v>
      </c>
      <c r="CV30" s="18">
        <f t="shared" si="41"/>
        <v>0</v>
      </c>
      <c r="CW30" s="18">
        <f t="shared" si="41"/>
        <v>0</v>
      </c>
      <c r="CX30" s="18">
        <f t="shared" si="41"/>
        <v>0</v>
      </c>
      <c r="CY30" s="18">
        <f t="shared" si="41"/>
        <v>0</v>
      </c>
      <c r="CZ30" s="18">
        <f t="shared" si="41"/>
        <v>0</v>
      </c>
      <c r="DA30" s="18">
        <f t="shared" si="41"/>
        <v>0</v>
      </c>
      <c r="DB30" s="18">
        <f t="shared" si="41"/>
        <v>0</v>
      </c>
      <c r="DC30" s="18">
        <f t="shared" si="41"/>
        <v>0</v>
      </c>
      <c r="DD30" s="18">
        <f t="shared" si="41"/>
        <v>0</v>
      </c>
      <c r="DE30" s="18">
        <f t="shared" si="41"/>
        <v>0</v>
      </c>
      <c r="DF30" s="18">
        <f t="shared" si="41"/>
        <v>0</v>
      </c>
      <c r="DG30" s="18">
        <f t="shared" si="41"/>
        <v>0</v>
      </c>
      <c r="DH30" s="18">
        <f t="shared" si="41"/>
        <v>0</v>
      </c>
      <c r="DI30" s="18">
        <f t="shared" si="41"/>
        <v>0</v>
      </c>
      <c r="DJ30" s="18">
        <f t="shared" si="41"/>
        <v>0</v>
      </c>
      <c r="DK30" s="18">
        <f t="shared" si="41"/>
        <v>0</v>
      </c>
      <c r="DL30" s="18">
        <f t="shared" si="41"/>
        <v>0</v>
      </c>
      <c r="DM30" s="18">
        <f t="shared" si="41"/>
        <v>0</v>
      </c>
      <c r="DN30" s="18">
        <f t="shared" si="41"/>
        <v>0</v>
      </c>
      <c r="DO30" s="18">
        <f t="shared" si="41"/>
        <v>0</v>
      </c>
      <c r="DP30" s="18">
        <f t="shared" si="41"/>
        <v>0</v>
      </c>
      <c r="DQ30" s="18">
        <f t="shared" si="41"/>
        <v>0</v>
      </c>
      <c r="DR30" s="18">
        <f t="shared" si="41"/>
        <v>0</v>
      </c>
      <c r="DS30" s="18">
        <f t="shared" si="41"/>
        <v>0</v>
      </c>
      <c r="DT30" s="18">
        <f t="shared" si="41"/>
        <v>0</v>
      </c>
      <c r="DU30" s="18">
        <f t="shared" si="41"/>
        <v>0</v>
      </c>
      <c r="DV30" s="18">
        <f t="shared" si="41"/>
        <v>0</v>
      </c>
      <c r="DW30" s="18">
        <f t="shared" si="41"/>
        <v>0</v>
      </c>
      <c r="DX30" s="18">
        <f t="shared" si="41"/>
        <v>0</v>
      </c>
      <c r="DY30" s="18">
        <f t="shared" si="41"/>
        <v>0</v>
      </c>
      <c r="DZ30" s="18">
        <f t="shared" si="41"/>
        <v>0</v>
      </c>
      <c r="EA30" s="18">
        <f t="shared" si="41"/>
        <v>0</v>
      </c>
      <c r="EB30" s="18">
        <f t="shared" si="41"/>
        <v>0</v>
      </c>
      <c r="EC30" s="18">
        <f t="shared" si="41"/>
        <v>0</v>
      </c>
      <c r="ED30" s="18">
        <f t="shared" si="41"/>
        <v>0</v>
      </c>
      <c r="EE30" s="18">
        <f t="shared" si="41"/>
        <v>0</v>
      </c>
      <c r="EF30" s="18">
        <f t="shared" si="41"/>
        <v>0</v>
      </c>
      <c r="EG30" s="18">
        <f t="shared" si="41"/>
        <v>0</v>
      </c>
      <c r="EH30" s="18">
        <f t="shared" si="41"/>
        <v>0</v>
      </c>
      <c r="EI30" s="18">
        <f t="shared" si="41"/>
        <v>0</v>
      </c>
      <c r="EJ30" s="18">
        <f t="shared" si="41"/>
        <v>0</v>
      </c>
      <c r="EK30" s="18">
        <f t="shared" si="41"/>
        <v>0</v>
      </c>
      <c r="EL30" s="18">
        <f t="shared" si="41"/>
        <v>0</v>
      </c>
      <c r="EM30" s="18">
        <f t="shared" si="41"/>
        <v>0</v>
      </c>
      <c r="EN30" s="18">
        <f t="shared" si="41"/>
        <v>0</v>
      </c>
      <c r="EO30" s="18">
        <f t="shared" si="41"/>
        <v>0</v>
      </c>
      <c r="EP30" s="18">
        <f t="shared" si="41"/>
        <v>0</v>
      </c>
      <c r="EQ30" s="18">
        <f t="shared" si="41"/>
        <v>0</v>
      </c>
      <c r="ER30" s="18">
        <f t="shared" si="41"/>
        <v>0</v>
      </c>
      <c r="ES30" s="18">
        <f t="shared" si="41"/>
        <v>0</v>
      </c>
      <c r="ET30" s="18">
        <f t="shared" si="41"/>
        <v>0</v>
      </c>
      <c r="EU30" s="18">
        <f t="shared" si="36"/>
        <v>0</v>
      </c>
      <c r="EV30" s="18">
        <f t="shared" si="36"/>
        <v>0</v>
      </c>
      <c r="EW30" s="18">
        <f t="shared" si="36"/>
        <v>0</v>
      </c>
      <c r="EX30" s="18">
        <f t="shared" si="36"/>
        <v>0</v>
      </c>
      <c r="EY30" s="18">
        <f t="shared" si="36"/>
        <v>0</v>
      </c>
      <c r="EZ30" s="18">
        <f t="shared" si="36"/>
        <v>0</v>
      </c>
      <c r="FA30" s="18">
        <f t="shared" si="36"/>
        <v>0</v>
      </c>
      <c r="FB30" s="18">
        <f t="shared" si="36"/>
        <v>0</v>
      </c>
      <c r="FC30" s="18">
        <f t="shared" si="36"/>
        <v>0</v>
      </c>
      <c r="FD30" s="18">
        <f t="shared" si="36"/>
        <v>0</v>
      </c>
      <c r="FE30" s="18">
        <f t="shared" si="36"/>
        <v>0</v>
      </c>
      <c r="FF30" s="18">
        <f t="shared" si="36"/>
        <v>0</v>
      </c>
      <c r="FG30" s="18">
        <f t="shared" si="36"/>
        <v>0</v>
      </c>
      <c r="FH30" s="18">
        <f t="shared" si="36"/>
        <v>0</v>
      </c>
      <c r="FI30" s="18">
        <f t="shared" si="36"/>
        <v>0</v>
      </c>
      <c r="FJ30" s="18">
        <f t="shared" si="36"/>
        <v>0</v>
      </c>
      <c r="FK30" s="18">
        <f t="shared" si="36"/>
        <v>0</v>
      </c>
      <c r="FL30" s="18">
        <f t="shared" si="36"/>
        <v>0</v>
      </c>
      <c r="FM30" s="18">
        <f t="shared" si="36"/>
        <v>0</v>
      </c>
      <c r="FN30" s="18">
        <f t="shared" si="36"/>
        <v>0</v>
      </c>
      <c r="FO30" s="18">
        <f t="shared" si="36"/>
        <v>0</v>
      </c>
      <c r="FP30" s="18">
        <f t="shared" si="36"/>
        <v>0</v>
      </c>
      <c r="FQ30" s="18">
        <f t="shared" si="36"/>
        <v>0</v>
      </c>
      <c r="FR30" s="18">
        <f t="shared" si="36"/>
        <v>0</v>
      </c>
      <c r="FS30" s="18">
        <f t="shared" si="36"/>
        <v>0</v>
      </c>
      <c r="FT30" s="18">
        <f t="shared" si="36"/>
        <v>0</v>
      </c>
      <c r="FU30" s="18">
        <f t="shared" si="36"/>
        <v>0</v>
      </c>
      <c r="FV30" s="18">
        <f t="shared" si="36"/>
        <v>0</v>
      </c>
      <c r="FW30" s="18">
        <f t="shared" si="36"/>
        <v>0</v>
      </c>
      <c r="FX30" s="18">
        <f t="shared" si="36"/>
        <v>0</v>
      </c>
      <c r="FY30" s="18">
        <f t="shared" si="36"/>
        <v>0</v>
      </c>
      <c r="FZ30" s="18">
        <f t="shared" si="36"/>
        <v>0</v>
      </c>
      <c r="GA30" s="18">
        <f t="shared" si="36"/>
        <v>0</v>
      </c>
      <c r="GB30" s="18">
        <f t="shared" si="36"/>
        <v>0</v>
      </c>
      <c r="GC30" s="18">
        <f t="shared" si="33"/>
        <v>0</v>
      </c>
    </row>
    <row r="31" spans="2:185" ht="17.100000000000001" customHeight="1" outlineLevel="1">
      <c r="B31" s="25"/>
      <c r="C31" s="40" t="s">
        <v>48</v>
      </c>
      <c r="D31" s="26" t="s">
        <v>19</v>
      </c>
      <c r="E31" s="27">
        <f>F30</f>
        <v>45352</v>
      </c>
      <c r="F31" s="27">
        <f>E31+1</f>
        <v>45353</v>
      </c>
      <c r="G31" s="28">
        <f t="shared" si="38"/>
        <v>2</v>
      </c>
      <c r="H31" s="29"/>
      <c r="I31" s="30"/>
      <c r="J31" s="31" t="str">
        <f t="shared" ca="1" si="40"/>
        <v>Expedite</v>
      </c>
      <c r="K31" s="18">
        <f t="shared" si="34"/>
        <v>0</v>
      </c>
      <c r="L31" s="18">
        <f t="shared" si="34"/>
        <v>0</v>
      </c>
      <c r="M31" s="18">
        <f t="shared" si="34"/>
        <v>0</v>
      </c>
      <c r="N31" s="18">
        <f t="shared" si="34"/>
        <v>0</v>
      </c>
      <c r="O31" s="18">
        <f t="shared" si="34"/>
        <v>0</v>
      </c>
      <c r="P31" s="18">
        <f t="shared" si="34"/>
        <v>0</v>
      </c>
      <c r="Q31" s="18">
        <f t="shared" si="34"/>
        <v>0</v>
      </c>
      <c r="R31" s="18">
        <f t="shared" si="34"/>
        <v>0</v>
      </c>
      <c r="S31" s="18">
        <f t="shared" si="34"/>
        <v>0</v>
      </c>
      <c r="T31" s="18">
        <f t="shared" si="34"/>
        <v>0</v>
      </c>
      <c r="U31" s="18">
        <f t="shared" si="34"/>
        <v>0</v>
      </c>
      <c r="V31" s="18">
        <f t="shared" si="34"/>
        <v>0</v>
      </c>
      <c r="W31" s="18">
        <f t="shared" si="34"/>
        <v>0</v>
      </c>
      <c r="X31" s="18">
        <f t="shared" si="34"/>
        <v>0</v>
      </c>
      <c r="Y31" s="18">
        <f t="shared" si="34"/>
        <v>0</v>
      </c>
      <c r="Z31" s="18">
        <f t="shared" si="34"/>
        <v>0</v>
      </c>
      <c r="AA31" s="18">
        <f t="shared" si="42"/>
        <v>0</v>
      </c>
      <c r="AB31" s="18">
        <f t="shared" si="42"/>
        <v>0</v>
      </c>
      <c r="AC31" s="18">
        <f t="shared" si="42"/>
        <v>0</v>
      </c>
      <c r="AD31" s="18">
        <f t="shared" si="42"/>
        <v>0</v>
      </c>
      <c r="AE31" s="18">
        <f t="shared" si="42"/>
        <v>0</v>
      </c>
      <c r="AF31" s="18">
        <f t="shared" si="42"/>
        <v>0</v>
      </c>
      <c r="AG31" s="18">
        <f t="shared" si="42"/>
        <v>0</v>
      </c>
      <c r="AH31" s="18">
        <f t="shared" si="42"/>
        <v>0</v>
      </c>
      <c r="AI31" s="18">
        <f t="shared" si="42"/>
        <v>0</v>
      </c>
      <c r="AJ31" s="18">
        <f t="shared" si="42"/>
        <v>0</v>
      </c>
      <c r="AK31" s="18">
        <f t="shared" si="42"/>
        <v>0</v>
      </c>
      <c r="AL31" s="18">
        <f t="shared" si="42"/>
        <v>0</v>
      </c>
      <c r="AM31" s="18">
        <f t="shared" si="42"/>
        <v>0</v>
      </c>
      <c r="AN31" s="18">
        <f t="shared" si="42"/>
        <v>0</v>
      </c>
      <c r="AO31" s="18">
        <f t="shared" si="42"/>
        <v>0</v>
      </c>
      <c r="AP31" s="18">
        <f t="shared" si="42"/>
        <v>0</v>
      </c>
      <c r="AQ31" s="18">
        <f t="shared" si="42"/>
        <v>1</v>
      </c>
      <c r="AR31" s="18">
        <f t="shared" si="42"/>
        <v>1</v>
      </c>
      <c r="AS31" s="18">
        <f t="shared" si="42"/>
        <v>0</v>
      </c>
      <c r="AT31" s="18">
        <f t="shared" si="42"/>
        <v>0</v>
      </c>
      <c r="AU31" s="18">
        <f t="shared" si="42"/>
        <v>0</v>
      </c>
      <c r="AV31" s="18">
        <f t="shared" si="42"/>
        <v>0</v>
      </c>
      <c r="AW31" s="18">
        <f t="shared" si="42"/>
        <v>0</v>
      </c>
      <c r="AX31" s="18">
        <f t="shared" si="42"/>
        <v>0</v>
      </c>
      <c r="AY31" s="18">
        <f t="shared" si="42"/>
        <v>0</v>
      </c>
      <c r="AZ31" s="18">
        <f t="shared" si="42"/>
        <v>0</v>
      </c>
      <c r="BA31" s="18">
        <f t="shared" si="42"/>
        <v>0</v>
      </c>
      <c r="BB31" s="18">
        <f t="shared" si="42"/>
        <v>0</v>
      </c>
      <c r="BC31" s="18">
        <f t="shared" si="42"/>
        <v>0</v>
      </c>
      <c r="BD31" s="18">
        <f t="shared" si="42"/>
        <v>0</v>
      </c>
      <c r="BE31" s="18">
        <f t="shared" si="42"/>
        <v>0</v>
      </c>
      <c r="BF31" s="18">
        <f t="shared" si="42"/>
        <v>0</v>
      </c>
      <c r="BG31" s="18">
        <f t="shared" si="42"/>
        <v>0</v>
      </c>
      <c r="BH31" s="18">
        <f t="shared" si="42"/>
        <v>0</v>
      </c>
      <c r="BI31" s="18">
        <f t="shared" si="42"/>
        <v>0</v>
      </c>
      <c r="BJ31" s="18">
        <f t="shared" si="42"/>
        <v>0</v>
      </c>
      <c r="BK31" s="18">
        <f t="shared" si="42"/>
        <v>0</v>
      </c>
      <c r="BL31" s="18">
        <f t="shared" si="42"/>
        <v>0</v>
      </c>
      <c r="BM31" s="18">
        <f t="shared" si="42"/>
        <v>0</v>
      </c>
      <c r="BN31" s="18">
        <f t="shared" si="42"/>
        <v>0</v>
      </c>
      <c r="BO31" s="18">
        <f t="shared" si="42"/>
        <v>0</v>
      </c>
      <c r="BP31" s="18">
        <f t="shared" si="42"/>
        <v>0</v>
      </c>
      <c r="BQ31" s="18">
        <f t="shared" si="42"/>
        <v>0</v>
      </c>
      <c r="BR31" s="18">
        <f t="shared" si="42"/>
        <v>0</v>
      </c>
      <c r="BS31" s="18">
        <f t="shared" si="42"/>
        <v>0</v>
      </c>
      <c r="BT31" s="18">
        <f t="shared" si="42"/>
        <v>0</v>
      </c>
      <c r="BU31" s="18">
        <f t="shared" si="42"/>
        <v>0</v>
      </c>
      <c r="BV31" s="18">
        <f t="shared" si="42"/>
        <v>0</v>
      </c>
      <c r="BW31" s="18">
        <f t="shared" si="42"/>
        <v>0</v>
      </c>
      <c r="BX31" s="18">
        <f t="shared" si="42"/>
        <v>0</v>
      </c>
      <c r="BY31" s="18">
        <f t="shared" si="42"/>
        <v>0</v>
      </c>
      <c r="BZ31" s="18">
        <f t="shared" si="42"/>
        <v>0</v>
      </c>
      <c r="CA31" s="18">
        <f t="shared" si="42"/>
        <v>0</v>
      </c>
      <c r="CB31" s="18">
        <f t="shared" si="42"/>
        <v>0</v>
      </c>
      <c r="CC31" s="18">
        <f t="shared" si="42"/>
        <v>0</v>
      </c>
      <c r="CD31" s="18">
        <f t="shared" si="42"/>
        <v>0</v>
      </c>
      <c r="CE31" s="18">
        <f t="shared" si="42"/>
        <v>0</v>
      </c>
      <c r="CF31" s="18">
        <f t="shared" si="42"/>
        <v>0</v>
      </c>
      <c r="CG31" s="18">
        <f t="shared" si="42"/>
        <v>0</v>
      </c>
      <c r="CH31" s="18">
        <f t="shared" si="42"/>
        <v>0</v>
      </c>
      <c r="CI31" s="18">
        <f t="shared" si="42"/>
        <v>0</v>
      </c>
      <c r="CJ31" s="18">
        <f t="shared" si="42"/>
        <v>0</v>
      </c>
      <c r="CK31" s="18">
        <f t="shared" si="42"/>
        <v>0</v>
      </c>
      <c r="CL31" s="18">
        <f t="shared" si="42"/>
        <v>0</v>
      </c>
      <c r="CM31" s="18">
        <f t="shared" si="41"/>
        <v>0</v>
      </c>
      <c r="CN31" s="18">
        <f t="shared" si="41"/>
        <v>0</v>
      </c>
      <c r="CO31" s="18">
        <f t="shared" si="41"/>
        <v>0</v>
      </c>
      <c r="CP31" s="18">
        <f t="shared" si="41"/>
        <v>0</v>
      </c>
      <c r="CQ31" s="18">
        <f t="shared" si="41"/>
        <v>0</v>
      </c>
      <c r="CR31" s="18">
        <f t="shared" si="41"/>
        <v>0</v>
      </c>
      <c r="CS31" s="18">
        <f t="shared" si="41"/>
        <v>0</v>
      </c>
      <c r="CT31" s="18">
        <f t="shared" si="41"/>
        <v>0</v>
      </c>
      <c r="CU31" s="18">
        <f t="shared" si="41"/>
        <v>0</v>
      </c>
      <c r="CV31" s="18">
        <f t="shared" si="41"/>
        <v>0</v>
      </c>
      <c r="CW31" s="18">
        <f t="shared" si="41"/>
        <v>0</v>
      </c>
      <c r="CX31" s="18">
        <f t="shared" si="41"/>
        <v>0</v>
      </c>
      <c r="CY31" s="18">
        <f t="shared" si="41"/>
        <v>0</v>
      </c>
      <c r="CZ31" s="18">
        <f t="shared" si="41"/>
        <v>0</v>
      </c>
      <c r="DA31" s="18">
        <f t="shared" si="41"/>
        <v>0</v>
      </c>
      <c r="DB31" s="18">
        <f t="shared" si="41"/>
        <v>0</v>
      </c>
      <c r="DC31" s="18">
        <f t="shared" si="41"/>
        <v>0</v>
      </c>
      <c r="DD31" s="18">
        <f t="shared" si="41"/>
        <v>0</v>
      </c>
      <c r="DE31" s="18">
        <f t="shared" si="41"/>
        <v>0</v>
      </c>
      <c r="DF31" s="18">
        <f t="shared" si="41"/>
        <v>0</v>
      </c>
      <c r="DG31" s="18">
        <f t="shared" si="41"/>
        <v>0</v>
      </c>
      <c r="DH31" s="18">
        <f t="shared" si="41"/>
        <v>0</v>
      </c>
      <c r="DI31" s="18">
        <f t="shared" si="41"/>
        <v>0</v>
      </c>
      <c r="DJ31" s="18">
        <f t="shared" si="41"/>
        <v>0</v>
      </c>
      <c r="DK31" s="18">
        <f t="shared" si="41"/>
        <v>0</v>
      </c>
      <c r="DL31" s="18">
        <f t="shared" si="41"/>
        <v>0</v>
      </c>
      <c r="DM31" s="18">
        <f t="shared" si="41"/>
        <v>0</v>
      </c>
      <c r="DN31" s="18">
        <f t="shared" si="41"/>
        <v>0</v>
      </c>
      <c r="DO31" s="18">
        <f t="shared" si="41"/>
        <v>0</v>
      </c>
      <c r="DP31" s="18">
        <f t="shared" si="41"/>
        <v>0</v>
      </c>
      <c r="DQ31" s="18">
        <f t="shared" si="41"/>
        <v>0</v>
      </c>
      <c r="DR31" s="18">
        <f t="shared" si="41"/>
        <v>0</v>
      </c>
      <c r="DS31" s="18">
        <f t="shared" si="41"/>
        <v>0</v>
      </c>
      <c r="DT31" s="18">
        <f t="shared" si="41"/>
        <v>0</v>
      </c>
      <c r="DU31" s="18">
        <f t="shared" si="41"/>
        <v>0</v>
      </c>
      <c r="DV31" s="18">
        <f t="shared" si="41"/>
        <v>0</v>
      </c>
      <c r="DW31" s="18">
        <f t="shared" si="41"/>
        <v>0</v>
      </c>
      <c r="DX31" s="18">
        <f t="shared" si="41"/>
        <v>0</v>
      </c>
      <c r="DY31" s="18">
        <f t="shared" si="41"/>
        <v>0</v>
      </c>
      <c r="DZ31" s="18">
        <f t="shared" si="41"/>
        <v>0</v>
      </c>
      <c r="EA31" s="18">
        <f t="shared" si="41"/>
        <v>0</v>
      </c>
      <c r="EB31" s="18">
        <f t="shared" si="41"/>
        <v>0</v>
      </c>
      <c r="EC31" s="18">
        <f t="shared" si="41"/>
        <v>0</v>
      </c>
      <c r="ED31" s="18">
        <f t="shared" si="41"/>
        <v>0</v>
      </c>
      <c r="EE31" s="18">
        <f t="shared" si="41"/>
        <v>0</v>
      </c>
      <c r="EF31" s="18">
        <f t="shared" si="41"/>
        <v>0</v>
      </c>
      <c r="EG31" s="18">
        <f t="shared" si="41"/>
        <v>0</v>
      </c>
      <c r="EH31" s="18">
        <f t="shared" si="41"/>
        <v>0</v>
      </c>
      <c r="EI31" s="18">
        <f t="shared" si="41"/>
        <v>0</v>
      </c>
      <c r="EJ31" s="18">
        <f t="shared" si="41"/>
        <v>0</v>
      </c>
      <c r="EK31" s="18">
        <f t="shared" si="41"/>
        <v>0</v>
      </c>
      <c r="EL31" s="18">
        <f t="shared" si="41"/>
        <v>0</v>
      </c>
      <c r="EM31" s="18">
        <f t="shared" si="41"/>
        <v>0</v>
      </c>
      <c r="EN31" s="18">
        <f t="shared" si="41"/>
        <v>0</v>
      </c>
      <c r="EO31" s="18">
        <f t="shared" si="41"/>
        <v>0</v>
      </c>
      <c r="EP31" s="18">
        <f t="shared" si="41"/>
        <v>0</v>
      </c>
      <c r="EQ31" s="18">
        <f t="shared" si="41"/>
        <v>0</v>
      </c>
      <c r="ER31" s="18">
        <f t="shared" si="41"/>
        <v>0</v>
      </c>
      <c r="ES31" s="18">
        <f t="shared" si="41"/>
        <v>0</v>
      </c>
      <c r="ET31" s="18">
        <f t="shared" si="41"/>
        <v>0</v>
      </c>
      <c r="EU31" s="18">
        <f t="shared" si="36"/>
        <v>0</v>
      </c>
      <c r="EV31" s="18">
        <f t="shared" si="36"/>
        <v>0</v>
      </c>
      <c r="EW31" s="18">
        <f t="shared" si="36"/>
        <v>0</v>
      </c>
      <c r="EX31" s="18">
        <f t="shared" si="36"/>
        <v>0</v>
      </c>
      <c r="EY31" s="18">
        <f t="shared" si="36"/>
        <v>0</v>
      </c>
      <c r="EZ31" s="18">
        <f t="shared" si="36"/>
        <v>0</v>
      </c>
      <c r="FA31" s="18">
        <f t="shared" si="36"/>
        <v>0</v>
      </c>
      <c r="FB31" s="18">
        <f t="shared" si="36"/>
        <v>0</v>
      </c>
      <c r="FC31" s="18">
        <f t="shared" si="36"/>
        <v>0</v>
      </c>
      <c r="FD31" s="18">
        <f t="shared" si="36"/>
        <v>0</v>
      </c>
      <c r="FE31" s="18">
        <f t="shared" si="36"/>
        <v>0</v>
      </c>
      <c r="FF31" s="18">
        <f t="shared" si="36"/>
        <v>0</v>
      </c>
      <c r="FG31" s="18">
        <f t="shared" si="36"/>
        <v>0</v>
      </c>
      <c r="FH31" s="18">
        <f t="shared" si="36"/>
        <v>0</v>
      </c>
      <c r="FI31" s="18">
        <f t="shared" si="36"/>
        <v>0</v>
      </c>
      <c r="FJ31" s="18">
        <f t="shared" si="36"/>
        <v>0</v>
      </c>
      <c r="FK31" s="18">
        <f t="shared" si="36"/>
        <v>0</v>
      </c>
      <c r="FL31" s="18">
        <f t="shared" si="36"/>
        <v>0</v>
      </c>
      <c r="FM31" s="18">
        <f t="shared" si="36"/>
        <v>0</v>
      </c>
      <c r="FN31" s="18">
        <f t="shared" si="36"/>
        <v>0</v>
      </c>
      <c r="FO31" s="18">
        <f t="shared" si="36"/>
        <v>0</v>
      </c>
      <c r="FP31" s="18">
        <f t="shared" si="36"/>
        <v>0</v>
      </c>
      <c r="FQ31" s="18">
        <f t="shared" si="36"/>
        <v>0</v>
      </c>
      <c r="FR31" s="18">
        <f t="shared" si="36"/>
        <v>0</v>
      </c>
      <c r="FS31" s="18">
        <f t="shared" si="36"/>
        <v>0</v>
      </c>
      <c r="FT31" s="18">
        <f t="shared" ref="FT31:GC31" si="43">IF(AND($E31&lt;=FT$5,$F31&gt;=FT$5),1,0)</f>
        <v>0</v>
      </c>
      <c r="FU31" s="18">
        <f t="shared" si="43"/>
        <v>0</v>
      </c>
      <c r="FV31" s="18">
        <f t="shared" si="43"/>
        <v>0</v>
      </c>
      <c r="FW31" s="18">
        <f t="shared" si="43"/>
        <v>0</v>
      </c>
      <c r="FX31" s="18">
        <f t="shared" si="43"/>
        <v>0</v>
      </c>
      <c r="FY31" s="18">
        <f t="shared" si="43"/>
        <v>0</v>
      </c>
      <c r="FZ31" s="18">
        <f t="shared" si="43"/>
        <v>0</v>
      </c>
      <c r="GA31" s="18">
        <f t="shared" si="43"/>
        <v>0</v>
      </c>
      <c r="GB31" s="18">
        <f t="shared" si="43"/>
        <v>0</v>
      </c>
      <c r="GC31" s="18">
        <f t="shared" si="43"/>
        <v>0</v>
      </c>
    </row>
    <row r="32" spans="2:185" ht="17.100000000000001" customHeight="1" outlineLevel="1">
      <c r="B32" s="25"/>
      <c r="C32" s="40" t="s">
        <v>49</v>
      </c>
      <c r="D32" s="26" t="s">
        <v>19</v>
      </c>
      <c r="E32" s="27">
        <f>F31+1</f>
        <v>45354</v>
      </c>
      <c r="F32" s="27">
        <f>E32+30</f>
        <v>45384</v>
      </c>
      <c r="G32" s="28">
        <f t="shared" si="38"/>
        <v>31</v>
      </c>
      <c r="H32" s="29"/>
      <c r="I32" s="30"/>
      <c r="J32" s="31" t="str">
        <f t="shared" ca="1" si="40"/>
        <v>Expedite</v>
      </c>
      <c r="K32" s="18">
        <f t="shared" si="34"/>
        <v>0</v>
      </c>
      <c r="L32" s="18">
        <f t="shared" si="34"/>
        <v>0</v>
      </c>
      <c r="M32" s="18">
        <f t="shared" si="34"/>
        <v>0</v>
      </c>
      <c r="N32" s="18">
        <f t="shared" si="34"/>
        <v>0</v>
      </c>
      <c r="O32" s="18">
        <f t="shared" si="34"/>
        <v>0</v>
      </c>
      <c r="P32" s="18">
        <f t="shared" si="34"/>
        <v>0</v>
      </c>
      <c r="Q32" s="18">
        <f t="shared" si="34"/>
        <v>0</v>
      </c>
      <c r="R32" s="18">
        <f t="shared" si="34"/>
        <v>0</v>
      </c>
      <c r="S32" s="18">
        <f t="shared" si="34"/>
        <v>0</v>
      </c>
      <c r="T32" s="18">
        <f t="shared" si="34"/>
        <v>0</v>
      </c>
      <c r="U32" s="18">
        <f t="shared" si="34"/>
        <v>0</v>
      </c>
      <c r="V32" s="18">
        <f t="shared" si="34"/>
        <v>0</v>
      </c>
      <c r="W32" s="18">
        <f t="shared" si="34"/>
        <v>0</v>
      </c>
      <c r="X32" s="18">
        <f t="shared" si="34"/>
        <v>0</v>
      </c>
      <c r="Y32" s="18">
        <f t="shared" si="34"/>
        <v>0</v>
      </c>
      <c r="Z32" s="18">
        <f t="shared" si="34"/>
        <v>0</v>
      </c>
      <c r="AA32" s="18">
        <f t="shared" si="42"/>
        <v>0</v>
      </c>
      <c r="AB32" s="18">
        <f t="shared" si="42"/>
        <v>0</v>
      </c>
      <c r="AC32" s="18">
        <f t="shared" si="42"/>
        <v>0</v>
      </c>
      <c r="AD32" s="18">
        <f t="shared" si="42"/>
        <v>0</v>
      </c>
      <c r="AE32" s="18">
        <f t="shared" si="42"/>
        <v>0</v>
      </c>
      <c r="AF32" s="18">
        <f t="shared" si="42"/>
        <v>0</v>
      </c>
      <c r="AG32" s="18">
        <f t="shared" si="42"/>
        <v>0</v>
      </c>
      <c r="AH32" s="18">
        <f t="shared" si="42"/>
        <v>0</v>
      </c>
      <c r="AI32" s="18">
        <f t="shared" si="42"/>
        <v>0</v>
      </c>
      <c r="AJ32" s="18">
        <f t="shared" si="42"/>
        <v>0</v>
      </c>
      <c r="AK32" s="18">
        <f t="shared" si="42"/>
        <v>0</v>
      </c>
      <c r="AL32" s="18">
        <f t="shared" si="42"/>
        <v>0</v>
      </c>
      <c r="AM32" s="18">
        <f t="shared" si="42"/>
        <v>0</v>
      </c>
      <c r="AN32" s="18">
        <f t="shared" si="42"/>
        <v>0</v>
      </c>
      <c r="AO32" s="18">
        <f t="shared" si="42"/>
        <v>0</v>
      </c>
      <c r="AP32" s="18">
        <f t="shared" si="42"/>
        <v>0</v>
      </c>
      <c r="AQ32" s="18">
        <f t="shared" si="42"/>
        <v>0</v>
      </c>
      <c r="AR32" s="18">
        <f t="shared" si="42"/>
        <v>0</v>
      </c>
      <c r="AS32" s="18">
        <f t="shared" si="42"/>
        <v>1</v>
      </c>
      <c r="AT32" s="18">
        <f t="shared" si="42"/>
        <v>1</v>
      </c>
      <c r="AU32" s="18">
        <f t="shared" si="42"/>
        <v>1</v>
      </c>
      <c r="AV32" s="18">
        <f t="shared" si="42"/>
        <v>1</v>
      </c>
      <c r="AW32" s="18">
        <f t="shared" si="42"/>
        <v>1</v>
      </c>
      <c r="AX32" s="18">
        <f t="shared" si="42"/>
        <v>1</v>
      </c>
      <c r="AY32" s="18">
        <f t="shared" si="42"/>
        <v>1</v>
      </c>
      <c r="AZ32" s="18">
        <f t="shared" si="42"/>
        <v>1</v>
      </c>
      <c r="BA32" s="18">
        <f t="shared" si="42"/>
        <v>1</v>
      </c>
      <c r="BB32" s="18">
        <f t="shared" si="42"/>
        <v>1</v>
      </c>
      <c r="BC32" s="18">
        <f t="shared" si="42"/>
        <v>1</v>
      </c>
      <c r="BD32" s="18">
        <f t="shared" si="42"/>
        <v>1</v>
      </c>
      <c r="BE32" s="18">
        <f t="shared" si="42"/>
        <v>1</v>
      </c>
      <c r="BF32" s="18">
        <f t="shared" si="42"/>
        <v>1</v>
      </c>
      <c r="BG32" s="18">
        <f t="shared" si="42"/>
        <v>1</v>
      </c>
      <c r="BH32" s="18">
        <f t="shared" si="42"/>
        <v>1</v>
      </c>
      <c r="BI32" s="18">
        <f t="shared" si="42"/>
        <v>1</v>
      </c>
      <c r="BJ32" s="18">
        <f t="shared" si="42"/>
        <v>1</v>
      </c>
      <c r="BK32" s="18">
        <f t="shared" si="42"/>
        <v>1</v>
      </c>
      <c r="BL32" s="18">
        <f t="shared" si="42"/>
        <v>1</v>
      </c>
      <c r="BM32" s="18">
        <f t="shared" si="42"/>
        <v>1</v>
      </c>
      <c r="BN32" s="18">
        <f t="shared" si="42"/>
        <v>1</v>
      </c>
      <c r="BO32" s="18">
        <f t="shared" si="42"/>
        <v>1</v>
      </c>
      <c r="BP32" s="18">
        <f t="shared" si="42"/>
        <v>1</v>
      </c>
      <c r="BQ32" s="18">
        <f t="shared" si="42"/>
        <v>1</v>
      </c>
      <c r="BR32" s="18">
        <f t="shared" si="42"/>
        <v>1</v>
      </c>
      <c r="BS32" s="18">
        <f t="shared" si="42"/>
        <v>1</v>
      </c>
      <c r="BT32" s="18">
        <f t="shared" si="42"/>
        <v>1</v>
      </c>
      <c r="BU32" s="18">
        <f t="shared" si="42"/>
        <v>1</v>
      </c>
      <c r="BV32" s="18">
        <f t="shared" si="42"/>
        <v>1</v>
      </c>
      <c r="BW32" s="18">
        <f t="shared" si="42"/>
        <v>1</v>
      </c>
      <c r="BX32" s="18">
        <f t="shared" si="42"/>
        <v>0</v>
      </c>
      <c r="BY32" s="18">
        <f t="shared" si="42"/>
        <v>0</v>
      </c>
      <c r="BZ32" s="18">
        <f t="shared" si="42"/>
        <v>0</v>
      </c>
      <c r="CA32" s="18">
        <f t="shared" si="42"/>
        <v>0</v>
      </c>
      <c r="CB32" s="18">
        <f t="shared" si="42"/>
        <v>0</v>
      </c>
      <c r="CC32" s="18">
        <f t="shared" si="42"/>
        <v>0</v>
      </c>
      <c r="CD32" s="18">
        <f t="shared" si="42"/>
        <v>0</v>
      </c>
      <c r="CE32" s="18">
        <f t="shared" si="42"/>
        <v>0</v>
      </c>
      <c r="CF32" s="18">
        <f t="shared" si="42"/>
        <v>0</v>
      </c>
      <c r="CG32" s="18">
        <f t="shared" si="42"/>
        <v>0</v>
      </c>
      <c r="CH32" s="18">
        <f t="shared" si="42"/>
        <v>0</v>
      </c>
      <c r="CI32" s="18">
        <f t="shared" si="42"/>
        <v>0</v>
      </c>
      <c r="CJ32" s="18">
        <f t="shared" si="42"/>
        <v>0</v>
      </c>
      <c r="CK32" s="18">
        <f t="shared" si="42"/>
        <v>0</v>
      </c>
      <c r="CL32" s="18">
        <f t="shared" si="42"/>
        <v>0</v>
      </c>
      <c r="CM32" s="18">
        <f t="shared" si="41"/>
        <v>0</v>
      </c>
      <c r="CN32" s="18">
        <f t="shared" si="41"/>
        <v>0</v>
      </c>
      <c r="CO32" s="18">
        <f t="shared" si="41"/>
        <v>0</v>
      </c>
      <c r="CP32" s="18">
        <f t="shared" si="41"/>
        <v>0</v>
      </c>
      <c r="CQ32" s="18">
        <f t="shared" si="41"/>
        <v>0</v>
      </c>
      <c r="CR32" s="18">
        <f t="shared" si="41"/>
        <v>0</v>
      </c>
      <c r="CS32" s="18">
        <f t="shared" si="41"/>
        <v>0</v>
      </c>
      <c r="CT32" s="18">
        <f t="shared" si="41"/>
        <v>0</v>
      </c>
      <c r="CU32" s="18">
        <f t="shared" si="41"/>
        <v>0</v>
      </c>
      <c r="CV32" s="18">
        <f t="shared" si="41"/>
        <v>0</v>
      </c>
      <c r="CW32" s="18">
        <f t="shared" si="41"/>
        <v>0</v>
      </c>
      <c r="CX32" s="18">
        <f t="shared" si="41"/>
        <v>0</v>
      </c>
      <c r="CY32" s="18">
        <f t="shared" si="41"/>
        <v>0</v>
      </c>
      <c r="CZ32" s="18">
        <f t="shared" ref="CZ32:FH46" si="44">IF(AND($E32&lt;=CZ$5,$F32&gt;=CZ$5),1,0)</f>
        <v>0</v>
      </c>
      <c r="DA32" s="18">
        <f t="shared" si="44"/>
        <v>0</v>
      </c>
      <c r="DB32" s="18">
        <f t="shared" si="44"/>
        <v>0</v>
      </c>
      <c r="DC32" s="18">
        <f t="shared" si="44"/>
        <v>0</v>
      </c>
      <c r="DD32" s="18">
        <f t="shared" si="44"/>
        <v>0</v>
      </c>
      <c r="DE32" s="18">
        <f t="shared" si="44"/>
        <v>0</v>
      </c>
      <c r="DF32" s="18">
        <f t="shared" si="44"/>
        <v>0</v>
      </c>
      <c r="DG32" s="18">
        <f t="shared" si="44"/>
        <v>0</v>
      </c>
      <c r="DH32" s="18">
        <f t="shared" si="44"/>
        <v>0</v>
      </c>
      <c r="DI32" s="18">
        <f t="shared" si="44"/>
        <v>0</v>
      </c>
      <c r="DJ32" s="18">
        <f t="shared" si="44"/>
        <v>0</v>
      </c>
      <c r="DK32" s="18">
        <f t="shared" si="44"/>
        <v>0</v>
      </c>
      <c r="DL32" s="18">
        <f t="shared" si="44"/>
        <v>0</v>
      </c>
      <c r="DM32" s="18">
        <f t="shared" si="44"/>
        <v>0</v>
      </c>
      <c r="DN32" s="18">
        <f t="shared" si="44"/>
        <v>0</v>
      </c>
      <c r="DO32" s="18">
        <f t="shared" si="44"/>
        <v>0</v>
      </c>
      <c r="DP32" s="18">
        <f t="shared" si="44"/>
        <v>0</v>
      </c>
      <c r="DQ32" s="18">
        <f t="shared" si="44"/>
        <v>0</v>
      </c>
      <c r="DR32" s="18">
        <f t="shared" si="44"/>
        <v>0</v>
      </c>
      <c r="DS32" s="18">
        <f t="shared" si="44"/>
        <v>0</v>
      </c>
      <c r="DT32" s="18">
        <f t="shared" si="44"/>
        <v>0</v>
      </c>
      <c r="DU32" s="18">
        <f t="shared" si="44"/>
        <v>0</v>
      </c>
      <c r="DV32" s="18">
        <f t="shared" si="44"/>
        <v>0</v>
      </c>
      <c r="DW32" s="18">
        <f t="shared" si="44"/>
        <v>0</v>
      </c>
      <c r="DX32" s="18">
        <f t="shared" si="44"/>
        <v>0</v>
      </c>
      <c r="DY32" s="18">
        <f t="shared" si="44"/>
        <v>0</v>
      </c>
      <c r="DZ32" s="18">
        <f t="shared" si="44"/>
        <v>0</v>
      </c>
      <c r="EA32" s="18">
        <f t="shared" si="44"/>
        <v>0</v>
      </c>
      <c r="EB32" s="18">
        <f t="shared" si="44"/>
        <v>0</v>
      </c>
      <c r="EC32" s="18">
        <f t="shared" si="44"/>
        <v>0</v>
      </c>
      <c r="ED32" s="18">
        <f t="shared" si="44"/>
        <v>0</v>
      </c>
      <c r="EE32" s="18">
        <f t="shared" si="44"/>
        <v>0</v>
      </c>
      <c r="EF32" s="18">
        <f t="shared" si="44"/>
        <v>0</v>
      </c>
      <c r="EG32" s="18">
        <f t="shared" si="44"/>
        <v>0</v>
      </c>
      <c r="EH32" s="18">
        <f t="shared" si="44"/>
        <v>0</v>
      </c>
      <c r="EI32" s="18">
        <f t="shared" si="44"/>
        <v>0</v>
      </c>
      <c r="EJ32" s="18">
        <f t="shared" si="44"/>
        <v>0</v>
      </c>
      <c r="EK32" s="18">
        <f t="shared" si="44"/>
        <v>0</v>
      </c>
      <c r="EL32" s="18">
        <f t="shared" si="44"/>
        <v>0</v>
      </c>
      <c r="EM32" s="18">
        <f t="shared" si="44"/>
        <v>0</v>
      </c>
      <c r="EN32" s="18">
        <f t="shared" si="44"/>
        <v>0</v>
      </c>
      <c r="EO32" s="18">
        <f t="shared" si="44"/>
        <v>0</v>
      </c>
      <c r="EP32" s="18">
        <f t="shared" si="44"/>
        <v>0</v>
      </c>
      <c r="EQ32" s="18">
        <f t="shared" si="44"/>
        <v>0</v>
      </c>
      <c r="ER32" s="18">
        <f t="shared" si="44"/>
        <v>0</v>
      </c>
      <c r="ES32" s="18">
        <f t="shared" si="44"/>
        <v>0</v>
      </c>
      <c r="ET32" s="18">
        <f t="shared" si="44"/>
        <v>0</v>
      </c>
      <c r="EU32" s="18">
        <f t="shared" si="44"/>
        <v>0</v>
      </c>
      <c r="EV32" s="18">
        <f t="shared" si="44"/>
        <v>0</v>
      </c>
      <c r="EW32" s="18">
        <f t="shared" si="44"/>
        <v>0</v>
      </c>
      <c r="EX32" s="18">
        <f t="shared" si="44"/>
        <v>0</v>
      </c>
      <c r="EY32" s="18">
        <f t="shared" si="44"/>
        <v>0</v>
      </c>
      <c r="EZ32" s="18">
        <f t="shared" si="44"/>
        <v>0</v>
      </c>
      <c r="FA32" s="18">
        <f t="shared" si="44"/>
        <v>0</v>
      </c>
      <c r="FB32" s="18">
        <f t="shared" si="44"/>
        <v>0</v>
      </c>
      <c r="FC32" s="18">
        <f t="shared" si="44"/>
        <v>0</v>
      </c>
      <c r="FD32" s="18">
        <f t="shared" si="44"/>
        <v>0</v>
      </c>
      <c r="FE32" s="18">
        <f t="shared" si="44"/>
        <v>0</v>
      </c>
      <c r="FF32" s="18">
        <f t="shared" si="44"/>
        <v>0</v>
      </c>
      <c r="FG32" s="18">
        <f t="shared" si="44"/>
        <v>0</v>
      </c>
      <c r="FH32" s="18">
        <f t="shared" si="44"/>
        <v>0</v>
      </c>
      <c r="FI32" s="18">
        <f t="shared" ref="FI32:GC46" si="45">IF(AND($E32&lt;=FI$5,$F32&gt;=FI$5),1,0)</f>
        <v>0</v>
      </c>
      <c r="FJ32" s="18">
        <f t="shared" si="45"/>
        <v>0</v>
      </c>
      <c r="FK32" s="18">
        <f t="shared" si="45"/>
        <v>0</v>
      </c>
      <c r="FL32" s="18">
        <f t="shared" si="45"/>
        <v>0</v>
      </c>
      <c r="FM32" s="18">
        <f t="shared" si="45"/>
        <v>0</v>
      </c>
      <c r="FN32" s="18">
        <f t="shared" si="45"/>
        <v>0</v>
      </c>
      <c r="FO32" s="18">
        <f t="shared" si="45"/>
        <v>0</v>
      </c>
      <c r="FP32" s="18">
        <f t="shared" si="45"/>
        <v>0</v>
      </c>
      <c r="FQ32" s="18">
        <f t="shared" si="45"/>
        <v>0</v>
      </c>
      <c r="FR32" s="18">
        <f t="shared" si="45"/>
        <v>0</v>
      </c>
      <c r="FS32" s="18">
        <f t="shared" si="45"/>
        <v>0</v>
      </c>
      <c r="FT32" s="18">
        <f t="shared" si="45"/>
        <v>0</v>
      </c>
      <c r="FU32" s="18">
        <f t="shared" si="45"/>
        <v>0</v>
      </c>
      <c r="FV32" s="18">
        <f t="shared" si="45"/>
        <v>0</v>
      </c>
      <c r="FW32" s="18">
        <f t="shared" si="45"/>
        <v>0</v>
      </c>
      <c r="FX32" s="18">
        <f t="shared" si="45"/>
        <v>0</v>
      </c>
      <c r="FY32" s="18">
        <f t="shared" si="45"/>
        <v>0</v>
      </c>
      <c r="FZ32" s="18">
        <f t="shared" si="45"/>
        <v>0</v>
      </c>
      <c r="GA32" s="18">
        <f t="shared" si="45"/>
        <v>0</v>
      </c>
      <c r="GB32" s="18">
        <f t="shared" si="45"/>
        <v>0</v>
      </c>
      <c r="GC32" s="18">
        <f t="shared" si="45"/>
        <v>0</v>
      </c>
    </row>
    <row r="33" spans="2:185" ht="17.100000000000001" customHeight="1" outlineLevel="1">
      <c r="B33" s="25"/>
      <c r="C33" s="40" t="s">
        <v>50</v>
      </c>
      <c r="D33" s="26" t="s">
        <v>51</v>
      </c>
      <c r="E33" s="27">
        <f>F32</f>
        <v>45384</v>
      </c>
      <c r="F33" s="27">
        <f>E33</f>
        <v>45384</v>
      </c>
      <c r="G33" s="28">
        <f t="shared" si="38"/>
        <v>1</v>
      </c>
      <c r="H33" s="29"/>
      <c r="I33" s="30"/>
      <c r="J33" s="31" t="str">
        <f t="shared" ca="1" si="40"/>
        <v>Open</v>
      </c>
      <c r="K33" s="18">
        <f t="shared" si="34"/>
        <v>0</v>
      </c>
      <c r="L33" s="18">
        <f t="shared" si="34"/>
        <v>0</v>
      </c>
      <c r="M33" s="18">
        <f t="shared" si="34"/>
        <v>0</v>
      </c>
      <c r="N33" s="18">
        <f t="shared" si="34"/>
        <v>0</v>
      </c>
      <c r="O33" s="18">
        <f t="shared" si="34"/>
        <v>0</v>
      </c>
      <c r="P33" s="18">
        <f t="shared" si="34"/>
        <v>0</v>
      </c>
      <c r="Q33" s="18">
        <f t="shared" si="34"/>
        <v>0</v>
      </c>
      <c r="R33" s="18">
        <f t="shared" si="34"/>
        <v>0</v>
      </c>
      <c r="S33" s="18">
        <f t="shared" si="34"/>
        <v>0</v>
      </c>
      <c r="T33" s="18">
        <f t="shared" si="34"/>
        <v>0</v>
      </c>
      <c r="U33" s="18">
        <f t="shared" si="34"/>
        <v>0</v>
      </c>
      <c r="V33" s="18">
        <f t="shared" si="34"/>
        <v>0</v>
      </c>
      <c r="W33" s="18">
        <f t="shared" si="34"/>
        <v>0</v>
      </c>
      <c r="X33" s="18">
        <f t="shared" si="34"/>
        <v>0</v>
      </c>
      <c r="Y33" s="18">
        <f t="shared" si="34"/>
        <v>0</v>
      </c>
      <c r="Z33" s="18">
        <f t="shared" si="34"/>
        <v>0</v>
      </c>
      <c r="AA33" s="18">
        <f t="shared" ref="AA33:CL36" si="46">IF(AND($E33&lt;=AA$5,$F33&gt;=AA$5),1,0)</f>
        <v>0</v>
      </c>
      <c r="AB33" s="18">
        <f t="shared" si="46"/>
        <v>0</v>
      </c>
      <c r="AC33" s="18">
        <f t="shared" si="46"/>
        <v>0</v>
      </c>
      <c r="AD33" s="18">
        <f t="shared" si="46"/>
        <v>0</v>
      </c>
      <c r="AE33" s="18">
        <f t="shared" si="46"/>
        <v>0</v>
      </c>
      <c r="AF33" s="18">
        <f t="shared" si="46"/>
        <v>0</v>
      </c>
      <c r="AG33" s="18">
        <f t="shared" si="46"/>
        <v>0</v>
      </c>
      <c r="AH33" s="18">
        <f t="shared" si="46"/>
        <v>0</v>
      </c>
      <c r="AI33" s="18">
        <f t="shared" si="46"/>
        <v>0</v>
      </c>
      <c r="AJ33" s="18">
        <f t="shared" si="46"/>
        <v>0</v>
      </c>
      <c r="AK33" s="18">
        <f t="shared" si="46"/>
        <v>0</v>
      </c>
      <c r="AL33" s="18">
        <f t="shared" si="46"/>
        <v>0</v>
      </c>
      <c r="AM33" s="18">
        <f t="shared" si="46"/>
        <v>0</v>
      </c>
      <c r="AN33" s="18">
        <f t="shared" si="46"/>
        <v>0</v>
      </c>
      <c r="AO33" s="18">
        <f t="shared" si="46"/>
        <v>0</v>
      </c>
      <c r="AP33" s="18">
        <f t="shared" si="46"/>
        <v>0</v>
      </c>
      <c r="AQ33" s="18">
        <f t="shared" si="46"/>
        <v>0</v>
      </c>
      <c r="AR33" s="18">
        <f t="shared" si="46"/>
        <v>0</v>
      </c>
      <c r="AS33" s="18">
        <f t="shared" si="46"/>
        <v>0</v>
      </c>
      <c r="AT33" s="18">
        <f t="shared" si="46"/>
        <v>0</v>
      </c>
      <c r="AU33" s="18">
        <f t="shared" si="46"/>
        <v>0</v>
      </c>
      <c r="AV33" s="18">
        <f t="shared" si="46"/>
        <v>0</v>
      </c>
      <c r="AW33" s="18">
        <f t="shared" si="46"/>
        <v>0</v>
      </c>
      <c r="AX33" s="18">
        <f t="shared" si="46"/>
        <v>0</v>
      </c>
      <c r="AY33" s="18">
        <f t="shared" si="46"/>
        <v>0</v>
      </c>
      <c r="AZ33" s="18">
        <f t="shared" si="46"/>
        <v>0</v>
      </c>
      <c r="BA33" s="18">
        <f t="shared" si="46"/>
        <v>0</v>
      </c>
      <c r="BB33" s="18">
        <f t="shared" si="46"/>
        <v>0</v>
      </c>
      <c r="BC33" s="18">
        <f t="shared" si="46"/>
        <v>0</v>
      </c>
      <c r="BD33" s="18">
        <f t="shared" si="46"/>
        <v>0</v>
      </c>
      <c r="BE33" s="18">
        <f t="shared" si="46"/>
        <v>0</v>
      </c>
      <c r="BF33" s="18">
        <f t="shared" si="46"/>
        <v>0</v>
      </c>
      <c r="BG33" s="18">
        <f t="shared" si="46"/>
        <v>0</v>
      </c>
      <c r="BH33" s="18">
        <f t="shared" si="46"/>
        <v>0</v>
      </c>
      <c r="BI33" s="18">
        <f t="shared" si="46"/>
        <v>0</v>
      </c>
      <c r="BJ33" s="18">
        <f t="shared" si="46"/>
        <v>0</v>
      </c>
      <c r="BK33" s="18">
        <f t="shared" si="46"/>
        <v>0</v>
      </c>
      <c r="BL33" s="18">
        <f t="shared" si="46"/>
        <v>0</v>
      </c>
      <c r="BM33" s="18">
        <f t="shared" si="46"/>
        <v>0</v>
      </c>
      <c r="BN33" s="18">
        <f t="shared" si="46"/>
        <v>0</v>
      </c>
      <c r="BO33" s="18">
        <f t="shared" si="46"/>
        <v>0</v>
      </c>
      <c r="BP33" s="18">
        <f t="shared" si="46"/>
        <v>0</v>
      </c>
      <c r="BQ33" s="18">
        <f t="shared" si="46"/>
        <v>0</v>
      </c>
      <c r="BR33" s="18">
        <f t="shared" si="46"/>
        <v>0</v>
      </c>
      <c r="BS33" s="18">
        <f t="shared" si="46"/>
        <v>0</v>
      </c>
      <c r="BT33" s="18">
        <f t="shared" si="46"/>
        <v>0</v>
      </c>
      <c r="BU33" s="18">
        <f t="shared" si="46"/>
        <v>0</v>
      </c>
      <c r="BV33" s="18">
        <f t="shared" si="46"/>
        <v>0</v>
      </c>
      <c r="BW33" s="18">
        <f t="shared" si="46"/>
        <v>1</v>
      </c>
      <c r="BX33" s="18">
        <f t="shared" si="46"/>
        <v>0</v>
      </c>
      <c r="BY33" s="18">
        <f t="shared" si="46"/>
        <v>0</v>
      </c>
      <c r="BZ33" s="18">
        <f t="shared" si="46"/>
        <v>0</v>
      </c>
      <c r="CA33" s="18">
        <f t="shared" si="46"/>
        <v>0</v>
      </c>
      <c r="CB33" s="18">
        <f t="shared" si="46"/>
        <v>0</v>
      </c>
      <c r="CC33" s="18">
        <f t="shared" si="46"/>
        <v>0</v>
      </c>
      <c r="CD33" s="18">
        <f t="shared" si="46"/>
        <v>0</v>
      </c>
      <c r="CE33" s="18">
        <f t="shared" si="46"/>
        <v>0</v>
      </c>
      <c r="CF33" s="18">
        <f t="shared" si="46"/>
        <v>0</v>
      </c>
      <c r="CG33" s="18">
        <f t="shared" si="46"/>
        <v>0</v>
      </c>
      <c r="CH33" s="18">
        <f t="shared" si="46"/>
        <v>0</v>
      </c>
      <c r="CI33" s="18">
        <f t="shared" si="46"/>
        <v>0</v>
      </c>
      <c r="CJ33" s="18">
        <f t="shared" si="46"/>
        <v>0</v>
      </c>
      <c r="CK33" s="18">
        <f t="shared" si="46"/>
        <v>0</v>
      </c>
      <c r="CL33" s="18">
        <f t="shared" si="46"/>
        <v>0</v>
      </c>
      <c r="CM33" s="18">
        <f t="shared" ref="CM33:ET46" si="47">IF(AND($E33&lt;=CM$5,$F33&gt;=CM$5),1,0)</f>
        <v>0</v>
      </c>
      <c r="CN33" s="18">
        <f t="shared" si="47"/>
        <v>0</v>
      </c>
      <c r="CO33" s="18">
        <f t="shared" si="47"/>
        <v>0</v>
      </c>
      <c r="CP33" s="18">
        <f t="shared" si="47"/>
        <v>0</v>
      </c>
      <c r="CQ33" s="18">
        <f t="shared" si="47"/>
        <v>0</v>
      </c>
      <c r="CR33" s="18">
        <f t="shared" si="47"/>
        <v>0</v>
      </c>
      <c r="CS33" s="18">
        <f t="shared" si="47"/>
        <v>0</v>
      </c>
      <c r="CT33" s="18">
        <f t="shared" si="47"/>
        <v>0</v>
      </c>
      <c r="CU33" s="18">
        <f t="shared" si="47"/>
        <v>0</v>
      </c>
      <c r="CV33" s="18">
        <f t="shared" si="47"/>
        <v>0</v>
      </c>
      <c r="CW33" s="18">
        <f t="shared" si="47"/>
        <v>0</v>
      </c>
      <c r="CX33" s="18">
        <f t="shared" si="47"/>
        <v>0</v>
      </c>
      <c r="CY33" s="18">
        <f t="shared" si="47"/>
        <v>0</v>
      </c>
      <c r="CZ33" s="18">
        <f t="shared" si="44"/>
        <v>0</v>
      </c>
      <c r="DA33" s="18">
        <f t="shared" si="44"/>
        <v>0</v>
      </c>
      <c r="DB33" s="18">
        <f t="shared" si="44"/>
        <v>0</v>
      </c>
      <c r="DC33" s="18">
        <f t="shared" si="44"/>
        <v>0</v>
      </c>
      <c r="DD33" s="18">
        <f t="shared" si="44"/>
        <v>0</v>
      </c>
      <c r="DE33" s="18">
        <f t="shared" si="44"/>
        <v>0</v>
      </c>
      <c r="DF33" s="18">
        <f t="shared" si="44"/>
        <v>0</v>
      </c>
      <c r="DG33" s="18">
        <f t="shared" si="44"/>
        <v>0</v>
      </c>
      <c r="DH33" s="18">
        <f t="shared" si="44"/>
        <v>0</v>
      </c>
      <c r="DI33" s="18">
        <f t="shared" si="44"/>
        <v>0</v>
      </c>
      <c r="DJ33" s="18">
        <f t="shared" si="44"/>
        <v>0</v>
      </c>
      <c r="DK33" s="18">
        <f t="shared" si="44"/>
        <v>0</v>
      </c>
      <c r="DL33" s="18">
        <f t="shared" si="44"/>
        <v>0</v>
      </c>
      <c r="DM33" s="18">
        <f t="shared" si="44"/>
        <v>0</v>
      </c>
      <c r="DN33" s="18">
        <f t="shared" si="44"/>
        <v>0</v>
      </c>
      <c r="DO33" s="18">
        <f t="shared" si="44"/>
        <v>0</v>
      </c>
      <c r="DP33" s="18">
        <f t="shared" si="44"/>
        <v>0</v>
      </c>
      <c r="DQ33" s="18">
        <f t="shared" si="44"/>
        <v>0</v>
      </c>
      <c r="DR33" s="18">
        <f t="shared" si="44"/>
        <v>0</v>
      </c>
      <c r="DS33" s="18">
        <f t="shared" si="44"/>
        <v>0</v>
      </c>
      <c r="DT33" s="18">
        <f t="shared" si="44"/>
        <v>0</v>
      </c>
      <c r="DU33" s="18">
        <f t="shared" si="44"/>
        <v>0</v>
      </c>
      <c r="DV33" s="18">
        <f t="shared" si="44"/>
        <v>0</v>
      </c>
      <c r="DW33" s="18">
        <f t="shared" si="44"/>
        <v>0</v>
      </c>
      <c r="DX33" s="18">
        <f t="shared" si="44"/>
        <v>0</v>
      </c>
      <c r="DY33" s="18">
        <f t="shared" si="44"/>
        <v>0</v>
      </c>
      <c r="DZ33" s="18">
        <f t="shared" si="44"/>
        <v>0</v>
      </c>
      <c r="EA33" s="18">
        <f t="shared" si="44"/>
        <v>0</v>
      </c>
      <c r="EB33" s="18">
        <f t="shared" si="44"/>
        <v>0</v>
      </c>
      <c r="EC33" s="18">
        <f t="shared" si="44"/>
        <v>0</v>
      </c>
      <c r="ED33" s="18">
        <f t="shared" si="44"/>
        <v>0</v>
      </c>
      <c r="EE33" s="18">
        <f t="shared" si="44"/>
        <v>0</v>
      </c>
      <c r="EF33" s="18">
        <f t="shared" si="44"/>
        <v>0</v>
      </c>
      <c r="EG33" s="18">
        <f t="shared" si="44"/>
        <v>0</v>
      </c>
      <c r="EH33" s="18">
        <f t="shared" si="44"/>
        <v>0</v>
      </c>
      <c r="EI33" s="18">
        <f t="shared" si="44"/>
        <v>0</v>
      </c>
      <c r="EJ33" s="18">
        <f t="shared" si="44"/>
        <v>0</v>
      </c>
      <c r="EK33" s="18">
        <f t="shared" si="44"/>
        <v>0</v>
      </c>
      <c r="EL33" s="18">
        <f t="shared" si="44"/>
        <v>0</v>
      </c>
      <c r="EM33" s="18">
        <f t="shared" si="44"/>
        <v>0</v>
      </c>
      <c r="EN33" s="18">
        <f t="shared" si="44"/>
        <v>0</v>
      </c>
      <c r="EO33" s="18">
        <f t="shared" si="44"/>
        <v>0</v>
      </c>
      <c r="EP33" s="18">
        <f t="shared" si="44"/>
        <v>0</v>
      </c>
      <c r="EQ33" s="18">
        <f t="shared" si="44"/>
        <v>0</v>
      </c>
      <c r="ER33" s="18">
        <f t="shared" si="44"/>
        <v>0</v>
      </c>
      <c r="ES33" s="18">
        <f t="shared" si="44"/>
        <v>0</v>
      </c>
      <c r="ET33" s="18">
        <f t="shared" si="44"/>
        <v>0</v>
      </c>
      <c r="EU33" s="18">
        <f t="shared" si="44"/>
        <v>0</v>
      </c>
      <c r="EV33" s="18">
        <f t="shared" si="44"/>
        <v>0</v>
      </c>
      <c r="EW33" s="18">
        <f t="shared" si="44"/>
        <v>0</v>
      </c>
      <c r="EX33" s="18">
        <f t="shared" si="44"/>
        <v>0</v>
      </c>
      <c r="EY33" s="18">
        <f t="shared" si="44"/>
        <v>0</v>
      </c>
      <c r="EZ33" s="18">
        <f t="shared" si="44"/>
        <v>0</v>
      </c>
      <c r="FA33" s="18">
        <f t="shared" si="44"/>
        <v>0</v>
      </c>
      <c r="FB33" s="18">
        <f t="shared" si="44"/>
        <v>0</v>
      </c>
      <c r="FC33" s="18">
        <f t="shared" si="44"/>
        <v>0</v>
      </c>
      <c r="FD33" s="18">
        <f t="shared" si="44"/>
        <v>0</v>
      </c>
      <c r="FE33" s="18">
        <f t="shared" si="44"/>
        <v>0</v>
      </c>
      <c r="FF33" s="18">
        <f t="shared" si="44"/>
        <v>0</v>
      </c>
      <c r="FG33" s="18">
        <f t="shared" si="44"/>
        <v>0</v>
      </c>
      <c r="FH33" s="18">
        <f t="shared" si="44"/>
        <v>0</v>
      </c>
      <c r="FI33" s="18">
        <f t="shared" si="45"/>
        <v>0</v>
      </c>
      <c r="FJ33" s="18">
        <f t="shared" si="45"/>
        <v>0</v>
      </c>
      <c r="FK33" s="18">
        <f t="shared" si="45"/>
        <v>0</v>
      </c>
      <c r="FL33" s="18">
        <f t="shared" si="45"/>
        <v>0</v>
      </c>
      <c r="FM33" s="18">
        <f t="shared" si="45"/>
        <v>0</v>
      </c>
      <c r="FN33" s="18">
        <f t="shared" si="45"/>
        <v>0</v>
      </c>
      <c r="FO33" s="18">
        <f t="shared" si="45"/>
        <v>0</v>
      </c>
      <c r="FP33" s="18">
        <f t="shared" si="45"/>
        <v>0</v>
      </c>
      <c r="FQ33" s="18">
        <f t="shared" si="45"/>
        <v>0</v>
      </c>
      <c r="FR33" s="18">
        <f t="shared" si="45"/>
        <v>0</v>
      </c>
      <c r="FS33" s="18">
        <f t="shared" si="45"/>
        <v>0</v>
      </c>
      <c r="FT33" s="18">
        <f t="shared" si="45"/>
        <v>0</v>
      </c>
      <c r="FU33" s="18">
        <f t="shared" si="45"/>
        <v>0</v>
      </c>
      <c r="FV33" s="18">
        <f t="shared" si="45"/>
        <v>0</v>
      </c>
      <c r="FW33" s="18">
        <f t="shared" si="45"/>
        <v>0</v>
      </c>
      <c r="FX33" s="18">
        <f t="shared" si="45"/>
        <v>0</v>
      </c>
      <c r="FY33" s="18">
        <f t="shared" si="45"/>
        <v>0</v>
      </c>
      <c r="FZ33" s="18">
        <f t="shared" si="45"/>
        <v>0</v>
      </c>
      <c r="GA33" s="18">
        <f t="shared" si="45"/>
        <v>0</v>
      </c>
      <c r="GB33" s="18">
        <f t="shared" si="45"/>
        <v>0</v>
      </c>
      <c r="GC33" s="18">
        <f t="shared" si="45"/>
        <v>0</v>
      </c>
    </row>
    <row r="34" spans="2:185" ht="17.100000000000001" customHeight="1" outlineLevel="1">
      <c r="B34" s="25"/>
      <c r="C34" s="40"/>
      <c r="D34" s="26"/>
      <c r="E34" s="27">
        <f>F33+1</f>
        <v>45385</v>
      </c>
      <c r="F34" s="27">
        <f>E34+1</f>
        <v>45386</v>
      </c>
      <c r="G34" s="28">
        <f t="shared" si="38"/>
        <v>2</v>
      </c>
      <c r="H34" s="29"/>
      <c r="I34" s="30"/>
      <c r="J34" s="31" t="str">
        <f t="shared" ca="1" si="40"/>
        <v>Open</v>
      </c>
      <c r="K34" s="18">
        <f t="shared" si="34"/>
        <v>0</v>
      </c>
      <c r="L34" s="18">
        <f t="shared" si="34"/>
        <v>0</v>
      </c>
      <c r="M34" s="18">
        <f t="shared" si="34"/>
        <v>0</v>
      </c>
      <c r="N34" s="18">
        <f t="shared" si="34"/>
        <v>0</v>
      </c>
      <c r="O34" s="18">
        <f t="shared" si="34"/>
        <v>0</v>
      </c>
      <c r="P34" s="18">
        <f t="shared" si="34"/>
        <v>0</v>
      </c>
      <c r="Q34" s="18">
        <f t="shared" si="34"/>
        <v>0</v>
      </c>
      <c r="R34" s="18">
        <f t="shared" si="34"/>
        <v>0</v>
      </c>
      <c r="S34" s="18">
        <f t="shared" si="34"/>
        <v>0</v>
      </c>
      <c r="T34" s="18">
        <f t="shared" si="34"/>
        <v>0</v>
      </c>
      <c r="U34" s="18">
        <f t="shared" si="34"/>
        <v>0</v>
      </c>
      <c r="V34" s="18">
        <f t="shared" si="34"/>
        <v>0</v>
      </c>
      <c r="W34" s="18">
        <f t="shared" si="34"/>
        <v>0</v>
      </c>
      <c r="X34" s="18">
        <f t="shared" si="34"/>
        <v>0</v>
      </c>
      <c r="Y34" s="18">
        <f t="shared" si="34"/>
        <v>0</v>
      </c>
      <c r="Z34" s="18">
        <f t="shared" si="34"/>
        <v>0</v>
      </c>
      <c r="AA34" s="18">
        <f t="shared" si="46"/>
        <v>0</v>
      </c>
      <c r="AB34" s="18">
        <f t="shared" si="46"/>
        <v>0</v>
      </c>
      <c r="AC34" s="18">
        <f t="shared" si="46"/>
        <v>0</v>
      </c>
      <c r="AD34" s="18">
        <f t="shared" si="46"/>
        <v>0</v>
      </c>
      <c r="AE34" s="18">
        <f t="shared" si="46"/>
        <v>0</v>
      </c>
      <c r="AF34" s="18">
        <f t="shared" si="46"/>
        <v>0</v>
      </c>
      <c r="AG34" s="18">
        <f t="shared" si="46"/>
        <v>0</v>
      </c>
      <c r="AH34" s="18">
        <f t="shared" si="46"/>
        <v>0</v>
      </c>
      <c r="AI34" s="18">
        <f t="shared" si="46"/>
        <v>0</v>
      </c>
      <c r="AJ34" s="18">
        <f t="shared" si="46"/>
        <v>0</v>
      </c>
      <c r="AK34" s="18">
        <f t="shared" si="46"/>
        <v>0</v>
      </c>
      <c r="AL34" s="18">
        <f t="shared" si="46"/>
        <v>0</v>
      </c>
      <c r="AM34" s="18">
        <f t="shared" si="46"/>
        <v>0</v>
      </c>
      <c r="AN34" s="18">
        <f t="shared" si="46"/>
        <v>0</v>
      </c>
      <c r="AO34" s="18">
        <f t="shared" si="46"/>
        <v>0</v>
      </c>
      <c r="AP34" s="18">
        <f t="shared" si="46"/>
        <v>0</v>
      </c>
      <c r="AQ34" s="18">
        <f t="shared" si="46"/>
        <v>0</v>
      </c>
      <c r="AR34" s="18">
        <f t="shared" si="46"/>
        <v>0</v>
      </c>
      <c r="AS34" s="18">
        <f t="shared" si="46"/>
        <v>0</v>
      </c>
      <c r="AT34" s="18">
        <f t="shared" si="46"/>
        <v>0</v>
      </c>
      <c r="AU34" s="18">
        <f t="shared" si="46"/>
        <v>0</v>
      </c>
      <c r="AV34" s="18">
        <f t="shared" si="46"/>
        <v>0</v>
      </c>
      <c r="AW34" s="18">
        <f t="shared" si="46"/>
        <v>0</v>
      </c>
      <c r="AX34" s="18">
        <f t="shared" si="46"/>
        <v>0</v>
      </c>
      <c r="AY34" s="18">
        <f t="shared" si="46"/>
        <v>0</v>
      </c>
      <c r="AZ34" s="18">
        <f t="shared" si="46"/>
        <v>0</v>
      </c>
      <c r="BA34" s="18">
        <f t="shared" si="46"/>
        <v>0</v>
      </c>
      <c r="BB34" s="18">
        <f t="shared" si="46"/>
        <v>0</v>
      </c>
      <c r="BC34" s="18">
        <f t="shared" si="46"/>
        <v>0</v>
      </c>
      <c r="BD34" s="18">
        <f t="shared" si="46"/>
        <v>0</v>
      </c>
      <c r="BE34" s="18">
        <f t="shared" si="46"/>
        <v>0</v>
      </c>
      <c r="BF34" s="18">
        <f t="shared" si="46"/>
        <v>0</v>
      </c>
      <c r="BG34" s="18">
        <f t="shared" si="46"/>
        <v>0</v>
      </c>
      <c r="BH34" s="18">
        <f t="shared" si="46"/>
        <v>0</v>
      </c>
      <c r="BI34" s="18">
        <f t="shared" si="46"/>
        <v>0</v>
      </c>
      <c r="BJ34" s="18">
        <f t="shared" si="46"/>
        <v>0</v>
      </c>
      <c r="BK34" s="18">
        <f t="shared" si="46"/>
        <v>0</v>
      </c>
      <c r="BL34" s="18">
        <f t="shared" si="46"/>
        <v>0</v>
      </c>
      <c r="BM34" s="18">
        <f t="shared" si="46"/>
        <v>0</v>
      </c>
      <c r="BN34" s="18">
        <f t="shared" si="46"/>
        <v>0</v>
      </c>
      <c r="BO34" s="18">
        <f t="shared" si="46"/>
        <v>0</v>
      </c>
      <c r="BP34" s="18">
        <f t="shared" si="46"/>
        <v>0</v>
      </c>
      <c r="BQ34" s="18">
        <f t="shared" si="46"/>
        <v>0</v>
      </c>
      <c r="BR34" s="18">
        <f t="shared" si="46"/>
        <v>0</v>
      </c>
      <c r="BS34" s="18">
        <f t="shared" si="46"/>
        <v>0</v>
      </c>
      <c r="BT34" s="18">
        <f t="shared" si="46"/>
        <v>0</v>
      </c>
      <c r="BU34" s="18">
        <f t="shared" si="46"/>
        <v>0</v>
      </c>
      <c r="BV34" s="18">
        <f t="shared" si="46"/>
        <v>0</v>
      </c>
      <c r="BW34" s="18">
        <f t="shared" si="46"/>
        <v>0</v>
      </c>
      <c r="BX34" s="18">
        <f t="shared" si="46"/>
        <v>1</v>
      </c>
      <c r="BY34" s="18">
        <f t="shared" si="46"/>
        <v>1</v>
      </c>
      <c r="BZ34" s="18">
        <f t="shared" si="46"/>
        <v>0</v>
      </c>
      <c r="CA34" s="18">
        <f t="shared" si="46"/>
        <v>0</v>
      </c>
      <c r="CB34" s="18">
        <f t="shared" si="46"/>
        <v>0</v>
      </c>
      <c r="CC34" s="18">
        <f t="shared" si="46"/>
        <v>0</v>
      </c>
      <c r="CD34" s="18">
        <f t="shared" si="46"/>
        <v>0</v>
      </c>
      <c r="CE34" s="18">
        <f t="shared" si="46"/>
        <v>0</v>
      </c>
      <c r="CF34" s="18">
        <f t="shared" si="46"/>
        <v>0</v>
      </c>
      <c r="CG34" s="18">
        <f t="shared" si="46"/>
        <v>0</v>
      </c>
      <c r="CH34" s="18">
        <f t="shared" si="46"/>
        <v>0</v>
      </c>
      <c r="CI34" s="18">
        <f t="shared" si="46"/>
        <v>0</v>
      </c>
      <c r="CJ34" s="18">
        <f t="shared" si="46"/>
        <v>0</v>
      </c>
      <c r="CK34" s="18">
        <f t="shared" si="46"/>
        <v>0</v>
      </c>
      <c r="CL34" s="18">
        <f t="shared" si="46"/>
        <v>0</v>
      </c>
      <c r="CM34" s="18">
        <f t="shared" si="47"/>
        <v>0</v>
      </c>
      <c r="CN34" s="18">
        <f t="shared" si="47"/>
        <v>0</v>
      </c>
      <c r="CO34" s="18">
        <f t="shared" si="47"/>
        <v>0</v>
      </c>
      <c r="CP34" s="18">
        <f t="shared" si="47"/>
        <v>0</v>
      </c>
      <c r="CQ34" s="18">
        <f t="shared" si="47"/>
        <v>0</v>
      </c>
      <c r="CR34" s="18">
        <f t="shared" si="47"/>
        <v>0</v>
      </c>
      <c r="CS34" s="18">
        <f t="shared" si="47"/>
        <v>0</v>
      </c>
      <c r="CT34" s="18">
        <f t="shared" si="47"/>
        <v>0</v>
      </c>
      <c r="CU34" s="18">
        <f t="shared" si="47"/>
        <v>0</v>
      </c>
      <c r="CV34" s="18">
        <f t="shared" si="47"/>
        <v>0</v>
      </c>
      <c r="CW34" s="18">
        <f t="shared" si="47"/>
        <v>0</v>
      </c>
      <c r="CX34" s="18">
        <f t="shared" si="47"/>
        <v>0</v>
      </c>
      <c r="CY34" s="18">
        <f t="shared" si="47"/>
        <v>0</v>
      </c>
      <c r="CZ34" s="18">
        <f t="shared" si="47"/>
        <v>0</v>
      </c>
      <c r="DA34" s="18">
        <f t="shared" si="47"/>
        <v>0</v>
      </c>
      <c r="DB34" s="18">
        <f t="shared" si="47"/>
        <v>0</v>
      </c>
      <c r="DC34" s="18">
        <f t="shared" si="47"/>
        <v>0</v>
      </c>
      <c r="DD34" s="18">
        <f t="shared" si="47"/>
        <v>0</v>
      </c>
      <c r="DE34" s="18">
        <f t="shared" si="47"/>
        <v>0</v>
      </c>
      <c r="DF34" s="18">
        <f t="shared" si="47"/>
        <v>0</v>
      </c>
      <c r="DG34" s="18">
        <f t="shared" si="47"/>
        <v>0</v>
      </c>
      <c r="DH34" s="18">
        <f t="shared" si="47"/>
        <v>0</v>
      </c>
      <c r="DI34" s="18">
        <f t="shared" si="47"/>
        <v>0</v>
      </c>
      <c r="DJ34" s="18">
        <f t="shared" si="47"/>
        <v>0</v>
      </c>
      <c r="DK34" s="18">
        <f t="shared" si="47"/>
        <v>0</v>
      </c>
      <c r="DL34" s="18">
        <f t="shared" si="47"/>
        <v>0</v>
      </c>
      <c r="DM34" s="18">
        <f t="shared" si="47"/>
        <v>0</v>
      </c>
      <c r="DN34" s="18">
        <f t="shared" si="47"/>
        <v>0</v>
      </c>
      <c r="DO34" s="18">
        <f t="shared" si="47"/>
        <v>0</v>
      </c>
      <c r="DP34" s="18">
        <f t="shared" si="47"/>
        <v>0</v>
      </c>
      <c r="DQ34" s="18">
        <f t="shared" si="47"/>
        <v>0</v>
      </c>
      <c r="DR34" s="18">
        <f t="shared" si="47"/>
        <v>0</v>
      </c>
      <c r="DS34" s="18">
        <f t="shared" si="47"/>
        <v>0</v>
      </c>
      <c r="DT34" s="18">
        <f t="shared" si="47"/>
        <v>0</v>
      </c>
      <c r="DU34" s="18">
        <f t="shared" si="47"/>
        <v>0</v>
      </c>
      <c r="DV34" s="18">
        <f t="shared" si="47"/>
        <v>0</v>
      </c>
      <c r="DW34" s="18">
        <f t="shared" si="47"/>
        <v>0</v>
      </c>
      <c r="DX34" s="18">
        <f t="shared" si="47"/>
        <v>0</v>
      </c>
      <c r="DY34" s="18">
        <f t="shared" si="47"/>
        <v>0</v>
      </c>
      <c r="DZ34" s="18">
        <f t="shared" si="47"/>
        <v>0</v>
      </c>
      <c r="EA34" s="18">
        <f t="shared" si="47"/>
        <v>0</v>
      </c>
      <c r="EB34" s="18">
        <f t="shared" si="47"/>
        <v>0</v>
      </c>
      <c r="EC34" s="18">
        <f t="shared" si="47"/>
        <v>0</v>
      </c>
      <c r="ED34" s="18">
        <f t="shared" si="47"/>
        <v>0</v>
      </c>
      <c r="EE34" s="18">
        <f t="shared" si="47"/>
        <v>0</v>
      </c>
      <c r="EF34" s="18">
        <f t="shared" si="47"/>
        <v>0</v>
      </c>
      <c r="EG34" s="18">
        <f t="shared" si="47"/>
        <v>0</v>
      </c>
      <c r="EH34" s="18">
        <f t="shared" si="47"/>
        <v>0</v>
      </c>
      <c r="EI34" s="18">
        <f t="shared" si="47"/>
        <v>0</v>
      </c>
      <c r="EJ34" s="18">
        <f t="shared" si="47"/>
        <v>0</v>
      </c>
      <c r="EK34" s="18">
        <f t="shared" si="47"/>
        <v>0</v>
      </c>
      <c r="EL34" s="18">
        <f t="shared" si="47"/>
        <v>0</v>
      </c>
      <c r="EM34" s="18">
        <f t="shared" si="47"/>
        <v>0</v>
      </c>
      <c r="EN34" s="18">
        <f t="shared" si="47"/>
        <v>0</v>
      </c>
      <c r="EO34" s="18">
        <f t="shared" si="47"/>
        <v>0</v>
      </c>
      <c r="EP34" s="18">
        <f t="shared" si="47"/>
        <v>0</v>
      </c>
      <c r="EQ34" s="18">
        <f t="shared" si="47"/>
        <v>0</v>
      </c>
      <c r="ER34" s="18">
        <f t="shared" si="47"/>
        <v>0</v>
      </c>
      <c r="ES34" s="18">
        <f t="shared" si="47"/>
        <v>0</v>
      </c>
      <c r="ET34" s="18">
        <f t="shared" si="47"/>
        <v>0</v>
      </c>
      <c r="EU34" s="18">
        <f t="shared" si="44"/>
        <v>0</v>
      </c>
      <c r="EV34" s="18">
        <f t="shared" si="44"/>
        <v>0</v>
      </c>
      <c r="EW34" s="18">
        <f t="shared" si="44"/>
        <v>0</v>
      </c>
      <c r="EX34" s="18">
        <f t="shared" si="44"/>
        <v>0</v>
      </c>
      <c r="EY34" s="18">
        <f t="shared" si="44"/>
        <v>0</v>
      </c>
      <c r="EZ34" s="18">
        <f t="shared" si="44"/>
        <v>0</v>
      </c>
      <c r="FA34" s="18">
        <f t="shared" si="44"/>
        <v>0</v>
      </c>
      <c r="FB34" s="18">
        <f t="shared" si="44"/>
        <v>0</v>
      </c>
      <c r="FC34" s="18">
        <f t="shared" si="44"/>
        <v>0</v>
      </c>
      <c r="FD34" s="18">
        <f t="shared" si="44"/>
        <v>0</v>
      </c>
      <c r="FE34" s="18">
        <f t="shared" si="44"/>
        <v>0</v>
      </c>
      <c r="FF34" s="18">
        <f t="shared" si="44"/>
        <v>0</v>
      </c>
      <c r="FG34" s="18">
        <f t="shared" si="44"/>
        <v>0</v>
      </c>
      <c r="FH34" s="18">
        <f t="shared" si="44"/>
        <v>0</v>
      </c>
      <c r="FI34" s="18">
        <f t="shared" si="45"/>
        <v>0</v>
      </c>
      <c r="FJ34" s="18">
        <f t="shared" si="45"/>
        <v>0</v>
      </c>
      <c r="FK34" s="18">
        <f t="shared" si="45"/>
        <v>0</v>
      </c>
      <c r="FL34" s="18">
        <f t="shared" si="45"/>
        <v>0</v>
      </c>
      <c r="FM34" s="18">
        <f t="shared" si="45"/>
        <v>0</v>
      </c>
      <c r="FN34" s="18">
        <f t="shared" si="45"/>
        <v>0</v>
      </c>
      <c r="FO34" s="18">
        <f t="shared" si="45"/>
        <v>0</v>
      </c>
      <c r="FP34" s="18">
        <f t="shared" si="45"/>
        <v>0</v>
      </c>
      <c r="FQ34" s="18">
        <f t="shared" si="45"/>
        <v>0</v>
      </c>
      <c r="FR34" s="18">
        <f t="shared" si="45"/>
        <v>0</v>
      </c>
      <c r="FS34" s="18">
        <f t="shared" si="45"/>
        <v>0</v>
      </c>
      <c r="FT34" s="18">
        <f t="shared" si="45"/>
        <v>0</v>
      </c>
      <c r="FU34" s="18">
        <f t="shared" si="45"/>
        <v>0</v>
      </c>
      <c r="FV34" s="18">
        <f t="shared" si="45"/>
        <v>0</v>
      </c>
      <c r="FW34" s="18">
        <f t="shared" si="45"/>
        <v>0</v>
      </c>
      <c r="FX34" s="18">
        <f t="shared" si="45"/>
        <v>0</v>
      </c>
      <c r="FY34" s="18">
        <f t="shared" si="45"/>
        <v>0</v>
      </c>
      <c r="FZ34" s="18">
        <f t="shared" si="45"/>
        <v>0</v>
      </c>
      <c r="GA34" s="18">
        <f t="shared" si="45"/>
        <v>0</v>
      </c>
      <c r="GB34" s="18">
        <f t="shared" si="45"/>
        <v>0</v>
      </c>
      <c r="GC34" s="18">
        <f t="shared" si="45"/>
        <v>0</v>
      </c>
    </row>
    <row r="35" spans="2:185" s="19" customFormat="1" ht="20.100000000000001" customHeight="1">
      <c r="B35" s="32"/>
      <c r="C35" s="33" t="s">
        <v>52</v>
      </c>
      <c r="D35" s="34"/>
      <c r="E35" s="35">
        <f>MINA(E36:E46)</f>
        <v>45384</v>
      </c>
      <c r="F35" s="35">
        <f>MAXA(F36:F46)</f>
        <v>45405</v>
      </c>
      <c r="G35" s="35"/>
      <c r="H35" s="36"/>
      <c r="I35" s="37"/>
      <c r="J35" s="38"/>
      <c r="K35" s="18">
        <f t="shared" si="34"/>
        <v>0</v>
      </c>
      <c r="L35" s="18">
        <f t="shared" si="34"/>
        <v>0</v>
      </c>
      <c r="M35" s="18">
        <f t="shared" si="34"/>
        <v>0</v>
      </c>
      <c r="N35" s="18">
        <f t="shared" si="34"/>
        <v>0</v>
      </c>
      <c r="O35" s="18">
        <f t="shared" si="34"/>
        <v>0</v>
      </c>
      <c r="P35" s="18">
        <f t="shared" si="34"/>
        <v>0</v>
      </c>
      <c r="Q35" s="18">
        <f t="shared" si="34"/>
        <v>0</v>
      </c>
      <c r="R35" s="18">
        <f t="shared" si="34"/>
        <v>0</v>
      </c>
      <c r="S35" s="18">
        <f t="shared" si="34"/>
        <v>0</v>
      </c>
      <c r="T35" s="18">
        <f t="shared" si="34"/>
        <v>0</v>
      </c>
      <c r="U35" s="18">
        <f t="shared" si="34"/>
        <v>0</v>
      </c>
      <c r="V35" s="18">
        <f t="shared" si="34"/>
        <v>0</v>
      </c>
      <c r="W35" s="18">
        <f t="shared" si="34"/>
        <v>0</v>
      </c>
      <c r="X35" s="18">
        <f t="shared" si="34"/>
        <v>0</v>
      </c>
      <c r="Y35" s="18">
        <f t="shared" si="34"/>
        <v>0</v>
      </c>
      <c r="Z35" s="18">
        <f t="shared" si="34"/>
        <v>0</v>
      </c>
      <c r="AA35" s="18">
        <f t="shared" si="46"/>
        <v>0</v>
      </c>
      <c r="AB35" s="18">
        <f t="shared" si="46"/>
        <v>0</v>
      </c>
      <c r="AC35" s="18">
        <f t="shared" si="46"/>
        <v>0</v>
      </c>
      <c r="AD35" s="18">
        <f t="shared" si="46"/>
        <v>0</v>
      </c>
      <c r="AE35" s="18">
        <f t="shared" si="46"/>
        <v>0</v>
      </c>
      <c r="AF35" s="18">
        <f t="shared" si="46"/>
        <v>0</v>
      </c>
      <c r="AG35" s="18">
        <f t="shared" si="46"/>
        <v>0</v>
      </c>
      <c r="AH35" s="18">
        <f t="shared" si="46"/>
        <v>0</v>
      </c>
      <c r="AI35" s="18">
        <f t="shared" si="46"/>
        <v>0</v>
      </c>
      <c r="AJ35" s="18">
        <f t="shared" si="46"/>
        <v>0</v>
      </c>
      <c r="AK35" s="18">
        <f t="shared" si="46"/>
        <v>0</v>
      </c>
      <c r="AL35" s="18">
        <f t="shared" si="46"/>
        <v>0</v>
      </c>
      <c r="AM35" s="18">
        <f t="shared" si="46"/>
        <v>0</v>
      </c>
      <c r="AN35" s="18">
        <f t="shared" si="46"/>
        <v>0</v>
      </c>
      <c r="AO35" s="18">
        <f t="shared" si="46"/>
        <v>0</v>
      </c>
      <c r="AP35" s="18">
        <f t="shared" si="46"/>
        <v>0</v>
      </c>
      <c r="AQ35" s="18">
        <f t="shared" si="46"/>
        <v>0</v>
      </c>
      <c r="AR35" s="18">
        <f t="shared" si="46"/>
        <v>0</v>
      </c>
      <c r="AS35" s="18">
        <f t="shared" si="46"/>
        <v>0</v>
      </c>
      <c r="AT35" s="18">
        <f t="shared" si="46"/>
        <v>0</v>
      </c>
      <c r="AU35" s="18">
        <f t="shared" si="46"/>
        <v>0</v>
      </c>
      <c r="AV35" s="18">
        <f t="shared" si="46"/>
        <v>0</v>
      </c>
      <c r="AW35" s="18">
        <f t="shared" si="46"/>
        <v>0</v>
      </c>
      <c r="AX35" s="18">
        <f t="shared" si="46"/>
        <v>0</v>
      </c>
      <c r="AY35" s="18">
        <f t="shared" si="46"/>
        <v>0</v>
      </c>
      <c r="AZ35" s="18">
        <f t="shared" si="46"/>
        <v>0</v>
      </c>
      <c r="BA35" s="18">
        <f t="shared" si="46"/>
        <v>0</v>
      </c>
      <c r="BB35" s="18">
        <f t="shared" si="46"/>
        <v>0</v>
      </c>
      <c r="BC35" s="18">
        <f t="shared" si="46"/>
        <v>0</v>
      </c>
      <c r="BD35" s="18">
        <f t="shared" si="46"/>
        <v>0</v>
      </c>
      <c r="BE35" s="18">
        <f t="shared" si="46"/>
        <v>0</v>
      </c>
      <c r="BF35" s="18">
        <f t="shared" si="46"/>
        <v>0</v>
      </c>
      <c r="BG35" s="18">
        <f t="shared" si="46"/>
        <v>0</v>
      </c>
      <c r="BH35" s="18">
        <f t="shared" si="46"/>
        <v>0</v>
      </c>
      <c r="BI35" s="18">
        <f t="shared" si="46"/>
        <v>0</v>
      </c>
      <c r="BJ35" s="18">
        <f t="shared" si="46"/>
        <v>0</v>
      </c>
      <c r="BK35" s="18">
        <f t="shared" si="46"/>
        <v>0</v>
      </c>
      <c r="BL35" s="18">
        <f t="shared" si="46"/>
        <v>0</v>
      </c>
      <c r="BM35" s="18">
        <f t="shared" si="46"/>
        <v>0</v>
      </c>
      <c r="BN35" s="18">
        <f t="shared" si="46"/>
        <v>0</v>
      </c>
      <c r="BO35" s="18">
        <f t="shared" si="46"/>
        <v>0</v>
      </c>
      <c r="BP35" s="18">
        <f t="shared" si="46"/>
        <v>0</v>
      </c>
      <c r="BQ35" s="18">
        <f t="shared" si="46"/>
        <v>0</v>
      </c>
      <c r="BR35" s="18">
        <f t="shared" si="46"/>
        <v>0</v>
      </c>
      <c r="BS35" s="18">
        <f t="shared" si="46"/>
        <v>0</v>
      </c>
      <c r="BT35" s="18">
        <f t="shared" si="46"/>
        <v>0</v>
      </c>
      <c r="BU35" s="18">
        <f t="shared" si="46"/>
        <v>0</v>
      </c>
      <c r="BV35" s="18">
        <f t="shared" si="46"/>
        <v>0</v>
      </c>
      <c r="BW35" s="18">
        <f t="shared" si="46"/>
        <v>1</v>
      </c>
      <c r="BX35" s="18">
        <f t="shared" si="46"/>
        <v>1</v>
      </c>
      <c r="BY35" s="18">
        <f t="shared" si="46"/>
        <v>1</v>
      </c>
      <c r="BZ35" s="18">
        <f t="shared" si="46"/>
        <v>1</v>
      </c>
      <c r="CA35" s="18">
        <f t="shared" si="46"/>
        <v>1</v>
      </c>
      <c r="CB35" s="18">
        <f t="shared" si="46"/>
        <v>1</v>
      </c>
      <c r="CC35" s="18">
        <f t="shared" si="46"/>
        <v>1</v>
      </c>
      <c r="CD35" s="18">
        <f t="shared" si="46"/>
        <v>1</v>
      </c>
      <c r="CE35" s="18">
        <f t="shared" si="46"/>
        <v>1</v>
      </c>
      <c r="CF35" s="18">
        <f t="shared" si="46"/>
        <v>1</v>
      </c>
      <c r="CG35" s="18">
        <f t="shared" si="46"/>
        <v>1</v>
      </c>
      <c r="CH35" s="18">
        <f t="shared" si="46"/>
        <v>1</v>
      </c>
      <c r="CI35" s="18">
        <f t="shared" si="46"/>
        <v>1</v>
      </c>
      <c r="CJ35" s="18">
        <f t="shared" si="46"/>
        <v>1</v>
      </c>
      <c r="CK35" s="18">
        <f t="shared" si="46"/>
        <v>1</v>
      </c>
      <c r="CL35" s="18">
        <f t="shared" si="46"/>
        <v>1</v>
      </c>
      <c r="CM35" s="18">
        <f t="shared" si="47"/>
        <v>1</v>
      </c>
      <c r="CN35" s="18">
        <f t="shared" si="47"/>
        <v>1</v>
      </c>
      <c r="CO35" s="18">
        <f t="shared" si="47"/>
        <v>1</v>
      </c>
      <c r="CP35" s="18">
        <f t="shared" si="47"/>
        <v>1</v>
      </c>
      <c r="CQ35" s="18">
        <f t="shared" si="47"/>
        <v>1</v>
      </c>
      <c r="CR35" s="18">
        <f t="shared" si="47"/>
        <v>1</v>
      </c>
      <c r="CS35" s="18">
        <f t="shared" si="47"/>
        <v>0</v>
      </c>
      <c r="CT35" s="18">
        <f t="shared" si="47"/>
        <v>0</v>
      </c>
      <c r="CU35" s="18">
        <f t="shared" si="47"/>
        <v>0</v>
      </c>
      <c r="CV35" s="18">
        <f t="shared" si="47"/>
        <v>0</v>
      </c>
      <c r="CW35" s="18">
        <f t="shared" si="47"/>
        <v>0</v>
      </c>
      <c r="CX35" s="18">
        <f t="shared" si="47"/>
        <v>0</v>
      </c>
      <c r="CY35" s="18">
        <f t="shared" si="47"/>
        <v>0</v>
      </c>
      <c r="CZ35" s="18">
        <f t="shared" si="47"/>
        <v>0</v>
      </c>
      <c r="DA35" s="18">
        <f t="shared" si="47"/>
        <v>0</v>
      </c>
      <c r="DB35" s="18">
        <f t="shared" si="47"/>
        <v>0</v>
      </c>
      <c r="DC35" s="18">
        <f t="shared" si="47"/>
        <v>0</v>
      </c>
      <c r="DD35" s="18">
        <f t="shared" si="47"/>
        <v>0</v>
      </c>
      <c r="DE35" s="18">
        <f t="shared" si="47"/>
        <v>0</v>
      </c>
      <c r="DF35" s="18">
        <f t="shared" si="47"/>
        <v>0</v>
      </c>
      <c r="DG35" s="18">
        <f t="shared" si="47"/>
        <v>0</v>
      </c>
      <c r="DH35" s="18">
        <f t="shared" si="47"/>
        <v>0</v>
      </c>
      <c r="DI35" s="18">
        <f t="shared" si="47"/>
        <v>0</v>
      </c>
      <c r="DJ35" s="18">
        <f t="shared" si="47"/>
        <v>0</v>
      </c>
      <c r="DK35" s="18">
        <f t="shared" si="47"/>
        <v>0</v>
      </c>
      <c r="DL35" s="18">
        <f t="shared" si="47"/>
        <v>0</v>
      </c>
      <c r="DM35" s="18">
        <f t="shared" si="47"/>
        <v>0</v>
      </c>
      <c r="DN35" s="18">
        <f t="shared" si="47"/>
        <v>0</v>
      </c>
      <c r="DO35" s="18">
        <f t="shared" si="47"/>
        <v>0</v>
      </c>
      <c r="DP35" s="18">
        <f t="shared" si="47"/>
        <v>0</v>
      </c>
      <c r="DQ35" s="18">
        <f t="shared" si="47"/>
        <v>0</v>
      </c>
      <c r="DR35" s="18">
        <f t="shared" si="47"/>
        <v>0</v>
      </c>
      <c r="DS35" s="18">
        <f t="shared" si="47"/>
        <v>0</v>
      </c>
      <c r="DT35" s="18">
        <f t="shared" si="47"/>
        <v>0</v>
      </c>
      <c r="DU35" s="18">
        <f t="shared" si="47"/>
        <v>0</v>
      </c>
      <c r="DV35" s="18">
        <f t="shared" si="47"/>
        <v>0</v>
      </c>
      <c r="DW35" s="18">
        <f t="shared" si="47"/>
        <v>0</v>
      </c>
      <c r="DX35" s="18">
        <f t="shared" si="47"/>
        <v>0</v>
      </c>
      <c r="DY35" s="18">
        <f t="shared" si="47"/>
        <v>0</v>
      </c>
      <c r="DZ35" s="18">
        <f t="shared" si="47"/>
        <v>0</v>
      </c>
      <c r="EA35" s="18">
        <f t="shared" si="47"/>
        <v>0</v>
      </c>
      <c r="EB35" s="18">
        <f t="shared" si="47"/>
        <v>0</v>
      </c>
      <c r="EC35" s="18">
        <f t="shared" si="47"/>
        <v>0</v>
      </c>
      <c r="ED35" s="18">
        <f t="shared" si="47"/>
        <v>0</v>
      </c>
      <c r="EE35" s="18">
        <f t="shared" si="47"/>
        <v>0</v>
      </c>
      <c r="EF35" s="18">
        <f t="shared" si="47"/>
        <v>0</v>
      </c>
      <c r="EG35" s="18">
        <f t="shared" si="47"/>
        <v>0</v>
      </c>
      <c r="EH35" s="18">
        <f t="shared" si="47"/>
        <v>0</v>
      </c>
      <c r="EI35" s="18">
        <f t="shared" si="47"/>
        <v>0</v>
      </c>
      <c r="EJ35" s="18">
        <f t="shared" si="47"/>
        <v>0</v>
      </c>
      <c r="EK35" s="18">
        <f t="shared" si="47"/>
        <v>0</v>
      </c>
      <c r="EL35" s="18">
        <f t="shared" si="47"/>
        <v>0</v>
      </c>
      <c r="EM35" s="18">
        <f t="shared" si="47"/>
        <v>0</v>
      </c>
      <c r="EN35" s="18">
        <f t="shared" si="47"/>
        <v>0</v>
      </c>
      <c r="EO35" s="18">
        <f t="shared" si="47"/>
        <v>0</v>
      </c>
      <c r="EP35" s="18">
        <f t="shared" si="47"/>
        <v>0</v>
      </c>
      <c r="EQ35" s="18">
        <f t="shared" si="47"/>
        <v>0</v>
      </c>
      <c r="ER35" s="18">
        <f t="shared" si="47"/>
        <v>0</v>
      </c>
      <c r="ES35" s="18">
        <f t="shared" si="47"/>
        <v>0</v>
      </c>
      <c r="ET35" s="18">
        <f t="shared" si="47"/>
        <v>0</v>
      </c>
      <c r="EU35" s="18">
        <f t="shared" si="44"/>
        <v>0</v>
      </c>
      <c r="EV35" s="18">
        <f t="shared" si="44"/>
        <v>0</v>
      </c>
      <c r="EW35" s="18">
        <f t="shared" si="44"/>
        <v>0</v>
      </c>
      <c r="EX35" s="18">
        <f t="shared" si="44"/>
        <v>0</v>
      </c>
      <c r="EY35" s="18">
        <f t="shared" si="44"/>
        <v>0</v>
      </c>
      <c r="EZ35" s="18">
        <f t="shared" si="44"/>
        <v>0</v>
      </c>
      <c r="FA35" s="18">
        <f t="shared" si="44"/>
        <v>0</v>
      </c>
      <c r="FB35" s="18">
        <f t="shared" si="44"/>
        <v>0</v>
      </c>
      <c r="FC35" s="18">
        <f t="shared" si="44"/>
        <v>0</v>
      </c>
      <c r="FD35" s="18">
        <f t="shared" si="44"/>
        <v>0</v>
      </c>
      <c r="FE35" s="18">
        <f t="shared" si="44"/>
        <v>0</v>
      </c>
      <c r="FF35" s="18">
        <f t="shared" si="44"/>
        <v>0</v>
      </c>
      <c r="FG35" s="18">
        <f t="shared" si="44"/>
        <v>0</v>
      </c>
      <c r="FH35" s="18">
        <f t="shared" si="44"/>
        <v>0</v>
      </c>
      <c r="FI35" s="18">
        <f t="shared" si="45"/>
        <v>0</v>
      </c>
      <c r="FJ35" s="18">
        <f t="shared" si="45"/>
        <v>0</v>
      </c>
      <c r="FK35" s="18">
        <f t="shared" si="45"/>
        <v>0</v>
      </c>
      <c r="FL35" s="18">
        <f t="shared" si="45"/>
        <v>0</v>
      </c>
      <c r="FM35" s="18">
        <f t="shared" si="45"/>
        <v>0</v>
      </c>
      <c r="FN35" s="18">
        <f t="shared" si="45"/>
        <v>0</v>
      </c>
      <c r="FO35" s="18">
        <f t="shared" si="45"/>
        <v>0</v>
      </c>
      <c r="FP35" s="18">
        <f t="shared" si="45"/>
        <v>0</v>
      </c>
      <c r="FQ35" s="18">
        <f t="shared" si="45"/>
        <v>0</v>
      </c>
      <c r="FR35" s="18">
        <f t="shared" si="45"/>
        <v>0</v>
      </c>
      <c r="FS35" s="18">
        <f t="shared" si="45"/>
        <v>0</v>
      </c>
      <c r="FT35" s="18">
        <f t="shared" si="45"/>
        <v>0</v>
      </c>
      <c r="FU35" s="18">
        <f t="shared" si="45"/>
        <v>0</v>
      </c>
      <c r="FV35" s="18">
        <f t="shared" si="45"/>
        <v>0</v>
      </c>
      <c r="FW35" s="18">
        <f t="shared" si="45"/>
        <v>0</v>
      </c>
      <c r="FX35" s="18">
        <f t="shared" si="45"/>
        <v>0</v>
      </c>
      <c r="FY35" s="18">
        <f t="shared" si="45"/>
        <v>0</v>
      </c>
      <c r="FZ35" s="18">
        <f t="shared" si="45"/>
        <v>0</v>
      </c>
      <c r="GA35" s="18">
        <f t="shared" si="45"/>
        <v>0</v>
      </c>
      <c r="GB35" s="18">
        <f t="shared" si="45"/>
        <v>0</v>
      </c>
      <c r="GC35" s="18">
        <f t="shared" si="45"/>
        <v>0</v>
      </c>
    </row>
    <row r="36" spans="2:185" ht="17.100000000000001" customHeight="1" outlineLevel="1">
      <c r="B36" s="25"/>
      <c r="C36" s="40" t="s">
        <v>53</v>
      </c>
      <c r="D36" s="26" t="s">
        <v>25</v>
      </c>
      <c r="E36" s="27">
        <f>F34+1</f>
        <v>45387</v>
      </c>
      <c r="F36" s="27">
        <f>E36+1</f>
        <v>45388</v>
      </c>
      <c r="G36" s="28">
        <f t="shared" ref="G36:G46" si="48">F36-E36+1</f>
        <v>2</v>
      </c>
      <c r="H36" s="29"/>
      <c r="I36" s="30"/>
      <c r="J36" s="31" t="s">
        <v>23</v>
      </c>
      <c r="K36" s="18">
        <f t="shared" si="34"/>
        <v>0</v>
      </c>
      <c r="L36" s="18">
        <f t="shared" si="34"/>
        <v>0</v>
      </c>
      <c r="M36" s="18">
        <f t="shared" si="34"/>
        <v>0</v>
      </c>
      <c r="N36" s="18">
        <f t="shared" si="34"/>
        <v>0</v>
      </c>
      <c r="O36" s="18">
        <f t="shared" si="34"/>
        <v>0</v>
      </c>
      <c r="P36" s="18">
        <f t="shared" si="34"/>
        <v>0</v>
      </c>
      <c r="Q36" s="18">
        <f t="shared" si="34"/>
        <v>0</v>
      </c>
      <c r="R36" s="18">
        <f t="shared" si="34"/>
        <v>0</v>
      </c>
      <c r="S36" s="18">
        <f t="shared" si="34"/>
        <v>0</v>
      </c>
      <c r="T36" s="18">
        <f t="shared" si="34"/>
        <v>0</v>
      </c>
      <c r="U36" s="18">
        <f t="shared" si="34"/>
        <v>0</v>
      </c>
      <c r="V36" s="18">
        <f t="shared" si="34"/>
        <v>0</v>
      </c>
      <c r="W36" s="18">
        <f t="shared" si="34"/>
        <v>0</v>
      </c>
      <c r="X36" s="18">
        <f t="shared" si="34"/>
        <v>0</v>
      </c>
      <c r="Y36" s="18">
        <f t="shared" si="34"/>
        <v>0</v>
      </c>
      <c r="Z36" s="18">
        <f t="shared" si="34"/>
        <v>0</v>
      </c>
      <c r="AA36" s="18">
        <f t="shared" si="46"/>
        <v>0</v>
      </c>
      <c r="AB36" s="18">
        <f t="shared" si="46"/>
        <v>0</v>
      </c>
      <c r="AC36" s="18">
        <f t="shared" si="46"/>
        <v>0</v>
      </c>
      <c r="AD36" s="18">
        <f t="shared" si="46"/>
        <v>0</v>
      </c>
      <c r="AE36" s="18">
        <f t="shared" si="46"/>
        <v>0</v>
      </c>
      <c r="AF36" s="18">
        <f t="shared" si="46"/>
        <v>0</v>
      </c>
      <c r="AG36" s="18">
        <f t="shared" si="46"/>
        <v>0</v>
      </c>
      <c r="AH36" s="18">
        <f t="shared" si="46"/>
        <v>0</v>
      </c>
      <c r="AI36" s="18">
        <f t="shared" si="46"/>
        <v>0</v>
      </c>
      <c r="AJ36" s="18">
        <f t="shared" si="46"/>
        <v>0</v>
      </c>
      <c r="AK36" s="18">
        <f t="shared" si="46"/>
        <v>0</v>
      </c>
      <c r="AL36" s="18">
        <f t="shared" si="46"/>
        <v>0</v>
      </c>
      <c r="AM36" s="18">
        <f t="shared" si="46"/>
        <v>0</v>
      </c>
      <c r="AN36" s="18">
        <f t="shared" si="46"/>
        <v>0</v>
      </c>
      <c r="AO36" s="18">
        <f t="shared" si="46"/>
        <v>0</v>
      </c>
      <c r="AP36" s="18">
        <f t="shared" si="46"/>
        <v>0</v>
      </c>
      <c r="AQ36" s="18">
        <f t="shared" si="46"/>
        <v>0</v>
      </c>
      <c r="AR36" s="18">
        <f t="shared" si="46"/>
        <v>0</v>
      </c>
      <c r="AS36" s="18">
        <f t="shared" si="46"/>
        <v>0</v>
      </c>
      <c r="AT36" s="18">
        <f t="shared" si="46"/>
        <v>0</v>
      </c>
      <c r="AU36" s="18">
        <f t="shared" si="46"/>
        <v>0</v>
      </c>
      <c r="AV36" s="18">
        <f t="shared" si="46"/>
        <v>0</v>
      </c>
      <c r="AW36" s="18">
        <f t="shared" si="46"/>
        <v>0</v>
      </c>
      <c r="AX36" s="18">
        <f t="shared" si="46"/>
        <v>0</v>
      </c>
      <c r="AY36" s="18">
        <f t="shared" si="46"/>
        <v>0</v>
      </c>
      <c r="AZ36" s="18">
        <f t="shared" si="46"/>
        <v>0</v>
      </c>
      <c r="BA36" s="18">
        <f t="shared" si="46"/>
        <v>0</v>
      </c>
      <c r="BB36" s="18">
        <f t="shared" si="46"/>
        <v>0</v>
      </c>
      <c r="BC36" s="18">
        <f t="shared" si="46"/>
        <v>0</v>
      </c>
      <c r="BD36" s="18">
        <f t="shared" si="46"/>
        <v>0</v>
      </c>
      <c r="BE36" s="18">
        <f t="shared" si="46"/>
        <v>0</v>
      </c>
      <c r="BF36" s="18">
        <f t="shared" si="46"/>
        <v>0</v>
      </c>
      <c r="BG36" s="18">
        <f t="shared" si="46"/>
        <v>0</v>
      </c>
      <c r="BH36" s="18">
        <f t="shared" si="46"/>
        <v>0</v>
      </c>
      <c r="BI36" s="18">
        <f t="shared" si="46"/>
        <v>0</v>
      </c>
      <c r="BJ36" s="18">
        <f t="shared" si="46"/>
        <v>0</v>
      </c>
      <c r="BK36" s="18">
        <f t="shared" si="46"/>
        <v>0</v>
      </c>
      <c r="BL36" s="18">
        <f t="shared" si="46"/>
        <v>0</v>
      </c>
      <c r="BM36" s="18">
        <f t="shared" si="46"/>
        <v>0</v>
      </c>
      <c r="BN36" s="18">
        <f t="shared" si="46"/>
        <v>0</v>
      </c>
      <c r="BO36" s="18">
        <f t="shared" si="46"/>
        <v>0</v>
      </c>
      <c r="BP36" s="18">
        <f t="shared" si="46"/>
        <v>0</v>
      </c>
      <c r="BQ36" s="18">
        <f t="shared" si="46"/>
        <v>0</v>
      </c>
      <c r="BR36" s="18">
        <f t="shared" si="46"/>
        <v>0</v>
      </c>
      <c r="BS36" s="18">
        <f t="shared" si="46"/>
        <v>0</v>
      </c>
      <c r="BT36" s="18">
        <f t="shared" si="46"/>
        <v>0</v>
      </c>
      <c r="BU36" s="18">
        <f t="shared" si="46"/>
        <v>0</v>
      </c>
      <c r="BV36" s="18">
        <f t="shared" si="46"/>
        <v>0</v>
      </c>
      <c r="BW36" s="18">
        <f t="shared" si="46"/>
        <v>0</v>
      </c>
      <c r="BX36" s="18">
        <f t="shared" si="46"/>
        <v>0</v>
      </c>
      <c r="BY36" s="18">
        <f t="shared" si="46"/>
        <v>0</v>
      </c>
      <c r="BZ36" s="18">
        <f t="shared" si="46"/>
        <v>1</v>
      </c>
      <c r="CA36" s="18">
        <f t="shared" si="46"/>
        <v>1</v>
      </c>
      <c r="CB36" s="18">
        <f t="shared" si="46"/>
        <v>0</v>
      </c>
      <c r="CC36" s="18">
        <f t="shared" si="46"/>
        <v>0</v>
      </c>
      <c r="CD36" s="18">
        <f t="shared" si="46"/>
        <v>0</v>
      </c>
      <c r="CE36" s="18">
        <f t="shared" si="46"/>
        <v>0</v>
      </c>
      <c r="CF36" s="18">
        <f t="shared" si="46"/>
        <v>0</v>
      </c>
      <c r="CG36" s="18">
        <f t="shared" si="46"/>
        <v>0</v>
      </c>
      <c r="CH36" s="18">
        <f t="shared" si="46"/>
        <v>0</v>
      </c>
      <c r="CI36" s="18">
        <f t="shared" si="46"/>
        <v>0</v>
      </c>
      <c r="CJ36" s="18">
        <f t="shared" si="46"/>
        <v>0</v>
      </c>
      <c r="CK36" s="18">
        <f t="shared" si="46"/>
        <v>0</v>
      </c>
      <c r="CL36" s="18">
        <f t="shared" ref="CL36:ET41" si="49">IF(AND($E36&lt;=CL$5,$F36&gt;=CL$5),1,0)</f>
        <v>0</v>
      </c>
      <c r="CM36" s="18">
        <f t="shared" si="49"/>
        <v>0</v>
      </c>
      <c r="CN36" s="18">
        <f t="shared" si="49"/>
        <v>0</v>
      </c>
      <c r="CO36" s="18">
        <f t="shared" si="49"/>
        <v>0</v>
      </c>
      <c r="CP36" s="18">
        <f t="shared" si="49"/>
        <v>0</v>
      </c>
      <c r="CQ36" s="18">
        <f t="shared" si="49"/>
        <v>0</v>
      </c>
      <c r="CR36" s="18">
        <f t="shared" si="49"/>
        <v>0</v>
      </c>
      <c r="CS36" s="18">
        <f t="shared" si="49"/>
        <v>0</v>
      </c>
      <c r="CT36" s="18">
        <f t="shared" si="49"/>
        <v>0</v>
      </c>
      <c r="CU36" s="18">
        <f t="shared" si="49"/>
        <v>0</v>
      </c>
      <c r="CV36" s="18">
        <f t="shared" si="49"/>
        <v>0</v>
      </c>
      <c r="CW36" s="18">
        <f t="shared" si="47"/>
        <v>0</v>
      </c>
      <c r="CX36" s="18">
        <f t="shared" si="49"/>
        <v>0</v>
      </c>
      <c r="CY36" s="18">
        <f t="shared" si="49"/>
        <v>0</v>
      </c>
      <c r="CZ36" s="18">
        <f t="shared" si="49"/>
        <v>0</v>
      </c>
      <c r="DA36" s="18">
        <f t="shared" si="49"/>
        <v>0</v>
      </c>
      <c r="DB36" s="18">
        <f t="shared" si="49"/>
        <v>0</v>
      </c>
      <c r="DC36" s="18">
        <f t="shared" si="47"/>
        <v>0</v>
      </c>
      <c r="DD36" s="18">
        <f t="shared" si="47"/>
        <v>0</v>
      </c>
      <c r="DE36" s="18">
        <f t="shared" si="47"/>
        <v>0</v>
      </c>
      <c r="DF36" s="18">
        <f t="shared" si="47"/>
        <v>0</v>
      </c>
      <c r="DG36" s="18">
        <f t="shared" si="47"/>
        <v>0</v>
      </c>
      <c r="DH36" s="18">
        <f t="shared" si="47"/>
        <v>0</v>
      </c>
      <c r="DI36" s="18">
        <f t="shared" si="47"/>
        <v>0</v>
      </c>
      <c r="DJ36" s="18">
        <f t="shared" si="47"/>
        <v>0</v>
      </c>
      <c r="DK36" s="18">
        <f t="shared" si="47"/>
        <v>0</v>
      </c>
      <c r="DL36" s="18">
        <f t="shared" si="47"/>
        <v>0</v>
      </c>
      <c r="DM36" s="18">
        <f t="shared" si="47"/>
        <v>0</v>
      </c>
      <c r="DN36" s="18">
        <f t="shared" si="47"/>
        <v>0</v>
      </c>
      <c r="DO36" s="18">
        <f t="shared" si="47"/>
        <v>0</v>
      </c>
      <c r="DP36" s="18">
        <f t="shared" si="47"/>
        <v>0</v>
      </c>
      <c r="DQ36" s="18">
        <f t="shared" si="47"/>
        <v>0</v>
      </c>
      <c r="DR36" s="18">
        <f t="shared" si="47"/>
        <v>0</v>
      </c>
      <c r="DS36" s="18">
        <f t="shared" si="47"/>
        <v>0</v>
      </c>
      <c r="DT36" s="18">
        <f t="shared" si="47"/>
        <v>0</v>
      </c>
      <c r="DU36" s="18">
        <f t="shared" si="47"/>
        <v>0</v>
      </c>
      <c r="DV36" s="18">
        <f t="shared" si="47"/>
        <v>0</v>
      </c>
      <c r="DW36" s="18">
        <f t="shared" si="47"/>
        <v>0</v>
      </c>
      <c r="DX36" s="18">
        <f t="shared" si="47"/>
        <v>0</v>
      </c>
      <c r="DY36" s="18">
        <f t="shared" si="47"/>
        <v>0</v>
      </c>
      <c r="DZ36" s="18">
        <f t="shared" si="47"/>
        <v>0</v>
      </c>
      <c r="EA36" s="18">
        <f t="shared" si="47"/>
        <v>0</v>
      </c>
      <c r="EB36" s="18">
        <f t="shared" si="47"/>
        <v>0</v>
      </c>
      <c r="EC36" s="18">
        <f t="shared" si="47"/>
        <v>0</v>
      </c>
      <c r="ED36" s="18">
        <f t="shared" si="47"/>
        <v>0</v>
      </c>
      <c r="EE36" s="18">
        <f t="shared" si="47"/>
        <v>0</v>
      </c>
      <c r="EF36" s="18">
        <f t="shared" si="47"/>
        <v>0</v>
      </c>
      <c r="EG36" s="18">
        <f t="shared" si="47"/>
        <v>0</v>
      </c>
      <c r="EH36" s="18">
        <f t="shared" si="47"/>
        <v>0</v>
      </c>
      <c r="EI36" s="18">
        <f t="shared" si="47"/>
        <v>0</v>
      </c>
      <c r="EJ36" s="18">
        <f t="shared" si="47"/>
        <v>0</v>
      </c>
      <c r="EK36" s="18">
        <f t="shared" si="47"/>
        <v>0</v>
      </c>
      <c r="EL36" s="18">
        <f t="shared" si="47"/>
        <v>0</v>
      </c>
      <c r="EM36" s="18">
        <f t="shared" si="47"/>
        <v>0</v>
      </c>
      <c r="EN36" s="18">
        <f t="shared" si="47"/>
        <v>0</v>
      </c>
      <c r="EO36" s="18">
        <f t="shared" si="47"/>
        <v>0</v>
      </c>
      <c r="EP36" s="18">
        <f t="shared" si="47"/>
        <v>0</v>
      </c>
      <c r="EQ36" s="18">
        <f t="shared" si="47"/>
        <v>0</v>
      </c>
      <c r="ER36" s="18">
        <f t="shared" si="47"/>
        <v>0</v>
      </c>
      <c r="ES36" s="18">
        <f t="shared" si="47"/>
        <v>0</v>
      </c>
      <c r="ET36" s="18">
        <f t="shared" si="47"/>
        <v>0</v>
      </c>
      <c r="EU36" s="18">
        <f t="shared" si="44"/>
        <v>0</v>
      </c>
      <c r="EV36" s="18">
        <f t="shared" si="44"/>
        <v>0</v>
      </c>
      <c r="EW36" s="18">
        <f t="shared" si="44"/>
        <v>0</v>
      </c>
      <c r="EX36" s="18">
        <f t="shared" si="44"/>
        <v>0</v>
      </c>
      <c r="EY36" s="18">
        <f t="shared" si="44"/>
        <v>0</v>
      </c>
      <c r="EZ36" s="18">
        <f t="shared" si="44"/>
        <v>0</v>
      </c>
      <c r="FA36" s="18">
        <f t="shared" si="44"/>
        <v>0</v>
      </c>
      <c r="FB36" s="18">
        <f t="shared" si="44"/>
        <v>0</v>
      </c>
      <c r="FC36" s="18">
        <f t="shared" si="44"/>
        <v>0</v>
      </c>
      <c r="FD36" s="18">
        <f t="shared" si="44"/>
        <v>0</v>
      </c>
      <c r="FE36" s="18">
        <f t="shared" si="44"/>
        <v>0</v>
      </c>
      <c r="FF36" s="18">
        <f t="shared" si="44"/>
        <v>0</v>
      </c>
      <c r="FG36" s="18">
        <f t="shared" si="44"/>
        <v>0</v>
      </c>
      <c r="FH36" s="18">
        <f t="shared" si="44"/>
        <v>0</v>
      </c>
      <c r="FI36" s="18">
        <f t="shared" si="45"/>
        <v>0</v>
      </c>
      <c r="FJ36" s="18">
        <f t="shared" si="45"/>
        <v>0</v>
      </c>
      <c r="FK36" s="18">
        <f t="shared" si="45"/>
        <v>0</v>
      </c>
      <c r="FL36" s="18">
        <f t="shared" si="45"/>
        <v>0</v>
      </c>
      <c r="FM36" s="18">
        <f t="shared" si="45"/>
        <v>0</v>
      </c>
      <c r="FN36" s="18">
        <f t="shared" si="45"/>
        <v>0</v>
      </c>
      <c r="FO36" s="18">
        <f t="shared" si="45"/>
        <v>0</v>
      </c>
      <c r="FP36" s="18">
        <f t="shared" si="45"/>
        <v>0</v>
      </c>
      <c r="FQ36" s="18">
        <f t="shared" si="45"/>
        <v>0</v>
      </c>
      <c r="FR36" s="18">
        <f t="shared" si="45"/>
        <v>0</v>
      </c>
      <c r="FS36" s="18">
        <f t="shared" si="45"/>
        <v>0</v>
      </c>
      <c r="FT36" s="18">
        <f t="shared" si="45"/>
        <v>0</v>
      </c>
      <c r="FU36" s="18">
        <f t="shared" si="45"/>
        <v>0</v>
      </c>
      <c r="FV36" s="18">
        <f t="shared" si="45"/>
        <v>0</v>
      </c>
      <c r="FW36" s="18">
        <f t="shared" si="45"/>
        <v>0</v>
      </c>
      <c r="FX36" s="18">
        <f t="shared" si="45"/>
        <v>0</v>
      </c>
      <c r="FY36" s="18">
        <f t="shared" si="45"/>
        <v>0</v>
      </c>
      <c r="FZ36" s="18">
        <f t="shared" si="45"/>
        <v>0</v>
      </c>
      <c r="GA36" s="18">
        <f t="shared" si="45"/>
        <v>0</v>
      </c>
      <c r="GB36" s="18">
        <f t="shared" si="45"/>
        <v>0</v>
      </c>
      <c r="GC36" s="18">
        <f t="shared" si="45"/>
        <v>0</v>
      </c>
    </row>
    <row r="37" spans="2:185" ht="17.100000000000001" customHeight="1" outlineLevel="1">
      <c r="B37" s="25"/>
      <c r="C37" s="40" t="s">
        <v>54</v>
      </c>
      <c r="D37" s="26" t="s">
        <v>43</v>
      </c>
      <c r="E37" s="27">
        <f>F33</f>
        <v>45384</v>
      </c>
      <c r="F37" s="27">
        <f>E37+16</f>
        <v>45400</v>
      </c>
      <c r="G37" s="28">
        <f t="shared" si="48"/>
        <v>17</v>
      </c>
      <c r="H37" s="29"/>
      <c r="I37" s="30"/>
      <c r="J37" s="31" t="str">
        <f t="shared" ref="J36:J46" ca="1" si="50">IF(E37="","Open",IF(H37="",IF(E37-NOW()&lt;-1,"Overdue",IF(E37-NOW()&lt;2,"Expedite","Open")),IF(ABS(H37-E37)&lt;0,"Ongoing",IF(I37="","Ongoing","Closed"))))</f>
        <v>Open</v>
      </c>
      <c r="K37" s="18">
        <f t="shared" si="34"/>
        <v>0</v>
      </c>
      <c r="L37" s="18">
        <f t="shared" si="34"/>
        <v>0</v>
      </c>
      <c r="M37" s="18">
        <f t="shared" si="34"/>
        <v>0</v>
      </c>
      <c r="N37" s="18">
        <f t="shared" si="34"/>
        <v>0</v>
      </c>
      <c r="O37" s="18">
        <f t="shared" si="34"/>
        <v>0</v>
      </c>
      <c r="P37" s="18">
        <f t="shared" si="34"/>
        <v>0</v>
      </c>
      <c r="Q37" s="18">
        <f t="shared" si="34"/>
        <v>0</v>
      </c>
      <c r="R37" s="18">
        <f t="shared" si="34"/>
        <v>0</v>
      </c>
      <c r="S37" s="18">
        <f t="shared" si="34"/>
        <v>0</v>
      </c>
      <c r="T37" s="18">
        <f t="shared" si="34"/>
        <v>0</v>
      </c>
      <c r="U37" s="18">
        <f t="shared" si="34"/>
        <v>0</v>
      </c>
      <c r="V37" s="18">
        <f t="shared" si="34"/>
        <v>0</v>
      </c>
      <c r="W37" s="18">
        <f t="shared" si="34"/>
        <v>0</v>
      </c>
      <c r="X37" s="18">
        <f t="shared" si="34"/>
        <v>0</v>
      </c>
      <c r="Y37" s="18">
        <f t="shared" si="34"/>
        <v>0</v>
      </c>
      <c r="Z37" s="18">
        <f t="shared" si="34"/>
        <v>0</v>
      </c>
      <c r="AA37" s="18">
        <f t="shared" ref="AA37:CL40" si="51">IF(AND($E37&lt;=AA$5,$F37&gt;=AA$5),1,0)</f>
        <v>0</v>
      </c>
      <c r="AB37" s="18">
        <f t="shared" si="51"/>
        <v>0</v>
      </c>
      <c r="AC37" s="18">
        <f t="shared" si="51"/>
        <v>0</v>
      </c>
      <c r="AD37" s="18">
        <f t="shared" si="51"/>
        <v>0</v>
      </c>
      <c r="AE37" s="18">
        <f t="shared" si="51"/>
        <v>0</v>
      </c>
      <c r="AF37" s="18">
        <f t="shared" si="51"/>
        <v>0</v>
      </c>
      <c r="AG37" s="18">
        <f t="shared" si="51"/>
        <v>0</v>
      </c>
      <c r="AH37" s="18">
        <f t="shared" si="51"/>
        <v>0</v>
      </c>
      <c r="AI37" s="18">
        <f t="shared" si="51"/>
        <v>0</v>
      </c>
      <c r="AJ37" s="18">
        <f t="shared" si="51"/>
        <v>0</v>
      </c>
      <c r="AK37" s="18">
        <f t="shared" si="51"/>
        <v>0</v>
      </c>
      <c r="AL37" s="18">
        <f t="shared" si="51"/>
        <v>0</v>
      </c>
      <c r="AM37" s="18">
        <f t="shared" si="51"/>
        <v>0</v>
      </c>
      <c r="AN37" s="18">
        <f t="shared" si="51"/>
        <v>0</v>
      </c>
      <c r="AO37" s="18">
        <f t="shared" si="51"/>
        <v>0</v>
      </c>
      <c r="AP37" s="18">
        <f t="shared" si="51"/>
        <v>0</v>
      </c>
      <c r="AQ37" s="18">
        <f t="shared" si="51"/>
        <v>0</v>
      </c>
      <c r="AR37" s="18">
        <f t="shared" si="51"/>
        <v>0</v>
      </c>
      <c r="AS37" s="18">
        <f t="shared" si="51"/>
        <v>0</v>
      </c>
      <c r="AT37" s="18">
        <f t="shared" si="51"/>
        <v>0</v>
      </c>
      <c r="AU37" s="18">
        <f t="shared" si="51"/>
        <v>0</v>
      </c>
      <c r="AV37" s="18">
        <f t="shared" si="51"/>
        <v>0</v>
      </c>
      <c r="AW37" s="18">
        <f t="shared" si="51"/>
        <v>0</v>
      </c>
      <c r="AX37" s="18">
        <f t="shared" si="51"/>
        <v>0</v>
      </c>
      <c r="AY37" s="18">
        <f t="shared" si="51"/>
        <v>0</v>
      </c>
      <c r="AZ37" s="18">
        <f t="shared" si="51"/>
        <v>0</v>
      </c>
      <c r="BA37" s="18">
        <f t="shared" si="51"/>
        <v>0</v>
      </c>
      <c r="BB37" s="18">
        <f t="shared" si="51"/>
        <v>0</v>
      </c>
      <c r="BC37" s="18">
        <f t="shared" si="51"/>
        <v>0</v>
      </c>
      <c r="BD37" s="18">
        <f t="shared" si="51"/>
        <v>0</v>
      </c>
      <c r="BE37" s="18">
        <f t="shared" si="51"/>
        <v>0</v>
      </c>
      <c r="BF37" s="18">
        <f t="shared" si="51"/>
        <v>0</v>
      </c>
      <c r="BG37" s="18">
        <f t="shared" si="51"/>
        <v>0</v>
      </c>
      <c r="BH37" s="18">
        <f t="shared" si="51"/>
        <v>0</v>
      </c>
      <c r="BI37" s="18">
        <f t="shared" si="51"/>
        <v>0</v>
      </c>
      <c r="BJ37" s="18">
        <f t="shared" si="51"/>
        <v>0</v>
      </c>
      <c r="BK37" s="18">
        <f t="shared" si="51"/>
        <v>0</v>
      </c>
      <c r="BL37" s="18">
        <f t="shared" si="51"/>
        <v>0</v>
      </c>
      <c r="BM37" s="18">
        <f t="shared" si="51"/>
        <v>0</v>
      </c>
      <c r="BN37" s="18">
        <f t="shared" si="51"/>
        <v>0</v>
      </c>
      <c r="BO37" s="18">
        <f t="shared" si="51"/>
        <v>0</v>
      </c>
      <c r="BP37" s="18">
        <f t="shared" si="51"/>
        <v>0</v>
      </c>
      <c r="BQ37" s="18">
        <f t="shared" si="51"/>
        <v>0</v>
      </c>
      <c r="BR37" s="18">
        <f t="shared" si="51"/>
        <v>0</v>
      </c>
      <c r="BS37" s="18">
        <f t="shared" si="51"/>
        <v>0</v>
      </c>
      <c r="BT37" s="18">
        <f t="shared" si="51"/>
        <v>0</v>
      </c>
      <c r="BU37" s="18">
        <f t="shared" si="51"/>
        <v>0</v>
      </c>
      <c r="BV37" s="18">
        <f t="shared" si="51"/>
        <v>0</v>
      </c>
      <c r="BW37" s="18">
        <f t="shared" si="51"/>
        <v>1</v>
      </c>
      <c r="BX37" s="18">
        <f t="shared" si="51"/>
        <v>1</v>
      </c>
      <c r="BY37" s="18">
        <f t="shared" si="51"/>
        <v>1</v>
      </c>
      <c r="BZ37" s="18">
        <f t="shared" si="51"/>
        <v>1</v>
      </c>
      <c r="CA37" s="18">
        <f t="shared" si="51"/>
        <v>1</v>
      </c>
      <c r="CB37" s="18">
        <f t="shared" si="51"/>
        <v>1</v>
      </c>
      <c r="CC37" s="18">
        <f t="shared" si="51"/>
        <v>1</v>
      </c>
      <c r="CD37" s="18">
        <f t="shared" si="51"/>
        <v>1</v>
      </c>
      <c r="CE37" s="18">
        <f t="shared" si="51"/>
        <v>1</v>
      </c>
      <c r="CF37" s="18">
        <f t="shared" si="51"/>
        <v>1</v>
      </c>
      <c r="CG37" s="18">
        <f t="shared" si="51"/>
        <v>1</v>
      </c>
      <c r="CH37" s="18">
        <f t="shared" si="51"/>
        <v>1</v>
      </c>
      <c r="CI37" s="18">
        <f t="shared" si="51"/>
        <v>1</v>
      </c>
      <c r="CJ37" s="18">
        <f t="shared" si="51"/>
        <v>1</v>
      </c>
      <c r="CK37" s="18">
        <f t="shared" si="51"/>
        <v>1</v>
      </c>
      <c r="CL37" s="18">
        <f t="shared" si="51"/>
        <v>1</v>
      </c>
      <c r="CM37" s="18">
        <f t="shared" si="49"/>
        <v>1</v>
      </c>
      <c r="CN37" s="18">
        <f t="shared" si="49"/>
        <v>0</v>
      </c>
      <c r="CO37" s="18">
        <f t="shared" si="49"/>
        <v>0</v>
      </c>
      <c r="CP37" s="18">
        <f t="shared" si="49"/>
        <v>0</v>
      </c>
      <c r="CQ37" s="18">
        <f t="shared" si="49"/>
        <v>0</v>
      </c>
      <c r="CR37" s="18">
        <f t="shared" si="49"/>
        <v>0</v>
      </c>
      <c r="CS37" s="18">
        <f t="shared" si="49"/>
        <v>0</v>
      </c>
      <c r="CT37" s="18">
        <f t="shared" si="49"/>
        <v>0</v>
      </c>
      <c r="CU37" s="18">
        <f t="shared" si="49"/>
        <v>0</v>
      </c>
      <c r="CV37" s="18">
        <f t="shared" si="49"/>
        <v>0</v>
      </c>
      <c r="CW37" s="18">
        <f t="shared" si="47"/>
        <v>0</v>
      </c>
      <c r="CX37" s="18">
        <f t="shared" si="49"/>
        <v>0</v>
      </c>
      <c r="CY37" s="18">
        <f t="shared" si="49"/>
        <v>0</v>
      </c>
      <c r="CZ37" s="18">
        <f t="shared" si="49"/>
        <v>0</v>
      </c>
      <c r="DA37" s="18">
        <f t="shared" si="49"/>
        <v>0</v>
      </c>
      <c r="DB37" s="18">
        <f t="shared" si="49"/>
        <v>0</v>
      </c>
      <c r="DC37" s="18">
        <f t="shared" si="49"/>
        <v>0</v>
      </c>
      <c r="DD37" s="18">
        <f t="shared" si="49"/>
        <v>0</v>
      </c>
      <c r="DE37" s="18">
        <f t="shared" si="49"/>
        <v>0</v>
      </c>
      <c r="DF37" s="18">
        <f t="shared" si="49"/>
        <v>0</v>
      </c>
      <c r="DG37" s="18">
        <f t="shared" si="49"/>
        <v>0</v>
      </c>
      <c r="DH37" s="18">
        <f t="shared" si="49"/>
        <v>0</v>
      </c>
      <c r="DI37" s="18">
        <f t="shared" si="49"/>
        <v>0</v>
      </c>
      <c r="DJ37" s="18">
        <f t="shared" si="49"/>
        <v>0</v>
      </c>
      <c r="DK37" s="18">
        <f t="shared" si="49"/>
        <v>0</v>
      </c>
      <c r="DL37" s="18">
        <f t="shared" si="49"/>
        <v>0</v>
      </c>
      <c r="DM37" s="18">
        <f t="shared" si="49"/>
        <v>0</v>
      </c>
      <c r="DN37" s="18">
        <f t="shared" si="49"/>
        <v>0</v>
      </c>
      <c r="DO37" s="18">
        <f t="shared" si="49"/>
        <v>0</v>
      </c>
      <c r="DP37" s="18">
        <f t="shared" si="49"/>
        <v>0</v>
      </c>
      <c r="DQ37" s="18">
        <f t="shared" si="49"/>
        <v>0</v>
      </c>
      <c r="DR37" s="18">
        <f t="shared" si="49"/>
        <v>0</v>
      </c>
      <c r="DS37" s="18">
        <f t="shared" si="49"/>
        <v>0</v>
      </c>
      <c r="DT37" s="18">
        <f t="shared" si="49"/>
        <v>0</v>
      </c>
      <c r="DU37" s="18">
        <f t="shared" si="49"/>
        <v>0</v>
      </c>
      <c r="DV37" s="18">
        <f t="shared" si="49"/>
        <v>0</v>
      </c>
      <c r="DW37" s="18">
        <f t="shared" si="49"/>
        <v>0</v>
      </c>
      <c r="DX37" s="18">
        <f t="shared" si="49"/>
        <v>0</v>
      </c>
      <c r="DY37" s="18">
        <f t="shared" si="49"/>
        <v>0</v>
      </c>
      <c r="DZ37" s="18">
        <f t="shared" si="49"/>
        <v>0</v>
      </c>
      <c r="EA37" s="18">
        <f t="shared" si="49"/>
        <v>0</v>
      </c>
      <c r="EB37" s="18">
        <f t="shared" si="49"/>
        <v>0</v>
      </c>
      <c r="EC37" s="18">
        <f t="shared" si="49"/>
        <v>0</v>
      </c>
      <c r="ED37" s="18">
        <f t="shared" si="49"/>
        <v>0</v>
      </c>
      <c r="EE37" s="18">
        <f t="shared" si="49"/>
        <v>0</v>
      </c>
      <c r="EF37" s="18">
        <f t="shared" si="49"/>
        <v>0</v>
      </c>
      <c r="EG37" s="18">
        <f t="shared" si="49"/>
        <v>0</v>
      </c>
      <c r="EH37" s="18">
        <f t="shared" si="49"/>
        <v>0</v>
      </c>
      <c r="EI37" s="18">
        <f t="shared" si="49"/>
        <v>0</v>
      </c>
      <c r="EJ37" s="18">
        <f t="shared" si="49"/>
        <v>0</v>
      </c>
      <c r="EK37" s="18">
        <f t="shared" si="49"/>
        <v>0</v>
      </c>
      <c r="EL37" s="18">
        <f t="shared" si="49"/>
        <v>0</v>
      </c>
      <c r="EM37" s="18">
        <f t="shared" si="49"/>
        <v>0</v>
      </c>
      <c r="EN37" s="18">
        <f t="shared" si="49"/>
        <v>0</v>
      </c>
      <c r="EO37" s="18">
        <f t="shared" si="49"/>
        <v>0</v>
      </c>
      <c r="EP37" s="18">
        <f t="shared" si="49"/>
        <v>0</v>
      </c>
      <c r="EQ37" s="18">
        <f t="shared" si="49"/>
        <v>0</v>
      </c>
      <c r="ER37" s="18">
        <f t="shared" si="49"/>
        <v>0</v>
      </c>
      <c r="ES37" s="18">
        <f t="shared" si="49"/>
        <v>0</v>
      </c>
      <c r="ET37" s="18">
        <f t="shared" si="49"/>
        <v>0</v>
      </c>
      <c r="EU37" s="18">
        <f t="shared" si="44"/>
        <v>0</v>
      </c>
      <c r="EV37" s="18">
        <f t="shared" si="44"/>
        <v>0</v>
      </c>
      <c r="EW37" s="18">
        <f t="shared" si="44"/>
        <v>0</v>
      </c>
      <c r="EX37" s="18">
        <f t="shared" si="44"/>
        <v>0</v>
      </c>
      <c r="EY37" s="18">
        <f t="shared" si="44"/>
        <v>0</v>
      </c>
      <c r="EZ37" s="18">
        <f t="shared" si="44"/>
        <v>0</v>
      </c>
      <c r="FA37" s="18">
        <f t="shared" si="44"/>
        <v>0</v>
      </c>
      <c r="FB37" s="18">
        <f t="shared" si="44"/>
        <v>0</v>
      </c>
      <c r="FC37" s="18">
        <f t="shared" si="44"/>
        <v>0</v>
      </c>
      <c r="FD37" s="18">
        <f t="shared" si="44"/>
        <v>0</v>
      </c>
      <c r="FE37" s="18">
        <f t="shared" si="44"/>
        <v>0</v>
      </c>
      <c r="FF37" s="18">
        <f t="shared" si="44"/>
        <v>0</v>
      </c>
      <c r="FG37" s="18">
        <f t="shared" si="44"/>
        <v>0</v>
      </c>
      <c r="FH37" s="18">
        <f t="shared" si="44"/>
        <v>0</v>
      </c>
      <c r="FI37" s="18">
        <f t="shared" si="45"/>
        <v>0</v>
      </c>
      <c r="FJ37" s="18">
        <f t="shared" si="45"/>
        <v>0</v>
      </c>
      <c r="FK37" s="18">
        <f t="shared" si="45"/>
        <v>0</v>
      </c>
      <c r="FL37" s="18">
        <f t="shared" si="45"/>
        <v>0</v>
      </c>
      <c r="FM37" s="18">
        <f t="shared" si="45"/>
        <v>0</v>
      </c>
      <c r="FN37" s="18">
        <f t="shared" si="45"/>
        <v>0</v>
      </c>
      <c r="FO37" s="18">
        <f t="shared" si="45"/>
        <v>0</v>
      </c>
      <c r="FP37" s="18">
        <f t="shared" si="45"/>
        <v>0</v>
      </c>
      <c r="FQ37" s="18">
        <f t="shared" si="45"/>
        <v>0</v>
      </c>
      <c r="FR37" s="18">
        <f t="shared" si="45"/>
        <v>0</v>
      </c>
      <c r="FS37" s="18">
        <f t="shared" si="45"/>
        <v>0</v>
      </c>
      <c r="FT37" s="18">
        <f t="shared" si="45"/>
        <v>0</v>
      </c>
      <c r="FU37" s="18">
        <f t="shared" si="45"/>
        <v>0</v>
      </c>
      <c r="FV37" s="18">
        <f t="shared" si="45"/>
        <v>0</v>
      </c>
      <c r="FW37" s="18">
        <f t="shared" si="45"/>
        <v>0</v>
      </c>
      <c r="FX37" s="18">
        <f t="shared" si="45"/>
        <v>0</v>
      </c>
      <c r="FY37" s="18">
        <f t="shared" si="45"/>
        <v>0</v>
      </c>
      <c r="FZ37" s="18">
        <f t="shared" si="45"/>
        <v>0</v>
      </c>
      <c r="GA37" s="18">
        <f t="shared" si="45"/>
        <v>0</v>
      </c>
      <c r="GB37" s="18">
        <f t="shared" si="45"/>
        <v>0</v>
      </c>
      <c r="GC37" s="18">
        <f t="shared" si="45"/>
        <v>0</v>
      </c>
    </row>
    <row r="38" spans="2:185" ht="17.100000000000001" customHeight="1" outlineLevel="1">
      <c r="B38" s="25"/>
      <c r="C38" s="40" t="s">
        <v>55</v>
      </c>
      <c r="D38" s="26" t="s">
        <v>25</v>
      </c>
      <c r="E38" s="27">
        <f>F36</f>
        <v>45388</v>
      </c>
      <c r="F38" s="27">
        <f>E38+7</f>
        <v>45395</v>
      </c>
      <c r="G38" s="28">
        <f t="shared" si="48"/>
        <v>8</v>
      </c>
      <c r="H38" s="29"/>
      <c r="I38" s="30"/>
      <c r="J38" s="31" t="s">
        <v>23</v>
      </c>
      <c r="K38" s="18">
        <f t="shared" si="34"/>
        <v>0</v>
      </c>
      <c r="L38" s="18">
        <f t="shared" si="34"/>
        <v>0</v>
      </c>
      <c r="M38" s="18">
        <f t="shared" si="34"/>
        <v>0</v>
      </c>
      <c r="N38" s="18">
        <f t="shared" si="34"/>
        <v>0</v>
      </c>
      <c r="O38" s="18">
        <f t="shared" si="34"/>
        <v>0</v>
      </c>
      <c r="P38" s="18">
        <f t="shared" si="34"/>
        <v>0</v>
      </c>
      <c r="Q38" s="18">
        <f t="shared" si="34"/>
        <v>0</v>
      </c>
      <c r="R38" s="18">
        <f t="shared" si="34"/>
        <v>0</v>
      </c>
      <c r="S38" s="18">
        <f t="shared" si="34"/>
        <v>0</v>
      </c>
      <c r="T38" s="18">
        <f t="shared" si="34"/>
        <v>0</v>
      </c>
      <c r="U38" s="18">
        <f t="shared" si="34"/>
        <v>0</v>
      </c>
      <c r="V38" s="18">
        <f t="shared" si="34"/>
        <v>0</v>
      </c>
      <c r="W38" s="18">
        <f t="shared" si="34"/>
        <v>0</v>
      </c>
      <c r="X38" s="18">
        <f t="shared" si="34"/>
        <v>0</v>
      </c>
      <c r="Y38" s="18">
        <f t="shared" si="34"/>
        <v>0</v>
      </c>
      <c r="Z38" s="18">
        <f t="shared" si="34"/>
        <v>0</v>
      </c>
      <c r="AA38" s="18">
        <f t="shared" si="51"/>
        <v>0</v>
      </c>
      <c r="AB38" s="18">
        <f t="shared" si="51"/>
        <v>0</v>
      </c>
      <c r="AC38" s="18">
        <f t="shared" si="51"/>
        <v>0</v>
      </c>
      <c r="AD38" s="18">
        <f t="shared" si="51"/>
        <v>0</v>
      </c>
      <c r="AE38" s="18">
        <f t="shared" si="51"/>
        <v>0</v>
      </c>
      <c r="AF38" s="18">
        <f t="shared" si="51"/>
        <v>0</v>
      </c>
      <c r="AG38" s="18">
        <f t="shared" si="51"/>
        <v>0</v>
      </c>
      <c r="AH38" s="18">
        <f t="shared" si="51"/>
        <v>0</v>
      </c>
      <c r="AI38" s="18">
        <f t="shared" si="51"/>
        <v>0</v>
      </c>
      <c r="AJ38" s="18">
        <f t="shared" si="51"/>
        <v>0</v>
      </c>
      <c r="AK38" s="18">
        <f t="shared" si="51"/>
        <v>0</v>
      </c>
      <c r="AL38" s="18">
        <f t="shared" si="51"/>
        <v>0</v>
      </c>
      <c r="AM38" s="18">
        <f t="shared" si="51"/>
        <v>0</v>
      </c>
      <c r="AN38" s="18">
        <f t="shared" si="51"/>
        <v>0</v>
      </c>
      <c r="AO38" s="18">
        <f t="shared" si="51"/>
        <v>0</v>
      </c>
      <c r="AP38" s="18">
        <f t="shared" si="51"/>
        <v>0</v>
      </c>
      <c r="AQ38" s="18">
        <f t="shared" si="51"/>
        <v>0</v>
      </c>
      <c r="AR38" s="18">
        <f t="shared" si="51"/>
        <v>0</v>
      </c>
      <c r="AS38" s="18">
        <f t="shared" si="51"/>
        <v>0</v>
      </c>
      <c r="AT38" s="18">
        <f t="shared" si="51"/>
        <v>0</v>
      </c>
      <c r="AU38" s="18">
        <f t="shared" si="51"/>
        <v>0</v>
      </c>
      <c r="AV38" s="18">
        <f t="shared" si="51"/>
        <v>0</v>
      </c>
      <c r="AW38" s="18">
        <f t="shared" si="51"/>
        <v>0</v>
      </c>
      <c r="AX38" s="18">
        <f t="shared" si="51"/>
        <v>0</v>
      </c>
      <c r="AY38" s="18">
        <f t="shared" si="51"/>
        <v>0</v>
      </c>
      <c r="AZ38" s="18">
        <f t="shared" si="51"/>
        <v>0</v>
      </c>
      <c r="BA38" s="18">
        <f t="shared" si="51"/>
        <v>0</v>
      </c>
      <c r="BB38" s="18">
        <f t="shared" si="51"/>
        <v>0</v>
      </c>
      <c r="BC38" s="18">
        <f t="shared" si="51"/>
        <v>0</v>
      </c>
      <c r="BD38" s="18">
        <f t="shared" si="51"/>
        <v>0</v>
      </c>
      <c r="BE38" s="18">
        <f t="shared" si="51"/>
        <v>0</v>
      </c>
      <c r="BF38" s="18">
        <f t="shared" si="51"/>
        <v>0</v>
      </c>
      <c r="BG38" s="18">
        <f t="shared" si="51"/>
        <v>0</v>
      </c>
      <c r="BH38" s="18">
        <f t="shared" si="51"/>
        <v>0</v>
      </c>
      <c r="BI38" s="18">
        <f t="shared" si="51"/>
        <v>0</v>
      </c>
      <c r="BJ38" s="18">
        <f t="shared" si="51"/>
        <v>0</v>
      </c>
      <c r="BK38" s="18">
        <f t="shared" si="51"/>
        <v>0</v>
      </c>
      <c r="BL38" s="18">
        <f t="shared" si="51"/>
        <v>0</v>
      </c>
      <c r="BM38" s="18">
        <f t="shared" si="51"/>
        <v>0</v>
      </c>
      <c r="BN38" s="18">
        <f t="shared" si="51"/>
        <v>0</v>
      </c>
      <c r="BO38" s="18">
        <f t="shared" si="51"/>
        <v>0</v>
      </c>
      <c r="BP38" s="18">
        <f t="shared" si="51"/>
        <v>0</v>
      </c>
      <c r="BQ38" s="18">
        <f t="shared" si="51"/>
        <v>0</v>
      </c>
      <c r="BR38" s="18">
        <f t="shared" si="51"/>
        <v>0</v>
      </c>
      <c r="BS38" s="18">
        <f t="shared" si="51"/>
        <v>0</v>
      </c>
      <c r="BT38" s="18">
        <f t="shared" si="51"/>
        <v>0</v>
      </c>
      <c r="BU38" s="18">
        <f t="shared" si="51"/>
        <v>0</v>
      </c>
      <c r="BV38" s="18">
        <f t="shared" si="51"/>
        <v>0</v>
      </c>
      <c r="BW38" s="18">
        <f t="shared" si="51"/>
        <v>0</v>
      </c>
      <c r="BX38" s="18">
        <f t="shared" si="51"/>
        <v>0</v>
      </c>
      <c r="BY38" s="18">
        <f t="shared" si="51"/>
        <v>0</v>
      </c>
      <c r="BZ38" s="18">
        <f t="shared" si="51"/>
        <v>0</v>
      </c>
      <c r="CA38" s="18">
        <f t="shared" si="51"/>
        <v>1</v>
      </c>
      <c r="CB38" s="18">
        <f t="shared" si="51"/>
        <v>1</v>
      </c>
      <c r="CC38" s="18">
        <f t="shared" si="51"/>
        <v>1</v>
      </c>
      <c r="CD38" s="18">
        <f t="shared" si="51"/>
        <v>1</v>
      </c>
      <c r="CE38" s="18">
        <f t="shared" si="51"/>
        <v>1</v>
      </c>
      <c r="CF38" s="18">
        <f t="shared" si="51"/>
        <v>1</v>
      </c>
      <c r="CG38" s="18">
        <f t="shared" si="51"/>
        <v>1</v>
      </c>
      <c r="CH38" s="18">
        <f t="shared" si="51"/>
        <v>1</v>
      </c>
      <c r="CI38" s="18">
        <f t="shared" si="51"/>
        <v>0</v>
      </c>
      <c r="CJ38" s="18">
        <f t="shared" si="51"/>
        <v>0</v>
      </c>
      <c r="CK38" s="18">
        <f t="shared" si="51"/>
        <v>0</v>
      </c>
      <c r="CL38" s="18">
        <f t="shared" si="51"/>
        <v>0</v>
      </c>
      <c r="CM38" s="18">
        <f t="shared" si="49"/>
        <v>0</v>
      </c>
      <c r="CN38" s="18">
        <f t="shared" si="49"/>
        <v>0</v>
      </c>
      <c r="CO38" s="18">
        <f t="shared" si="49"/>
        <v>0</v>
      </c>
      <c r="CP38" s="18">
        <f t="shared" si="49"/>
        <v>0</v>
      </c>
      <c r="CQ38" s="18">
        <f t="shared" si="49"/>
        <v>0</v>
      </c>
      <c r="CR38" s="18">
        <f t="shared" si="49"/>
        <v>0</v>
      </c>
      <c r="CS38" s="18">
        <f t="shared" si="49"/>
        <v>0</v>
      </c>
      <c r="CT38" s="18">
        <f t="shared" si="49"/>
        <v>0</v>
      </c>
      <c r="CU38" s="18">
        <f t="shared" si="49"/>
        <v>0</v>
      </c>
      <c r="CV38" s="18">
        <f t="shared" si="49"/>
        <v>0</v>
      </c>
      <c r="CW38" s="18">
        <f t="shared" si="47"/>
        <v>0</v>
      </c>
      <c r="CX38" s="18">
        <f t="shared" si="49"/>
        <v>0</v>
      </c>
      <c r="CY38" s="18">
        <f t="shared" si="49"/>
        <v>0</v>
      </c>
      <c r="CZ38" s="18">
        <f t="shared" si="49"/>
        <v>0</v>
      </c>
      <c r="DA38" s="18">
        <f t="shared" si="49"/>
        <v>0</v>
      </c>
      <c r="DB38" s="18">
        <f t="shared" si="49"/>
        <v>0</v>
      </c>
      <c r="DC38" s="18">
        <f t="shared" si="49"/>
        <v>0</v>
      </c>
      <c r="DD38" s="18">
        <f t="shared" si="49"/>
        <v>0</v>
      </c>
      <c r="DE38" s="18">
        <f t="shared" si="49"/>
        <v>0</v>
      </c>
      <c r="DF38" s="18">
        <f t="shared" si="49"/>
        <v>0</v>
      </c>
      <c r="DG38" s="18">
        <f t="shared" si="49"/>
        <v>0</v>
      </c>
      <c r="DH38" s="18">
        <f t="shared" si="49"/>
        <v>0</v>
      </c>
      <c r="DI38" s="18">
        <f t="shared" si="49"/>
        <v>0</v>
      </c>
      <c r="DJ38" s="18">
        <f t="shared" si="49"/>
        <v>0</v>
      </c>
      <c r="DK38" s="18">
        <f t="shared" si="49"/>
        <v>0</v>
      </c>
      <c r="DL38" s="18">
        <f t="shared" si="49"/>
        <v>0</v>
      </c>
      <c r="DM38" s="18">
        <f t="shared" si="49"/>
        <v>0</v>
      </c>
      <c r="DN38" s="18">
        <f t="shared" si="49"/>
        <v>0</v>
      </c>
      <c r="DO38" s="18">
        <f t="shared" si="49"/>
        <v>0</v>
      </c>
      <c r="DP38" s="18">
        <f t="shared" si="49"/>
        <v>0</v>
      </c>
      <c r="DQ38" s="18">
        <f t="shared" si="49"/>
        <v>0</v>
      </c>
      <c r="DR38" s="18">
        <f t="shared" si="49"/>
        <v>0</v>
      </c>
      <c r="DS38" s="18">
        <f t="shared" si="49"/>
        <v>0</v>
      </c>
      <c r="DT38" s="18">
        <f t="shared" si="49"/>
        <v>0</v>
      </c>
      <c r="DU38" s="18">
        <f t="shared" si="49"/>
        <v>0</v>
      </c>
      <c r="DV38" s="18">
        <f t="shared" si="49"/>
        <v>0</v>
      </c>
      <c r="DW38" s="18">
        <f t="shared" si="49"/>
        <v>0</v>
      </c>
      <c r="DX38" s="18">
        <f t="shared" si="49"/>
        <v>0</v>
      </c>
      <c r="DY38" s="18">
        <f t="shared" si="49"/>
        <v>0</v>
      </c>
      <c r="DZ38" s="18">
        <f t="shared" si="49"/>
        <v>0</v>
      </c>
      <c r="EA38" s="18">
        <f t="shared" si="49"/>
        <v>0</v>
      </c>
      <c r="EB38" s="18">
        <f t="shared" si="49"/>
        <v>0</v>
      </c>
      <c r="EC38" s="18">
        <f t="shared" si="49"/>
        <v>0</v>
      </c>
      <c r="ED38" s="18">
        <f t="shared" si="49"/>
        <v>0</v>
      </c>
      <c r="EE38" s="18">
        <f t="shared" si="49"/>
        <v>0</v>
      </c>
      <c r="EF38" s="18">
        <f t="shared" si="49"/>
        <v>0</v>
      </c>
      <c r="EG38" s="18">
        <f t="shared" si="49"/>
        <v>0</v>
      </c>
      <c r="EH38" s="18">
        <f t="shared" si="49"/>
        <v>0</v>
      </c>
      <c r="EI38" s="18">
        <f t="shared" si="49"/>
        <v>0</v>
      </c>
      <c r="EJ38" s="18">
        <f t="shared" si="49"/>
        <v>0</v>
      </c>
      <c r="EK38" s="18">
        <f t="shared" si="49"/>
        <v>0</v>
      </c>
      <c r="EL38" s="18">
        <f t="shared" si="49"/>
        <v>0</v>
      </c>
      <c r="EM38" s="18">
        <f t="shared" si="49"/>
        <v>0</v>
      </c>
      <c r="EN38" s="18">
        <f t="shared" si="49"/>
        <v>0</v>
      </c>
      <c r="EO38" s="18">
        <f t="shared" si="49"/>
        <v>0</v>
      </c>
      <c r="EP38" s="18">
        <f t="shared" si="49"/>
        <v>0</v>
      </c>
      <c r="EQ38" s="18">
        <f t="shared" si="49"/>
        <v>0</v>
      </c>
      <c r="ER38" s="18">
        <f t="shared" si="49"/>
        <v>0</v>
      </c>
      <c r="ES38" s="18">
        <f t="shared" si="49"/>
        <v>0</v>
      </c>
      <c r="ET38" s="18">
        <f t="shared" si="49"/>
        <v>0</v>
      </c>
      <c r="EU38" s="18">
        <f t="shared" si="44"/>
        <v>0</v>
      </c>
      <c r="EV38" s="18">
        <f t="shared" si="44"/>
        <v>0</v>
      </c>
      <c r="EW38" s="18">
        <f t="shared" si="44"/>
        <v>0</v>
      </c>
      <c r="EX38" s="18">
        <f t="shared" si="44"/>
        <v>0</v>
      </c>
      <c r="EY38" s="18">
        <f t="shared" si="44"/>
        <v>0</v>
      </c>
      <c r="EZ38" s="18">
        <f t="shared" si="44"/>
        <v>0</v>
      </c>
      <c r="FA38" s="18">
        <f t="shared" si="44"/>
        <v>0</v>
      </c>
      <c r="FB38" s="18">
        <f t="shared" si="44"/>
        <v>0</v>
      </c>
      <c r="FC38" s="18">
        <f t="shared" si="44"/>
        <v>0</v>
      </c>
      <c r="FD38" s="18">
        <f t="shared" si="44"/>
        <v>0</v>
      </c>
      <c r="FE38" s="18">
        <f t="shared" si="44"/>
        <v>0</v>
      </c>
      <c r="FF38" s="18">
        <f t="shared" si="44"/>
        <v>0</v>
      </c>
      <c r="FG38" s="18">
        <f t="shared" si="44"/>
        <v>0</v>
      </c>
      <c r="FH38" s="18">
        <f t="shared" si="44"/>
        <v>0</v>
      </c>
      <c r="FI38" s="18">
        <f t="shared" si="45"/>
        <v>0</v>
      </c>
      <c r="FJ38" s="18">
        <f t="shared" si="45"/>
        <v>0</v>
      </c>
      <c r="FK38" s="18">
        <f t="shared" si="45"/>
        <v>0</v>
      </c>
      <c r="FL38" s="18">
        <f t="shared" si="45"/>
        <v>0</v>
      </c>
      <c r="FM38" s="18">
        <f t="shared" si="45"/>
        <v>0</v>
      </c>
      <c r="FN38" s="18">
        <f t="shared" si="45"/>
        <v>0</v>
      </c>
      <c r="FO38" s="18">
        <f t="shared" si="45"/>
        <v>0</v>
      </c>
      <c r="FP38" s="18">
        <f t="shared" si="45"/>
        <v>0</v>
      </c>
      <c r="FQ38" s="18">
        <f t="shared" si="45"/>
        <v>0</v>
      </c>
      <c r="FR38" s="18">
        <f t="shared" si="45"/>
        <v>0</v>
      </c>
      <c r="FS38" s="18">
        <f t="shared" si="45"/>
        <v>0</v>
      </c>
      <c r="FT38" s="18">
        <f t="shared" si="45"/>
        <v>0</v>
      </c>
      <c r="FU38" s="18">
        <f t="shared" si="45"/>
        <v>0</v>
      </c>
      <c r="FV38" s="18">
        <f t="shared" si="45"/>
        <v>0</v>
      </c>
      <c r="FW38" s="18">
        <f t="shared" si="45"/>
        <v>0</v>
      </c>
      <c r="FX38" s="18">
        <f t="shared" si="45"/>
        <v>0</v>
      </c>
      <c r="FY38" s="18">
        <f t="shared" si="45"/>
        <v>0</v>
      </c>
      <c r="FZ38" s="18">
        <f t="shared" si="45"/>
        <v>0</v>
      </c>
      <c r="GA38" s="18">
        <f t="shared" si="45"/>
        <v>0</v>
      </c>
      <c r="GB38" s="18">
        <f t="shared" si="45"/>
        <v>0</v>
      </c>
      <c r="GC38" s="18">
        <f t="shared" si="45"/>
        <v>0</v>
      </c>
    </row>
    <row r="39" spans="2:185" ht="17.100000000000001" customHeight="1" outlineLevel="1">
      <c r="B39" s="25"/>
      <c r="C39" s="40"/>
      <c r="D39" s="26"/>
      <c r="E39" s="27">
        <f>F38</f>
        <v>45395</v>
      </c>
      <c r="F39" s="27">
        <f>E39+4</f>
        <v>45399</v>
      </c>
      <c r="G39" s="28">
        <f t="shared" si="48"/>
        <v>5</v>
      </c>
      <c r="H39" s="29"/>
      <c r="I39" s="30"/>
      <c r="J39" s="31" t="str">
        <f t="shared" ca="1" si="50"/>
        <v>Open</v>
      </c>
      <c r="K39" s="18">
        <f t="shared" si="34"/>
        <v>0</v>
      </c>
      <c r="L39" s="18">
        <f t="shared" si="34"/>
        <v>0</v>
      </c>
      <c r="M39" s="18">
        <f t="shared" si="34"/>
        <v>0</v>
      </c>
      <c r="N39" s="18">
        <f t="shared" si="34"/>
        <v>0</v>
      </c>
      <c r="O39" s="18">
        <f t="shared" si="34"/>
        <v>0</v>
      </c>
      <c r="P39" s="18">
        <f t="shared" si="34"/>
        <v>0</v>
      </c>
      <c r="Q39" s="18">
        <f t="shared" si="34"/>
        <v>0</v>
      </c>
      <c r="R39" s="18">
        <f t="shared" si="34"/>
        <v>0</v>
      </c>
      <c r="S39" s="18">
        <f t="shared" si="34"/>
        <v>0</v>
      </c>
      <c r="T39" s="18">
        <f t="shared" si="34"/>
        <v>0</v>
      </c>
      <c r="U39" s="18">
        <f t="shared" si="34"/>
        <v>0</v>
      </c>
      <c r="V39" s="18">
        <f t="shared" si="34"/>
        <v>0</v>
      </c>
      <c r="W39" s="18">
        <f t="shared" si="34"/>
        <v>0</v>
      </c>
      <c r="X39" s="18">
        <f t="shared" si="34"/>
        <v>0</v>
      </c>
      <c r="Y39" s="18">
        <f t="shared" si="34"/>
        <v>0</v>
      </c>
      <c r="Z39" s="18">
        <f t="shared" si="34"/>
        <v>0</v>
      </c>
      <c r="AA39" s="18">
        <f t="shared" si="51"/>
        <v>0</v>
      </c>
      <c r="AB39" s="18">
        <f t="shared" si="51"/>
        <v>0</v>
      </c>
      <c r="AC39" s="18">
        <f t="shared" si="51"/>
        <v>0</v>
      </c>
      <c r="AD39" s="18">
        <f t="shared" si="51"/>
        <v>0</v>
      </c>
      <c r="AE39" s="18">
        <f t="shared" si="51"/>
        <v>0</v>
      </c>
      <c r="AF39" s="18">
        <f t="shared" si="51"/>
        <v>0</v>
      </c>
      <c r="AG39" s="18">
        <f t="shared" si="51"/>
        <v>0</v>
      </c>
      <c r="AH39" s="18">
        <f t="shared" si="51"/>
        <v>0</v>
      </c>
      <c r="AI39" s="18">
        <f t="shared" si="51"/>
        <v>0</v>
      </c>
      <c r="AJ39" s="18">
        <f t="shared" si="51"/>
        <v>0</v>
      </c>
      <c r="AK39" s="18">
        <f t="shared" si="51"/>
        <v>0</v>
      </c>
      <c r="AL39" s="18">
        <f t="shared" si="51"/>
        <v>0</v>
      </c>
      <c r="AM39" s="18">
        <f t="shared" si="51"/>
        <v>0</v>
      </c>
      <c r="AN39" s="18">
        <f t="shared" si="51"/>
        <v>0</v>
      </c>
      <c r="AO39" s="18">
        <f t="shared" si="51"/>
        <v>0</v>
      </c>
      <c r="AP39" s="18">
        <f t="shared" si="51"/>
        <v>0</v>
      </c>
      <c r="AQ39" s="18">
        <f t="shared" si="51"/>
        <v>0</v>
      </c>
      <c r="AR39" s="18">
        <f t="shared" si="51"/>
        <v>0</v>
      </c>
      <c r="AS39" s="18">
        <f t="shared" si="51"/>
        <v>0</v>
      </c>
      <c r="AT39" s="18">
        <f t="shared" si="51"/>
        <v>0</v>
      </c>
      <c r="AU39" s="18">
        <f t="shared" si="51"/>
        <v>0</v>
      </c>
      <c r="AV39" s="18">
        <f t="shared" si="51"/>
        <v>0</v>
      </c>
      <c r="AW39" s="18">
        <f t="shared" si="51"/>
        <v>0</v>
      </c>
      <c r="AX39" s="18">
        <f t="shared" si="51"/>
        <v>0</v>
      </c>
      <c r="AY39" s="18">
        <f t="shared" si="51"/>
        <v>0</v>
      </c>
      <c r="AZ39" s="18">
        <f t="shared" si="51"/>
        <v>0</v>
      </c>
      <c r="BA39" s="18">
        <f t="shared" si="51"/>
        <v>0</v>
      </c>
      <c r="BB39" s="18">
        <f t="shared" si="51"/>
        <v>0</v>
      </c>
      <c r="BC39" s="18">
        <f t="shared" si="51"/>
        <v>0</v>
      </c>
      <c r="BD39" s="18">
        <f t="shared" si="51"/>
        <v>0</v>
      </c>
      <c r="BE39" s="18">
        <f t="shared" si="51"/>
        <v>0</v>
      </c>
      <c r="BF39" s="18">
        <f t="shared" si="51"/>
        <v>0</v>
      </c>
      <c r="BG39" s="18">
        <f t="shared" si="51"/>
        <v>0</v>
      </c>
      <c r="BH39" s="18">
        <f t="shared" si="51"/>
        <v>0</v>
      </c>
      <c r="BI39" s="18">
        <f t="shared" si="51"/>
        <v>0</v>
      </c>
      <c r="BJ39" s="18">
        <f t="shared" si="51"/>
        <v>0</v>
      </c>
      <c r="BK39" s="18">
        <f t="shared" si="51"/>
        <v>0</v>
      </c>
      <c r="BL39" s="18">
        <f t="shared" si="51"/>
        <v>0</v>
      </c>
      <c r="BM39" s="18">
        <f t="shared" si="51"/>
        <v>0</v>
      </c>
      <c r="BN39" s="18">
        <f t="shared" si="51"/>
        <v>0</v>
      </c>
      <c r="BO39" s="18">
        <f t="shared" si="51"/>
        <v>0</v>
      </c>
      <c r="BP39" s="18">
        <f t="shared" si="51"/>
        <v>0</v>
      </c>
      <c r="BQ39" s="18">
        <f t="shared" si="51"/>
        <v>0</v>
      </c>
      <c r="BR39" s="18">
        <f t="shared" si="51"/>
        <v>0</v>
      </c>
      <c r="BS39" s="18">
        <f t="shared" si="51"/>
        <v>0</v>
      </c>
      <c r="BT39" s="18">
        <f t="shared" si="51"/>
        <v>0</v>
      </c>
      <c r="BU39" s="18">
        <f t="shared" si="51"/>
        <v>0</v>
      </c>
      <c r="BV39" s="18">
        <f t="shared" si="51"/>
        <v>0</v>
      </c>
      <c r="BW39" s="18">
        <f t="shared" si="51"/>
        <v>0</v>
      </c>
      <c r="BX39" s="18">
        <f t="shared" si="51"/>
        <v>0</v>
      </c>
      <c r="BY39" s="18">
        <f t="shared" si="51"/>
        <v>0</v>
      </c>
      <c r="BZ39" s="18">
        <f t="shared" si="51"/>
        <v>0</v>
      </c>
      <c r="CA39" s="18">
        <f t="shared" si="51"/>
        <v>0</v>
      </c>
      <c r="CB39" s="18">
        <f t="shared" si="51"/>
        <v>0</v>
      </c>
      <c r="CC39" s="18">
        <f t="shared" si="51"/>
        <v>0</v>
      </c>
      <c r="CD39" s="18">
        <f t="shared" si="51"/>
        <v>0</v>
      </c>
      <c r="CE39" s="18">
        <f t="shared" si="51"/>
        <v>0</v>
      </c>
      <c r="CF39" s="18">
        <f t="shared" si="51"/>
        <v>0</v>
      </c>
      <c r="CG39" s="18">
        <f t="shared" si="51"/>
        <v>0</v>
      </c>
      <c r="CH39" s="18">
        <f t="shared" si="51"/>
        <v>1</v>
      </c>
      <c r="CI39" s="18">
        <f t="shared" si="51"/>
        <v>1</v>
      </c>
      <c r="CJ39" s="18">
        <f t="shared" si="51"/>
        <v>1</v>
      </c>
      <c r="CK39" s="18">
        <f t="shared" si="51"/>
        <v>1</v>
      </c>
      <c r="CL39" s="18">
        <f t="shared" si="51"/>
        <v>1</v>
      </c>
      <c r="CM39" s="18">
        <f t="shared" si="49"/>
        <v>0</v>
      </c>
      <c r="CN39" s="18">
        <f t="shared" si="49"/>
        <v>0</v>
      </c>
      <c r="CO39" s="18">
        <f t="shared" si="49"/>
        <v>0</v>
      </c>
      <c r="CP39" s="18">
        <f t="shared" si="49"/>
        <v>0</v>
      </c>
      <c r="CQ39" s="18">
        <f t="shared" si="49"/>
        <v>0</v>
      </c>
      <c r="CR39" s="18">
        <f t="shared" si="49"/>
        <v>0</v>
      </c>
      <c r="CS39" s="18">
        <f t="shared" si="49"/>
        <v>0</v>
      </c>
      <c r="CT39" s="18">
        <f t="shared" si="49"/>
        <v>0</v>
      </c>
      <c r="CU39" s="18">
        <f t="shared" si="49"/>
        <v>0</v>
      </c>
      <c r="CV39" s="18">
        <f t="shared" si="49"/>
        <v>0</v>
      </c>
      <c r="CW39" s="18">
        <f t="shared" si="49"/>
        <v>0</v>
      </c>
      <c r="CX39" s="18">
        <f t="shared" si="49"/>
        <v>0</v>
      </c>
      <c r="CY39" s="18">
        <f t="shared" si="49"/>
        <v>0</v>
      </c>
      <c r="CZ39" s="18">
        <f t="shared" si="49"/>
        <v>0</v>
      </c>
      <c r="DA39" s="18">
        <f t="shared" si="49"/>
        <v>0</v>
      </c>
      <c r="DB39" s="18">
        <f t="shared" si="49"/>
        <v>0</v>
      </c>
      <c r="DC39" s="18">
        <f t="shared" si="49"/>
        <v>0</v>
      </c>
      <c r="DD39" s="18">
        <f t="shared" si="49"/>
        <v>0</v>
      </c>
      <c r="DE39" s="18">
        <f t="shared" si="49"/>
        <v>0</v>
      </c>
      <c r="DF39" s="18">
        <f t="shared" si="49"/>
        <v>0</v>
      </c>
      <c r="DG39" s="18">
        <f t="shared" si="49"/>
        <v>0</v>
      </c>
      <c r="DH39" s="18">
        <f t="shared" si="49"/>
        <v>0</v>
      </c>
      <c r="DI39" s="18">
        <f t="shared" si="49"/>
        <v>0</v>
      </c>
      <c r="DJ39" s="18">
        <f t="shared" si="49"/>
        <v>0</v>
      </c>
      <c r="DK39" s="18">
        <f t="shared" si="49"/>
        <v>0</v>
      </c>
      <c r="DL39" s="18">
        <f t="shared" si="49"/>
        <v>0</v>
      </c>
      <c r="DM39" s="18">
        <f t="shared" si="49"/>
        <v>0</v>
      </c>
      <c r="DN39" s="18">
        <f t="shared" si="49"/>
        <v>0</v>
      </c>
      <c r="DO39" s="18">
        <f t="shared" si="49"/>
        <v>0</v>
      </c>
      <c r="DP39" s="18">
        <f t="shared" si="49"/>
        <v>0</v>
      </c>
      <c r="DQ39" s="18">
        <f t="shared" si="49"/>
        <v>0</v>
      </c>
      <c r="DR39" s="18">
        <f t="shared" si="49"/>
        <v>0</v>
      </c>
      <c r="DS39" s="18">
        <f t="shared" si="49"/>
        <v>0</v>
      </c>
      <c r="DT39" s="18">
        <f t="shared" si="49"/>
        <v>0</v>
      </c>
      <c r="DU39" s="18">
        <f t="shared" si="49"/>
        <v>0</v>
      </c>
      <c r="DV39" s="18">
        <f t="shared" si="49"/>
        <v>0</v>
      </c>
      <c r="DW39" s="18">
        <f t="shared" si="49"/>
        <v>0</v>
      </c>
      <c r="DX39" s="18">
        <f t="shared" si="49"/>
        <v>0</v>
      </c>
      <c r="DY39" s="18">
        <f t="shared" si="49"/>
        <v>0</v>
      </c>
      <c r="DZ39" s="18">
        <f t="shared" si="49"/>
        <v>0</v>
      </c>
      <c r="EA39" s="18">
        <f t="shared" si="49"/>
        <v>0</v>
      </c>
      <c r="EB39" s="18">
        <f t="shared" si="49"/>
        <v>0</v>
      </c>
      <c r="EC39" s="18">
        <f t="shared" si="49"/>
        <v>0</v>
      </c>
      <c r="ED39" s="18">
        <f t="shared" si="49"/>
        <v>0</v>
      </c>
      <c r="EE39" s="18">
        <f t="shared" si="49"/>
        <v>0</v>
      </c>
      <c r="EF39" s="18">
        <f t="shared" si="49"/>
        <v>0</v>
      </c>
      <c r="EG39" s="18">
        <f t="shared" si="49"/>
        <v>0</v>
      </c>
      <c r="EH39" s="18">
        <f t="shared" si="49"/>
        <v>0</v>
      </c>
      <c r="EI39" s="18">
        <f t="shared" si="49"/>
        <v>0</v>
      </c>
      <c r="EJ39" s="18">
        <f t="shared" si="49"/>
        <v>0</v>
      </c>
      <c r="EK39" s="18">
        <f t="shared" si="49"/>
        <v>0</v>
      </c>
      <c r="EL39" s="18">
        <f t="shared" si="49"/>
        <v>0</v>
      </c>
      <c r="EM39" s="18">
        <f t="shared" si="49"/>
        <v>0</v>
      </c>
      <c r="EN39" s="18">
        <f t="shared" si="49"/>
        <v>0</v>
      </c>
      <c r="EO39" s="18">
        <f t="shared" si="49"/>
        <v>0</v>
      </c>
      <c r="EP39" s="18">
        <f t="shared" si="49"/>
        <v>0</v>
      </c>
      <c r="EQ39" s="18">
        <f t="shared" si="49"/>
        <v>0</v>
      </c>
      <c r="ER39" s="18">
        <f t="shared" si="49"/>
        <v>0</v>
      </c>
      <c r="ES39" s="18">
        <f t="shared" si="49"/>
        <v>0</v>
      </c>
      <c r="ET39" s="18">
        <f t="shared" si="49"/>
        <v>0</v>
      </c>
      <c r="EU39" s="18">
        <f t="shared" si="44"/>
        <v>0</v>
      </c>
      <c r="EV39" s="18">
        <f t="shared" si="44"/>
        <v>0</v>
      </c>
      <c r="EW39" s="18">
        <f t="shared" si="44"/>
        <v>0</v>
      </c>
      <c r="EX39" s="18">
        <f t="shared" si="44"/>
        <v>0</v>
      </c>
      <c r="EY39" s="18">
        <f t="shared" si="44"/>
        <v>0</v>
      </c>
      <c r="EZ39" s="18">
        <f t="shared" si="44"/>
        <v>0</v>
      </c>
      <c r="FA39" s="18">
        <f t="shared" si="44"/>
        <v>0</v>
      </c>
      <c r="FB39" s="18">
        <f t="shared" si="44"/>
        <v>0</v>
      </c>
      <c r="FC39" s="18">
        <f t="shared" si="44"/>
        <v>0</v>
      </c>
      <c r="FD39" s="18">
        <f t="shared" si="44"/>
        <v>0</v>
      </c>
      <c r="FE39" s="18">
        <f t="shared" si="44"/>
        <v>0</v>
      </c>
      <c r="FF39" s="18">
        <f t="shared" si="44"/>
        <v>0</v>
      </c>
      <c r="FG39" s="18">
        <f t="shared" si="44"/>
        <v>0</v>
      </c>
      <c r="FH39" s="18">
        <f t="shared" si="44"/>
        <v>0</v>
      </c>
      <c r="FI39" s="18">
        <f t="shared" si="45"/>
        <v>0</v>
      </c>
      <c r="FJ39" s="18">
        <f t="shared" si="45"/>
        <v>0</v>
      </c>
      <c r="FK39" s="18">
        <f t="shared" si="45"/>
        <v>0</v>
      </c>
      <c r="FL39" s="18">
        <f t="shared" si="45"/>
        <v>0</v>
      </c>
      <c r="FM39" s="18">
        <f t="shared" si="45"/>
        <v>0</v>
      </c>
      <c r="FN39" s="18">
        <f t="shared" si="45"/>
        <v>0</v>
      </c>
      <c r="FO39" s="18">
        <f t="shared" si="45"/>
        <v>0</v>
      </c>
      <c r="FP39" s="18">
        <f t="shared" si="45"/>
        <v>0</v>
      </c>
      <c r="FQ39" s="18">
        <f t="shared" si="45"/>
        <v>0</v>
      </c>
      <c r="FR39" s="18">
        <f t="shared" si="45"/>
        <v>0</v>
      </c>
      <c r="FS39" s="18">
        <f t="shared" si="45"/>
        <v>0</v>
      </c>
      <c r="FT39" s="18">
        <f t="shared" si="45"/>
        <v>0</v>
      </c>
      <c r="FU39" s="18">
        <f t="shared" si="45"/>
        <v>0</v>
      </c>
      <c r="FV39" s="18">
        <f t="shared" si="45"/>
        <v>0</v>
      </c>
      <c r="FW39" s="18">
        <f t="shared" si="45"/>
        <v>0</v>
      </c>
      <c r="FX39" s="18">
        <f t="shared" si="45"/>
        <v>0</v>
      </c>
      <c r="FY39" s="18">
        <f t="shared" si="45"/>
        <v>0</v>
      </c>
      <c r="FZ39" s="18">
        <f t="shared" si="45"/>
        <v>0</v>
      </c>
      <c r="GA39" s="18">
        <f t="shared" si="45"/>
        <v>0</v>
      </c>
      <c r="GB39" s="18">
        <f t="shared" si="45"/>
        <v>0</v>
      </c>
      <c r="GC39" s="18">
        <f t="shared" si="45"/>
        <v>0</v>
      </c>
    </row>
    <row r="40" spans="2:185" ht="17.100000000000001" customHeight="1" outlineLevel="1">
      <c r="B40" s="25"/>
      <c r="C40" s="40"/>
      <c r="D40" s="26"/>
      <c r="E40" s="27">
        <f>F39</f>
        <v>45399</v>
      </c>
      <c r="F40" s="27">
        <f>E40+1</f>
        <v>45400</v>
      </c>
      <c r="G40" s="28">
        <f t="shared" si="48"/>
        <v>2</v>
      </c>
      <c r="H40" s="29"/>
      <c r="I40" s="30"/>
      <c r="J40" s="31" t="str">
        <f t="shared" ca="1" si="50"/>
        <v>Open</v>
      </c>
      <c r="K40" s="18">
        <f t="shared" si="34"/>
        <v>0</v>
      </c>
      <c r="L40" s="18">
        <f t="shared" si="34"/>
        <v>0</v>
      </c>
      <c r="M40" s="18">
        <f t="shared" si="34"/>
        <v>0</v>
      </c>
      <c r="N40" s="18">
        <f t="shared" si="34"/>
        <v>0</v>
      </c>
      <c r="O40" s="18">
        <f t="shared" si="34"/>
        <v>0</v>
      </c>
      <c r="P40" s="18">
        <f t="shared" si="34"/>
        <v>0</v>
      </c>
      <c r="Q40" s="18">
        <f t="shared" si="34"/>
        <v>0</v>
      </c>
      <c r="R40" s="18">
        <f t="shared" si="34"/>
        <v>0</v>
      </c>
      <c r="S40" s="18">
        <f t="shared" si="34"/>
        <v>0</v>
      </c>
      <c r="T40" s="18">
        <f t="shared" si="34"/>
        <v>0</v>
      </c>
      <c r="U40" s="18">
        <f t="shared" si="34"/>
        <v>0</v>
      </c>
      <c r="V40" s="18">
        <f t="shared" si="34"/>
        <v>0</v>
      </c>
      <c r="W40" s="18">
        <f t="shared" si="34"/>
        <v>0</v>
      </c>
      <c r="X40" s="18">
        <f t="shared" si="34"/>
        <v>0</v>
      </c>
      <c r="Y40" s="18">
        <f t="shared" si="34"/>
        <v>0</v>
      </c>
      <c r="Z40" s="18">
        <f t="shared" ref="Z40" si="52">IF(AND($E40&lt;=Z$5,$F40&gt;=Z$5),1,0)</f>
        <v>0</v>
      </c>
      <c r="AA40" s="18">
        <f t="shared" si="51"/>
        <v>0</v>
      </c>
      <c r="AB40" s="18">
        <f t="shared" si="51"/>
        <v>0</v>
      </c>
      <c r="AC40" s="18">
        <f t="shared" si="51"/>
        <v>0</v>
      </c>
      <c r="AD40" s="18">
        <f t="shared" si="51"/>
        <v>0</v>
      </c>
      <c r="AE40" s="18">
        <f t="shared" si="51"/>
        <v>0</v>
      </c>
      <c r="AF40" s="18">
        <f t="shared" si="51"/>
        <v>0</v>
      </c>
      <c r="AG40" s="18">
        <f t="shared" si="51"/>
        <v>0</v>
      </c>
      <c r="AH40" s="18">
        <f t="shared" si="51"/>
        <v>0</v>
      </c>
      <c r="AI40" s="18">
        <f t="shared" si="51"/>
        <v>0</v>
      </c>
      <c r="AJ40" s="18">
        <f t="shared" si="51"/>
        <v>0</v>
      </c>
      <c r="AK40" s="18">
        <f t="shared" si="51"/>
        <v>0</v>
      </c>
      <c r="AL40" s="18">
        <f t="shared" si="51"/>
        <v>0</v>
      </c>
      <c r="AM40" s="18">
        <f t="shared" si="51"/>
        <v>0</v>
      </c>
      <c r="AN40" s="18">
        <f t="shared" si="51"/>
        <v>0</v>
      </c>
      <c r="AO40" s="18">
        <f t="shared" si="51"/>
        <v>0</v>
      </c>
      <c r="AP40" s="18">
        <f t="shared" si="51"/>
        <v>0</v>
      </c>
      <c r="AQ40" s="18">
        <f t="shared" si="51"/>
        <v>0</v>
      </c>
      <c r="AR40" s="18">
        <f t="shared" si="51"/>
        <v>0</v>
      </c>
      <c r="AS40" s="18">
        <f t="shared" si="51"/>
        <v>0</v>
      </c>
      <c r="AT40" s="18">
        <f t="shared" si="51"/>
        <v>0</v>
      </c>
      <c r="AU40" s="18">
        <f t="shared" si="51"/>
        <v>0</v>
      </c>
      <c r="AV40" s="18">
        <f t="shared" si="51"/>
        <v>0</v>
      </c>
      <c r="AW40" s="18">
        <f t="shared" si="51"/>
        <v>0</v>
      </c>
      <c r="AX40" s="18">
        <f t="shared" si="51"/>
        <v>0</v>
      </c>
      <c r="AY40" s="18">
        <f t="shared" si="51"/>
        <v>0</v>
      </c>
      <c r="AZ40" s="18">
        <f t="shared" si="51"/>
        <v>0</v>
      </c>
      <c r="BA40" s="18">
        <f t="shared" si="51"/>
        <v>0</v>
      </c>
      <c r="BB40" s="18">
        <f t="shared" si="51"/>
        <v>0</v>
      </c>
      <c r="BC40" s="18">
        <f t="shared" si="51"/>
        <v>0</v>
      </c>
      <c r="BD40" s="18">
        <f t="shared" si="51"/>
        <v>0</v>
      </c>
      <c r="BE40" s="18">
        <f t="shared" si="51"/>
        <v>0</v>
      </c>
      <c r="BF40" s="18">
        <f t="shared" si="51"/>
        <v>0</v>
      </c>
      <c r="BG40" s="18">
        <f t="shared" si="51"/>
        <v>0</v>
      </c>
      <c r="BH40" s="18">
        <f t="shared" si="51"/>
        <v>0</v>
      </c>
      <c r="BI40" s="18">
        <f t="shared" si="51"/>
        <v>0</v>
      </c>
      <c r="BJ40" s="18">
        <f t="shared" si="51"/>
        <v>0</v>
      </c>
      <c r="BK40" s="18">
        <f t="shared" si="51"/>
        <v>0</v>
      </c>
      <c r="BL40" s="18">
        <f t="shared" si="51"/>
        <v>0</v>
      </c>
      <c r="BM40" s="18">
        <f t="shared" si="51"/>
        <v>0</v>
      </c>
      <c r="BN40" s="18">
        <f t="shared" si="51"/>
        <v>0</v>
      </c>
      <c r="BO40" s="18">
        <f t="shared" si="51"/>
        <v>0</v>
      </c>
      <c r="BP40" s="18">
        <f t="shared" si="51"/>
        <v>0</v>
      </c>
      <c r="BQ40" s="18">
        <f t="shared" si="51"/>
        <v>0</v>
      </c>
      <c r="BR40" s="18">
        <f t="shared" si="51"/>
        <v>0</v>
      </c>
      <c r="BS40" s="18">
        <f t="shared" si="51"/>
        <v>0</v>
      </c>
      <c r="BT40" s="18">
        <f t="shared" si="51"/>
        <v>0</v>
      </c>
      <c r="BU40" s="18">
        <f t="shared" si="51"/>
        <v>0</v>
      </c>
      <c r="BV40" s="18">
        <f t="shared" si="51"/>
        <v>0</v>
      </c>
      <c r="BW40" s="18">
        <f t="shared" si="51"/>
        <v>0</v>
      </c>
      <c r="BX40" s="18">
        <f t="shared" si="51"/>
        <v>0</v>
      </c>
      <c r="BY40" s="18">
        <f t="shared" si="51"/>
        <v>0</v>
      </c>
      <c r="BZ40" s="18">
        <f t="shared" si="51"/>
        <v>0</v>
      </c>
      <c r="CA40" s="18">
        <f t="shared" si="51"/>
        <v>0</v>
      </c>
      <c r="CB40" s="18">
        <f t="shared" si="51"/>
        <v>0</v>
      </c>
      <c r="CC40" s="18">
        <f t="shared" si="51"/>
        <v>0</v>
      </c>
      <c r="CD40" s="18">
        <f t="shared" si="51"/>
        <v>0</v>
      </c>
      <c r="CE40" s="18">
        <f t="shared" si="51"/>
        <v>0</v>
      </c>
      <c r="CF40" s="18">
        <f t="shared" si="51"/>
        <v>0</v>
      </c>
      <c r="CG40" s="18">
        <f t="shared" si="51"/>
        <v>0</v>
      </c>
      <c r="CH40" s="18">
        <f t="shared" si="51"/>
        <v>0</v>
      </c>
      <c r="CI40" s="18">
        <f t="shared" si="51"/>
        <v>0</v>
      </c>
      <c r="CJ40" s="18">
        <f t="shared" si="51"/>
        <v>0</v>
      </c>
      <c r="CK40" s="18">
        <f t="shared" si="51"/>
        <v>0</v>
      </c>
      <c r="CL40" s="18">
        <f t="shared" ref="CL40" si="53">IF(AND($E40&lt;=CL$5,$F40&gt;=CL$5),1,0)</f>
        <v>1</v>
      </c>
      <c r="CM40" s="18">
        <f t="shared" si="49"/>
        <v>1</v>
      </c>
      <c r="CN40" s="18">
        <f t="shared" si="49"/>
        <v>0</v>
      </c>
      <c r="CO40" s="18">
        <f t="shared" si="49"/>
        <v>0</v>
      </c>
      <c r="CP40" s="18">
        <f t="shared" si="49"/>
        <v>0</v>
      </c>
      <c r="CQ40" s="18">
        <f t="shared" si="49"/>
        <v>0</v>
      </c>
      <c r="CR40" s="18">
        <f t="shared" si="49"/>
        <v>0</v>
      </c>
      <c r="CS40" s="18">
        <f t="shared" si="49"/>
        <v>0</v>
      </c>
      <c r="CT40" s="18">
        <f t="shared" si="49"/>
        <v>0</v>
      </c>
      <c r="CU40" s="18">
        <f t="shared" si="49"/>
        <v>0</v>
      </c>
      <c r="CV40" s="18">
        <f t="shared" si="49"/>
        <v>0</v>
      </c>
      <c r="CW40" s="18">
        <f t="shared" si="49"/>
        <v>0</v>
      </c>
      <c r="CX40" s="18">
        <f t="shared" si="49"/>
        <v>0</v>
      </c>
      <c r="CY40" s="18">
        <f t="shared" si="49"/>
        <v>0</v>
      </c>
      <c r="CZ40" s="18">
        <f t="shared" si="49"/>
        <v>0</v>
      </c>
      <c r="DA40" s="18">
        <f t="shared" si="49"/>
        <v>0</v>
      </c>
      <c r="DB40" s="18">
        <f t="shared" si="49"/>
        <v>0</v>
      </c>
      <c r="DC40" s="18">
        <f t="shared" si="49"/>
        <v>0</v>
      </c>
      <c r="DD40" s="18">
        <f t="shared" si="49"/>
        <v>0</v>
      </c>
      <c r="DE40" s="18">
        <f t="shared" si="49"/>
        <v>0</v>
      </c>
      <c r="DF40" s="18">
        <f t="shared" si="49"/>
        <v>0</v>
      </c>
      <c r="DG40" s="18">
        <f t="shared" si="49"/>
        <v>0</v>
      </c>
      <c r="DH40" s="18">
        <f t="shared" si="49"/>
        <v>0</v>
      </c>
      <c r="DI40" s="18">
        <f t="shared" si="49"/>
        <v>0</v>
      </c>
      <c r="DJ40" s="18">
        <f t="shared" si="49"/>
        <v>0</v>
      </c>
      <c r="DK40" s="18">
        <f t="shared" si="49"/>
        <v>0</v>
      </c>
      <c r="DL40" s="18">
        <f t="shared" si="49"/>
        <v>0</v>
      </c>
      <c r="DM40" s="18">
        <f t="shared" si="49"/>
        <v>0</v>
      </c>
      <c r="DN40" s="18">
        <f t="shared" si="49"/>
        <v>0</v>
      </c>
      <c r="DO40" s="18">
        <f t="shared" si="49"/>
        <v>0</v>
      </c>
      <c r="DP40" s="18">
        <f t="shared" si="49"/>
        <v>0</v>
      </c>
      <c r="DQ40" s="18">
        <f t="shared" si="49"/>
        <v>0</v>
      </c>
      <c r="DR40" s="18">
        <f t="shared" si="49"/>
        <v>0</v>
      </c>
      <c r="DS40" s="18">
        <f t="shared" si="49"/>
        <v>0</v>
      </c>
      <c r="DT40" s="18">
        <f t="shared" si="49"/>
        <v>0</v>
      </c>
      <c r="DU40" s="18">
        <f t="shared" si="49"/>
        <v>0</v>
      </c>
      <c r="DV40" s="18">
        <f t="shared" si="49"/>
        <v>0</v>
      </c>
      <c r="DW40" s="18">
        <f t="shared" si="49"/>
        <v>0</v>
      </c>
      <c r="DX40" s="18">
        <f t="shared" si="49"/>
        <v>0</v>
      </c>
      <c r="DY40" s="18">
        <f t="shared" si="49"/>
        <v>0</v>
      </c>
      <c r="DZ40" s="18">
        <f t="shared" si="49"/>
        <v>0</v>
      </c>
      <c r="EA40" s="18">
        <f t="shared" si="49"/>
        <v>0</v>
      </c>
      <c r="EB40" s="18">
        <f t="shared" si="49"/>
        <v>0</v>
      </c>
      <c r="EC40" s="18">
        <f t="shared" si="49"/>
        <v>0</v>
      </c>
      <c r="ED40" s="18">
        <f t="shared" si="49"/>
        <v>0</v>
      </c>
      <c r="EE40" s="18">
        <f t="shared" si="49"/>
        <v>0</v>
      </c>
      <c r="EF40" s="18">
        <f t="shared" si="49"/>
        <v>0</v>
      </c>
      <c r="EG40" s="18">
        <f t="shared" si="49"/>
        <v>0</v>
      </c>
      <c r="EH40" s="18">
        <f t="shared" si="49"/>
        <v>0</v>
      </c>
      <c r="EI40" s="18">
        <f t="shared" si="49"/>
        <v>0</v>
      </c>
      <c r="EJ40" s="18">
        <f t="shared" si="49"/>
        <v>0</v>
      </c>
      <c r="EK40" s="18">
        <f t="shared" si="49"/>
        <v>0</v>
      </c>
      <c r="EL40" s="18">
        <f t="shared" si="49"/>
        <v>0</v>
      </c>
      <c r="EM40" s="18">
        <f t="shared" si="49"/>
        <v>0</v>
      </c>
      <c r="EN40" s="18">
        <f t="shared" si="49"/>
        <v>0</v>
      </c>
      <c r="EO40" s="18">
        <f t="shared" si="49"/>
        <v>0</v>
      </c>
      <c r="EP40" s="18">
        <f t="shared" si="49"/>
        <v>0</v>
      </c>
      <c r="EQ40" s="18">
        <f t="shared" si="49"/>
        <v>0</v>
      </c>
      <c r="ER40" s="18">
        <f t="shared" si="49"/>
        <v>0</v>
      </c>
      <c r="ES40" s="18">
        <f t="shared" si="49"/>
        <v>0</v>
      </c>
      <c r="ET40" s="18">
        <f t="shared" si="49"/>
        <v>0</v>
      </c>
      <c r="EU40" s="18">
        <f t="shared" si="44"/>
        <v>0</v>
      </c>
      <c r="EV40" s="18">
        <f t="shared" si="44"/>
        <v>0</v>
      </c>
      <c r="EW40" s="18">
        <f t="shared" si="44"/>
        <v>0</v>
      </c>
      <c r="EX40" s="18">
        <f t="shared" si="44"/>
        <v>0</v>
      </c>
      <c r="EY40" s="18">
        <f t="shared" si="44"/>
        <v>0</v>
      </c>
      <c r="EZ40" s="18">
        <f t="shared" si="44"/>
        <v>0</v>
      </c>
      <c r="FA40" s="18">
        <f t="shared" si="44"/>
        <v>0</v>
      </c>
      <c r="FB40" s="18">
        <f t="shared" si="44"/>
        <v>0</v>
      </c>
      <c r="FC40" s="18">
        <f t="shared" si="44"/>
        <v>0</v>
      </c>
      <c r="FD40" s="18">
        <f t="shared" si="44"/>
        <v>0</v>
      </c>
      <c r="FE40" s="18">
        <f t="shared" si="44"/>
        <v>0</v>
      </c>
      <c r="FF40" s="18">
        <f t="shared" si="44"/>
        <v>0</v>
      </c>
      <c r="FG40" s="18">
        <f t="shared" si="44"/>
        <v>0</v>
      </c>
      <c r="FH40" s="18">
        <f t="shared" si="44"/>
        <v>0</v>
      </c>
      <c r="FI40" s="18">
        <f t="shared" si="45"/>
        <v>0</v>
      </c>
      <c r="FJ40" s="18">
        <f t="shared" si="45"/>
        <v>0</v>
      </c>
      <c r="FK40" s="18">
        <f t="shared" si="45"/>
        <v>0</v>
      </c>
      <c r="FL40" s="18">
        <f t="shared" si="45"/>
        <v>0</v>
      </c>
      <c r="FM40" s="18">
        <f t="shared" si="45"/>
        <v>0</v>
      </c>
      <c r="FN40" s="18">
        <f t="shared" si="45"/>
        <v>0</v>
      </c>
      <c r="FO40" s="18">
        <f t="shared" si="45"/>
        <v>0</v>
      </c>
      <c r="FP40" s="18">
        <f t="shared" si="45"/>
        <v>0</v>
      </c>
      <c r="FQ40" s="18">
        <f t="shared" si="45"/>
        <v>0</v>
      </c>
      <c r="FR40" s="18">
        <f t="shared" si="45"/>
        <v>0</v>
      </c>
      <c r="FS40" s="18">
        <f t="shared" si="45"/>
        <v>0</v>
      </c>
      <c r="FT40" s="18">
        <f t="shared" si="45"/>
        <v>0</v>
      </c>
      <c r="FU40" s="18">
        <f t="shared" si="45"/>
        <v>0</v>
      </c>
      <c r="FV40" s="18">
        <f t="shared" si="45"/>
        <v>0</v>
      </c>
      <c r="FW40" s="18">
        <f t="shared" si="45"/>
        <v>0</v>
      </c>
      <c r="FX40" s="18">
        <f t="shared" si="45"/>
        <v>0</v>
      </c>
      <c r="FY40" s="18">
        <f t="shared" si="45"/>
        <v>0</v>
      </c>
      <c r="FZ40" s="18">
        <f t="shared" si="45"/>
        <v>0</v>
      </c>
      <c r="GA40" s="18">
        <f t="shared" si="45"/>
        <v>0</v>
      </c>
      <c r="GB40" s="18">
        <f t="shared" si="45"/>
        <v>0</v>
      </c>
      <c r="GC40" s="18">
        <f t="shared" si="45"/>
        <v>0</v>
      </c>
    </row>
    <row r="41" spans="2:185" ht="17.100000000000001" customHeight="1" outlineLevel="1">
      <c r="B41" s="25"/>
      <c r="C41" s="40"/>
      <c r="D41" s="26"/>
      <c r="E41" s="27">
        <f>F40+1</f>
        <v>45401</v>
      </c>
      <c r="F41" s="27">
        <f>E41+1</f>
        <v>45402</v>
      </c>
      <c r="G41" s="28">
        <f t="shared" si="48"/>
        <v>2</v>
      </c>
      <c r="H41" s="29"/>
      <c r="I41" s="30"/>
      <c r="J41" s="31" t="str">
        <f t="shared" ca="1" si="50"/>
        <v>Open</v>
      </c>
      <c r="K41" s="18">
        <f t="shared" ref="K41:Z46" si="54">IF(AND($E41&lt;=K$5,$F41&gt;=K$5),1,0)</f>
        <v>0</v>
      </c>
      <c r="L41" s="18">
        <f t="shared" si="54"/>
        <v>0</v>
      </c>
      <c r="M41" s="18">
        <f t="shared" si="54"/>
        <v>0</v>
      </c>
      <c r="N41" s="18">
        <f t="shared" si="54"/>
        <v>0</v>
      </c>
      <c r="O41" s="18">
        <f t="shared" si="54"/>
        <v>0</v>
      </c>
      <c r="P41" s="18">
        <f t="shared" si="54"/>
        <v>0</v>
      </c>
      <c r="Q41" s="18">
        <f t="shared" si="54"/>
        <v>0</v>
      </c>
      <c r="R41" s="18">
        <f t="shared" si="54"/>
        <v>0</v>
      </c>
      <c r="S41" s="18">
        <f t="shared" si="54"/>
        <v>0</v>
      </c>
      <c r="T41" s="18">
        <f t="shared" si="54"/>
        <v>0</v>
      </c>
      <c r="U41" s="18">
        <f t="shared" si="54"/>
        <v>0</v>
      </c>
      <c r="V41" s="18">
        <f t="shared" si="54"/>
        <v>0</v>
      </c>
      <c r="W41" s="18">
        <f t="shared" si="54"/>
        <v>0</v>
      </c>
      <c r="X41" s="18">
        <f t="shared" si="54"/>
        <v>0</v>
      </c>
      <c r="Y41" s="18">
        <f t="shared" si="54"/>
        <v>0</v>
      </c>
      <c r="Z41" s="18">
        <f t="shared" si="54"/>
        <v>0</v>
      </c>
      <c r="AA41" s="18">
        <f t="shared" ref="AA41:CL46" si="55">IF(AND($E41&lt;=AA$5,$F41&gt;=AA$5),1,0)</f>
        <v>0</v>
      </c>
      <c r="AB41" s="18">
        <f t="shared" si="55"/>
        <v>0</v>
      </c>
      <c r="AC41" s="18">
        <f t="shared" si="55"/>
        <v>0</v>
      </c>
      <c r="AD41" s="18">
        <f t="shared" si="55"/>
        <v>0</v>
      </c>
      <c r="AE41" s="18">
        <f t="shared" si="55"/>
        <v>0</v>
      </c>
      <c r="AF41" s="18">
        <f t="shared" si="55"/>
        <v>0</v>
      </c>
      <c r="AG41" s="18">
        <f t="shared" si="55"/>
        <v>0</v>
      </c>
      <c r="AH41" s="18">
        <f t="shared" si="55"/>
        <v>0</v>
      </c>
      <c r="AI41" s="18">
        <f t="shared" si="55"/>
        <v>0</v>
      </c>
      <c r="AJ41" s="18">
        <f t="shared" si="55"/>
        <v>0</v>
      </c>
      <c r="AK41" s="18">
        <f t="shared" si="55"/>
        <v>0</v>
      </c>
      <c r="AL41" s="18">
        <f t="shared" si="55"/>
        <v>0</v>
      </c>
      <c r="AM41" s="18">
        <f t="shared" si="55"/>
        <v>0</v>
      </c>
      <c r="AN41" s="18">
        <f t="shared" si="55"/>
        <v>0</v>
      </c>
      <c r="AO41" s="18">
        <f t="shared" si="55"/>
        <v>0</v>
      </c>
      <c r="AP41" s="18">
        <f t="shared" si="55"/>
        <v>0</v>
      </c>
      <c r="AQ41" s="18">
        <f t="shared" si="55"/>
        <v>0</v>
      </c>
      <c r="AR41" s="18">
        <f t="shared" si="55"/>
        <v>0</v>
      </c>
      <c r="AS41" s="18">
        <f t="shared" si="55"/>
        <v>0</v>
      </c>
      <c r="AT41" s="18">
        <f t="shared" si="55"/>
        <v>0</v>
      </c>
      <c r="AU41" s="18">
        <f t="shared" si="55"/>
        <v>0</v>
      </c>
      <c r="AV41" s="18">
        <f t="shared" si="55"/>
        <v>0</v>
      </c>
      <c r="AW41" s="18">
        <f t="shared" si="55"/>
        <v>0</v>
      </c>
      <c r="AX41" s="18">
        <f t="shared" si="55"/>
        <v>0</v>
      </c>
      <c r="AY41" s="18">
        <f t="shared" si="55"/>
        <v>0</v>
      </c>
      <c r="AZ41" s="18">
        <f t="shared" si="55"/>
        <v>0</v>
      </c>
      <c r="BA41" s="18">
        <f t="shared" si="55"/>
        <v>0</v>
      </c>
      <c r="BB41" s="18">
        <f t="shared" si="55"/>
        <v>0</v>
      </c>
      <c r="BC41" s="18">
        <f t="shared" si="55"/>
        <v>0</v>
      </c>
      <c r="BD41" s="18">
        <f t="shared" si="55"/>
        <v>0</v>
      </c>
      <c r="BE41" s="18">
        <f t="shared" si="55"/>
        <v>0</v>
      </c>
      <c r="BF41" s="18">
        <f t="shared" si="55"/>
        <v>0</v>
      </c>
      <c r="BG41" s="18">
        <f t="shared" si="55"/>
        <v>0</v>
      </c>
      <c r="BH41" s="18">
        <f t="shared" si="55"/>
        <v>0</v>
      </c>
      <c r="BI41" s="18">
        <f t="shared" si="55"/>
        <v>0</v>
      </c>
      <c r="BJ41" s="18">
        <f t="shared" si="55"/>
        <v>0</v>
      </c>
      <c r="BK41" s="18">
        <f t="shared" si="55"/>
        <v>0</v>
      </c>
      <c r="BL41" s="18">
        <f t="shared" si="55"/>
        <v>0</v>
      </c>
      <c r="BM41" s="18">
        <f t="shared" si="55"/>
        <v>0</v>
      </c>
      <c r="BN41" s="18">
        <f t="shared" si="55"/>
        <v>0</v>
      </c>
      <c r="BO41" s="18">
        <f t="shared" si="55"/>
        <v>0</v>
      </c>
      <c r="BP41" s="18">
        <f t="shared" si="55"/>
        <v>0</v>
      </c>
      <c r="BQ41" s="18">
        <f t="shared" si="55"/>
        <v>0</v>
      </c>
      <c r="BR41" s="18">
        <f t="shared" si="55"/>
        <v>0</v>
      </c>
      <c r="BS41" s="18">
        <f t="shared" si="55"/>
        <v>0</v>
      </c>
      <c r="BT41" s="18">
        <f t="shared" si="55"/>
        <v>0</v>
      </c>
      <c r="BU41" s="18">
        <f t="shared" si="55"/>
        <v>0</v>
      </c>
      <c r="BV41" s="18">
        <f t="shared" si="55"/>
        <v>0</v>
      </c>
      <c r="BW41" s="18">
        <f t="shared" si="55"/>
        <v>0</v>
      </c>
      <c r="BX41" s="18">
        <f t="shared" si="55"/>
        <v>0</v>
      </c>
      <c r="BY41" s="18">
        <f t="shared" si="55"/>
        <v>0</v>
      </c>
      <c r="BZ41" s="18">
        <f t="shared" si="55"/>
        <v>0</v>
      </c>
      <c r="CA41" s="18">
        <f t="shared" si="55"/>
        <v>0</v>
      </c>
      <c r="CB41" s="18">
        <f t="shared" si="55"/>
        <v>0</v>
      </c>
      <c r="CC41" s="18">
        <f t="shared" si="55"/>
        <v>0</v>
      </c>
      <c r="CD41" s="18">
        <f t="shared" si="55"/>
        <v>0</v>
      </c>
      <c r="CE41" s="18">
        <f t="shared" si="55"/>
        <v>0</v>
      </c>
      <c r="CF41" s="18">
        <f t="shared" si="55"/>
        <v>0</v>
      </c>
      <c r="CG41" s="18">
        <f t="shared" si="55"/>
        <v>0</v>
      </c>
      <c r="CH41" s="18">
        <f t="shared" si="55"/>
        <v>0</v>
      </c>
      <c r="CI41" s="18">
        <f t="shared" si="55"/>
        <v>0</v>
      </c>
      <c r="CJ41" s="18">
        <f t="shared" si="55"/>
        <v>0</v>
      </c>
      <c r="CK41" s="18">
        <f t="shared" si="55"/>
        <v>0</v>
      </c>
      <c r="CL41" s="18">
        <f t="shared" si="55"/>
        <v>0</v>
      </c>
      <c r="CM41" s="18">
        <f t="shared" si="49"/>
        <v>0</v>
      </c>
      <c r="CN41" s="18">
        <f t="shared" ref="CN41:ET41" si="56">IF(AND($E41&lt;=CN$5,$F41&gt;=CN$5),1,0)</f>
        <v>1</v>
      </c>
      <c r="CO41" s="18">
        <f t="shared" si="56"/>
        <v>1</v>
      </c>
      <c r="CP41" s="18">
        <f t="shared" si="56"/>
        <v>0</v>
      </c>
      <c r="CQ41" s="18">
        <f t="shared" si="56"/>
        <v>0</v>
      </c>
      <c r="CR41" s="18">
        <f t="shared" si="56"/>
        <v>0</v>
      </c>
      <c r="CS41" s="18">
        <f t="shared" si="56"/>
        <v>0</v>
      </c>
      <c r="CT41" s="18">
        <f t="shared" si="56"/>
        <v>0</v>
      </c>
      <c r="CU41" s="18">
        <f t="shared" si="56"/>
        <v>0</v>
      </c>
      <c r="CV41" s="18">
        <f t="shared" si="56"/>
        <v>0</v>
      </c>
      <c r="CW41" s="18">
        <f t="shared" si="56"/>
        <v>0</v>
      </c>
      <c r="CX41" s="18">
        <f t="shared" si="56"/>
        <v>0</v>
      </c>
      <c r="CY41" s="18">
        <f t="shared" si="56"/>
        <v>0</v>
      </c>
      <c r="CZ41" s="18">
        <f t="shared" si="56"/>
        <v>0</v>
      </c>
      <c r="DA41" s="18">
        <f t="shared" si="56"/>
        <v>0</v>
      </c>
      <c r="DB41" s="18">
        <f t="shared" si="56"/>
        <v>0</v>
      </c>
      <c r="DC41" s="18">
        <f t="shared" si="56"/>
        <v>0</v>
      </c>
      <c r="DD41" s="18">
        <f t="shared" si="56"/>
        <v>0</v>
      </c>
      <c r="DE41" s="18">
        <f t="shared" si="56"/>
        <v>0</v>
      </c>
      <c r="DF41" s="18">
        <f t="shared" si="56"/>
        <v>0</v>
      </c>
      <c r="DG41" s="18">
        <f t="shared" si="56"/>
        <v>0</v>
      </c>
      <c r="DH41" s="18">
        <f t="shared" si="56"/>
        <v>0</v>
      </c>
      <c r="DI41" s="18">
        <f t="shared" si="56"/>
        <v>0</v>
      </c>
      <c r="DJ41" s="18">
        <f t="shared" si="56"/>
        <v>0</v>
      </c>
      <c r="DK41" s="18">
        <f t="shared" si="56"/>
        <v>0</v>
      </c>
      <c r="DL41" s="18">
        <f t="shared" si="56"/>
        <v>0</v>
      </c>
      <c r="DM41" s="18">
        <f t="shared" si="56"/>
        <v>0</v>
      </c>
      <c r="DN41" s="18">
        <f t="shared" si="56"/>
        <v>0</v>
      </c>
      <c r="DO41" s="18">
        <f t="shared" si="56"/>
        <v>0</v>
      </c>
      <c r="DP41" s="18">
        <f t="shared" si="56"/>
        <v>0</v>
      </c>
      <c r="DQ41" s="18">
        <f t="shared" si="56"/>
        <v>0</v>
      </c>
      <c r="DR41" s="18">
        <f t="shared" si="56"/>
        <v>0</v>
      </c>
      <c r="DS41" s="18">
        <f t="shared" si="56"/>
        <v>0</v>
      </c>
      <c r="DT41" s="18">
        <f t="shared" si="56"/>
        <v>0</v>
      </c>
      <c r="DU41" s="18">
        <f t="shared" si="56"/>
        <v>0</v>
      </c>
      <c r="DV41" s="18">
        <f t="shared" si="56"/>
        <v>0</v>
      </c>
      <c r="DW41" s="18">
        <f t="shared" si="56"/>
        <v>0</v>
      </c>
      <c r="DX41" s="18">
        <f t="shared" si="56"/>
        <v>0</v>
      </c>
      <c r="DY41" s="18">
        <f t="shared" si="56"/>
        <v>0</v>
      </c>
      <c r="DZ41" s="18">
        <f t="shared" si="56"/>
        <v>0</v>
      </c>
      <c r="EA41" s="18">
        <f t="shared" si="56"/>
        <v>0</v>
      </c>
      <c r="EB41" s="18">
        <f t="shared" si="56"/>
        <v>0</v>
      </c>
      <c r="EC41" s="18">
        <f t="shared" si="56"/>
        <v>0</v>
      </c>
      <c r="ED41" s="18">
        <f t="shared" si="56"/>
        <v>0</v>
      </c>
      <c r="EE41" s="18">
        <f t="shared" si="56"/>
        <v>0</v>
      </c>
      <c r="EF41" s="18">
        <f t="shared" si="56"/>
        <v>0</v>
      </c>
      <c r="EG41" s="18">
        <f t="shared" si="56"/>
        <v>0</v>
      </c>
      <c r="EH41" s="18">
        <f t="shared" si="56"/>
        <v>0</v>
      </c>
      <c r="EI41" s="18">
        <f t="shared" si="56"/>
        <v>0</v>
      </c>
      <c r="EJ41" s="18">
        <f t="shared" si="56"/>
        <v>0</v>
      </c>
      <c r="EK41" s="18">
        <f t="shared" si="56"/>
        <v>0</v>
      </c>
      <c r="EL41" s="18">
        <f t="shared" si="56"/>
        <v>0</v>
      </c>
      <c r="EM41" s="18">
        <f t="shared" si="56"/>
        <v>0</v>
      </c>
      <c r="EN41" s="18">
        <f t="shared" si="56"/>
        <v>0</v>
      </c>
      <c r="EO41" s="18">
        <f t="shared" si="56"/>
        <v>0</v>
      </c>
      <c r="EP41" s="18">
        <f t="shared" si="56"/>
        <v>0</v>
      </c>
      <c r="EQ41" s="18">
        <f t="shared" si="56"/>
        <v>0</v>
      </c>
      <c r="ER41" s="18">
        <f t="shared" si="56"/>
        <v>0</v>
      </c>
      <c r="ES41" s="18">
        <f t="shared" si="56"/>
        <v>0</v>
      </c>
      <c r="ET41" s="18">
        <f t="shared" si="56"/>
        <v>0</v>
      </c>
      <c r="EU41" s="18">
        <f t="shared" si="44"/>
        <v>0</v>
      </c>
      <c r="EV41" s="18">
        <f t="shared" si="44"/>
        <v>0</v>
      </c>
      <c r="EW41" s="18">
        <f t="shared" si="44"/>
        <v>0</v>
      </c>
      <c r="EX41" s="18">
        <f t="shared" si="44"/>
        <v>0</v>
      </c>
      <c r="EY41" s="18">
        <f t="shared" si="44"/>
        <v>0</v>
      </c>
      <c r="EZ41" s="18">
        <f t="shared" si="44"/>
        <v>0</v>
      </c>
      <c r="FA41" s="18">
        <f t="shared" si="44"/>
        <v>0</v>
      </c>
      <c r="FB41" s="18">
        <f t="shared" si="44"/>
        <v>0</v>
      </c>
      <c r="FC41" s="18">
        <f t="shared" si="44"/>
        <v>0</v>
      </c>
      <c r="FD41" s="18">
        <f t="shared" si="44"/>
        <v>0</v>
      </c>
      <c r="FE41" s="18">
        <f t="shared" si="44"/>
        <v>0</v>
      </c>
      <c r="FF41" s="18">
        <f t="shared" si="44"/>
        <v>0</v>
      </c>
      <c r="FG41" s="18">
        <f t="shared" si="44"/>
        <v>0</v>
      </c>
      <c r="FH41" s="18">
        <f t="shared" si="44"/>
        <v>0</v>
      </c>
      <c r="FI41" s="18">
        <f t="shared" si="45"/>
        <v>0</v>
      </c>
      <c r="FJ41" s="18">
        <f t="shared" si="45"/>
        <v>0</v>
      </c>
      <c r="FK41" s="18">
        <f t="shared" si="45"/>
        <v>0</v>
      </c>
      <c r="FL41" s="18">
        <f t="shared" si="45"/>
        <v>0</v>
      </c>
      <c r="FM41" s="18">
        <f t="shared" si="45"/>
        <v>0</v>
      </c>
      <c r="FN41" s="18">
        <f t="shared" si="45"/>
        <v>0</v>
      </c>
      <c r="FO41" s="18">
        <f t="shared" si="45"/>
        <v>0</v>
      </c>
      <c r="FP41" s="18">
        <f t="shared" si="45"/>
        <v>0</v>
      </c>
      <c r="FQ41" s="18">
        <f t="shared" si="45"/>
        <v>0</v>
      </c>
      <c r="FR41" s="18">
        <f t="shared" si="45"/>
        <v>0</v>
      </c>
      <c r="FS41" s="18">
        <f t="shared" si="45"/>
        <v>0</v>
      </c>
      <c r="FT41" s="18">
        <f t="shared" si="45"/>
        <v>0</v>
      </c>
      <c r="FU41" s="18">
        <f t="shared" si="45"/>
        <v>0</v>
      </c>
      <c r="FV41" s="18">
        <f t="shared" si="45"/>
        <v>0</v>
      </c>
      <c r="FW41" s="18">
        <f t="shared" si="45"/>
        <v>0</v>
      </c>
      <c r="FX41" s="18">
        <f t="shared" si="45"/>
        <v>0</v>
      </c>
      <c r="FY41" s="18">
        <f t="shared" si="45"/>
        <v>0</v>
      </c>
      <c r="FZ41" s="18">
        <f t="shared" si="45"/>
        <v>0</v>
      </c>
      <c r="GA41" s="18">
        <f t="shared" si="45"/>
        <v>0</v>
      </c>
      <c r="GB41" s="18">
        <f t="shared" si="45"/>
        <v>0</v>
      </c>
      <c r="GC41" s="18">
        <f t="shared" si="45"/>
        <v>0</v>
      </c>
    </row>
    <row r="42" spans="2:185" ht="17.100000000000001" customHeight="1" outlineLevel="1">
      <c r="B42" s="25"/>
      <c r="C42" s="40"/>
      <c r="D42" s="26"/>
      <c r="E42" s="27">
        <f>F41</f>
        <v>45402</v>
      </c>
      <c r="F42" s="27">
        <f>E42</f>
        <v>45402</v>
      </c>
      <c r="G42" s="28">
        <f t="shared" si="48"/>
        <v>1</v>
      </c>
      <c r="H42" s="29"/>
      <c r="I42" s="30"/>
      <c r="J42" s="31" t="str">
        <f t="shared" ca="1" si="50"/>
        <v>Open</v>
      </c>
      <c r="K42" s="18">
        <f t="shared" si="54"/>
        <v>0</v>
      </c>
      <c r="L42" s="18">
        <f t="shared" si="54"/>
        <v>0</v>
      </c>
      <c r="M42" s="18">
        <f t="shared" si="54"/>
        <v>0</v>
      </c>
      <c r="N42" s="18">
        <f t="shared" si="54"/>
        <v>0</v>
      </c>
      <c r="O42" s="18">
        <f t="shared" si="54"/>
        <v>0</v>
      </c>
      <c r="P42" s="18">
        <f t="shared" si="54"/>
        <v>0</v>
      </c>
      <c r="Q42" s="18">
        <f t="shared" si="54"/>
        <v>0</v>
      </c>
      <c r="R42" s="18">
        <f t="shared" si="54"/>
        <v>0</v>
      </c>
      <c r="S42" s="18">
        <f t="shared" si="54"/>
        <v>0</v>
      </c>
      <c r="T42" s="18">
        <f t="shared" si="54"/>
        <v>0</v>
      </c>
      <c r="U42" s="18">
        <f t="shared" si="54"/>
        <v>0</v>
      </c>
      <c r="V42" s="18">
        <f t="shared" si="54"/>
        <v>0</v>
      </c>
      <c r="W42" s="18">
        <f t="shared" si="54"/>
        <v>0</v>
      </c>
      <c r="X42" s="18">
        <f t="shared" si="54"/>
        <v>0</v>
      </c>
      <c r="Y42" s="18">
        <f t="shared" si="54"/>
        <v>0</v>
      </c>
      <c r="Z42" s="18">
        <f t="shared" si="54"/>
        <v>0</v>
      </c>
      <c r="AA42" s="18">
        <f t="shared" si="55"/>
        <v>0</v>
      </c>
      <c r="AB42" s="18">
        <f t="shared" si="55"/>
        <v>0</v>
      </c>
      <c r="AC42" s="18">
        <f t="shared" si="55"/>
        <v>0</v>
      </c>
      <c r="AD42" s="18">
        <f t="shared" si="55"/>
        <v>0</v>
      </c>
      <c r="AE42" s="18">
        <f t="shared" si="55"/>
        <v>0</v>
      </c>
      <c r="AF42" s="18">
        <f t="shared" si="55"/>
        <v>0</v>
      </c>
      <c r="AG42" s="18">
        <f t="shared" si="55"/>
        <v>0</v>
      </c>
      <c r="AH42" s="18">
        <f t="shared" si="55"/>
        <v>0</v>
      </c>
      <c r="AI42" s="18">
        <f t="shared" si="55"/>
        <v>0</v>
      </c>
      <c r="AJ42" s="18">
        <f t="shared" si="55"/>
        <v>0</v>
      </c>
      <c r="AK42" s="18">
        <f t="shared" si="55"/>
        <v>0</v>
      </c>
      <c r="AL42" s="18">
        <f t="shared" si="55"/>
        <v>0</v>
      </c>
      <c r="AM42" s="18">
        <f t="shared" si="55"/>
        <v>0</v>
      </c>
      <c r="AN42" s="18">
        <f t="shared" si="55"/>
        <v>0</v>
      </c>
      <c r="AO42" s="18">
        <f t="shared" si="55"/>
        <v>0</v>
      </c>
      <c r="AP42" s="18">
        <f t="shared" si="55"/>
        <v>0</v>
      </c>
      <c r="AQ42" s="18">
        <f t="shared" si="55"/>
        <v>0</v>
      </c>
      <c r="AR42" s="18">
        <f t="shared" si="55"/>
        <v>0</v>
      </c>
      <c r="AS42" s="18">
        <f t="shared" si="55"/>
        <v>0</v>
      </c>
      <c r="AT42" s="18">
        <f t="shared" si="55"/>
        <v>0</v>
      </c>
      <c r="AU42" s="18">
        <f t="shared" si="55"/>
        <v>0</v>
      </c>
      <c r="AV42" s="18">
        <f t="shared" si="55"/>
        <v>0</v>
      </c>
      <c r="AW42" s="18">
        <f t="shared" si="55"/>
        <v>0</v>
      </c>
      <c r="AX42" s="18">
        <f t="shared" si="55"/>
        <v>0</v>
      </c>
      <c r="AY42" s="18">
        <f t="shared" si="55"/>
        <v>0</v>
      </c>
      <c r="AZ42" s="18">
        <f t="shared" si="55"/>
        <v>0</v>
      </c>
      <c r="BA42" s="18">
        <f t="shared" si="55"/>
        <v>0</v>
      </c>
      <c r="BB42" s="18">
        <f t="shared" si="55"/>
        <v>0</v>
      </c>
      <c r="BC42" s="18">
        <f t="shared" si="55"/>
        <v>0</v>
      </c>
      <c r="BD42" s="18">
        <f t="shared" si="55"/>
        <v>0</v>
      </c>
      <c r="BE42" s="18">
        <f t="shared" si="55"/>
        <v>0</v>
      </c>
      <c r="BF42" s="18">
        <f t="shared" si="55"/>
        <v>0</v>
      </c>
      <c r="BG42" s="18">
        <f t="shared" si="55"/>
        <v>0</v>
      </c>
      <c r="BH42" s="18">
        <f t="shared" si="55"/>
        <v>0</v>
      </c>
      <c r="BI42" s="18">
        <f t="shared" si="55"/>
        <v>0</v>
      </c>
      <c r="BJ42" s="18">
        <f t="shared" si="55"/>
        <v>0</v>
      </c>
      <c r="BK42" s="18">
        <f t="shared" si="55"/>
        <v>0</v>
      </c>
      <c r="BL42" s="18">
        <f t="shared" si="55"/>
        <v>0</v>
      </c>
      <c r="BM42" s="18">
        <f t="shared" si="55"/>
        <v>0</v>
      </c>
      <c r="BN42" s="18">
        <f t="shared" si="55"/>
        <v>0</v>
      </c>
      <c r="BO42" s="18">
        <f t="shared" si="55"/>
        <v>0</v>
      </c>
      <c r="BP42" s="18">
        <f t="shared" si="55"/>
        <v>0</v>
      </c>
      <c r="BQ42" s="18">
        <f t="shared" si="55"/>
        <v>0</v>
      </c>
      <c r="BR42" s="18">
        <f t="shared" si="55"/>
        <v>0</v>
      </c>
      <c r="BS42" s="18">
        <f t="shared" si="55"/>
        <v>0</v>
      </c>
      <c r="BT42" s="18">
        <f t="shared" si="55"/>
        <v>0</v>
      </c>
      <c r="BU42" s="18">
        <f t="shared" si="55"/>
        <v>0</v>
      </c>
      <c r="BV42" s="18">
        <f t="shared" si="55"/>
        <v>0</v>
      </c>
      <c r="BW42" s="18">
        <f t="shared" si="55"/>
        <v>0</v>
      </c>
      <c r="BX42" s="18">
        <f t="shared" si="55"/>
        <v>0</v>
      </c>
      <c r="BY42" s="18">
        <f t="shared" si="55"/>
        <v>0</v>
      </c>
      <c r="BZ42" s="18">
        <f t="shared" si="55"/>
        <v>0</v>
      </c>
      <c r="CA42" s="18">
        <f t="shared" si="55"/>
        <v>0</v>
      </c>
      <c r="CB42" s="18">
        <f t="shared" si="55"/>
        <v>0</v>
      </c>
      <c r="CC42" s="18">
        <f t="shared" si="55"/>
        <v>0</v>
      </c>
      <c r="CD42" s="18">
        <f t="shared" si="55"/>
        <v>0</v>
      </c>
      <c r="CE42" s="18">
        <f t="shared" si="55"/>
        <v>0</v>
      </c>
      <c r="CF42" s="18">
        <f t="shared" si="55"/>
        <v>0</v>
      </c>
      <c r="CG42" s="18">
        <f t="shared" si="55"/>
        <v>0</v>
      </c>
      <c r="CH42" s="18">
        <f t="shared" si="55"/>
        <v>0</v>
      </c>
      <c r="CI42" s="18">
        <f t="shared" si="55"/>
        <v>0</v>
      </c>
      <c r="CJ42" s="18">
        <f t="shared" si="55"/>
        <v>0</v>
      </c>
      <c r="CK42" s="18">
        <f t="shared" si="55"/>
        <v>0</v>
      </c>
      <c r="CL42" s="18">
        <f t="shared" si="55"/>
        <v>0</v>
      </c>
      <c r="CM42" s="18">
        <f t="shared" ref="CM42:ET46" si="57">IF(AND($E42&lt;=CM$5,$F42&gt;=CM$5),1,0)</f>
        <v>0</v>
      </c>
      <c r="CN42" s="18">
        <f t="shared" si="57"/>
        <v>0</v>
      </c>
      <c r="CO42" s="18">
        <f t="shared" si="57"/>
        <v>1</v>
      </c>
      <c r="CP42" s="18">
        <f t="shared" si="57"/>
        <v>0</v>
      </c>
      <c r="CQ42" s="18">
        <f t="shared" si="57"/>
        <v>0</v>
      </c>
      <c r="CR42" s="18">
        <f t="shared" si="57"/>
        <v>0</v>
      </c>
      <c r="CS42" s="18">
        <f t="shared" si="57"/>
        <v>0</v>
      </c>
      <c r="CT42" s="18">
        <f t="shared" si="57"/>
        <v>0</v>
      </c>
      <c r="CU42" s="18">
        <f t="shared" si="57"/>
        <v>0</v>
      </c>
      <c r="CV42" s="18">
        <f t="shared" si="57"/>
        <v>0</v>
      </c>
      <c r="CW42" s="18">
        <f t="shared" si="57"/>
        <v>0</v>
      </c>
      <c r="CX42" s="18">
        <f t="shared" si="57"/>
        <v>0</v>
      </c>
      <c r="CY42" s="18">
        <f t="shared" si="57"/>
        <v>0</v>
      </c>
      <c r="CZ42" s="18">
        <f t="shared" si="57"/>
        <v>0</v>
      </c>
      <c r="DA42" s="18">
        <f t="shared" si="57"/>
        <v>0</v>
      </c>
      <c r="DB42" s="18">
        <f t="shared" si="57"/>
        <v>0</v>
      </c>
      <c r="DC42" s="18">
        <f t="shared" si="57"/>
        <v>0</v>
      </c>
      <c r="DD42" s="18">
        <f t="shared" si="57"/>
        <v>0</v>
      </c>
      <c r="DE42" s="18">
        <f t="shared" si="57"/>
        <v>0</v>
      </c>
      <c r="DF42" s="18">
        <f t="shared" si="57"/>
        <v>0</v>
      </c>
      <c r="DG42" s="18">
        <f t="shared" si="57"/>
        <v>0</v>
      </c>
      <c r="DH42" s="18">
        <f t="shared" si="57"/>
        <v>0</v>
      </c>
      <c r="DI42" s="18">
        <f t="shared" si="57"/>
        <v>0</v>
      </c>
      <c r="DJ42" s="18">
        <f t="shared" si="57"/>
        <v>0</v>
      </c>
      <c r="DK42" s="18">
        <f t="shared" si="57"/>
        <v>0</v>
      </c>
      <c r="DL42" s="18">
        <f t="shared" si="57"/>
        <v>0</v>
      </c>
      <c r="DM42" s="18">
        <f t="shared" si="57"/>
        <v>0</v>
      </c>
      <c r="DN42" s="18">
        <f t="shared" si="57"/>
        <v>0</v>
      </c>
      <c r="DO42" s="18">
        <f t="shared" si="57"/>
        <v>0</v>
      </c>
      <c r="DP42" s="18">
        <f t="shared" si="57"/>
        <v>0</v>
      </c>
      <c r="DQ42" s="18">
        <f t="shared" si="57"/>
        <v>0</v>
      </c>
      <c r="DR42" s="18">
        <f t="shared" si="57"/>
        <v>0</v>
      </c>
      <c r="DS42" s="18">
        <f t="shared" si="57"/>
        <v>0</v>
      </c>
      <c r="DT42" s="18">
        <f t="shared" si="57"/>
        <v>0</v>
      </c>
      <c r="DU42" s="18">
        <f t="shared" si="57"/>
        <v>0</v>
      </c>
      <c r="DV42" s="18">
        <f t="shared" si="57"/>
        <v>0</v>
      </c>
      <c r="DW42" s="18">
        <f t="shared" si="57"/>
        <v>0</v>
      </c>
      <c r="DX42" s="18">
        <f t="shared" si="57"/>
        <v>0</v>
      </c>
      <c r="DY42" s="18">
        <f t="shared" si="57"/>
        <v>0</v>
      </c>
      <c r="DZ42" s="18">
        <f t="shared" si="57"/>
        <v>0</v>
      </c>
      <c r="EA42" s="18">
        <f t="shared" si="57"/>
        <v>0</v>
      </c>
      <c r="EB42" s="18">
        <f t="shared" si="57"/>
        <v>0</v>
      </c>
      <c r="EC42" s="18">
        <f t="shared" si="57"/>
        <v>0</v>
      </c>
      <c r="ED42" s="18">
        <f t="shared" si="57"/>
        <v>0</v>
      </c>
      <c r="EE42" s="18">
        <f t="shared" si="57"/>
        <v>0</v>
      </c>
      <c r="EF42" s="18">
        <f t="shared" si="57"/>
        <v>0</v>
      </c>
      <c r="EG42" s="18">
        <f t="shared" si="57"/>
        <v>0</v>
      </c>
      <c r="EH42" s="18">
        <f t="shared" si="57"/>
        <v>0</v>
      </c>
      <c r="EI42" s="18">
        <f t="shared" si="57"/>
        <v>0</v>
      </c>
      <c r="EJ42" s="18">
        <f t="shared" si="57"/>
        <v>0</v>
      </c>
      <c r="EK42" s="18">
        <f t="shared" si="57"/>
        <v>0</v>
      </c>
      <c r="EL42" s="18">
        <f t="shared" si="57"/>
        <v>0</v>
      </c>
      <c r="EM42" s="18">
        <f t="shared" si="57"/>
        <v>0</v>
      </c>
      <c r="EN42" s="18">
        <f t="shared" si="57"/>
        <v>0</v>
      </c>
      <c r="EO42" s="18">
        <f t="shared" si="57"/>
        <v>0</v>
      </c>
      <c r="EP42" s="18">
        <f t="shared" si="57"/>
        <v>0</v>
      </c>
      <c r="EQ42" s="18">
        <f t="shared" si="57"/>
        <v>0</v>
      </c>
      <c r="ER42" s="18">
        <f t="shared" si="57"/>
        <v>0</v>
      </c>
      <c r="ES42" s="18">
        <f t="shared" si="57"/>
        <v>0</v>
      </c>
      <c r="ET42" s="18">
        <f t="shared" si="57"/>
        <v>0</v>
      </c>
      <c r="EU42" s="18">
        <f t="shared" si="44"/>
        <v>0</v>
      </c>
      <c r="EV42" s="18">
        <f t="shared" si="44"/>
        <v>0</v>
      </c>
      <c r="EW42" s="18">
        <f t="shared" si="44"/>
        <v>0</v>
      </c>
      <c r="EX42" s="18">
        <f t="shared" si="44"/>
        <v>0</v>
      </c>
      <c r="EY42" s="18">
        <f t="shared" si="44"/>
        <v>0</v>
      </c>
      <c r="EZ42" s="18">
        <f t="shared" si="44"/>
        <v>0</v>
      </c>
      <c r="FA42" s="18">
        <f t="shared" si="44"/>
        <v>0</v>
      </c>
      <c r="FB42" s="18">
        <f t="shared" si="44"/>
        <v>0</v>
      </c>
      <c r="FC42" s="18">
        <f t="shared" si="44"/>
        <v>0</v>
      </c>
      <c r="FD42" s="18">
        <f t="shared" si="44"/>
        <v>0</v>
      </c>
      <c r="FE42" s="18">
        <f t="shared" si="44"/>
        <v>0</v>
      </c>
      <c r="FF42" s="18">
        <f t="shared" si="44"/>
        <v>0</v>
      </c>
      <c r="FG42" s="18">
        <f t="shared" si="44"/>
        <v>0</v>
      </c>
      <c r="FH42" s="18">
        <f t="shared" si="44"/>
        <v>0</v>
      </c>
      <c r="FI42" s="18">
        <f t="shared" si="45"/>
        <v>0</v>
      </c>
      <c r="FJ42" s="18">
        <f t="shared" si="45"/>
        <v>0</v>
      </c>
      <c r="FK42" s="18">
        <f t="shared" si="45"/>
        <v>0</v>
      </c>
      <c r="FL42" s="18">
        <f t="shared" si="45"/>
        <v>0</v>
      </c>
      <c r="FM42" s="18">
        <f t="shared" si="45"/>
        <v>0</v>
      </c>
      <c r="FN42" s="18">
        <f t="shared" si="45"/>
        <v>0</v>
      </c>
      <c r="FO42" s="18">
        <f t="shared" si="45"/>
        <v>0</v>
      </c>
      <c r="FP42" s="18">
        <f t="shared" si="45"/>
        <v>0</v>
      </c>
      <c r="FQ42" s="18">
        <f t="shared" si="45"/>
        <v>0</v>
      </c>
      <c r="FR42" s="18">
        <f t="shared" si="45"/>
        <v>0</v>
      </c>
      <c r="FS42" s="18">
        <f t="shared" si="45"/>
        <v>0</v>
      </c>
      <c r="FT42" s="18">
        <f t="shared" si="45"/>
        <v>0</v>
      </c>
      <c r="FU42" s="18">
        <f t="shared" si="45"/>
        <v>0</v>
      </c>
      <c r="FV42" s="18">
        <f t="shared" si="45"/>
        <v>0</v>
      </c>
      <c r="FW42" s="18">
        <f t="shared" si="45"/>
        <v>0</v>
      </c>
      <c r="FX42" s="18">
        <f t="shared" si="45"/>
        <v>0</v>
      </c>
      <c r="FY42" s="18">
        <f t="shared" si="45"/>
        <v>0</v>
      </c>
      <c r="FZ42" s="18">
        <f t="shared" si="45"/>
        <v>0</v>
      </c>
      <c r="GA42" s="18">
        <f t="shared" si="45"/>
        <v>0</v>
      </c>
      <c r="GB42" s="18">
        <f t="shared" si="45"/>
        <v>0</v>
      </c>
      <c r="GC42" s="18">
        <f t="shared" si="45"/>
        <v>0</v>
      </c>
    </row>
    <row r="43" spans="2:185" ht="17.100000000000001" customHeight="1" outlineLevel="1">
      <c r="B43" s="25"/>
      <c r="C43" s="40"/>
      <c r="D43" s="26"/>
      <c r="E43" s="27">
        <v>45403</v>
      </c>
      <c r="F43" s="27">
        <v>45403</v>
      </c>
      <c r="G43" s="28">
        <v>1</v>
      </c>
      <c r="H43" s="29"/>
      <c r="I43" s="30"/>
      <c r="J43" s="31" t="s">
        <v>56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</row>
    <row r="44" spans="2:185" ht="17.100000000000001" customHeight="1" outlineLevel="1">
      <c r="B44" s="25"/>
      <c r="C44" s="40"/>
      <c r="D44" s="26"/>
      <c r="E44" s="27">
        <v>45404</v>
      </c>
      <c r="F44" s="27">
        <v>45404</v>
      </c>
      <c r="G44" s="28">
        <v>1</v>
      </c>
      <c r="H44" s="29"/>
      <c r="I44" s="30"/>
      <c r="J44" s="31" t="s">
        <v>56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</row>
    <row r="45" spans="2:185" ht="17.100000000000001" customHeight="1" outlineLevel="1">
      <c r="B45" s="25"/>
      <c r="C45" s="40"/>
      <c r="D45" s="26"/>
      <c r="E45" s="27"/>
      <c r="F45" s="27"/>
      <c r="G45" s="28"/>
      <c r="H45" s="29"/>
      <c r="I45" s="30"/>
      <c r="J45" s="31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</row>
    <row r="46" spans="2:185" ht="17.100000000000001" customHeight="1" outlineLevel="1">
      <c r="B46" s="25"/>
      <c r="C46" s="40"/>
      <c r="D46" s="26"/>
      <c r="E46" s="27">
        <v>45404</v>
      </c>
      <c r="F46" s="27">
        <f>E46+1</f>
        <v>45405</v>
      </c>
      <c r="G46" s="28">
        <f t="shared" si="48"/>
        <v>2</v>
      </c>
      <c r="H46" s="29"/>
      <c r="I46" s="30"/>
      <c r="J46" s="31" t="str">
        <f t="shared" ca="1" si="50"/>
        <v>Open</v>
      </c>
      <c r="K46" s="18">
        <f t="shared" si="54"/>
        <v>0</v>
      </c>
      <c r="L46" s="18">
        <f t="shared" si="54"/>
        <v>0</v>
      </c>
      <c r="M46" s="18">
        <f t="shared" si="54"/>
        <v>0</v>
      </c>
      <c r="N46" s="18">
        <f t="shared" si="54"/>
        <v>0</v>
      </c>
      <c r="O46" s="18">
        <f t="shared" si="54"/>
        <v>0</v>
      </c>
      <c r="P46" s="18">
        <f t="shared" si="54"/>
        <v>0</v>
      </c>
      <c r="Q46" s="18">
        <f t="shared" si="54"/>
        <v>0</v>
      </c>
      <c r="R46" s="18">
        <f t="shared" si="54"/>
        <v>0</v>
      </c>
      <c r="S46" s="18">
        <f t="shared" si="54"/>
        <v>0</v>
      </c>
      <c r="T46" s="18">
        <f t="shared" si="54"/>
        <v>0</v>
      </c>
      <c r="U46" s="18">
        <f t="shared" si="54"/>
        <v>0</v>
      </c>
      <c r="V46" s="18">
        <f t="shared" si="54"/>
        <v>0</v>
      </c>
      <c r="W46" s="18">
        <f t="shared" si="54"/>
        <v>0</v>
      </c>
      <c r="X46" s="18">
        <f t="shared" si="54"/>
        <v>0</v>
      </c>
      <c r="Y46" s="18">
        <f t="shared" si="54"/>
        <v>0</v>
      </c>
      <c r="Z46" s="18">
        <f t="shared" si="54"/>
        <v>0</v>
      </c>
      <c r="AA46" s="18">
        <f t="shared" si="55"/>
        <v>0</v>
      </c>
      <c r="AB46" s="18">
        <f t="shared" si="55"/>
        <v>0</v>
      </c>
      <c r="AC46" s="18">
        <f t="shared" si="55"/>
        <v>0</v>
      </c>
      <c r="AD46" s="18">
        <f t="shared" si="55"/>
        <v>0</v>
      </c>
      <c r="AE46" s="18">
        <f t="shared" si="55"/>
        <v>0</v>
      </c>
      <c r="AF46" s="18">
        <f t="shared" si="55"/>
        <v>0</v>
      </c>
      <c r="AG46" s="18">
        <f t="shared" si="55"/>
        <v>0</v>
      </c>
      <c r="AH46" s="18">
        <f t="shared" si="55"/>
        <v>0</v>
      </c>
      <c r="AI46" s="18">
        <f t="shared" si="55"/>
        <v>0</v>
      </c>
      <c r="AJ46" s="18">
        <f t="shared" si="55"/>
        <v>0</v>
      </c>
      <c r="AK46" s="18">
        <f t="shared" si="55"/>
        <v>0</v>
      </c>
      <c r="AL46" s="18">
        <f t="shared" si="55"/>
        <v>0</v>
      </c>
      <c r="AM46" s="18">
        <f t="shared" si="55"/>
        <v>0</v>
      </c>
      <c r="AN46" s="18">
        <f t="shared" si="55"/>
        <v>0</v>
      </c>
      <c r="AO46" s="18">
        <f t="shared" si="55"/>
        <v>0</v>
      </c>
      <c r="AP46" s="18">
        <f t="shared" si="55"/>
        <v>0</v>
      </c>
      <c r="AQ46" s="18">
        <f t="shared" si="55"/>
        <v>0</v>
      </c>
      <c r="AR46" s="18">
        <f t="shared" si="55"/>
        <v>0</v>
      </c>
      <c r="AS46" s="18">
        <f t="shared" si="55"/>
        <v>0</v>
      </c>
      <c r="AT46" s="18">
        <f t="shared" si="55"/>
        <v>0</v>
      </c>
      <c r="AU46" s="18">
        <f t="shared" si="55"/>
        <v>0</v>
      </c>
      <c r="AV46" s="18">
        <f t="shared" si="55"/>
        <v>0</v>
      </c>
      <c r="AW46" s="18">
        <f t="shared" si="55"/>
        <v>0</v>
      </c>
      <c r="AX46" s="18">
        <f t="shared" si="55"/>
        <v>0</v>
      </c>
      <c r="AY46" s="18">
        <f t="shared" si="55"/>
        <v>0</v>
      </c>
      <c r="AZ46" s="18">
        <f t="shared" si="55"/>
        <v>0</v>
      </c>
      <c r="BA46" s="18">
        <f t="shared" si="55"/>
        <v>0</v>
      </c>
      <c r="BB46" s="18">
        <f t="shared" si="55"/>
        <v>0</v>
      </c>
      <c r="BC46" s="18">
        <f t="shared" si="55"/>
        <v>0</v>
      </c>
      <c r="BD46" s="18">
        <f t="shared" si="55"/>
        <v>0</v>
      </c>
      <c r="BE46" s="18">
        <f t="shared" si="55"/>
        <v>0</v>
      </c>
      <c r="BF46" s="18">
        <f t="shared" si="55"/>
        <v>0</v>
      </c>
      <c r="BG46" s="18">
        <f t="shared" si="55"/>
        <v>0</v>
      </c>
      <c r="BH46" s="18">
        <f t="shared" si="55"/>
        <v>0</v>
      </c>
      <c r="BI46" s="18">
        <f t="shared" si="55"/>
        <v>0</v>
      </c>
      <c r="BJ46" s="18">
        <f t="shared" si="55"/>
        <v>0</v>
      </c>
      <c r="BK46" s="18">
        <f t="shared" si="55"/>
        <v>0</v>
      </c>
      <c r="BL46" s="18">
        <f t="shared" si="55"/>
        <v>0</v>
      </c>
      <c r="BM46" s="18">
        <f t="shared" si="55"/>
        <v>0</v>
      </c>
      <c r="BN46" s="18">
        <f t="shared" si="55"/>
        <v>0</v>
      </c>
      <c r="BO46" s="18">
        <f t="shared" si="55"/>
        <v>0</v>
      </c>
      <c r="BP46" s="18">
        <f t="shared" si="55"/>
        <v>0</v>
      </c>
      <c r="BQ46" s="18">
        <f t="shared" si="55"/>
        <v>0</v>
      </c>
      <c r="BR46" s="18">
        <f t="shared" si="55"/>
        <v>0</v>
      </c>
      <c r="BS46" s="18">
        <f t="shared" si="55"/>
        <v>0</v>
      </c>
      <c r="BT46" s="18">
        <f t="shared" si="55"/>
        <v>0</v>
      </c>
      <c r="BU46" s="18">
        <f t="shared" si="55"/>
        <v>0</v>
      </c>
      <c r="BV46" s="18">
        <f t="shared" si="55"/>
        <v>0</v>
      </c>
      <c r="BW46" s="18">
        <f t="shared" si="55"/>
        <v>0</v>
      </c>
      <c r="BX46" s="18">
        <f t="shared" si="55"/>
        <v>0</v>
      </c>
      <c r="BY46" s="18">
        <f t="shared" si="55"/>
        <v>0</v>
      </c>
      <c r="BZ46" s="18">
        <f t="shared" si="55"/>
        <v>0</v>
      </c>
      <c r="CA46" s="18">
        <f t="shared" si="55"/>
        <v>0</v>
      </c>
      <c r="CB46" s="18">
        <f t="shared" si="55"/>
        <v>0</v>
      </c>
      <c r="CC46" s="18">
        <f t="shared" si="55"/>
        <v>0</v>
      </c>
      <c r="CD46" s="18">
        <f t="shared" si="55"/>
        <v>0</v>
      </c>
      <c r="CE46" s="18">
        <f t="shared" si="55"/>
        <v>0</v>
      </c>
      <c r="CF46" s="18">
        <f t="shared" si="55"/>
        <v>0</v>
      </c>
      <c r="CG46" s="18">
        <f t="shared" si="55"/>
        <v>0</v>
      </c>
      <c r="CH46" s="18">
        <f t="shared" si="55"/>
        <v>0</v>
      </c>
      <c r="CI46" s="18">
        <f t="shared" si="55"/>
        <v>0</v>
      </c>
      <c r="CJ46" s="18">
        <f t="shared" si="55"/>
        <v>0</v>
      </c>
      <c r="CK46" s="18">
        <f t="shared" si="55"/>
        <v>0</v>
      </c>
      <c r="CL46" s="18">
        <f t="shared" si="55"/>
        <v>0</v>
      </c>
      <c r="CM46" s="18">
        <f t="shared" si="57"/>
        <v>0</v>
      </c>
      <c r="CN46" s="18">
        <f t="shared" si="57"/>
        <v>0</v>
      </c>
      <c r="CO46" s="18">
        <f t="shared" si="57"/>
        <v>0</v>
      </c>
      <c r="CP46" s="18">
        <f t="shared" si="57"/>
        <v>0</v>
      </c>
      <c r="CQ46" s="18">
        <f t="shared" si="57"/>
        <v>1</v>
      </c>
      <c r="CR46" s="18">
        <f t="shared" si="57"/>
        <v>1</v>
      </c>
      <c r="CS46" s="18">
        <f t="shared" si="57"/>
        <v>0</v>
      </c>
      <c r="CT46" s="18">
        <f t="shared" si="57"/>
        <v>0</v>
      </c>
      <c r="CU46" s="18">
        <f t="shared" si="57"/>
        <v>0</v>
      </c>
      <c r="CV46" s="18">
        <f t="shared" si="57"/>
        <v>0</v>
      </c>
      <c r="CW46" s="18">
        <f t="shared" si="47"/>
        <v>0</v>
      </c>
      <c r="CX46" s="18">
        <f t="shared" si="57"/>
        <v>0</v>
      </c>
      <c r="CY46" s="18">
        <f t="shared" si="57"/>
        <v>0</v>
      </c>
      <c r="CZ46" s="18">
        <f t="shared" si="57"/>
        <v>0</v>
      </c>
      <c r="DA46" s="18">
        <f t="shared" si="57"/>
        <v>0</v>
      </c>
      <c r="DB46" s="18">
        <f t="shared" si="57"/>
        <v>0</v>
      </c>
      <c r="DC46" s="18">
        <f t="shared" si="57"/>
        <v>0</v>
      </c>
      <c r="DD46" s="18">
        <f t="shared" si="57"/>
        <v>0</v>
      </c>
      <c r="DE46" s="18">
        <f t="shared" si="57"/>
        <v>0</v>
      </c>
      <c r="DF46" s="18">
        <f t="shared" si="57"/>
        <v>0</v>
      </c>
      <c r="DG46" s="18">
        <f t="shared" si="57"/>
        <v>0</v>
      </c>
      <c r="DH46" s="18">
        <f t="shared" si="57"/>
        <v>0</v>
      </c>
      <c r="DI46" s="18">
        <f t="shared" si="57"/>
        <v>0</v>
      </c>
      <c r="DJ46" s="18">
        <f t="shared" si="57"/>
        <v>0</v>
      </c>
      <c r="DK46" s="18">
        <f t="shared" si="57"/>
        <v>0</v>
      </c>
      <c r="DL46" s="18">
        <f t="shared" si="57"/>
        <v>0</v>
      </c>
      <c r="DM46" s="18">
        <f t="shared" si="57"/>
        <v>0</v>
      </c>
      <c r="DN46" s="18">
        <f t="shared" si="57"/>
        <v>0</v>
      </c>
      <c r="DO46" s="18">
        <f t="shared" si="57"/>
        <v>0</v>
      </c>
      <c r="DP46" s="18">
        <f t="shared" si="57"/>
        <v>0</v>
      </c>
      <c r="DQ46" s="18">
        <f t="shared" si="57"/>
        <v>0</v>
      </c>
      <c r="DR46" s="18">
        <f t="shared" si="57"/>
        <v>0</v>
      </c>
      <c r="DS46" s="18">
        <f t="shared" si="57"/>
        <v>0</v>
      </c>
      <c r="DT46" s="18">
        <f t="shared" si="57"/>
        <v>0</v>
      </c>
      <c r="DU46" s="18">
        <f t="shared" si="57"/>
        <v>0</v>
      </c>
      <c r="DV46" s="18">
        <f t="shared" si="57"/>
        <v>0</v>
      </c>
      <c r="DW46" s="18">
        <f t="shared" si="57"/>
        <v>0</v>
      </c>
      <c r="DX46" s="18">
        <f t="shared" si="57"/>
        <v>0</v>
      </c>
      <c r="DY46" s="18">
        <f t="shared" si="57"/>
        <v>0</v>
      </c>
      <c r="DZ46" s="18">
        <f t="shared" si="57"/>
        <v>0</v>
      </c>
      <c r="EA46" s="18">
        <f t="shared" si="57"/>
        <v>0</v>
      </c>
      <c r="EB46" s="18">
        <f t="shared" si="57"/>
        <v>0</v>
      </c>
      <c r="EC46" s="18">
        <f t="shared" si="57"/>
        <v>0</v>
      </c>
      <c r="ED46" s="18">
        <f t="shared" si="57"/>
        <v>0</v>
      </c>
      <c r="EE46" s="18">
        <f t="shared" si="57"/>
        <v>0</v>
      </c>
      <c r="EF46" s="18">
        <f t="shared" si="57"/>
        <v>0</v>
      </c>
      <c r="EG46" s="18">
        <f t="shared" si="57"/>
        <v>0</v>
      </c>
      <c r="EH46" s="18">
        <f t="shared" si="57"/>
        <v>0</v>
      </c>
      <c r="EI46" s="18">
        <f t="shared" si="57"/>
        <v>0</v>
      </c>
      <c r="EJ46" s="18">
        <f t="shared" si="57"/>
        <v>0</v>
      </c>
      <c r="EK46" s="18">
        <f t="shared" si="57"/>
        <v>0</v>
      </c>
      <c r="EL46" s="18">
        <f t="shared" si="57"/>
        <v>0</v>
      </c>
      <c r="EM46" s="18">
        <f t="shared" si="57"/>
        <v>0</v>
      </c>
      <c r="EN46" s="18">
        <f t="shared" si="57"/>
        <v>0</v>
      </c>
      <c r="EO46" s="18">
        <f t="shared" si="57"/>
        <v>0</v>
      </c>
      <c r="EP46" s="18">
        <f t="shared" si="57"/>
        <v>0</v>
      </c>
      <c r="EQ46" s="18">
        <f t="shared" si="57"/>
        <v>0</v>
      </c>
      <c r="ER46" s="18">
        <f t="shared" si="57"/>
        <v>0</v>
      </c>
      <c r="ES46" s="18">
        <f t="shared" si="57"/>
        <v>0</v>
      </c>
      <c r="ET46" s="18">
        <f t="shared" si="57"/>
        <v>0</v>
      </c>
      <c r="EU46" s="18">
        <f t="shared" si="44"/>
        <v>0</v>
      </c>
      <c r="EV46" s="18">
        <f t="shared" si="44"/>
        <v>0</v>
      </c>
      <c r="EW46" s="18">
        <f t="shared" si="44"/>
        <v>0</v>
      </c>
      <c r="EX46" s="18">
        <f t="shared" si="44"/>
        <v>0</v>
      </c>
      <c r="EY46" s="18">
        <f t="shared" si="44"/>
        <v>0</v>
      </c>
      <c r="EZ46" s="18">
        <f t="shared" si="44"/>
        <v>0</v>
      </c>
      <c r="FA46" s="18">
        <f t="shared" si="44"/>
        <v>0</v>
      </c>
      <c r="FB46" s="18">
        <f t="shared" ref="FB46:FJ46" si="58">IF(AND($E46&lt;=FB$5,$F46&gt;=FB$5),1,0)</f>
        <v>0</v>
      </c>
      <c r="FC46" s="18">
        <f t="shared" si="58"/>
        <v>0</v>
      </c>
      <c r="FD46" s="18">
        <f t="shared" si="58"/>
        <v>0</v>
      </c>
      <c r="FE46" s="18">
        <f t="shared" si="58"/>
        <v>0</v>
      </c>
      <c r="FF46" s="18">
        <f t="shared" si="58"/>
        <v>0</v>
      </c>
      <c r="FG46" s="18">
        <f t="shared" si="58"/>
        <v>0</v>
      </c>
      <c r="FH46" s="18">
        <f t="shared" si="58"/>
        <v>0</v>
      </c>
      <c r="FI46" s="18">
        <f t="shared" si="58"/>
        <v>0</v>
      </c>
      <c r="FJ46" s="18">
        <f t="shared" si="58"/>
        <v>0</v>
      </c>
      <c r="FK46" s="18">
        <f t="shared" si="45"/>
        <v>0</v>
      </c>
      <c r="FL46" s="18">
        <f t="shared" si="45"/>
        <v>0</v>
      </c>
      <c r="FM46" s="18">
        <f t="shared" si="45"/>
        <v>0</v>
      </c>
      <c r="FN46" s="18">
        <f t="shared" si="45"/>
        <v>0</v>
      </c>
      <c r="FO46" s="18">
        <f t="shared" si="45"/>
        <v>0</v>
      </c>
      <c r="FP46" s="18">
        <f t="shared" si="45"/>
        <v>0</v>
      </c>
      <c r="FQ46" s="18">
        <f t="shared" si="45"/>
        <v>0</v>
      </c>
      <c r="FR46" s="18">
        <f t="shared" si="45"/>
        <v>0</v>
      </c>
      <c r="FS46" s="18">
        <f t="shared" si="45"/>
        <v>0</v>
      </c>
      <c r="FT46" s="18">
        <f t="shared" si="45"/>
        <v>0</v>
      </c>
      <c r="FU46" s="18">
        <f t="shared" si="45"/>
        <v>0</v>
      </c>
      <c r="FV46" s="18">
        <f t="shared" si="45"/>
        <v>0</v>
      </c>
      <c r="FW46" s="18">
        <f t="shared" si="45"/>
        <v>0</v>
      </c>
      <c r="FX46" s="18">
        <f t="shared" si="45"/>
        <v>0</v>
      </c>
      <c r="FY46" s="18">
        <f t="shared" si="45"/>
        <v>0</v>
      </c>
      <c r="FZ46" s="18">
        <f t="shared" si="45"/>
        <v>0</v>
      </c>
      <c r="GA46" s="18">
        <f t="shared" si="45"/>
        <v>0</v>
      </c>
      <c r="GB46" s="18">
        <f t="shared" si="45"/>
        <v>0</v>
      </c>
      <c r="GC46" s="18">
        <f t="shared" si="45"/>
        <v>0</v>
      </c>
    </row>
  </sheetData>
  <mergeCells count="8">
    <mergeCell ref="H2:P2"/>
    <mergeCell ref="B4:B5"/>
    <mergeCell ref="C4:C5"/>
    <mergeCell ref="D4:D5"/>
    <mergeCell ref="E4:G4"/>
    <mergeCell ref="H4:I4"/>
    <mergeCell ref="J4:J5"/>
    <mergeCell ref="E2:G2"/>
  </mergeCells>
  <conditionalFormatting sqref="J8:J15">
    <cfRule type="containsText" dxfId="23" priority="8" operator="containsText" text="Ongoing">
      <formula>NOT(ISERROR(SEARCH("Ongoing",J8)))</formula>
    </cfRule>
    <cfRule type="containsText" dxfId="22" priority="9" operator="containsText" text="Expedite">
      <formula>NOT(ISERROR(SEARCH("Expedite",J8)))</formula>
    </cfRule>
    <cfRule type="containsText" dxfId="21" priority="10" operator="containsText" text="Overdue">
      <formula>NOT(ISERROR(SEARCH("Overdue",J8)))</formula>
    </cfRule>
    <cfRule type="containsText" dxfId="20" priority="11" operator="containsText" text="Open">
      <formula>NOT(ISERROR(SEARCH("Open",J8)))</formula>
    </cfRule>
    <cfRule type="containsText" dxfId="19" priority="12" operator="containsText" text="Closed">
      <formula>NOT(ISERROR(SEARCH("Closed",J8)))</formula>
    </cfRule>
  </conditionalFormatting>
  <conditionalFormatting sqref="J18:J25">
    <cfRule type="containsText" dxfId="18" priority="23" operator="containsText" text="Ongoing">
      <formula>NOT(ISERROR(SEARCH("Ongoing",J18)))</formula>
    </cfRule>
    <cfRule type="containsText" dxfId="17" priority="24" operator="containsText" text="Expedite">
      <formula>NOT(ISERROR(SEARCH("Expedite",J18)))</formula>
    </cfRule>
    <cfRule type="containsText" dxfId="16" priority="25" operator="containsText" text="Overdue">
      <formula>NOT(ISERROR(SEARCH("Overdue",J18)))</formula>
    </cfRule>
    <cfRule type="containsText" dxfId="15" priority="26" operator="containsText" text="Open">
      <formula>NOT(ISERROR(SEARCH("Open",J18)))</formula>
    </cfRule>
    <cfRule type="containsText" dxfId="14" priority="27" operator="containsText" text="Closed">
      <formula>NOT(ISERROR(SEARCH("Closed",J18)))</formula>
    </cfRule>
  </conditionalFormatting>
  <conditionalFormatting sqref="J27:J34">
    <cfRule type="containsText" dxfId="13" priority="18" operator="containsText" text="Ongoing">
      <formula>NOT(ISERROR(SEARCH("Ongoing",J27)))</formula>
    </cfRule>
    <cfRule type="containsText" dxfId="12" priority="19" operator="containsText" text="Expedite">
      <formula>NOT(ISERROR(SEARCH("Expedite",J27)))</formula>
    </cfRule>
    <cfRule type="containsText" dxfId="11" priority="20" operator="containsText" text="Overdue">
      <formula>NOT(ISERROR(SEARCH("Overdue",J27)))</formula>
    </cfRule>
    <cfRule type="containsText" dxfId="10" priority="21" operator="containsText" text="Open">
      <formula>NOT(ISERROR(SEARCH("Open",J27)))</formula>
    </cfRule>
    <cfRule type="containsText" dxfId="9" priority="22" operator="containsText" text="Closed">
      <formula>NOT(ISERROR(SEARCH("Closed",J27)))</formula>
    </cfRule>
  </conditionalFormatting>
  <conditionalFormatting sqref="J36:J46">
    <cfRule type="containsText" dxfId="8" priority="13" operator="containsText" text="Ongoing">
      <formula>NOT(ISERROR(SEARCH("Ongoing",J36)))</formula>
    </cfRule>
    <cfRule type="containsText" dxfId="7" priority="14" operator="containsText" text="Expedite">
      <formula>NOT(ISERROR(SEARCH("Expedite",J36)))</formula>
    </cfRule>
    <cfRule type="containsText" dxfId="6" priority="15" operator="containsText" text="Overdue">
      <formula>NOT(ISERROR(SEARCH("Overdue",J36)))</formula>
    </cfRule>
    <cfRule type="containsText" dxfId="5" priority="16" operator="containsText" text="Open">
      <formula>NOT(ISERROR(SEARCH("Open",J36)))</formula>
    </cfRule>
    <cfRule type="containsText" dxfId="4" priority="17" operator="containsText" text="Closed">
      <formula>NOT(ISERROR(SEARCH("Closed",J36)))</formula>
    </cfRule>
  </conditionalFormatting>
  <conditionalFormatting sqref="K6:GC46">
    <cfRule type="cellIs" dxfId="3" priority="4" operator="greaterThan">
      <formula>0</formula>
    </cfRule>
    <cfRule type="cellIs" dxfId="2" priority="5" operator="equal">
      <formula>0</formula>
    </cfRule>
    <cfRule type="cellIs" priority="6" operator="equal">
      <formula>"FALSE"</formula>
    </cfRule>
    <cfRule type="cellIs" dxfId="1" priority="7" operator="greaterThan">
      <formula>0</formula>
    </cfRule>
  </conditionalFormatting>
  <conditionalFormatting sqref="K5:FH46">
    <cfRule type="timePeriod" dxfId="0" priority="1" timePeriod="today">
      <formula>FLOOR(K5,1)=TODAY()</formula>
    </cfRule>
  </conditionalFormatting>
  <printOptions gridLines="1"/>
  <pageMargins left="0.25" right="0.25" top="0.75" bottom="0.75" header="0.3" footer="0.3"/>
  <pageSetup paperSize="8" scale="63" fitToHeight="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Salewa Oyagbola</dc:creator>
  <cp:keywords/>
  <dc:description/>
  <cp:lastModifiedBy>Zumah Yahaya</cp:lastModifiedBy>
  <cp:revision/>
  <dcterms:created xsi:type="dcterms:W3CDTF">2024-02-26T18:12:03Z</dcterms:created>
  <dcterms:modified xsi:type="dcterms:W3CDTF">2024-03-01T18:37:24Z</dcterms:modified>
  <cp:category/>
  <cp:contentStatus/>
</cp:coreProperties>
</file>