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Fareedah Ahmad\Documents\"/>
    </mc:Choice>
  </mc:AlternateContent>
  <bookViews>
    <workbookView xWindow="0" yWindow="0" windowWidth="20490" windowHeight="7635" activeTab="2"/>
  </bookViews>
  <sheets>
    <sheet name="BUDGET " sheetId="2" r:id="rId1"/>
    <sheet name="ACTUAL SPENT " sheetId="1" r:id="rId2"/>
    <sheet name="SURPLUS AND DEFICIT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9" i="3" l="1"/>
  <c r="L59" i="3"/>
  <c r="K59" i="3"/>
  <c r="J59" i="3"/>
  <c r="I59" i="3"/>
  <c r="H59" i="3"/>
  <c r="G59" i="3"/>
  <c r="F59" i="3"/>
  <c r="E59" i="3"/>
  <c r="D59" i="3"/>
  <c r="N59" i="3" s="1"/>
  <c r="D50" i="3"/>
  <c r="E50" i="3"/>
  <c r="F50" i="3"/>
  <c r="G50" i="3"/>
  <c r="H50" i="3"/>
  <c r="I50" i="3"/>
  <c r="J50" i="3"/>
  <c r="K50" i="3"/>
  <c r="L50" i="3"/>
  <c r="M50" i="3"/>
  <c r="D39" i="3"/>
  <c r="E39" i="3"/>
  <c r="F39" i="3"/>
  <c r="G39" i="3"/>
  <c r="N39" i="3" s="1"/>
  <c r="H39" i="3"/>
  <c r="I39" i="3"/>
  <c r="J39" i="3"/>
  <c r="K39" i="3"/>
  <c r="L39" i="3"/>
  <c r="M39" i="3"/>
  <c r="D69" i="3"/>
  <c r="E69" i="3"/>
  <c r="F69" i="3"/>
  <c r="G69" i="3"/>
  <c r="N69" i="3" s="1"/>
  <c r="H69" i="3"/>
  <c r="I69" i="3"/>
  <c r="J69" i="3"/>
  <c r="K69" i="3"/>
  <c r="L69" i="3"/>
  <c r="M69" i="3"/>
  <c r="D74" i="3"/>
  <c r="E74" i="3"/>
  <c r="F74" i="3"/>
  <c r="G74" i="3"/>
  <c r="H74" i="3"/>
  <c r="I74" i="3"/>
  <c r="J74" i="3"/>
  <c r="K74" i="3"/>
  <c r="L74" i="3"/>
  <c r="M74" i="3"/>
  <c r="N74" i="3"/>
  <c r="D77" i="3"/>
  <c r="E77" i="3"/>
  <c r="F77" i="3"/>
  <c r="G77" i="3"/>
  <c r="N77" i="3" s="1"/>
  <c r="H77" i="3"/>
  <c r="I77" i="3"/>
  <c r="J77" i="3"/>
  <c r="K77" i="3"/>
  <c r="L77" i="3"/>
  <c r="M77" i="3"/>
  <c r="N100" i="3"/>
  <c r="N101" i="3"/>
  <c r="E100" i="3"/>
  <c r="F100" i="3"/>
  <c r="G100" i="3"/>
  <c r="H100" i="3"/>
  <c r="I100" i="3"/>
  <c r="J100" i="3"/>
  <c r="K100" i="3"/>
  <c r="L100" i="3"/>
  <c r="M100" i="3"/>
  <c r="D100" i="3"/>
  <c r="G22" i="3"/>
  <c r="N9" i="3"/>
  <c r="N10" i="3"/>
  <c r="N11" i="3"/>
  <c r="N12" i="3"/>
  <c r="N13" i="3"/>
  <c r="N14" i="3"/>
  <c r="N7" i="3"/>
  <c r="N8" i="3"/>
  <c r="G18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40" i="3"/>
  <c r="N41" i="3"/>
  <c r="N42" i="3"/>
  <c r="N43" i="3"/>
  <c r="N44" i="3"/>
  <c r="N45" i="3"/>
  <c r="N46" i="3"/>
  <c r="N47" i="3"/>
  <c r="N48" i="3"/>
  <c r="N49" i="3"/>
  <c r="N51" i="3"/>
  <c r="N52" i="3"/>
  <c r="N53" i="3"/>
  <c r="N54" i="3"/>
  <c r="N55" i="3"/>
  <c r="N56" i="3"/>
  <c r="N57" i="3"/>
  <c r="N58" i="3"/>
  <c r="N60" i="3"/>
  <c r="N61" i="3"/>
  <c r="N62" i="3"/>
  <c r="N63" i="3"/>
  <c r="N64" i="3"/>
  <c r="N65" i="3"/>
  <c r="N66" i="3"/>
  <c r="N67" i="3"/>
  <c r="N68" i="3"/>
  <c r="N70" i="3"/>
  <c r="N71" i="3"/>
  <c r="N72" i="3"/>
  <c r="N73" i="3"/>
  <c r="N75" i="3"/>
  <c r="N76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2" i="3"/>
  <c r="N93" i="3"/>
  <c r="N94" i="3"/>
  <c r="N95" i="3"/>
  <c r="N96" i="3"/>
  <c r="N97" i="3"/>
  <c r="N98" i="3"/>
  <c r="N99" i="3"/>
  <c r="N102" i="3"/>
  <c r="D19" i="3"/>
  <c r="E19" i="3"/>
  <c r="F19" i="3"/>
  <c r="G19" i="3"/>
  <c r="H19" i="3"/>
  <c r="I19" i="3"/>
  <c r="J19" i="3"/>
  <c r="K19" i="3"/>
  <c r="L19" i="3"/>
  <c r="M19" i="3"/>
  <c r="D20" i="3"/>
  <c r="E20" i="3"/>
  <c r="F20" i="3"/>
  <c r="G20" i="3"/>
  <c r="H20" i="3"/>
  <c r="I20" i="3"/>
  <c r="J20" i="3"/>
  <c r="K20" i="3"/>
  <c r="L20" i="3"/>
  <c r="M20" i="3"/>
  <c r="D21" i="3"/>
  <c r="E21" i="3"/>
  <c r="F21" i="3"/>
  <c r="G21" i="3"/>
  <c r="H21" i="3"/>
  <c r="I21" i="3"/>
  <c r="J21" i="3"/>
  <c r="K21" i="3"/>
  <c r="L21" i="3"/>
  <c r="M21" i="3"/>
  <c r="D22" i="3"/>
  <c r="E22" i="3"/>
  <c r="F22" i="3"/>
  <c r="H22" i="3"/>
  <c r="I22" i="3"/>
  <c r="J22" i="3"/>
  <c r="K22" i="3"/>
  <c r="L22" i="3"/>
  <c r="M22" i="3"/>
  <c r="D23" i="3"/>
  <c r="E23" i="3"/>
  <c r="F23" i="3"/>
  <c r="G23" i="3"/>
  <c r="H23" i="3"/>
  <c r="I23" i="3"/>
  <c r="J23" i="3"/>
  <c r="K23" i="3"/>
  <c r="L23" i="3"/>
  <c r="M23" i="3"/>
  <c r="D24" i="3"/>
  <c r="E24" i="3"/>
  <c r="F24" i="3"/>
  <c r="G24" i="3"/>
  <c r="H24" i="3"/>
  <c r="I24" i="3"/>
  <c r="J24" i="3"/>
  <c r="K24" i="3"/>
  <c r="L24" i="3"/>
  <c r="M24" i="3"/>
  <c r="D25" i="3"/>
  <c r="E25" i="3"/>
  <c r="F25" i="3"/>
  <c r="G25" i="3"/>
  <c r="H25" i="3"/>
  <c r="I25" i="3"/>
  <c r="J25" i="3"/>
  <c r="K25" i="3"/>
  <c r="L25" i="3"/>
  <c r="M25" i="3"/>
  <c r="D26" i="3"/>
  <c r="E26" i="3"/>
  <c r="F26" i="3"/>
  <c r="G26" i="3"/>
  <c r="H26" i="3"/>
  <c r="I26" i="3"/>
  <c r="J26" i="3"/>
  <c r="K26" i="3"/>
  <c r="L26" i="3"/>
  <c r="M26" i="3"/>
  <c r="D27" i="3"/>
  <c r="E27" i="3"/>
  <c r="F27" i="3"/>
  <c r="G27" i="3"/>
  <c r="H27" i="3"/>
  <c r="I27" i="3"/>
  <c r="J27" i="3"/>
  <c r="K27" i="3"/>
  <c r="L27" i="3"/>
  <c r="M27" i="3"/>
  <c r="D28" i="3"/>
  <c r="E28" i="3"/>
  <c r="F28" i="3"/>
  <c r="G28" i="3"/>
  <c r="H28" i="3"/>
  <c r="I28" i="3"/>
  <c r="J28" i="3"/>
  <c r="K28" i="3"/>
  <c r="L28" i="3"/>
  <c r="M28" i="3"/>
  <c r="D29" i="3"/>
  <c r="E29" i="3"/>
  <c r="F29" i="3"/>
  <c r="G29" i="3"/>
  <c r="H29" i="3"/>
  <c r="I29" i="3"/>
  <c r="J29" i="3"/>
  <c r="K29" i="3"/>
  <c r="L29" i="3"/>
  <c r="M29" i="3"/>
  <c r="D30" i="3"/>
  <c r="E30" i="3"/>
  <c r="F30" i="3"/>
  <c r="G30" i="3"/>
  <c r="H30" i="3"/>
  <c r="I30" i="3"/>
  <c r="J30" i="3"/>
  <c r="K30" i="3"/>
  <c r="L30" i="3"/>
  <c r="M30" i="3"/>
  <c r="D31" i="3"/>
  <c r="E31" i="3"/>
  <c r="F31" i="3"/>
  <c r="G31" i="3"/>
  <c r="H31" i="3"/>
  <c r="I31" i="3"/>
  <c r="J31" i="3"/>
  <c r="K31" i="3"/>
  <c r="L31" i="3"/>
  <c r="M31" i="3"/>
  <c r="D32" i="3"/>
  <c r="E32" i="3"/>
  <c r="F32" i="3"/>
  <c r="G32" i="3"/>
  <c r="H32" i="3"/>
  <c r="I32" i="3"/>
  <c r="J32" i="3"/>
  <c r="K32" i="3"/>
  <c r="L32" i="3"/>
  <c r="M32" i="3"/>
  <c r="D33" i="3"/>
  <c r="E33" i="3"/>
  <c r="F33" i="3"/>
  <c r="G33" i="3"/>
  <c r="H33" i="3"/>
  <c r="I33" i="3"/>
  <c r="J33" i="3"/>
  <c r="K33" i="3"/>
  <c r="L33" i="3"/>
  <c r="M33" i="3"/>
  <c r="D34" i="3"/>
  <c r="E34" i="3"/>
  <c r="F34" i="3"/>
  <c r="G34" i="3"/>
  <c r="H34" i="3"/>
  <c r="I34" i="3"/>
  <c r="J34" i="3"/>
  <c r="K34" i="3"/>
  <c r="L34" i="3"/>
  <c r="M34" i="3"/>
  <c r="D35" i="3"/>
  <c r="E35" i="3"/>
  <c r="F35" i="3"/>
  <c r="G35" i="3"/>
  <c r="H35" i="3"/>
  <c r="I35" i="3"/>
  <c r="J35" i="3"/>
  <c r="K35" i="3"/>
  <c r="L35" i="3"/>
  <c r="M35" i="3"/>
  <c r="D36" i="3"/>
  <c r="E36" i="3"/>
  <c r="F36" i="3"/>
  <c r="G36" i="3"/>
  <c r="H36" i="3"/>
  <c r="I36" i="3"/>
  <c r="J36" i="3"/>
  <c r="K36" i="3"/>
  <c r="L36" i="3"/>
  <c r="M36" i="3"/>
  <c r="D37" i="3"/>
  <c r="E37" i="3"/>
  <c r="F37" i="3"/>
  <c r="G37" i="3"/>
  <c r="H37" i="3"/>
  <c r="I37" i="3"/>
  <c r="J37" i="3"/>
  <c r="K37" i="3"/>
  <c r="L37" i="3"/>
  <c r="M37" i="3"/>
  <c r="D38" i="3"/>
  <c r="E38" i="3"/>
  <c r="F38" i="3"/>
  <c r="G38" i="3"/>
  <c r="H38" i="3"/>
  <c r="I38" i="3"/>
  <c r="J38" i="3"/>
  <c r="K38" i="3"/>
  <c r="L38" i="3"/>
  <c r="M38" i="3"/>
  <c r="D40" i="3"/>
  <c r="E40" i="3"/>
  <c r="F40" i="3"/>
  <c r="G40" i="3"/>
  <c r="H40" i="3"/>
  <c r="I40" i="3"/>
  <c r="J40" i="3"/>
  <c r="K40" i="3"/>
  <c r="L40" i="3"/>
  <c r="M40" i="3"/>
  <c r="D41" i="3"/>
  <c r="E41" i="3"/>
  <c r="F41" i="3"/>
  <c r="G41" i="3"/>
  <c r="H41" i="3"/>
  <c r="I41" i="3"/>
  <c r="J41" i="3"/>
  <c r="K41" i="3"/>
  <c r="L41" i="3"/>
  <c r="M41" i="3"/>
  <c r="D42" i="3"/>
  <c r="E42" i="3"/>
  <c r="F42" i="3"/>
  <c r="G42" i="3"/>
  <c r="H42" i="3"/>
  <c r="I42" i="3"/>
  <c r="J42" i="3"/>
  <c r="K42" i="3"/>
  <c r="L42" i="3"/>
  <c r="M42" i="3"/>
  <c r="D43" i="3"/>
  <c r="E43" i="3"/>
  <c r="F43" i="3"/>
  <c r="G43" i="3"/>
  <c r="H43" i="3"/>
  <c r="I43" i="3"/>
  <c r="J43" i="3"/>
  <c r="K43" i="3"/>
  <c r="L43" i="3"/>
  <c r="M43" i="3"/>
  <c r="D44" i="3"/>
  <c r="E44" i="3"/>
  <c r="F44" i="3"/>
  <c r="G44" i="3"/>
  <c r="H44" i="3"/>
  <c r="I44" i="3"/>
  <c r="J44" i="3"/>
  <c r="K44" i="3"/>
  <c r="L44" i="3"/>
  <c r="M44" i="3"/>
  <c r="D45" i="3"/>
  <c r="E45" i="3"/>
  <c r="F45" i="3"/>
  <c r="G45" i="3"/>
  <c r="H45" i="3"/>
  <c r="I45" i="3"/>
  <c r="J45" i="3"/>
  <c r="K45" i="3"/>
  <c r="L45" i="3"/>
  <c r="M45" i="3"/>
  <c r="D46" i="3"/>
  <c r="E46" i="3"/>
  <c r="F46" i="3"/>
  <c r="G46" i="3"/>
  <c r="H46" i="3"/>
  <c r="I46" i="3"/>
  <c r="J46" i="3"/>
  <c r="K46" i="3"/>
  <c r="L46" i="3"/>
  <c r="M46" i="3"/>
  <c r="D47" i="3"/>
  <c r="E47" i="3"/>
  <c r="F47" i="3"/>
  <c r="G47" i="3"/>
  <c r="H47" i="3"/>
  <c r="I47" i="3"/>
  <c r="J47" i="3"/>
  <c r="K47" i="3"/>
  <c r="L47" i="3"/>
  <c r="M47" i="3"/>
  <c r="D48" i="3"/>
  <c r="E48" i="3"/>
  <c r="F48" i="3"/>
  <c r="G48" i="3"/>
  <c r="H48" i="3"/>
  <c r="I48" i="3"/>
  <c r="J48" i="3"/>
  <c r="K48" i="3"/>
  <c r="L48" i="3"/>
  <c r="M48" i="3"/>
  <c r="D49" i="3"/>
  <c r="E49" i="3"/>
  <c r="F49" i="3"/>
  <c r="G49" i="3"/>
  <c r="H49" i="3"/>
  <c r="I49" i="3"/>
  <c r="J49" i="3"/>
  <c r="K49" i="3"/>
  <c r="L49" i="3"/>
  <c r="M49" i="3"/>
  <c r="D51" i="3"/>
  <c r="E51" i="3"/>
  <c r="F51" i="3"/>
  <c r="G51" i="3"/>
  <c r="H51" i="3"/>
  <c r="I51" i="3"/>
  <c r="J51" i="3"/>
  <c r="K51" i="3"/>
  <c r="L51" i="3"/>
  <c r="M51" i="3"/>
  <c r="D52" i="3"/>
  <c r="E52" i="3"/>
  <c r="F52" i="3"/>
  <c r="G52" i="3"/>
  <c r="H52" i="3"/>
  <c r="I52" i="3"/>
  <c r="J52" i="3"/>
  <c r="K52" i="3"/>
  <c r="L52" i="3"/>
  <c r="M52" i="3"/>
  <c r="D53" i="3"/>
  <c r="E53" i="3"/>
  <c r="F53" i="3"/>
  <c r="G53" i="3"/>
  <c r="H53" i="3"/>
  <c r="I53" i="3"/>
  <c r="J53" i="3"/>
  <c r="K53" i="3"/>
  <c r="L53" i="3"/>
  <c r="M53" i="3"/>
  <c r="D54" i="3"/>
  <c r="E54" i="3"/>
  <c r="F54" i="3"/>
  <c r="G54" i="3"/>
  <c r="H54" i="3"/>
  <c r="I54" i="3"/>
  <c r="J54" i="3"/>
  <c r="K54" i="3"/>
  <c r="L54" i="3"/>
  <c r="M54" i="3"/>
  <c r="D55" i="3"/>
  <c r="E55" i="3"/>
  <c r="F55" i="3"/>
  <c r="G55" i="3"/>
  <c r="H55" i="3"/>
  <c r="I55" i="3"/>
  <c r="J55" i="3"/>
  <c r="K55" i="3"/>
  <c r="L55" i="3"/>
  <c r="M55" i="3"/>
  <c r="D56" i="3"/>
  <c r="E56" i="3"/>
  <c r="F56" i="3"/>
  <c r="G56" i="3"/>
  <c r="H56" i="3"/>
  <c r="I56" i="3"/>
  <c r="J56" i="3"/>
  <c r="K56" i="3"/>
  <c r="L56" i="3"/>
  <c r="M56" i="3"/>
  <c r="D57" i="3"/>
  <c r="E57" i="3"/>
  <c r="F57" i="3"/>
  <c r="G57" i="3"/>
  <c r="H57" i="3"/>
  <c r="I57" i="3"/>
  <c r="J57" i="3"/>
  <c r="K57" i="3"/>
  <c r="L57" i="3"/>
  <c r="M57" i="3"/>
  <c r="D58" i="3"/>
  <c r="E58" i="3"/>
  <c r="F58" i="3"/>
  <c r="G58" i="3"/>
  <c r="H58" i="3"/>
  <c r="I58" i="3"/>
  <c r="J58" i="3"/>
  <c r="K58" i="3"/>
  <c r="L58" i="3"/>
  <c r="M58" i="3"/>
  <c r="D60" i="3"/>
  <c r="E60" i="3"/>
  <c r="F60" i="3"/>
  <c r="G60" i="3"/>
  <c r="H60" i="3"/>
  <c r="I60" i="3"/>
  <c r="J60" i="3"/>
  <c r="K60" i="3"/>
  <c r="L60" i="3"/>
  <c r="M60" i="3"/>
  <c r="D61" i="3"/>
  <c r="E61" i="3"/>
  <c r="F61" i="3"/>
  <c r="G61" i="3"/>
  <c r="H61" i="3"/>
  <c r="I61" i="3"/>
  <c r="J61" i="3"/>
  <c r="K61" i="3"/>
  <c r="L61" i="3"/>
  <c r="M61" i="3"/>
  <c r="D62" i="3"/>
  <c r="E62" i="3"/>
  <c r="F62" i="3"/>
  <c r="G62" i="3"/>
  <c r="H62" i="3"/>
  <c r="I62" i="3"/>
  <c r="J62" i="3"/>
  <c r="K62" i="3"/>
  <c r="L62" i="3"/>
  <c r="M62" i="3"/>
  <c r="D63" i="3"/>
  <c r="E63" i="3"/>
  <c r="F63" i="3"/>
  <c r="G63" i="3"/>
  <c r="H63" i="3"/>
  <c r="I63" i="3"/>
  <c r="J63" i="3"/>
  <c r="K63" i="3"/>
  <c r="L63" i="3"/>
  <c r="M63" i="3"/>
  <c r="D64" i="3"/>
  <c r="E64" i="3"/>
  <c r="F64" i="3"/>
  <c r="G64" i="3"/>
  <c r="H64" i="3"/>
  <c r="I64" i="3"/>
  <c r="J64" i="3"/>
  <c r="K64" i="3"/>
  <c r="L64" i="3"/>
  <c r="M64" i="3"/>
  <c r="D65" i="3"/>
  <c r="E65" i="3"/>
  <c r="F65" i="3"/>
  <c r="G65" i="3"/>
  <c r="H65" i="3"/>
  <c r="I65" i="3"/>
  <c r="J65" i="3"/>
  <c r="K65" i="3"/>
  <c r="L65" i="3"/>
  <c r="M65" i="3"/>
  <c r="D66" i="3"/>
  <c r="E66" i="3"/>
  <c r="F66" i="3"/>
  <c r="G66" i="3"/>
  <c r="H66" i="3"/>
  <c r="I66" i="3"/>
  <c r="J66" i="3"/>
  <c r="K66" i="3"/>
  <c r="L66" i="3"/>
  <c r="M66" i="3"/>
  <c r="D67" i="3"/>
  <c r="E67" i="3"/>
  <c r="F67" i="3"/>
  <c r="G67" i="3"/>
  <c r="H67" i="3"/>
  <c r="I67" i="3"/>
  <c r="J67" i="3"/>
  <c r="K67" i="3"/>
  <c r="L67" i="3"/>
  <c r="M67" i="3"/>
  <c r="D68" i="3"/>
  <c r="E68" i="3"/>
  <c r="F68" i="3"/>
  <c r="G68" i="3"/>
  <c r="H68" i="3"/>
  <c r="I68" i="3"/>
  <c r="J68" i="3"/>
  <c r="K68" i="3"/>
  <c r="L68" i="3"/>
  <c r="M68" i="3"/>
  <c r="D70" i="3"/>
  <c r="E70" i="3"/>
  <c r="F70" i="3"/>
  <c r="G70" i="3"/>
  <c r="H70" i="3"/>
  <c r="I70" i="3"/>
  <c r="J70" i="3"/>
  <c r="K70" i="3"/>
  <c r="L70" i="3"/>
  <c r="M70" i="3"/>
  <c r="D71" i="3"/>
  <c r="E71" i="3"/>
  <c r="F71" i="3"/>
  <c r="G71" i="3"/>
  <c r="H71" i="3"/>
  <c r="I71" i="3"/>
  <c r="J71" i="3"/>
  <c r="K71" i="3"/>
  <c r="L71" i="3"/>
  <c r="M71" i="3"/>
  <c r="D72" i="3"/>
  <c r="E72" i="3"/>
  <c r="F72" i="3"/>
  <c r="G72" i="3"/>
  <c r="H72" i="3"/>
  <c r="I72" i="3"/>
  <c r="J72" i="3"/>
  <c r="K72" i="3"/>
  <c r="L72" i="3"/>
  <c r="M72" i="3"/>
  <c r="D73" i="3"/>
  <c r="E73" i="3"/>
  <c r="F73" i="3"/>
  <c r="G73" i="3"/>
  <c r="H73" i="3"/>
  <c r="I73" i="3"/>
  <c r="J73" i="3"/>
  <c r="K73" i="3"/>
  <c r="L73" i="3"/>
  <c r="M73" i="3"/>
  <c r="D75" i="3"/>
  <c r="E75" i="3"/>
  <c r="F75" i="3"/>
  <c r="G75" i="3"/>
  <c r="H75" i="3"/>
  <c r="I75" i="3"/>
  <c r="J75" i="3"/>
  <c r="K75" i="3"/>
  <c r="L75" i="3"/>
  <c r="M75" i="3"/>
  <c r="D76" i="3"/>
  <c r="E76" i="3"/>
  <c r="F76" i="3"/>
  <c r="G76" i="3"/>
  <c r="H76" i="3"/>
  <c r="I76" i="3"/>
  <c r="J76" i="3"/>
  <c r="K76" i="3"/>
  <c r="L76" i="3"/>
  <c r="M76" i="3"/>
  <c r="D78" i="3"/>
  <c r="E78" i="3"/>
  <c r="F78" i="3"/>
  <c r="G78" i="3"/>
  <c r="H78" i="3"/>
  <c r="I78" i="3"/>
  <c r="J78" i="3"/>
  <c r="K78" i="3"/>
  <c r="L78" i="3"/>
  <c r="M78" i="3"/>
  <c r="D79" i="3"/>
  <c r="E79" i="3"/>
  <c r="F79" i="3"/>
  <c r="G79" i="3"/>
  <c r="H79" i="3"/>
  <c r="I79" i="3"/>
  <c r="J79" i="3"/>
  <c r="K79" i="3"/>
  <c r="L79" i="3"/>
  <c r="M79" i="3"/>
  <c r="D80" i="3"/>
  <c r="E80" i="3"/>
  <c r="F80" i="3"/>
  <c r="G80" i="3"/>
  <c r="H80" i="3"/>
  <c r="I80" i="3"/>
  <c r="J80" i="3"/>
  <c r="K80" i="3"/>
  <c r="L80" i="3"/>
  <c r="M80" i="3"/>
  <c r="D81" i="3"/>
  <c r="E81" i="3"/>
  <c r="F81" i="3"/>
  <c r="G81" i="3"/>
  <c r="H81" i="3"/>
  <c r="I81" i="3"/>
  <c r="J81" i="3"/>
  <c r="K81" i="3"/>
  <c r="L81" i="3"/>
  <c r="M81" i="3"/>
  <c r="D82" i="3"/>
  <c r="E82" i="3"/>
  <c r="F82" i="3"/>
  <c r="G82" i="3"/>
  <c r="H82" i="3"/>
  <c r="I82" i="3"/>
  <c r="J82" i="3"/>
  <c r="K82" i="3"/>
  <c r="L82" i="3"/>
  <c r="M82" i="3"/>
  <c r="D83" i="3"/>
  <c r="E83" i="3"/>
  <c r="F83" i="3"/>
  <c r="G83" i="3"/>
  <c r="H83" i="3"/>
  <c r="I83" i="3"/>
  <c r="J83" i="3"/>
  <c r="K83" i="3"/>
  <c r="L83" i="3"/>
  <c r="M83" i="3"/>
  <c r="D84" i="3"/>
  <c r="E84" i="3"/>
  <c r="F84" i="3"/>
  <c r="G84" i="3"/>
  <c r="H84" i="3"/>
  <c r="I84" i="3"/>
  <c r="J84" i="3"/>
  <c r="K84" i="3"/>
  <c r="L84" i="3"/>
  <c r="M84" i="3"/>
  <c r="D85" i="3"/>
  <c r="E85" i="3"/>
  <c r="F85" i="3"/>
  <c r="G85" i="3"/>
  <c r="H85" i="3"/>
  <c r="I85" i="3"/>
  <c r="J85" i="3"/>
  <c r="K85" i="3"/>
  <c r="L85" i="3"/>
  <c r="M85" i="3"/>
  <c r="D86" i="3"/>
  <c r="E86" i="3"/>
  <c r="F86" i="3"/>
  <c r="G86" i="3"/>
  <c r="H86" i="3"/>
  <c r="I86" i="3"/>
  <c r="J86" i="3"/>
  <c r="K86" i="3"/>
  <c r="L86" i="3"/>
  <c r="M86" i="3"/>
  <c r="D87" i="3"/>
  <c r="E87" i="3"/>
  <c r="F87" i="3"/>
  <c r="G87" i="3"/>
  <c r="H87" i="3"/>
  <c r="I87" i="3"/>
  <c r="J87" i="3"/>
  <c r="K87" i="3"/>
  <c r="L87" i="3"/>
  <c r="M87" i="3"/>
  <c r="D88" i="3"/>
  <c r="E88" i="3"/>
  <c r="F88" i="3"/>
  <c r="G88" i="3"/>
  <c r="H88" i="3"/>
  <c r="I88" i="3"/>
  <c r="J88" i="3"/>
  <c r="K88" i="3"/>
  <c r="L88" i="3"/>
  <c r="M88" i="3"/>
  <c r="D89" i="3"/>
  <c r="E89" i="3"/>
  <c r="F89" i="3"/>
  <c r="G89" i="3"/>
  <c r="H89" i="3"/>
  <c r="I89" i="3"/>
  <c r="J89" i="3"/>
  <c r="K89" i="3"/>
  <c r="L89" i="3"/>
  <c r="M89" i="3"/>
  <c r="D90" i="3"/>
  <c r="E90" i="3"/>
  <c r="F90" i="3"/>
  <c r="G90" i="3"/>
  <c r="H90" i="3"/>
  <c r="I90" i="3"/>
  <c r="J90" i="3"/>
  <c r="K90" i="3"/>
  <c r="L90" i="3"/>
  <c r="M90" i="3"/>
  <c r="D92" i="3"/>
  <c r="E92" i="3"/>
  <c r="F92" i="3"/>
  <c r="G92" i="3"/>
  <c r="H92" i="3"/>
  <c r="I92" i="3"/>
  <c r="J92" i="3"/>
  <c r="K92" i="3"/>
  <c r="L92" i="3"/>
  <c r="M92" i="3"/>
  <c r="D93" i="3"/>
  <c r="E93" i="3"/>
  <c r="F93" i="3"/>
  <c r="G93" i="3"/>
  <c r="H93" i="3"/>
  <c r="I93" i="3"/>
  <c r="J93" i="3"/>
  <c r="K93" i="3"/>
  <c r="L93" i="3"/>
  <c r="M93" i="3"/>
  <c r="D94" i="3"/>
  <c r="E94" i="3"/>
  <c r="F94" i="3"/>
  <c r="G94" i="3"/>
  <c r="H94" i="3"/>
  <c r="I94" i="3"/>
  <c r="J94" i="3"/>
  <c r="K94" i="3"/>
  <c r="L94" i="3"/>
  <c r="M94" i="3"/>
  <c r="D95" i="3"/>
  <c r="E95" i="3"/>
  <c r="F95" i="3"/>
  <c r="G95" i="3"/>
  <c r="H95" i="3"/>
  <c r="I95" i="3"/>
  <c r="J95" i="3"/>
  <c r="K95" i="3"/>
  <c r="L95" i="3"/>
  <c r="M95" i="3"/>
  <c r="D96" i="3"/>
  <c r="E96" i="3"/>
  <c r="F96" i="3"/>
  <c r="G96" i="3"/>
  <c r="H96" i="3"/>
  <c r="I96" i="3"/>
  <c r="J96" i="3"/>
  <c r="K96" i="3"/>
  <c r="L96" i="3"/>
  <c r="M96" i="3"/>
  <c r="D97" i="3"/>
  <c r="E97" i="3"/>
  <c r="F97" i="3"/>
  <c r="G97" i="3"/>
  <c r="H97" i="3"/>
  <c r="I97" i="3"/>
  <c r="J97" i="3"/>
  <c r="K97" i="3"/>
  <c r="L97" i="3"/>
  <c r="M97" i="3"/>
  <c r="D98" i="3"/>
  <c r="E98" i="3"/>
  <c r="F98" i="3"/>
  <c r="G98" i="3"/>
  <c r="H98" i="3"/>
  <c r="I98" i="3"/>
  <c r="J98" i="3"/>
  <c r="K98" i="3"/>
  <c r="L98" i="3"/>
  <c r="M98" i="3"/>
  <c r="D99" i="3"/>
  <c r="E99" i="3"/>
  <c r="F99" i="3"/>
  <c r="G99" i="3"/>
  <c r="H99" i="3"/>
  <c r="I99" i="3"/>
  <c r="J99" i="3"/>
  <c r="K99" i="3"/>
  <c r="L99" i="3"/>
  <c r="M99" i="3"/>
  <c r="D101" i="3"/>
  <c r="E101" i="3"/>
  <c r="F101" i="3"/>
  <c r="G101" i="3"/>
  <c r="H101" i="3"/>
  <c r="I101" i="3"/>
  <c r="J101" i="3"/>
  <c r="K101" i="3"/>
  <c r="L101" i="3"/>
  <c r="M101" i="3"/>
  <c r="D102" i="3"/>
  <c r="E102" i="3"/>
  <c r="F102" i="3"/>
  <c r="G102" i="3"/>
  <c r="H102" i="3"/>
  <c r="I102" i="3"/>
  <c r="J102" i="3"/>
  <c r="K102" i="3"/>
  <c r="L102" i="3"/>
  <c r="M102" i="3"/>
  <c r="E18" i="3"/>
  <c r="F18" i="3"/>
  <c r="H18" i="3"/>
  <c r="I18" i="3"/>
  <c r="J18" i="3"/>
  <c r="K18" i="3"/>
  <c r="L18" i="3"/>
  <c r="M18" i="3"/>
  <c r="D18" i="3"/>
  <c r="M14" i="3"/>
  <c r="L14" i="3"/>
  <c r="J14" i="3"/>
  <c r="I14" i="3"/>
  <c r="H14" i="3"/>
  <c r="G14" i="3"/>
  <c r="D14" i="3"/>
  <c r="G12" i="3"/>
  <c r="F12" i="3"/>
  <c r="E12" i="3"/>
  <c r="G11" i="3"/>
  <c r="F11" i="3"/>
  <c r="F14" i="3" s="1"/>
  <c r="E11" i="3"/>
  <c r="K8" i="3"/>
  <c r="K14" i="3" s="1"/>
  <c r="H8" i="3"/>
  <c r="N100" i="2"/>
  <c r="D95" i="2"/>
  <c r="N92" i="2"/>
  <c r="E88" i="2"/>
  <c r="D88" i="2"/>
  <c r="N87" i="2"/>
  <c r="N86" i="2"/>
  <c r="N85" i="2"/>
  <c r="M84" i="2"/>
  <c r="M88" i="2" s="1"/>
  <c r="L84" i="2"/>
  <c r="L88" i="2" s="1"/>
  <c r="K84" i="2"/>
  <c r="K88" i="2" s="1"/>
  <c r="J84" i="2"/>
  <c r="J88" i="2" s="1"/>
  <c r="I84" i="2"/>
  <c r="I88" i="2" s="1"/>
  <c r="H84" i="2"/>
  <c r="H88" i="2" s="1"/>
  <c r="G84" i="2"/>
  <c r="G88" i="2" s="1"/>
  <c r="F84" i="2"/>
  <c r="F88" i="2" s="1"/>
  <c r="N83" i="2"/>
  <c r="N82" i="2"/>
  <c r="M75" i="2"/>
  <c r="L75" i="2"/>
  <c r="K75" i="2"/>
  <c r="J75" i="2"/>
  <c r="I75" i="2"/>
  <c r="H75" i="2"/>
  <c r="G75" i="2"/>
  <c r="F75" i="2"/>
  <c r="E75" i="2"/>
  <c r="D75" i="2"/>
  <c r="N74" i="2"/>
  <c r="N73" i="2"/>
  <c r="N75" i="2" s="1"/>
  <c r="M70" i="2"/>
  <c r="L70" i="2"/>
  <c r="K70" i="2"/>
  <c r="J70" i="2"/>
  <c r="I70" i="2"/>
  <c r="H70" i="2"/>
  <c r="G70" i="2"/>
  <c r="F70" i="2"/>
  <c r="E70" i="2"/>
  <c r="D70" i="2"/>
  <c r="N69" i="2"/>
  <c r="N68" i="2"/>
  <c r="N67" i="2"/>
  <c r="N66" i="2"/>
  <c r="N65" i="2"/>
  <c r="N64" i="2"/>
  <c r="M60" i="2"/>
  <c r="L60" i="2"/>
  <c r="K60" i="2"/>
  <c r="J60" i="2"/>
  <c r="I60" i="2"/>
  <c r="H60" i="2"/>
  <c r="G60" i="2"/>
  <c r="E60" i="2"/>
  <c r="D60" i="2"/>
  <c r="N59" i="2"/>
  <c r="N58" i="2"/>
  <c r="N57" i="2"/>
  <c r="F56" i="2"/>
  <c r="N56" i="2" s="1"/>
  <c r="F55" i="2"/>
  <c r="N55" i="2" s="1"/>
  <c r="F54" i="2"/>
  <c r="N54" i="2" s="1"/>
  <c r="M51" i="2"/>
  <c r="L51" i="2"/>
  <c r="J51" i="2"/>
  <c r="I51" i="2"/>
  <c r="H51" i="2"/>
  <c r="G51" i="2"/>
  <c r="F51" i="2"/>
  <c r="E51" i="2"/>
  <c r="D51" i="2"/>
  <c r="N50" i="2"/>
  <c r="N49" i="2"/>
  <c r="N48" i="2"/>
  <c r="K47" i="2"/>
  <c r="N47" i="2" s="1"/>
  <c r="K46" i="2"/>
  <c r="N46" i="2" s="1"/>
  <c r="K45" i="2"/>
  <c r="N45" i="2" s="1"/>
  <c r="K44" i="2"/>
  <c r="N44" i="2" s="1"/>
  <c r="K43" i="2"/>
  <c r="N43" i="2" s="1"/>
  <c r="M40" i="2"/>
  <c r="L40" i="2"/>
  <c r="K40" i="2"/>
  <c r="J40" i="2"/>
  <c r="I40" i="2"/>
  <c r="H40" i="2"/>
  <c r="G40" i="2"/>
  <c r="D40" i="2"/>
  <c r="N39" i="2"/>
  <c r="N38" i="2"/>
  <c r="N37" i="2"/>
  <c r="N36" i="2"/>
  <c r="N35" i="2"/>
  <c r="N34" i="2"/>
  <c r="N33" i="2"/>
  <c r="N32" i="2"/>
  <c r="N31" i="2"/>
  <c r="E30" i="2"/>
  <c r="N30" i="2" s="1"/>
  <c r="N29" i="2"/>
  <c r="N28" i="2"/>
  <c r="N27" i="2"/>
  <c r="N26" i="2"/>
  <c r="F25" i="2"/>
  <c r="N25" i="2" s="1"/>
  <c r="F24" i="2"/>
  <c r="N24" i="2" s="1"/>
  <c r="F23" i="2"/>
  <c r="M19" i="2"/>
  <c r="L19" i="2"/>
  <c r="K19" i="2"/>
  <c r="J19" i="2"/>
  <c r="I19" i="2"/>
  <c r="H19" i="2"/>
  <c r="G19" i="2"/>
  <c r="F19" i="2"/>
  <c r="E19" i="2"/>
  <c r="D19" i="2"/>
  <c r="N19" i="2" s="1"/>
  <c r="M14" i="2"/>
  <c r="M101" i="2" s="1"/>
  <c r="L14" i="2"/>
  <c r="L101" i="2" s="1"/>
  <c r="J14" i="2"/>
  <c r="J101" i="2" s="1"/>
  <c r="I14" i="2"/>
  <c r="I101" i="2" s="1"/>
  <c r="D14" i="2"/>
  <c r="D101" i="2" s="1"/>
  <c r="N13" i="2"/>
  <c r="G12" i="2"/>
  <c r="F12" i="2"/>
  <c r="E12" i="2"/>
  <c r="G11" i="2"/>
  <c r="G14" i="2" s="1"/>
  <c r="G101" i="2" s="1"/>
  <c r="F11" i="2"/>
  <c r="F14" i="2" s="1"/>
  <c r="E11" i="2"/>
  <c r="N10" i="2"/>
  <c r="N9" i="2"/>
  <c r="K8" i="2"/>
  <c r="K14" i="2" s="1"/>
  <c r="H8" i="2"/>
  <c r="H14" i="2" s="1"/>
  <c r="N7" i="2"/>
  <c r="E4" i="2"/>
  <c r="E5" i="2" s="1"/>
  <c r="D39" i="1"/>
  <c r="E39" i="1"/>
  <c r="N73" i="1"/>
  <c r="N72" i="1"/>
  <c r="N74" i="1" s="1"/>
  <c r="F74" i="1"/>
  <c r="G69" i="1"/>
  <c r="H69" i="1"/>
  <c r="I69" i="1"/>
  <c r="J69" i="1"/>
  <c r="K69" i="1"/>
  <c r="L69" i="1"/>
  <c r="M69" i="1"/>
  <c r="F69" i="1"/>
  <c r="E59" i="1"/>
  <c r="F59" i="1"/>
  <c r="F77" i="1" s="1"/>
  <c r="G59" i="1"/>
  <c r="H59" i="1"/>
  <c r="I59" i="1"/>
  <c r="J59" i="1"/>
  <c r="J77" i="1" s="1"/>
  <c r="K59" i="1"/>
  <c r="L59" i="1"/>
  <c r="M59" i="1"/>
  <c r="D59" i="1"/>
  <c r="F39" i="1"/>
  <c r="G39" i="1"/>
  <c r="H39" i="1"/>
  <c r="I39" i="1"/>
  <c r="J39" i="1"/>
  <c r="K39" i="1"/>
  <c r="L39" i="1"/>
  <c r="M39" i="1"/>
  <c r="N8" i="1"/>
  <c r="N9" i="1"/>
  <c r="N12" i="1"/>
  <c r="N6" i="1"/>
  <c r="N99" i="1"/>
  <c r="D94" i="1"/>
  <c r="N91" i="1"/>
  <c r="K87" i="1"/>
  <c r="G87" i="1"/>
  <c r="E87" i="1"/>
  <c r="D87" i="1"/>
  <c r="N86" i="1"/>
  <c r="N85" i="1"/>
  <c r="N84" i="1"/>
  <c r="M87" i="1"/>
  <c r="L87" i="1"/>
  <c r="J87" i="1"/>
  <c r="I87" i="1"/>
  <c r="H87" i="1"/>
  <c r="F87" i="1"/>
  <c r="N82" i="1"/>
  <c r="N81" i="1"/>
  <c r="M74" i="1"/>
  <c r="M77" i="1" s="1"/>
  <c r="L74" i="1"/>
  <c r="L77" i="1" s="1"/>
  <c r="K74" i="1"/>
  <c r="J74" i="1"/>
  <c r="I74" i="1"/>
  <c r="I77" i="1" s="1"/>
  <c r="H74" i="1"/>
  <c r="H77" i="1" s="1"/>
  <c r="G74" i="1"/>
  <c r="G77" i="1" s="1"/>
  <c r="E74" i="1"/>
  <c r="D74" i="1"/>
  <c r="E69" i="1"/>
  <c r="D69" i="1"/>
  <c r="N68" i="1"/>
  <c r="N67" i="1"/>
  <c r="N66" i="1"/>
  <c r="N65" i="1"/>
  <c r="N69" i="1" s="1"/>
  <c r="N64" i="1"/>
  <c r="N63" i="1"/>
  <c r="N58" i="1"/>
  <c r="N57" i="1"/>
  <c r="N56" i="1"/>
  <c r="N55" i="1"/>
  <c r="N54" i="1"/>
  <c r="N53" i="1"/>
  <c r="N59" i="1" s="1"/>
  <c r="M50" i="1"/>
  <c r="L50" i="1"/>
  <c r="J50" i="1"/>
  <c r="I50" i="1"/>
  <c r="H50" i="1"/>
  <c r="G50" i="1"/>
  <c r="F50" i="1"/>
  <c r="E50" i="1"/>
  <c r="E77" i="1" s="1"/>
  <c r="D50" i="1"/>
  <c r="N49" i="1"/>
  <c r="N48" i="1"/>
  <c r="N47" i="1"/>
  <c r="N46" i="1"/>
  <c r="N45" i="1"/>
  <c r="N44" i="1"/>
  <c r="N43" i="1"/>
  <c r="N42" i="1"/>
  <c r="N38" i="1"/>
  <c r="N37" i="1"/>
  <c r="N36" i="1"/>
  <c r="N35" i="1"/>
  <c r="N34" i="1"/>
  <c r="N33" i="1"/>
  <c r="N32" i="1"/>
  <c r="N31" i="1"/>
  <c r="N30" i="1"/>
  <c r="N28" i="1"/>
  <c r="N27" i="1"/>
  <c r="N26" i="1"/>
  <c r="N25" i="1"/>
  <c r="N24" i="1"/>
  <c r="N23" i="1"/>
  <c r="N22" i="1"/>
  <c r="N18" i="1"/>
  <c r="M13" i="1"/>
  <c r="M100" i="1" s="1"/>
  <c r="L13" i="1"/>
  <c r="L100" i="1" s="1"/>
  <c r="J13" i="1"/>
  <c r="J100" i="1" s="1"/>
  <c r="I13" i="1"/>
  <c r="I100" i="1" s="1"/>
  <c r="D13" i="1"/>
  <c r="D100" i="1" s="1"/>
  <c r="G11" i="1"/>
  <c r="F11" i="1"/>
  <c r="E11" i="1"/>
  <c r="G10" i="1"/>
  <c r="F10" i="1"/>
  <c r="E10" i="1"/>
  <c r="K7" i="1"/>
  <c r="K13" i="1" s="1"/>
  <c r="H7" i="1"/>
  <c r="E3" i="1"/>
  <c r="E4" i="1" s="1"/>
  <c r="N50" i="3" l="1"/>
  <c r="E14" i="3"/>
  <c r="H78" i="2"/>
  <c r="H94" i="2" s="1"/>
  <c r="I78" i="2"/>
  <c r="I94" i="2" s="1"/>
  <c r="M78" i="2"/>
  <c r="M94" i="2" s="1"/>
  <c r="D78" i="2"/>
  <c r="D102" i="2" s="1"/>
  <c r="N12" i="2"/>
  <c r="F40" i="2"/>
  <c r="N70" i="2"/>
  <c r="J78" i="2"/>
  <c r="J94" i="2" s="1"/>
  <c r="L78" i="2"/>
  <c r="L94" i="2" s="1"/>
  <c r="N11" i="2"/>
  <c r="N23" i="2"/>
  <c r="N40" i="2" s="1"/>
  <c r="G78" i="2"/>
  <c r="G94" i="2" s="1"/>
  <c r="N60" i="2"/>
  <c r="K101" i="2"/>
  <c r="K93" i="2"/>
  <c r="F101" i="2"/>
  <c r="F93" i="2"/>
  <c r="N51" i="2"/>
  <c r="F78" i="2"/>
  <c r="F94" i="2" s="1"/>
  <c r="H101" i="2"/>
  <c r="H93" i="2"/>
  <c r="H95" i="2" s="1"/>
  <c r="H102" i="2" s="1"/>
  <c r="K78" i="2"/>
  <c r="K94" i="2" s="1"/>
  <c r="N8" i="2"/>
  <c r="N14" i="2" s="1"/>
  <c r="E40" i="2"/>
  <c r="E78" i="2" s="1"/>
  <c r="N78" i="2" s="1"/>
  <c r="L93" i="2"/>
  <c r="L95" i="2" s="1"/>
  <c r="L102" i="2" s="1"/>
  <c r="E14" i="2"/>
  <c r="F60" i="2"/>
  <c r="N84" i="2"/>
  <c r="N88" i="2" s="1"/>
  <c r="I93" i="2"/>
  <c r="I95" i="2" s="1"/>
  <c r="I102" i="2" s="1"/>
  <c r="M93" i="2"/>
  <c r="M95" i="2" s="1"/>
  <c r="M102" i="2" s="1"/>
  <c r="K51" i="2"/>
  <c r="J93" i="2"/>
  <c r="G93" i="2"/>
  <c r="N7" i="1"/>
  <c r="N11" i="1"/>
  <c r="I93" i="1"/>
  <c r="N10" i="1"/>
  <c r="H93" i="1"/>
  <c r="L93" i="1"/>
  <c r="F13" i="1"/>
  <c r="F92" i="1" s="1"/>
  <c r="G13" i="1"/>
  <c r="G100" i="1" s="1"/>
  <c r="N50" i="1"/>
  <c r="G93" i="1"/>
  <c r="J93" i="1"/>
  <c r="D77" i="1"/>
  <c r="D101" i="1" s="1"/>
  <c r="M93" i="1"/>
  <c r="H13" i="1"/>
  <c r="H100" i="1" s="1"/>
  <c r="K100" i="1"/>
  <c r="K92" i="1"/>
  <c r="E13" i="1"/>
  <c r="N29" i="1"/>
  <c r="N39" i="1" s="1"/>
  <c r="N83" i="1"/>
  <c r="N87" i="1" s="1"/>
  <c r="I92" i="1"/>
  <c r="M92" i="1"/>
  <c r="L92" i="1"/>
  <c r="K50" i="1"/>
  <c r="K77" i="1" s="1"/>
  <c r="J92" i="1"/>
  <c r="G95" i="2" l="1"/>
  <c r="G102" i="2" s="1"/>
  <c r="J95" i="2"/>
  <c r="J102" i="2" s="1"/>
  <c r="I106" i="2" s="1"/>
  <c r="I109" i="2" s="1"/>
  <c r="E101" i="2"/>
  <c r="N101" i="2" s="1"/>
  <c r="E93" i="2"/>
  <c r="K95" i="2"/>
  <c r="K102" i="2" s="1"/>
  <c r="L106" i="2" s="1"/>
  <c r="N94" i="2"/>
  <c r="F95" i="2"/>
  <c r="F102" i="2" s="1"/>
  <c r="G92" i="1"/>
  <c r="G94" i="1" s="1"/>
  <c r="G101" i="1" s="1"/>
  <c r="N77" i="1"/>
  <c r="F100" i="1"/>
  <c r="N13" i="1"/>
  <c r="K93" i="1"/>
  <c r="K94" i="1" s="1"/>
  <c r="K101" i="1" s="1"/>
  <c r="J94" i="1"/>
  <c r="J101" i="1" s="1"/>
  <c r="H92" i="1"/>
  <c r="I94" i="1"/>
  <c r="I101" i="1" s="1"/>
  <c r="M94" i="1"/>
  <c r="M101" i="1" s="1"/>
  <c r="L94" i="1"/>
  <c r="L101" i="1" s="1"/>
  <c r="F93" i="1"/>
  <c r="H94" i="1"/>
  <c r="H101" i="1" s="1"/>
  <c r="E100" i="1"/>
  <c r="E92" i="1"/>
  <c r="N93" i="2" l="1"/>
  <c r="E95" i="2"/>
  <c r="N100" i="1"/>
  <c r="I105" i="1"/>
  <c r="I108" i="1" s="1"/>
  <c r="N93" i="1"/>
  <c r="L105" i="1"/>
  <c r="F94" i="1"/>
  <c r="F101" i="1" s="1"/>
  <c r="N92" i="1"/>
  <c r="E94" i="1"/>
  <c r="E102" i="2" l="1"/>
  <c r="F106" i="2" s="1"/>
  <c r="N95" i="2"/>
  <c r="N102" i="2" s="1"/>
  <c r="N104" i="2" s="1"/>
  <c r="N105" i="2" s="1"/>
  <c r="E101" i="1"/>
  <c r="F105" i="1" s="1"/>
  <c r="N94" i="1"/>
  <c r="N101" i="1" s="1"/>
  <c r="N103" i="1" s="1"/>
  <c r="N104" i="1" s="1"/>
</calcChain>
</file>

<file path=xl/sharedStrings.xml><?xml version="1.0" encoding="utf-8"?>
<sst xmlns="http://schemas.openxmlformats.org/spreadsheetml/2006/main" count="299" uniqueCount="119">
  <si>
    <t>Category</t>
  </si>
  <si>
    <t>Description</t>
  </si>
  <si>
    <t>FY 2025</t>
  </si>
  <si>
    <t>Comment/Justification</t>
  </si>
  <si>
    <t>One Time</t>
  </si>
  <si>
    <t>Items in green have been paid for the entire year as Q2 one-time costs</t>
  </si>
  <si>
    <t>Kwara State Government Grants</t>
  </si>
  <si>
    <t>Public sector funding</t>
  </si>
  <si>
    <t>IHS Operational Funds</t>
  </si>
  <si>
    <t>Corporate partnerships &amp; sponsorships</t>
  </si>
  <si>
    <t>Membership Fees</t>
  </si>
  <si>
    <t>Fees from startups &amp; researchers</t>
  </si>
  <si>
    <t>Consulting &amp; Advisory Services</t>
  </si>
  <si>
    <t>Consulting services revenue</t>
  </si>
  <si>
    <t>Event Hosting &amp; Sponsorships</t>
  </si>
  <si>
    <t>Revenue from events &amp; hackathons</t>
  </si>
  <si>
    <t>Facility Rentals</t>
  </si>
  <si>
    <t>Other Income</t>
  </si>
  <si>
    <t>Miscellaneous revenue</t>
  </si>
  <si>
    <t>Total Revenue</t>
  </si>
  <si>
    <t>Salaries &amp; Wages</t>
  </si>
  <si>
    <t>Staff salaries, mentors</t>
  </si>
  <si>
    <t>Utilities &amp; Maintenance</t>
  </si>
  <si>
    <t>Rent, utilities, internet, security, cleaning</t>
  </si>
  <si>
    <t>Internet A Subscription (MTN) 45Mbps</t>
  </si>
  <si>
    <t>Internet A Setup Cost (MTN)</t>
  </si>
  <si>
    <t>Internet B Subscription (Starlink)</t>
  </si>
  <si>
    <t>Internet B Device (Starlink)</t>
  </si>
  <si>
    <t>Internet B Installation (Starlink)</t>
  </si>
  <si>
    <t xml:space="preserve">Cleaning </t>
  </si>
  <si>
    <t>Landscaping</t>
  </si>
  <si>
    <t>Facility Maintenance &amp; Repairs</t>
  </si>
  <si>
    <t>Security</t>
  </si>
  <si>
    <t>HVAC Maintenance (Quarterly)</t>
  </si>
  <si>
    <t>Solar Maintenance (Biannually)</t>
  </si>
  <si>
    <t>Electrical Maintenance (Monthly)</t>
  </si>
  <si>
    <t>Mechanical Maintenance (Monthly)</t>
  </si>
  <si>
    <t>LED Screen Maintenance (Annually)</t>
  </si>
  <si>
    <t>Access Control Maintenance (Annually)</t>
  </si>
  <si>
    <t>Project Manager Professional Fee ?</t>
  </si>
  <si>
    <t>Provision for Spare Parts for Solar, Electrical, Mechanical, LED Screens</t>
  </si>
  <si>
    <t>Travel &amp; Conferences</t>
  </si>
  <si>
    <t>International Conference Registration</t>
  </si>
  <si>
    <t>International Travel Flights</t>
  </si>
  <si>
    <t>International Travel Accomodation</t>
  </si>
  <si>
    <t>International Travel Allowance</t>
  </si>
  <si>
    <t>International Visa Processing</t>
  </si>
  <si>
    <t>Local Conference Registration</t>
  </si>
  <si>
    <t>Local Conference Exhibition</t>
  </si>
  <si>
    <t>Local Travel</t>
  </si>
  <si>
    <t>Equipment &amp; Software</t>
  </si>
  <si>
    <t>Laptops, software, lab tools</t>
  </si>
  <si>
    <t>Website Hosting, Cloud Servers &amp; Services</t>
  </si>
  <si>
    <t>Staff Email + Collaboration Tools (Zoho One)</t>
  </si>
  <si>
    <t>Software Subscriptions &amp; Licenses</t>
  </si>
  <si>
    <t>Social Media Account Verification (Instagram, Facebook, Twitter)</t>
  </si>
  <si>
    <t>Coworking Space Management &amp; Access Control Sofware</t>
  </si>
  <si>
    <t>Staff Mobile Devices</t>
  </si>
  <si>
    <t>Corporate Comms &amp; PR</t>
  </si>
  <si>
    <t>Branding, PR</t>
  </si>
  <si>
    <t>Souvenirs</t>
  </si>
  <si>
    <t>Guest Entertainment &amp; Refreshments</t>
  </si>
  <si>
    <t>Banners</t>
  </si>
  <si>
    <t>Merchandise &amp; Staff T-Shirts</t>
  </si>
  <si>
    <t>Online &amp; Social Media Marketing</t>
  </si>
  <si>
    <t>Photography &amp; Videography</t>
  </si>
  <si>
    <t>Administrative Costs</t>
  </si>
  <si>
    <t>Office admin costs &amp; supplies</t>
  </si>
  <si>
    <t>Stationery &amp; Office Supplies</t>
  </si>
  <si>
    <t xml:space="preserve">Association &amp; Society Memberships </t>
  </si>
  <si>
    <t>Total Operational Expenses</t>
  </si>
  <si>
    <t>Staff Professional Development</t>
  </si>
  <si>
    <t>Monthly Meetups</t>
  </si>
  <si>
    <t>Startup acceleration &amp; support</t>
  </si>
  <si>
    <t>Field Events</t>
  </si>
  <si>
    <t>Webinars</t>
  </si>
  <si>
    <t>Training &amp; Mentorship</t>
  </si>
  <si>
    <t>Total Program Support</t>
  </si>
  <si>
    <t>Contingency &amp; Sustainability</t>
  </si>
  <si>
    <t>Reserve Fund - % of Inflows</t>
  </si>
  <si>
    <t>Emergency fund for sustainability</t>
  </si>
  <si>
    <t>Miscellaneous Expenses - % of Operating Exp.</t>
  </si>
  <si>
    <t>Unexpected costs</t>
  </si>
  <si>
    <t>Total Contingency</t>
  </si>
  <si>
    <t>Summary</t>
  </si>
  <si>
    <t>Total Expenses</t>
  </si>
  <si>
    <t>Till 2025 year end (8 months)</t>
  </si>
  <si>
    <t>Last mile fiber + installation</t>
  </si>
  <si>
    <t>Device Cost (Femtech IT, Ilorin)</t>
  </si>
  <si>
    <t>Installation + any required additional materials</t>
  </si>
  <si>
    <t>11 man cleaning team &amp; consumables</t>
  </si>
  <si>
    <t>Conservative estimate for repairs</t>
  </si>
  <si>
    <t>8 guards - 5 day, 3 night at N100,000/mo and 1 supervisor @N120,000/mo</t>
  </si>
  <si>
    <t>As quoted by Project Manager</t>
  </si>
  <si>
    <t>As quoted by Project Manager. Not due until Q3</t>
  </si>
  <si>
    <t>Not due until next year</t>
  </si>
  <si>
    <t>Geniserve</t>
  </si>
  <si>
    <t>Purchase of spare parts for hardware infrastructure. As quoted by Project Manager</t>
  </si>
  <si>
    <t>Considering 2 people</t>
  </si>
  <si>
    <t>Q4 Travel costs are considered at a 10% increase from Q2 costs</t>
  </si>
  <si>
    <t>$200 per night for 5 nights</t>
  </si>
  <si>
    <t>€300 @ €150 visa fee per person</t>
  </si>
  <si>
    <t>Estimated to cover any local conference reg</t>
  </si>
  <si>
    <t>Opportunity to showcase our startups at conferences</t>
  </si>
  <si>
    <t>Assuming N150,000 per flight within Nigeria</t>
  </si>
  <si>
    <t>For IIH Website, Digital Ocean, Sendgrid &amp; AWS @ $200/mo. Till 2025 year end (8 months)</t>
  </si>
  <si>
    <t>Open AI credits, Canva, Bolt AI software dev tool @ $200</t>
  </si>
  <si>
    <t>Spacebring @ €3,553.20/yr for 12 months</t>
  </si>
  <si>
    <t>Staff welcome kits, guest souvenirs</t>
  </si>
  <si>
    <t xml:space="preserve">For hosting guests </t>
  </si>
  <si>
    <t>Roller banners for internal and mobile use</t>
  </si>
  <si>
    <t>Paid online ads</t>
  </si>
  <si>
    <t>Printer toner, water, tea, coffee</t>
  </si>
  <si>
    <t>Afrilabs @ N180,000/yr, ISN etc</t>
  </si>
  <si>
    <t>Sponsoring professional development training &amp; certifications for staff</t>
  </si>
  <si>
    <t>Networking events like Founders Match or hosted event support - tags, refreshments etc</t>
  </si>
  <si>
    <t>Campus outreach events around Ilorin (UNILORIN, KWASU, Landmark, Al-Hikmah etc</t>
  </si>
  <si>
    <t>Zoom webinar subscription @ $79/mo</t>
  </si>
  <si>
    <t>Special training programs for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</si>
</sst>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/>
      <name val="Arial"/>
      <family val="2"/>
    </font>
    <font>
      <b/>
      <sz val="11"/>
      <color rgb="FF008732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000000"/>
      <name val="Arial"/>
      <family val="2"/>
    </font>
    <font>
      <sz val="11"/>
      <color rgb="FF008732"/>
      <name val="Aptos Narrow"/>
      <family val="2"/>
      <scheme val="minor"/>
    </font>
    <font>
      <sz val="10"/>
      <color rgb="FF008732"/>
      <name val="Arial"/>
      <family val="2"/>
    </font>
    <font>
      <sz val="10"/>
      <color rgb="FF000000"/>
      <name val="Arial"/>
      <family val="2"/>
    </font>
    <font>
      <sz val="11"/>
      <color theme="1"/>
      <name val="Cambria"/>
      <family val="1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873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6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6" fontId="2" fillId="2" borderId="0" xfId="0" applyNumberFormat="1" applyFont="1" applyFill="1" applyAlignment="1">
      <alignment horizontal="center"/>
    </xf>
    <xf numFmtId="17" fontId="5" fillId="2" borderId="0" xfId="0" applyNumberFormat="1" applyFont="1" applyFill="1"/>
    <xf numFmtId="3" fontId="4" fillId="2" borderId="0" xfId="0" applyNumberFormat="1" applyFont="1" applyFill="1" applyAlignment="1">
      <alignment horizontal="center"/>
    </xf>
    <xf numFmtId="3" fontId="4" fillId="2" borderId="0" xfId="0" applyNumberFormat="1" applyFont="1" applyFill="1" applyAlignment="1">
      <alignment horizontal="center" wrapText="1" shrinkToFit="1"/>
    </xf>
    <xf numFmtId="0" fontId="3" fillId="0" borderId="0" xfId="0" applyFont="1" applyAlignment="1">
      <alignment horizontal="center" vertical="top"/>
    </xf>
    <xf numFmtId="0" fontId="3" fillId="3" borderId="0" xfId="0" applyFont="1" applyFill="1"/>
    <xf numFmtId="0" fontId="0" fillId="3" borderId="0" xfId="0" applyFill="1"/>
    <xf numFmtId="0" fontId="0" fillId="0" borderId="2" xfId="0" applyBorder="1"/>
    <xf numFmtId="0" fontId="0" fillId="0" borderId="2" xfId="0" applyBorder="1" applyAlignment="1">
      <alignment horizontal="left" indent="1"/>
    </xf>
    <xf numFmtId="0" fontId="3" fillId="5" borderId="2" xfId="0" applyFont="1" applyFill="1" applyBorder="1"/>
    <xf numFmtId="0" fontId="3" fillId="0" borderId="0" xfId="0" applyFont="1"/>
    <xf numFmtId="0" fontId="4" fillId="0" borderId="0" xfId="0" applyFont="1"/>
    <xf numFmtId="0" fontId="7" fillId="0" borderId="2" xfId="0" applyFont="1" applyBorder="1"/>
    <xf numFmtId="0" fontId="8" fillId="0" borderId="2" xfId="0" applyFont="1" applyBorder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left"/>
    </xf>
    <xf numFmtId="0" fontId="9" fillId="0" borderId="0" xfId="0" applyFont="1"/>
    <xf numFmtId="0" fontId="10" fillId="0" borderId="2" xfId="0" applyFont="1" applyBorder="1"/>
    <xf numFmtId="0" fontId="11" fillId="0" borderId="2" xfId="0" applyFont="1" applyBorder="1" applyAlignment="1">
      <alignment horizontal="left" indent="1"/>
    </xf>
    <xf numFmtId="0" fontId="10" fillId="0" borderId="0" xfId="0" applyFont="1"/>
    <xf numFmtId="0" fontId="12" fillId="0" borderId="2" xfId="0" applyFont="1" applyBorder="1" applyAlignment="1">
      <alignment horizontal="left" wrapText="1" indent="1"/>
    </xf>
    <xf numFmtId="0" fontId="11" fillId="0" borderId="2" xfId="0" applyFont="1" applyBorder="1" applyAlignment="1">
      <alignment horizontal="left" wrapText="1" indent="1"/>
    </xf>
    <xf numFmtId="0" fontId="12" fillId="0" borderId="2" xfId="0" applyFont="1" applyBorder="1" applyAlignment="1">
      <alignment horizontal="left" indent="1"/>
    </xf>
    <xf numFmtId="0" fontId="12" fillId="0" borderId="0" xfId="0" applyFont="1" applyAlignment="1">
      <alignment horizontal="left" indent="1"/>
    </xf>
    <xf numFmtId="0" fontId="3" fillId="6" borderId="2" xfId="0" applyFont="1" applyFill="1" applyBorder="1"/>
    <xf numFmtId="0" fontId="12" fillId="0" borderId="0" xfId="0" applyFont="1" applyAlignment="1">
      <alignment horizontal="left" wrapText="1" indent="1"/>
    </xf>
    <xf numFmtId="9" fontId="0" fillId="0" borderId="2" xfId="0" applyNumberFormat="1" applyBorder="1"/>
    <xf numFmtId="0" fontId="2" fillId="7" borderId="0" xfId="0" applyFont="1" applyFill="1"/>
    <xf numFmtId="43" fontId="3" fillId="0" borderId="0" xfId="1" applyFont="1" applyAlignment="1">
      <alignment horizontal="center" vertical="top"/>
    </xf>
    <xf numFmtId="43" fontId="0" fillId="3" borderId="0" xfId="1" applyFont="1" applyFill="1"/>
    <xf numFmtId="43" fontId="0" fillId="0" borderId="2" xfId="1" applyFont="1" applyBorder="1"/>
    <xf numFmtId="43" fontId="3" fillId="5" borderId="2" xfId="1" applyFont="1" applyFill="1" applyBorder="1"/>
    <xf numFmtId="43" fontId="0" fillId="0" borderId="0" xfId="1" applyFont="1"/>
    <xf numFmtId="43" fontId="7" fillId="0" borderId="2" xfId="1" applyFont="1" applyBorder="1"/>
    <xf numFmtId="43" fontId="10" fillId="0" borderId="2" xfId="1" applyFont="1" applyBorder="1"/>
    <xf numFmtId="43" fontId="12" fillId="0" borderId="2" xfId="1" applyFont="1" applyBorder="1"/>
    <xf numFmtId="43" fontId="3" fillId="0" borderId="0" xfId="1" applyFont="1" applyFill="1" applyBorder="1"/>
    <xf numFmtId="43" fontId="3" fillId="6" borderId="2" xfId="1" applyFont="1" applyFill="1" applyBorder="1"/>
    <xf numFmtId="43" fontId="2" fillId="7" borderId="0" xfId="1" applyFont="1" applyFill="1"/>
    <xf numFmtId="43" fontId="10" fillId="0" borderId="2" xfId="1" applyFont="1" applyFill="1" applyBorder="1"/>
    <xf numFmtId="43" fontId="0" fillId="0" borderId="0" xfId="1" applyFont="1" applyAlignment="1">
      <alignment horizontal="center"/>
    </xf>
    <xf numFmtId="43" fontId="4" fillId="0" borderId="0" xfId="1" applyFont="1"/>
    <xf numFmtId="43" fontId="0" fillId="0" borderId="3" xfId="1" applyFont="1" applyBorder="1"/>
    <xf numFmtId="43" fontId="3" fillId="4" borderId="3" xfId="1" applyFont="1" applyFill="1" applyBorder="1" applyAlignment="1">
      <alignment horizontal="center"/>
    </xf>
    <xf numFmtId="43" fontId="0" fillId="0" borderId="2" xfId="1" applyFont="1" applyBorder="1" applyAlignment="1">
      <alignment horizontal="right"/>
    </xf>
    <xf numFmtId="43" fontId="3" fillId="5" borderId="2" xfId="1" applyFont="1" applyFill="1" applyBorder="1" applyAlignment="1">
      <alignment horizontal="center"/>
    </xf>
    <xf numFmtId="43" fontId="11" fillId="0" borderId="2" xfId="1" applyFont="1" applyBorder="1"/>
    <xf numFmtId="43" fontId="11" fillId="0" borderId="3" xfId="1" applyFont="1" applyBorder="1"/>
    <xf numFmtId="43" fontId="6" fillId="4" borderId="3" xfId="1" applyFont="1" applyFill="1" applyBorder="1" applyAlignment="1">
      <alignment horizontal="center"/>
    </xf>
    <xf numFmtId="43" fontId="10" fillId="0" borderId="0" xfId="1" applyFont="1"/>
    <xf numFmtId="43" fontId="12" fillId="0" borderId="3" xfId="1" applyFont="1" applyBorder="1"/>
    <xf numFmtId="43" fontId="3" fillId="0" borderId="0" xfId="1" applyFont="1" applyFill="1" applyBorder="1" applyAlignment="1">
      <alignment horizontal="center"/>
    </xf>
    <xf numFmtId="43" fontId="0" fillId="4" borderId="2" xfId="1" applyFont="1" applyFill="1" applyBorder="1" applyAlignment="1">
      <alignment horizontal="center"/>
    </xf>
    <xf numFmtId="43" fontId="6" fillId="4" borderId="2" xfId="1" applyFont="1" applyFill="1" applyBorder="1" applyAlignment="1">
      <alignment horizontal="center"/>
    </xf>
    <xf numFmtId="43" fontId="6" fillId="0" borderId="2" xfId="1" applyFont="1" applyBorder="1" applyAlignment="1">
      <alignment horizontal="center"/>
    </xf>
    <xf numFmtId="43" fontId="0" fillId="0" borderId="2" xfId="1" applyFont="1" applyFill="1" applyBorder="1"/>
    <xf numFmtId="43" fontId="0" fillId="0" borderId="0" xfId="1" applyFont="1" applyFill="1"/>
    <xf numFmtId="43" fontId="3" fillId="0" borderId="2" xfId="1" applyFont="1" applyBorder="1" applyAlignment="1">
      <alignment horizontal="center"/>
    </xf>
    <xf numFmtId="43" fontId="0" fillId="0" borderId="0" xfId="1" applyFont="1" applyBorder="1"/>
    <xf numFmtId="43" fontId="3" fillId="4" borderId="2" xfId="1" applyFont="1" applyFill="1" applyBorder="1" applyAlignment="1">
      <alignment horizontal="center"/>
    </xf>
    <xf numFmtId="43" fontId="4" fillId="0" borderId="0" xfId="1" applyFont="1" applyAlignment="1">
      <alignment horizontal="center"/>
    </xf>
    <xf numFmtId="43" fontId="13" fillId="0" borderId="1" xfId="1" applyFont="1" applyFill="1" applyBorder="1"/>
    <xf numFmtId="3" fontId="0" fillId="0" borderId="0" xfId="0" applyNumberFormat="1" applyAlignment="1">
      <alignment horizontal="center"/>
    </xf>
    <xf numFmtId="0" fontId="0" fillId="0" borderId="0" xfId="0" applyAlignment="1">
      <alignment wrapText="1" shrinkToFit="1"/>
    </xf>
    <xf numFmtId="164" fontId="4" fillId="0" borderId="0" xfId="0" applyNumberFormat="1" applyFont="1"/>
    <xf numFmtId="164" fontId="4" fillId="0" borderId="0" xfId="1" applyNumberFormat="1" applyFont="1"/>
    <xf numFmtId="164" fontId="0" fillId="0" borderId="0" xfId="1" applyNumberFormat="1" applyFont="1"/>
    <xf numFmtId="164" fontId="0" fillId="3" borderId="0" xfId="1" applyNumberFormat="1" applyFont="1" applyFill="1"/>
    <xf numFmtId="164" fontId="0" fillId="0" borderId="2" xfId="1" applyNumberFormat="1" applyFont="1" applyBorder="1"/>
    <xf numFmtId="164" fontId="0" fillId="0" borderId="3" xfId="1" applyNumberFormat="1" applyFont="1" applyBorder="1"/>
    <xf numFmtId="3" fontId="3" fillId="4" borderId="3" xfId="0" applyNumberFormat="1" applyFont="1" applyFill="1" applyBorder="1" applyAlignment="1">
      <alignment horizontal="center"/>
    </xf>
    <xf numFmtId="3" fontId="0" fillId="0" borderId="2" xfId="0" applyNumberFormat="1" applyBorder="1"/>
    <xf numFmtId="164" fontId="0" fillId="0" borderId="2" xfId="1" applyNumberFormat="1" applyFont="1" applyBorder="1" applyAlignment="1">
      <alignment horizontal="right"/>
    </xf>
    <xf numFmtId="164" fontId="3" fillId="5" borderId="2" xfId="1" applyNumberFormat="1" applyFont="1" applyFill="1" applyBorder="1"/>
    <xf numFmtId="37" fontId="3" fillId="5" borderId="2" xfId="1" applyNumberFormat="1" applyFont="1" applyFill="1" applyBorder="1" applyAlignment="1">
      <alignment horizontal="center"/>
    </xf>
    <xf numFmtId="0" fontId="3" fillId="0" borderId="0" xfId="0" applyFont="1" applyAlignment="1">
      <alignment wrapText="1" shrinkToFit="1"/>
    </xf>
    <xf numFmtId="164" fontId="7" fillId="0" borderId="2" xfId="0" applyNumberFormat="1" applyFont="1" applyBorder="1"/>
    <xf numFmtId="164" fontId="7" fillId="0" borderId="2" xfId="1" applyNumberFormat="1" applyFont="1" applyBorder="1"/>
    <xf numFmtId="0" fontId="7" fillId="0" borderId="0" xfId="0" applyFont="1" applyAlignment="1">
      <alignment wrapText="1" shrinkToFit="1"/>
    </xf>
    <xf numFmtId="164" fontId="11" fillId="0" borderId="2" xfId="1" applyNumberFormat="1" applyFont="1" applyBorder="1"/>
    <xf numFmtId="164" fontId="11" fillId="0" borderId="3" xfId="1" applyNumberFormat="1" applyFont="1" applyBorder="1"/>
    <xf numFmtId="3" fontId="6" fillId="4" borderId="3" xfId="0" applyNumberFormat="1" applyFont="1" applyFill="1" applyBorder="1" applyAlignment="1">
      <alignment horizontal="center"/>
    </xf>
    <xf numFmtId="0" fontId="10" fillId="0" borderId="0" xfId="0" applyFont="1" applyAlignment="1">
      <alignment wrapText="1" shrinkToFit="1"/>
    </xf>
    <xf numFmtId="3" fontId="10" fillId="0" borderId="0" xfId="0" applyNumberFormat="1" applyFont="1"/>
    <xf numFmtId="164" fontId="12" fillId="0" borderId="2" xfId="1" applyNumberFormat="1" applyFont="1" applyBorder="1"/>
    <xf numFmtId="164" fontId="12" fillId="0" borderId="3" xfId="1" applyNumberFormat="1" applyFont="1" applyBorder="1"/>
    <xf numFmtId="164" fontId="3" fillId="0" borderId="0" xfId="1" applyNumberFormat="1" applyFont="1" applyFill="1" applyBorder="1"/>
    <xf numFmtId="37" fontId="3" fillId="0" borderId="0" xfId="1" applyNumberFormat="1" applyFont="1" applyFill="1" applyBorder="1" applyAlignment="1">
      <alignment horizontal="center"/>
    </xf>
    <xf numFmtId="3" fontId="12" fillId="0" borderId="2" xfId="0" applyNumberFormat="1" applyFont="1" applyBorder="1"/>
    <xf numFmtId="3" fontId="0" fillId="4" borderId="2" xfId="0" applyNumberFormat="1" applyFill="1" applyBorder="1" applyAlignment="1">
      <alignment horizontal="center"/>
    </xf>
    <xf numFmtId="0" fontId="14" fillId="0" borderId="0" xfId="0" applyFont="1" applyAlignment="1">
      <alignment wrapText="1" shrinkToFit="1"/>
    </xf>
    <xf numFmtId="164" fontId="10" fillId="0" borderId="2" xfId="1" applyNumberFormat="1" applyFont="1" applyBorder="1"/>
    <xf numFmtId="3" fontId="6" fillId="4" borderId="2" xfId="0" applyNumberFormat="1" applyFont="1" applyFill="1" applyBorder="1" applyAlignment="1">
      <alignment horizontal="center"/>
    </xf>
    <xf numFmtId="164" fontId="10" fillId="0" borderId="2" xfId="1" applyNumberFormat="1" applyFont="1" applyFill="1" applyBorder="1"/>
    <xf numFmtId="3" fontId="6" fillId="0" borderId="2" xfId="0" applyNumberFormat="1" applyFont="1" applyBorder="1" applyAlignment="1">
      <alignment horizontal="center"/>
    </xf>
    <xf numFmtId="164" fontId="0" fillId="0" borderId="2" xfId="1" applyNumberFormat="1" applyFont="1" applyFill="1" applyBorder="1"/>
    <xf numFmtId="164" fontId="3" fillId="6" borderId="2" xfId="1" applyNumberFormat="1" applyFont="1" applyFill="1" applyBorder="1"/>
    <xf numFmtId="37" fontId="3" fillId="6" borderId="2" xfId="1" applyNumberFormat="1" applyFont="1" applyFill="1" applyBorder="1" applyAlignment="1">
      <alignment horizontal="center"/>
    </xf>
    <xf numFmtId="164" fontId="0" fillId="0" borderId="0" xfId="1" applyNumberFormat="1" applyFont="1" applyFill="1"/>
    <xf numFmtId="3" fontId="3" fillId="0" borderId="2" xfId="0" applyNumberFormat="1" applyFont="1" applyBorder="1" applyAlignment="1">
      <alignment horizontal="center"/>
    </xf>
    <xf numFmtId="164" fontId="0" fillId="0" borderId="0" xfId="1" applyNumberFormat="1" applyFont="1" applyBorder="1"/>
    <xf numFmtId="3" fontId="3" fillId="4" borderId="2" xfId="0" applyNumberFormat="1" applyFont="1" applyFill="1" applyBorder="1" applyAlignment="1">
      <alignment horizontal="center"/>
    </xf>
    <xf numFmtId="164" fontId="0" fillId="0" borderId="0" xfId="0" applyNumberFormat="1"/>
    <xf numFmtId="164" fontId="2" fillId="7" borderId="0" xfId="0" applyNumberFormat="1" applyFont="1" applyFill="1"/>
    <xf numFmtId="3" fontId="4" fillId="0" borderId="0" xfId="0" applyNumberFormat="1" applyFont="1" applyAlignment="1">
      <alignment horizontal="center"/>
    </xf>
    <xf numFmtId="0" fontId="0" fillId="0" borderId="4" xfId="0" applyBorder="1"/>
    <xf numFmtId="0" fontId="3" fillId="5" borderId="4" xfId="0" applyFont="1" applyFill="1" applyBorder="1"/>
    <xf numFmtId="0" fontId="10" fillId="0" borderId="4" xfId="0" applyFont="1" applyBorder="1"/>
    <xf numFmtId="0" fontId="3" fillId="6" borderId="4" xfId="0" applyFont="1" applyFill="1" applyBorder="1"/>
    <xf numFmtId="16" fontId="2" fillId="2" borderId="1" xfId="0" applyNumberFormat="1" applyFont="1" applyFill="1" applyBorder="1" applyAlignment="1">
      <alignment horizontal="center"/>
    </xf>
    <xf numFmtId="17" fontId="5" fillId="2" borderId="1" xfId="0" applyNumberFormat="1" applyFont="1" applyFill="1" applyBorder="1"/>
    <xf numFmtId="3" fontId="4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0" fillId="0" borderId="1" xfId="0" applyBorder="1"/>
    <xf numFmtId="3" fontId="0" fillId="0" borderId="1" xfId="0" applyNumberFormat="1" applyBorder="1" applyAlignment="1">
      <alignment horizontal="center"/>
    </xf>
    <xf numFmtId="164" fontId="4" fillId="0" borderId="1" xfId="0" applyNumberFormat="1" applyFont="1" applyBorder="1"/>
    <xf numFmtId="164" fontId="4" fillId="0" borderId="1" xfId="1" applyNumberFormat="1" applyFont="1" applyBorder="1"/>
    <xf numFmtId="164" fontId="0" fillId="0" borderId="1" xfId="1" applyNumberFormat="1" applyFont="1" applyBorder="1"/>
    <xf numFmtId="0" fontId="0" fillId="3" borderId="1" xfId="0" applyFill="1" applyBorder="1"/>
    <xf numFmtId="164" fontId="0" fillId="3" borderId="1" xfId="1" applyNumberFormat="1" applyFont="1" applyFill="1" applyBorder="1"/>
    <xf numFmtId="3" fontId="3" fillId="4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164" fontId="0" fillId="0" borderId="1" xfId="1" applyNumberFormat="1" applyFont="1" applyBorder="1" applyAlignment="1">
      <alignment horizontal="right"/>
    </xf>
    <xf numFmtId="164" fontId="3" fillId="5" borderId="1" xfId="1" applyNumberFormat="1" applyFont="1" applyFill="1" applyBorder="1"/>
    <xf numFmtId="43" fontId="0" fillId="0" borderId="1" xfId="0" applyNumberFormat="1" applyBorder="1"/>
    <xf numFmtId="0" fontId="2" fillId="2" borderId="5" xfId="0" applyFont="1" applyFill="1" applyBorder="1" applyAlignment="1">
      <alignment horizontal="center"/>
    </xf>
    <xf numFmtId="0" fontId="3" fillId="5" borderId="1" xfId="0" applyFont="1" applyFill="1" applyBorder="1"/>
    <xf numFmtId="0" fontId="4" fillId="0" borderId="1" xfId="0" applyFont="1" applyBorder="1"/>
    <xf numFmtId="0" fontId="7" fillId="0" borderId="1" xfId="0" applyFont="1" applyBorder="1"/>
    <xf numFmtId="0" fontId="10" fillId="0" borderId="1" xfId="0" applyFont="1" applyBorder="1"/>
    <xf numFmtId="0" fontId="3" fillId="0" borderId="1" xfId="0" applyFont="1" applyBorder="1"/>
    <xf numFmtId="0" fontId="3" fillId="6" borderId="1" xfId="0" applyFont="1" applyFill="1" applyBorder="1"/>
    <xf numFmtId="9" fontId="0" fillId="0" borderId="1" xfId="0" applyNumberFormat="1" applyBorder="1"/>
    <xf numFmtId="0" fontId="11" fillId="0" borderId="6" xfId="0" applyFont="1" applyBorder="1" applyAlignment="1">
      <alignment horizontal="left" indent="1"/>
    </xf>
    <xf numFmtId="0" fontId="10" fillId="0" borderId="3" xfId="0" applyFont="1" applyBorder="1"/>
    <xf numFmtId="0" fontId="9" fillId="0" borderId="1" xfId="0" applyFont="1" applyBorder="1"/>
    <xf numFmtId="0" fontId="8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3" fontId="3" fillId="5" borderId="4" xfId="1" applyFont="1" applyFill="1" applyBorder="1"/>
    <xf numFmtId="43" fontId="3" fillId="6" borderId="4" xfId="1" applyFont="1" applyFill="1" applyBorder="1"/>
    <xf numFmtId="43" fontId="3" fillId="5" borderId="1" xfId="1" applyFont="1" applyFill="1" applyBorder="1"/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IHS/IIH%202025%20Budg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aft Budget"/>
      <sheetName val="Full Year (2025)"/>
      <sheetName val="Quarterly (Q2)"/>
      <sheetName val="Q2 Summary"/>
      <sheetName val="Q2 One-Time VS Recurring Costs"/>
      <sheetName val="Salaries1"/>
      <sheetName val="Others"/>
      <sheetName val="Membership Fees"/>
      <sheetName val="Diesel"/>
      <sheetName val="Salaries"/>
      <sheetName val="Rental, Hosting &amp; Sponsorships"/>
    </sheetNames>
    <sheetDataSet>
      <sheetData sheetId="0"/>
      <sheetData sheetId="1"/>
      <sheetData sheetId="2"/>
      <sheetData sheetId="3"/>
      <sheetData sheetId="4"/>
      <sheetData sheetId="5">
        <row r="19">
          <cell r="E19">
            <v>6418849.8125</v>
          </cell>
          <cell r="F19">
            <v>6659551.8125</v>
          </cell>
          <cell r="H19">
            <v>16040686.791666668</v>
          </cell>
          <cell r="I19">
            <v>16040686.791666668</v>
          </cell>
          <cell r="J19">
            <v>16040686.791666668</v>
          </cell>
          <cell r="K19">
            <v>16040686.791666668</v>
          </cell>
          <cell r="L19">
            <v>16040686.791666668</v>
          </cell>
          <cell r="M19">
            <v>16040686.791666668</v>
          </cell>
          <cell r="N19">
            <v>16040686.791666668</v>
          </cell>
        </row>
        <row r="40">
          <cell r="G40">
            <v>15298344.71875</v>
          </cell>
        </row>
      </sheetData>
      <sheetData sheetId="6">
        <row r="12">
          <cell r="G12">
            <v>250000</v>
          </cell>
          <cell r="H12">
            <v>250000</v>
          </cell>
          <cell r="I12">
            <v>250000</v>
          </cell>
          <cell r="J12">
            <v>250000</v>
          </cell>
          <cell r="K12">
            <v>250000</v>
          </cell>
          <cell r="L12">
            <v>250000</v>
          </cell>
          <cell r="M12">
            <v>250000</v>
          </cell>
          <cell r="N12">
            <v>250000</v>
          </cell>
        </row>
      </sheetData>
      <sheetData sheetId="7"/>
      <sheetData sheetId="8"/>
      <sheetData sheetId="9"/>
      <sheetData sheetId="10">
        <row r="6">
          <cell r="F6">
            <v>0</v>
          </cell>
          <cell r="G6">
            <v>0</v>
          </cell>
          <cell r="H6">
            <v>0</v>
          </cell>
        </row>
        <row r="12">
          <cell r="F12">
            <v>0</v>
          </cell>
          <cell r="G12">
            <v>0</v>
          </cell>
          <cell r="H1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10"/>
  <sheetViews>
    <sheetView topLeftCell="B13" workbookViewId="0">
      <selection activeCell="J23" sqref="J23"/>
    </sheetView>
  </sheetViews>
  <sheetFormatPr defaultColWidth="8.875" defaultRowHeight="14.25"/>
  <cols>
    <col min="1" max="1" width="55.875" customWidth="1"/>
    <col min="2" max="2" width="36.25" customWidth="1"/>
    <col min="3" max="3" width="12.875" customWidth="1"/>
    <col min="4" max="4" width="14.75" customWidth="1"/>
    <col min="5" max="5" width="14.875" customWidth="1"/>
    <col min="6" max="13" width="14.375" customWidth="1"/>
    <col min="14" max="14" width="23.75" style="65" customWidth="1"/>
    <col min="15" max="15" width="38.375" style="66" customWidth="1"/>
    <col min="16" max="16" width="10" bestFit="1" customWidth="1"/>
  </cols>
  <sheetData>
    <row r="2" spans="1:16" ht="15">
      <c r="A2" s="1" t="s">
        <v>0</v>
      </c>
      <c r="B2" s="1" t="s">
        <v>1</v>
      </c>
      <c r="C2" s="2"/>
      <c r="D2" s="3">
        <v>45741</v>
      </c>
      <c r="E2" s="4">
        <v>45748</v>
      </c>
      <c r="F2" s="4">
        <v>45778</v>
      </c>
      <c r="G2" s="4">
        <v>45809</v>
      </c>
      <c r="H2" s="4">
        <v>45863</v>
      </c>
      <c r="I2" s="4">
        <v>45894</v>
      </c>
      <c r="J2" s="4">
        <v>45925</v>
      </c>
      <c r="K2" s="4">
        <v>45955</v>
      </c>
      <c r="L2" s="4">
        <v>45986</v>
      </c>
      <c r="M2" s="4">
        <v>46016</v>
      </c>
      <c r="N2" s="5" t="s">
        <v>2</v>
      </c>
      <c r="O2" s="6" t="s">
        <v>3</v>
      </c>
      <c r="P2" s="5" t="s">
        <v>4</v>
      </c>
    </row>
    <row r="3" spans="1:16" ht="15">
      <c r="A3" s="7"/>
      <c r="B3" s="7"/>
      <c r="C3" s="7"/>
      <c r="D3" s="7"/>
    </row>
    <row r="4" spans="1:16" ht="15">
      <c r="A4" s="144" t="s">
        <v>5</v>
      </c>
      <c r="B4" s="144"/>
      <c r="C4" s="7"/>
      <c r="D4" s="7"/>
      <c r="E4" s="67" t="e">
        <f>#REF!/3</f>
        <v>#REF!</v>
      </c>
    </row>
    <row r="5" spans="1:16" ht="15">
      <c r="A5" s="7"/>
      <c r="B5" s="7"/>
      <c r="C5" s="7"/>
      <c r="D5" s="7"/>
      <c r="E5" s="68" t="e">
        <f>E4*3</f>
        <v>#REF!</v>
      </c>
      <c r="F5" s="69"/>
      <c r="G5" s="69"/>
      <c r="H5" s="69"/>
      <c r="I5" s="69"/>
      <c r="J5" s="69"/>
      <c r="K5" s="69"/>
      <c r="L5" s="69"/>
      <c r="M5" s="69"/>
    </row>
    <row r="6" spans="1:16">
      <c r="A6" s="9"/>
      <c r="B6" s="9"/>
      <c r="C6" s="9"/>
      <c r="D6" s="9"/>
      <c r="E6" s="70"/>
      <c r="F6" s="70"/>
      <c r="G6" s="70"/>
      <c r="H6" s="70"/>
      <c r="I6" s="70"/>
      <c r="J6" s="70"/>
      <c r="K6" s="70"/>
      <c r="L6" s="70"/>
      <c r="M6" s="70"/>
      <c r="N6" s="70"/>
    </row>
    <row r="7" spans="1:16" ht="15">
      <c r="A7" s="11" t="s">
        <v>6</v>
      </c>
      <c r="B7" s="10" t="s">
        <v>7</v>
      </c>
      <c r="C7" s="10"/>
      <c r="D7" s="10"/>
      <c r="E7" s="71"/>
      <c r="F7" s="71"/>
      <c r="G7" s="71"/>
      <c r="H7" s="72"/>
      <c r="I7" s="72"/>
      <c r="J7" s="72"/>
      <c r="K7" s="72"/>
      <c r="L7" s="72"/>
      <c r="M7" s="72"/>
      <c r="N7" s="73">
        <f>SUM(E7:G7)</f>
        <v>0</v>
      </c>
    </row>
    <row r="8" spans="1:16" ht="15">
      <c r="A8" s="11" t="s">
        <v>8</v>
      </c>
      <c r="B8" s="10" t="s">
        <v>9</v>
      </c>
      <c r="C8" s="10"/>
      <c r="D8" s="74">
        <v>6908850</v>
      </c>
      <c r="F8" s="75">
        <v>133916648</v>
      </c>
      <c r="G8" s="71"/>
      <c r="H8" s="71">
        <f>104296540-C16</f>
        <v>85159576.379999995</v>
      </c>
      <c r="I8" s="72"/>
      <c r="K8" s="71">
        <f>100000000+C16</f>
        <v>119136963.62</v>
      </c>
      <c r="L8" s="72"/>
      <c r="M8" s="72"/>
      <c r="N8" s="73">
        <f>SUM(D8:M8)</f>
        <v>345122038</v>
      </c>
    </row>
    <row r="9" spans="1:16" ht="15">
      <c r="A9" s="11" t="s">
        <v>10</v>
      </c>
      <c r="B9" s="10" t="s">
        <v>11</v>
      </c>
      <c r="C9" s="10"/>
      <c r="D9" s="10"/>
      <c r="E9" s="71"/>
      <c r="F9" s="71"/>
      <c r="G9" s="71"/>
      <c r="H9" s="72"/>
      <c r="I9" s="72"/>
      <c r="J9" s="72"/>
      <c r="K9" s="72"/>
      <c r="L9" s="72"/>
      <c r="M9" s="72"/>
      <c r="N9" s="73">
        <f>SUM(E9:G9)</f>
        <v>0</v>
      </c>
    </row>
    <row r="10" spans="1:16" ht="15">
      <c r="A10" s="11" t="s">
        <v>12</v>
      </c>
      <c r="B10" s="10" t="s">
        <v>13</v>
      </c>
      <c r="C10" s="10"/>
      <c r="D10" s="10"/>
      <c r="E10" s="71"/>
      <c r="F10" s="71"/>
      <c r="G10" s="71"/>
      <c r="H10" s="72"/>
      <c r="I10" s="72"/>
      <c r="J10" s="72"/>
      <c r="K10" s="72"/>
      <c r="L10" s="72"/>
      <c r="M10" s="72"/>
      <c r="N10" s="73">
        <f>SUM(E10:G10)</f>
        <v>0</v>
      </c>
    </row>
    <row r="11" spans="1:16" ht="15">
      <c r="A11" s="11" t="s">
        <v>14</v>
      </c>
      <c r="B11" s="10" t="s">
        <v>15</v>
      </c>
      <c r="C11" s="10"/>
      <c r="D11" s="10"/>
      <c r="E11" s="71">
        <f>'[1]Rental, Hosting &amp; Sponsorships'!F12</f>
        <v>0</v>
      </c>
      <c r="F11" s="71">
        <f>'[1]Rental, Hosting &amp; Sponsorships'!G12</f>
        <v>0</v>
      </c>
      <c r="G11" s="71">
        <f>'[1]Rental, Hosting &amp; Sponsorships'!H12</f>
        <v>0</v>
      </c>
      <c r="H11" s="72"/>
      <c r="I11" s="72"/>
      <c r="J11" s="72"/>
      <c r="K11" s="72"/>
      <c r="L11" s="72"/>
      <c r="M11" s="72"/>
      <c r="N11" s="73">
        <f>SUM(E11:G11)</f>
        <v>0</v>
      </c>
    </row>
    <row r="12" spans="1:16" ht="15">
      <c r="A12" s="11" t="s">
        <v>16</v>
      </c>
      <c r="B12" s="10"/>
      <c r="C12" s="10"/>
      <c r="D12" s="10"/>
      <c r="E12" s="71">
        <f>'[1]Rental, Hosting &amp; Sponsorships'!F6</f>
        <v>0</v>
      </c>
      <c r="F12" s="71">
        <f>'[1]Rental, Hosting &amp; Sponsorships'!G6</f>
        <v>0</v>
      </c>
      <c r="G12" s="71">
        <f>'[1]Rental, Hosting &amp; Sponsorships'!H6</f>
        <v>0</v>
      </c>
      <c r="H12" s="72"/>
      <c r="I12" s="72"/>
      <c r="J12" s="72"/>
      <c r="K12" s="72"/>
      <c r="L12" s="72"/>
      <c r="M12" s="72"/>
      <c r="N12" s="73">
        <f>SUM(E12:G12)</f>
        <v>0</v>
      </c>
    </row>
    <row r="13" spans="1:16" ht="15">
      <c r="A13" s="11" t="s">
        <v>17</v>
      </c>
      <c r="B13" s="10" t="s">
        <v>18</v>
      </c>
      <c r="C13" s="10"/>
      <c r="D13" s="10"/>
      <c r="E13" s="71"/>
      <c r="F13" s="71"/>
      <c r="G13" s="71"/>
      <c r="H13" s="72"/>
      <c r="I13" s="72"/>
      <c r="J13" s="72"/>
      <c r="K13" s="72"/>
      <c r="L13" s="72"/>
      <c r="M13" s="72"/>
      <c r="N13" s="73">
        <f>SUM(E13:G13)</f>
        <v>0</v>
      </c>
    </row>
    <row r="14" spans="1:16" s="13" customFormat="1" ht="15">
      <c r="A14" s="12"/>
      <c r="B14" s="12"/>
      <c r="C14" s="12"/>
      <c r="D14" s="76">
        <f t="shared" ref="D14:M14" si="0">SUM(D6:D13)</f>
        <v>6908850</v>
      </c>
      <c r="E14" s="76">
        <f t="shared" si="0"/>
        <v>0</v>
      </c>
      <c r="F14" s="76">
        <f t="shared" si="0"/>
        <v>133916648</v>
      </c>
      <c r="G14" s="76">
        <f t="shared" si="0"/>
        <v>0</v>
      </c>
      <c r="H14" s="76">
        <f t="shared" si="0"/>
        <v>85159576.379999995</v>
      </c>
      <c r="I14" s="76">
        <f t="shared" si="0"/>
        <v>0</v>
      </c>
      <c r="J14" s="76">
        <f t="shared" si="0"/>
        <v>0</v>
      </c>
      <c r="K14" s="76">
        <f t="shared" si="0"/>
        <v>119136963.62</v>
      </c>
      <c r="L14" s="76">
        <f t="shared" si="0"/>
        <v>0</v>
      </c>
      <c r="M14" s="76">
        <f t="shared" si="0"/>
        <v>0</v>
      </c>
      <c r="N14" s="77">
        <f>SUM(N6:N13)</f>
        <v>345122038</v>
      </c>
      <c r="O14" s="78"/>
    </row>
    <row r="15" spans="1:16">
      <c r="E15" s="69"/>
      <c r="F15" s="69"/>
      <c r="G15" s="69"/>
      <c r="H15" s="69"/>
      <c r="I15" s="69"/>
      <c r="J15" s="69"/>
      <c r="K15" s="69"/>
      <c r="L15" s="69"/>
      <c r="M15" s="69"/>
    </row>
    <row r="16" spans="1:16">
      <c r="C16" s="14">
        <v>19136963.620000001</v>
      </c>
      <c r="E16" s="69"/>
      <c r="F16" s="69"/>
      <c r="G16" s="69"/>
      <c r="H16" s="69"/>
      <c r="I16" s="69"/>
      <c r="J16" s="69"/>
      <c r="K16" s="69"/>
      <c r="L16" s="69"/>
      <c r="M16" s="69"/>
    </row>
    <row r="17" spans="1:15">
      <c r="E17" s="69"/>
      <c r="F17" s="69"/>
      <c r="G17" s="69"/>
      <c r="H17" s="69"/>
      <c r="I17" s="69"/>
      <c r="J17" s="69"/>
      <c r="K17" s="69"/>
      <c r="L17" s="69"/>
      <c r="M17" s="69"/>
    </row>
    <row r="18" spans="1:15">
      <c r="A18" s="9"/>
      <c r="B18" s="9"/>
      <c r="C18" s="9"/>
      <c r="D18" s="9"/>
      <c r="E18" s="70"/>
      <c r="F18" s="70"/>
      <c r="G18" s="70"/>
      <c r="H18" s="70"/>
      <c r="I18" s="70"/>
      <c r="J18" s="70"/>
      <c r="K18" s="70"/>
      <c r="L18" s="70"/>
      <c r="M18" s="70"/>
      <c r="N18" s="70"/>
    </row>
    <row r="19" spans="1:15" s="17" customFormat="1" ht="15">
      <c r="A19" s="16" t="s">
        <v>20</v>
      </c>
      <c r="B19" s="15" t="s">
        <v>21</v>
      </c>
      <c r="C19" s="15"/>
      <c r="D19" s="79">
        <f>[1]Salaries1!E19</f>
        <v>6418849.8125</v>
      </c>
      <c r="E19" s="80">
        <f>[1]Salaries1!F19</f>
        <v>6659551.8125</v>
      </c>
      <c r="F19" s="80">
        <f>[1]Salaries1!G40</f>
        <v>15298344.71875</v>
      </c>
      <c r="G19" s="80">
        <f>[1]Salaries1!H19</f>
        <v>16040686.791666668</v>
      </c>
      <c r="H19" s="80">
        <f>[1]Salaries1!I19</f>
        <v>16040686.791666668</v>
      </c>
      <c r="I19" s="80">
        <f>[1]Salaries1!J19</f>
        <v>16040686.791666668</v>
      </c>
      <c r="J19" s="80">
        <f>[1]Salaries1!K19</f>
        <v>16040686.791666668</v>
      </c>
      <c r="K19" s="80">
        <f>[1]Salaries1!L19</f>
        <v>16040686.791666668</v>
      </c>
      <c r="L19" s="80">
        <f>[1]Salaries1!M19</f>
        <v>16040686.791666668</v>
      </c>
      <c r="M19" s="80">
        <f>[1]Salaries1!N19+[1]Salaries1!N19</f>
        <v>32081373.583333336</v>
      </c>
      <c r="N19" s="80">
        <f>SUM(D19:M19)</f>
        <v>156702240.67708337</v>
      </c>
      <c r="O19" s="81"/>
    </row>
    <row r="20" spans="1:15" ht="15">
      <c r="A20" s="18"/>
      <c r="E20" s="69"/>
      <c r="F20" s="69"/>
      <c r="G20" s="69"/>
      <c r="H20" s="69"/>
      <c r="I20" s="69"/>
      <c r="J20" s="69"/>
      <c r="K20" s="69"/>
      <c r="L20" s="69"/>
      <c r="M20" s="69"/>
    </row>
    <row r="21" spans="1:15" ht="15">
      <c r="A21" s="18"/>
      <c r="E21" s="69"/>
      <c r="F21" s="69"/>
      <c r="G21" s="69"/>
      <c r="H21" s="69"/>
      <c r="I21" s="69"/>
      <c r="J21" s="69"/>
      <c r="K21" s="69"/>
      <c r="L21" s="69"/>
      <c r="M21" s="69"/>
    </row>
    <row r="22" spans="1:15">
      <c r="A22" s="19" t="s">
        <v>22</v>
      </c>
      <c r="B22" t="s">
        <v>23</v>
      </c>
      <c r="E22" s="69"/>
      <c r="F22" s="69"/>
      <c r="G22" s="69"/>
      <c r="H22" s="69"/>
      <c r="I22" s="69"/>
      <c r="J22" s="69"/>
      <c r="K22" s="69"/>
      <c r="L22" s="69"/>
      <c r="M22" s="69"/>
    </row>
    <row r="23" spans="1:15" s="22" customFormat="1" ht="15">
      <c r="A23" s="21" t="s">
        <v>24</v>
      </c>
      <c r="B23" s="20"/>
      <c r="C23" s="20"/>
      <c r="D23" s="20"/>
      <c r="E23" s="82"/>
      <c r="F23" s="82">
        <f>1201234*8</f>
        <v>9609872</v>
      </c>
      <c r="G23" s="82"/>
      <c r="H23" s="83"/>
      <c r="I23" s="83"/>
      <c r="J23" s="83"/>
      <c r="K23" s="83"/>
      <c r="L23" s="83"/>
      <c r="M23" s="83"/>
      <c r="N23" s="84">
        <f>SUM(D23:M23)</f>
        <v>9609872</v>
      </c>
      <c r="O23" s="85" t="s">
        <v>86</v>
      </c>
    </row>
    <row r="24" spans="1:15" s="22" customFormat="1" ht="15">
      <c r="A24" s="21" t="s">
        <v>25</v>
      </c>
      <c r="B24" s="20"/>
      <c r="C24" s="20"/>
      <c r="D24" s="20"/>
      <c r="E24" s="82"/>
      <c r="F24" s="86">
        <f>1982000</f>
        <v>1982000</v>
      </c>
      <c r="G24" s="82"/>
      <c r="H24" s="83"/>
      <c r="I24" s="83"/>
      <c r="J24" s="83"/>
      <c r="K24" s="83"/>
      <c r="L24" s="83"/>
      <c r="M24" s="83"/>
      <c r="N24" s="84">
        <f t="shared" ref="N24:N39" si="1">SUM(D24:M24)</f>
        <v>1982000</v>
      </c>
      <c r="O24" s="85" t="s">
        <v>87</v>
      </c>
    </row>
    <row r="25" spans="1:15" s="22" customFormat="1" ht="15">
      <c r="A25" s="21" t="s">
        <v>26</v>
      </c>
      <c r="B25" s="20"/>
      <c r="C25" s="20"/>
      <c r="D25" s="20"/>
      <c r="E25" s="82"/>
      <c r="F25" s="82">
        <f>38000*8</f>
        <v>304000</v>
      </c>
      <c r="G25" s="82"/>
      <c r="H25" s="83"/>
      <c r="I25" s="83"/>
      <c r="J25" s="83"/>
      <c r="K25" s="83"/>
      <c r="L25" s="83"/>
      <c r="M25" s="83"/>
      <c r="N25" s="84">
        <f t="shared" si="1"/>
        <v>304000</v>
      </c>
      <c r="O25" s="85" t="s">
        <v>86</v>
      </c>
    </row>
    <row r="26" spans="1:15" s="22" customFormat="1" ht="15">
      <c r="A26" s="21" t="s">
        <v>27</v>
      </c>
      <c r="B26" s="20"/>
      <c r="C26" s="20"/>
      <c r="D26" s="20"/>
      <c r="E26" s="82"/>
      <c r="F26" s="82">
        <v>679000</v>
      </c>
      <c r="G26" s="82"/>
      <c r="H26" s="83"/>
      <c r="I26" s="83"/>
      <c r="J26" s="83"/>
      <c r="K26" s="83"/>
      <c r="L26" s="83"/>
      <c r="M26" s="83"/>
      <c r="N26" s="84">
        <f t="shared" si="1"/>
        <v>679000</v>
      </c>
      <c r="O26" s="85" t="s">
        <v>88</v>
      </c>
    </row>
    <row r="27" spans="1:15" s="22" customFormat="1" ht="29.25">
      <c r="A27" s="21" t="s">
        <v>28</v>
      </c>
      <c r="B27" s="20"/>
      <c r="C27" s="20"/>
      <c r="D27" s="20"/>
      <c r="E27" s="82"/>
      <c r="F27" s="82">
        <v>200000</v>
      </c>
      <c r="G27" s="82"/>
      <c r="H27" s="83"/>
      <c r="I27" s="83"/>
      <c r="J27" s="83"/>
      <c r="K27" s="83"/>
      <c r="L27" s="83"/>
      <c r="M27" s="83"/>
      <c r="N27" s="84">
        <f t="shared" si="1"/>
        <v>200000</v>
      </c>
      <c r="O27" s="85" t="s">
        <v>89</v>
      </c>
    </row>
    <row r="28" spans="1:15" ht="15">
      <c r="A28" s="23" t="s">
        <v>29</v>
      </c>
      <c r="B28" s="10"/>
      <c r="C28" s="10"/>
      <c r="D28" s="87">
        <v>240000</v>
      </c>
      <c r="E28" s="87">
        <v>240000</v>
      </c>
      <c r="F28" s="87">
        <v>1328000</v>
      </c>
      <c r="G28" s="87">
        <v>1328000</v>
      </c>
      <c r="H28" s="87">
        <v>1328000</v>
      </c>
      <c r="I28" s="87">
        <v>1328000</v>
      </c>
      <c r="J28" s="87">
        <v>1328000</v>
      </c>
      <c r="K28" s="87">
        <v>1328000</v>
      </c>
      <c r="L28" s="87">
        <v>1328000</v>
      </c>
      <c r="M28" s="87">
        <v>1328000</v>
      </c>
      <c r="N28" s="84">
        <f t="shared" si="1"/>
        <v>11104000</v>
      </c>
      <c r="O28" s="66" t="s">
        <v>90</v>
      </c>
    </row>
    <row r="29" spans="1:15" ht="15">
      <c r="A29" s="23" t="s">
        <v>30</v>
      </c>
      <c r="B29" s="10"/>
      <c r="C29" s="10"/>
      <c r="D29" s="10"/>
      <c r="E29" s="87"/>
      <c r="F29" s="87">
        <v>300000</v>
      </c>
      <c r="G29" s="87">
        <v>300000</v>
      </c>
      <c r="H29" s="87">
        <v>300000</v>
      </c>
      <c r="I29" s="87">
        <v>300000</v>
      </c>
      <c r="J29" s="87">
        <v>300000</v>
      </c>
      <c r="K29" s="87">
        <v>300000</v>
      </c>
      <c r="L29" s="87">
        <v>300000</v>
      </c>
      <c r="M29" s="87">
        <v>300000</v>
      </c>
      <c r="N29" s="84">
        <f t="shared" si="1"/>
        <v>2400000</v>
      </c>
    </row>
    <row r="30" spans="1:15" ht="15">
      <c r="A30" s="23" t="s">
        <v>31</v>
      </c>
      <c r="B30" s="10"/>
      <c r="C30" s="10"/>
      <c r="D30" s="10"/>
      <c r="E30" s="87">
        <f>172000+136000+300000+800000+4429000</f>
        <v>5837000</v>
      </c>
      <c r="F30" s="87">
        <v>1500000</v>
      </c>
      <c r="G30" s="87">
        <v>1500000</v>
      </c>
      <c r="H30" s="87">
        <v>1500000</v>
      </c>
      <c r="I30" s="87">
        <v>1500000</v>
      </c>
      <c r="J30" s="87">
        <v>1500000</v>
      </c>
      <c r="K30" s="87">
        <v>1500000</v>
      </c>
      <c r="L30" s="87">
        <v>1500000</v>
      </c>
      <c r="M30" s="87">
        <v>1500000</v>
      </c>
      <c r="N30" s="84">
        <f t="shared" si="1"/>
        <v>17837000</v>
      </c>
      <c r="O30" s="66" t="s">
        <v>91</v>
      </c>
    </row>
    <row r="31" spans="1:15" ht="29.25">
      <c r="A31" s="23" t="s">
        <v>32</v>
      </c>
      <c r="B31" s="10"/>
      <c r="C31" s="10"/>
      <c r="D31" s="10"/>
      <c r="E31" s="87"/>
      <c r="F31" s="87">
        <v>1000000</v>
      </c>
      <c r="G31" s="87">
        <v>1000000</v>
      </c>
      <c r="H31" s="87">
        <v>920000</v>
      </c>
      <c r="I31" s="87">
        <v>920000</v>
      </c>
      <c r="J31" s="87">
        <v>920000</v>
      </c>
      <c r="K31" s="87">
        <v>920000</v>
      </c>
      <c r="L31" s="87">
        <v>920000</v>
      </c>
      <c r="M31" s="87">
        <v>920000</v>
      </c>
      <c r="N31" s="84">
        <f t="shared" si="1"/>
        <v>7520000</v>
      </c>
      <c r="O31" s="66" t="s">
        <v>92</v>
      </c>
    </row>
    <row r="32" spans="1:15" ht="15.6" customHeight="1">
      <c r="A32" s="23" t="s">
        <v>33</v>
      </c>
      <c r="B32" s="10"/>
      <c r="C32" s="10"/>
      <c r="D32" s="10"/>
      <c r="E32" s="87"/>
      <c r="F32" s="87"/>
      <c r="G32" s="87">
        <v>2000000</v>
      </c>
      <c r="H32" s="88"/>
      <c r="I32" s="88"/>
      <c r="J32" s="88">
        <v>2000000</v>
      </c>
      <c r="K32" s="88"/>
      <c r="L32" s="88"/>
      <c r="M32" s="88">
        <v>2000000</v>
      </c>
      <c r="N32" s="84">
        <f t="shared" si="1"/>
        <v>6000000</v>
      </c>
      <c r="O32" s="66" t="s">
        <v>93</v>
      </c>
    </row>
    <row r="33" spans="1:15" ht="15.6" customHeight="1">
      <c r="A33" s="23" t="s">
        <v>34</v>
      </c>
      <c r="B33" s="10"/>
      <c r="C33" s="10"/>
      <c r="D33" s="10"/>
      <c r="E33" s="87"/>
      <c r="F33" s="87"/>
      <c r="G33" s="87"/>
      <c r="H33" s="88"/>
      <c r="I33" s="88"/>
      <c r="J33" s="88"/>
      <c r="K33" s="88"/>
      <c r="L33" s="88"/>
      <c r="M33" s="88"/>
      <c r="N33" s="84">
        <f t="shared" si="1"/>
        <v>0</v>
      </c>
      <c r="O33" s="66" t="s">
        <v>94</v>
      </c>
    </row>
    <row r="34" spans="1:15" ht="15.6" customHeight="1">
      <c r="A34" s="23" t="s">
        <v>35</v>
      </c>
      <c r="B34" s="10"/>
      <c r="C34" s="10"/>
      <c r="D34" s="10"/>
      <c r="E34" s="87"/>
      <c r="F34" s="87">
        <v>250000</v>
      </c>
      <c r="G34" s="87">
        <v>250000</v>
      </c>
      <c r="H34" s="87">
        <v>250000</v>
      </c>
      <c r="I34" s="87">
        <v>250000</v>
      </c>
      <c r="J34" s="87">
        <v>250000</v>
      </c>
      <c r="K34" s="87">
        <v>250000</v>
      </c>
      <c r="L34" s="87">
        <v>250000</v>
      </c>
      <c r="M34" s="87">
        <v>250000</v>
      </c>
      <c r="N34" s="84">
        <f t="shared" si="1"/>
        <v>2000000</v>
      </c>
      <c r="O34" s="66" t="s">
        <v>93</v>
      </c>
    </row>
    <row r="35" spans="1:15" ht="15.6" customHeight="1">
      <c r="A35" s="23" t="s">
        <v>36</v>
      </c>
      <c r="B35" s="10"/>
      <c r="C35" s="10"/>
      <c r="D35" s="10"/>
      <c r="E35" s="87"/>
      <c r="F35" s="87">
        <v>400000</v>
      </c>
      <c r="G35" s="87">
        <v>400000</v>
      </c>
      <c r="H35" s="87">
        <v>400000</v>
      </c>
      <c r="I35" s="87">
        <v>400000</v>
      </c>
      <c r="J35" s="87">
        <v>400000</v>
      </c>
      <c r="K35" s="87">
        <v>400000</v>
      </c>
      <c r="L35" s="87">
        <v>400000</v>
      </c>
      <c r="M35" s="87">
        <v>400000</v>
      </c>
      <c r="N35" s="84">
        <f t="shared" si="1"/>
        <v>3200000</v>
      </c>
      <c r="O35" s="66" t="s">
        <v>93</v>
      </c>
    </row>
    <row r="36" spans="1:15" s="22" customFormat="1" ht="15.6" customHeight="1">
      <c r="A36" s="24" t="s">
        <v>37</v>
      </c>
      <c r="B36" s="20"/>
      <c r="C36" s="20"/>
      <c r="D36" s="20"/>
      <c r="E36" s="82"/>
      <c r="F36" s="82"/>
      <c r="G36" s="82"/>
      <c r="H36" s="83"/>
      <c r="I36" s="83"/>
      <c r="J36" s="83"/>
      <c r="K36" s="83"/>
      <c r="L36" s="83"/>
      <c r="M36" s="83"/>
      <c r="N36" s="84">
        <f t="shared" si="1"/>
        <v>0</v>
      </c>
      <c r="O36" s="85" t="s">
        <v>95</v>
      </c>
    </row>
    <row r="37" spans="1:15" s="22" customFormat="1" ht="15.6" customHeight="1">
      <c r="A37" s="24" t="s">
        <v>38</v>
      </c>
      <c r="B37" s="20"/>
      <c r="C37" s="20"/>
      <c r="D37" s="20"/>
      <c r="E37" s="82"/>
      <c r="F37" s="82"/>
      <c r="G37" s="82"/>
      <c r="H37" s="83"/>
      <c r="I37" s="83"/>
      <c r="J37" s="83"/>
      <c r="K37" s="83"/>
      <c r="L37" s="83"/>
      <c r="M37" s="83"/>
      <c r="N37" s="84">
        <f t="shared" si="1"/>
        <v>0</v>
      </c>
      <c r="O37" s="85" t="s">
        <v>95</v>
      </c>
    </row>
    <row r="38" spans="1:15" ht="15.6" customHeight="1">
      <c r="A38" s="23" t="s">
        <v>39</v>
      </c>
      <c r="B38" s="10"/>
      <c r="C38" s="10"/>
      <c r="D38" s="10"/>
      <c r="E38" s="87">
        <v>3000000</v>
      </c>
      <c r="F38" s="87">
        <v>3000000</v>
      </c>
      <c r="G38" s="87">
        <v>3000000</v>
      </c>
      <c r="H38" s="87">
        <v>3000000</v>
      </c>
      <c r="I38" s="87">
        <v>3000000</v>
      </c>
      <c r="J38" s="87">
        <v>3000000</v>
      </c>
      <c r="K38" s="87">
        <v>3000000</v>
      </c>
      <c r="L38" s="87">
        <v>3000000</v>
      </c>
      <c r="M38" s="87">
        <v>3000000</v>
      </c>
      <c r="N38" s="84">
        <f t="shared" si="1"/>
        <v>27000000</v>
      </c>
      <c r="O38" s="66" t="s">
        <v>96</v>
      </c>
    </row>
    <row r="39" spans="1:15" s="22" customFormat="1" ht="57.95" customHeight="1">
      <c r="A39" s="24" t="s">
        <v>40</v>
      </c>
      <c r="B39" s="20"/>
      <c r="C39" s="20"/>
      <c r="D39" s="20"/>
      <c r="F39" s="82"/>
      <c r="G39" s="82">
        <v>10735000</v>
      </c>
      <c r="H39" s="83"/>
      <c r="I39" s="83"/>
      <c r="J39" s="83"/>
      <c r="K39" s="83"/>
      <c r="L39" s="83"/>
      <c r="M39" s="83"/>
      <c r="N39" s="84">
        <f t="shared" si="1"/>
        <v>10735000</v>
      </c>
      <c r="O39" s="85" t="s">
        <v>97</v>
      </c>
    </row>
    <row r="40" spans="1:15" s="13" customFormat="1" ht="15">
      <c r="A40" s="12"/>
      <c r="B40" s="12"/>
      <c r="C40" s="12"/>
      <c r="D40" s="76">
        <f>SUM(D23:D39)</f>
        <v>240000</v>
      </c>
      <c r="E40" s="76">
        <f>SUM(E23:E39)</f>
        <v>9077000</v>
      </c>
      <c r="F40" s="76">
        <f>SUM(F23:F39)</f>
        <v>20552872</v>
      </c>
      <c r="G40" s="76">
        <f>SUM(G23:G39)</f>
        <v>20513000</v>
      </c>
      <c r="H40" s="76">
        <f t="shared" ref="H40:M40" si="2">SUM(H23:H39)</f>
        <v>7698000</v>
      </c>
      <c r="I40" s="76">
        <f t="shared" si="2"/>
        <v>7698000</v>
      </c>
      <c r="J40" s="76">
        <f t="shared" si="2"/>
        <v>9698000</v>
      </c>
      <c r="K40" s="76">
        <f t="shared" si="2"/>
        <v>7698000</v>
      </c>
      <c r="L40" s="76">
        <f t="shared" si="2"/>
        <v>7698000</v>
      </c>
      <c r="M40" s="76">
        <f t="shared" si="2"/>
        <v>9698000</v>
      </c>
      <c r="N40" s="77">
        <f>SUM(N23:N39)</f>
        <v>100570872</v>
      </c>
      <c r="O40" s="78"/>
    </row>
    <row r="41" spans="1:15" s="13" customFormat="1" ht="15"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90"/>
      <c r="O41" s="78"/>
    </row>
    <row r="42" spans="1:15" ht="15">
      <c r="A42" s="19" t="s">
        <v>41</v>
      </c>
      <c r="B42">
        <v>1.1000000000000001</v>
      </c>
      <c r="E42" s="69"/>
      <c r="F42" s="69"/>
      <c r="G42" s="69"/>
      <c r="H42" s="69"/>
      <c r="I42" s="69"/>
      <c r="J42" s="69"/>
      <c r="K42" s="69"/>
      <c r="L42" s="69"/>
      <c r="M42" s="69"/>
      <c r="O42" s="78" t="s">
        <v>98</v>
      </c>
    </row>
    <row r="43" spans="1:15" ht="28.5">
      <c r="A43" s="25" t="s">
        <v>42</v>
      </c>
      <c r="B43" s="10"/>
      <c r="C43" s="10"/>
      <c r="D43" s="10"/>
      <c r="E43" s="91"/>
      <c r="F43" s="91">
        <v>2251027</v>
      </c>
      <c r="G43" s="91"/>
      <c r="H43" s="91"/>
      <c r="I43" s="91"/>
      <c r="J43" s="91"/>
      <c r="K43" s="91">
        <f>F43*B42</f>
        <v>2476129.7000000002</v>
      </c>
      <c r="L43" s="91"/>
      <c r="M43" s="91"/>
      <c r="N43" s="92">
        <f>SUM(D43:M43)</f>
        <v>4727156.7</v>
      </c>
      <c r="O43" s="66" t="s">
        <v>99</v>
      </c>
    </row>
    <row r="44" spans="1:15" ht="28.5">
      <c r="A44" s="25" t="s">
        <v>43</v>
      </c>
      <c r="B44" s="10"/>
      <c r="C44" s="10"/>
      <c r="D44" s="10"/>
      <c r="E44" s="91"/>
      <c r="F44" s="91">
        <v>5478430</v>
      </c>
      <c r="G44" s="91"/>
      <c r="H44" s="91"/>
      <c r="I44" s="91"/>
      <c r="J44" s="91"/>
      <c r="K44" s="91">
        <f>F44*B42</f>
        <v>6026273.0000000009</v>
      </c>
      <c r="L44" s="91"/>
      <c r="M44" s="91"/>
      <c r="N44" s="92">
        <f t="shared" ref="N44:N50" si="3">SUM(D44:M44)</f>
        <v>11504703</v>
      </c>
      <c r="O44" s="66" t="s">
        <v>99</v>
      </c>
    </row>
    <row r="45" spans="1:15" ht="28.5">
      <c r="A45" s="25" t="s">
        <v>44</v>
      </c>
      <c r="B45" s="10"/>
      <c r="C45" s="10"/>
      <c r="D45" s="10"/>
      <c r="E45" s="91"/>
      <c r="F45" s="91">
        <v>3214346</v>
      </c>
      <c r="G45" s="91"/>
      <c r="H45" s="91"/>
      <c r="I45" s="91"/>
      <c r="J45" s="91"/>
      <c r="K45" s="91">
        <f>F45*B42</f>
        <v>3535780.6</v>
      </c>
      <c r="L45" s="91"/>
      <c r="M45" s="91"/>
      <c r="N45" s="92">
        <f t="shared" si="3"/>
        <v>6750126.5999999996</v>
      </c>
      <c r="O45" s="66" t="s">
        <v>99</v>
      </c>
    </row>
    <row r="46" spans="1:15">
      <c r="A46" s="25" t="s">
        <v>45</v>
      </c>
      <c r="B46" s="10"/>
      <c r="C46" s="10"/>
      <c r="D46" s="10"/>
      <c r="E46" s="91"/>
      <c r="F46" s="91">
        <v>4017435</v>
      </c>
      <c r="G46" s="91"/>
      <c r="H46" s="91"/>
      <c r="I46" s="91"/>
      <c r="J46" s="91"/>
      <c r="K46" s="91">
        <f>F46</f>
        <v>4017435</v>
      </c>
      <c r="L46" s="91"/>
      <c r="M46" s="91"/>
      <c r="N46" s="92">
        <f t="shared" si="3"/>
        <v>8034870</v>
      </c>
      <c r="O46" s="93" t="s">
        <v>100</v>
      </c>
    </row>
    <row r="47" spans="1:15">
      <c r="A47" s="25" t="s">
        <v>46</v>
      </c>
      <c r="B47" s="10"/>
      <c r="C47" s="10"/>
      <c r="D47" s="10"/>
      <c r="E47" s="91"/>
      <c r="F47" s="91">
        <v>548642</v>
      </c>
      <c r="G47" s="91"/>
      <c r="H47" s="91"/>
      <c r="I47" s="91"/>
      <c r="J47" s="91"/>
      <c r="K47" s="91">
        <f>F47</f>
        <v>548642</v>
      </c>
      <c r="L47" s="91"/>
      <c r="M47" s="91"/>
      <c r="N47" s="92">
        <f t="shared" si="3"/>
        <v>1097284</v>
      </c>
      <c r="O47" s="66" t="s">
        <v>101</v>
      </c>
    </row>
    <row r="48" spans="1:15">
      <c r="A48" s="23" t="s">
        <v>47</v>
      </c>
      <c r="B48" s="10"/>
      <c r="C48" s="10"/>
      <c r="D48" s="10"/>
      <c r="E48" s="91"/>
      <c r="F48" s="91"/>
      <c r="G48" s="91">
        <v>750000</v>
      </c>
      <c r="H48" s="91"/>
      <c r="I48" s="91"/>
      <c r="J48" s="91">
        <v>750000</v>
      </c>
      <c r="K48" s="91"/>
      <c r="L48" s="91"/>
      <c r="M48" s="91">
        <v>750000</v>
      </c>
      <c r="N48" s="92">
        <f t="shared" si="3"/>
        <v>2250000</v>
      </c>
      <c r="O48" s="66" t="s">
        <v>102</v>
      </c>
    </row>
    <row r="49" spans="1:15" ht="28.5">
      <c r="A49" s="23" t="s">
        <v>48</v>
      </c>
      <c r="B49" s="10"/>
      <c r="C49" s="10"/>
      <c r="D49" s="10"/>
      <c r="E49" s="91"/>
      <c r="F49" s="91"/>
      <c r="G49" s="91">
        <v>2000000</v>
      </c>
      <c r="H49" s="91"/>
      <c r="I49" s="91"/>
      <c r="J49" s="91">
        <v>2000000</v>
      </c>
      <c r="K49" s="91"/>
      <c r="L49" s="91"/>
      <c r="M49" s="91">
        <v>2000000</v>
      </c>
      <c r="N49" s="92">
        <f t="shared" si="3"/>
        <v>6000000</v>
      </c>
      <c r="O49" s="66" t="s">
        <v>103</v>
      </c>
    </row>
    <row r="50" spans="1:15">
      <c r="A50" s="23" t="s">
        <v>49</v>
      </c>
      <c r="B50" s="10"/>
      <c r="C50" s="10"/>
      <c r="D50" s="10"/>
      <c r="F50" s="91">
        <v>300000</v>
      </c>
      <c r="G50" s="91">
        <v>300000</v>
      </c>
      <c r="H50" s="91">
        <v>300000</v>
      </c>
      <c r="I50" s="91">
        <v>300000</v>
      </c>
      <c r="J50" s="91">
        <v>300000</v>
      </c>
      <c r="K50" s="91">
        <v>300000</v>
      </c>
      <c r="L50" s="91">
        <v>300000</v>
      </c>
      <c r="M50" s="91">
        <v>300000</v>
      </c>
      <c r="N50" s="92">
        <f t="shared" si="3"/>
        <v>2400000</v>
      </c>
      <c r="O50" s="66" t="s">
        <v>104</v>
      </c>
    </row>
    <row r="51" spans="1:15" s="13" customFormat="1" ht="15">
      <c r="A51" s="12"/>
      <c r="B51" s="12"/>
      <c r="C51" s="12"/>
      <c r="D51" s="76">
        <f>SUM(D43:D50)</f>
        <v>0</v>
      </c>
      <c r="E51" s="76">
        <f>SUM(E43:E50)</f>
        <v>0</v>
      </c>
      <c r="F51" s="76">
        <f>SUM(F43:F50)</f>
        <v>15809880</v>
      </c>
      <c r="G51" s="76">
        <f>SUM(G43:G50)</f>
        <v>3050000</v>
      </c>
      <c r="H51" s="76">
        <f t="shared" ref="H51:M51" si="4">SUM(H43:H50)</f>
        <v>300000</v>
      </c>
      <c r="I51" s="76">
        <f t="shared" si="4"/>
        <v>300000</v>
      </c>
      <c r="J51" s="76">
        <f t="shared" si="4"/>
        <v>3050000</v>
      </c>
      <c r="K51" s="76">
        <f t="shared" si="4"/>
        <v>16904260.300000001</v>
      </c>
      <c r="L51" s="76">
        <f t="shared" si="4"/>
        <v>300000</v>
      </c>
      <c r="M51" s="76">
        <f t="shared" si="4"/>
        <v>3050000</v>
      </c>
      <c r="N51" s="77">
        <f>SUM(N43:N50)</f>
        <v>42764140.299999997</v>
      </c>
      <c r="O51" s="78"/>
    </row>
    <row r="52" spans="1:15">
      <c r="E52" s="69"/>
      <c r="F52" s="69"/>
      <c r="G52" s="69"/>
      <c r="H52" s="69"/>
      <c r="I52" s="69"/>
      <c r="J52" s="69"/>
      <c r="K52" s="69"/>
      <c r="L52" s="69"/>
      <c r="M52" s="69"/>
    </row>
    <row r="53" spans="1:15" ht="15">
      <c r="A53" s="13" t="s">
        <v>50</v>
      </c>
      <c r="B53" t="s">
        <v>51</v>
      </c>
      <c r="E53" s="69"/>
      <c r="F53" s="69"/>
      <c r="G53" s="69"/>
      <c r="H53" s="69"/>
      <c r="I53" s="69"/>
      <c r="J53" s="69"/>
      <c r="K53" s="69"/>
      <c r="L53" s="69"/>
      <c r="M53" s="69"/>
    </row>
    <row r="54" spans="1:15" s="22" customFormat="1" ht="43.5">
      <c r="A54" s="24" t="s">
        <v>52</v>
      </c>
      <c r="B54" s="20"/>
      <c r="C54" s="20"/>
      <c r="D54" s="20"/>
      <c r="E54" s="94"/>
      <c r="F54" s="94">
        <f>321528*8</f>
        <v>2572224</v>
      </c>
      <c r="G54" s="94"/>
      <c r="H54" s="94"/>
      <c r="I54" s="94"/>
      <c r="J54" s="94"/>
      <c r="K54" s="94"/>
      <c r="L54" s="94"/>
      <c r="M54" s="94"/>
      <c r="N54" s="95">
        <f>SUM(D54:M54)</f>
        <v>2572224</v>
      </c>
      <c r="O54" s="85" t="s">
        <v>105</v>
      </c>
    </row>
    <row r="55" spans="1:15" s="22" customFormat="1" ht="15">
      <c r="A55" s="21" t="s">
        <v>53</v>
      </c>
      <c r="B55" s="20"/>
      <c r="C55" s="20"/>
      <c r="D55" s="20"/>
      <c r="E55" s="94"/>
      <c r="F55" s="94">
        <f>499200*1.075</f>
        <v>536640</v>
      </c>
      <c r="G55" s="94"/>
      <c r="H55" s="94"/>
      <c r="I55" s="94"/>
      <c r="J55" s="94"/>
      <c r="K55" s="94"/>
      <c r="L55" s="94"/>
      <c r="M55" s="94"/>
      <c r="N55" s="95">
        <f t="shared" ref="N55:N59" si="5">SUM(D55:M55)</f>
        <v>536640</v>
      </c>
      <c r="O55" s="85" t="s">
        <v>86</v>
      </c>
    </row>
    <row r="56" spans="1:15" ht="29.25">
      <c r="A56" s="21" t="s">
        <v>54</v>
      </c>
      <c r="B56" s="10"/>
      <c r="C56" s="10"/>
      <c r="D56" s="10"/>
      <c r="E56" s="71"/>
      <c r="F56" s="94">
        <f>402202*8</f>
        <v>3217616</v>
      </c>
      <c r="G56" s="71"/>
      <c r="H56" s="71"/>
      <c r="I56" s="71"/>
      <c r="J56" s="71"/>
      <c r="K56" s="71"/>
      <c r="L56" s="71"/>
      <c r="M56" s="71"/>
      <c r="N56" s="95">
        <f t="shared" si="5"/>
        <v>3217616</v>
      </c>
      <c r="O56" s="66" t="s">
        <v>106</v>
      </c>
    </row>
    <row r="57" spans="1:15" s="22" customFormat="1" ht="15">
      <c r="A57" s="21" t="s">
        <v>55</v>
      </c>
      <c r="B57" s="20"/>
      <c r="C57" s="20"/>
      <c r="D57" s="20"/>
      <c r="E57" s="94"/>
      <c r="F57" s="86">
        <v>526622</v>
      </c>
      <c r="G57" s="94"/>
      <c r="H57" s="94"/>
      <c r="I57" s="94"/>
      <c r="J57" s="94"/>
      <c r="K57" s="94"/>
      <c r="L57" s="94"/>
      <c r="M57" s="94"/>
      <c r="N57" s="95">
        <f t="shared" si="5"/>
        <v>526622</v>
      </c>
      <c r="O57" s="85" t="s">
        <v>86</v>
      </c>
    </row>
    <row r="58" spans="1:15" s="22" customFormat="1" ht="15">
      <c r="A58" s="21" t="s">
        <v>56</v>
      </c>
      <c r="B58" s="20"/>
      <c r="C58" s="20"/>
      <c r="D58" s="10"/>
      <c r="E58" s="71"/>
      <c r="F58" s="86">
        <v>6491523</v>
      </c>
      <c r="G58" s="71"/>
      <c r="H58" s="94"/>
      <c r="I58" s="94"/>
      <c r="J58" s="94"/>
      <c r="K58" s="94"/>
      <c r="L58" s="94"/>
      <c r="M58" s="94"/>
      <c r="N58" s="95">
        <f t="shared" si="5"/>
        <v>6491523</v>
      </c>
      <c r="O58" s="85" t="s">
        <v>107</v>
      </c>
    </row>
    <row r="59" spans="1:15" s="22" customFormat="1" ht="15">
      <c r="A59" s="21" t="s">
        <v>57</v>
      </c>
      <c r="B59" s="20"/>
      <c r="C59" s="20"/>
      <c r="D59" s="10"/>
      <c r="E59" s="71"/>
      <c r="F59" s="86">
        <v>1825000</v>
      </c>
      <c r="G59" s="71"/>
      <c r="H59" s="94"/>
      <c r="I59" s="94"/>
      <c r="J59" s="94"/>
      <c r="K59" s="94"/>
      <c r="L59" s="94"/>
      <c r="M59" s="94"/>
      <c r="N59" s="95">
        <f t="shared" si="5"/>
        <v>1825000</v>
      </c>
      <c r="O59" s="85"/>
    </row>
    <row r="60" spans="1:15" s="13" customFormat="1" ht="15">
      <c r="A60" s="12"/>
      <c r="B60" s="12"/>
      <c r="C60" s="12"/>
      <c r="D60" s="76">
        <f>SUM(D54:D57)</f>
        <v>0</v>
      </c>
      <c r="E60" s="76">
        <f>SUM(E54:E57)</f>
        <v>0</v>
      </c>
      <c r="F60" s="76">
        <f>SUM(F54:F59)</f>
        <v>15169625</v>
      </c>
      <c r="G60" s="76">
        <f>SUM(G54:G58)</f>
        <v>0</v>
      </c>
      <c r="H60" s="76">
        <f t="shared" ref="H60:M60" si="6">SUM(H54:H58)</f>
        <v>0</v>
      </c>
      <c r="I60" s="76">
        <f t="shared" si="6"/>
        <v>0</v>
      </c>
      <c r="J60" s="76">
        <f t="shared" si="6"/>
        <v>0</v>
      </c>
      <c r="K60" s="76">
        <f t="shared" si="6"/>
        <v>0</v>
      </c>
      <c r="L60" s="76">
        <f t="shared" si="6"/>
        <v>0</v>
      </c>
      <c r="M60" s="76">
        <f t="shared" si="6"/>
        <v>0</v>
      </c>
      <c r="N60" s="77">
        <f>SUM(N54:N59)</f>
        <v>15169625</v>
      </c>
      <c r="O60" s="78"/>
    </row>
    <row r="61" spans="1:15">
      <c r="A61" s="26"/>
      <c r="E61" s="69"/>
      <c r="F61" s="69"/>
      <c r="G61" s="69"/>
      <c r="H61" s="69"/>
      <c r="I61" s="69"/>
      <c r="J61" s="69"/>
      <c r="K61" s="69"/>
      <c r="L61" s="69"/>
      <c r="M61" s="69"/>
    </row>
    <row r="62" spans="1:15">
      <c r="E62" s="69"/>
      <c r="F62" s="69"/>
      <c r="G62" s="69"/>
      <c r="H62" s="69"/>
      <c r="I62" s="69"/>
      <c r="J62" s="69"/>
      <c r="K62" s="69"/>
      <c r="L62" s="69"/>
      <c r="M62" s="69"/>
    </row>
    <row r="63" spans="1:15">
      <c r="A63" s="19" t="s">
        <v>58</v>
      </c>
      <c r="B63" t="s">
        <v>59</v>
      </c>
      <c r="E63" s="69"/>
      <c r="F63" s="69"/>
      <c r="G63" s="69"/>
      <c r="H63" s="69"/>
      <c r="I63" s="69"/>
      <c r="J63" s="69"/>
      <c r="K63" s="69"/>
      <c r="L63" s="69"/>
      <c r="M63" s="69"/>
    </row>
    <row r="64" spans="1:15" s="22" customFormat="1" ht="15">
      <c r="A64" s="24" t="s">
        <v>60</v>
      </c>
      <c r="B64" s="20"/>
      <c r="C64" s="20"/>
      <c r="D64" s="20"/>
      <c r="E64" s="96"/>
      <c r="F64" s="96">
        <v>2500000</v>
      </c>
      <c r="G64" s="96"/>
      <c r="H64" s="96"/>
      <c r="I64" s="96"/>
      <c r="J64" s="96"/>
      <c r="K64" s="96"/>
      <c r="L64" s="96"/>
      <c r="M64" s="96"/>
      <c r="N64" s="97">
        <f>SUM(D64:M64)</f>
        <v>2500000</v>
      </c>
      <c r="O64" s="85" t="s">
        <v>108</v>
      </c>
    </row>
    <row r="65" spans="1:15" ht="15">
      <c r="A65" s="25" t="s">
        <v>61</v>
      </c>
      <c r="B65" s="10"/>
      <c r="C65" s="10"/>
      <c r="D65" s="10"/>
      <c r="E65" s="98"/>
      <c r="F65" s="98">
        <v>350000</v>
      </c>
      <c r="G65" s="98">
        <v>350000</v>
      </c>
      <c r="H65" s="98">
        <v>350000</v>
      </c>
      <c r="I65" s="98">
        <v>350000</v>
      </c>
      <c r="J65" s="98">
        <v>350000</v>
      </c>
      <c r="K65" s="98">
        <v>350000</v>
      </c>
      <c r="L65" s="98">
        <v>350000</v>
      </c>
      <c r="M65" s="98">
        <v>350000</v>
      </c>
      <c r="N65" s="97">
        <f t="shared" ref="N65:N69" si="7">SUM(D65:M65)</f>
        <v>2800000</v>
      </c>
      <c r="O65" s="66" t="s">
        <v>109</v>
      </c>
    </row>
    <row r="66" spans="1:15" s="22" customFormat="1" ht="15">
      <c r="A66" s="21" t="s">
        <v>62</v>
      </c>
      <c r="B66" s="20"/>
      <c r="C66" s="20"/>
      <c r="D66" s="20"/>
      <c r="E66" s="96"/>
      <c r="F66" s="96">
        <v>250000</v>
      </c>
      <c r="G66" s="96"/>
      <c r="H66" s="96"/>
      <c r="I66" s="96"/>
      <c r="J66" s="96"/>
      <c r="K66" s="96"/>
      <c r="L66" s="96"/>
      <c r="M66" s="96"/>
      <c r="N66" s="97">
        <f t="shared" si="7"/>
        <v>250000</v>
      </c>
      <c r="O66" s="85" t="s">
        <v>110</v>
      </c>
    </row>
    <row r="67" spans="1:15" s="22" customFormat="1" ht="15">
      <c r="A67" s="21" t="s">
        <v>63</v>
      </c>
      <c r="B67" s="20"/>
      <c r="C67" s="20"/>
      <c r="D67" s="20"/>
      <c r="F67" s="96">
        <v>250000</v>
      </c>
      <c r="G67" s="96"/>
      <c r="H67" s="96"/>
      <c r="I67" s="96"/>
      <c r="J67" s="96"/>
      <c r="K67" s="96"/>
      <c r="L67" s="96"/>
      <c r="M67" s="96"/>
      <c r="N67" s="97">
        <f t="shared" si="7"/>
        <v>250000</v>
      </c>
      <c r="O67" s="85"/>
    </row>
    <row r="68" spans="1:15" ht="15">
      <c r="A68" s="25" t="s">
        <v>64</v>
      </c>
      <c r="B68" s="10"/>
      <c r="C68" s="10"/>
      <c r="D68" s="10"/>
      <c r="E68" s="98"/>
      <c r="F68" s="98">
        <v>250000</v>
      </c>
      <c r="G68" s="98">
        <v>250000</v>
      </c>
      <c r="H68" s="98">
        <v>250000</v>
      </c>
      <c r="I68" s="98">
        <v>250000</v>
      </c>
      <c r="J68" s="98">
        <v>250000</v>
      </c>
      <c r="K68" s="98">
        <v>250000</v>
      </c>
      <c r="L68" s="98">
        <v>250000</v>
      </c>
      <c r="M68" s="98">
        <v>250000</v>
      </c>
      <c r="N68" s="97">
        <f t="shared" si="7"/>
        <v>2000000</v>
      </c>
      <c r="O68" s="66" t="s">
        <v>111</v>
      </c>
    </row>
    <row r="69" spans="1:15" ht="15">
      <c r="A69" s="25" t="s">
        <v>65</v>
      </c>
      <c r="B69" s="10"/>
      <c r="C69" s="10"/>
      <c r="D69" s="10"/>
      <c r="E69" s="98"/>
      <c r="F69" s="98"/>
      <c r="G69" s="98"/>
      <c r="H69" s="98"/>
      <c r="I69" s="98"/>
      <c r="J69" s="98"/>
      <c r="K69" s="98"/>
      <c r="L69" s="98"/>
      <c r="M69" s="98"/>
      <c r="N69" s="97">
        <f t="shared" si="7"/>
        <v>0</v>
      </c>
    </row>
    <row r="70" spans="1:15" s="13" customFormat="1" ht="15">
      <c r="A70" s="27"/>
      <c r="B70" s="27"/>
      <c r="C70" s="27"/>
      <c r="D70" s="99">
        <f>SUM(D64:D68)</f>
        <v>0</v>
      </c>
      <c r="E70" s="99">
        <f>SUM(E64:E68)</f>
        <v>0</v>
      </c>
      <c r="F70" s="99">
        <f>SUM(F64:F68)</f>
        <v>3600000</v>
      </c>
      <c r="G70" s="99">
        <f>SUM(G64:G68)</f>
        <v>600000</v>
      </c>
      <c r="H70" s="99">
        <f t="shared" ref="H70:M70" si="8">SUM(H64:H68)</f>
        <v>600000</v>
      </c>
      <c r="I70" s="99">
        <f t="shared" si="8"/>
        <v>600000</v>
      </c>
      <c r="J70" s="99">
        <f t="shared" si="8"/>
        <v>600000</v>
      </c>
      <c r="K70" s="99">
        <f t="shared" si="8"/>
        <v>600000</v>
      </c>
      <c r="L70" s="99">
        <f t="shared" si="8"/>
        <v>600000</v>
      </c>
      <c r="M70" s="99">
        <f t="shared" si="8"/>
        <v>600000</v>
      </c>
      <c r="N70" s="100">
        <f>SUM(N64:N69)</f>
        <v>7800000</v>
      </c>
      <c r="O70" s="78"/>
    </row>
    <row r="71" spans="1:15">
      <c r="E71" s="101"/>
      <c r="F71" s="101"/>
      <c r="G71" s="101"/>
      <c r="H71" s="101"/>
      <c r="I71" s="101"/>
      <c r="J71" s="101"/>
      <c r="K71" s="101"/>
      <c r="L71" s="101"/>
      <c r="M71" s="101"/>
    </row>
    <row r="72" spans="1:15" ht="15">
      <c r="A72" s="13" t="s">
        <v>66</v>
      </c>
      <c r="B72" t="s">
        <v>67</v>
      </c>
      <c r="E72" s="101"/>
      <c r="F72" s="101"/>
      <c r="G72" s="101"/>
      <c r="H72" s="101"/>
      <c r="I72" s="101"/>
      <c r="J72" s="101"/>
      <c r="K72" s="101"/>
      <c r="L72" s="101"/>
      <c r="M72" s="101"/>
    </row>
    <row r="73" spans="1:15" ht="15">
      <c r="A73" s="23" t="s">
        <v>68</v>
      </c>
      <c r="B73" s="10"/>
      <c r="C73" s="10"/>
      <c r="D73" s="10"/>
      <c r="E73" s="98"/>
      <c r="F73" s="98">
        <v>150000</v>
      </c>
      <c r="G73" s="98">
        <v>150000</v>
      </c>
      <c r="H73" s="98">
        <v>150000</v>
      </c>
      <c r="I73" s="98">
        <v>150000</v>
      </c>
      <c r="J73" s="98">
        <v>150000</v>
      </c>
      <c r="K73" s="98">
        <v>150000</v>
      </c>
      <c r="L73" s="98">
        <v>150000</v>
      </c>
      <c r="M73" s="98">
        <v>150000</v>
      </c>
      <c r="N73" s="102">
        <f>SUM(D73:M73)</f>
        <v>1200000</v>
      </c>
      <c r="O73" s="66" t="s">
        <v>112</v>
      </c>
    </row>
    <row r="74" spans="1:15" s="22" customFormat="1" ht="15">
      <c r="A74" s="24" t="s">
        <v>69</v>
      </c>
      <c r="B74" s="20"/>
      <c r="C74" s="20"/>
      <c r="D74" s="20"/>
      <c r="E74" s="96"/>
      <c r="F74" s="96">
        <v>500000</v>
      </c>
      <c r="G74" s="96"/>
      <c r="H74" s="96"/>
      <c r="I74" s="96"/>
      <c r="J74" s="96"/>
      <c r="K74" s="96"/>
      <c r="L74" s="96"/>
      <c r="M74" s="96"/>
      <c r="N74" s="102">
        <f>SUM(D74:M74)</f>
        <v>500000</v>
      </c>
      <c r="O74" s="85" t="s">
        <v>113</v>
      </c>
    </row>
    <row r="75" spans="1:15" s="13" customFormat="1" ht="15">
      <c r="A75" s="12"/>
      <c r="B75" s="12"/>
      <c r="C75" s="12"/>
      <c r="D75" s="76">
        <f t="shared" ref="D75:E75" si="9">SUM(D73:D74)</f>
        <v>0</v>
      </c>
      <c r="E75" s="76">
        <f t="shared" si="9"/>
        <v>0</v>
      </c>
      <c r="F75" s="76">
        <f>SUM(F73:F74)</f>
        <v>650000</v>
      </c>
      <c r="G75" s="76">
        <f>SUM(G73:G74)</f>
        <v>150000</v>
      </c>
      <c r="H75" s="76">
        <f t="shared" ref="H75:M75" si="10">SUM(H73:H74)</f>
        <v>150000</v>
      </c>
      <c r="I75" s="76">
        <f t="shared" si="10"/>
        <v>150000</v>
      </c>
      <c r="J75" s="76">
        <f t="shared" si="10"/>
        <v>150000</v>
      </c>
      <c r="K75" s="76">
        <f t="shared" si="10"/>
        <v>150000</v>
      </c>
      <c r="L75" s="76">
        <f t="shared" si="10"/>
        <v>150000</v>
      </c>
      <c r="M75" s="76">
        <f t="shared" si="10"/>
        <v>150000</v>
      </c>
      <c r="N75" s="77">
        <f>SUM(N73:N74)</f>
        <v>1700000</v>
      </c>
      <c r="O75" s="78"/>
    </row>
    <row r="76" spans="1:15">
      <c r="A76" s="28"/>
      <c r="E76" s="103"/>
      <c r="F76" s="103"/>
      <c r="G76" s="103"/>
      <c r="H76" s="103"/>
      <c r="I76" s="103"/>
      <c r="J76" s="103"/>
      <c r="K76" s="103"/>
      <c r="L76" s="103"/>
      <c r="M76" s="103"/>
    </row>
    <row r="77" spans="1:15">
      <c r="E77" s="69"/>
      <c r="F77" s="69"/>
      <c r="G77" s="69"/>
      <c r="H77" s="69"/>
      <c r="I77" s="69"/>
      <c r="J77" s="69"/>
      <c r="K77" s="69"/>
      <c r="L77" s="69"/>
      <c r="M77" s="69"/>
    </row>
    <row r="78" spans="1:15" s="13" customFormat="1" ht="15">
      <c r="A78" s="12" t="s">
        <v>70</v>
      </c>
      <c r="B78" s="12"/>
      <c r="C78" s="12"/>
      <c r="D78" s="76">
        <f t="shared" ref="D78:M78" si="11">SUM(D75,D70,D60,D51,D40,D19)</f>
        <v>6658849.8125</v>
      </c>
      <c r="E78" s="76">
        <f t="shared" si="11"/>
        <v>15736551.8125</v>
      </c>
      <c r="F78" s="76">
        <f t="shared" si="11"/>
        <v>71080721.71875</v>
      </c>
      <c r="G78" s="76">
        <f t="shared" si="11"/>
        <v>40353686.791666672</v>
      </c>
      <c r="H78" s="76">
        <f t="shared" si="11"/>
        <v>24788686.791666668</v>
      </c>
      <c r="I78" s="76">
        <f t="shared" si="11"/>
        <v>24788686.791666668</v>
      </c>
      <c r="J78" s="76">
        <f t="shared" si="11"/>
        <v>29538686.791666668</v>
      </c>
      <c r="K78" s="76">
        <f t="shared" si="11"/>
        <v>41392947.091666669</v>
      </c>
      <c r="L78" s="76">
        <f t="shared" si="11"/>
        <v>24788686.791666668</v>
      </c>
      <c r="M78" s="76">
        <f t="shared" si="11"/>
        <v>45579373.583333336</v>
      </c>
      <c r="N78" s="77">
        <f>SUM(D78:M78)</f>
        <v>324706877.97708333</v>
      </c>
      <c r="O78" s="78"/>
    </row>
    <row r="79" spans="1:15">
      <c r="E79" s="69"/>
      <c r="F79" s="69"/>
      <c r="G79" s="69"/>
      <c r="H79" s="69"/>
      <c r="I79" s="69"/>
      <c r="J79" s="69"/>
      <c r="K79" s="69"/>
      <c r="L79" s="69"/>
      <c r="M79" s="69"/>
    </row>
    <row r="80" spans="1:15">
      <c r="E80" s="69"/>
      <c r="F80" s="69"/>
      <c r="G80" s="69"/>
      <c r="H80" s="69"/>
      <c r="I80" s="69"/>
      <c r="J80" s="69"/>
      <c r="K80" s="69"/>
      <c r="L80" s="69"/>
      <c r="M80" s="69"/>
    </row>
    <row r="81" spans="1:15">
      <c r="E81" s="69"/>
      <c r="F81" s="69"/>
      <c r="G81" s="69"/>
      <c r="H81" s="69"/>
      <c r="I81" s="69"/>
      <c r="J81" s="69"/>
      <c r="K81" s="69"/>
      <c r="L81" s="69"/>
      <c r="M81" s="69"/>
    </row>
    <row r="82" spans="1:15">
      <c r="A82" s="9"/>
      <c r="B82" s="9"/>
      <c r="C82" s="9"/>
      <c r="D82" s="9"/>
      <c r="E82" s="70"/>
      <c r="F82" s="70"/>
      <c r="G82" s="70"/>
      <c r="H82" s="70"/>
      <c r="I82" s="70"/>
      <c r="J82" s="70"/>
      <c r="K82" s="70"/>
      <c r="L82" s="70"/>
      <c r="M82" s="70"/>
      <c r="N82" s="70">
        <f>SUM(E82:G82)</f>
        <v>0</v>
      </c>
    </row>
    <row r="83" spans="1:15" ht="29.25">
      <c r="A83" s="25" t="s">
        <v>71</v>
      </c>
      <c r="B83" s="10"/>
      <c r="C83" s="10"/>
      <c r="D83" s="10"/>
      <c r="E83" s="71"/>
      <c r="N83" s="104">
        <f>SUM(D83:M83)</f>
        <v>0</v>
      </c>
      <c r="O83" s="66" t="s">
        <v>114</v>
      </c>
    </row>
    <row r="84" spans="1:15" ht="43.5">
      <c r="A84" s="25" t="s">
        <v>72</v>
      </c>
      <c r="B84" s="10" t="s">
        <v>73</v>
      </c>
      <c r="C84" s="10"/>
      <c r="D84" s="71">
        <v>250000</v>
      </c>
      <c r="F84" s="71">
        <f>[1]Others!G12</f>
        <v>250000</v>
      </c>
      <c r="G84" s="71">
        <f>[1]Others!H12</f>
        <v>250000</v>
      </c>
      <c r="H84" s="71">
        <f>[1]Others!I12</f>
        <v>250000</v>
      </c>
      <c r="I84" s="71">
        <f>[1]Others!J12</f>
        <v>250000</v>
      </c>
      <c r="J84" s="71">
        <f>[1]Others!K12</f>
        <v>250000</v>
      </c>
      <c r="K84" s="71">
        <f>[1]Others!L12</f>
        <v>250000</v>
      </c>
      <c r="L84" s="71">
        <f>[1]Others!M12</f>
        <v>250000</v>
      </c>
      <c r="M84" s="71">
        <f>[1]Others!N12</f>
        <v>250000</v>
      </c>
      <c r="N84" s="104">
        <f t="shared" ref="N84:N87" si="12">SUM(D84:M84)</f>
        <v>2250000</v>
      </c>
      <c r="O84" s="66" t="s">
        <v>115</v>
      </c>
    </row>
    <row r="85" spans="1:15" ht="27.95" customHeight="1">
      <c r="A85" s="25" t="s">
        <v>74</v>
      </c>
      <c r="B85" s="10"/>
      <c r="C85" s="10"/>
      <c r="D85" s="10"/>
      <c r="E85" s="71"/>
      <c r="F85" s="71">
        <v>200000</v>
      </c>
      <c r="G85" s="71">
        <v>200000</v>
      </c>
      <c r="H85" s="71">
        <v>200000</v>
      </c>
      <c r="I85" s="71">
        <v>200000</v>
      </c>
      <c r="J85" s="71">
        <v>200000</v>
      </c>
      <c r="K85" s="71">
        <v>200000</v>
      </c>
      <c r="L85" s="71">
        <v>200000</v>
      </c>
      <c r="M85" s="71">
        <v>200000</v>
      </c>
      <c r="N85" s="104">
        <f t="shared" si="12"/>
        <v>1600000</v>
      </c>
      <c r="O85" s="66" t="s">
        <v>116</v>
      </c>
    </row>
    <row r="86" spans="1:15" ht="15">
      <c r="A86" s="25" t="s">
        <v>75</v>
      </c>
      <c r="B86" s="10"/>
      <c r="C86" s="10"/>
      <c r="D86" s="10"/>
      <c r="E86" s="71"/>
      <c r="F86" s="71">
        <v>136000</v>
      </c>
      <c r="G86" s="71">
        <v>136000</v>
      </c>
      <c r="H86" s="71">
        <v>136000</v>
      </c>
      <c r="I86" s="71">
        <v>136000</v>
      </c>
      <c r="J86" s="71">
        <v>136000</v>
      </c>
      <c r="K86" s="71">
        <v>136000</v>
      </c>
      <c r="L86" s="71">
        <v>136000</v>
      </c>
      <c r="M86" s="71">
        <v>136000</v>
      </c>
      <c r="N86" s="104">
        <f t="shared" si="12"/>
        <v>1088000</v>
      </c>
      <c r="O86" s="66" t="s">
        <v>117</v>
      </c>
    </row>
    <row r="87" spans="1:15" ht="15">
      <c r="A87" s="25" t="s">
        <v>76</v>
      </c>
      <c r="B87" s="10"/>
      <c r="C87" s="10"/>
      <c r="D87" s="10"/>
      <c r="E87" s="71"/>
      <c r="F87" s="71">
        <v>333333.33333333331</v>
      </c>
      <c r="G87" s="71">
        <v>333333.33333333331</v>
      </c>
      <c r="H87" s="71">
        <v>333333.33333333331</v>
      </c>
      <c r="I87" s="71">
        <v>333333.33333333331</v>
      </c>
      <c r="J87" s="71">
        <v>333333.33333333331</v>
      </c>
      <c r="K87" s="71">
        <v>333333.33333333331</v>
      </c>
      <c r="L87" s="71">
        <v>333333.33333333331</v>
      </c>
      <c r="M87" s="71">
        <v>333333.33333333331</v>
      </c>
      <c r="N87" s="104">
        <f t="shared" si="12"/>
        <v>2666666.6666666665</v>
      </c>
      <c r="O87" s="66" t="s">
        <v>118</v>
      </c>
    </row>
    <row r="88" spans="1:15" s="13" customFormat="1" ht="15">
      <c r="A88" s="12" t="s">
        <v>77</v>
      </c>
      <c r="B88" s="12"/>
      <c r="C88" s="12"/>
      <c r="D88" s="76">
        <f t="shared" ref="D88:E88" si="13">SUM(D84:D87)</f>
        <v>250000</v>
      </c>
      <c r="E88" s="76">
        <f t="shared" si="13"/>
        <v>0</v>
      </c>
      <c r="F88" s="76">
        <f>SUM(F84:F87)</f>
        <v>919333.33333333326</v>
      </c>
      <c r="G88" s="76">
        <f>SUM(G84:G87)</f>
        <v>919333.33333333326</v>
      </c>
      <c r="H88" s="76">
        <f t="shared" ref="H88:M88" si="14">SUM(H84:H87)</f>
        <v>919333.33333333326</v>
      </c>
      <c r="I88" s="76">
        <f t="shared" si="14"/>
        <v>919333.33333333326</v>
      </c>
      <c r="J88" s="76">
        <f t="shared" si="14"/>
        <v>919333.33333333326</v>
      </c>
      <c r="K88" s="76">
        <f t="shared" si="14"/>
        <v>919333.33333333326</v>
      </c>
      <c r="L88" s="76">
        <f t="shared" si="14"/>
        <v>919333.33333333326</v>
      </c>
      <c r="M88" s="76">
        <f t="shared" si="14"/>
        <v>919333.33333333326</v>
      </c>
      <c r="N88" s="77">
        <f>SUM(N83:N87)</f>
        <v>7604666.666666666</v>
      </c>
      <c r="O88" s="78"/>
    </row>
    <row r="89" spans="1:15">
      <c r="E89" s="69"/>
      <c r="F89" s="69"/>
      <c r="G89" s="69"/>
      <c r="H89" s="69"/>
      <c r="I89" s="69"/>
      <c r="J89" s="69"/>
      <c r="K89" s="69"/>
      <c r="L89" s="69"/>
      <c r="M89" s="69"/>
    </row>
    <row r="92" spans="1:15" ht="15">
      <c r="A92" s="8" t="s">
        <v>78</v>
      </c>
      <c r="B92" s="9"/>
      <c r="C92" s="9"/>
      <c r="D92" s="9"/>
      <c r="E92" s="70"/>
      <c r="F92" s="70"/>
      <c r="G92" s="70"/>
      <c r="H92" s="70"/>
      <c r="I92" s="70"/>
      <c r="J92" s="70"/>
      <c r="K92" s="70"/>
      <c r="L92" s="70"/>
      <c r="M92" s="70"/>
      <c r="N92" s="70">
        <f>SUM(E92:G92)</f>
        <v>0</v>
      </c>
    </row>
    <row r="93" spans="1:15" ht="15">
      <c r="A93" s="25" t="s">
        <v>79</v>
      </c>
      <c r="B93" s="10" t="s">
        <v>80</v>
      </c>
      <c r="C93" s="29">
        <v>0.02</v>
      </c>
      <c r="E93" s="71">
        <f t="shared" ref="E93:M93" si="15">E14*$C$93</f>
        <v>0</v>
      </c>
      <c r="F93" s="71">
        <f t="shared" si="15"/>
        <v>2678332.96</v>
      </c>
      <c r="G93" s="71">
        <f t="shared" si="15"/>
        <v>0</v>
      </c>
      <c r="H93" s="71">
        <f t="shared" si="15"/>
        <v>1703191.5275999999</v>
      </c>
      <c r="I93" s="71">
        <f t="shared" si="15"/>
        <v>0</v>
      </c>
      <c r="J93" s="71">
        <f t="shared" si="15"/>
        <v>0</v>
      </c>
      <c r="K93" s="71">
        <f t="shared" si="15"/>
        <v>2382739.2724000001</v>
      </c>
      <c r="L93" s="71">
        <f t="shared" si="15"/>
        <v>0</v>
      </c>
      <c r="M93" s="71">
        <f t="shared" si="15"/>
        <v>0</v>
      </c>
      <c r="N93" s="104">
        <f>SUM(D93:M93)</f>
        <v>6764263.7599999998</v>
      </c>
    </row>
    <row r="94" spans="1:15" ht="15">
      <c r="A94" s="25" t="s">
        <v>81</v>
      </c>
      <c r="B94" s="10" t="s">
        <v>82</v>
      </c>
      <c r="C94" s="29">
        <v>0.02</v>
      </c>
      <c r="E94" s="71"/>
      <c r="F94" s="71">
        <f t="shared" ref="F94:M94" si="16">F78*$C$94</f>
        <v>1421614.434375</v>
      </c>
      <c r="G94" s="71">
        <f t="shared" si="16"/>
        <v>807073.73583333346</v>
      </c>
      <c r="H94" s="71">
        <f t="shared" si="16"/>
        <v>495773.73583333334</v>
      </c>
      <c r="I94" s="71">
        <f t="shared" si="16"/>
        <v>495773.73583333334</v>
      </c>
      <c r="J94" s="71">
        <f t="shared" si="16"/>
        <v>590773.73583333334</v>
      </c>
      <c r="K94" s="71">
        <f t="shared" si="16"/>
        <v>827858.94183333335</v>
      </c>
      <c r="L94" s="71">
        <f t="shared" si="16"/>
        <v>495773.73583333334</v>
      </c>
      <c r="M94" s="71">
        <f t="shared" si="16"/>
        <v>911587.47166666668</v>
      </c>
      <c r="N94" s="104">
        <f>SUM(D94:M94)</f>
        <v>6046229.5270416671</v>
      </c>
    </row>
    <row r="95" spans="1:15" s="13" customFormat="1" ht="15">
      <c r="A95" s="12" t="s">
        <v>83</v>
      </c>
      <c r="B95" s="12"/>
      <c r="C95" s="12"/>
      <c r="D95" s="76">
        <f t="shared" ref="D95:M95" si="17">SUM(D93:D94)</f>
        <v>0</v>
      </c>
      <c r="E95" s="76">
        <f t="shared" si="17"/>
        <v>0</v>
      </c>
      <c r="F95" s="76">
        <f t="shared" si="17"/>
        <v>4099947.3943750001</v>
      </c>
      <c r="G95" s="76">
        <f t="shared" si="17"/>
        <v>807073.73583333346</v>
      </c>
      <c r="H95" s="76">
        <f t="shared" si="17"/>
        <v>2198965.2634333335</v>
      </c>
      <c r="I95" s="76">
        <f t="shared" si="17"/>
        <v>495773.73583333334</v>
      </c>
      <c r="J95" s="76">
        <f t="shared" si="17"/>
        <v>590773.73583333334</v>
      </c>
      <c r="K95" s="76">
        <f t="shared" si="17"/>
        <v>3210598.2142333332</v>
      </c>
      <c r="L95" s="76">
        <f t="shared" si="17"/>
        <v>495773.73583333334</v>
      </c>
      <c r="M95" s="76">
        <f t="shared" si="17"/>
        <v>911587.47166666668</v>
      </c>
      <c r="N95" s="77">
        <f>SUM(D95:M95)</f>
        <v>12810493.287041668</v>
      </c>
      <c r="O95" s="78"/>
    </row>
    <row r="100" spans="1:15" ht="15">
      <c r="A100" s="8" t="s">
        <v>84</v>
      </c>
      <c r="B100" s="9"/>
      <c r="C100" s="9"/>
      <c r="D100" s="9"/>
      <c r="E100" s="70"/>
      <c r="F100" s="70"/>
      <c r="G100" s="70"/>
      <c r="H100" s="70"/>
      <c r="I100" s="70"/>
      <c r="J100" s="70"/>
      <c r="K100" s="70"/>
      <c r="L100" s="70"/>
      <c r="M100" s="70"/>
      <c r="N100" s="70">
        <f>SUM(E100:G100)</f>
        <v>0</v>
      </c>
    </row>
    <row r="101" spans="1:15">
      <c r="A101" t="s">
        <v>19</v>
      </c>
      <c r="D101" s="105">
        <f t="shared" ref="D101:M101" si="18">SUM(D14)</f>
        <v>6908850</v>
      </c>
      <c r="E101" s="105">
        <f t="shared" si="18"/>
        <v>0</v>
      </c>
      <c r="F101" s="105">
        <f t="shared" si="18"/>
        <v>133916648</v>
      </c>
      <c r="G101" s="105">
        <f t="shared" si="18"/>
        <v>0</v>
      </c>
      <c r="H101" s="105">
        <f t="shared" si="18"/>
        <v>85159576.379999995</v>
      </c>
      <c r="I101" s="105">
        <f t="shared" si="18"/>
        <v>0</v>
      </c>
      <c r="J101" s="105">
        <f t="shared" si="18"/>
        <v>0</v>
      </c>
      <c r="K101" s="105">
        <f t="shared" si="18"/>
        <v>119136963.62</v>
      </c>
      <c r="L101" s="105">
        <f t="shared" si="18"/>
        <v>0</v>
      </c>
      <c r="M101" s="105">
        <f t="shared" si="18"/>
        <v>0</v>
      </c>
      <c r="N101" s="105">
        <f>SUM(D101:M101)</f>
        <v>345122038</v>
      </c>
    </row>
    <row r="102" spans="1:15">
      <c r="A102" t="s">
        <v>85</v>
      </c>
      <c r="D102" s="105">
        <f>SUM(D95,D88,D78)</f>
        <v>6908849.8125</v>
      </c>
      <c r="E102" s="105">
        <f>SUM(E95,E88,E78)</f>
        <v>15736551.8125</v>
      </c>
      <c r="F102" s="105">
        <f>SUM(F95,F88,F78)</f>
        <v>76100002.44645834</v>
      </c>
      <c r="G102" s="105">
        <f>SUM(G95,G88,G78)</f>
        <v>42080093.860833339</v>
      </c>
      <c r="H102" s="105">
        <f t="shared" ref="H102:M102" si="19">SUM(H95,H88,H78)</f>
        <v>27906985.388433333</v>
      </c>
      <c r="I102" s="105">
        <f t="shared" si="19"/>
        <v>26203793.860833336</v>
      </c>
      <c r="J102" s="105">
        <f t="shared" si="19"/>
        <v>31048793.860833336</v>
      </c>
      <c r="K102" s="105">
        <f t="shared" si="19"/>
        <v>45522878.639233336</v>
      </c>
      <c r="L102" s="105">
        <f t="shared" si="19"/>
        <v>26203793.860833336</v>
      </c>
      <c r="M102" s="105">
        <f t="shared" si="19"/>
        <v>47410294.388333336</v>
      </c>
      <c r="N102" s="105">
        <f>-SUM(N95,N88,N78)</f>
        <v>-345122037.93079168</v>
      </c>
    </row>
    <row r="103" spans="1:15" s="13" customFormat="1" ht="15">
      <c r="A103" s="30"/>
      <c r="B103" s="30"/>
      <c r="C103" s="30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78"/>
    </row>
    <row r="104" spans="1:15">
      <c r="N104" s="107">
        <f>N102/10</f>
        <v>-34512203.793079168</v>
      </c>
    </row>
    <row r="105" spans="1:15">
      <c r="N105" s="107">
        <f>N104*3</f>
        <v>-103536611.3792375</v>
      </c>
    </row>
    <row r="106" spans="1:15">
      <c r="E106" s="14"/>
      <c r="F106" s="67">
        <f>E102+F102+G102</f>
        <v>133916648.11979169</v>
      </c>
      <c r="G106" s="14"/>
      <c r="H106" s="14"/>
      <c r="I106" s="67">
        <f>H102+I102+J102</f>
        <v>85159573.110100001</v>
      </c>
      <c r="J106" s="14"/>
      <c r="K106" s="14"/>
      <c r="L106" s="67">
        <f>K102+L102+M102</f>
        <v>119136966.8884</v>
      </c>
    </row>
    <row r="107" spans="1:15">
      <c r="E107" s="14"/>
      <c r="F107" s="14"/>
      <c r="G107" s="14"/>
      <c r="H107" s="14"/>
      <c r="I107" s="14"/>
      <c r="J107" s="14"/>
      <c r="K107" s="14"/>
      <c r="L107" s="14"/>
    </row>
    <row r="108" spans="1:15">
      <c r="E108" s="14"/>
      <c r="F108" s="14"/>
      <c r="G108" s="14"/>
      <c r="H108" s="14"/>
      <c r="I108" s="14"/>
      <c r="J108" s="14"/>
      <c r="K108" s="14"/>
      <c r="L108" s="14"/>
    </row>
    <row r="109" spans="1:15">
      <c r="E109" s="14"/>
      <c r="F109" s="14"/>
      <c r="G109" s="14"/>
      <c r="H109" s="14"/>
      <c r="I109" s="67">
        <f>H101-I106</f>
        <v>3.269899994134903</v>
      </c>
      <c r="J109" s="14"/>
      <c r="K109" s="14"/>
      <c r="L109" s="14"/>
    </row>
    <row r="110" spans="1:15">
      <c r="E110" s="14"/>
      <c r="F110" s="14"/>
      <c r="G110" s="14"/>
      <c r="H110" s="14"/>
      <c r="I110" s="14">
        <v>18754227.617499992</v>
      </c>
      <c r="J110" s="14"/>
      <c r="K110" s="14"/>
      <c r="L110" s="14"/>
    </row>
  </sheetData>
  <mergeCells count="1">
    <mergeCell ref="A4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9"/>
  <sheetViews>
    <sheetView topLeftCell="A11" workbookViewId="0">
      <selection activeCell="G22" sqref="G22"/>
    </sheetView>
  </sheetViews>
  <sheetFormatPr defaultColWidth="7.75" defaultRowHeight="14.25"/>
  <cols>
    <col min="1" max="1" width="48.875" customWidth="1"/>
    <col min="2" max="2" width="37.375" bestFit="1" customWidth="1"/>
    <col min="3" max="3" width="11.25" customWidth="1"/>
    <col min="4" max="5" width="14.375" style="35" bestFit="1" customWidth="1"/>
    <col min="6" max="6" width="14.75" style="35" bestFit="1" customWidth="1"/>
    <col min="7" max="7" width="14.375" style="35" bestFit="1" customWidth="1"/>
    <col min="8" max="8" width="13.75" style="35" bestFit="1" customWidth="1"/>
    <col min="9" max="10" width="12.625" style="35" customWidth="1"/>
    <col min="11" max="11" width="14.75" style="35" bestFit="1" customWidth="1"/>
    <col min="12" max="13" width="12.625" style="35" customWidth="1"/>
    <col min="14" max="14" width="20.75" style="43" customWidth="1"/>
    <col min="15" max="15" width="8.75" bestFit="1" customWidth="1"/>
  </cols>
  <sheetData>
    <row r="1" spans="1:16" ht="43.5">
      <c r="A1" s="1" t="s">
        <v>0</v>
      </c>
      <c r="B1" s="1" t="s">
        <v>1</v>
      </c>
      <c r="C1" s="2"/>
      <c r="D1" s="3">
        <v>45741</v>
      </c>
      <c r="E1" s="4">
        <v>45748</v>
      </c>
      <c r="F1" s="4">
        <v>45778</v>
      </c>
      <c r="G1" s="4">
        <v>45809</v>
      </c>
      <c r="H1" s="4">
        <v>45863</v>
      </c>
      <c r="I1" s="4">
        <v>45894</v>
      </c>
      <c r="J1" s="4">
        <v>45925</v>
      </c>
      <c r="K1" s="4">
        <v>45955</v>
      </c>
      <c r="L1" s="4">
        <v>45986</v>
      </c>
      <c r="M1" s="4">
        <v>46016</v>
      </c>
      <c r="N1" s="5" t="s">
        <v>2</v>
      </c>
      <c r="O1" s="6" t="s">
        <v>3</v>
      </c>
      <c r="P1" s="5" t="s">
        <v>4</v>
      </c>
    </row>
    <row r="2" spans="1:16" ht="15">
      <c r="A2" s="7"/>
      <c r="B2" s="7"/>
      <c r="C2" s="7"/>
      <c r="D2" s="31"/>
    </row>
    <row r="3" spans="1:16" ht="15">
      <c r="A3" s="144" t="s">
        <v>5</v>
      </c>
      <c r="B3" s="144"/>
      <c r="C3" s="7"/>
      <c r="D3" s="31"/>
      <c r="E3" s="44" t="e">
        <f>#REF!/3</f>
        <v>#REF!</v>
      </c>
    </row>
    <row r="4" spans="1:16" ht="15">
      <c r="A4" s="7"/>
      <c r="B4" s="7"/>
      <c r="C4" s="7"/>
      <c r="D4" s="31"/>
      <c r="E4" s="44" t="e">
        <f>E3*3</f>
        <v>#REF!</v>
      </c>
    </row>
    <row r="5" spans="1:16">
      <c r="A5" s="9"/>
      <c r="B5" s="9"/>
      <c r="C5" s="9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</row>
    <row r="6" spans="1:16" ht="15">
      <c r="A6" s="11" t="s">
        <v>6</v>
      </c>
      <c r="B6" s="10" t="s">
        <v>7</v>
      </c>
      <c r="C6" s="10"/>
      <c r="D6" s="33"/>
      <c r="E6" s="33"/>
      <c r="F6" s="33"/>
      <c r="G6" s="33"/>
      <c r="H6" s="45"/>
      <c r="I6" s="45"/>
      <c r="J6" s="45"/>
      <c r="K6" s="45"/>
      <c r="L6" s="45"/>
      <c r="M6" s="45"/>
      <c r="N6" s="46">
        <f>SUM(D6:M6)</f>
        <v>0</v>
      </c>
    </row>
    <row r="7" spans="1:16" ht="15">
      <c r="A7" s="11" t="s">
        <v>8</v>
      </c>
      <c r="B7" s="10" t="s">
        <v>9</v>
      </c>
      <c r="C7" s="10"/>
      <c r="D7" s="33">
        <v>6908850</v>
      </c>
      <c r="F7" s="47">
        <v>133916648</v>
      </c>
      <c r="G7" s="33"/>
      <c r="H7" s="33">
        <f>104296540-C15</f>
        <v>85159576.379999995</v>
      </c>
      <c r="I7" s="45"/>
      <c r="K7" s="33">
        <f>100000000+C15</f>
        <v>119136963.62</v>
      </c>
      <c r="L7" s="45"/>
      <c r="M7" s="45"/>
      <c r="N7" s="46">
        <f>SUM(D7:M7)</f>
        <v>345122038</v>
      </c>
    </row>
    <row r="8" spans="1:16" ht="15">
      <c r="A8" s="11" t="s">
        <v>10</v>
      </c>
      <c r="B8" s="10" t="s">
        <v>11</v>
      </c>
      <c r="C8" s="10"/>
      <c r="D8" s="33"/>
      <c r="E8" s="33"/>
      <c r="F8" s="33"/>
      <c r="G8" s="33"/>
      <c r="H8" s="45"/>
      <c r="I8" s="45"/>
      <c r="J8" s="45"/>
      <c r="K8" s="45"/>
      <c r="L8" s="45"/>
      <c r="M8" s="45"/>
      <c r="N8" s="46">
        <f t="shared" ref="N8:N13" si="0">SUM(D8:M8)</f>
        <v>0</v>
      </c>
    </row>
    <row r="9" spans="1:16" ht="15">
      <c r="A9" s="11" t="s">
        <v>12</v>
      </c>
      <c r="B9" s="10" t="s">
        <v>13</v>
      </c>
      <c r="C9" s="10"/>
      <c r="D9" s="33"/>
      <c r="E9" s="33"/>
      <c r="F9" s="33"/>
      <c r="G9" s="33"/>
      <c r="H9" s="45"/>
      <c r="I9" s="45"/>
      <c r="J9" s="45"/>
      <c r="K9" s="45"/>
      <c r="L9" s="45"/>
      <c r="M9" s="45"/>
      <c r="N9" s="46">
        <f t="shared" si="0"/>
        <v>0</v>
      </c>
    </row>
    <row r="10" spans="1:16" ht="15">
      <c r="A10" s="11" t="s">
        <v>14</v>
      </c>
      <c r="B10" s="10" t="s">
        <v>15</v>
      </c>
      <c r="C10" s="10"/>
      <c r="D10" s="33"/>
      <c r="E10" s="33">
        <f>'[1]Rental, Hosting &amp; Sponsorships'!F12</f>
        <v>0</v>
      </c>
      <c r="F10" s="33">
        <f>'[1]Rental, Hosting &amp; Sponsorships'!G12</f>
        <v>0</v>
      </c>
      <c r="G10" s="33">
        <f>'[1]Rental, Hosting &amp; Sponsorships'!H12</f>
        <v>0</v>
      </c>
      <c r="H10" s="45"/>
      <c r="I10" s="45"/>
      <c r="J10" s="45"/>
      <c r="K10" s="45"/>
      <c r="L10" s="45"/>
      <c r="M10" s="45"/>
      <c r="N10" s="46">
        <f t="shared" si="0"/>
        <v>0</v>
      </c>
    </row>
    <row r="11" spans="1:16" ht="15">
      <c r="A11" s="11" t="s">
        <v>16</v>
      </c>
      <c r="B11" s="10"/>
      <c r="C11" s="10"/>
      <c r="D11" s="33"/>
      <c r="E11" s="33">
        <f>'[1]Rental, Hosting &amp; Sponsorships'!F6</f>
        <v>0</v>
      </c>
      <c r="F11" s="33">
        <f>'[1]Rental, Hosting &amp; Sponsorships'!G6</f>
        <v>0</v>
      </c>
      <c r="G11" s="33">
        <f>'[1]Rental, Hosting &amp; Sponsorships'!H6</f>
        <v>0</v>
      </c>
      <c r="H11" s="45"/>
      <c r="I11" s="45"/>
      <c r="J11" s="45"/>
      <c r="K11" s="45"/>
      <c r="L11" s="45"/>
      <c r="M11" s="45"/>
      <c r="N11" s="46">
        <f t="shared" si="0"/>
        <v>0</v>
      </c>
    </row>
    <row r="12" spans="1:16" ht="15">
      <c r="A12" s="11" t="s">
        <v>17</v>
      </c>
      <c r="B12" s="10" t="s">
        <v>18</v>
      </c>
      <c r="C12" s="10"/>
      <c r="D12" s="33"/>
      <c r="E12" s="33"/>
      <c r="F12" s="33"/>
      <c r="G12" s="33"/>
      <c r="H12" s="45"/>
      <c r="I12" s="45"/>
      <c r="J12" s="45"/>
      <c r="K12" s="45"/>
      <c r="L12" s="45"/>
      <c r="M12" s="45"/>
      <c r="N12" s="46">
        <f t="shared" si="0"/>
        <v>0</v>
      </c>
    </row>
    <row r="13" spans="1:16" s="13" customFormat="1" ht="15">
      <c r="A13" s="12"/>
      <c r="B13" s="12"/>
      <c r="C13" s="12"/>
      <c r="D13" s="34">
        <f t="shared" ref="D13:M13" si="1">SUM(D5:D12)</f>
        <v>6908850</v>
      </c>
      <c r="E13" s="34">
        <f t="shared" si="1"/>
        <v>0</v>
      </c>
      <c r="F13" s="34">
        <f t="shared" si="1"/>
        <v>133916648</v>
      </c>
      <c r="G13" s="34">
        <f t="shared" si="1"/>
        <v>0</v>
      </c>
      <c r="H13" s="34">
        <f t="shared" si="1"/>
        <v>85159576.379999995</v>
      </c>
      <c r="I13" s="34">
        <f t="shared" si="1"/>
        <v>0</v>
      </c>
      <c r="J13" s="34">
        <f t="shared" si="1"/>
        <v>0</v>
      </c>
      <c r="K13" s="34">
        <f t="shared" si="1"/>
        <v>119136963.62</v>
      </c>
      <c r="L13" s="34">
        <f t="shared" si="1"/>
        <v>0</v>
      </c>
      <c r="M13" s="34">
        <f t="shared" si="1"/>
        <v>0</v>
      </c>
      <c r="N13" s="46">
        <f t="shared" si="0"/>
        <v>345122038</v>
      </c>
    </row>
    <row r="15" spans="1:16">
      <c r="C15" s="14">
        <v>19136963.620000001</v>
      </c>
    </row>
    <row r="17" spans="1:14">
      <c r="A17" s="9"/>
      <c r="B17" s="9"/>
      <c r="C17" s="9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</row>
    <row r="18" spans="1:14" s="17" customFormat="1" ht="15">
      <c r="A18" s="16" t="s">
        <v>20</v>
      </c>
      <c r="B18" s="15" t="s">
        <v>21</v>
      </c>
      <c r="C18" s="15"/>
      <c r="D18" s="64">
        <v>3722854.37</v>
      </c>
      <c r="E18" s="64">
        <v>3722854.37</v>
      </c>
      <c r="F18" s="64">
        <v>7356317.3300000001</v>
      </c>
      <c r="G18" s="64">
        <v>9973607.4854666665</v>
      </c>
      <c r="H18" s="36"/>
      <c r="I18" s="36"/>
      <c r="J18" s="36"/>
      <c r="K18" s="36"/>
      <c r="L18" s="36"/>
      <c r="M18" s="36"/>
      <c r="N18" s="36">
        <f>SUM(D18:M18)</f>
        <v>24775633.555466667</v>
      </c>
    </row>
    <row r="19" spans="1:14" ht="15">
      <c r="A19" s="18"/>
    </row>
    <row r="20" spans="1:14" ht="15">
      <c r="A20" s="18"/>
    </row>
    <row r="21" spans="1:14">
      <c r="A21" s="19" t="s">
        <v>22</v>
      </c>
      <c r="B21" t="s">
        <v>23</v>
      </c>
    </row>
    <row r="22" spans="1:14" s="22" customFormat="1" ht="15">
      <c r="A22" s="21" t="s">
        <v>24</v>
      </c>
      <c r="B22" s="20"/>
      <c r="C22" s="20"/>
      <c r="D22" s="37"/>
      <c r="E22" s="49"/>
      <c r="F22" s="49"/>
      <c r="G22" s="50">
        <v>2999175.8</v>
      </c>
      <c r="I22" s="50"/>
      <c r="J22" s="50"/>
      <c r="K22" s="50"/>
      <c r="L22" s="50"/>
      <c r="M22" s="50"/>
      <c r="N22" s="51">
        <f>SUM(D22:M22)</f>
        <v>2999175.8</v>
      </c>
    </row>
    <row r="23" spans="1:14" s="22" customFormat="1" ht="15">
      <c r="A23" s="21" t="s">
        <v>25</v>
      </c>
      <c r="B23" s="20"/>
      <c r="C23" s="20"/>
      <c r="D23" s="37"/>
      <c r="E23" s="49"/>
      <c r="F23" s="52"/>
      <c r="H23" s="50"/>
      <c r="I23" s="50"/>
      <c r="J23" s="50"/>
      <c r="K23" s="50"/>
      <c r="L23" s="50"/>
      <c r="M23" s="50"/>
      <c r="N23" s="51">
        <f t="shared" ref="N23:N38" si="2">SUM(D23:M23)</f>
        <v>0</v>
      </c>
    </row>
    <row r="24" spans="1:14" s="22" customFormat="1" ht="15">
      <c r="A24" s="21" t="s">
        <v>26</v>
      </c>
      <c r="B24" s="20"/>
      <c r="C24" s="20"/>
      <c r="D24" s="37"/>
      <c r="E24" s="49"/>
      <c r="F24" s="49"/>
      <c r="G24" s="49"/>
      <c r="H24" s="50"/>
      <c r="I24" s="50"/>
      <c r="J24" s="50"/>
      <c r="K24" s="50"/>
      <c r="L24" s="50"/>
      <c r="M24" s="50"/>
      <c r="N24" s="51">
        <f t="shared" si="2"/>
        <v>0</v>
      </c>
    </row>
    <row r="25" spans="1:14" s="22" customFormat="1" ht="15">
      <c r="A25" s="21" t="s">
        <v>27</v>
      </c>
      <c r="B25" s="20"/>
      <c r="C25" s="20"/>
      <c r="D25" s="37"/>
      <c r="E25" s="49"/>
      <c r="F25" s="49"/>
      <c r="G25" s="49"/>
      <c r="H25" s="50"/>
      <c r="I25" s="50"/>
      <c r="J25" s="50"/>
      <c r="K25" s="50"/>
      <c r="L25" s="50"/>
      <c r="M25" s="50"/>
      <c r="N25" s="51">
        <f t="shared" si="2"/>
        <v>0</v>
      </c>
    </row>
    <row r="26" spans="1:14" s="22" customFormat="1" ht="15">
      <c r="A26" s="21" t="s">
        <v>28</v>
      </c>
      <c r="B26" s="20"/>
      <c r="C26" s="20"/>
      <c r="D26" s="37"/>
      <c r="E26" s="49"/>
      <c r="F26" s="49"/>
      <c r="G26" s="49">
        <v>725000</v>
      </c>
      <c r="H26" s="50"/>
      <c r="I26" s="50"/>
      <c r="J26" s="50"/>
      <c r="K26" s="50"/>
      <c r="L26" s="50"/>
      <c r="M26" s="50"/>
      <c r="N26" s="51">
        <f t="shared" si="2"/>
        <v>725000</v>
      </c>
    </row>
    <row r="27" spans="1:14" ht="15">
      <c r="A27" s="23" t="s">
        <v>29</v>
      </c>
      <c r="B27" s="10"/>
      <c r="C27" s="10"/>
      <c r="D27" s="38">
        <v>240000</v>
      </c>
      <c r="E27" s="38">
        <v>240000</v>
      </c>
      <c r="F27" s="38">
        <v>572000</v>
      </c>
      <c r="G27" s="38">
        <v>852600</v>
      </c>
      <c r="H27" s="38"/>
      <c r="I27" s="38"/>
      <c r="J27" s="38"/>
      <c r="K27" s="38"/>
      <c r="L27" s="38"/>
      <c r="M27" s="38"/>
      <c r="N27" s="51">
        <f t="shared" si="2"/>
        <v>1904600</v>
      </c>
    </row>
    <row r="28" spans="1:14" ht="15">
      <c r="A28" s="23" t="s">
        <v>30</v>
      </c>
      <c r="B28" s="10"/>
      <c r="C28" s="10"/>
      <c r="D28" s="33"/>
      <c r="E28" s="38"/>
      <c r="F28" s="38"/>
      <c r="G28" s="38">
        <v>860000</v>
      </c>
      <c r="H28" s="38"/>
      <c r="I28" s="38"/>
      <c r="J28" s="38"/>
      <c r="K28" s="38"/>
      <c r="L28" s="38"/>
      <c r="M28" s="38"/>
      <c r="N28" s="51">
        <f t="shared" si="2"/>
        <v>860000</v>
      </c>
    </row>
    <row r="29" spans="1:14" ht="15">
      <c r="A29" s="23" t="s">
        <v>31</v>
      </c>
      <c r="B29" s="10"/>
      <c r="C29" s="10"/>
      <c r="D29" s="33"/>
      <c r="E29" s="38"/>
      <c r="F29" s="38"/>
      <c r="G29" s="38">
        <v>1140700</v>
      </c>
      <c r="H29" s="38"/>
      <c r="I29" s="38"/>
      <c r="J29" s="38"/>
      <c r="K29" s="38"/>
      <c r="L29" s="38"/>
      <c r="M29" s="38"/>
      <c r="N29" s="51">
        <f t="shared" si="2"/>
        <v>1140700</v>
      </c>
    </row>
    <row r="30" spans="1:14" ht="15">
      <c r="A30" s="23" t="s">
        <v>32</v>
      </c>
      <c r="B30" s="10"/>
      <c r="C30" s="10"/>
      <c r="D30" s="33"/>
      <c r="E30" s="38"/>
      <c r="F30" s="38"/>
      <c r="G30" s="38">
        <v>250000</v>
      </c>
      <c r="H30" s="38"/>
      <c r="I30" s="38"/>
      <c r="J30" s="38"/>
      <c r="K30" s="38"/>
      <c r="L30" s="38"/>
      <c r="M30" s="38"/>
      <c r="N30" s="51">
        <f t="shared" si="2"/>
        <v>250000</v>
      </c>
    </row>
    <row r="31" spans="1:14" ht="15.6" customHeight="1">
      <c r="A31" s="23" t="s">
        <v>33</v>
      </c>
      <c r="B31" s="10"/>
      <c r="C31" s="10"/>
      <c r="D31" s="33"/>
      <c r="E31" s="38"/>
      <c r="F31" s="38"/>
      <c r="G31" s="38"/>
      <c r="H31" s="53"/>
      <c r="I31" s="53"/>
      <c r="J31" s="53"/>
      <c r="K31" s="53"/>
      <c r="L31" s="53"/>
      <c r="M31" s="53"/>
      <c r="N31" s="51">
        <f t="shared" si="2"/>
        <v>0</v>
      </c>
    </row>
    <row r="32" spans="1:14" ht="15.6" customHeight="1">
      <c r="A32" s="23" t="s">
        <v>34</v>
      </c>
      <c r="B32" s="10"/>
      <c r="C32" s="10"/>
      <c r="D32" s="33"/>
      <c r="E32" s="38"/>
      <c r="F32" s="38"/>
      <c r="G32" s="38"/>
      <c r="H32" s="53"/>
      <c r="I32" s="53"/>
      <c r="J32" s="53"/>
      <c r="K32" s="53"/>
      <c r="L32" s="53"/>
      <c r="M32" s="53"/>
      <c r="N32" s="51">
        <f t="shared" si="2"/>
        <v>0</v>
      </c>
    </row>
    <row r="33" spans="1:14" ht="15.6" customHeight="1">
      <c r="A33" s="23" t="s">
        <v>35</v>
      </c>
      <c r="B33" s="10"/>
      <c r="C33" s="10"/>
      <c r="D33" s="33"/>
      <c r="E33" s="38"/>
      <c r="F33" s="38"/>
      <c r="G33" s="38"/>
      <c r="H33" s="38"/>
      <c r="I33" s="38"/>
      <c r="J33" s="38"/>
      <c r="K33" s="38"/>
      <c r="L33" s="38"/>
      <c r="M33" s="38"/>
      <c r="N33" s="51">
        <f t="shared" si="2"/>
        <v>0</v>
      </c>
    </row>
    <row r="34" spans="1:14" ht="15.6" customHeight="1">
      <c r="A34" s="23" t="s">
        <v>36</v>
      </c>
      <c r="B34" s="10"/>
      <c r="C34" s="10"/>
      <c r="D34" s="33"/>
      <c r="E34" s="38"/>
      <c r="F34" s="38"/>
      <c r="G34" s="38"/>
      <c r="H34" s="38"/>
      <c r="I34" s="38"/>
      <c r="J34" s="38"/>
      <c r="K34" s="38"/>
      <c r="L34" s="38"/>
      <c r="M34" s="38"/>
      <c r="N34" s="51">
        <f t="shared" si="2"/>
        <v>0</v>
      </c>
    </row>
    <row r="35" spans="1:14" s="22" customFormat="1" ht="15.6" customHeight="1">
      <c r="A35" s="24" t="s">
        <v>37</v>
      </c>
      <c r="B35" s="20"/>
      <c r="C35" s="20"/>
      <c r="D35" s="37"/>
      <c r="E35" s="49"/>
      <c r="F35" s="49"/>
      <c r="G35" s="49"/>
      <c r="H35" s="50"/>
      <c r="I35" s="50"/>
      <c r="J35" s="50"/>
      <c r="K35" s="50"/>
      <c r="L35" s="50"/>
      <c r="M35" s="50"/>
      <c r="N35" s="51">
        <f t="shared" si="2"/>
        <v>0</v>
      </c>
    </row>
    <row r="36" spans="1:14" s="22" customFormat="1" ht="15.6" customHeight="1">
      <c r="A36" s="24" t="s">
        <v>38</v>
      </c>
      <c r="B36" s="20"/>
      <c r="C36" s="20"/>
      <c r="D36" s="37"/>
      <c r="E36" s="49"/>
      <c r="F36" s="49"/>
      <c r="G36" s="49"/>
      <c r="H36" s="50"/>
      <c r="I36" s="50"/>
      <c r="J36" s="50"/>
      <c r="K36" s="50"/>
      <c r="L36" s="50"/>
      <c r="M36" s="50"/>
      <c r="N36" s="51">
        <f t="shared" si="2"/>
        <v>0</v>
      </c>
    </row>
    <row r="37" spans="1:14" ht="15.6" customHeight="1">
      <c r="A37" s="23" t="s">
        <v>39</v>
      </c>
      <c r="B37" s="10"/>
      <c r="C37" s="10"/>
      <c r="D37" s="33"/>
      <c r="E37" s="38"/>
      <c r="F37" s="38"/>
      <c r="G37" s="38"/>
      <c r="H37" s="38"/>
      <c r="I37" s="38"/>
      <c r="J37" s="38"/>
      <c r="K37" s="38"/>
      <c r="L37" s="38"/>
      <c r="M37" s="38"/>
      <c r="N37" s="51">
        <f t="shared" si="2"/>
        <v>0</v>
      </c>
    </row>
    <row r="38" spans="1:14" s="22" customFormat="1" ht="57.95" customHeight="1">
      <c r="A38" s="24" t="s">
        <v>40</v>
      </c>
      <c r="B38" s="20"/>
      <c r="C38" s="20"/>
      <c r="D38" s="37"/>
      <c r="E38" s="52"/>
      <c r="F38" s="49"/>
      <c r="G38" s="49">
        <v>1581325</v>
      </c>
      <c r="H38" s="50"/>
      <c r="I38" s="50"/>
      <c r="J38" s="50"/>
      <c r="K38" s="50"/>
      <c r="L38" s="50"/>
      <c r="M38" s="50"/>
      <c r="N38" s="51">
        <f t="shared" si="2"/>
        <v>1581325</v>
      </c>
    </row>
    <row r="39" spans="1:14" s="13" customFormat="1" ht="15">
      <c r="A39" s="12"/>
      <c r="B39" s="12"/>
      <c r="C39" s="12"/>
      <c r="D39" s="34">
        <f t="shared" ref="D39" si="3">SUM(D18:D38)</f>
        <v>3962854.37</v>
      </c>
      <c r="E39" s="34">
        <f t="shared" ref="E39" si="4">SUM(E18:E38)</f>
        <v>3962854.37</v>
      </c>
      <c r="F39" s="34">
        <f t="shared" ref="F39:M39" si="5">SUM(F18:F38)</f>
        <v>7928317.3300000001</v>
      </c>
      <c r="G39" s="34">
        <f t="shared" si="5"/>
        <v>18382408.285466667</v>
      </c>
      <c r="H39" s="34">
        <f t="shared" si="5"/>
        <v>0</v>
      </c>
      <c r="I39" s="34">
        <f t="shared" si="5"/>
        <v>0</v>
      </c>
      <c r="J39" s="34">
        <f t="shared" si="5"/>
        <v>0</v>
      </c>
      <c r="K39" s="34">
        <f t="shared" si="5"/>
        <v>0</v>
      </c>
      <c r="L39" s="34">
        <f t="shared" si="5"/>
        <v>0</v>
      </c>
      <c r="M39" s="34">
        <f t="shared" si="5"/>
        <v>0</v>
      </c>
      <c r="N39" s="48">
        <f>SUM(N18:N38)</f>
        <v>34236434.355466664</v>
      </c>
    </row>
    <row r="40" spans="1:14" s="13" customFormat="1" ht="15"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54"/>
    </row>
    <row r="41" spans="1:14">
      <c r="A41" s="19" t="s">
        <v>41</v>
      </c>
      <c r="B41">
        <v>1.1000000000000001</v>
      </c>
    </row>
    <row r="42" spans="1:14">
      <c r="A42" s="25" t="s">
        <v>42</v>
      </c>
      <c r="B42" s="10"/>
      <c r="C42" s="10"/>
      <c r="D42" s="33"/>
      <c r="E42" s="38"/>
      <c r="F42" s="38"/>
      <c r="G42" s="38"/>
      <c r="H42" s="38"/>
      <c r="I42" s="38"/>
      <c r="J42" s="38"/>
      <c r="K42" s="38"/>
      <c r="L42" s="38"/>
      <c r="M42" s="38"/>
      <c r="N42" s="55">
        <f>SUM(D42:M42)</f>
        <v>0</v>
      </c>
    </row>
    <row r="43" spans="1:14">
      <c r="A43" s="25" t="s">
        <v>43</v>
      </c>
      <c r="B43" s="10"/>
      <c r="C43" s="10"/>
      <c r="D43" s="33"/>
      <c r="E43" s="38"/>
      <c r="F43" s="38"/>
      <c r="G43" s="38"/>
      <c r="H43" s="38"/>
      <c r="I43" s="38"/>
      <c r="J43" s="38"/>
      <c r="K43" s="38"/>
      <c r="L43" s="38"/>
      <c r="M43" s="38"/>
      <c r="N43" s="55">
        <f t="shared" ref="N43:N49" si="6">SUM(D43:M43)</f>
        <v>0</v>
      </c>
    </row>
    <row r="44" spans="1:14">
      <c r="A44" s="25" t="s">
        <v>44</v>
      </c>
      <c r="B44" s="10"/>
      <c r="C44" s="10"/>
      <c r="D44" s="33"/>
      <c r="E44" s="38"/>
      <c r="F44" s="38"/>
      <c r="G44" s="38"/>
      <c r="H44" s="38"/>
      <c r="I44" s="38"/>
      <c r="J44" s="38"/>
      <c r="K44" s="38"/>
      <c r="L44" s="38"/>
      <c r="M44" s="38"/>
      <c r="N44" s="55">
        <f t="shared" si="6"/>
        <v>0</v>
      </c>
    </row>
    <row r="45" spans="1:14">
      <c r="A45" s="25" t="s">
        <v>45</v>
      </c>
      <c r="B45" s="10"/>
      <c r="C45" s="10"/>
      <c r="D45" s="33"/>
      <c r="E45" s="38"/>
      <c r="F45" s="38"/>
      <c r="G45" s="38"/>
      <c r="H45" s="38"/>
      <c r="I45" s="38"/>
      <c r="J45" s="38"/>
      <c r="K45" s="38"/>
      <c r="L45" s="38"/>
      <c r="M45" s="38"/>
      <c r="N45" s="55">
        <f t="shared" si="6"/>
        <v>0</v>
      </c>
    </row>
    <row r="46" spans="1:14">
      <c r="A46" s="25" t="s">
        <v>46</v>
      </c>
      <c r="B46" s="10"/>
      <c r="C46" s="10"/>
      <c r="D46" s="33"/>
      <c r="E46" s="38"/>
      <c r="F46" s="38"/>
      <c r="G46" s="38"/>
      <c r="H46" s="38"/>
      <c r="I46" s="38"/>
      <c r="J46" s="38"/>
      <c r="K46" s="38"/>
      <c r="L46" s="38"/>
      <c r="M46" s="38"/>
      <c r="N46" s="55">
        <f t="shared" si="6"/>
        <v>0</v>
      </c>
    </row>
    <row r="47" spans="1:14">
      <c r="A47" s="23" t="s">
        <v>47</v>
      </c>
      <c r="B47" s="10"/>
      <c r="C47" s="10"/>
      <c r="D47" s="33"/>
      <c r="E47" s="38"/>
      <c r="F47" s="38"/>
      <c r="G47" s="38"/>
      <c r="H47" s="38"/>
      <c r="I47" s="38"/>
      <c r="J47" s="38"/>
      <c r="K47" s="38"/>
      <c r="L47" s="38"/>
      <c r="M47" s="38"/>
      <c r="N47" s="55">
        <f t="shared" si="6"/>
        <v>0</v>
      </c>
    </row>
    <row r="48" spans="1:14">
      <c r="A48" s="23" t="s">
        <v>48</v>
      </c>
      <c r="B48" s="10"/>
      <c r="C48" s="10"/>
      <c r="D48" s="33"/>
      <c r="E48" s="38"/>
      <c r="F48" s="38"/>
      <c r="G48" s="38"/>
      <c r="H48" s="38"/>
      <c r="I48" s="38"/>
      <c r="J48" s="38"/>
      <c r="K48" s="38"/>
      <c r="L48" s="38"/>
      <c r="M48" s="38"/>
      <c r="N48" s="55">
        <f t="shared" si="6"/>
        <v>0</v>
      </c>
    </row>
    <row r="49" spans="1:14">
      <c r="A49" s="23" t="s">
        <v>49</v>
      </c>
      <c r="B49" s="10"/>
      <c r="C49" s="10"/>
      <c r="D49" s="33"/>
      <c r="F49" s="38"/>
      <c r="G49" s="38"/>
      <c r="H49" s="38"/>
      <c r="I49" s="38"/>
      <c r="J49" s="38"/>
      <c r="K49" s="38"/>
      <c r="L49" s="38"/>
      <c r="M49" s="38"/>
      <c r="N49" s="55">
        <f t="shared" si="6"/>
        <v>0</v>
      </c>
    </row>
    <row r="50" spans="1:14" s="13" customFormat="1" ht="15">
      <c r="A50" s="12"/>
      <c r="B50" s="12"/>
      <c r="C50" s="12"/>
      <c r="D50" s="34">
        <f>SUM(D42:D49)</f>
        <v>0</v>
      </c>
      <c r="E50" s="34">
        <f>SUM(E42:E49)</f>
        <v>0</v>
      </c>
      <c r="F50" s="34">
        <f>SUM(F42:F49)</f>
        <v>0</v>
      </c>
      <c r="G50" s="34">
        <f>SUM(G42:G49)</f>
        <v>0</v>
      </c>
      <c r="H50" s="34">
        <f t="shared" ref="H50:M50" si="7">SUM(H42:H49)</f>
        <v>0</v>
      </c>
      <c r="I50" s="34">
        <f t="shared" si="7"/>
        <v>0</v>
      </c>
      <c r="J50" s="34">
        <f t="shared" si="7"/>
        <v>0</v>
      </c>
      <c r="K50" s="34">
        <f t="shared" si="7"/>
        <v>0</v>
      </c>
      <c r="L50" s="34">
        <f t="shared" si="7"/>
        <v>0</v>
      </c>
      <c r="M50" s="34">
        <f t="shared" si="7"/>
        <v>0</v>
      </c>
      <c r="N50" s="48">
        <f>SUM(N42:N49)</f>
        <v>0</v>
      </c>
    </row>
    <row r="52" spans="1:14" ht="15">
      <c r="A52" s="13" t="s">
        <v>50</v>
      </c>
      <c r="B52" t="s">
        <v>51</v>
      </c>
    </row>
    <row r="53" spans="1:14" s="22" customFormat="1" ht="15">
      <c r="A53" s="24" t="s">
        <v>52</v>
      </c>
      <c r="B53" s="20"/>
      <c r="C53" s="20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56">
        <f>SUM(D53:M53)</f>
        <v>0</v>
      </c>
    </row>
    <row r="54" spans="1:14" s="22" customFormat="1" ht="15">
      <c r="A54" s="21" t="s">
        <v>53</v>
      </c>
      <c r="B54" s="20"/>
      <c r="C54" s="20"/>
      <c r="D54" s="37"/>
      <c r="E54" s="37"/>
      <c r="F54" s="37"/>
      <c r="G54" s="58"/>
      <c r="H54" s="37"/>
      <c r="I54" s="37"/>
      <c r="J54" s="37"/>
      <c r="K54" s="37"/>
      <c r="L54" s="37"/>
      <c r="M54" s="37"/>
      <c r="N54" s="56">
        <f t="shared" ref="N54:N58" si="8">SUM(D54:M54)</f>
        <v>0</v>
      </c>
    </row>
    <row r="55" spans="1:14" ht="15">
      <c r="A55" s="21" t="s">
        <v>54</v>
      </c>
      <c r="B55" s="10"/>
      <c r="C55" s="10"/>
      <c r="D55" s="33">
        <v>11610</v>
      </c>
      <c r="E55" s="33">
        <v>11610</v>
      </c>
      <c r="F55" s="37"/>
      <c r="G55" s="58">
        <v>1274798.8</v>
      </c>
      <c r="H55" s="33"/>
      <c r="I55" s="33"/>
      <c r="J55" s="33"/>
      <c r="K55" s="33"/>
      <c r="L55" s="33"/>
      <c r="M55" s="33"/>
      <c r="N55" s="56">
        <f t="shared" si="8"/>
        <v>1298018.8</v>
      </c>
    </row>
    <row r="56" spans="1:14" s="22" customFormat="1" ht="15">
      <c r="A56" s="21" t="s">
        <v>55</v>
      </c>
      <c r="B56" s="20"/>
      <c r="C56" s="20"/>
      <c r="D56" s="37"/>
      <c r="E56" s="37"/>
      <c r="F56" s="52"/>
      <c r="G56" s="58"/>
      <c r="H56" s="37"/>
      <c r="I56" s="37"/>
      <c r="J56" s="37"/>
      <c r="K56" s="37"/>
      <c r="L56" s="37"/>
      <c r="M56" s="37"/>
      <c r="N56" s="56">
        <f t="shared" si="8"/>
        <v>0</v>
      </c>
    </row>
    <row r="57" spans="1:14" s="22" customFormat="1" ht="15">
      <c r="A57" s="21" t="s">
        <v>56</v>
      </c>
      <c r="B57" s="20"/>
      <c r="C57" s="20"/>
      <c r="D57" s="33"/>
      <c r="E57" s="33"/>
      <c r="F57" s="52"/>
      <c r="G57" s="58"/>
      <c r="H57" s="37"/>
      <c r="I57" s="37"/>
      <c r="J57" s="37"/>
      <c r="K57" s="37"/>
      <c r="L57" s="37"/>
      <c r="M57" s="37"/>
      <c r="N57" s="56">
        <f t="shared" si="8"/>
        <v>0</v>
      </c>
    </row>
    <row r="58" spans="1:14" s="22" customFormat="1" ht="15">
      <c r="A58" s="21" t="s">
        <v>57</v>
      </c>
      <c r="B58" s="20"/>
      <c r="C58" s="20"/>
      <c r="D58" s="33"/>
      <c r="E58" s="33"/>
      <c r="F58" s="52"/>
      <c r="G58" s="58">
        <v>2818000</v>
      </c>
      <c r="H58" s="37"/>
      <c r="I58" s="37"/>
      <c r="J58" s="37"/>
      <c r="K58" s="37"/>
      <c r="L58" s="37"/>
      <c r="M58" s="37"/>
      <c r="N58" s="56">
        <f t="shared" si="8"/>
        <v>2818000</v>
      </c>
    </row>
    <row r="59" spans="1:14" s="13" customFormat="1" ht="15">
      <c r="A59" s="12"/>
      <c r="B59" s="12"/>
      <c r="C59" s="12"/>
      <c r="D59" s="34">
        <f>SUM(D53:D58)</f>
        <v>11610</v>
      </c>
      <c r="E59" s="34">
        <f t="shared" ref="E59:M59" si="9">SUM(E53:E58)</f>
        <v>11610</v>
      </c>
      <c r="F59" s="34">
        <f t="shared" si="9"/>
        <v>0</v>
      </c>
      <c r="G59" s="34">
        <f t="shared" si="9"/>
        <v>4092798.8</v>
      </c>
      <c r="H59" s="34">
        <f t="shared" si="9"/>
        <v>0</v>
      </c>
      <c r="I59" s="34">
        <f t="shared" si="9"/>
        <v>0</v>
      </c>
      <c r="J59" s="34">
        <f t="shared" si="9"/>
        <v>0</v>
      </c>
      <c r="K59" s="34">
        <f t="shared" si="9"/>
        <v>0</v>
      </c>
      <c r="L59" s="34">
        <f t="shared" si="9"/>
        <v>0</v>
      </c>
      <c r="M59" s="34">
        <f t="shared" si="9"/>
        <v>0</v>
      </c>
      <c r="N59" s="34">
        <f>SUM(N53:N58)</f>
        <v>4116018.8</v>
      </c>
    </row>
    <row r="60" spans="1:14">
      <c r="A60" s="26"/>
    </row>
    <row r="62" spans="1:14">
      <c r="A62" s="19" t="s">
        <v>58</v>
      </c>
      <c r="B62" t="s">
        <v>59</v>
      </c>
    </row>
    <row r="63" spans="1:14" s="22" customFormat="1" ht="15">
      <c r="A63" s="24" t="s">
        <v>60</v>
      </c>
      <c r="B63" s="20"/>
      <c r="C63" s="20"/>
      <c r="D63" s="37"/>
      <c r="E63" s="42"/>
      <c r="F63" s="42"/>
      <c r="G63" s="58">
        <v>1820000</v>
      </c>
      <c r="H63" s="42"/>
      <c r="I63" s="42"/>
      <c r="J63" s="42"/>
      <c r="K63" s="42"/>
      <c r="L63" s="42"/>
      <c r="M63" s="42"/>
      <c r="N63" s="57">
        <f>SUM(D63:M63)</f>
        <v>1820000</v>
      </c>
    </row>
    <row r="64" spans="1:14" ht="15">
      <c r="A64" s="25" t="s">
        <v>61</v>
      </c>
      <c r="B64" s="10"/>
      <c r="C64" s="10"/>
      <c r="D64" s="33"/>
      <c r="E64" s="58"/>
      <c r="F64" s="58">
        <v>112000</v>
      </c>
      <c r="G64" s="58">
        <v>506200</v>
      </c>
      <c r="H64" s="58"/>
      <c r="I64" s="58"/>
      <c r="J64" s="58"/>
      <c r="K64" s="58"/>
      <c r="L64" s="58"/>
      <c r="M64" s="58"/>
      <c r="N64" s="57">
        <f t="shared" ref="N64:N68" si="10">SUM(D64:M64)</f>
        <v>618200</v>
      </c>
    </row>
    <row r="65" spans="1:14" s="22" customFormat="1" ht="15">
      <c r="A65" s="21" t="s">
        <v>62</v>
      </c>
      <c r="B65" s="20"/>
      <c r="C65" s="20"/>
      <c r="D65" s="37"/>
      <c r="E65" s="42"/>
      <c r="F65" s="42">
        <v>40000</v>
      </c>
      <c r="G65" s="42"/>
      <c r="H65" s="42"/>
      <c r="I65" s="42"/>
      <c r="J65" s="42"/>
      <c r="K65" s="42"/>
      <c r="L65" s="42"/>
      <c r="M65" s="42"/>
      <c r="N65" s="57">
        <f t="shared" si="10"/>
        <v>40000</v>
      </c>
    </row>
    <row r="66" spans="1:14" s="22" customFormat="1" ht="15">
      <c r="A66" s="21" t="s">
        <v>63</v>
      </c>
      <c r="B66" s="20"/>
      <c r="C66" s="20"/>
      <c r="D66" s="37"/>
      <c r="E66" s="52"/>
      <c r="F66" s="42"/>
      <c r="G66" s="42"/>
      <c r="H66" s="42"/>
      <c r="I66" s="42"/>
      <c r="J66" s="42"/>
      <c r="K66" s="42"/>
      <c r="L66" s="42"/>
      <c r="M66" s="42"/>
      <c r="N66" s="57">
        <f t="shared" si="10"/>
        <v>0</v>
      </c>
    </row>
    <row r="67" spans="1:14" ht="15">
      <c r="A67" s="25" t="s">
        <v>64</v>
      </c>
      <c r="B67" s="10"/>
      <c r="C67" s="10"/>
      <c r="D67" s="33"/>
      <c r="E67" s="58"/>
      <c r="F67" s="58"/>
      <c r="G67" s="58"/>
      <c r="H67" s="58"/>
      <c r="I67" s="58"/>
      <c r="J67" s="58"/>
      <c r="K67" s="58"/>
      <c r="L67" s="58"/>
      <c r="M67" s="58"/>
      <c r="N67" s="57">
        <f t="shared" si="10"/>
        <v>0</v>
      </c>
    </row>
    <row r="68" spans="1:14" ht="15">
      <c r="A68" s="25" t="s">
        <v>65</v>
      </c>
      <c r="B68" s="10"/>
      <c r="C68" s="10"/>
      <c r="D68" s="33"/>
      <c r="E68" s="58"/>
      <c r="F68" s="58"/>
      <c r="G68" s="58"/>
      <c r="H68" s="58"/>
      <c r="I68" s="58"/>
      <c r="J68" s="58"/>
      <c r="K68" s="58"/>
      <c r="L68" s="58"/>
      <c r="M68" s="58"/>
      <c r="N68" s="57">
        <f t="shared" si="10"/>
        <v>0</v>
      </c>
    </row>
    <row r="69" spans="1:14" s="13" customFormat="1" ht="15">
      <c r="A69" s="27"/>
      <c r="B69" s="27"/>
      <c r="C69" s="27"/>
      <c r="D69" s="40">
        <f t="shared" ref="D69:N69" si="11">SUM(D63:D67)</f>
        <v>0</v>
      </c>
      <c r="E69" s="40">
        <f t="shared" si="11"/>
        <v>0</v>
      </c>
      <c r="F69" s="40">
        <f t="shared" si="11"/>
        <v>152000</v>
      </c>
      <c r="G69" s="40">
        <f t="shared" si="11"/>
        <v>2326200</v>
      </c>
      <c r="H69" s="40">
        <f t="shared" si="11"/>
        <v>0</v>
      </c>
      <c r="I69" s="40">
        <f t="shared" si="11"/>
        <v>0</v>
      </c>
      <c r="J69" s="40">
        <f t="shared" si="11"/>
        <v>0</v>
      </c>
      <c r="K69" s="40">
        <f t="shared" si="11"/>
        <v>0</v>
      </c>
      <c r="L69" s="40">
        <f t="shared" si="11"/>
        <v>0</v>
      </c>
      <c r="M69" s="40">
        <f t="shared" si="11"/>
        <v>0</v>
      </c>
      <c r="N69" s="40">
        <f t="shared" si="11"/>
        <v>2478200</v>
      </c>
    </row>
    <row r="70" spans="1:14">
      <c r="E70" s="59"/>
      <c r="F70" s="59"/>
      <c r="G70" s="59"/>
      <c r="H70" s="59"/>
      <c r="I70" s="59"/>
      <c r="J70" s="59"/>
      <c r="K70" s="59"/>
      <c r="L70" s="59"/>
      <c r="M70" s="59"/>
    </row>
    <row r="71" spans="1:14" ht="15">
      <c r="A71" s="13" t="s">
        <v>66</v>
      </c>
      <c r="B71" t="s">
        <v>67</v>
      </c>
      <c r="E71" s="59"/>
      <c r="F71" s="59"/>
      <c r="G71" s="59"/>
      <c r="H71" s="59"/>
      <c r="I71" s="59"/>
      <c r="J71" s="59"/>
      <c r="K71" s="59"/>
      <c r="L71" s="59"/>
      <c r="M71" s="59"/>
    </row>
    <row r="72" spans="1:14" ht="15">
      <c r="A72" s="23" t="s">
        <v>68</v>
      </c>
      <c r="B72" s="10"/>
      <c r="C72" s="10"/>
      <c r="D72" s="33"/>
      <c r="E72" s="58"/>
      <c r="F72" s="58"/>
      <c r="G72" s="58">
        <v>937300</v>
      </c>
      <c r="H72" s="58"/>
      <c r="I72" s="58"/>
      <c r="J72" s="58"/>
      <c r="K72" s="58"/>
      <c r="L72" s="58"/>
      <c r="M72" s="58"/>
      <c r="N72" s="60">
        <f>SUM(D72:M72)</f>
        <v>937300</v>
      </c>
    </row>
    <row r="73" spans="1:14" s="22" customFormat="1" ht="15">
      <c r="A73" s="24" t="s">
        <v>69</v>
      </c>
      <c r="B73" s="20"/>
      <c r="C73" s="20"/>
      <c r="D73" s="37"/>
      <c r="E73" s="42"/>
      <c r="F73" s="42">
        <v>460133.75</v>
      </c>
      <c r="G73" s="42"/>
      <c r="H73" s="42"/>
      <c r="I73" s="42"/>
      <c r="J73" s="42"/>
      <c r="K73" s="42"/>
      <c r="L73" s="42"/>
      <c r="M73" s="42"/>
      <c r="N73" s="60">
        <f>SUM(D73:M73)</f>
        <v>460133.75</v>
      </c>
    </row>
    <row r="74" spans="1:14" s="13" customFormat="1" ht="15">
      <c r="A74" s="12"/>
      <c r="B74" s="12"/>
      <c r="C74" s="12"/>
      <c r="D74" s="34">
        <f t="shared" ref="D74:E74" si="12">SUM(D72:D73)</f>
        <v>0</v>
      </c>
      <c r="E74" s="34">
        <f t="shared" si="12"/>
        <v>0</v>
      </c>
      <c r="F74" s="34">
        <f>SUM(F72:F73)</f>
        <v>460133.75</v>
      </c>
      <c r="G74" s="34">
        <f>SUM(G72:G73)</f>
        <v>937300</v>
      </c>
      <c r="H74" s="34">
        <f t="shared" ref="H74:M74" si="13">SUM(H72:H73)</f>
        <v>0</v>
      </c>
      <c r="I74" s="34">
        <f t="shared" si="13"/>
        <v>0</v>
      </c>
      <c r="J74" s="34">
        <f t="shared" si="13"/>
        <v>0</v>
      </c>
      <c r="K74" s="34">
        <f t="shared" si="13"/>
        <v>0</v>
      </c>
      <c r="L74" s="34">
        <f t="shared" si="13"/>
        <v>0</v>
      </c>
      <c r="M74" s="34">
        <f t="shared" si="13"/>
        <v>0</v>
      </c>
      <c r="N74" s="48">
        <f>SUM(N72:N73)</f>
        <v>1397433.75</v>
      </c>
    </row>
    <row r="75" spans="1:14">
      <c r="A75" s="28"/>
      <c r="E75" s="61"/>
      <c r="F75" s="61"/>
      <c r="G75" s="61"/>
      <c r="H75" s="61"/>
      <c r="I75" s="61"/>
      <c r="J75" s="61"/>
      <c r="K75" s="61"/>
      <c r="L75" s="61"/>
      <c r="M75" s="61"/>
    </row>
    <row r="77" spans="1:14" s="13" customFormat="1" ht="15">
      <c r="A77" s="12" t="s">
        <v>70</v>
      </c>
      <c r="B77" s="12"/>
      <c r="C77" s="12"/>
      <c r="D77" s="34">
        <f t="shared" ref="D77:M77" si="14">SUM(D74,D69,D59,D50,D39,D18)</f>
        <v>7697318.7400000002</v>
      </c>
      <c r="E77" s="34">
        <f t="shared" si="14"/>
        <v>7697318.7400000002</v>
      </c>
      <c r="F77" s="34">
        <f t="shared" si="14"/>
        <v>15896768.41</v>
      </c>
      <c r="G77" s="34">
        <f>SUM(G74,G69,G59,G50,G39,G18)</f>
        <v>35712314.570933335</v>
      </c>
      <c r="H77" s="34">
        <f t="shared" si="14"/>
        <v>0</v>
      </c>
      <c r="I77" s="34">
        <f t="shared" si="14"/>
        <v>0</v>
      </c>
      <c r="J77" s="34">
        <f t="shared" si="14"/>
        <v>0</v>
      </c>
      <c r="K77" s="34">
        <f t="shared" si="14"/>
        <v>0</v>
      </c>
      <c r="L77" s="34">
        <f t="shared" si="14"/>
        <v>0</v>
      </c>
      <c r="M77" s="34">
        <f t="shared" si="14"/>
        <v>0</v>
      </c>
      <c r="N77" s="48">
        <f>SUM(D77:M77)</f>
        <v>67003720.460933335</v>
      </c>
    </row>
    <row r="81" spans="1:14">
      <c r="A81" s="9"/>
      <c r="B81" s="9"/>
      <c r="C81" s="9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>
        <f>SUM(E81:G81)</f>
        <v>0</v>
      </c>
    </row>
    <row r="82" spans="1:14" ht="15">
      <c r="A82" s="25" t="s">
        <v>71</v>
      </c>
      <c r="B82" s="10"/>
      <c r="C82" s="10"/>
      <c r="D82" s="33"/>
      <c r="E82" s="33"/>
      <c r="N82" s="62">
        <f>SUM(D82:M82)</f>
        <v>0</v>
      </c>
    </row>
    <row r="83" spans="1:14" ht="15">
      <c r="A83" s="25" t="s">
        <v>72</v>
      </c>
      <c r="B83" s="10" t="s">
        <v>73</v>
      </c>
      <c r="C83" s="10"/>
      <c r="D83" s="33"/>
      <c r="F83" s="33"/>
      <c r="G83" s="33"/>
      <c r="H83" s="33"/>
      <c r="I83" s="33"/>
      <c r="J83" s="33"/>
      <c r="K83" s="33"/>
      <c r="L83" s="33"/>
      <c r="M83" s="33"/>
      <c r="N83" s="62">
        <f t="shared" ref="N83:N86" si="15">SUM(D83:M83)</f>
        <v>0</v>
      </c>
    </row>
    <row r="84" spans="1:14" ht="27.95" customHeight="1">
      <c r="A84" s="25" t="s">
        <v>74</v>
      </c>
      <c r="B84" s="10"/>
      <c r="C84" s="10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62">
        <f t="shared" si="15"/>
        <v>0</v>
      </c>
    </row>
    <row r="85" spans="1:14" ht="15">
      <c r="A85" s="25" t="s">
        <v>75</v>
      </c>
      <c r="B85" s="10"/>
      <c r="C85" s="10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62">
        <f t="shared" si="15"/>
        <v>0</v>
      </c>
    </row>
    <row r="86" spans="1:14" ht="15">
      <c r="A86" s="25" t="s">
        <v>76</v>
      </c>
      <c r="B86" s="10"/>
      <c r="C86" s="10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62">
        <f t="shared" si="15"/>
        <v>0</v>
      </c>
    </row>
    <row r="87" spans="1:14" s="13" customFormat="1" ht="15">
      <c r="A87" s="12" t="s">
        <v>77</v>
      </c>
      <c r="B87" s="12"/>
      <c r="C87" s="12"/>
      <c r="D87" s="34">
        <f t="shared" ref="D87:E87" si="16">SUM(D83:D86)</f>
        <v>0</v>
      </c>
      <c r="E87" s="34">
        <f t="shared" si="16"/>
        <v>0</v>
      </c>
      <c r="F87" s="34">
        <f>SUM(F83:F86)</f>
        <v>0</v>
      </c>
      <c r="G87" s="34">
        <f>SUM(G83:G86)</f>
        <v>0</v>
      </c>
      <c r="H87" s="34">
        <f t="shared" ref="H87:M87" si="17">SUM(H83:H86)</f>
        <v>0</v>
      </c>
      <c r="I87" s="34">
        <f t="shared" si="17"/>
        <v>0</v>
      </c>
      <c r="J87" s="34">
        <f t="shared" si="17"/>
        <v>0</v>
      </c>
      <c r="K87" s="34">
        <f t="shared" si="17"/>
        <v>0</v>
      </c>
      <c r="L87" s="34">
        <f t="shared" si="17"/>
        <v>0</v>
      </c>
      <c r="M87" s="34">
        <f t="shared" si="17"/>
        <v>0</v>
      </c>
      <c r="N87" s="48">
        <f>SUM(N82:N86)</f>
        <v>0</v>
      </c>
    </row>
    <row r="91" spans="1:14" ht="15">
      <c r="A91" s="8" t="s">
        <v>78</v>
      </c>
      <c r="B91" s="9"/>
      <c r="C91" s="9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>
        <f>SUM(E91:G91)</f>
        <v>0</v>
      </c>
    </row>
    <row r="92" spans="1:14" ht="15">
      <c r="A92" s="25" t="s">
        <v>79</v>
      </c>
      <c r="B92" s="10" t="s">
        <v>80</v>
      </c>
      <c r="C92" s="29">
        <v>0.02</v>
      </c>
      <c r="E92" s="33">
        <f t="shared" ref="E92:M92" si="18">E13*$C$92</f>
        <v>0</v>
      </c>
      <c r="F92" s="33">
        <f t="shared" si="18"/>
        <v>2678332.96</v>
      </c>
      <c r="G92" s="33">
        <f t="shared" si="18"/>
        <v>0</v>
      </c>
      <c r="H92" s="33">
        <f t="shared" si="18"/>
        <v>1703191.5275999999</v>
      </c>
      <c r="I92" s="33">
        <f t="shared" si="18"/>
        <v>0</v>
      </c>
      <c r="J92" s="33">
        <f t="shared" si="18"/>
        <v>0</v>
      </c>
      <c r="K92" s="33">
        <f t="shared" si="18"/>
        <v>2382739.2724000001</v>
      </c>
      <c r="L92" s="33">
        <f t="shared" si="18"/>
        <v>0</v>
      </c>
      <c r="M92" s="33">
        <f t="shared" si="18"/>
        <v>0</v>
      </c>
      <c r="N92" s="62">
        <f>SUM(D92:M92)</f>
        <v>6764263.7599999998</v>
      </c>
    </row>
    <row r="93" spans="1:14" ht="15">
      <c r="A93" s="25" t="s">
        <v>81</v>
      </c>
      <c r="B93" s="10" t="s">
        <v>82</v>
      </c>
      <c r="C93" s="29">
        <v>0.02</v>
      </c>
      <c r="E93" s="33"/>
      <c r="F93" s="33">
        <f t="shared" ref="F93:M93" si="19">F77*$C$93</f>
        <v>317935.36820000003</v>
      </c>
      <c r="G93" s="33">
        <f t="shared" si="19"/>
        <v>714246.29141866672</v>
      </c>
      <c r="H93" s="33">
        <f t="shared" si="19"/>
        <v>0</v>
      </c>
      <c r="I93" s="33">
        <f t="shared" si="19"/>
        <v>0</v>
      </c>
      <c r="J93" s="33">
        <f t="shared" si="19"/>
        <v>0</v>
      </c>
      <c r="K93" s="33">
        <f t="shared" si="19"/>
        <v>0</v>
      </c>
      <c r="L93" s="33">
        <f t="shared" si="19"/>
        <v>0</v>
      </c>
      <c r="M93" s="33">
        <f t="shared" si="19"/>
        <v>0</v>
      </c>
      <c r="N93" s="62">
        <f>SUM(D93:M93)</f>
        <v>1032181.6596186667</v>
      </c>
    </row>
    <row r="94" spans="1:14" s="13" customFormat="1" ht="15">
      <c r="A94" s="12" t="s">
        <v>83</v>
      </c>
      <c r="B94" s="12"/>
      <c r="C94" s="12"/>
      <c r="D94" s="34">
        <f t="shared" ref="D94:M94" si="20">SUM(D92:D93)</f>
        <v>0</v>
      </c>
      <c r="E94" s="34">
        <f t="shared" si="20"/>
        <v>0</v>
      </c>
      <c r="F94" s="34">
        <f t="shared" si="20"/>
        <v>2996268.3281999999</v>
      </c>
      <c r="G94" s="34">
        <f t="shared" si="20"/>
        <v>714246.29141866672</v>
      </c>
      <c r="H94" s="34">
        <f t="shared" si="20"/>
        <v>1703191.5275999999</v>
      </c>
      <c r="I94" s="34">
        <f t="shared" si="20"/>
        <v>0</v>
      </c>
      <c r="J94" s="34">
        <f t="shared" si="20"/>
        <v>0</v>
      </c>
      <c r="K94" s="34">
        <f t="shared" si="20"/>
        <v>2382739.2724000001</v>
      </c>
      <c r="L94" s="34">
        <f t="shared" si="20"/>
        <v>0</v>
      </c>
      <c r="M94" s="34">
        <f t="shared" si="20"/>
        <v>0</v>
      </c>
      <c r="N94" s="48">
        <f>SUM(D94:M94)</f>
        <v>7796445.4196186662</v>
      </c>
    </row>
    <row r="99" spans="1:14" ht="15">
      <c r="A99" s="8" t="s">
        <v>84</v>
      </c>
      <c r="B99" s="9"/>
      <c r="C99" s="9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>
        <f>SUM(E99:G99)</f>
        <v>0</v>
      </c>
    </row>
    <row r="100" spans="1:14">
      <c r="A100" t="s">
        <v>19</v>
      </c>
      <c r="D100" s="35">
        <f t="shared" ref="D100:M100" si="21">SUM(D13)</f>
        <v>6908850</v>
      </c>
      <c r="E100" s="35">
        <f t="shared" si="21"/>
        <v>0</v>
      </c>
      <c r="F100" s="35">
        <f t="shared" si="21"/>
        <v>133916648</v>
      </c>
      <c r="G100" s="35">
        <f t="shared" si="21"/>
        <v>0</v>
      </c>
      <c r="H100" s="35">
        <f t="shared" si="21"/>
        <v>85159576.379999995</v>
      </c>
      <c r="I100" s="35">
        <f t="shared" si="21"/>
        <v>0</v>
      </c>
      <c r="J100" s="35">
        <f t="shared" si="21"/>
        <v>0</v>
      </c>
      <c r="K100" s="35">
        <f t="shared" si="21"/>
        <v>119136963.62</v>
      </c>
      <c r="L100" s="35">
        <f t="shared" si="21"/>
        <v>0</v>
      </c>
      <c r="M100" s="35">
        <f t="shared" si="21"/>
        <v>0</v>
      </c>
      <c r="N100" s="35">
        <f>SUM(D100:M100)</f>
        <v>345122038</v>
      </c>
    </row>
    <row r="101" spans="1:14">
      <c r="A101" t="s">
        <v>85</v>
      </c>
      <c r="D101" s="35">
        <f>SUM(D94,D87,D77)</f>
        <v>7697318.7400000002</v>
      </c>
      <c r="E101" s="35">
        <f>SUM(E94,E87,E77)</f>
        <v>7697318.7400000002</v>
      </c>
      <c r="F101" s="35">
        <f>SUM(F94,F87,F77)</f>
        <v>18893036.738200001</v>
      </c>
      <c r="G101" s="35">
        <f>SUM(G94,G87,G77)</f>
        <v>36426560.862351999</v>
      </c>
      <c r="H101" s="35">
        <f t="shared" ref="H101:M101" si="22">SUM(H94,H87,H77)</f>
        <v>1703191.5275999999</v>
      </c>
      <c r="I101" s="35">
        <f t="shared" si="22"/>
        <v>0</v>
      </c>
      <c r="J101" s="35">
        <f t="shared" si="22"/>
        <v>0</v>
      </c>
      <c r="K101" s="35">
        <f t="shared" si="22"/>
        <v>2382739.2724000001</v>
      </c>
      <c r="L101" s="35">
        <f t="shared" si="22"/>
        <v>0</v>
      </c>
      <c r="M101" s="35">
        <f t="shared" si="22"/>
        <v>0</v>
      </c>
      <c r="N101" s="35">
        <f>-SUM(N94,N87,N77)</f>
        <v>-74800165.880551994</v>
      </c>
    </row>
    <row r="102" spans="1:14" s="13" customFormat="1" ht="15">
      <c r="A102" s="30"/>
      <c r="B102" s="30"/>
      <c r="C102" s="30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</row>
    <row r="103" spans="1:14">
      <c r="N103" s="63">
        <f>N101/10</f>
        <v>-7480016.588055199</v>
      </c>
    </row>
    <row r="104" spans="1:14">
      <c r="N104" s="63">
        <f>N103*3</f>
        <v>-22440049.764165595</v>
      </c>
    </row>
    <row r="105" spans="1:14">
      <c r="E105" s="44"/>
      <c r="F105" s="44">
        <f>E101+F101+G101</f>
        <v>63016916.340552002</v>
      </c>
      <c r="G105" s="44"/>
      <c r="H105" s="44"/>
      <c r="I105" s="44">
        <f>H101+I101+J101</f>
        <v>1703191.5275999999</v>
      </c>
      <c r="J105" s="44"/>
      <c r="K105" s="44"/>
      <c r="L105" s="44">
        <f>K101+L101+M101</f>
        <v>2382739.2724000001</v>
      </c>
    </row>
    <row r="106" spans="1:14">
      <c r="E106" s="44"/>
      <c r="F106" s="44"/>
      <c r="G106" s="44"/>
      <c r="H106" s="44"/>
      <c r="I106" s="44"/>
      <c r="J106" s="44"/>
      <c r="K106" s="44"/>
      <c r="L106" s="44"/>
    </row>
    <row r="107" spans="1:14">
      <c r="E107" s="44"/>
      <c r="F107" s="44"/>
      <c r="G107" s="44"/>
      <c r="H107" s="44"/>
      <c r="I107" s="44"/>
      <c r="J107" s="44"/>
      <c r="K107" s="44"/>
      <c r="L107" s="44"/>
    </row>
    <row r="108" spans="1:14">
      <c r="E108" s="44"/>
      <c r="F108" s="44"/>
      <c r="G108" s="44"/>
      <c r="H108" s="44"/>
      <c r="I108" s="44">
        <f>H100-I105</f>
        <v>83456384.85239999</v>
      </c>
      <c r="J108" s="44"/>
      <c r="K108" s="44"/>
      <c r="L108" s="44"/>
    </row>
    <row r="109" spans="1:14">
      <c r="E109" s="44"/>
      <c r="F109" s="44"/>
      <c r="G109" s="44"/>
      <c r="H109" s="44"/>
      <c r="I109" s="44">
        <v>18754227.617499992</v>
      </c>
      <c r="J109" s="44"/>
      <c r="K109" s="44"/>
      <c r="L109" s="44"/>
    </row>
  </sheetData>
  <mergeCells count="1">
    <mergeCell ref="A3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2"/>
  <sheetViews>
    <sheetView tabSelected="1" topLeftCell="A79" zoomScale="70" zoomScaleNormal="70" workbookViewId="0">
      <selection activeCell="D39" sqref="D39"/>
    </sheetView>
  </sheetViews>
  <sheetFormatPr defaultRowHeight="15.75" customHeight="1"/>
  <cols>
    <col min="1" max="1" width="57.375" bestFit="1" customWidth="1"/>
    <col min="2" max="2" width="37.375" customWidth="1"/>
    <col min="3" max="3" width="11.25" customWidth="1"/>
    <col min="4" max="4" width="17.25" bestFit="1" customWidth="1"/>
    <col min="5" max="5" width="16.5" bestFit="1" customWidth="1"/>
    <col min="6" max="6" width="17.5" bestFit="1" customWidth="1"/>
    <col min="7" max="7" width="17.25" bestFit="1" customWidth="1"/>
    <col min="8" max="8" width="17.625" hidden="1" customWidth="1"/>
    <col min="9" max="10" width="14.25" hidden="1" customWidth="1"/>
    <col min="11" max="11" width="15.25" hidden="1" customWidth="1"/>
    <col min="12" max="12" width="14.25" hidden="1" customWidth="1"/>
    <col min="13" max="13" width="17.75" bestFit="1" customWidth="1"/>
    <col min="14" max="14" width="18.875" bestFit="1" customWidth="1"/>
  </cols>
  <sheetData>
    <row r="1" spans="1:16" ht="15.75" customHeight="1">
      <c r="N1" s="65"/>
      <c r="O1" s="66"/>
    </row>
    <row r="2" spans="1:16" ht="15.75" customHeight="1">
      <c r="A2" s="1" t="s">
        <v>0</v>
      </c>
      <c r="B2" s="128" t="s">
        <v>1</v>
      </c>
      <c r="C2" s="1"/>
      <c r="D2" s="112">
        <v>45741</v>
      </c>
      <c r="E2" s="113">
        <v>45748</v>
      </c>
      <c r="F2" s="113">
        <v>45778</v>
      </c>
      <c r="G2" s="113">
        <v>45809</v>
      </c>
      <c r="H2" s="113">
        <v>45863</v>
      </c>
      <c r="I2" s="113">
        <v>45894</v>
      </c>
      <c r="J2" s="113">
        <v>45925</v>
      </c>
      <c r="K2" s="113">
        <v>45955</v>
      </c>
      <c r="L2" s="113">
        <v>45986</v>
      </c>
      <c r="M2" s="113">
        <v>46016</v>
      </c>
      <c r="N2" s="114" t="s">
        <v>2</v>
      </c>
      <c r="O2" s="6" t="s">
        <v>3</v>
      </c>
      <c r="P2" s="5" t="s">
        <v>4</v>
      </c>
    </row>
    <row r="3" spans="1:16" ht="15.75" customHeight="1">
      <c r="A3" s="7"/>
      <c r="B3" s="7"/>
      <c r="C3" s="115"/>
      <c r="D3" s="115"/>
      <c r="E3" s="116"/>
      <c r="F3" s="116"/>
      <c r="G3" s="116"/>
      <c r="H3" s="116"/>
      <c r="I3" s="116"/>
      <c r="J3" s="116"/>
      <c r="K3" s="116"/>
      <c r="L3" s="116"/>
      <c r="M3" s="116"/>
      <c r="N3" s="117"/>
      <c r="O3" s="66"/>
    </row>
    <row r="4" spans="1:16" ht="15.75" customHeight="1">
      <c r="A4" s="145" t="s">
        <v>5</v>
      </c>
      <c r="B4" s="145"/>
      <c r="C4" s="115"/>
      <c r="D4" s="115"/>
      <c r="E4" s="118"/>
      <c r="F4" s="116"/>
      <c r="G4" s="116"/>
      <c r="H4" s="116"/>
      <c r="I4" s="116"/>
      <c r="J4" s="116"/>
      <c r="K4" s="116"/>
      <c r="L4" s="116"/>
      <c r="M4" s="116"/>
      <c r="N4" s="117"/>
      <c r="O4" s="66"/>
    </row>
    <row r="5" spans="1:16" ht="15.75" customHeight="1">
      <c r="A5" s="7"/>
      <c r="B5" s="7"/>
      <c r="C5" s="115"/>
      <c r="D5" s="115"/>
      <c r="E5" s="119"/>
      <c r="F5" s="120"/>
      <c r="G5" s="120"/>
      <c r="H5" s="120"/>
      <c r="I5" s="120"/>
      <c r="J5" s="120"/>
      <c r="K5" s="120"/>
      <c r="L5" s="120"/>
      <c r="M5" s="120"/>
      <c r="N5" s="117"/>
      <c r="O5" s="66"/>
    </row>
    <row r="6" spans="1:16" ht="15.75" customHeight="1">
      <c r="A6" s="9"/>
      <c r="B6" s="9"/>
      <c r="C6" s="121"/>
      <c r="D6" s="121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66"/>
    </row>
    <row r="7" spans="1:16" ht="15.75" customHeight="1">
      <c r="A7" s="11" t="s">
        <v>6</v>
      </c>
      <c r="B7" s="108" t="s">
        <v>7</v>
      </c>
      <c r="C7" s="116"/>
      <c r="D7" s="116"/>
      <c r="E7" s="120"/>
      <c r="F7" s="120"/>
      <c r="G7" s="120"/>
      <c r="H7" s="120"/>
      <c r="I7" s="120"/>
      <c r="J7" s="120"/>
      <c r="K7" s="120"/>
      <c r="L7" s="120"/>
      <c r="M7" s="120"/>
      <c r="N7" s="123">
        <f>SUM(D7:M7)</f>
        <v>0</v>
      </c>
      <c r="O7" s="66"/>
    </row>
    <row r="8" spans="1:16" ht="15.75" customHeight="1">
      <c r="A8" s="11" t="s">
        <v>8</v>
      </c>
      <c r="B8" s="108" t="s">
        <v>9</v>
      </c>
      <c r="C8" s="116"/>
      <c r="D8" s="124">
        <v>6908850</v>
      </c>
      <c r="E8" s="116"/>
      <c r="F8" s="125">
        <v>133916648</v>
      </c>
      <c r="G8" s="120"/>
      <c r="H8" s="120">
        <f>104296540-C16</f>
        <v>104296540</v>
      </c>
      <c r="I8" s="120"/>
      <c r="J8" s="116"/>
      <c r="K8" s="120">
        <f>100000000+C16</f>
        <v>100000000</v>
      </c>
      <c r="L8" s="120"/>
      <c r="M8" s="120"/>
      <c r="N8" s="123">
        <f>SUM(D8:M8)</f>
        <v>345122038</v>
      </c>
      <c r="O8" s="66"/>
    </row>
    <row r="9" spans="1:16" ht="15.75" customHeight="1">
      <c r="A9" s="11" t="s">
        <v>10</v>
      </c>
      <c r="B9" s="108" t="s">
        <v>11</v>
      </c>
      <c r="C9" s="116"/>
      <c r="D9" s="116"/>
      <c r="E9" s="120"/>
      <c r="F9" s="120"/>
      <c r="G9" s="120"/>
      <c r="H9" s="120"/>
      <c r="I9" s="120"/>
      <c r="J9" s="120"/>
      <c r="K9" s="120"/>
      <c r="L9" s="120"/>
      <c r="M9" s="120"/>
      <c r="N9" s="123">
        <f t="shared" ref="N9:N14" si="0">SUM(D9:M9)</f>
        <v>0</v>
      </c>
      <c r="O9" s="66"/>
    </row>
    <row r="10" spans="1:16" ht="15.75" customHeight="1">
      <c r="A10" s="11" t="s">
        <v>12</v>
      </c>
      <c r="B10" s="108" t="s">
        <v>13</v>
      </c>
      <c r="C10" s="116"/>
      <c r="D10" s="116"/>
      <c r="E10" s="120"/>
      <c r="F10" s="120"/>
      <c r="G10" s="120"/>
      <c r="H10" s="120"/>
      <c r="I10" s="120"/>
      <c r="J10" s="120"/>
      <c r="K10" s="120"/>
      <c r="L10" s="120"/>
      <c r="M10" s="120"/>
      <c r="N10" s="123">
        <f t="shared" si="0"/>
        <v>0</v>
      </c>
      <c r="O10" s="66"/>
    </row>
    <row r="11" spans="1:16" ht="15.75" customHeight="1">
      <c r="A11" s="11" t="s">
        <v>14</v>
      </c>
      <c r="B11" s="108" t="s">
        <v>15</v>
      </c>
      <c r="C11" s="116"/>
      <c r="D11" s="116"/>
      <c r="E11" s="120">
        <f>'[1]Rental, Hosting &amp; Sponsorships'!F12</f>
        <v>0</v>
      </c>
      <c r="F11" s="120">
        <f>'[1]Rental, Hosting &amp; Sponsorships'!G12</f>
        <v>0</v>
      </c>
      <c r="G11" s="120">
        <f>'[1]Rental, Hosting &amp; Sponsorships'!H12</f>
        <v>0</v>
      </c>
      <c r="H11" s="120"/>
      <c r="I11" s="120"/>
      <c r="J11" s="120"/>
      <c r="K11" s="120"/>
      <c r="L11" s="120"/>
      <c r="M11" s="120"/>
      <c r="N11" s="123">
        <f t="shared" si="0"/>
        <v>0</v>
      </c>
      <c r="O11" s="66"/>
    </row>
    <row r="12" spans="1:16" ht="15.75" customHeight="1">
      <c r="A12" s="11" t="s">
        <v>16</v>
      </c>
      <c r="B12" s="108"/>
      <c r="C12" s="116"/>
      <c r="D12" s="116"/>
      <c r="E12" s="120">
        <f>'[1]Rental, Hosting &amp; Sponsorships'!F6</f>
        <v>0</v>
      </c>
      <c r="F12" s="120">
        <f>'[1]Rental, Hosting &amp; Sponsorships'!G6</f>
        <v>0</v>
      </c>
      <c r="G12" s="120">
        <f>'[1]Rental, Hosting &amp; Sponsorships'!H6</f>
        <v>0</v>
      </c>
      <c r="H12" s="120"/>
      <c r="I12" s="120"/>
      <c r="J12" s="120"/>
      <c r="K12" s="120"/>
      <c r="L12" s="120"/>
      <c r="M12" s="120"/>
      <c r="N12" s="123">
        <f t="shared" si="0"/>
        <v>0</v>
      </c>
      <c r="O12" s="66"/>
    </row>
    <row r="13" spans="1:16" ht="15.75" customHeight="1">
      <c r="A13" s="11" t="s">
        <v>17</v>
      </c>
      <c r="B13" s="108" t="s">
        <v>18</v>
      </c>
      <c r="C13" s="116"/>
      <c r="D13" s="116"/>
      <c r="E13" s="120"/>
      <c r="F13" s="120"/>
      <c r="G13" s="120"/>
      <c r="H13" s="120"/>
      <c r="I13" s="120"/>
      <c r="J13" s="120"/>
      <c r="K13" s="120"/>
      <c r="L13" s="120"/>
      <c r="M13" s="120"/>
      <c r="N13" s="123">
        <f t="shared" si="0"/>
        <v>0</v>
      </c>
      <c r="O13" s="66"/>
    </row>
    <row r="14" spans="1:16" s="13" customFormat="1" ht="15.75" customHeight="1">
      <c r="A14" s="12"/>
      <c r="B14" s="109"/>
      <c r="C14" s="129"/>
      <c r="D14" s="126">
        <f t="shared" ref="D14:M14" si="1">SUM(D6:D13)</f>
        <v>6908850</v>
      </c>
      <c r="E14" s="126">
        <f t="shared" si="1"/>
        <v>0</v>
      </c>
      <c r="F14" s="126">
        <f t="shared" si="1"/>
        <v>133916648</v>
      </c>
      <c r="G14" s="126">
        <f t="shared" si="1"/>
        <v>0</v>
      </c>
      <c r="H14" s="126">
        <f t="shared" si="1"/>
        <v>104296540</v>
      </c>
      <c r="I14" s="126">
        <f t="shared" si="1"/>
        <v>0</v>
      </c>
      <c r="J14" s="126">
        <f t="shared" si="1"/>
        <v>0</v>
      </c>
      <c r="K14" s="126">
        <f t="shared" si="1"/>
        <v>100000000</v>
      </c>
      <c r="L14" s="126">
        <f t="shared" si="1"/>
        <v>0</v>
      </c>
      <c r="M14" s="126">
        <f t="shared" si="1"/>
        <v>0</v>
      </c>
      <c r="N14" s="126">
        <f t="shared" si="0"/>
        <v>345122038</v>
      </c>
      <c r="O14" s="78"/>
    </row>
    <row r="15" spans="1:16" ht="15.75" customHeight="1">
      <c r="C15" s="130">
        <v>19136963.620000001</v>
      </c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</row>
    <row r="16" spans="1:16" ht="15.75" customHeight="1"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16"/>
      <c r="N16" s="116"/>
    </row>
    <row r="17" spans="1:15" ht="15.75" customHeight="1">
      <c r="A17" s="9"/>
      <c r="B17" s="9"/>
      <c r="C17" s="121"/>
      <c r="D17" s="121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66"/>
    </row>
    <row r="18" spans="1:15" ht="15.75" customHeight="1">
      <c r="A18" s="139" t="s">
        <v>20</v>
      </c>
      <c r="B18" s="131" t="s">
        <v>21</v>
      </c>
      <c r="C18" s="131"/>
      <c r="D18" s="127">
        <f>'BUDGET '!D19-'ACTUAL SPENT '!D18</f>
        <v>2695995.4424999999</v>
      </c>
      <c r="E18" s="127">
        <f>'BUDGET '!E19-'ACTUAL SPENT '!E18</f>
        <v>2936697.4424999999</v>
      </c>
      <c r="F18" s="127">
        <f>'BUDGET '!F19-'ACTUAL SPENT '!F18</f>
        <v>7942027.3887499999</v>
      </c>
      <c r="G18" s="127">
        <f>'BUDGET '!G19-'ACTUAL SPENT '!G18</f>
        <v>6067079.3062000014</v>
      </c>
      <c r="H18" s="127">
        <f>'BUDGET '!H19-'ACTUAL SPENT '!H18</f>
        <v>16040686.791666668</v>
      </c>
      <c r="I18" s="127">
        <f>'BUDGET '!I19-'ACTUAL SPENT '!I18</f>
        <v>16040686.791666668</v>
      </c>
      <c r="J18" s="127">
        <f>'BUDGET '!J19-'ACTUAL SPENT '!J18</f>
        <v>16040686.791666668</v>
      </c>
      <c r="K18" s="127">
        <f>'BUDGET '!K19-'ACTUAL SPENT '!K18</f>
        <v>16040686.791666668</v>
      </c>
      <c r="L18" s="127">
        <f>'BUDGET '!L19-'ACTUAL SPENT '!L18</f>
        <v>16040686.791666668</v>
      </c>
      <c r="M18" s="127">
        <f>'BUDGET '!M19-'ACTUAL SPENT '!M18</f>
        <v>32081373.583333336</v>
      </c>
      <c r="N18" s="127">
        <f>SUM(D18:M18)</f>
        <v>131926607.12161669</v>
      </c>
    </row>
    <row r="19" spans="1:15" ht="15.75" customHeight="1">
      <c r="A19" s="140"/>
      <c r="B19" s="116"/>
      <c r="C19" s="116"/>
      <c r="D19" s="127">
        <f>'BUDGET '!D20-'ACTUAL SPENT '!D19</f>
        <v>0</v>
      </c>
      <c r="E19" s="127">
        <f>'BUDGET '!E20-'ACTUAL SPENT '!E19</f>
        <v>0</v>
      </c>
      <c r="F19" s="127">
        <f>'BUDGET '!F20-'ACTUAL SPENT '!F19</f>
        <v>0</v>
      </c>
      <c r="G19" s="127">
        <f>'BUDGET '!G20-'ACTUAL SPENT '!G19</f>
        <v>0</v>
      </c>
      <c r="H19" s="127">
        <f>'BUDGET '!H20-'ACTUAL SPENT '!H19</f>
        <v>0</v>
      </c>
      <c r="I19" s="127">
        <f>'BUDGET '!I20-'ACTUAL SPENT '!I19</f>
        <v>0</v>
      </c>
      <c r="J19" s="127">
        <f>'BUDGET '!J20-'ACTUAL SPENT '!J19</f>
        <v>0</v>
      </c>
      <c r="K19" s="127">
        <f>'BUDGET '!K20-'ACTUAL SPENT '!K19</f>
        <v>0</v>
      </c>
      <c r="L19" s="127">
        <f>'BUDGET '!L20-'ACTUAL SPENT '!L19</f>
        <v>0</v>
      </c>
      <c r="M19" s="127">
        <f>'BUDGET '!M20-'ACTUAL SPENT '!M19</f>
        <v>0</v>
      </c>
      <c r="N19" s="127">
        <f t="shared" ref="N19:N82" si="2">SUM(D19:M19)</f>
        <v>0</v>
      </c>
    </row>
    <row r="20" spans="1:15" ht="15.75" customHeight="1">
      <c r="A20" s="140"/>
      <c r="B20" s="116"/>
      <c r="C20" s="116"/>
      <c r="D20" s="127">
        <f>'BUDGET '!D21-'ACTUAL SPENT '!D20</f>
        <v>0</v>
      </c>
      <c r="E20" s="127">
        <f>'BUDGET '!E21-'ACTUAL SPENT '!E20</f>
        <v>0</v>
      </c>
      <c r="F20" s="127">
        <f>'BUDGET '!F21-'ACTUAL SPENT '!F20</f>
        <v>0</v>
      </c>
      <c r="G20" s="127">
        <f>'BUDGET '!G21-'ACTUAL SPENT '!G20</f>
        <v>0</v>
      </c>
      <c r="H20" s="127">
        <f>'BUDGET '!H21-'ACTUAL SPENT '!H20</f>
        <v>0</v>
      </c>
      <c r="I20" s="127">
        <f>'BUDGET '!I21-'ACTUAL SPENT '!I20</f>
        <v>0</v>
      </c>
      <c r="J20" s="127">
        <f>'BUDGET '!J21-'ACTUAL SPENT '!J20</f>
        <v>0</v>
      </c>
      <c r="K20" s="127">
        <f>'BUDGET '!K21-'ACTUAL SPENT '!K20</f>
        <v>0</v>
      </c>
      <c r="L20" s="127">
        <f>'BUDGET '!L21-'ACTUAL SPENT '!L20</f>
        <v>0</v>
      </c>
      <c r="M20" s="127">
        <f>'BUDGET '!M21-'ACTUAL SPENT '!M20</f>
        <v>0</v>
      </c>
      <c r="N20" s="127">
        <f t="shared" si="2"/>
        <v>0</v>
      </c>
    </row>
    <row r="21" spans="1:15" ht="15.75" customHeight="1">
      <c r="A21" s="138" t="s">
        <v>22</v>
      </c>
      <c r="B21" s="116" t="s">
        <v>23</v>
      </c>
      <c r="C21" s="116"/>
      <c r="D21" s="127">
        <f>'BUDGET '!D22-'ACTUAL SPENT '!D21</f>
        <v>0</v>
      </c>
      <c r="E21" s="127">
        <f>'BUDGET '!E22-'ACTUAL SPENT '!E21</f>
        <v>0</v>
      </c>
      <c r="F21" s="127">
        <f>'BUDGET '!F22-'ACTUAL SPENT '!F21</f>
        <v>0</v>
      </c>
      <c r="G21" s="127">
        <f>'BUDGET '!G22-'ACTUAL SPENT '!G21</f>
        <v>0</v>
      </c>
      <c r="H21" s="127">
        <f>'BUDGET '!H22-'ACTUAL SPENT '!H21</f>
        <v>0</v>
      </c>
      <c r="I21" s="127">
        <f>'BUDGET '!I22-'ACTUAL SPENT '!I21</f>
        <v>0</v>
      </c>
      <c r="J21" s="127">
        <f>'BUDGET '!J22-'ACTUAL SPENT '!J21</f>
        <v>0</v>
      </c>
      <c r="K21" s="127">
        <f>'BUDGET '!K22-'ACTUAL SPENT '!K21</f>
        <v>0</v>
      </c>
      <c r="L21" s="127">
        <f>'BUDGET '!L22-'ACTUAL SPENT '!L21</f>
        <v>0</v>
      </c>
      <c r="M21" s="127">
        <f>'BUDGET '!M22-'ACTUAL SPENT '!M21</f>
        <v>0</v>
      </c>
      <c r="N21" s="127">
        <f t="shared" si="2"/>
        <v>0</v>
      </c>
    </row>
    <row r="22" spans="1:15" ht="15.75" customHeight="1">
      <c r="A22" s="136" t="s">
        <v>24</v>
      </c>
      <c r="B22" s="137"/>
      <c r="C22" s="132"/>
      <c r="D22" s="127">
        <f>'BUDGET '!D23-'ACTUAL SPENT '!D22</f>
        <v>0</v>
      </c>
      <c r="E22" s="127">
        <f>'BUDGET '!E23-'ACTUAL SPENT '!E22</f>
        <v>0</v>
      </c>
      <c r="F22" s="127">
        <f>'BUDGET '!F23-'ACTUAL SPENT '!F22</f>
        <v>9609872</v>
      </c>
      <c r="G22" s="127">
        <f>'BUDGET '!G23-'ACTUAL SPENT '!G22</f>
        <v>-2999175.8</v>
      </c>
      <c r="H22" s="127">
        <f>'BUDGET '!H23-'ACTUAL SPENT '!H22</f>
        <v>0</v>
      </c>
      <c r="I22" s="127">
        <f>'BUDGET '!I23-'ACTUAL SPENT '!I22</f>
        <v>0</v>
      </c>
      <c r="J22" s="127">
        <f>'BUDGET '!J23-'ACTUAL SPENT '!J22</f>
        <v>0</v>
      </c>
      <c r="K22" s="127">
        <f>'BUDGET '!K23-'ACTUAL SPENT '!K22</f>
        <v>0</v>
      </c>
      <c r="L22" s="127">
        <f>'BUDGET '!L23-'ACTUAL SPENT '!L22</f>
        <v>0</v>
      </c>
      <c r="M22" s="127">
        <f>'BUDGET '!M23-'ACTUAL SPENT '!M22</f>
        <v>0</v>
      </c>
      <c r="N22" s="127">
        <f t="shared" si="2"/>
        <v>6610696.2000000002</v>
      </c>
    </row>
    <row r="23" spans="1:15" ht="15.75" customHeight="1">
      <c r="A23" s="21" t="s">
        <v>25</v>
      </c>
      <c r="B23" s="110"/>
      <c r="C23" s="132"/>
      <c r="D23" s="127">
        <f>'BUDGET '!D24-'ACTUAL SPENT '!D23</f>
        <v>0</v>
      </c>
      <c r="E23" s="127">
        <f>'BUDGET '!E24-'ACTUAL SPENT '!E23</f>
        <v>0</v>
      </c>
      <c r="F23" s="127">
        <f>'BUDGET '!F24-'ACTUAL SPENT '!F23</f>
        <v>1982000</v>
      </c>
      <c r="G23" s="127">
        <f>'BUDGET '!G24-'ACTUAL SPENT '!G23</f>
        <v>0</v>
      </c>
      <c r="H23" s="127">
        <f>'BUDGET '!H24-'ACTUAL SPENT '!H23</f>
        <v>0</v>
      </c>
      <c r="I23" s="127">
        <f>'BUDGET '!I24-'ACTUAL SPENT '!I23</f>
        <v>0</v>
      </c>
      <c r="J23" s="127">
        <f>'BUDGET '!J24-'ACTUAL SPENT '!J23</f>
        <v>0</v>
      </c>
      <c r="K23" s="127">
        <f>'BUDGET '!K24-'ACTUAL SPENT '!K23</f>
        <v>0</v>
      </c>
      <c r="L23" s="127">
        <f>'BUDGET '!L24-'ACTUAL SPENT '!L23</f>
        <v>0</v>
      </c>
      <c r="M23" s="127">
        <f>'BUDGET '!M24-'ACTUAL SPENT '!M23</f>
        <v>0</v>
      </c>
      <c r="N23" s="127">
        <f t="shared" si="2"/>
        <v>1982000</v>
      </c>
    </row>
    <row r="24" spans="1:15" ht="15.75" customHeight="1">
      <c r="A24" s="21" t="s">
        <v>26</v>
      </c>
      <c r="B24" s="110"/>
      <c r="C24" s="132"/>
      <c r="D24" s="127">
        <f>'BUDGET '!D25-'ACTUAL SPENT '!D24</f>
        <v>0</v>
      </c>
      <c r="E24" s="127">
        <f>'BUDGET '!E25-'ACTUAL SPENT '!E24</f>
        <v>0</v>
      </c>
      <c r="F24" s="127">
        <f>'BUDGET '!F25-'ACTUAL SPENT '!F24</f>
        <v>304000</v>
      </c>
      <c r="G24" s="127">
        <f>'BUDGET '!G25-'ACTUAL SPENT '!G24</f>
        <v>0</v>
      </c>
      <c r="H24" s="127">
        <f>'BUDGET '!H25-'ACTUAL SPENT '!H24</f>
        <v>0</v>
      </c>
      <c r="I24" s="127">
        <f>'BUDGET '!I25-'ACTUAL SPENT '!I24</f>
        <v>0</v>
      </c>
      <c r="J24" s="127">
        <f>'BUDGET '!J25-'ACTUAL SPENT '!J24</f>
        <v>0</v>
      </c>
      <c r="K24" s="127">
        <f>'BUDGET '!K25-'ACTUAL SPENT '!K24</f>
        <v>0</v>
      </c>
      <c r="L24" s="127">
        <f>'BUDGET '!L25-'ACTUAL SPENT '!L24</f>
        <v>0</v>
      </c>
      <c r="M24" s="127">
        <f>'BUDGET '!M25-'ACTUAL SPENT '!M24</f>
        <v>0</v>
      </c>
      <c r="N24" s="127">
        <f t="shared" si="2"/>
        <v>304000</v>
      </c>
    </row>
    <row r="25" spans="1:15" ht="15.75" customHeight="1">
      <c r="A25" s="21" t="s">
        <v>27</v>
      </c>
      <c r="B25" s="110"/>
      <c r="C25" s="132"/>
      <c r="D25" s="127">
        <f>'BUDGET '!D26-'ACTUAL SPENT '!D25</f>
        <v>0</v>
      </c>
      <c r="E25" s="127">
        <f>'BUDGET '!E26-'ACTUAL SPENT '!E25</f>
        <v>0</v>
      </c>
      <c r="F25" s="127">
        <f>'BUDGET '!F26-'ACTUAL SPENT '!F25</f>
        <v>679000</v>
      </c>
      <c r="G25" s="127">
        <f>'BUDGET '!G26-'ACTUAL SPENT '!G25</f>
        <v>0</v>
      </c>
      <c r="H25" s="127">
        <f>'BUDGET '!H26-'ACTUAL SPENT '!H25</f>
        <v>0</v>
      </c>
      <c r="I25" s="127">
        <f>'BUDGET '!I26-'ACTUAL SPENT '!I25</f>
        <v>0</v>
      </c>
      <c r="J25" s="127">
        <f>'BUDGET '!J26-'ACTUAL SPENT '!J25</f>
        <v>0</v>
      </c>
      <c r="K25" s="127">
        <f>'BUDGET '!K26-'ACTUAL SPENT '!K25</f>
        <v>0</v>
      </c>
      <c r="L25" s="127">
        <f>'BUDGET '!L26-'ACTUAL SPENT '!L25</f>
        <v>0</v>
      </c>
      <c r="M25" s="127">
        <f>'BUDGET '!M26-'ACTUAL SPENT '!M25</f>
        <v>0</v>
      </c>
      <c r="N25" s="127">
        <f t="shared" si="2"/>
        <v>679000</v>
      </c>
    </row>
    <row r="26" spans="1:15" ht="15.75" customHeight="1">
      <c r="A26" s="21" t="s">
        <v>28</v>
      </c>
      <c r="B26" s="110"/>
      <c r="C26" s="132"/>
      <c r="D26" s="127">
        <f>'BUDGET '!D27-'ACTUAL SPENT '!D26</f>
        <v>0</v>
      </c>
      <c r="E26" s="127">
        <f>'BUDGET '!E27-'ACTUAL SPENT '!E26</f>
        <v>0</v>
      </c>
      <c r="F26" s="127">
        <f>'BUDGET '!F27-'ACTUAL SPENT '!F26</f>
        <v>200000</v>
      </c>
      <c r="G26" s="127">
        <f>'BUDGET '!G27-'ACTUAL SPENT '!G26</f>
        <v>-725000</v>
      </c>
      <c r="H26" s="127">
        <f>'BUDGET '!H27-'ACTUAL SPENT '!H26</f>
        <v>0</v>
      </c>
      <c r="I26" s="127">
        <f>'BUDGET '!I27-'ACTUAL SPENT '!I26</f>
        <v>0</v>
      </c>
      <c r="J26" s="127">
        <f>'BUDGET '!J27-'ACTUAL SPENT '!J26</f>
        <v>0</v>
      </c>
      <c r="K26" s="127">
        <f>'BUDGET '!K27-'ACTUAL SPENT '!K26</f>
        <v>0</v>
      </c>
      <c r="L26" s="127">
        <f>'BUDGET '!L27-'ACTUAL SPENT '!L26</f>
        <v>0</v>
      </c>
      <c r="M26" s="127">
        <f>'BUDGET '!M27-'ACTUAL SPENT '!M26</f>
        <v>0</v>
      </c>
      <c r="N26" s="127">
        <f t="shared" si="2"/>
        <v>-525000</v>
      </c>
    </row>
    <row r="27" spans="1:15" ht="15.75" customHeight="1">
      <c r="A27" s="23" t="s">
        <v>29</v>
      </c>
      <c r="B27" s="108"/>
      <c r="C27" s="116"/>
      <c r="D27" s="127">
        <f>'BUDGET '!D28-'ACTUAL SPENT '!D27</f>
        <v>0</v>
      </c>
      <c r="E27" s="127">
        <f>'BUDGET '!E28-'ACTUAL SPENT '!E27</f>
        <v>0</v>
      </c>
      <c r="F27" s="127">
        <f>'BUDGET '!F28-'ACTUAL SPENT '!F27</f>
        <v>756000</v>
      </c>
      <c r="G27" s="127">
        <f>'BUDGET '!G28-'ACTUAL SPENT '!G27</f>
        <v>475400</v>
      </c>
      <c r="H27" s="127">
        <f>'BUDGET '!H28-'ACTUAL SPENT '!H27</f>
        <v>1328000</v>
      </c>
      <c r="I27" s="127">
        <f>'BUDGET '!I28-'ACTUAL SPENT '!I27</f>
        <v>1328000</v>
      </c>
      <c r="J27" s="127">
        <f>'BUDGET '!J28-'ACTUAL SPENT '!J27</f>
        <v>1328000</v>
      </c>
      <c r="K27" s="127">
        <f>'BUDGET '!K28-'ACTUAL SPENT '!K27</f>
        <v>1328000</v>
      </c>
      <c r="L27" s="127">
        <f>'BUDGET '!L28-'ACTUAL SPENT '!L27</f>
        <v>1328000</v>
      </c>
      <c r="M27" s="127">
        <f>'BUDGET '!M28-'ACTUAL SPENT '!M27</f>
        <v>1328000</v>
      </c>
      <c r="N27" s="127">
        <f t="shared" si="2"/>
        <v>9199400</v>
      </c>
    </row>
    <row r="28" spans="1:15" ht="15.75" customHeight="1">
      <c r="A28" s="23" t="s">
        <v>30</v>
      </c>
      <c r="B28" s="108"/>
      <c r="C28" s="116"/>
      <c r="D28" s="127">
        <f>'BUDGET '!D29-'ACTUAL SPENT '!D28</f>
        <v>0</v>
      </c>
      <c r="E28" s="127">
        <f>'BUDGET '!E29-'ACTUAL SPENT '!E28</f>
        <v>0</v>
      </c>
      <c r="F28" s="127">
        <f>'BUDGET '!F29-'ACTUAL SPENT '!F28</f>
        <v>300000</v>
      </c>
      <c r="G28" s="127">
        <f>'BUDGET '!G29-'ACTUAL SPENT '!G28</f>
        <v>-560000</v>
      </c>
      <c r="H28" s="127">
        <f>'BUDGET '!H29-'ACTUAL SPENT '!H28</f>
        <v>300000</v>
      </c>
      <c r="I28" s="127">
        <f>'BUDGET '!I29-'ACTUAL SPENT '!I28</f>
        <v>300000</v>
      </c>
      <c r="J28" s="127">
        <f>'BUDGET '!J29-'ACTUAL SPENT '!J28</f>
        <v>300000</v>
      </c>
      <c r="K28" s="127">
        <f>'BUDGET '!K29-'ACTUAL SPENT '!K28</f>
        <v>300000</v>
      </c>
      <c r="L28" s="127">
        <f>'BUDGET '!L29-'ACTUAL SPENT '!L28</f>
        <v>300000</v>
      </c>
      <c r="M28" s="127">
        <f>'BUDGET '!M29-'ACTUAL SPENT '!M28</f>
        <v>300000</v>
      </c>
      <c r="N28" s="127">
        <f t="shared" si="2"/>
        <v>1540000</v>
      </c>
    </row>
    <row r="29" spans="1:15" ht="15.75" customHeight="1">
      <c r="A29" s="23" t="s">
        <v>31</v>
      </c>
      <c r="B29" s="108"/>
      <c r="C29" s="116"/>
      <c r="D29" s="127">
        <f>'BUDGET '!D30-'ACTUAL SPENT '!D29</f>
        <v>0</v>
      </c>
      <c r="E29" s="127">
        <f>'BUDGET '!E30-'ACTUAL SPENT '!E29</f>
        <v>5837000</v>
      </c>
      <c r="F29" s="127">
        <f>'BUDGET '!F30-'ACTUAL SPENT '!F29</f>
        <v>1500000</v>
      </c>
      <c r="G29" s="127">
        <f>'BUDGET '!G30-'ACTUAL SPENT '!G29</f>
        <v>359300</v>
      </c>
      <c r="H29" s="127">
        <f>'BUDGET '!H30-'ACTUAL SPENT '!H29</f>
        <v>1500000</v>
      </c>
      <c r="I29" s="127">
        <f>'BUDGET '!I30-'ACTUAL SPENT '!I29</f>
        <v>1500000</v>
      </c>
      <c r="J29" s="127">
        <f>'BUDGET '!J30-'ACTUAL SPENT '!J29</f>
        <v>1500000</v>
      </c>
      <c r="K29" s="127">
        <f>'BUDGET '!K30-'ACTUAL SPENT '!K29</f>
        <v>1500000</v>
      </c>
      <c r="L29" s="127">
        <f>'BUDGET '!L30-'ACTUAL SPENT '!L29</f>
        <v>1500000</v>
      </c>
      <c r="M29" s="127">
        <f>'BUDGET '!M30-'ACTUAL SPENT '!M29</f>
        <v>1500000</v>
      </c>
      <c r="N29" s="127">
        <f t="shared" si="2"/>
        <v>16696300</v>
      </c>
    </row>
    <row r="30" spans="1:15" ht="15.75" customHeight="1">
      <c r="A30" s="23" t="s">
        <v>32</v>
      </c>
      <c r="B30" s="108"/>
      <c r="C30" s="116"/>
      <c r="D30" s="127">
        <f>'BUDGET '!D31-'ACTUAL SPENT '!D30</f>
        <v>0</v>
      </c>
      <c r="E30" s="127">
        <f>'BUDGET '!E31-'ACTUAL SPENT '!E30</f>
        <v>0</v>
      </c>
      <c r="F30" s="127">
        <f>'BUDGET '!F31-'ACTUAL SPENT '!F30</f>
        <v>1000000</v>
      </c>
      <c r="G30" s="127">
        <f>'BUDGET '!G31-'ACTUAL SPENT '!G30</f>
        <v>750000</v>
      </c>
      <c r="H30" s="127">
        <f>'BUDGET '!H31-'ACTUAL SPENT '!H30</f>
        <v>920000</v>
      </c>
      <c r="I30" s="127">
        <f>'BUDGET '!I31-'ACTUAL SPENT '!I30</f>
        <v>920000</v>
      </c>
      <c r="J30" s="127">
        <f>'BUDGET '!J31-'ACTUAL SPENT '!J30</f>
        <v>920000</v>
      </c>
      <c r="K30" s="127">
        <f>'BUDGET '!K31-'ACTUAL SPENT '!K30</f>
        <v>920000</v>
      </c>
      <c r="L30" s="127">
        <f>'BUDGET '!L31-'ACTUAL SPENT '!L30</f>
        <v>920000</v>
      </c>
      <c r="M30" s="127">
        <f>'BUDGET '!M31-'ACTUAL SPENT '!M30</f>
        <v>920000</v>
      </c>
      <c r="N30" s="127">
        <f t="shared" si="2"/>
        <v>7270000</v>
      </c>
    </row>
    <row r="31" spans="1:15" ht="15.75" customHeight="1">
      <c r="A31" s="23" t="s">
        <v>33</v>
      </c>
      <c r="B31" s="108"/>
      <c r="C31" s="116"/>
      <c r="D31" s="127">
        <f>'BUDGET '!D32-'ACTUAL SPENT '!D31</f>
        <v>0</v>
      </c>
      <c r="E31" s="127">
        <f>'BUDGET '!E32-'ACTUAL SPENT '!E31</f>
        <v>0</v>
      </c>
      <c r="F31" s="127">
        <f>'BUDGET '!F32-'ACTUAL SPENT '!F31</f>
        <v>0</v>
      </c>
      <c r="G31" s="127">
        <f>'BUDGET '!G32-'ACTUAL SPENT '!G31</f>
        <v>2000000</v>
      </c>
      <c r="H31" s="127">
        <f>'BUDGET '!H32-'ACTUAL SPENT '!H31</f>
        <v>0</v>
      </c>
      <c r="I31" s="127">
        <f>'BUDGET '!I32-'ACTUAL SPENT '!I31</f>
        <v>0</v>
      </c>
      <c r="J31" s="127">
        <f>'BUDGET '!J32-'ACTUAL SPENT '!J31</f>
        <v>2000000</v>
      </c>
      <c r="K31" s="127">
        <f>'BUDGET '!K32-'ACTUAL SPENT '!K31</f>
        <v>0</v>
      </c>
      <c r="L31" s="127">
        <f>'BUDGET '!L32-'ACTUAL SPENT '!L31</f>
        <v>0</v>
      </c>
      <c r="M31" s="127">
        <f>'BUDGET '!M32-'ACTUAL SPENT '!M31</f>
        <v>2000000</v>
      </c>
      <c r="N31" s="127">
        <f t="shared" si="2"/>
        <v>6000000</v>
      </c>
    </row>
    <row r="32" spans="1:15" ht="15.75" customHeight="1">
      <c r="A32" s="23" t="s">
        <v>34</v>
      </c>
      <c r="B32" s="108"/>
      <c r="C32" s="116"/>
      <c r="D32" s="127">
        <f>'BUDGET '!D33-'ACTUAL SPENT '!D32</f>
        <v>0</v>
      </c>
      <c r="E32" s="127">
        <f>'BUDGET '!E33-'ACTUAL SPENT '!E32</f>
        <v>0</v>
      </c>
      <c r="F32" s="127">
        <f>'BUDGET '!F33-'ACTUAL SPENT '!F32</f>
        <v>0</v>
      </c>
      <c r="G32" s="127">
        <f>'BUDGET '!G33-'ACTUAL SPENT '!G32</f>
        <v>0</v>
      </c>
      <c r="H32" s="127">
        <f>'BUDGET '!H33-'ACTUAL SPENT '!H32</f>
        <v>0</v>
      </c>
      <c r="I32" s="127">
        <f>'BUDGET '!I33-'ACTUAL SPENT '!I32</f>
        <v>0</v>
      </c>
      <c r="J32" s="127">
        <f>'BUDGET '!J33-'ACTUAL SPENT '!J32</f>
        <v>0</v>
      </c>
      <c r="K32" s="127">
        <f>'BUDGET '!K33-'ACTUAL SPENT '!K32</f>
        <v>0</v>
      </c>
      <c r="L32" s="127">
        <f>'BUDGET '!L33-'ACTUAL SPENT '!L32</f>
        <v>0</v>
      </c>
      <c r="M32" s="127">
        <f>'BUDGET '!M33-'ACTUAL SPENT '!M32</f>
        <v>0</v>
      </c>
      <c r="N32" s="127">
        <f t="shared" si="2"/>
        <v>0</v>
      </c>
    </row>
    <row r="33" spans="1:14" ht="15.75" customHeight="1">
      <c r="A33" s="23" t="s">
        <v>35</v>
      </c>
      <c r="B33" s="108"/>
      <c r="C33" s="116"/>
      <c r="D33" s="127">
        <f>'BUDGET '!D34-'ACTUAL SPENT '!D33</f>
        <v>0</v>
      </c>
      <c r="E33" s="127">
        <f>'BUDGET '!E34-'ACTUAL SPENT '!E33</f>
        <v>0</v>
      </c>
      <c r="F33" s="127">
        <f>'BUDGET '!F34-'ACTUAL SPENT '!F33</f>
        <v>250000</v>
      </c>
      <c r="G33" s="127">
        <f>'BUDGET '!G34-'ACTUAL SPENT '!G33</f>
        <v>250000</v>
      </c>
      <c r="H33" s="127">
        <f>'BUDGET '!H34-'ACTUAL SPENT '!H33</f>
        <v>250000</v>
      </c>
      <c r="I33" s="127">
        <f>'BUDGET '!I34-'ACTUAL SPENT '!I33</f>
        <v>250000</v>
      </c>
      <c r="J33" s="127">
        <f>'BUDGET '!J34-'ACTUAL SPENT '!J33</f>
        <v>250000</v>
      </c>
      <c r="K33" s="127">
        <f>'BUDGET '!K34-'ACTUAL SPENT '!K33</f>
        <v>250000</v>
      </c>
      <c r="L33" s="127">
        <f>'BUDGET '!L34-'ACTUAL SPENT '!L33</f>
        <v>250000</v>
      </c>
      <c r="M33" s="127">
        <f>'BUDGET '!M34-'ACTUAL SPENT '!M33</f>
        <v>250000</v>
      </c>
      <c r="N33" s="127">
        <f t="shared" si="2"/>
        <v>2000000</v>
      </c>
    </row>
    <row r="34" spans="1:14" ht="15.75" customHeight="1">
      <c r="A34" s="23" t="s">
        <v>36</v>
      </c>
      <c r="B34" s="108"/>
      <c r="C34" s="116"/>
      <c r="D34" s="127">
        <f>'BUDGET '!D35-'ACTUAL SPENT '!D34</f>
        <v>0</v>
      </c>
      <c r="E34" s="127">
        <f>'BUDGET '!E35-'ACTUAL SPENT '!E34</f>
        <v>0</v>
      </c>
      <c r="F34" s="127">
        <f>'BUDGET '!F35-'ACTUAL SPENT '!F34</f>
        <v>400000</v>
      </c>
      <c r="G34" s="127">
        <f>'BUDGET '!G35-'ACTUAL SPENT '!G34</f>
        <v>400000</v>
      </c>
      <c r="H34" s="127">
        <f>'BUDGET '!H35-'ACTUAL SPENT '!H34</f>
        <v>400000</v>
      </c>
      <c r="I34" s="127">
        <f>'BUDGET '!I35-'ACTUAL SPENT '!I34</f>
        <v>400000</v>
      </c>
      <c r="J34" s="127">
        <f>'BUDGET '!J35-'ACTUAL SPENT '!J34</f>
        <v>400000</v>
      </c>
      <c r="K34" s="127">
        <f>'BUDGET '!K35-'ACTUAL SPENT '!K34</f>
        <v>400000</v>
      </c>
      <c r="L34" s="127">
        <f>'BUDGET '!L35-'ACTUAL SPENT '!L34</f>
        <v>400000</v>
      </c>
      <c r="M34" s="127">
        <f>'BUDGET '!M35-'ACTUAL SPENT '!M34</f>
        <v>400000</v>
      </c>
      <c r="N34" s="127">
        <f t="shared" si="2"/>
        <v>3200000</v>
      </c>
    </row>
    <row r="35" spans="1:14" ht="15.75" customHeight="1">
      <c r="A35" s="24" t="s">
        <v>37</v>
      </c>
      <c r="B35" s="110"/>
      <c r="C35" s="132"/>
      <c r="D35" s="127">
        <f>'BUDGET '!D36-'ACTUAL SPENT '!D35</f>
        <v>0</v>
      </c>
      <c r="E35" s="127">
        <f>'BUDGET '!E36-'ACTUAL SPENT '!E35</f>
        <v>0</v>
      </c>
      <c r="F35" s="127">
        <f>'BUDGET '!F36-'ACTUAL SPENT '!F35</f>
        <v>0</v>
      </c>
      <c r="G35" s="127">
        <f>'BUDGET '!G36-'ACTUAL SPENT '!G35</f>
        <v>0</v>
      </c>
      <c r="H35" s="127">
        <f>'BUDGET '!H36-'ACTUAL SPENT '!H35</f>
        <v>0</v>
      </c>
      <c r="I35" s="127">
        <f>'BUDGET '!I36-'ACTUAL SPENT '!I35</f>
        <v>0</v>
      </c>
      <c r="J35" s="127">
        <f>'BUDGET '!J36-'ACTUAL SPENT '!J35</f>
        <v>0</v>
      </c>
      <c r="K35" s="127">
        <f>'BUDGET '!K36-'ACTUAL SPENT '!K35</f>
        <v>0</v>
      </c>
      <c r="L35" s="127">
        <f>'BUDGET '!L36-'ACTUAL SPENT '!L35</f>
        <v>0</v>
      </c>
      <c r="M35" s="127">
        <f>'BUDGET '!M36-'ACTUAL SPENT '!M35</f>
        <v>0</v>
      </c>
      <c r="N35" s="127">
        <f t="shared" si="2"/>
        <v>0</v>
      </c>
    </row>
    <row r="36" spans="1:14" ht="15.75" customHeight="1">
      <c r="A36" s="24" t="s">
        <v>38</v>
      </c>
      <c r="B36" s="110"/>
      <c r="C36" s="132"/>
      <c r="D36" s="127">
        <f>'BUDGET '!D37-'ACTUAL SPENT '!D36</f>
        <v>0</v>
      </c>
      <c r="E36" s="127">
        <f>'BUDGET '!E37-'ACTUAL SPENT '!E36</f>
        <v>0</v>
      </c>
      <c r="F36" s="127">
        <f>'BUDGET '!F37-'ACTUAL SPENT '!F36</f>
        <v>0</v>
      </c>
      <c r="G36" s="127">
        <f>'BUDGET '!G37-'ACTUAL SPENT '!G36</f>
        <v>0</v>
      </c>
      <c r="H36" s="127">
        <f>'BUDGET '!H37-'ACTUAL SPENT '!H36</f>
        <v>0</v>
      </c>
      <c r="I36" s="127">
        <f>'BUDGET '!I37-'ACTUAL SPENT '!I36</f>
        <v>0</v>
      </c>
      <c r="J36" s="127">
        <f>'BUDGET '!J37-'ACTUAL SPENT '!J36</f>
        <v>0</v>
      </c>
      <c r="K36" s="127">
        <f>'BUDGET '!K37-'ACTUAL SPENT '!K36</f>
        <v>0</v>
      </c>
      <c r="L36" s="127">
        <f>'BUDGET '!L37-'ACTUAL SPENT '!L36</f>
        <v>0</v>
      </c>
      <c r="M36" s="127">
        <f>'BUDGET '!M37-'ACTUAL SPENT '!M36</f>
        <v>0</v>
      </c>
      <c r="N36" s="127">
        <f t="shared" si="2"/>
        <v>0</v>
      </c>
    </row>
    <row r="37" spans="1:14" ht="15.75" customHeight="1">
      <c r="A37" s="23" t="s">
        <v>39</v>
      </c>
      <c r="B37" s="108"/>
      <c r="C37" s="116"/>
      <c r="D37" s="127">
        <f>'BUDGET '!D38-'ACTUAL SPENT '!D37</f>
        <v>0</v>
      </c>
      <c r="E37" s="127">
        <f>'BUDGET '!E38-'ACTUAL SPENT '!E37</f>
        <v>3000000</v>
      </c>
      <c r="F37" s="127">
        <f>'BUDGET '!F38-'ACTUAL SPENT '!F37</f>
        <v>3000000</v>
      </c>
      <c r="G37" s="127">
        <f>'BUDGET '!G38-'ACTUAL SPENT '!G37</f>
        <v>3000000</v>
      </c>
      <c r="H37" s="127">
        <f>'BUDGET '!H38-'ACTUAL SPENT '!H37</f>
        <v>3000000</v>
      </c>
      <c r="I37" s="127">
        <f>'BUDGET '!I38-'ACTUAL SPENT '!I37</f>
        <v>3000000</v>
      </c>
      <c r="J37" s="127">
        <f>'BUDGET '!J38-'ACTUAL SPENT '!J37</f>
        <v>3000000</v>
      </c>
      <c r="K37" s="127">
        <f>'BUDGET '!K38-'ACTUAL SPENT '!K37</f>
        <v>3000000</v>
      </c>
      <c r="L37" s="127">
        <f>'BUDGET '!L38-'ACTUAL SPENT '!L37</f>
        <v>3000000</v>
      </c>
      <c r="M37" s="127">
        <f>'BUDGET '!M38-'ACTUAL SPENT '!M37</f>
        <v>3000000</v>
      </c>
      <c r="N37" s="127">
        <f t="shared" si="2"/>
        <v>27000000</v>
      </c>
    </row>
    <row r="38" spans="1:14" ht="15.75" customHeight="1">
      <c r="A38" s="24" t="s">
        <v>40</v>
      </c>
      <c r="B38" s="110"/>
      <c r="C38" s="132"/>
      <c r="D38" s="127">
        <f>'BUDGET '!D39-'ACTUAL SPENT '!D38</f>
        <v>0</v>
      </c>
      <c r="E38" s="127">
        <f>'BUDGET '!E39-'ACTUAL SPENT '!E38</f>
        <v>0</v>
      </c>
      <c r="F38" s="127">
        <f>'BUDGET '!F39-'ACTUAL SPENT '!F38</f>
        <v>0</v>
      </c>
      <c r="G38" s="127">
        <f>'BUDGET '!G39-'ACTUAL SPENT '!G38</f>
        <v>9153675</v>
      </c>
      <c r="H38" s="127">
        <f>'BUDGET '!H39-'ACTUAL SPENT '!H38</f>
        <v>0</v>
      </c>
      <c r="I38" s="127">
        <f>'BUDGET '!I39-'ACTUAL SPENT '!I38</f>
        <v>0</v>
      </c>
      <c r="J38" s="127">
        <f>'BUDGET '!J39-'ACTUAL SPENT '!J38</f>
        <v>0</v>
      </c>
      <c r="K38" s="127">
        <f>'BUDGET '!K39-'ACTUAL SPENT '!K38</f>
        <v>0</v>
      </c>
      <c r="L38" s="127">
        <f>'BUDGET '!L39-'ACTUAL SPENT '!L38</f>
        <v>0</v>
      </c>
      <c r="M38" s="127">
        <f>'BUDGET '!M39-'ACTUAL SPENT '!M38</f>
        <v>0</v>
      </c>
      <c r="N38" s="127">
        <f t="shared" si="2"/>
        <v>9153675</v>
      </c>
    </row>
    <row r="39" spans="1:14" ht="15.75" customHeight="1">
      <c r="A39" s="12"/>
      <c r="B39" s="109"/>
      <c r="C39" s="34"/>
      <c r="D39" s="34">
        <f>'BUDGET '!D40-'ACTUAL SPENT '!D39</f>
        <v>-3722854.37</v>
      </c>
      <c r="E39" s="34">
        <f>'BUDGET '!E40-'ACTUAL SPENT '!E39</f>
        <v>5114145.63</v>
      </c>
      <c r="F39" s="34">
        <f>'BUDGET '!F40-'ACTUAL SPENT '!F39</f>
        <v>12624554.67</v>
      </c>
      <c r="G39" s="34">
        <f>'BUDGET '!G40-'ACTUAL SPENT '!G39</f>
        <v>2130591.7145333327</v>
      </c>
      <c r="H39" s="34">
        <f>'BUDGET '!H40-'ACTUAL SPENT '!H39</f>
        <v>7698000</v>
      </c>
      <c r="I39" s="34">
        <f>'BUDGET '!I40-'ACTUAL SPENT '!I39</f>
        <v>7698000</v>
      </c>
      <c r="J39" s="34">
        <f>'BUDGET '!J40-'ACTUAL SPENT '!J39</f>
        <v>9698000</v>
      </c>
      <c r="K39" s="34">
        <f>'BUDGET '!K40-'ACTUAL SPENT '!K39</f>
        <v>7698000</v>
      </c>
      <c r="L39" s="34">
        <f>'BUDGET '!L40-'ACTUAL SPENT '!L39</f>
        <v>7698000</v>
      </c>
      <c r="M39" s="34">
        <f>'BUDGET '!M40-'ACTUAL SPENT '!M39</f>
        <v>9698000</v>
      </c>
      <c r="N39" s="34">
        <f t="shared" si="2"/>
        <v>66334437.644533336</v>
      </c>
    </row>
    <row r="40" spans="1:14" ht="15.75" customHeight="1">
      <c r="A40" s="13"/>
      <c r="B40" s="13"/>
      <c r="C40" s="133"/>
      <c r="D40" s="127">
        <f>'BUDGET '!D41-'ACTUAL SPENT '!D40</f>
        <v>0</v>
      </c>
      <c r="E40" s="127">
        <f>'BUDGET '!E41-'ACTUAL SPENT '!E40</f>
        <v>0</v>
      </c>
      <c r="F40" s="127">
        <f>'BUDGET '!F41-'ACTUAL SPENT '!F40</f>
        <v>0</v>
      </c>
      <c r="G40" s="127">
        <f>'BUDGET '!G41-'ACTUAL SPENT '!G40</f>
        <v>0</v>
      </c>
      <c r="H40" s="127">
        <f>'BUDGET '!H41-'ACTUAL SPENT '!H40</f>
        <v>0</v>
      </c>
      <c r="I40" s="127">
        <f>'BUDGET '!I41-'ACTUAL SPENT '!I40</f>
        <v>0</v>
      </c>
      <c r="J40" s="127">
        <f>'BUDGET '!J41-'ACTUAL SPENT '!J40</f>
        <v>0</v>
      </c>
      <c r="K40" s="127">
        <f>'BUDGET '!K41-'ACTUAL SPENT '!K40</f>
        <v>0</v>
      </c>
      <c r="L40" s="127">
        <f>'BUDGET '!L41-'ACTUAL SPENT '!L40</f>
        <v>0</v>
      </c>
      <c r="M40" s="127">
        <f>'BUDGET '!M41-'ACTUAL SPENT '!M40</f>
        <v>0</v>
      </c>
      <c r="N40" s="127">
        <f t="shared" si="2"/>
        <v>0</v>
      </c>
    </row>
    <row r="41" spans="1:14" ht="15.75" customHeight="1">
      <c r="A41" s="19" t="s">
        <v>41</v>
      </c>
      <c r="C41" s="116">
        <v>1.1000000000000001</v>
      </c>
      <c r="D41" s="127">
        <f>'BUDGET '!D42-'ACTUAL SPENT '!D41</f>
        <v>0</v>
      </c>
      <c r="E41" s="127">
        <f>'BUDGET '!E42-'ACTUAL SPENT '!E41</f>
        <v>0</v>
      </c>
      <c r="F41" s="127">
        <f>'BUDGET '!F42-'ACTUAL SPENT '!F41</f>
        <v>0</v>
      </c>
      <c r="G41" s="127">
        <f>'BUDGET '!G42-'ACTUAL SPENT '!G41</f>
        <v>0</v>
      </c>
      <c r="H41" s="127">
        <f>'BUDGET '!H42-'ACTUAL SPENT '!H41</f>
        <v>0</v>
      </c>
      <c r="I41" s="127">
        <f>'BUDGET '!I42-'ACTUAL SPENT '!I41</f>
        <v>0</v>
      </c>
      <c r="J41" s="127">
        <f>'BUDGET '!J42-'ACTUAL SPENT '!J41</f>
        <v>0</v>
      </c>
      <c r="K41" s="127">
        <f>'BUDGET '!K42-'ACTUAL SPENT '!K41</f>
        <v>0</v>
      </c>
      <c r="L41" s="127">
        <f>'BUDGET '!L42-'ACTUAL SPENT '!L41</f>
        <v>0</v>
      </c>
      <c r="M41" s="127">
        <f>'BUDGET '!M42-'ACTUAL SPENT '!M41</f>
        <v>0</v>
      </c>
      <c r="N41" s="127">
        <f t="shared" si="2"/>
        <v>0</v>
      </c>
    </row>
    <row r="42" spans="1:14" ht="15.75" customHeight="1">
      <c r="A42" s="25" t="s">
        <v>42</v>
      </c>
      <c r="B42" s="108"/>
      <c r="C42" s="116"/>
      <c r="D42" s="127">
        <f>'BUDGET '!D43-'ACTUAL SPENT '!D42</f>
        <v>0</v>
      </c>
      <c r="E42" s="127">
        <f>'BUDGET '!E43-'ACTUAL SPENT '!E42</f>
        <v>0</v>
      </c>
      <c r="F42" s="127">
        <f>'BUDGET '!F43-'ACTUAL SPENT '!F42</f>
        <v>2251027</v>
      </c>
      <c r="G42" s="127">
        <f>'BUDGET '!G43-'ACTUAL SPENT '!G42</f>
        <v>0</v>
      </c>
      <c r="H42" s="127">
        <f>'BUDGET '!H43-'ACTUAL SPENT '!H42</f>
        <v>0</v>
      </c>
      <c r="I42" s="127">
        <f>'BUDGET '!I43-'ACTUAL SPENT '!I42</f>
        <v>0</v>
      </c>
      <c r="J42" s="127">
        <f>'BUDGET '!J43-'ACTUAL SPENT '!J42</f>
        <v>0</v>
      </c>
      <c r="K42" s="127">
        <f>'BUDGET '!K43-'ACTUAL SPENT '!K42</f>
        <v>2476129.7000000002</v>
      </c>
      <c r="L42" s="127">
        <f>'BUDGET '!L43-'ACTUAL SPENT '!L42</f>
        <v>0</v>
      </c>
      <c r="M42" s="127">
        <f>'BUDGET '!M43-'ACTUAL SPENT '!M42</f>
        <v>0</v>
      </c>
      <c r="N42" s="127">
        <f t="shared" si="2"/>
        <v>4727156.7</v>
      </c>
    </row>
    <row r="43" spans="1:14" ht="15.75" customHeight="1">
      <c r="A43" s="25" t="s">
        <v>43</v>
      </c>
      <c r="B43" s="108"/>
      <c r="C43" s="116"/>
      <c r="D43" s="127">
        <f>'BUDGET '!D44-'ACTUAL SPENT '!D43</f>
        <v>0</v>
      </c>
      <c r="E43" s="127">
        <f>'BUDGET '!E44-'ACTUAL SPENT '!E43</f>
        <v>0</v>
      </c>
      <c r="F43" s="127">
        <f>'BUDGET '!F44-'ACTUAL SPENT '!F43</f>
        <v>5478430</v>
      </c>
      <c r="G43" s="127">
        <f>'BUDGET '!G44-'ACTUAL SPENT '!G43</f>
        <v>0</v>
      </c>
      <c r="H43" s="127">
        <f>'BUDGET '!H44-'ACTUAL SPENT '!H43</f>
        <v>0</v>
      </c>
      <c r="I43" s="127">
        <f>'BUDGET '!I44-'ACTUAL SPENT '!I43</f>
        <v>0</v>
      </c>
      <c r="J43" s="127">
        <f>'BUDGET '!J44-'ACTUAL SPENT '!J43</f>
        <v>0</v>
      </c>
      <c r="K43" s="127">
        <f>'BUDGET '!K44-'ACTUAL SPENT '!K43</f>
        <v>6026273.0000000009</v>
      </c>
      <c r="L43" s="127">
        <f>'BUDGET '!L44-'ACTUAL SPENT '!L43</f>
        <v>0</v>
      </c>
      <c r="M43" s="127">
        <f>'BUDGET '!M44-'ACTUAL SPENT '!M43</f>
        <v>0</v>
      </c>
      <c r="N43" s="127">
        <f t="shared" si="2"/>
        <v>11504703</v>
      </c>
    </row>
    <row r="44" spans="1:14" ht="15.75" customHeight="1">
      <c r="A44" s="25" t="s">
        <v>44</v>
      </c>
      <c r="B44" s="108"/>
      <c r="C44" s="116"/>
      <c r="D44" s="127">
        <f>'BUDGET '!D45-'ACTUAL SPENT '!D44</f>
        <v>0</v>
      </c>
      <c r="E44" s="127">
        <f>'BUDGET '!E45-'ACTUAL SPENT '!E44</f>
        <v>0</v>
      </c>
      <c r="F44" s="127">
        <f>'BUDGET '!F45-'ACTUAL SPENT '!F44</f>
        <v>3214346</v>
      </c>
      <c r="G44" s="127">
        <f>'BUDGET '!G45-'ACTUAL SPENT '!G44</f>
        <v>0</v>
      </c>
      <c r="H44" s="127">
        <f>'BUDGET '!H45-'ACTUAL SPENT '!H44</f>
        <v>0</v>
      </c>
      <c r="I44" s="127">
        <f>'BUDGET '!I45-'ACTUAL SPENT '!I44</f>
        <v>0</v>
      </c>
      <c r="J44" s="127">
        <f>'BUDGET '!J45-'ACTUAL SPENT '!J44</f>
        <v>0</v>
      </c>
      <c r="K44" s="127">
        <f>'BUDGET '!K45-'ACTUAL SPENT '!K44</f>
        <v>3535780.6</v>
      </c>
      <c r="L44" s="127">
        <f>'BUDGET '!L45-'ACTUAL SPENT '!L44</f>
        <v>0</v>
      </c>
      <c r="M44" s="127">
        <f>'BUDGET '!M45-'ACTUAL SPENT '!M44</f>
        <v>0</v>
      </c>
      <c r="N44" s="127">
        <f t="shared" si="2"/>
        <v>6750126.5999999996</v>
      </c>
    </row>
    <row r="45" spans="1:14" ht="15.75" customHeight="1">
      <c r="A45" s="25" t="s">
        <v>45</v>
      </c>
      <c r="B45" s="108"/>
      <c r="C45" s="116"/>
      <c r="D45" s="127">
        <f>'BUDGET '!D46-'ACTUAL SPENT '!D45</f>
        <v>0</v>
      </c>
      <c r="E45" s="127">
        <f>'BUDGET '!E46-'ACTUAL SPENT '!E45</f>
        <v>0</v>
      </c>
      <c r="F45" s="127">
        <f>'BUDGET '!F46-'ACTUAL SPENT '!F45</f>
        <v>4017435</v>
      </c>
      <c r="G45" s="127">
        <f>'BUDGET '!G46-'ACTUAL SPENT '!G45</f>
        <v>0</v>
      </c>
      <c r="H45" s="127">
        <f>'BUDGET '!H46-'ACTUAL SPENT '!H45</f>
        <v>0</v>
      </c>
      <c r="I45" s="127">
        <f>'BUDGET '!I46-'ACTUAL SPENT '!I45</f>
        <v>0</v>
      </c>
      <c r="J45" s="127">
        <f>'BUDGET '!J46-'ACTUAL SPENT '!J45</f>
        <v>0</v>
      </c>
      <c r="K45" s="127">
        <f>'BUDGET '!K46-'ACTUAL SPENT '!K45</f>
        <v>4017435</v>
      </c>
      <c r="L45" s="127">
        <f>'BUDGET '!L46-'ACTUAL SPENT '!L45</f>
        <v>0</v>
      </c>
      <c r="M45" s="127">
        <f>'BUDGET '!M46-'ACTUAL SPENT '!M45</f>
        <v>0</v>
      </c>
      <c r="N45" s="127">
        <f t="shared" si="2"/>
        <v>8034870</v>
      </c>
    </row>
    <row r="46" spans="1:14" ht="15.75" customHeight="1">
      <c r="A46" s="25" t="s">
        <v>46</v>
      </c>
      <c r="B46" s="108"/>
      <c r="C46" s="116"/>
      <c r="D46" s="127">
        <f>'BUDGET '!D47-'ACTUAL SPENT '!D46</f>
        <v>0</v>
      </c>
      <c r="E46" s="127">
        <f>'BUDGET '!E47-'ACTUAL SPENT '!E46</f>
        <v>0</v>
      </c>
      <c r="F46" s="127">
        <f>'BUDGET '!F47-'ACTUAL SPENT '!F46</f>
        <v>548642</v>
      </c>
      <c r="G46" s="127">
        <f>'BUDGET '!G47-'ACTUAL SPENT '!G46</f>
        <v>0</v>
      </c>
      <c r="H46" s="127">
        <f>'BUDGET '!H47-'ACTUAL SPENT '!H46</f>
        <v>0</v>
      </c>
      <c r="I46" s="127">
        <f>'BUDGET '!I47-'ACTUAL SPENT '!I46</f>
        <v>0</v>
      </c>
      <c r="J46" s="127">
        <f>'BUDGET '!J47-'ACTUAL SPENT '!J46</f>
        <v>0</v>
      </c>
      <c r="K46" s="127">
        <f>'BUDGET '!K47-'ACTUAL SPENT '!K46</f>
        <v>548642</v>
      </c>
      <c r="L46" s="127">
        <f>'BUDGET '!L47-'ACTUAL SPENT '!L46</f>
        <v>0</v>
      </c>
      <c r="M46" s="127">
        <f>'BUDGET '!M47-'ACTUAL SPENT '!M46</f>
        <v>0</v>
      </c>
      <c r="N46" s="127">
        <f t="shared" si="2"/>
        <v>1097284</v>
      </c>
    </row>
    <row r="47" spans="1:14" ht="15.75" customHeight="1">
      <c r="A47" s="23" t="s">
        <v>47</v>
      </c>
      <c r="B47" s="108"/>
      <c r="C47" s="116"/>
      <c r="D47" s="127">
        <f>'BUDGET '!D48-'ACTUAL SPENT '!D47</f>
        <v>0</v>
      </c>
      <c r="E47" s="127">
        <f>'BUDGET '!E48-'ACTUAL SPENT '!E47</f>
        <v>0</v>
      </c>
      <c r="F47" s="127">
        <f>'BUDGET '!F48-'ACTUAL SPENT '!F47</f>
        <v>0</v>
      </c>
      <c r="G47" s="127">
        <f>'BUDGET '!G48-'ACTUAL SPENT '!G47</f>
        <v>750000</v>
      </c>
      <c r="H47" s="127">
        <f>'BUDGET '!H48-'ACTUAL SPENT '!H47</f>
        <v>0</v>
      </c>
      <c r="I47" s="127">
        <f>'BUDGET '!I48-'ACTUAL SPENT '!I47</f>
        <v>0</v>
      </c>
      <c r="J47" s="127">
        <f>'BUDGET '!J48-'ACTUAL SPENT '!J47</f>
        <v>750000</v>
      </c>
      <c r="K47" s="127">
        <f>'BUDGET '!K48-'ACTUAL SPENT '!K47</f>
        <v>0</v>
      </c>
      <c r="L47" s="127">
        <f>'BUDGET '!L48-'ACTUAL SPENT '!L47</f>
        <v>0</v>
      </c>
      <c r="M47" s="127">
        <f>'BUDGET '!M48-'ACTUAL SPENT '!M47</f>
        <v>750000</v>
      </c>
      <c r="N47" s="127">
        <f t="shared" si="2"/>
        <v>2250000</v>
      </c>
    </row>
    <row r="48" spans="1:14" ht="15.75" customHeight="1">
      <c r="A48" s="23" t="s">
        <v>48</v>
      </c>
      <c r="B48" s="108"/>
      <c r="C48" s="116"/>
      <c r="D48" s="127">
        <f>'BUDGET '!D49-'ACTUAL SPENT '!D48</f>
        <v>0</v>
      </c>
      <c r="E48" s="127">
        <f>'BUDGET '!E49-'ACTUAL SPENT '!E48</f>
        <v>0</v>
      </c>
      <c r="F48" s="127">
        <f>'BUDGET '!F49-'ACTUAL SPENT '!F48</f>
        <v>0</v>
      </c>
      <c r="G48" s="127">
        <f>'BUDGET '!G49-'ACTUAL SPENT '!G48</f>
        <v>2000000</v>
      </c>
      <c r="H48" s="127">
        <f>'BUDGET '!H49-'ACTUAL SPENT '!H48</f>
        <v>0</v>
      </c>
      <c r="I48" s="127">
        <f>'BUDGET '!I49-'ACTUAL SPENT '!I48</f>
        <v>0</v>
      </c>
      <c r="J48" s="127">
        <f>'BUDGET '!J49-'ACTUAL SPENT '!J48</f>
        <v>2000000</v>
      </c>
      <c r="K48" s="127">
        <f>'BUDGET '!K49-'ACTUAL SPENT '!K48</f>
        <v>0</v>
      </c>
      <c r="L48" s="127">
        <f>'BUDGET '!L49-'ACTUAL SPENT '!L48</f>
        <v>0</v>
      </c>
      <c r="M48" s="127">
        <f>'BUDGET '!M49-'ACTUAL SPENT '!M48</f>
        <v>2000000</v>
      </c>
      <c r="N48" s="127">
        <f t="shared" si="2"/>
        <v>6000000</v>
      </c>
    </row>
    <row r="49" spans="1:15" ht="15.75" customHeight="1">
      <c r="A49" s="23" t="s">
        <v>49</v>
      </c>
      <c r="B49" s="108"/>
      <c r="C49" s="116"/>
      <c r="D49" s="127">
        <f>'BUDGET '!D50-'ACTUAL SPENT '!D49</f>
        <v>0</v>
      </c>
      <c r="E49" s="127">
        <f>'BUDGET '!E50-'ACTUAL SPENT '!E49</f>
        <v>0</v>
      </c>
      <c r="F49" s="127">
        <f>'BUDGET '!F50-'ACTUAL SPENT '!F49</f>
        <v>300000</v>
      </c>
      <c r="G49" s="127">
        <f>'BUDGET '!G50-'ACTUAL SPENT '!G49</f>
        <v>300000</v>
      </c>
      <c r="H49" s="127">
        <f>'BUDGET '!H50-'ACTUAL SPENT '!H49</f>
        <v>300000</v>
      </c>
      <c r="I49" s="127">
        <f>'BUDGET '!I50-'ACTUAL SPENT '!I49</f>
        <v>300000</v>
      </c>
      <c r="J49" s="127">
        <f>'BUDGET '!J50-'ACTUAL SPENT '!J49</f>
        <v>300000</v>
      </c>
      <c r="K49" s="127">
        <f>'BUDGET '!K50-'ACTUAL SPENT '!K49</f>
        <v>300000</v>
      </c>
      <c r="L49" s="127">
        <f>'BUDGET '!L50-'ACTUAL SPENT '!L49</f>
        <v>300000</v>
      </c>
      <c r="M49" s="127">
        <f>'BUDGET '!M50-'ACTUAL SPENT '!M49</f>
        <v>300000</v>
      </c>
      <c r="N49" s="127">
        <f t="shared" si="2"/>
        <v>2400000</v>
      </c>
    </row>
    <row r="50" spans="1:15" ht="15.75" customHeight="1">
      <c r="A50" s="12"/>
      <c r="B50" s="109"/>
      <c r="C50" s="141"/>
      <c r="D50" s="141">
        <f>'BUDGET '!D51-'ACTUAL SPENT '!D50</f>
        <v>0</v>
      </c>
      <c r="E50" s="141">
        <f>'BUDGET '!E51-'ACTUAL SPENT '!E50</f>
        <v>0</v>
      </c>
      <c r="F50" s="141">
        <f>'BUDGET '!F51-'ACTUAL SPENT '!F50</f>
        <v>15809880</v>
      </c>
      <c r="G50" s="141">
        <f>'BUDGET '!G51-'ACTUAL SPENT '!G50</f>
        <v>3050000</v>
      </c>
      <c r="H50" s="141">
        <f>'BUDGET '!H51-'ACTUAL SPENT '!H50</f>
        <v>300000</v>
      </c>
      <c r="I50" s="141">
        <f>'BUDGET '!I51-'ACTUAL SPENT '!I50</f>
        <v>300000</v>
      </c>
      <c r="J50" s="141">
        <f>'BUDGET '!J51-'ACTUAL SPENT '!J50</f>
        <v>3050000</v>
      </c>
      <c r="K50" s="141">
        <f>'BUDGET '!K51-'ACTUAL SPENT '!K50</f>
        <v>16904260.300000001</v>
      </c>
      <c r="L50" s="141">
        <f>'BUDGET '!L51-'ACTUAL SPENT '!L50</f>
        <v>300000</v>
      </c>
      <c r="M50" s="141">
        <f>'BUDGET '!M51-'ACTUAL SPENT '!M50</f>
        <v>3050000</v>
      </c>
      <c r="N50" s="141">
        <f t="shared" si="2"/>
        <v>42764140.299999997</v>
      </c>
    </row>
    <row r="51" spans="1:15" ht="15.75" customHeight="1">
      <c r="C51" s="116"/>
      <c r="D51" s="127">
        <f>'BUDGET '!D52-'ACTUAL SPENT '!D51</f>
        <v>0</v>
      </c>
      <c r="E51" s="127">
        <f>'BUDGET '!E52-'ACTUAL SPENT '!E51</f>
        <v>0</v>
      </c>
      <c r="F51" s="127">
        <f>'BUDGET '!F52-'ACTUAL SPENT '!F51</f>
        <v>0</v>
      </c>
      <c r="G51" s="127">
        <f>'BUDGET '!G52-'ACTUAL SPENT '!G51</f>
        <v>0</v>
      </c>
      <c r="H51" s="127">
        <f>'BUDGET '!H52-'ACTUAL SPENT '!H51</f>
        <v>0</v>
      </c>
      <c r="I51" s="127">
        <f>'BUDGET '!I52-'ACTUAL SPENT '!I51</f>
        <v>0</v>
      </c>
      <c r="J51" s="127">
        <f>'BUDGET '!J52-'ACTUAL SPENT '!J51</f>
        <v>0</v>
      </c>
      <c r="K51" s="127">
        <f>'BUDGET '!K52-'ACTUAL SPENT '!K51</f>
        <v>0</v>
      </c>
      <c r="L51" s="127">
        <f>'BUDGET '!L52-'ACTUAL SPENT '!L51</f>
        <v>0</v>
      </c>
      <c r="M51" s="127">
        <f>'BUDGET '!M52-'ACTUAL SPENT '!M51</f>
        <v>0</v>
      </c>
      <c r="N51" s="127">
        <f t="shared" si="2"/>
        <v>0</v>
      </c>
    </row>
    <row r="52" spans="1:15" ht="15.75" customHeight="1">
      <c r="A52" s="13" t="s">
        <v>50</v>
      </c>
      <c r="B52" t="s">
        <v>51</v>
      </c>
      <c r="C52" s="116"/>
      <c r="D52" s="127">
        <f>'BUDGET '!D53-'ACTUAL SPENT '!D52</f>
        <v>0</v>
      </c>
      <c r="E52" s="127">
        <f>'BUDGET '!E53-'ACTUAL SPENT '!E52</f>
        <v>0</v>
      </c>
      <c r="F52" s="127">
        <f>'BUDGET '!F53-'ACTUAL SPENT '!F52</f>
        <v>0</v>
      </c>
      <c r="G52" s="127">
        <f>'BUDGET '!G53-'ACTUAL SPENT '!G52</f>
        <v>0</v>
      </c>
      <c r="H52" s="127">
        <f>'BUDGET '!H53-'ACTUAL SPENT '!H52</f>
        <v>0</v>
      </c>
      <c r="I52" s="127">
        <f>'BUDGET '!I53-'ACTUAL SPENT '!I52</f>
        <v>0</v>
      </c>
      <c r="J52" s="127">
        <f>'BUDGET '!J53-'ACTUAL SPENT '!J52</f>
        <v>0</v>
      </c>
      <c r="K52" s="127">
        <f>'BUDGET '!K53-'ACTUAL SPENT '!K52</f>
        <v>0</v>
      </c>
      <c r="L52" s="127">
        <f>'BUDGET '!L53-'ACTUAL SPENT '!L52</f>
        <v>0</v>
      </c>
      <c r="M52" s="127">
        <f>'BUDGET '!M53-'ACTUAL SPENT '!M52</f>
        <v>0</v>
      </c>
      <c r="N52" s="127">
        <f t="shared" si="2"/>
        <v>0</v>
      </c>
    </row>
    <row r="53" spans="1:15" ht="15.75" customHeight="1">
      <c r="A53" s="24" t="s">
        <v>52</v>
      </c>
      <c r="B53" s="110"/>
      <c r="C53" s="132"/>
      <c r="D53" s="127">
        <f>'BUDGET '!D54-'ACTUAL SPENT '!D53</f>
        <v>0</v>
      </c>
      <c r="E53" s="127">
        <f>'BUDGET '!E54-'ACTUAL SPENT '!E53</f>
        <v>0</v>
      </c>
      <c r="F53" s="127">
        <f>'BUDGET '!F54-'ACTUAL SPENT '!F53</f>
        <v>2572224</v>
      </c>
      <c r="G53" s="127">
        <f>'BUDGET '!G54-'ACTUAL SPENT '!G53</f>
        <v>0</v>
      </c>
      <c r="H53" s="127">
        <f>'BUDGET '!H54-'ACTUAL SPENT '!H53</f>
        <v>0</v>
      </c>
      <c r="I53" s="127">
        <f>'BUDGET '!I54-'ACTUAL SPENT '!I53</f>
        <v>0</v>
      </c>
      <c r="J53" s="127">
        <f>'BUDGET '!J54-'ACTUAL SPENT '!J53</f>
        <v>0</v>
      </c>
      <c r="K53" s="127">
        <f>'BUDGET '!K54-'ACTUAL SPENT '!K53</f>
        <v>0</v>
      </c>
      <c r="L53" s="127">
        <f>'BUDGET '!L54-'ACTUAL SPENT '!L53</f>
        <v>0</v>
      </c>
      <c r="M53" s="127">
        <f>'BUDGET '!M54-'ACTUAL SPENT '!M53</f>
        <v>0</v>
      </c>
      <c r="N53" s="127">
        <f t="shared" si="2"/>
        <v>2572224</v>
      </c>
    </row>
    <row r="54" spans="1:15" ht="15.75" customHeight="1">
      <c r="A54" s="21" t="s">
        <v>53</v>
      </c>
      <c r="B54" s="110"/>
      <c r="C54" s="132"/>
      <c r="D54" s="127">
        <f>'BUDGET '!D55-'ACTUAL SPENT '!D54</f>
        <v>0</v>
      </c>
      <c r="E54" s="127">
        <f>'BUDGET '!E55-'ACTUAL SPENT '!E54</f>
        <v>0</v>
      </c>
      <c r="F54" s="127">
        <f>'BUDGET '!F55-'ACTUAL SPENT '!F54</f>
        <v>536640</v>
      </c>
      <c r="G54" s="127">
        <f>'BUDGET '!G55-'ACTUAL SPENT '!G54</f>
        <v>0</v>
      </c>
      <c r="H54" s="127">
        <f>'BUDGET '!H55-'ACTUAL SPENT '!H54</f>
        <v>0</v>
      </c>
      <c r="I54" s="127">
        <f>'BUDGET '!I55-'ACTUAL SPENT '!I54</f>
        <v>0</v>
      </c>
      <c r="J54" s="127">
        <f>'BUDGET '!J55-'ACTUAL SPENT '!J54</f>
        <v>0</v>
      </c>
      <c r="K54" s="127">
        <f>'BUDGET '!K55-'ACTUAL SPENT '!K54</f>
        <v>0</v>
      </c>
      <c r="L54" s="127">
        <f>'BUDGET '!L55-'ACTUAL SPENT '!L54</f>
        <v>0</v>
      </c>
      <c r="M54" s="127">
        <f>'BUDGET '!M55-'ACTUAL SPENT '!M54</f>
        <v>0</v>
      </c>
      <c r="N54" s="127">
        <f t="shared" si="2"/>
        <v>536640</v>
      </c>
    </row>
    <row r="55" spans="1:15" ht="15.75" customHeight="1">
      <c r="A55" s="21" t="s">
        <v>54</v>
      </c>
      <c r="B55" s="108"/>
      <c r="C55" s="116"/>
      <c r="D55" s="127">
        <f>'BUDGET '!D56-'ACTUAL SPENT '!D55</f>
        <v>-11610</v>
      </c>
      <c r="E55" s="127">
        <f>'BUDGET '!E56-'ACTUAL SPENT '!E55</f>
        <v>-11610</v>
      </c>
      <c r="F55" s="127">
        <f>'BUDGET '!F56-'ACTUAL SPENT '!F55</f>
        <v>3217616</v>
      </c>
      <c r="G55" s="127">
        <f>'BUDGET '!G56-'ACTUAL SPENT '!G55</f>
        <v>-1274798.8</v>
      </c>
      <c r="H55" s="127">
        <f>'BUDGET '!H56-'ACTUAL SPENT '!H55</f>
        <v>0</v>
      </c>
      <c r="I55" s="127">
        <f>'BUDGET '!I56-'ACTUAL SPENT '!I55</f>
        <v>0</v>
      </c>
      <c r="J55" s="127">
        <f>'BUDGET '!J56-'ACTUAL SPENT '!J55</f>
        <v>0</v>
      </c>
      <c r="K55" s="127">
        <f>'BUDGET '!K56-'ACTUAL SPENT '!K55</f>
        <v>0</v>
      </c>
      <c r="L55" s="127">
        <f>'BUDGET '!L56-'ACTUAL SPENT '!L55</f>
        <v>0</v>
      </c>
      <c r="M55" s="127">
        <f>'BUDGET '!M56-'ACTUAL SPENT '!M55</f>
        <v>0</v>
      </c>
      <c r="N55" s="127">
        <f t="shared" si="2"/>
        <v>1919597.2</v>
      </c>
    </row>
    <row r="56" spans="1:15" ht="15.75" customHeight="1">
      <c r="A56" s="21" t="s">
        <v>55</v>
      </c>
      <c r="B56" s="110"/>
      <c r="C56" s="132"/>
      <c r="D56" s="127">
        <f>'BUDGET '!D57-'ACTUAL SPENT '!D56</f>
        <v>0</v>
      </c>
      <c r="E56" s="127">
        <f>'BUDGET '!E57-'ACTUAL SPENT '!E56</f>
        <v>0</v>
      </c>
      <c r="F56" s="127">
        <f>'BUDGET '!F57-'ACTUAL SPENT '!F56</f>
        <v>526622</v>
      </c>
      <c r="G56" s="127">
        <f>'BUDGET '!G57-'ACTUAL SPENT '!G56</f>
        <v>0</v>
      </c>
      <c r="H56" s="127">
        <f>'BUDGET '!H57-'ACTUAL SPENT '!H56</f>
        <v>0</v>
      </c>
      <c r="I56" s="127">
        <f>'BUDGET '!I57-'ACTUAL SPENT '!I56</f>
        <v>0</v>
      </c>
      <c r="J56" s="127">
        <f>'BUDGET '!J57-'ACTUAL SPENT '!J56</f>
        <v>0</v>
      </c>
      <c r="K56" s="127">
        <f>'BUDGET '!K57-'ACTUAL SPENT '!K56</f>
        <v>0</v>
      </c>
      <c r="L56" s="127">
        <f>'BUDGET '!L57-'ACTUAL SPENT '!L56</f>
        <v>0</v>
      </c>
      <c r="M56" s="127">
        <f>'BUDGET '!M57-'ACTUAL SPENT '!M56</f>
        <v>0</v>
      </c>
      <c r="N56" s="127">
        <f t="shared" si="2"/>
        <v>526622</v>
      </c>
    </row>
    <row r="57" spans="1:15" ht="15.75" customHeight="1">
      <c r="A57" s="21" t="s">
        <v>56</v>
      </c>
      <c r="B57" s="110"/>
      <c r="C57" s="132"/>
      <c r="D57" s="127">
        <f>'BUDGET '!D58-'ACTUAL SPENT '!D57</f>
        <v>0</v>
      </c>
      <c r="E57" s="127">
        <f>'BUDGET '!E58-'ACTUAL SPENT '!E57</f>
        <v>0</v>
      </c>
      <c r="F57" s="127">
        <f>'BUDGET '!F58-'ACTUAL SPENT '!F57</f>
        <v>6491523</v>
      </c>
      <c r="G57" s="127">
        <f>'BUDGET '!G58-'ACTUAL SPENT '!G57</f>
        <v>0</v>
      </c>
      <c r="H57" s="127">
        <f>'BUDGET '!H58-'ACTUAL SPENT '!H57</f>
        <v>0</v>
      </c>
      <c r="I57" s="127">
        <f>'BUDGET '!I58-'ACTUAL SPENT '!I57</f>
        <v>0</v>
      </c>
      <c r="J57" s="127">
        <f>'BUDGET '!J58-'ACTUAL SPENT '!J57</f>
        <v>0</v>
      </c>
      <c r="K57" s="127">
        <f>'BUDGET '!K58-'ACTUAL SPENT '!K57</f>
        <v>0</v>
      </c>
      <c r="L57" s="127">
        <f>'BUDGET '!L58-'ACTUAL SPENT '!L57</f>
        <v>0</v>
      </c>
      <c r="M57" s="127">
        <f>'BUDGET '!M58-'ACTUAL SPENT '!M57</f>
        <v>0</v>
      </c>
      <c r="N57" s="127">
        <f t="shared" si="2"/>
        <v>6491523</v>
      </c>
    </row>
    <row r="58" spans="1:15" ht="15.75" customHeight="1">
      <c r="A58" s="21" t="s">
        <v>57</v>
      </c>
      <c r="B58" s="110"/>
      <c r="C58" s="132"/>
      <c r="D58" s="127">
        <f>'BUDGET '!D59-'ACTUAL SPENT '!D58</f>
        <v>0</v>
      </c>
      <c r="E58" s="127">
        <f>'BUDGET '!E59-'ACTUAL SPENT '!E58</f>
        <v>0</v>
      </c>
      <c r="F58" s="127">
        <f>'BUDGET '!F59-'ACTUAL SPENT '!F58</f>
        <v>1825000</v>
      </c>
      <c r="G58" s="127">
        <f>'BUDGET '!G59-'ACTUAL SPENT '!G58</f>
        <v>-2818000</v>
      </c>
      <c r="H58" s="127">
        <f>'BUDGET '!H59-'ACTUAL SPENT '!H58</f>
        <v>0</v>
      </c>
      <c r="I58" s="127">
        <f>'BUDGET '!I59-'ACTUAL SPENT '!I58</f>
        <v>0</v>
      </c>
      <c r="J58" s="127">
        <f>'BUDGET '!J59-'ACTUAL SPENT '!J58</f>
        <v>0</v>
      </c>
      <c r="K58" s="127">
        <f>'BUDGET '!K59-'ACTUAL SPENT '!K58</f>
        <v>0</v>
      </c>
      <c r="L58" s="127">
        <f>'BUDGET '!L59-'ACTUAL SPENT '!L58</f>
        <v>0</v>
      </c>
      <c r="M58" s="127">
        <f>'BUDGET '!M59-'ACTUAL SPENT '!M58</f>
        <v>0</v>
      </c>
      <c r="N58" s="127">
        <f t="shared" si="2"/>
        <v>-993000</v>
      </c>
    </row>
    <row r="59" spans="1:15" s="13" customFormat="1" ht="15.75" customHeight="1">
      <c r="A59" s="12"/>
      <c r="B59" s="12"/>
      <c r="C59" s="12"/>
      <c r="D59" s="141">
        <f>'BUDGET '!D60-'ACTUAL SPENT '!D59</f>
        <v>-11610</v>
      </c>
      <c r="E59" s="141">
        <f>'BUDGET '!E60-'ACTUAL SPENT '!E59</f>
        <v>-11610</v>
      </c>
      <c r="F59" s="141">
        <f>'BUDGET '!F60-'ACTUAL SPENT '!F59</f>
        <v>15169625</v>
      </c>
      <c r="G59" s="141">
        <f>'BUDGET '!G60-'ACTUAL SPENT '!G59</f>
        <v>-4092798.8</v>
      </c>
      <c r="H59" s="141">
        <f>'BUDGET '!H60-'ACTUAL SPENT '!H59</f>
        <v>0</v>
      </c>
      <c r="I59" s="141">
        <f>'BUDGET '!I60-'ACTUAL SPENT '!I59</f>
        <v>0</v>
      </c>
      <c r="J59" s="141">
        <f>'BUDGET '!J60-'ACTUAL SPENT '!J59</f>
        <v>0</v>
      </c>
      <c r="K59" s="141">
        <f>'BUDGET '!K60-'ACTUAL SPENT '!K59</f>
        <v>0</v>
      </c>
      <c r="L59" s="141">
        <f>'BUDGET '!L60-'ACTUAL SPENT '!L59</f>
        <v>0</v>
      </c>
      <c r="M59" s="141">
        <f>'BUDGET '!M60-'ACTUAL SPENT '!M59</f>
        <v>0</v>
      </c>
      <c r="N59" s="141">
        <f t="shared" ref="N59" si="3">SUM(D59:M59)</f>
        <v>11053606.199999999</v>
      </c>
      <c r="O59" s="78"/>
    </row>
    <row r="60" spans="1:15" ht="15.75" customHeight="1">
      <c r="A60" s="26"/>
      <c r="C60" s="116"/>
      <c r="D60" s="127">
        <f>'BUDGET '!D61-'ACTUAL SPENT '!D60</f>
        <v>0</v>
      </c>
      <c r="E60" s="127">
        <f>'BUDGET '!E61-'ACTUAL SPENT '!E60</f>
        <v>0</v>
      </c>
      <c r="F60" s="127">
        <f>'BUDGET '!F61-'ACTUAL SPENT '!F60</f>
        <v>0</v>
      </c>
      <c r="G60" s="127">
        <f>'BUDGET '!G61-'ACTUAL SPENT '!G60</f>
        <v>0</v>
      </c>
      <c r="H60" s="127">
        <f>'BUDGET '!H61-'ACTUAL SPENT '!H60</f>
        <v>0</v>
      </c>
      <c r="I60" s="127">
        <f>'BUDGET '!I61-'ACTUAL SPENT '!I60</f>
        <v>0</v>
      </c>
      <c r="J60" s="127">
        <f>'BUDGET '!J61-'ACTUAL SPENT '!J60</f>
        <v>0</v>
      </c>
      <c r="K60" s="127">
        <f>'BUDGET '!K61-'ACTUAL SPENT '!K60</f>
        <v>0</v>
      </c>
      <c r="L60" s="127">
        <f>'BUDGET '!L61-'ACTUAL SPENT '!L60</f>
        <v>0</v>
      </c>
      <c r="M60" s="127">
        <f>'BUDGET '!M61-'ACTUAL SPENT '!M60</f>
        <v>0</v>
      </c>
      <c r="N60" s="127">
        <f t="shared" si="2"/>
        <v>0</v>
      </c>
    </row>
    <row r="61" spans="1:15" ht="15.75" customHeight="1">
      <c r="C61" s="116"/>
      <c r="D61" s="127">
        <f>'BUDGET '!D62-'ACTUAL SPENT '!D61</f>
        <v>0</v>
      </c>
      <c r="E61" s="127">
        <f>'BUDGET '!E62-'ACTUAL SPENT '!E61</f>
        <v>0</v>
      </c>
      <c r="F61" s="127">
        <f>'BUDGET '!F62-'ACTUAL SPENT '!F61</f>
        <v>0</v>
      </c>
      <c r="G61" s="127">
        <f>'BUDGET '!G62-'ACTUAL SPENT '!G61</f>
        <v>0</v>
      </c>
      <c r="H61" s="127">
        <f>'BUDGET '!H62-'ACTUAL SPENT '!H61</f>
        <v>0</v>
      </c>
      <c r="I61" s="127">
        <f>'BUDGET '!I62-'ACTUAL SPENT '!I61</f>
        <v>0</v>
      </c>
      <c r="J61" s="127">
        <f>'BUDGET '!J62-'ACTUAL SPENT '!J61</f>
        <v>0</v>
      </c>
      <c r="K61" s="127">
        <f>'BUDGET '!K62-'ACTUAL SPENT '!K61</f>
        <v>0</v>
      </c>
      <c r="L61" s="127">
        <f>'BUDGET '!L62-'ACTUAL SPENT '!L61</f>
        <v>0</v>
      </c>
      <c r="M61" s="127">
        <f>'BUDGET '!M62-'ACTUAL SPENT '!M61</f>
        <v>0</v>
      </c>
      <c r="N61" s="127">
        <f t="shared" si="2"/>
        <v>0</v>
      </c>
    </row>
    <row r="62" spans="1:15" ht="15.75" customHeight="1">
      <c r="A62" s="19" t="s">
        <v>58</v>
      </c>
      <c r="B62" t="s">
        <v>59</v>
      </c>
      <c r="C62" s="116"/>
      <c r="D62" s="127">
        <f>'BUDGET '!D63-'ACTUAL SPENT '!D62</f>
        <v>0</v>
      </c>
      <c r="E62" s="127">
        <f>'BUDGET '!E63-'ACTUAL SPENT '!E62</f>
        <v>0</v>
      </c>
      <c r="F62" s="127">
        <f>'BUDGET '!F63-'ACTUAL SPENT '!F62</f>
        <v>0</v>
      </c>
      <c r="G62" s="127">
        <f>'BUDGET '!G63-'ACTUAL SPENT '!G62</f>
        <v>0</v>
      </c>
      <c r="H62" s="127">
        <f>'BUDGET '!H63-'ACTUAL SPENT '!H62</f>
        <v>0</v>
      </c>
      <c r="I62" s="127">
        <f>'BUDGET '!I63-'ACTUAL SPENT '!I62</f>
        <v>0</v>
      </c>
      <c r="J62" s="127">
        <f>'BUDGET '!J63-'ACTUAL SPENT '!J62</f>
        <v>0</v>
      </c>
      <c r="K62" s="127">
        <f>'BUDGET '!K63-'ACTUAL SPENT '!K62</f>
        <v>0</v>
      </c>
      <c r="L62" s="127">
        <f>'BUDGET '!L63-'ACTUAL SPENT '!L62</f>
        <v>0</v>
      </c>
      <c r="M62" s="127">
        <f>'BUDGET '!M63-'ACTUAL SPENT '!M62</f>
        <v>0</v>
      </c>
      <c r="N62" s="127">
        <f t="shared" si="2"/>
        <v>0</v>
      </c>
    </row>
    <row r="63" spans="1:15" ht="15.75" customHeight="1">
      <c r="A63" s="24" t="s">
        <v>60</v>
      </c>
      <c r="B63" s="110"/>
      <c r="C63" s="132"/>
      <c r="D63" s="127">
        <f>'BUDGET '!D64-'ACTUAL SPENT '!D63</f>
        <v>0</v>
      </c>
      <c r="E63" s="127">
        <f>'BUDGET '!E64-'ACTUAL SPENT '!E63</f>
        <v>0</v>
      </c>
      <c r="F63" s="127">
        <f>'BUDGET '!F64-'ACTUAL SPENT '!F63</f>
        <v>2500000</v>
      </c>
      <c r="G63" s="127">
        <f>'BUDGET '!G64-'ACTUAL SPENT '!G63</f>
        <v>-1820000</v>
      </c>
      <c r="H63" s="127">
        <f>'BUDGET '!H64-'ACTUAL SPENT '!H63</f>
        <v>0</v>
      </c>
      <c r="I63" s="127">
        <f>'BUDGET '!I64-'ACTUAL SPENT '!I63</f>
        <v>0</v>
      </c>
      <c r="J63" s="127">
        <f>'BUDGET '!J64-'ACTUAL SPENT '!J63</f>
        <v>0</v>
      </c>
      <c r="K63" s="127">
        <f>'BUDGET '!K64-'ACTUAL SPENT '!K63</f>
        <v>0</v>
      </c>
      <c r="L63" s="127">
        <f>'BUDGET '!L64-'ACTUAL SPENT '!L63</f>
        <v>0</v>
      </c>
      <c r="M63" s="127">
        <f>'BUDGET '!M64-'ACTUAL SPENT '!M63</f>
        <v>0</v>
      </c>
      <c r="N63" s="127">
        <f t="shared" si="2"/>
        <v>680000</v>
      </c>
    </row>
    <row r="64" spans="1:15" ht="15.75" customHeight="1">
      <c r="A64" s="25" t="s">
        <v>61</v>
      </c>
      <c r="B64" s="108"/>
      <c r="C64" s="116"/>
      <c r="D64" s="127">
        <f>'BUDGET '!D65-'ACTUAL SPENT '!D64</f>
        <v>0</v>
      </c>
      <c r="E64" s="127">
        <f>'BUDGET '!E65-'ACTUAL SPENT '!E64</f>
        <v>0</v>
      </c>
      <c r="F64" s="127">
        <f>'BUDGET '!F65-'ACTUAL SPENT '!F64</f>
        <v>238000</v>
      </c>
      <c r="G64" s="127">
        <f>'BUDGET '!G65-'ACTUAL SPENT '!G64</f>
        <v>-156200</v>
      </c>
      <c r="H64" s="127">
        <f>'BUDGET '!H65-'ACTUAL SPENT '!H64</f>
        <v>350000</v>
      </c>
      <c r="I64" s="127">
        <f>'BUDGET '!I65-'ACTUAL SPENT '!I64</f>
        <v>350000</v>
      </c>
      <c r="J64" s="127">
        <f>'BUDGET '!J65-'ACTUAL SPENT '!J64</f>
        <v>350000</v>
      </c>
      <c r="K64" s="127">
        <f>'BUDGET '!K65-'ACTUAL SPENT '!K64</f>
        <v>350000</v>
      </c>
      <c r="L64" s="127">
        <f>'BUDGET '!L65-'ACTUAL SPENT '!L64</f>
        <v>350000</v>
      </c>
      <c r="M64" s="127">
        <f>'BUDGET '!M65-'ACTUAL SPENT '!M64</f>
        <v>350000</v>
      </c>
      <c r="N64" s="127">
        <f t="shared" si="2"/>
        <v>2181800</v>
      </c>
    </row>
    <row r="65" spans="1:14" ht="15.75" customHeight="1">
      <c r="A65" s="21" t="s">
        <v>62</v>
      </c>
      <c r="B65" s="110"/>
      <c r="C65" s="132"/>
      <c r="D65" s="127">
        <f>'BUDGET '!D66-'ACTUAL SPENT '!D65</f>
        <v>0</v>
      </c>
      <c r="E65" s="127">
        <f>'BUDGET '!E66-'ACTUAL SPENT '!E65</f>
        <v>0</v>
      </c>
      <c r="F65" s="127">
        <f>'BUDGET '!F66-'ACTUAL SPENT '!F65</f>
        <v>210000</v>
      </c>
      <c r="G65" s="127">
        <f>'BUDGET '!G66-'ACTUAL SPENT '!G65</f>
        <v>0</v>
      </c>
      <c r="H65" s="127">
        <f>'BUDGET '!H66-'ACTUAL SPENT '!H65</f>
        <v>0</v>
      </c>
      <c r="I65" s="127">
        <f>'BUDGET '!I66-'ACTUAL SPENT '!I65</f>
        <v>0</v>
      </c>
      <c r="J65" s="127">
        <f>'BUDGET '!J66-'ACTUAL SPENT '!J65</f>
        <v>0</v>
      </c>
      <c r="K65" s="127">
        <f>'BUDGET '!K66-'ACTUAL SPENT '!K65</f>
        <v>0</v>
      </c>
      <c r="L65" s="127">
        <f>'BUDGET '!L66-'ACTUAL SPENT '!L65</f>
        <v>0</v>
      </c>
      <c r="M65" s="127">
        <f>'BUDGET '!M66-'ACTUAL SPENT '!M65</f>
        <v>0</v>
      </c>
      <c r="N65" s="127">
        <f t="shared" si="2"/>
        <v>210000</v>
      </c>
    </row>
    <row r="66" spans="1:14" ht="15.75" customHeight="1">
      <c r="A66" s="21" t="s">
        <v>63</v>
      </c>
      <c r="B66" s="110"/>
      <c r="C66" s="132"/>
      <c r="D66" s="127">
        <f>'BUDGET '!D67-'ACTUAL SPENT '!D66</f>
        <v>0</v>
      </c>
      <c r="E66" s="127">
        <f>'BUDGET '!E67-'ACTUAL SPENT '!E66</f>
        <v>0</v>
      </c>
      <c r="F66" s="127">
        <f>'BUDGET '!F67-'ACTUAL SPENT '!F66</f>
        <v>250000</v>
      </c>
      <c r="G66" s="127">
        <f>'BUDGET '!G67-'ACTUAL SPENT '!G66</f>
        <v>0</v>
      </c>
      <c r="H66" s="127">
        <f>'BUDGET '!H67-'ACTUAL SPENT '!H66</f>
        <v>0</v>
      </c>
      <c r="I66" s="127">
        <f>'BUDGET '!I67-'ACTUAL SPENT '!I66</f>
        <v>0</v>
      </c>
      <c r="J66" s="127">
        <f>'BUDGET '!J67-'ACTUAL SPENT '!J66</f>
        <v>0</v>
      </c>
      <c r="K66" s="127">
        <f>'BUDGET '!K67-'ACTUAL SPENT '!K66</f>
        <v>0</v>
      </c>
      <c r="L66" s="127">
        <f>'BUDGET '!L67-'ACTUAL SPENT '!L66</f>
        <v>0</v>
      </c>
      <c r="M66" s="127">
        <f>'BUDGET '!M67-'ACTUAL SPENT '!M66</f>
        <v>0</v>
      </c>
      <c r="N66" s="127">
        <f t="shared" si="2"/>
        <v>250000</v>
      </c>
    </row>
    <row r="67" spans="1:14" ht="15.75" customHeight="1">
      <c r="A67" s="25" t="s">
        <v>64</v>
      </c>
      <c r="B67" s="108"/>
      <c r="C67" s="116"/>
      <c r="D67" s="127">
        <f>'BUDGET '!D68-'ACTUAL SPENT '!D67</f>
        <v>0</v>
      </c>
      <c r="E67" s="127">
        <f>'BUDGET '!E68-'ACTUAL SPENT '!E67</f>
        <v>0</v>
      </c>
      <c r="F67" s="127">
        <f>'BUDGET '!F68-'ACTUAL SPENT '!F67</f>
        <v>250000</v>
      </c>
      <c r="G67" s="127">
        <f>'BUDGET '!G68-'ACTUAL SPENT '!G67</f>
        <v>250000</v>
      </c>
      <c r="H67" s="127">
        <f>'BUDGET '!H68-'ACTUAL SPENT '!H67</f>
        <v>250000</v>
      </c>
      <c r="I67" s="127">
        <f>'BUDGET '!I68-'ACTUAL SPENT '!I67</f>
        <v>250000</v>
      </c>
      <c r="J67" s="127">
        <f>'BUDGET '!J68-'ACTUAL SPENT '!J67</f>
        <v>250000</v>
      </c>
      <c r="K67" s="127">
        <f>'BUDGET '!K68-'ACTUAL SPENT '!K67</f>
        <v>250000</v>
      </c>
      <c r="L67" s="127">
        <f>'BUDGET '!L68-'ACTUAL SPENT '!L67</f>
        <v>250000</v>
      </c>
      <c r="M67" s="127">
        <f>'BUDGET '!M68-'ACTUAL SPENT '!M67</f>
        <v>250000</v>
      </c>
      <c r="N67" s="127">
        <f t="shared" si="2"/>
        <v>2000000</v>
      </c>
    </row>
    <row r="68" spans="1:14" ht="15.75" customHeight="1">
      <c r="A68" s="25" t="s">
        <v>65</v>
      </c>
      <c r="B68" s="108"/>
      <c r="C68" s="116"/>
      <c r="D68" s="127">
        <f>'BUDGET '!D69-'ACTUAL SPENT '!D68</f>
        <v>0</v>
      </c>
      <c r="E68" s="127">
        <f>'BUDGET '!E69-'ACTUAL SPENT '!E68</f>
        <v>0</v>
      </c>
      <c r="F68" s="127">
        <f>'BUDGET '!F69-'ACTUAL SPENT '!F68</f>
        <v>0</v>
      </c>
      <c r="G68" s="127">
        <f>'BUDGET '!G69-'ACTUAL SPENT '!G68</f>
        <v>0</v>
      </c>
      <c r="H68" s="127">
        <f>'BUDGET '!H69-'ACTUAL SPENT '!H68</f>
        <v>0</v>
      </c>
      <c r="I68" s="127">
        <f>'BUDGET '!I69-'ACTUAL SPENT '!I68</f>
        <v>0</v>
      </c>
      <c r="J68" s="127">
        <f>'BUDGET '!J69-'ACTUAL SPENT '!J68</f>
        <v>0</v>
      </c>
      <c r="K68" s="127">
        <f>'BUDGET '!K69-'ACTUAL SPENT '!K68</f>
        <v>0</v>
      </c>
      <c r="L68" s="127">
        <f>'BUDGET '!L69-'ACTUAL SPENT '!L68</f>
        <v>0</v>
      </c>
      <c r="M68" s="127">
        <f>'BUDGET '!M69-'ACTUAL SPENT '!M68</f>
        <v>0</v>
      </c>
      <c r="N68" s="127">
        <f t="shared" si="2"/>
        <v>0</v>
      </c>
    </row>
    <row r="69" spans="1:14" ht="15.75" customHeight="1">
      <c r="A69" s="27"/>
      <c r="B69" s="111"/>
      <c r="C69" s="134"/>
      <c r="D69" s="142">
        <f>'BUDGET '!D70-'ACTUAL SPENT '!D69</f>
        <v>0</v>
      </c>
      <c r="E69" s="142">
        <f>'BUDGET '!E70-'ACTUAL SPENT '!E69</f>
        <v>0</v>
      </c>
      <c r="F69" s="142">
        <f>'BUDGET '!F70-'ACTUAL SPENT '!F69</f>
        <v>3448000</v>
      </c>
      <c r="G69" s="142">
        <f>'BUDGET '!G70-'ACTUAL SPENT '!G69</f>
        <v>-1726200</v>
      </c>
      <c r="H69" s="142">
        <f>'BUDGET '!H70-'ACTUAL SPENT '!H69</f>
        <v>600000</v>
      </c>
      <c r="I69" s="142">
        <f>'BUDGET '!I70-'ACTUAL SPENT '!I69</f>
        <v>600000</v>
      </c>
      <c r="J69" s="142">
        <f>'BUDGET '!J70-'ACTUAL SPENT '!J69</f>
        <v>600000</v>
      </c>
      <c r="K69" s="142">
        <f>'BUDGET '!K70-'ACTUAL SPENT '!K69</f>
        <v>600000</v>
      </c>
      <c r="L69" s="142">
        <f>'BUDGET '!L70-'ACTUAL SPENT '!L69</f>
        <v>600000</v>
      </c>
      <c r="M69" s="142">
        <f>'BUDGET '!M70-'ACTUAL SPENT '!M69</f>
        <v>600000</v>
      </c>
      <c r="N69" s="142">
        <f t="shared" si="2"/>
        <v>5321800</v>
      </c>
    </row>
    <row r="70" spans="1:14" ht="15.75" customHeight="1">
      <c r="C70" s="116"/>
      <c r="D70" s="127">
        <f>'BUDGET '!D71-'ACTUAL SPENT '!D70</f>
        <v>0</v>
      </c>
      <c r="E70" s="127">
        <f>'BUDGET '!E71-'ACTUAL SPENT '!E70</f>
        <v>0</v>
      </c>
      <c r="F70" s="127">
        <f>'BUDGET '!F71-'ACTUAL SPENT '!F70</f>
        <v>0</v>
      </c>
      <c r="G70" s="127">
        <f>'BUDGET '!G71-'ACTUAL SPENT '!G70</f>
        <v>0</v>
      </c>
      <c r="H70" s="127">
        <f>'BUDGET '!H71-'ACTUAL SPENT '!H70</f>
        <v>0</v>
      </c>
      <c r="I70" s="127">
        <f>'BUDGET '!I71-'ACTUAL SPENT '!I70</f>
        <v>0</v>
      </c>
      <c r="J70" s="127">
        <f>'BUDGET '!J71-'ACTUAL SPENT '!J70</f>
        <v>0</v>
      </c>
      <c r="K70" s="127">
        <f>'BUDGET '!K71-'ACTUAL SPENT '!K70</f>
        <v>0</v>
      </c>
      <c r="L70" s="127">
        <f>'BUDGET '!L71-'ACTUAL SPENT '!L70</f>
        <v>0</v>
      </c>
      <c r="M70" s="127">
        <f>'BUDGET '!M71-'ACTUAL SPENT '!M70</f>
        <v>0</v>
      </c>
      <c r="N70" s="127">
        <f t="shared" si="2"/>
        <v>0</v>
      </c>
    </row>
    <row r="71" spans="1:14" ht="15.75" customHeight="1">
      <c r="A71" s="13" t="s">
        <v>66</v>
      </c>
      <c r="B71" t="s">
        <v>67</v>
      </c>
      <c r="C71" s="116"/>
      <c r="D71" s="127">
        <f>'BUDGET '!D72-'ACTUAL SPENT '!D71</f>
        <v>0</v>
      </c>
      <c r="E71" s="127">
        <f>'BUDGET '!E72-'ACTUAL SPENT '!E71</f>
        <v>0</v>
      </c>
      <c r="F71" s="127">
        <f>'BUDGET '!F72-'ACTUAL SPENT '!F71</f>
        <v>0</v>
      </c>
      <c r="G71" s="127">
        <f>'BUDGET '!G72-'ACTUAL SPENT '!G71</f>
        <v>0</v>
      </c>
      <c r="H71" s="127">
        <f>'BUDGET '!H72-'ACTUAL SPENT '!H71</f>
        <v>0</v>
      </c>
      <c r="I71" s="127">
        <f>'BUDGET '!I72-'ACTUAL SPENT '!I71</f>
        <v>0</v>
      </c>
      <c r="J71" s="127">
        <f>'BUDGET '!J72-'ACTUAL SPENT '!J71</f>
        <v>0</v>
      </c>
      <c r="K71" s="127">
        <f>'BUDGET '!K72-'ACTUAL SPENT '!K71</f>
        <v>0</v>
      </c>
      <c r="L71" s="127">
        <f>'BUDGET '!L72-'ACTUAL SPENT '!L71</f>
        <v>0</v>
      </c>
      <c r="M71" s="127">
        <f>'BUDGET '!M72-'ACTUAL SPENT '!M71</f>
        <v>0</v>
      </c>
      <c r="N71" s="127">
        <f t="shared" si="2"/>
        <v>0</v>
      </c>
    </row>
    <row r="72" spans="1:14" ht="15.75" customHeight="1">
      <c r="A72" s="23" t="s">
        <v>68</v>
      </c>
      <c r="B72" s="108"/>
      <c r="C72" s="116"/>
      <c r="D72" s="127">
        <f>'BUDGET '!D73-'ACTUAL SPENT '!D72</f>
        <v>0</v>
      </c>
      <c r="E72" s="127">
        <f>'BUDGET '!E73-'ACTUAL SPENT '!E72</f>
        <v>0</v>
      </c>
      <c r="F72" s="127">
        <f>'BUDGET '!F73-'ACTUAL SPENT '!F72</f>
        <v>150000</v>
      </c>
      <c r="G72" s="127">
        <f>'BUDGET '!G73-'ACTUAL SPENT '!G72</f>
        <v>-787300</v>
      </c>
      <c r="H72" s="127">
        <f>'BUDGET '!H73-'ACTUAL SPENT '!H72</f>
        <v>150000</v>
      </c>
      <c r="I72" s="127">
        <f>'BUDGET '!I73-'ACTUAL SPENT '!I72</f>
        <v>150000</v>
      </c>
      <c r="J72" s="127">
        <f>'BUDGET '!J73-'ACTUAL SPENT '!J72</f>
        <v>150000</v>
      </c>
      <c r="K72" s="127">
        <f>'BUDGET '!K73-'ACTUAL SPENT '!K72</f>
        <v>150000</v>
      </c>
      <c r="L72" s="127">
        <f>'BUDGET '!L73-'ACTUAL SPENT '!L72</f>
        <v>150000</v>
      </c>
      <c r="M72" s="127">
        <f>'BUDGET '!M73-'ACTUAL SPENT '!M72</f>
        <v>150000</v>
      </c>
      <c r="N72" s="127">
        <f t="shared" si="2"/>
        <v>262700</v>
      </c>
    </row>
    <row r="73" spans="1:14" ht="15.75" customHeight="1">
      <c r="A73" s="24" t="s">
        <v>69</v>
      </c>
      <c r="B73" s="110"/>
      <c r="C73" s="132"/>
      <c r="D73" s="127">
        <f>'BUDGET '!D74-'ACTUAL SPENT '!D73</f>
        <v>0</v>
      </c>
      <c r="E73" s="127">
        <f>'BUDGET '!E74-'ACTUAL SPENT '!E73</f>
        <v>0</v>
      </c>
      <c r="F73" s="127">
        <f>'BUDGET '!F74-'ACTUAL SPENT '!F73</f>
        <v>39866.25</v>
      </c>
      <c r="G73" s="127">
        <f>'BUDGET '!G74-'ACTUAL SPENT '!G73</f>
        <v>0</v>
      </c>
      <c r="H73" s="127">
        <f>'BUDGET '!H74-'ACTUAL SPENT '!H73</f>
        <v>0</v>
      </c>
      <c r="I73" s="127">
        <f>'BUDGET '!I74-'ACTUAL SPENT '!I73</f>
        <v>0</v>
      </c>
      <c r="J73" s="127">
        <f>'BUDGET '!J74-'ACTUAL SPENT '!J73</f>
        <v>0</v>
      </c>
      <c r="K73" s="127">
        <f>'BUDGET '!K74-'ACTUAL SPENT '!K73</f>
        <v>0</v>
      </c>
      <c r="L73" s="127">
        <f>'BUDGET '!L74-'ACTUAL SPENT '!L73</f>
        <v>0</v>
      </c>
      <c r="M73" s="127">
        <f>'BUDGET '!M74-'ACTUAL SPENT '!M73</f>
        <v>0</v>
      </c>
      <c r="N73" s="127">
        <f t="shared" si="2"/>
        <v>39866.25</v>
      </c>
    </row>
    <row r="74" spans="1:14" ht="15.75" customHeight="1">
      <c r="A74" s="12"/>
      <c r="B74" s="109"/>
      <c r="C74" s="143"/>
      <c r="D74" s="143">
        <f>'BUDGET '!D75-'ACTUAL SPENT '!D74</f>
        <v>0</v>
      </c>
      <c r="E74" s="143">
        <f>'BUDGET '!E75-'ACTUAL SPENT '!E74</f>
        <v>0</v>
      </c>
      <c r="F74" s="143">
        <f>'BUDGET '!F75-'ACTUAL SPENT '!F74</f>
        <v>189866.25</v>
      </c>
      <c r="G74" s="143">
        <f>'BUDGET '!G75-'ACTUAL SPENT '!G74</f>
        <v>-787300</v>
      </c>
      <c r="H74" s="143">
        <f>'BUDGET '!H75-'ACTUAL SPENT '!H74</f>
        <v>150000</v>
      </c>
      <c r="I74" s="143">
        <f>'BUDGET '!I75-'ACTUAL SPENT '!I74</f>
        <v>150000</v>
      </c>
      <c r="J74" s="143">
        <f>'BUDGET '!J75-'ACTUAL SPENT '!J74</f>
        <v>150000</v>
      </c>
      <c r="K74" s="143">
        <f>'BUDGET '!K75-'ACTUAL SPENT '!K74</f>
        <v>150000</v>
      </c>
      <c r="L74" s="143">
        <f>'BUDGET '!L75-'ACTUAL SPENT '!L74</f>
        <v>150000</v>
      </c>
      <c r="M74" s="143">
        <f>'BUDGET '!M75-'ACTUAL SPENT '!M74</f>
        <v>150000</v>
      </c>
      <c r="N74" s="143">
        <f t="shared" si="2"/>
        <v>302566.25</v>
      </c>
    </row>
    <row r="75" spans="1:14" ht="15.75" customHeight="1">
      <c r="A75" s="28"/>
      <c r="C75" s="116"/>
      <c r="D75" s="127">
        <f>'BUDGET '!D76-'ACTUAL SPENT '!D75</f>
        <v>0</v>
      </c>
      <c r="E75" s="127">
        <f>'BUDGET '!E76-'ACTUAL SPENT '!E75</f>
        <v>0</v>
      </c>
      <c r="F75" s="127">
        <f>'BUDGET '!F76-'ACTUAL SPENT '!F75</f>
        <v>0</v>
      </c>
      <c r="G75" s="127">
        <f>'BUDGET '!G76-'ACTUAL SPENT '!G75</f>
        <v>0</v>
      </c>
      <c r="H75" s="127">
        <f>'BUDGET '!H76-'ACTUAL SPENT '!H75</f>
        <v>0</v>
      </c>
      <c r="I75" s="127">
        <f>'BUDGET '!I76-'ACTUAL SPENT '!I75</f>
        <v>0</v>
      </c>
      <c r="J75" s="127">
        <f>'BUDGET '!J76-'ACTUAL SPENT '!J75</f>
        <v>0</v>
      </c>
      <c r="K75" s="127">
        <f>'BUDGET '!K76-'ACTUAL SPENT '!K75</f>
        <v>0</v>
      </c>
      <c r="L75" s="127">
        <f>'BUDGET '!L76-'ACTUAL SPENT '!L75</f>
        <v>0</v>
      </c>
      <c r="M75" s="127">
        <f>'BUDGET '!M76-'ACTUAL SPENT '!M75</f>
        <v>0</v>
      </c>
      <c r="N75" s="127">
        <f t="shared" si="2"/>
        <v>0</v>
      </c>
    </row>
    <row r="76" spans="1:14" ht="15.75" customHeight="1">
      <c r="C76" s="116"/>
      <c r="D76" s="127">
        <f>'BUDGET '!D77-'ACTUAL SPENT '!D76</f>
        <v>0</v>
      </c>
      <c r="E76" s="127">
        <f>'BUDGET '!E77-'ACTUAL SPENT '!E76</f>
        <v>0</v>
      </c>
      <c r="F76" s="127">
        <f>'BUDGET '!F77-'ACTUAL SPENT '!F76</f>
        <v>0</v>
      </c>
      <c r="G76" s="127">
        <f>'BUDGET '!G77-'ACTUAL SPENT '!G76</f>
        <v>0</v>
      </c>
      <c r="H76" s="127">
        <f>'BUDGET '!H77-'ACTUAL SPENT '!H76</f>
        <v>0</v>
      </c>
      <c r="I76" s="127">
        <f>'BUDGET '!I77-'ACTUAL SPENT '!I76</f>
        <v>0</v>
      </c>
      <c r="J76" s="127">
        <f>'BUDGET '!J77-'ACTUAL SPENT '!J76</f>
        <v>0</v>
      </c>
      <c r="K76" s="127">
        <f>'BUDGET '!K77-'ACTUAL SPENT '!K76</f>
        <v>0</v>
      </c>
      <c r="L76" s="127">
        <f>'BUDGET '!L77-'ACTUAL SPENT '!L76</f>
        <v>0</v>
      </c>
      <c r="M76" s="127">
        <f>'BUDGET '!M77-'ACTUAL SPENT '!M76</f>
        <v>0</v>
      </c>
      <c r="N76" s="127">
        <f t="shared" si="2"/>
        <v>0</v>
      </c>
    </row>
    <row r="77" spans="1:14" ht="15.75" customHeight="1">
      <c r="A77" s="12" t="s">
        <v>70</v>
      </c>
      <c r="B77" s="109"/>
      <c r="C77" s="143"/>
      <c r="D77" s="143">
        <f>'BUDGET '!D78-'ACTUAL SPENT '!D77</f>
        <v>-1038468.9275000002</v>
      </c>
      <c r="E77" s="143">
        <f>'BUDGET '!E78-'ACTUAL SPENT '!E77</f>
        <v>8039233.0724999998</v>
      </c>
      <c r="F77" s="143">
        <f>'BUDGET '!F78-'ACTUAL SPENT '!F77</f>
        <v>55183953.308750004</v>
      </c>
      <c r="G77" s="143">
        <f>'BUDGET '!G78-'ACTUAL SPENT '!G77</f>
        <v>4641372.2207333371</v>
      </c>
      <c r="H77" s="143">
        <f>'BUDGET '!H78-'ACTUAL SPENT '!H77</f>
        <v>24788686.791666668</v>
      </c>
      <c r="I77" s="143">
        <f>'BUDGET '!I78-'ACTUAL SPENT '!I77</f>
        <v>24788686.791666668</v>
      </c>
      <c r="J77" s="143">
        <f>'BUDGET '!J78-'ACTUAL SPENT '!J77</f>
        <v>29538686.791666668</v>
      </c>
      <c r="K77" s="143">
        <f>'BUDGET '!K78-'ACTUAL SPENT '!K77</f>
        <v>41392947.091666669</v>
      </c>
      <c r="L77" s="143">
        <f>'BUDGET '!L78-'ACTUAL SPENT '!L77</f>
        <v>24788686.791666668</v>
      </c>
      <c r="M77" s="143">
        <f>'BUDGET '!M78-'ACTUAL SPENT '!M77</f>
        <v>45579373.583333336</v>
      </c>
      <c r="N77" s="143">
        <f t="shared" si="2"/>
        <v>257703157.51615</v>
      </c>
    </row>
    <row r="78" spans="1:14" ht="15.75" customHeight="1">
      <c r="C78" s="116"/>
      <c r="D78" s="127">
        <f>'BUDGET '!D79-'ACTUAL SPENT '!D78</f>
        <v>0</v>
      </c>
      <c r="E78" s="127">
        <f>'BUDGET '!E79-'ACTUAL SPENT '!E78</f>
        <v>0</v>
      </c>
      <c r="F78" s="127">
        <f>'BUDGET '!F79-'ACTUAL SPENT '!F78</f>
        <v>0</v>
      </c>
      <c r="G78" s="127">
        <f>'BUDGET '!G79-'ACTUAL SPENT '!G78</f>
        <v>0</v>
      </c>
      <c r="H78" s="127">
        <f>'BUDGET '!H79-'ACTUAL SPENT '!H78</f>
        <v>0</v>
      </c>
      <c r="I78" s="127">
        <f>'BUDGET '!I79-'ACTUAL SPENT '!I78</f>
        <v>0</v>
      </c>
      <c r="J78" s="127">
        <f>'BUDGET '!J79-'ACTUAL SPENT '!J78</f>
        <v>0</v>
      </c>
      <c r="K78" s="127">
        <f>'BUDGET '!K79-'ACTUAL SPENT '!K78</f>
        <v>0</v>
      </c>
      <c r="L78" s="127">
        <f>'BUDGET '!L79-'ACTUAL SPENT '!L78</f>
        <v>0</v>
      </c>
      <c r="M78" s="127">
        <f>'BUDGET '!M79-'ACTUAL SPENT '!M78</f>
        <v>0</v>
      </c>
      <c r="N78" s="127">
        <f t="shared" si="2"/>
        <v>0</v>
      </c>
    </row>
    <row r="79" spans="1:14" ht="15.75" customHeight="1">
      <c r="C79" s="116"/>
      <c r="D79" s="127">
        <f>'BUDGET '!D80-'ACTUAL SPENT '!D79</f>
        <v>0</v>
      </c>
      <c r="E79" s="127">
        <f>'BUDGET '!E80-'ACTUAL SPENT '!E79</f>
        <v>0</v>
      </c>
      <c r="F79" s="127">
        <f>'BUDGET '!F80-'ACTUAL SPENT '!F79</f>
        <v>0</v>
      </c>
      <c r="G79" s="127">
        <f>'BUDGET '!G80-'ACTUAL SPENT '!G79</f>
        <v>0</v>
      </c>
      <c r="H79" s="127">
        <f>'BUDGET '!H80-'ACTUAL SPENT '!H79</f>
        <v>0</v>
      </c>
      <c r="I79" s="127">
        <f>'BUDGET '!I80-'ACTUAL SPENT '!I79</f>
        <v>0</v>
      </c>
      <c r="J79" s="127">
        <f>'BUDGET '!J80-'ACTUAL SPENT '!J79</f>
        <v>0</v>
      </c>
      <c r="K79" s="127">
        <f>'BUDGET '!K80-'ACTUAL SPENT '!K79</f>
        <v>0</v>
      </c>
      <c r="L79" s="127">
        <f>'BUDGET '!L80-'ACTUAL SPENT '!L79</f>
        <v>0</v>
      </c>
      <c r="M79" s="127">
        <f>'BUDGET '!M80-'ACTUAL SPENT '!M79</f>
        <v>0</v>
      </c>
      <c r="N79" s="127">
        <f t="shared" si="2"/>
        <v>0</v>
      </c>
    </row>
    <row r="80" spans="1:14" ht="15.75" customHeight="1">
      <c r="C80" s="116"/>
      <c r="D80" s="127">
        <f>'BUDGET '!D81-'ACTUAL SPENT '!D80</f>
        <v>0</v>
      </c>
      <c r="E80" s="127">
        <f>'BUDGET '!E81-'ACTUAL SPENT '!E80</f>
        <v>0</v>
      </c>
      <c r="F80" s="127">
        <f>'BUDGET '!F81-'ACTUAL SPENT '!F80</f>
        <v>0</v>
      </c>
      <c r="G80" s="127">
        <f>'BUDGET '!G81-'ACTUAL SPENT '!G80</f>
        <v>0</v>
      </c>
      <c r="H80" s="127">
        <f>'BUDGET '!H81-'ACTUAL SPENT '!H80</f>
        <v>0</v>
      </c>
      <c r="I80" s="127">
        <f>'BUDGET '!I81-'ACTUAL SPENT '!I80</f>
        <v>0</v>
      </c>
      <c r="J80" s="127">
        <f>'BUDGET '!J81-'ACTUAL SPENT '!J80</f>
        <v>0</v>
      </c>
      <c r="K80" s="127">
        <f>'BUDGET '!K81-'ACTUAL SPENT '!K80</f>
        <v>0</v>
      </c>
      <c r="L80" s="127">
        <f>'BUDGET '!L81-'ACTUAL SPENT '!L80</f>
        <v>0</v>
      </c>
      <c r="M80" s="127">
        <f>'BUDGET '!M81-'ACTUAL SPENT '!M80</f>
        <v>0</v>
      </c>
      <c r="N80" s="127">
        <f t="shared" si="2"/>
        <v>0</v>
      </c>
    </row>
    <row r="81" spans="1:14" ht="15.75" customHeight="1">
      <c r="A81" s="9"/>
      <c r="B81" s="9"/>
      <c r="C81" s="9"/>
      <c r="D81" s="9">
        <f>'BUDGET '!D82-'ACTUAL SPENT '!D81</f>
        <v>0</v>
      </c>
      <c r="E81" s="9">
        <f>'BUDGET '!E82-'ACTUAL SPENT '!E81</f>
        <v>0</v>
      </c>
      <c r="F81" s="9">
        <f>'BUDGET '!F82-'ACTUAL SPENT '!F81</f>
        <v>0</v>
      </c>
      <c r="G81" s="9">
        <f>'BUDGET '!G82-'ACTUAL SPENT '!G81</f>
        <v>0</v>
      </c>
      <c r="H81" s="9">
        <f>'BUDGET '!H82-'ACTUAL SPENT '!H81</f>
        <v>0</v>
      </c>
      <c r="I81" s="9">
        <f>'BUDGET '!I82-'ACTUAL SPENT '!I81</f>
        <v>0</v>
      </c>
      <c r="J81" s="9">
        <f>'BUDGET '!J82-'ACTUAL SPENT '!J81</f>
        <v>0</v>
      </c>
      <c r="K81" s="9">
        <f>'BUDGET '!K82-'ACTUAL SPENT '!K81</f>
        <v>0</v>
      </c>
      <c r="L81" s="9">
        <f>'BUDGET '!L82-'ACTUAL SPENT '!L81</f>
        <v>0</v>
      </c>
      <c r="M81" s="9">
        <f>'BUDGET '!M82-'ACTUAL SPENT '!M81</f>
        <v>0</v>
      </c>
      <c r="N81" s="9">
        <f t="shared" si="2"/>
        <v>0</v>
      </c>
    </row>
    <row r="82" spans="1:14" ht="15.75" customHeight="1">
      <c r="A82" s="25" t="s">
        <v>71</v>
      </c>
      <c r="B82" s="108"/>
      <c r="C82" s="116"/>
      <c r="D82" s="127">
        <f>'BUDGET '!D83-'ACTUAL SPENT '!D82</f>
        <v>0</v>
      </c>
      <c r="E82" s="127">
        <f>'BUDGET '!E83-'ACTUAL SPENT '!E82</f>
        <v>0</v>
      </c>
      <c r="F82" s="127">
        <f>'BUDGET '!F83-'ACTUAL SPENT '!F82</f>
        <v>0</v>
      </c>
      <c r="G82" s="127">
        <f>'BUDGET '!G83-'ACTUAL SPENT '!G82</f>
        <v>0</v>
      </c>
      <c r="H82" s="127">
        <f>'BUDGET '!H83-'ACTUAL SPENT '!H82</f>
        <v>0</v>
      </c>
      <c r="I82" s="127">
        <f>'BUDGET '!I83-'ACTUAL SPENT '!I82</f>
        <v>0</v>
      </c>
      <c r="J82" s="127">
        <f>'BUDGET '!J83-'ACTUAL SPENT '!J82</f>
        <v>0</v>
      </c>
      <c r="K82" s="127">
        <f>'BUDGET '!K83-'ACTUAL SPENT '!K82</f>
        <v>0</v>
      </c>
      <c r="L82" s="127">
        <f>'BUDGET '!L83-'ACTUAL SPENT '!L82</f>
        <v>0</v>
      </c>
      <c r="M82" s="127">
        <f>'BUDGET '!M83-'ACTUAL SPENT '!M82</f>
        <v>0</v>
      </c>
      <c r="N82" s="127">
        <f t="shared" si="2"/>
        <v>0</v>
      </c>
    </row>
    <row r="83" spans="1:14" ht="15.75" customHeight="1">
      <c r="A83" s="25" t="s">
        <v>72</v>
      </c>
      <c r="B83" s="108" t="s">
        <v>73</v>
      </c>
      <c r="C83" s="116"/>
      <c r="D83" s="127">
        <f>'BUDGET '!D84-'ACTUAL SPENT '!D83</f>
        <v>250000</v>
      </c>
      <c r="E83" s="127">
        <f>'BUDGET '!E84-'ACTUAL SPENT '!E83</f>
        <v>0</v>
      </c>
      <c r="F83" s="127">
        <f>'BUDGET '!F84-'ACTUAL SPENT '!F83</f>
        <v>250000</v>
      </c>
      <c r="G83" s="127">
        <f>'BUDGET '!G84-'ACTUAL SPENT '!G83</f>
        <v>250000</v>
      </c>
      <c r="H83" s="127">
        <f>'BUDGET '!H84-'ACTUAL SPENT '!H83</f>
        <v>250000</v>
      </c>
      <c r="I83" s="127">
        <f>'BUDGET '!I84-'ACTUAL SPENT '!I83</f>
        <v>250000</v>
      </c>
      <c r="J83" s="127">
        <f>'BUDGET '!J84-'ACTUAL SPENT '!J83</f>
        <v>250000</v>
      </c>
      <c r="K83" s="127">
        <f>'BUDGET '!K84-'ACTUAL SPENT '!K83</f>
        <v>250000</v>
      </c>
      <c r="L83" s="127">
        <f>'BUDGET '!L84-'ACTUAL SPENT '!L83</f>
        <v>250000</v>
      </c>
      <c r="M83" s="127">
        <f>'BUDGET '!M84-'ACTUAL SPENT '!M83</f>
        <v>250000</v>
      </c>
      <c r="N83" s="127">
        <f t="shared" ref="N83:N102" si="4">SUM(D83:M83)</f>
        <v>2250000</v>
      </c>
    </row>
    <row r="84" spans="1:14" ht="15.75" customHeight="1">
      <c r="A84" s="25" t="s">
        <v>74</v>
      </c>
      <c r="B84" s="108"/>
      <c r="C84" s="116"/>
      <c r="D84" s="127">
        <f>'BUDGET '!D85-'ACTUAL SPENT '!D84</f>
        <v>0</v>
      </c>
      <c r="E84" s="127">
        <f>'BUDGET '!E85-'ACTUAL SPENT '!E84</f>
        <v>0</v>
      </c>
      <c r="F84" s="127">
        <f>'BUDGET '!F85-'ACTUAL SPENT '!F84</f>
        <v>200000</v>
      </c>
      <c r="G84" s="127">
        <f>'BUDGET '!G85-'ACTUAL SPENT '!G84</f>
        <v>200000</v>
      </c>
      <c r="H84" s="127">
        <f>'BUDGET '!H85-'ACTUAL SPENT '!H84</f>
        <v>200000</v>
      </c>
      <c r="I84" s="127">
        <f>'BUDGET '!I85-'ACTUAL SPENT '!I84</f>
        <v>200000</v>
      </c>
      <c r="J84" s="127">
        <f>'BUDGET '!J85-'ACTUAL SPENT '!J84</f>
        <v>200000</v>
      </c>
      <c r="K84" s="127">
        <f>'BUDGET '!K85-'ACTUAL SPENT '!K84</f>
        <v>200000</v>
      </c>
      <c r="L84" s="127">
        <f>'BUDGET '!L85-'ACTUAL SPENT '!L84</f>
        <v>200000</v>
      </c>
      <c r="M84" s="127">
        <f>'BUDGET '!M85-'ACTUAL SPENT '!M84</f>
        <v>200000</v>
      </c>
      <c r="N84" s="127">
        <f t="shared" si="4"/>
        <v>1600000</v>
      </c>
    </row>
    <row r="85" spans="1:14" ht="15.75" customHeight="1">
      <c r="A85" s="25" t="s">
        <v>75</v>
      </c>
      <c r="B85" s="108"/>
      <c r="C85" s="116"/>
      <c r="D85" s="127">
        <f>'BUDGET '!D86-'ACTUAL SPENT '!D85</f>
        <v>0</v>
      </c>
      <c r="E85" s="127">
        <f>'BUDGET '!E86-'ACTUAL SPENT '!E85</f>
        <v>0</v>
      </c>
      <c r="F85" s="127">
        <f>'BUDGET '!F86-'ACTUAL SPENT '!F85</f>
        <v>136000</v>
      </c>
      <c r="G85" s="127">
        <f>'BUDGET '!G86-'ACTUAL SPENT '!G85</f>
        <v>136000</v>
      </c>
      <c r="H85" s="127">
        <f>'BUDGET '!H86-'ACTUAL SPENT '!H85</f>
        <v>136000</v>
      </c>
      <c r="I85" s="127">
        <f>'BUDGET '!I86-'ACTUAL SPENT '!I85</f>
        <v>136000</v>
      </c>
      <c r="J85" s="127">
        <f>'BUDGET '!J86-'ACTUAL SPENT '!J85</f>
        <v>136000</v>
      </c>
      <c r="K85" s="127">
        <f>'BUDGET '!K86-'ACTUAL SPENT '!K85</f>
        <v>136000</v>
      </c>
      <c r="L85" s="127">
        <f>'BUDGET '!L86-'ACTUAL SPENT '!L85</f>
        <v>136000</v>
      </c>
      <c r="M85" s="127">
        <f>'BUDGET '!M86-'ACTUAL SPENT '!M85</f>
        <v>136000</v>
      </c>
      <c r="N85" s="127">
        <f t="shared" si="4"/>
        <v>1088000</v>
      </c>
    </row>
    <row r="86" spans="1:14" ht="15.75" customHeight="1">
      <c r="A86" s="25" t="s">
        <v>76</v>
      </c>
      <c r="B86" s="108"/>
      <c r="C86" s="116"/>
      <c r="D86" s="127">
        <f>'BUDGET '!D87-'ACTUAL SPENT '!D86</f>
        <v>0</v>
      </c>
      <c r="E86" s="127">
        <f>'BUDGET '!E87-'ACTUAL SPENT '!E86</f>
        <v>0</v>
      </c>
      <c r="F86" s="127">
        <f>'BUDGET '!F87-'ACTUAL SPENT '!F86</f>
        <v>333333.33333333331</v>
      </c>
      <c r="G86" s="127">
        <f>'BUDGET '!G87-'ACTUAL SPENT '!G86</f>
        <v>333333.33333333331</v>
      </c>
      <c r="H86" s="127">
        <f>'BUDGET '!H87-'ACTUAL SPENT '!H86</f>
        <v>333333.33333333331</v>
      </c>
      <c r="I86" s="127">
        <f>'BUDGET '!I87-'ACTUAL SPENT '!I86</f>
        <v>333333.33333333331</v>
      </c>
      <c r="J86" s="127">
        <f>'BUDGET '!J87-'ACTUAL SPENT '!J86</f>
        <v>333333.33333333331</v>
      </c>
      <c r="K86" s="127">
        <f>'BUDGET '!K87-'ACTUAL SPENT '!K86</f>
        <v>333333.33333333331</v>
      </c>
      <c r="L86" s="127">
        <f>'BUDGET '!L87-'ACTUAL SPENT '!L86</f>
        <v>333333.33333333331</v>
      </c>
      <c r="M86" s="127">
        <f>'BUDGET '!M87-'ACTUAL SPENT '!M86</f>
        <v>333333.33333333331</v>
      </c>
      <c r="N86" s="127">
        <f t="shared" si="4"/>
        <v>2666666.6666666665</v>
      </c>
    </row>
    <row r="87" spans="1:14" ht="15.75" customHeight="1">
      <c r="A87" s="12" t="s">
        <v>77</v>
      </c>
      <c r="B87" s="109"/>
      <c r="C87" s="129"/>
      <c r="D87" s="143">
        <f>'BUDGET '!D88-'ACTUAL SPENT '!D87</f>
        <v>250000</v>
      </c>
      <c r="E87" s="143">
        <f>'BUDGET '!E88-'ACTUAL SPENT '!E87</f>
        <v>0</v>
      </c>
      <c r="F87" s="143">
        <f>'BUDGET '!F88-'ACTUAL SPENT '!F87</f>
        <v>919333.33333333326</v>
      </c>
      <c r="G87" s="143">
        <f>'BUDGET '!G88-'ACTUAL SPENT '!G87</f>
        <v>919333.33333333326</v>
      </c>
      <c r="H87" s="143">
        <f>'BUDGET '!H88-'ACTUAL SPENT '!H87</f>
        <v>919333.33333333326</v>
      </c>
      <c r="I87" s="143">
        <f>'BUDGET '!I88-'ACTUAL SPENT '!I87</f>
        <v>919333.33333333326</v>
      </c>
      <c r="J87" s="143">
        <f>'BUDGET '!J88-'ACTUAL SPENT '!J87</f>
        <v>919333.33333333326</v>
      </c>
      <c r="K87" s="143">
        <f>'BUDGET '!K88-'ACTUAL SPENT '!K87</f>
        <v>919333.33333333326</v>
      </c>
      <c r="L87" s="143">
        <f>'BUDGET '!L88-'ACTUAL SPENT '!L87</f>
        <v>919333.33333333326</v>
      </c>
      <c r="M87" s="143">
        <f>'BUDGET '!M88-'ACTUAL SPENT '!M87</f>
        <v>919333.33333333326</v>
      </c>
      <c r="N87" s="143">
        <f t="shared" si="4"/>
        <v>7604666.6666666651</v>
      </c>
    </row>
    <row r="88" spans="1:14" ht="15.75" customHeight="1">
      <c r="C88" s="116"/>
      <c r="D88" s="127">
        <f>'BUDGET '!D89-'ACTUAL SPENT '!D88</f>
        <v>0</v>
      </c>
      <c r="E88" s="127">
        <f>'BUDGET '!E89-'ACTUAL SPENT '!E88</f>
        <v>0</v>
      </c>
      <c r="F88" s="127">
        <f>'BUDGET '!F89-'ACTUAL SPENT '!F88</f>
        <v>0</v>
      </c>
      <c r="G88" s="127">
        <f>'BUDGET '!G89-'ACTUAL SPENT '!G88</f>
        <v>0</v>
      </c>
      <c r="H88" s="127">
        <f>'BUDGET '!H89-'ACTUAL SPENT '!H88</f>
        <v>0</v>
      </c>
      <c r="I88" s="127">
        <f>'BUDGET '!I89-'ACTUAL SPENT '!I88</f>
        <v>0</v>
      </c>
      <c r="J88" s="127">
        <f>'BUDGET '!J89-'ACTUAL SPENT '!J88</f>
        <v>0</v>
      </c>
      <c r="K88" s="127">
        <f>'BUDGET '!K89-'ACTUAL SPENT '!K88</f>
        <v>0</v>
      </c>
      <c r="L88" s="127">
        <f>'BUDGET '!L89-'ACTUAL SPENT '!L88</f>
        <v>0</v>
      </c>
      <c r="M88" s="127">
        <f>'BUDGET '!M89-'ACTUAL SPENT '!M88</f>
        <v>0</v>
      </c>
      <c r="N88" s="127">
        <f t="shared" si="4"/>
        <v>0</v>
      </c>
    </row>
    <row r="89" spans="1:14" ht="15.75" customHeight="1">
      <c r="C89" s="116"/>
      <c r="D89" s="127">
        <f>'BUDGET '!D90-'ACTUAL SPENT '!D89</f>
        <v>0</v>
      </c>
      <c r="E89" s="127">
        <f>'BUDGET '!E90-'ACTUAL SPENT '!E89</f>
        <v>0</v>
      </c>
      <c r="F89" s="127">
        <f>'BUDGET '!F90-'ACTUAL SPENT '!F89</f>
        <v>0</v>
      </c>
      <c r="G89" s="127">
        <f>'BUDGET '!G90-'ACTUAL SPENT '!G89</f>
        <v>0</v>
      </c>
      <c r="H89" s="127">
        <f>'BUDGET '!H90-'ACTUAL SPENT '!H89</f>
        <v>0</v>
      </c>
      <c r="I89" s="127">
        <f>'BUDGET '!I90-'ACTUAL SPENT '!I89</f>
        <v>0</v>
      </c>
      <c r="J89" s="127">
        <f>'BUDGET '!J90-'ACTUAL SPENT '!J89</f>
        <v>0</v>
      </c>
      <c r="K89" s="127">
        <f>'BUDGET '!K90-'ACTUAL SPENT '!K89</f>
        <v>0</v>
      </c>
      <c r="L89" s="127">
        <f>'BUDGET '!L90-'ACTUAL SPENT '!L89</f>
        <v>0</v>
      </c>
      <c r="M89" s="127">
        <f>'BUDGET '!M90-'ACTUAL SPENT '!M89</f>
        <v>0</v>
      </c>
      <c r="N89" s="127">
        <f t="shared" si="4"/>
        <v>0</v>
      </c>
    </row>
    <row r="90" spans="1:14" ht="15.75" customHeight="1">
      <c r="C90" s="116"/>
      <c r="D90" s="127">
        <f>'BUDGET '!D91-'ACTUAL SPENT '!D90</f>
        <v>0</v>
      </c>
      <c r="E90" s="127">
        <f>'BUDGET '!E91-'ACTUAL SPENT '!E90</f>
        <v>0</v>
      </c>
      <c r="F90" s="127">
        <f>'BUDGET '!F91-'ACTUAL SPENT '!F90</f>
        <v>0</v>
      </c>
      <c r="G90" s="127">
        <f>'BUDGET '!G91-'ACTUAL SPENT '!G90</f>
        <v>0</v>
      </c>
      <c r="H90" s="127">
        <f>'BUDGET '!H91-'ACTUAL SPENT '!H90</f>
        <v>0</v>
      </c>
      <c r="I90" s="127">
        <f>'BUDGET '!I91-'ACTUAL SPENT '!I90</f>
        <v>0</v>
      </c>
      <c r="J90" s="127">
        <f>'BUDGET '!J91-'ACTUAL SPENT '!J90</f>
        <v>0</v>
      </c>
      <c r="K90" s="127">
        <f>'BUDGET '!K91-'ACTUAL SPENT '!K90</f>
        <v>0</v>
      </c>
      <c r="L90" s="127">
        <f>'BUDGET '!L91-'ACTUAL SPENT '!L90</f>
        <v>0</v>
      </c>
      <c r="M90" s="127">
        <f>'BUDGET '!M91-'ACTUAL SPENT '!M90</f>
        <v>0</v>
      </c>
      <c r="N90" s="127">
        <f t="shared" si="4"/>
        <v>0</v>
      </c>
    </row>
    <row r="91" spans="1:14" ht="15.75" customHeight="1">
      <c r="A91" s="8" t="s">
        <v>78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</row>
    <row r="92" spans="1:14" ht="15.75" customHeight="1">
      <c r="A92" s="25" t="s">
        <v>79</v>
      </c>
      <c r="B92" s="108" t="s">
        <v>80</v>
      </c>
      <c r="C92" s="135">
        <v>0.02</v>
      </c>
      <c r="D92" s="127">
        <f>'BUDGET '!D93-'ACTUAL SPENT '!D92</f>
        <v>0</v>
      </c>
      <c r="E92" s="127">
        <f>'BUDGET '!E93-'ACTUAL SPENT '!E92</f>
        <v>0</v>
      </c>
      <c r="F92" s="127">
        <f>'BUDGET '!F93-'ACTUAL SPENT '!F92</f>
        <v>0</v>
      </c>
      <c r="G92" s="127">
        <f>'BUDGET '!G93-'ACTUAL SPENT '!G92</f>
        <v>0</v>
      </c>
      <c r="H92" s="127">
        <f>'BUDGET '!H93-'ACTUAL SPENT '!H92</f>
        <v>0</v>
      </c>
      <c r="I92" s="127">
        <f>'BUDGET '!I93-'ACTUAL SPENT '!I92</f>
        <v>0</v>
      </c>
      <c r="J92" s="127">
        <f>'BUDGET '!J93-'ACTUAL SPENT '!J92</f>
        <v>0</v>
      </c>
      <c r="K92" s="127">
        <f>'BUDGET '!K93-'ACTUAL SPENT '!K92</f>
        <v>0</v>
      </c>
      <c r="L92" s="127">
        <f>'BUDGET '!L93-'ACTUAL SPENT '!L92</f>
        <v>0</v>
      </c>
      <c r="M92" s="127">
        <f>'BUDGET '!M93-'ACTUAL SPENT '!M92</f>
        <v>0</v>
      </c>
      <c r="N92" s="127">
        <f t="shared" si="4"/>
        <v>0</v>
      </c>
    </row>
    <row r="93" spans="1:14" ht="15.75" customHeight="1">
      <c r="A93" s="25" t="s">
        <v>81</v>
      </c>
      <c r="B93" s="108" t="s">
        <v>82</v>
      </c>
      <c r="C93" s="135">
        <v>0.02</v>
      </c>
      <c r="D93" s="127">
        <f>'BUDGET '!D94-'ACTUAL SPENT '!D93</f>
        <v>0</v>
      </c>
      <c r="E93" s="127">
        <f>'BUDGET '!E94-'ACTUAL SPENT '!E93</f>
        <v>0</v>
      </c>
      <c r="F93" s="127">
        <f>'BUDGET '!F94-'ACTUAL SPENT '!F93</f>
        <v>1103679.0661749998</v>
      </c>
      <c r="G93" s="127">
        <f>'BUDGET '!G94-'ACTUAL SPENT '!G93</f>
        <v>92827.444414666737</v>
      </c>
      <c r="H93" s="127">
        <f>'BUDGET '!H94-'ACTUAL SPENT '!H93</f>
        <v>495773.73583333334</v>
      </c>
      <c r="I93" s="127">
        <f>'BUDGET '!I94-'ACTUAL SPENT '!I93</f>
        <v>495773.73583333334</v>
      </c>
      <c r="J93" s="127">
        <f>'BUDGET '!J94-'ACTUAL SPENT '!J93</f>
        <v>590773.73583333334</v>
      </c>
      <c r="K93" s="127">
        <f>'BUDGET '!K94-'ACTUAL SPENT '!K93</f>
        <v>827858.94183333335</v>
      </c>
      <c r="L93" s="127">
        <f>'BUDGET '!L94-'ACTUAL SPENT '!L93</f>
        <v>495773.73583333334</v>
      </c>
      <c r="M93" s="127">
        <f>'BUDGET '!M94-'ACTUAL SPENT '!M93</f>
        <v>911587.47166666668</v>
      </c>
      <c r="N93" s="127">
        <f t="shared" si="4"/>
        <v>5014047.8674229998</v>
      </c>
    </row>
    <row r="94" spans="1:14" ht="15.75" customHeight="1">
      <c r="A94" s="12" t="s">
        <v>83</v>
      </c>
      <c r="B94" s="109"/>
      <c r="C94" s="109"/>
      <c r="D94" s="141">
        <f>'BUDGET '!D95-'ACTUAL SPENT '!D94</f>
        <v>0</v>
      </c>
      <c r="E94" s="141">
        <f>'BUDGET '!E95-'ACTUAL SPENT '!E94</f>
        <v>0</v>
      </c>
      <c r="F94" s="141">
        <f>'BUDGET '!F95-'ACTUAL SPENT '!F94</f>
        <v>1103679.0661750003</v>
      </c>
      <c r="G94" s="141">
        <f>'BUDGET '!G95-'ACTUAL SPENT '!G94</f>
        <v>92827.444414666737</v>
      </c>
      <c r="H94" s="141">
        <f>'BUDGET '!H95-'ACTUAL SPENT '!H94</f>
        <v>495773.73583333357</v>
      </c>
      <c r="I94" s="141">
        <f>'BUDGET '!I95-'ACTUAL SPENT '!I94</f>
        <v>495773.73583333334</v>
      </c>
      <c r="J94" s="141">
        <f>'BUDGET '!J95-'ACTUAL SPENT '!J94</f>
        <v>590773.73583333334</v>
      </c>
      <c r="K94" s="141">
        <f>'BUDGET '!K95-'ACTUAL SPENT '!K94</f>
        <v>827858.94183333311</v>
      </c>
      <c r="L94" s="141">
        <f>'BUDGET '!L95-'ACTUAL SPENT '!L94</f>
        <v>495773.73583333334</v>
      </c>
      <c r="M94" s="141">
        <f>'BUDGET '!M95-'ACTUAL SPENT '!M94</f>
        <v>911587.47166666668</v>
      </c>
      <c r="N94" s="141">
        <f t="shared" si="4"/>
        <v>5014047.8674230007</v>
      </c>
    </row>
    <row r="95" spans="1:14" ht="15.75" customHeight="1">
      <c r="C95" s="116"/>
      <c r="D95" s="127">
        <f>'BUDGET '!D96-'ACTUAL SPENT '!D95</f>
        <v>0</v>
      </c>
      <c r="E95" s="127">
        <f>'BUDGET '!E96-'ACTUAL SPENT '!E95</f>
        <v>0</v>
      </c>
      <c r="F95" s="127">
        <f>'BUDGET '!F96-'ACTUAL SPENT '!F95</f>
        <v>0</v>
      </c>
      <c r="G95" s="127">
        <f>'BUDGET '!G96-'ACTUAL SPENT '!G95</f>
        <v>0</v>
      </c>
      <c r="H95" s="127">
        <f>'BUDGET '!H96-'ACTUAL SPENT '!H95</f>
        <v>0</v>
      </c>
      <c r="I95" s="127">
        <f>'BUDGET '!I96-'ACTUAL SPENT '!I95</f>
        <v>0</v>
      </c>
      <c r="J95" s="127">
        <f>'BUDGET '!J96-'ACTUAL SPENT '!J95</f>
        <v>0</v>
      </c>
      <c r="K95" s="127">
        <f>'BUDGET '!K96-'ACTUAL SPENT '!K95</f>
        <v>0</v>
      </c>
      <c r="L95" s="127">
        <f>'BUDGET '!L96-'ACTUAL SPENT '!L95</f>
        <v>0</v>
      </c>
      <c r="M95" s="127">
        <f>'BUDGET '!M96-'ACTUAL SPENT '!M95</f>
        <v>0</v>
      </c>
      <c r="N95" s="127">
        <f t="shared" si="4"/>
        <v>0</v>
      </c>
    </row>
    <row r="96" spans="1:14" ht="15.75" customHeight="1">
      <c r="C96" s="116"/>
      <c r="D96" s="127">
        <f>'BUDGET '!D97-'ACTUAL SPENT '!D96</f>
        <v>0</v>
      </c>
      <c r="E96" s="127">
        <f>'BUDGET '!E97-'ACTUAL SPENT '!E96</f>
        <v>0</v>
      </c>
      <c r="F96" s="127">
        <f>'BUDGET '!F97-'ACTUAL SPENT '!F96</f>
        <v>0</v>
      </c>
      <c r="G96" s="127">
        <f>'BUDGET '!G97-'ACTUAL SPENT '!G96</f>
        <v>0</v>
      </c>
      <c r="H96" s="127">
        <f>'BUDGET '!H97-'ACTUAL SPENT '!H96</f>
        <v>0</v>
      </c>
      <c r="I96" s="127">
        <f>'BUDGET '!I97-'ACTUAL SPENT '!I96</f>
        <v>0</v>
      </c>
      <c r="J96" s="127">
        <f>'BUDGET '!J97-'ACTUAL SPENT '!J96</f>
        <v>0</v>
      </c>
      <c r="K96" s="127">
        <f>'BUDGET '!K97-'ACTUAL SPENT '!K96</f>
        <v>0</v>
      </c>
      <c r="L96" s="127">
        <f>'BUDGET '!L97-'ACTUAL SPENT '!L96</f>
        <v>0</v>
      </c>
      <c r="M96" s="127">
        <f>'BUDGET '!M97-'ACTUAL SPENT '!M96</f>
        <v>0</v>
      </c>
      <c r="N96" s="127">
        <f t="shared" si="4"/>
        <v>0</v>
      </c>
    </row>
    <row r="97" spans="1:14" ht="15.75" customHeight="1">
      <c r="C97" s="116"/>
      <c r="D97" s="127">
        <f>'BUDGET '!D98-'ACTUAL SPENT '!D97</f>
        <v>0</v>
      </c>
      <c r="E97" s="127">
        <f>'BUDGET '!E98-'ACTUAL SPENT '!E97</f>
        <v>0</v>
      </c>
      <c r="F97" s="127">
        <f>'BUDGET '!F98-'ACTUAL SPENT '!F97</f>
        <v>0</v>
      </c>
      <c r="G97" s="127">
        <f>'BUDGET '!G98-'ACTUAL SPENT '!G97</f>
        <v>0</v>
      </c>
      <c r="H97" s="127">
        <f>'BUDGET '!H98-'ACTUAL SPENT '!H97</f>
        <v>0</v>
      </c>
      <c r="I97" s="127">
        <f>'BUDGET '!I98-'ACTUAL SPENT '!I97</f>
        <v>0</v>
      </c>
      <c r="J97" s="127">
        <f>'BUDGET '!J98-'ACTUAL SPENT '!J97</f>
        <v>0</v>
      </c>
      <c r="K97" s="127">
        <f>'BUDGET '!K98-'ACTUAL SPENT '!K97</f>
        <v>0</v>
      </c>
      <c r="L97" s="127">
        <f>'BUDGET '!L98-'ACTUAL SPENT '!L97</f>
        <v>0</v>
      </c>
      <c r="M97" s="127">
        <f>'BUDGET '!M98-'ACTUAL SPENT '!M97</f>
        <v>0</v>
      </c>
      <c r="N97" s="127">
        <f t="shared" si="4"/>
        <v>0</v>
      </c>
    </row>
    <row r="98" spans="1:14" ht="15.75" customHeight="1">
      <c r="C98" s="116"/>
      <c r="D98" s="127">
        <f>'BUDGET '!D99-'ACTUAL SPENT '!D98</f>
        <v>0</v>
      </c>
      <c r="E98" s="127">
        <f>'BUDGET '!E99-'ACTUAL SPENT '!E98</f>
        <v>0</v>
      </c>
      <c r="F98" s="127">
        <f>'BUDGET '!F99-'ACTUAL SPENT '!F98</f>
        <v>0</v>
      </c>
      <c r="G98" s="127">
        <f>'BUDGET '!G99-'ACTUAL SPENT '!G98</f>
        <v>0</v>
      </c>
      <c r="H98" s="127">
        <f>'BUDGET '!H99-'ACTUAL SPENT '!H98</f>
        <v>0</v>
      </c>
      <c r="I98" s="127">
        <f>'BUDGET '!I99-'ACTUAL SPENT '!I98</f>
        <v>0</v>
      </c>
      <c r="J98" s="127">
        <f>'BUDGET '!J99-'ACTUAL SPENT '!J98</f>
        <v>0</v>
      </c>
      <c r="K98" s="127">
        <f>'BUDGET '!K99-'ACTUAL SPENT '!K98</f>
        <v>0</v>
      </c>
      <c r="L98" s="127">
        <f>'BUDGET '!L99-'ACTUAL SPENT '!L98</f>
        <v>0</v>
      </c>
      <c r="M98" s="127">
        <f>'BUDGET '!M99-'ACTUAL SPENT '!M98</f>
        <v>0</v>
      </c>
      <c r="N98" s="127">
        <f t="shared" si="4"/>
        <v>0</v>
      </c>
    </row>
    <row r="99" spans="1:14" ht="15.75" customHeight="1">
      <c r="A99" s="8" t="s">
        <v>84</v>
      </c>
      <c r="B99" s="9"/>
      <c r="C99" s="9"/>
      <c r="D99" s="32">
        <f>'BUDGET '!D100-'ACTUAL SPENT '!D99</f>
        <v>0</v>
      </c>
      <c r="E99" s="32">
        <f>'BUDGET '!E100-'ACTUAL SPENT '!E99</f>
        <v>0</v>
      </c>
      <c r="F99" s="32">
        <f>'BUDGET '!F100-'ACTUAL SPENT '!F99</f>
        <v>0</v>
      </c>
      <c r="G99" s="32">
        <f>'BUDGET '!G100-'ACTUAL SPENT '!G99</f>
        <v>0</v>
      </c>
      <c r="H99" s="32">
        <f>'BUDGET '!H100-'ACTUAL SPENT '!H99</f>
        <v>0</v>
      </c>
      <c r="I99" s="32">
        <f>'BUDGET '!I100-'ACTUAL SPENT '!I99</f>
        <v>0</v>
      </c>
      <c r="J99" s="32">
        <f>'BUDGET '!J100-'ACTUAL SPENT '!J99</f>
        <v>0</v>
      </c>
      <c r="K99" s="32">
        <f>'BUDGET '!K100-'ACTUAL SPENT '!K99</f>
        <v>0</v>
      </c>
      <c r="L99" s="32">
        <f>'BUDGET '!L100-'ACTUAL SPENT '!L99</f>
        <v>0</v>
      </c>
      <c r="M99" s="32">
        <f>'BUDGET '!M100-'ACTUAL SPENT '!M99</f>
        <v>0</v>
      </c>
      <c r="N99" s="32">
        <f t="shared" si="4"/>
        <v>0</v>
      </c>
    </row>
    <row r="100" spans="1:14" ht="15.75" customHeight="1">
      <c r="A100" t="s">
        <v>19</v>
      </c>
      <c r="C100" s="116"/>
      <c r="D100" s="127">
        <f>D14</f>
        <v>6908850</v>
      </c>
      <c r="E100" s="127">
        <f t="shared" ref="E100:M100" si="5">E14</f>
        <v>0</v>
      </c>
      <c r="F100" s="127">
        <f t="shared" si="5"/>
        <v>133916648</v>
      </c>
      <c r="G100" s="127">
        <f t="shared" si="5"/>
        <v>0</v>
      </c>
      <c r="H100" s="127">
        <f t="shared" si="5"/>
        <v>104296540</v>
      </c>
      <c r="I100" s="127">
        <f t="shared" si="5"/>
        <v>0</v>
      </c>
      <c r="J100" s="127">
        <f t="shared" si="5"/>
        <v>0</v>
      </c>
      <c r="K100" s="127">
        <f t="shared" si="5"/>
        <v>100000000</v>
      </c>
      <c r="L100" s="127">
        <f t="shared" si="5"/>
        <v>0</v>
      </c>
      <c r="M100" s="127">
        <f t="shared" si="5"/>
        <v>0</v>
      </c>
      <c r="N100" s="127">
        <f>SUM(D100:M100)</f>
        <v>345122038</v>
      </c>
    </row>
    <row r="101" spans="1:14" ht="15.75" customHeight="1">
      <c r="A101" t="s">
        <v>85</v>
      </c>
      <c r="C101" s="116"/>
      <c r="D101" s="127">
        <f>'BUDGET '!D102-'ACTUAL SPENT '!D101</f>
        <v>-788468.92750000022</v>
      </c>
      <c r="E101" s="127">
        <f>'BUDGET '!E102-'ACTUAL SPENT '!E101</f>
        <v>8039233.0724999998</v>
      </c>
      <c r="F101" s="127">
        <f>'BUDGET '!F102-'ACTUAL SPENT '!F101</f>
        <v>57206965.708258338</v>
      </c>
      <c r="G101" s="127">
        <f>'BUDGET '!G102-'ACTUAL SPENT '!G101</f>
        <v>5653532.9984813407</v>
      </c>
      <c r="H101" s="127">
        <f>'BUDGET '!H102-'ACTUAL SPENT '!H101</f>
        <v>26203793.860833332</v>
      </c>
      <c r="I101" s="127">
        <f>'BUDGET '!I102-'ACTUAL SPENT '!I101</f>
        <v>26203793.860833336</v>
      </c>
      <c r="J101" s="127">
        <f>'BUDGET '!J102-'ACTUAL SPENT '!J101</f>
        <v>31048793.860833336</v>
      </c>
      <c r="K101" s="127">
        <f>'BUDGET '!K102-'ACTUAL SPENT '!K101</f>
        <v>43140139.366833337</v>
      </c>
      <c r="L101" s="127">
        <f>'BUDGET '!L102-'ACTUAL SPENT '!L101</f>
        <v>26203793.860833336</v>
      </c>
      <c r="M101" s="127">
        <f>'BUDGET '!M102-'ACTUAL SPENT '!M101</f>
        <v>47410294.388333336</v>
      </c>
      <c r="N101" s="127">
        <f>SUM(D101:M101)</f>
        <v>270321872.05023968</v>
      </c>
    </row>
    <row r="102" spans="1:14" ht="15.75" customHeight="1">
      <c r="A102" s="30"/>
      <c r="B102" s="41"/>
      <c r="C102" s="41"/>
      <c r="D102" s="41">
        <f>'BUDGET '!D103-'ACTUAL SPENT '!D102</f>
        <v>0</v>
      </c>
      <c r="E102" s="41">
        <f>'BUDGET '!E103-'ACTUAL SPENT '!E102</f>
        <v>0</v>
      </c>
      <c r="F102" s="41">
        <f>'BUDGET '!F103-'ACTUAL SPENT '!F102</f>
        <v>0</v>
      </c>
      <c r="G102" s="41">
        <f>'BUDGET '!G103-'ACTUAL SPENT '!G102</f>
        <v>0</v>
      </c>
      <c r="H102" s="41">
        <f>'BUDGET '!H103-'ACTUAL SPENT '!H102</f>
        <v>0</v>
      </c>
      <c r="I102" s="41">
        <f>'BUDGET '!I103-'ACTUAL SPENT '!I102</f>
        <v>0</v>
      </c>
      <c r="J102" s="41">
        <f>'BUDGET '!J103-'ACTUAL SPENT '!J102</f>
        <v>0</v>
      </c>
      <c r="K102" s="41">
        <f>'BUDGET '!K103-'ACTUAL SPENT '!K102</f>
        <v>0</v>
      </c>
      <c r="L102" s="41">
        <f>'BUDGET '!L103-'ACTUAL SPENT '!L102</f>
        <v>0</v>
      </c>
      <c r="M102" s="41">
        <f>'BUDGET '!M103-'ACTUAL SPENT '!M102</f>
        <v>0</v>
      </c>
      <c r="N102" s="41">
        <f t="shared" si="4"/>
        <v>0</v>
      </c>
    </row>
  </sheetData>
  <mergeCells count="1">
    <mergeCell ref="A4:B4"/>
  </mergeCells>
  <conditionalFormatting sqref="G22">
    <cfRule type="cellIs" dxfId="3" priority="4" operator="lessThan">
      <formula>-2999175.8</formula>
    </cfRule>
  </conditionalFormatting>
  <conditionalFormatting sqref="D1:D38 E100:N100 D40:D49 D51:D58 D60:D68 D70:D1048576">
    <cfRule type="cellIs" dxfId="2" priority="3" operator="lessThan">
      <formula>0</formula>
    </cfRule>
  </conditionalFormatting>
  <conditionalFormatting sqref="D1:N38 D40:N49 D51:N58 D60:N68 D70:N1048576">
    <cfRule type="cellIs" dxfId="1" priority="2" operator="lessThan">
      <formula>0</formula>
    </cfRule>
  </conditionalFormatting>
  <conditionalFormatting sqref="C1:N68 C69 C70:N1048576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 </vt:lpstr>
      <vt:lpstr>ACTUAL SPENT </vt:lpstr>
      <vt:lpstr>SURPLUS AND DEFICIT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Fareedad Ahmad</dc:creator>
  <cp:lastModifiedBy>Fareedah Ahmad</cp:lastModifiedBy>
  <dcterms:created xsi:type="dcterms:W3CDTF">2025-07-01T09:12:43Z</dcterms:created>
  <dcterms:modified xsi:type="dcterms:W3CDTF">2025-07-01T16:03:24Z</dcterms:modified>
</cp:coreProperties>
</file>