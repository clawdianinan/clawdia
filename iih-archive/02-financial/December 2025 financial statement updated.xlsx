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eedah Ahmad\Desktop\MD assignment\"/>
    </mc:Choice>
  </mc:AlternateContent>
  <bookViews>
    <workbookView xWindow="0" yWindow="0" windowWidth="20490" windowHeight="7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11" i="1" l="1"/>
  <c r="C38" i="1" s="1"/>
  <c r="AS64" i="1" l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66" i="1" l="1"/>
  <c r="C43" i="1"/>
</calcChain>
</file>

<file path=xl/sharedStrings.xml><?xml version="1.0" encoding="utf-8"?>
<sst xmlns="http://schemas.openxmlformats.org/spreadsheetml/2006/main" count="51" uniqueCount="49">
  <si>
    <t> </t>
  </si>
  <si>
    <t>IHS</t>
  </si>
  <si>
    <t>Caution Fee</t>
  </si>
  <si>
    <t>Facility Rental</t>
  </si>
  <si>
    <t>Miscellaneuos Income</t>
  </si>
  <si>
    <t>Income</t>
  </si>
  <si>
    <t>Guest Entertainment and Refreshments</t>
  </si>
  <si>
    <t>Total — Income (A)</t>
  </si>
  <si>
    <t>Expenses</t>
  </si>
  <si>
    <t>Bank charges</t>
  </si>
  <si>
    <t>Cleaning Service</t>
  </si>
  <si>
    <t>Facility Maintenance and Repairs</t>
  </si>
  <si>
    <t>Local Travel</t>
  </si>
  <si>
    <t>Miscellaneous Expenses - 2% of Operating Expenses</t>
  </si>
  <si>
    <t>Salaries and Wages</t>
  </si>
  <si>
    <t>Security</t>
  </si>
  <si>
    <t>Souvenirs</t>
  </si>
  <si>
    <t>Stationery and Office Supplies</t>
  </si>
  <si>
    <t>Total — Expenses (B)</t>
  </si>
  <si>
    <t>Caution Deposit Refund</t>
  </si>
  <si>
    <t>Fixed assets, at cost</t>
  </si>
  <si>
    <t>Landscaping</t>
  </si>
  <si>
    <t>Spare parts for solar, electrical, mechanical and LED Screens</t>
  </si>
  <si>
    <t>Staff email + collaboration tools (zoho one)</t>
  </si>
  <si>
    <t>Staff Professional Development</t>
  </si>
  <si>
    <t>Guest entertainment</t>
  </si>
  <si>
    <t>Office Supplies</t>
  </si>
  <si>
    <t>Bank Fees and Charges</t>
  </si>
  <si>
    <t>Janitorial Expense</t>
  </si>
  <si>
    <t>Travel expense - Local</t>
  </si>
  <si>
    <t>Salaries and Employee Wages</t>
  </si>
  <si>
    <t>Repairs and Maintenance</t>
  </si>
  <si>
    <t>Sub Total (A-B)</t>
  </si>
  <si>
    <t>Telephone and Data expense</t>
  </si>
  <si>
    <t>IT and Internet Expenses</t>
  </si>
  <si>
    <t>Facility rentals</t>
  </si>
  <si>
    <t>Security expense</t>
  </si>
  <si>
    <t>Staff welfare</t>
  </si>
  <si>
    <t>Staff pension</t>
  </si>
  <si>
    <t>For the period from 01/11/2025 to 30/11/2025</t>
  </si>
  <si>
    <t>Furniture and Equipment</t>
  </si>
  <si>
    <t>IIH December 2025 Financial Report</t>
  </si>
  <si>
    <t>Opening Balance as at 1 December  2025(PREMIUM )</t>
  </si>
  <si>
    <t>Opening Balance as at 1 December  2025(ZENITH )</t>
  </si>
  <si>
    <t>Advertising And Marketing</t>
  </si>
  <si>
    <t>Employee related costs</t>
  </si>
  <si>
    <t>Other Expenses</t>
  </si>
  <si>
    <t>Balance at the end of December 2025( Premium +Zenith )</t>
  </si>
  <si>
    <t>AI Summit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</si>
</sst>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4" fontId="2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  <xf numFmtId="43" fontId="2" fillId="0" borderId="0" xfId="1" applyFont="1"/>
    <xf numFmtId="43" fontId="3" fillId="0" borderId="0" xfId="0" applyNumberFormat="1" applyFont="1"/>
    <xf numFmtId="43" fontId="3" fillId="0" borderId="0" xfId="1" applyFont="1"/>
    <xf numFmtId="4" fontId="3" fillId="0" borderId="0" xfId="0" applyNumberFormat="1" applyFont="1" applyFill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6"/>
  <sheetViews>
    <sheetView tabSelected="1" topLeftCell="A29" workbookViewId="0">
      <selection activeCell="C8" sqref="C8"/>
    </sheetView>
  </sheetViews>
  <sheetFormatPr defaultRowHeight="18.75" x14ac:dyDescent="0.3"/>
  <cols>
    <col min="1" max="1" width="12.140625" style="2" bestFit="1" customWidth="1"/>
    <col min="2" max="2" width="74.7109375" style="2" bestFit="1" customWidth="1"/>
    <col min="3" max="3" width="20.28515625" style="2" bestFit="1" customWidth="1"/>
    <col min="4" max="4" width="101.5703125" style="2" bestFit="1" customWidth="1"/>
    <col min="5" max="5" width="16.42578125" style="2" bestFit="1" customWidth="1"/>
    <col min="6" max="6" width="22.42578125" style="2" hidden="1" customWidth="1"/>
    <col min="7" max="7" width="15.7109375" style="2" hidden="1" customWidth="1"/>
    <col min="8" max="8" width="14" style="2" hidden="1" customWidth="1"/>
    <col min="9" max="9" width="13.85546875" style="2" hidden="1" customWidth="1"/>
    <col min="10" max="10" width="13.5703125" style="2" hidden="1" customWidth="1"/>
    <col min="11" max="11" width="21" style="2" hidden="1" customWidth="1"/>
    <col min="12" max="12" width="12.140625" style="2" hidden="1" customWidth="1"/>
    <col min="13" max="13" width="13.85546875" style="2" hidden="1" customWidth="1"/>
    <col min="14" max="14" width="12.140625" style="2" hidden="1" customWidth="1"/>
    <col min="15" max="15" width="13.85546875" style="2" hidden="1" customWidth="1"/>
    <col min="16" max="16" width="12.140625" style="2" hidden="1" customWidth="1"/>
    <col min="17" max="17" width="11.140625" style="2" hidden="1" customWidth="1"/>
    <col min="18" max="19" width="13.85546875" style="2" hidden="1" customWidth="1"/>
    <col min="20" max="33" width="12.140625" style="2" hidden="1" customWidth="1"/>
    <col min="34" max="37" width="11.140625" style="2" hidden="1" customWidth="1"/>
    <col min="38" max="41" width="0" style="2" hidden="1" customWidth="1"/>
    <col min="42" max="44" width="11.140625" style="2" hidden="1" customWidth="1"/>
    <col min="45" max="45" width="18.28515625" style="2" bestFit="1" customWidth="1"/>
    <col min="46" max="46" width="12.5703125" style="2" bestFit="1" customWidth="1"/>
    <col min="47" max="47" width="11" style="2" bestFit="1" customWidth="1"/>
    <col min="48" max="16384" width="9.140625" style="2"/>
  </cols>
  <sheetData>
    <row r="1" spans="1:11" x14ac:dyDescent="0.3">
      <c r="A1" s="11" t="s">
        <v>41</v>
      </c>
      <c r="B1" s="11"/>
      <c r="C1" s="11"/>
    </row>
    <row r="2" spans="1:11" x14ac:dyDescent="0.3">
      <c r="A2" s="11" t="s">
        <v>39</v>
      </c>
      <c r="B2" s="11"/>
      <c r="C2" s="11"/>
      <c r="D2" s="3"/>
    </row>
    <row r="3" spans="1:11" x14ac:dyDescent="0.3">
      <c r="A3" s="1"/>
      <c r="B3" s="1"/>
      <c r="C3" s="4"/>
    </row>
    <row r="4" spans="1:11" x14ac:dyDescent="0.3">
      <c r="A4" s="1" t="s">
        <v>0</v>
      </c>
      <c r="B4" s="1"/>
      <c r="D4" s="5"/>
      <c r="H4" s="2" t="s">
        <v>1</v>
      </c>
      <c r="I4" s="2" t="s">
        <v>2</v>
      </c>
      <c r="J4" s="2" t="s">
        <v>3</v>
      </c>
      <c r="K4" s="2" t="s">
        <v>4</v>
      </c>
    </row>
    <row r="5" spans="1:11" x14ac:dyDescent="0.3">
      <c r="A5" s="1" t="s">
        <v>5</v>
      </c>
      <c r="B5" s="1"/>
      <c r="D5" s="5"/>
    </row>
    <row r="6" spans="1:11" x14ac:dyDescent="0.3">
      <c r="C6" s="5"/>
      <c r="D6" s="5"/>
      <c r="H6" s="2">
        <v>6935800</v>
      </c>
      <c r="J6" s="2">
        <v>420000</v>
      </c>
    </row>
    <row r="7" spans="1:11" x14ac:dyDescent="0.3">
      <c r="B7" s="2" t="s">
        <v>42</v>
      </c>
      <c r="C7" s="10">
        <v>214493076.40000001</v>
      </c>
      <c r="D7" s="5"/>
    </row>
    <row r="8" spans="1:11" x14ac:dyDescent="0.3">
      <c r="B8" s="2" t="s">
        <v>43</v>
      </c>
      <c r="C8" s="10">
        <v>37001117.759999998</v>
      </c>
      <c r="D8" s="5"/>
    </row>
    <row r="9" spans="1:11" x14ac:dyDescent="0.3">
      <c r="B9" s="2" t="s">
        <v>35</v>
      </c>
      <c r="C9" s="5">
        <v>696200</v>
      </c>
      <c r="D9" s="5"/>
    </row>
    <row r="10" spans="1:11" x14ac:dyDescent="0.3">
      <c r="B10" s="2" t="s">
        <v>25</v>
      </c>
      <c r="C10" s="5">
        <v>1083800</v>
      </c>
      <c r="D10" s="5"/>
    </row>
    <row r="11" spans="1:11" x14ac:dyDescent="0.3">
      <c r="B11" s="1" t="s">
        <v>7</v>
      </c>
      <c r="C11" s="6">
        <f>SUM(C7:C10)</f>
        <v>253274194.16</v>
      </c>
    </row>
    <row r="12" spans="1:11" x14ac:dyDescent="0.3">
      <c r="B12" s="1"/>
      <c r="C12" s="6"/>
    </row>
    <row r="13" spans="1:11" x14ac:dyDescent="0.3">
      <c r="B13" s="1"/>
      <c r="C13" s="6"/>
    </row>
    <row r="14" spans="1:11" x14ac:dyDescent="0.3">
      <c r="A14" s="1" t="s">
        <v>8</v>
      </c>
      <c r="B14" s="2" t="s">
        <v>25</v>
      </c>
      <c r="C14" s="5">
        <v>4781900</v>
      </c>
    </row>
    <row r="15" spans="1:11" x14ac:dyDescent="0.3">
      <c r="A15" s="1"/>
      <c r="B15" s="2" t="s">
        <v>26</v>
      </c>
      <c r="C15" s="5">
        <v>366800</v>
      </c>
    </row>
    <row r="16" spans="1:11" x14ac:dyDescent="0.3">
      <c r="A16" s="1"/>
      <c r="B16" s="2" t="s">
        <v>44</v>
      </c>
      <c r="C16" s="5">
        <v>705000</v>
      </c>
    </row>
    <row r="17" spans="1:47" x14ac:dyDescent="0.3">
      <c r="A17" s="1"/>
      <c r="B17" s="2" t="s">
        <v>27</v>
      </c>
      <c r="C17" s="5">
        <v>205750.88</v>
      </c>
    </row>
    <row r="18" spans="1:47" x14ac:dyDescent="0.3">
      <c r="A18" s="1"/>
      <c r="B18" s="2" t="s">
        <v>33</v>
      </c>
      <c r="C18" s="5">
        <v>30000</v>
      </c>
    </row>
    <row r="19" spans="1:47" x14ac:dyDescent="0.3">
      <c r="A19" s="1"/>
      <c r="B19" s="2" t="s">
        <v>34</v>
      </c>
      <c r="C19" s="5">
        <v>310000</v>
      </c>
    </row>
    <row r="20" spans="1:47" x14ac:dyDescent="0.3">
      <c r="A20" s="1"/>
      <c r="B20" s="2" t="s">
        <v>28</v>
      </c>
      <c r="C20" s="5">
        <v>2810000</v>
      </c>
    </row>
    <row r="21" spans="1:47" x14ac:dyDescent="0.3">
      <c r="A21" s="1"/>
      <c r="B21" s="2" t="s">
        <v>45</v>
      </c>
      <c r="C21" s="5">
        <v>14921168.33</v>
      </c>
    </row>
    <row r="22" spans="1:47" x14ac:dyDescent="0.3">
      <c r="A22" s="1"/>
      <c r="B22" s="2" t="s">
        <v>36</v>
      </c>
      <c r="C22" s="5">
        <v>2100000</v>
      </c>
    </row>
    <row r="23" spans="1:47" x14ac:dyDescent="0.3">
      <c r="A23" s="1"/>
      <c r="B23" s="2" t="s">
        <v>29</v>
      </c>
      <c r="C23" s="5">
        <v>1109999</v>
      </c>
    </row>
    <row r="24" spans="1:47" x14ac:dyDescent="0.3">
      <c r="A24" s="1"/>
      <c r="B24" s="2" t="s">
        <v>46</v>
      </c>
      <c r="C24" s="5">
        <v>20075000</v>
      </c>
    </row>
    <row r="25" spans="1:47" x14ac:dyDescent="0.3">
      <c r="A25" s="1"/>
      <c r="B25" s="2" t="s">
        <v>37</v>
      </c>
      <c r="C25" s="5">
        <v>5406000</v>
      </c>
    </row>
    <row r="26" spans="1:47" x14ac:dyDescent="0.3">
      <c r="A26" s="1"/>
      <c r="B26" s="2" t="s">
        <v>38</v>
      </c>
      <c r="C26" s="5">
        <v>8658090</v>
      </c>
    </row>
    <row r="27" spans="1:47" x14ac:dyDescent="0.3">
      <c r="A27" s="1"/>
      <c r="B27" s="2" t="s">
        <v>30</v>
      </c>
      <c r="C27" s="5">
        <v>26309726.339999989</v>
      </c>
    </row>
    <row r="28" spans="1:47" x14ac:dyDescent="0.3">
      <c r="B28" s="2" t="s">
        <v>31</v>
      </c>
      <c r="C28" s="5">
        <v>9155950</v>
      </c>
      <c r="AS28" s="5"/>
      <c r="AT28" s="5"/>
      <c r="AU28" s="5"/>
    </row>
    <row r="29" spans="1:47" x14ac:dyDescent="0.3">
      <c r="B29" s="2" t="s">
        <v>48</v>
      </c>
      <c r="C29" s="5">
        <v>44296915.32</v>
      </c>
      <c r="D29" s="5"/>
      <c r="AS29" s="5"/>
    </row>
    <row r="30" spans="1:47" x14ac:dyDescent="0.3">
      <c r="B30" s="2" t="s">
        <v>40</v>
      </c>
      <c r="C30" s="5">
        <v>43575600</v>
      </c>
      <c r="AS30" s="5"/>
    </row>
    <row r="31" spans="1:47" x14ac:dyDescent="0.3">
      <c r="C31" s="5"/>
      <c r="D31" s="5"/>
      <c r="AS31" s="5"/>
      <c r="AT31" s="5"/>
    </row>
    <row r="32" spans="1:47" x14ac:dyDescent="0.3">
      <c r="C32" s="5"/>
      <c r="D32" s="5"/>
      <c r="AS32" s="5"/>
    </row>
    <row r="33" spans="1:47" x14ac:dyDescent="0.3">
      <c r="C33" s="5"/>
      <c r="D33" s="5"/>
      <c r="AS33" s="5"/>
      <c r="AT33" s="5"/>
      <c r="AU33" s="5"/>
    </row>
    <row r="34" spans="1:47" x14ac:dyDescent="0.3">
      <c r="C34" s="5"/>
      <c r="D34" s="5"/>
      <c r="AS34" s="5"/>
      <c r="AT34" s="5"/>
      <c r="AU34" s="5"/>
    </row>
    <row r="35" spans="1:47" x14ac:dyDescent="0.3">
      <c r="A35" s="2" t="s">
        <v>0</v>
      </c>
      <c r="B35" s="5"/>
      <c r="C35" s="5"/>
      <c r="D35" s="5"/>
      <c r="AS35" s="5"/>
    </row>
    <row r="36" spans="1:47" x14ac:dyDescent="0.3">
      <c r="B36" s="1" t="s">
        <v>18</v>
      </c>
      <c r="C36" s="6">
        <f>SUM(C14:C35)</f>
        <v>184817899.86999997</v>
      </c>
      <c r="D36" s="5"/>
    </row>
    <row r="38" spans="1:47" x14ac:dyDescent="0.3">
      <c r="B38" s="1" t="s">
        <v>32</v>
      </c>
      <c r="C38" s="6">
        <f>C11-C36</f>
        <v>68456294.290000021</v>
      </c>
      <c r="D38" s="5"/>
    </row>
    <row r="39" spans="1:47" x14ac:dyDescent="0.3">
      <c r="D39" s="5"/>
    </row>
    <row r="40" spans="1:47" x14ac:dyDescent="0.3">
      <c r="B40" s="1"/>
      <c r="C40" s="7"/>
    </row>
    <row r="41" spans="1:47" x14ac:dyDescent="0.3">
      <c r="B41" s="1"/>
      <c r="C41" s="6"/>
      <c r="D41" s="5"/>
    </row>
    <row r="42" spans="1:47" x14ac:dyDescent="0.3">
      <c r="E42" s="8"/>
      <c r="AS42" s="8"/>
    </row>
    <row r="43" spans="1:47" x14ac:dyDescent="0.3">
      <c r="B43" s="1" t="s">
        <v>47</v>
      </c>
      <c r="C43" s="6">
        <f>(C11+C40+C41)-C36</f>
        <v>68456294.290000021</v>
      </c>
    </row>
    <row r="45" spans="1:47" x14ac:dyDescent="0.3">
      <c r="C45" s="5"/>
      <c r="D45" s="5"/>
    </row>
    <row r="48" spans="1:47" hidden="1" x14ac:dyDescent="0.3"/>
    <row r="49" spans="2:67" hidden="1" x14ac:dyDescent="0.3">
      <c r="B49" s="2" t="s">
        <v>9</v>
      </c>
      <c r="C49" s="9">
        <v>64677.45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>
        <f t="shared" ref="AS49:AS57" si="0">SUM(C49:AR49)</f>
        <v>64677.45</v>
      </c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</row>
    <row r="50" spans="2:67" hidden="1" x14ac:dyDescent="0.3">
      <c r="B50" s="2" t="s">
        <v>19</v>
      </c>
      <c r="C50" s="9">
        <v>100000</v>
      </c>
      <c r="D50" s="9">
        <v>100000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>
        <f t="shared" si="0"/>
        <v>200000</v>
      </c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spans="2:67" hidden="1" x14ac:dyDescent="0.3">
      <c r="B51" s="2" t="s">
        <v>10</v>
      </c>
      <c r="C51" s="9">
        <v>650000</v>
      </c>
      <c r="D51" s="9">
        <v>25000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>
        <f t="shared" si="0"/>
        <v>675000</v>
      </c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</row>
    <row r="52" spans="2:67" hidden="1" x14ac:dyDescent="0.3">
      <c r="B52" s="2" t="s">
        <v>11</v>
      </c>
      <c r="C52" s="9">
        <v>36000</v>
      </c>
      <c r="D52" s="9">
        <v>13000</v>
      </c>
      <c r="E52" s="9">
        <v>40000</v>
      </c>
      <c r="F52" s="9">
        <v>14700</v>
      </c>
      <c r="G52" s="9">
        <v>20000</v>
      </c>
      <c r="H52" s="9">
        <v>164000</v>
      </c>
      <c r="I52" s="9">
        <v>10400</v>
      </c>
      <c r="J52" s="9">
        <v>15000</v>
      </c>
      <c r="K52" s="9">
        <v>40000</v>
      </c>
      <c r="L52" s="9">
        <v>15000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>
        <f t="shared" si="0"/>
        <v>368100</v>
      </c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spans="2:67" hidden="1" x14ac:dyDescent="0.3">
      <c r="B53" s="2" t="s">
        <v>20</v>
      </c>
      <c r="C53" s="9">
        <v>725000</v>
      </c>
      <c r="D53" s="9">
        <v>2969175.8</v>
      </c>
      <c r="E53" s="9">
        <v>902000</v>
      </c>
      <c r="F53" s="9">
        <v>2230000</v>
      </c>
      <c r="G53" s="9">
        <v>22000</v>
      </c>
      <c r="H53" s="9">
        <v>150000</v>
      </c>
      <c r="I53" s="9">
        <v>465000</v>
      </c>
      <c r="J53" s="9">
        <v>619300</v>
      </c>
      <c r="K53" s="9">
        <v>32500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>
        <f t="shared" si="0"/>
        <v>8114975.7999999998</v>
      </c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</row>
    <row r="54" spans="2:67" hidden="1" x14ac:dyDescent="0.3">
      <c r="B54" s="2" t="s">
        <v>6</v>
      </c>
      <c r="C54" s="9">
        <v>120000</v>
      </c>
      <c r="D54" s="9">
        <v>153400</v>
      </c>
      <c r="E54" s="9">
        <v>48000</v>
      </c>
      <c r="F54" s="9">
        <v>142500</v>
      </c>
      <c r="G54" s="9">
        <v>8000</v>
      </c>
      <c r="H54" s="9">
        <v>15200</v>
      </c>
      <c r="I54" s="9">
        <v>18900</v>
      </c>
      <c r="J54" s="9">
        <v>5800</v>
      </c>
      <c r="K54" s="9">
        <v>17000</v>
      </c>
      <c r="L54" s="9">
        <v>370000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>
        <f t="shared" si="0"/>
        <v>898800</v>
      </c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spans="2:67" hidden="1" x14ac:dyDescent="0.3">
      <c r="B55" s="2" t="s">
        <v>21</v>
      </c>
      <c r="C55" s="9">
        <v>720000</v>
      </c>
      <c r="D55" s="9">
        <v>550000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>
        <f t="shared" si="0"/>
        <v>1270000</v>
      </c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</row>
    <row r="56" spans="2:67" hidden="1" x14ac:dyDescent="0.3">
      <c r="B56" s="2" t="s">
        <v>12</v>
      </c>
      <c r="C56" s="9">
        <v>3600</v>
      </c>
      <c r="D56" s="9">
        <v>832000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>
        <f t="shared" si="0"/>
        <v>835600</v>
      </c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spans="2:67" hidden="1" x14ac:dyDescent="0.3">
      <c r="B57" s="2" t="s">
        <v>13</v>
      </c>
      <c r="C57" s="9">
        <v>25000</v>
      </c>
      <c r="D57" s="9">
        <v>100000</v>
      </c>
      <c r="E57" s="9">
        <v>162100</v>
      </c>
      <c r="F57" s="9">
        <v>12000</v>
      </c>
      <c r="G57" s="9">
        <v>320161.25</v>
      </c>
      <c r="H57" s="9">
        <v>30000</v>
      </c>
      <c r="I57" s="9">
        <v>1357550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>
        <f t="shared" si="0"/>
        <v>2006811.25</v>
      </c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spans="2:67" hidden="1" x14ac:dyDescent="0.3">
      <c r="B58" s="2" t="s">
        <v>14</v>
      </c>
      <c r="C58" s="9">
        <v>249491.56</v>
      </c>
      <c r="D58" s="9">
        <v>35000</v>
      </c>
      <c r="E58" s="9">
        <v>284491.56</v>
      </c>
      <c r="F58" s="9">
        <v>3570659.44</v>
      </c>
      <c r="G58" s="9">
        <v>2070487.47</v>
      </c>
      <c r="H58" s="9">
        <v>152194.92000000001</v>
      </c>
      <c r="I58" s="9">
        <v>252957.21</v>
      </c>
      <c r="J58" s="9">
        <v>156011.73000000001</v>
      </c>
      <c r="K58" s="9">
        <v>156011.73000000001</v>
      </c>
      <c r="L58" s="9">
        <v>156011.73000000001</v>
      </c>
      <c r="M58" s="9">
        <v>3570659.43</v>
      </c>
      <c r="N58" s="9">
        <v>152194.92000000001</v>
      </c>
      <c r="O58" s="9">
        <v>3570659.43</v>
      </c>
      <c r="P58" s="9">
        <v>152194.92000000001</v>
      </c>
      <c r="Q58" s="9">
        <v>72999.33</v>
      </c>
      <c r="R58" s="9">
        <v>3570659.44</v>
      </c>
      <c r="S58" s="9">
        <v>2070487.48</v>
      </c>
      <c r="T58" s="9">
        <v>476225</v>
      </c>
      <c r="U58" s="9">
        <v>284491.57</v>
      </c>
      <c r="V58" s="9">
        <v>284491.57</v>
      </c>
      <c r="W58" s="9">
        <v>284491.57</v>
      </c>
      <c r="X58" s="9">
        <v>284491.57</v>
      </c>
      <c r="Y58" s="9">
        <v>284491.57</v>
      </c>
      <c r="Z58" s="9">
        <v>284491.57</v>
      </c>
      <c r="AA58" s="9">
        <v>284491.57</v>
      </c>
      <c r="AB58" s="9">
        <v>152226.67000000001</v>
      </c>
      <c r="AC58" s="9">
        <v>284491.57</v>
      </c>
      <c r="AD58" s="9">
        <v>152194.93</v>
      </c>
      <c r="AE58" s="9">
        <v>284491.57</v>
      </c>
      <c r="AF58" s="9">
        <v>152194.93</v>
      </c>
      <c r="AG58" s="9">
        <v>152194.93</v>
      </c>
      <c r="AH58" s="9">
        <v>75000</v>
      </c>
      <c r="AI58" s="9">
        <v>75000</v>
      </c>
      <c r="AJ58" s="9">
        <v>75000</v>
      </c>
      <c r="AK58" s="9">
        <v>66000</v>
      </c>
      <c r="AL58" s="9">
        <v>66000</v>
      </c>
      <c r="AM58" s="9">
        <v>66000</v>
      </c>
      <c r="AN58" s="9">
        <v>66000</v>
      </c>
      <c r="AO58" s="9">
        <v>66000</v>
      </c>
      <c r="AP58" s="9">
        <v>66000</v>
      </c>
      <c r="AQ58" s="9">
        <v>66000</v>
      </c>
      <c r="AR58" s="9">
        <v>66000</v>
      </c>
      <c r="AS58" s="9">
        <f>SUM(C58:AR58)</f>
        <v>24641632.890000004</v>
      </c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spans="2:67" hidden="1" x14ac:dyDescent="0.3">
      <c r="B59" s="2" t="s">
        <v>15</v>
      </c>
      <c r="C59" s="9">
        <v>475000</v>
      </c>
      <c r="D59" s="9">
        <v>39000</v>
      </c>
      <c r="E59" s="9">
        <v>250000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>
        <f t="shared" ref="AS59:AS64" si="1">SUM(C59:AR59)</f>
        <v>764000</v>
      </c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spans="2:67" hidden="1" x14ac:dyDescent="0.3">
      <c r="B60" s="2" t="s">
        <v>16</v>
      </c>
      <c r="C60" s="9">
        <v>50000</v>
      </c>
      <c r="D60" s="9">
        <v>1770000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>
        <f t="shared" si="1"/>
        <v>1820000</v>
      </c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spans="2:67" hidden="1" x14ac:dyDescent="0.3">
      <c r="B61" s="2" t="s">
        <v>22</v>
      </c>
      <c r="C61" s="9">
        <v>1581325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>
        <f t="shared" si="1"/>
        <v>1581325</v>
      </c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spans="2:67" hidden="1" x14ac:dyDescent="0.3">
      <c r="B62" s="2" t="s">
        <v>23</v>
      </c>
      <c r="C62" s="9">
        <v>46440</v>
      </c>
      <c r="D62" s="9">
        <v>49392.86</v>
      </c>
      <c r="E62" s="9">
        <v>715176</v>
      </c>
      <c r="F62" s="9">
        <v>198660</v>
      </c>
      <c r="G62" s="9">
        <v>9470.36</v>
      </c>
      <c r="H62" s="9">
        <v>99330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>
        <f t="shared" si="1"/>
        <v>1118469.22</v>
      </c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2:67" hidden="1" x14ac:dyDescent="0.3">
      <c r="B63" s="2" t="s">
        <v>24</v>
      </c>
      <c r="C63" s="9">
        <v>20161.25</v>
      </c>
      <c r="D63" s="9">
        <v>119811.25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>
        <f t="shared" si="1"/>
        <v>139972.5</v>
      </c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2:67" hidden="1" x14ac:dyDescent="0.3">
      <c r="B64" s="2" t="s">
        <v>17</v>
      </c>
      <c r="C64" s="9">
        <v>200000</v>
      </c>
      <c r="D64" s="9">
        <v>150000</v>
      </c>
      <c r="E64" s="9">
        <v>304000</v>
      </c>
      <c r="F64" s="9">
        <v>149000</v>
      </c>
      <c r="G64" s="9">
        <v>13600</v>
      </c>
      <c r="H64" s="9">
        <v>169000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>
        <f t="shared" si="1"/>
        <v>985600</v>
      </c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3:67" hidden="1" x14ac:dyDescent="0.3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3:67" hidden="1" x14ac:dyDescent="0.3">
      <c r="AS66" s="8">
        <f>SUM(AS49:AS65)</f>
        <v>45484964.109999999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IIH Finance</dc:creator>
  <cp:lastModifiedBy>IIH Finance</cp:lastModifiedBy>
  <dcterms:created xsi:type="dcterms:W3CDTF">2026-02-03T14:28:15Z</dcterms:created>
  <dcterms:modified xsi:type="dcterms:W3CDTF">2026-02-06T09:39:41Z</dcterms:modified>
</cp:coreProperties>
</file>