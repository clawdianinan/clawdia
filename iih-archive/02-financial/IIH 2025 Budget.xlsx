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14"/>
  <workbookPr defaultThemeVersion="124226"/>
  <mc:AlternateContent xmlns:mc="http://schemas.openxmlformats.org/markup-compatibility/2006">
    <mc:Choice Requires="x15">
      <x15ac:absPath xmlns:x15ac="http://schemas.microsoft.com/office/spreadsheetml/2010/11/ac" url="/Users/dev/Documents/Ilorin Innovation Hub/"/>
    </mc:Choice>
  </mc:AlternateContent>
  <xr:revisionPtr revIDLastSave="0" documentId="13_ncr:1_{C17E3A17-609D-6347-B12A-8F20DA0A6474}" xr6:coauthVersionLast="47" xr6:coauthVersionMax="47" xr10:uidLastSave="{00000000-0000-0000-0000-000000000000}"/>
  <bookViews>
    <workbookView xWindow="160" yWindow="620" windowWidth="28520" windowHeight="16240" firstSheet="1" activeTab="1" xr2:uid="{00000000-000D-0000-FFFF-FFFF00000000}"/>
  </bookViews>
  <sheets>
    <sheet name="Draft Budget" sheetId="1" r:id="rId1"/>
    <sheet name="Full Year (2026)" sheetId="14" r:id="rId2"/>
    <sheet name="Full Year (2025)" sheetId="9" r:id="rId3"/>
    <sheet name="Quarterly (Q3)" sheetId="12" r:id="rId4"/>
    <sheet name="Quarterly (Q2)" sheetId="8" r:id="rId5"/>
    <sheet name="Q2 Summary" sheetId="11" r:id="rId6"/>
    <sheet name="Q3 Summary" sheetId="13" r:id="rId7"/>
    <sheet name="Q2 One-Time VS Recurring Costs" sheetId="10" r:id="rId8"/>
    <sheet name="Salaries1" sheetId="7" r:id="rId9"/>
    <sheet name="Others" sheetId="6" r:id="rId10"/>
    <sheet name="Membership Fees" sheetId="5" r:id="rId11"/>
    <sheet name="Diesel" sheetId="4" r:id="rId12"/>
    <sheet name="Salaries" sheetId="2" state="hidden" r:id="rId13"/>
    <sheet name="Rental, Hosting &amp; Sponsorships" sheetId="3" state="hidden"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4" i="14" l="1"/>
  <c r="G115" i="14"/>
  <c r="I115" i="14"/>
  <c r="J115" i="14"/>
  <c r="L115" i="14"/>
  <c r="M115" i="14"/>
  <c r="O115" i="14"/>
  <c r="P115" i="14"/>
  <c r="E115" i="14"/>
  <c r="F89" i="14"/>
  <c r="G89" i="14"/>
  <c r="H89" i="14"/>
  <c r="I89" i="14"/>
  <c r="J89" i="14"/>
  <c r="K89" i="14"/>
  <c r="L89" i="14"/>
  <c r="M89" i="14"/>
  <c r="N89" i="14"/>
  <c r="O89" i="14"/>
  <c r="P89" i="14"/>
  <c r="E89" i="14"/>
  <c r="P20" i="14"/>
  <c r="Q27" i="7"/>
  <c r="Q17" i="7"/>
  <c r="Q18" i="7"/>
  <c r="Q19" i="7"/>
  <c r="Q20" i="7"/>
  <c r="Q21" i="7"/>
  <c r="Q22" i="7"/>
  <c r="Q23" i="7"/>
  <c r="Q24" i="7"/>
  <c r="Q25" i="7"/>
  <c r="Q26" i="7"/>
  <c r="Q16" i="7"/>
  <c r="Q7" i="7"/>
  <c r="Q8" i="7"/>
  <c r="Q9" i="7"/>
  <c r="Q10" i="7"/>
  <c r="Q11" i="7"/>
  <c r="Q12" i="7"/>
  <c r="Q13" i="7"/>
  <c r="Q14" i="7"/>
  <c r="Q15" i="7"/>
  <c r="Q6" i="7"/>
  <c r="Q4" i="7"/>
  <c r="Q5" i="7"/>
  <c r="Q3" i="7"/>
  <c r="E14" i="14"/>
  <c r="Q33" i="14"/>
  <c r="P4" i="7"/>
  <c r="P5" i="7"/>
  <c r="P6" i="7"/>
  <c r="P27" i="7" s="1"/>
  <c r="P7" i="7"/>
  <c r="P8" i="7"/>
  <c r="P9" i="7"/>
  <c r="P10" i="7"/>
  <c r="P11" i="7"/>
  <c r="P12" i="7"/>
  <c r="P13" i="7"/>
  <c r="P14" i="7"/>
  <c r="P15" i="7"/>
  <c r="P16" i="7"/>
  <c r="P17" i="7"/>
  <c r="P18" i="7"/>
  <c r="P19" i="7"/>
  <c r="P20" i="7"/>
  <c r="P21" i="7"/>
  <c r="P22" i="7"/>
  <c r="P23" i="7"/>
  <c r="P24" i="7"/>
  <c r="P25" i="7"/>
  <c r="P26" i="7"/>
  <c r="P3" i="7"/>
  <c r="E27" i="7"/>
  <c r="F27" i="7"/>
  <c r="G27" i="7"/>
  <c r="H27" i="7"/>
  <c r="I27" i="7"/>
  <c r="J27" i="7"/>
  <c r="K27" i="7"/>
  <c r="L27" i="7"/>
  <c r="M27" i="7"/>
  <c r="N27" i="7"/>
  <c r="O27" i="7"/>
  <c r="E19" i="14"/>
  <c r="F19" i="14"/>
  <c r="G19" i="14"/>
  <c r="H19" i="14"/>
  <c r="D27" i="7"/>
  <c r="C27" i="7"/>
  <c r="A6" i="7"/>
  <c r="A7" i="7" s="1"/>
  <c r="A8" i="7" s="1"/>
  <c r="A9" i="7" s="1"/>
  <c r="A10" i="7" s="1"/>
  <c r="A11" i="7" s="1"/>
  <c r="A12" i="7" s="1"/>
  <c r="A13" i="7" s="1"/>
  <c r="A14" i="7" s="1"/>
  <c r="A15" i="7" s="1"/>
  <c r="A16" i="7" s="1"/>
  <c r="A17" i="7" s="1"/>
  <c r="A18" i="7" s="1"/>
  <c r="A19" i="7" s="1"/>
  <c r="A20" i="7" s="1"/>
  <c r="A21" i="7" s="1"/>
  <c r="A5" i="7"/>
  <c r="Q59" i="14"/>
  <c r="Q45" i="14"/>
  <c r="Q46" i="14"/>
  <c r="Q47" i="14"/>
  <c r="Q54" i="14"/>
  <c r="G79" i="14"/>
  <c r="H79" i="14"/>
  <c r="I79" i="14"/>
  <c r="J79" i="14"/>
  <c r="K79" i="14"/>
  <c r="L79" i="14"/>
  <c r="M79" i="14"/>
  <c r="N79" i="14"/>
  <c r="O79" i="14"/>
  <c r="P79" i="14"/>
  <c r="E79" i="14"/>
  <c r="F86" i="14"/>
  <c r="G86" i="14"/>
  <c r="H86" i="14"/>
  <c r="I86" i="14"/>
  <c r="J86" i="14"/>
  <c r="K86" i="14"/>
  <c r="L86" i="14"/>
  <c r="M86" i="14"/>
  <c r="N86" i="14"/>
  <c r="O86" i="14"/>
  <c r="P86" i="14"/>
  <c r="E86" i="14"/>
  <c r="Q85" i="14"/>
  <c r="E50" i="14"/>
  <c r="F50" i="14"/>
  <c r="E69" i="14"/>
  <c r="F69" i="14"/>
  <c r="F79" i="14"/>
  <c r="Q74" i="14"/>
  <c r="Q75" i="14"/>
  <c r="Q76" i="14"/>
  <c r="Q77" i="14"/>
  <c r="Q78" i="14"/>
  <c r="Q31" i="14"/>
  <c r="G27" i="14"/>
  <c r="G41" i="14" s="1"/>
  <c r="Q30" i="14"/>
  <c r="Q24" i="14"/>
  <c r="Q25" i="14"/>
  <c r="Q26" i="14"/>
  <c r="P39" i="14"/>
  <c r="P37" i="14"/>
  <c r="P36" i="14"/>
  <c r="M69" i="14"/>
  <c r="L69" i="14"/>
  <c r="K69" i="14"/>
  <c r="H69" i="14"/>
  <c r="G69" i="14"/>
  <c r="Q68" i="14"/>
  <c r="Q67" i="14"/>
  <c r="Q66" i="14"/>
  <c r="P69" i="14"/>
  <c r="O69" i="14"/>
  <c r="J69" i="14"/>
  <c r="Q65" i="14"/>
  <c r="N69" i="14"/>
  <c r="I69" i="14"/>
  <c r="Q64" i="14"/>
  <c r="Q113" i="14"/>
  <c r="Q105" i="14"/>
  <c r="H99" i="14"/>
  <c r="G99" i="14"/>
  <c r="Q98" i="14"/>
  <c r="F97" i="14"/>
  <c r="E97" i="14"/>
  <c r="F96" i="14"/>
  <c r="E96" i="14"/>
  <c r="P95" i="14"/>
  <c r="P99" i="14" s="1"/>
  <c r="O95" i="14"/>
  <c r="O99" i="14" s="1"/>
  <c r="N95" i="14"/>
  <c r="N99" i="14" s="1"/>
  <c r="M95" i="14"/>
  <c r="M99" i="14" s="1"/>
  <c r="L95" i="14"/>
  <c r="L99" i="14" s="1"/>
  <c r="K95" i="14"/>
  <c r="K99" i="14" s="1"/>
  <c r="J95" i="14"/>
  <c r="J99" i="14" s="1"/>
  <c r="I95" i="14"/>
  <c r="I99" i="14" s="1"/>
  <c r="E95" i="14"/>
  <c r="F94" i="14"/>
  <c r="E94" i="14"/>
  <c r="Q93" i="14"/>
  <c r="Q84" i="14"/>
  <c r="Q83" i="14"/>
  <c r="Q82" i="14"/>
  <c r="Q73" i="14"/>
  <c r="H61" i="14"/>
  <c r="G61" i="14"/>
  <c r="Q58" i="14"/>
  <c r="Q57" i="14"/>
  <c r="P56" i="14"/>
  <c r="O56" i="14"/>
  <c r="N56" i="14"/>
  <c r="M56" i="14"/>
  <c r="L56" i="14"/>
  <c r="K56" i="14"/>
  <c r="J56" i="14"/>
  <c r="I56" i="14"/>
  <c r="F56" i="14"/>
  <c r="E56" i="14"/>
  <c r="F55" i="14"/>
  <c r="E55" i="14"/>
  <c r="N53" i="14"/>
  <c r="K53" i="14"/>
  <c r="I53" i="14"/>
  <c r="F53" i="14"/>
  <c r="E53" i="14"/>
  <c r="P50" i="14"/>
  <c r="O50" i="14"/>
  <c r="N50" i="14"/>
  <c r="M50" i="14"/>
  <c r="L50" i="14"/>
  <c r="K50" i="14"/>
  <c r="J50" i="14"/>
  <c r="I50" i="14"/>
  <c r="H50" i="14"/>
  <c r="G50" i="14"/>
  <c r="Q49" i="14"/>
  <c r="Q48" i="14"/>
  <c r="Q44" i="14"/>
  <c r="Q43" i="14"/>
  <c r="Q34" i="14"/>
  <c r="Q32" i="14"/>
  <c r="Q29" i="14"/>
  <c r="Q13" i="14"/>
  <c r="Q10" i="14"/>
  <c r="F9" i="14"/>
  <c r="E9" i="14"/>
  <c r="Q7" i="14"/>
  <c r="C16" i="11"/>
  <c r="B24" i="13"/>
  <c r="B23" i="13"/>
  <c r="B22" i="13"/>
  <c r="B20" i="13"/>
  <c r="B18" i="13"/>
  <c r="B17" i="13"/>
  <c r="B16" i="13"/>
  <c r="B15" i="13"/>
  <c r="B14" i="13"/>
  <c r="B13" i="13"/>
  <c r="H71" i="12"/>
  <c r="H63" i="12"/>
  <c r="H58" i="12"/>
  <c r="H57" i="12"/>
  <c r="H56" i="12"/>
  <c r="G55" i="12"/>
  <c r="G59" i="12" s="1"/>
  <c r="F55" i="12"/>
  <c r="F59" i="12" s="1"/>
  <c r="E55" i="12"/>
  <c r="E59" i="12" s="1"/>
  <c r="H54" i="12"/>
  <c r="G47" i="12"/>
  <c r="F47" i="12"/>
  <c r="E47" i="12"/>
  <c r="H46" i="12"/>
  <c r="G43" i="12"/>
  <c r="F43" i="12"/>
  <c r="E43" i="12"/>
  <c r="H42" i="12"/>
  <c r="H41" i="12"/>
  <c r="G36" i="12"/>
  <c r="F36" i="12"/>
  <c r="E36" i="12"/>
  <c r="H35" i="12"/>
  <c r="H34" i="12"/>
  <c r="H33" i="12"/>
  <c r="G30" i="12"/>
  <c r="F30" i="12"/>
  <c r="E30" i="12"/>
  <c r="H29" i="12"/>
  <c r="H28" i="12"/>
  <c r="H27" i="12"/>
  <c r="H26" i="12"/>
  <c r="H25" i="12"/>
  <c r="H23" i="12"/>
  <c r="H22" i="12"/>
  <c r="G13" i="12"/>
  <c r="G72" i="12" s="1"/>
  <c r="F13" i="12"/>
  <c r="F72" i="12" s="1"/>
  <c r="H12" i="12"/>
  <c r="H9" i="12"/>
  <c r="H8" i="12"/>
  <c r="E13" i="12"/>
  <c r="E72" i="12" s="1"/>
  <c r="H6" i="12"/>
  <c r="I8" i="9"/>
  <c r="L8" i="9"/>
  <c r="E101" i="9"/>
  <c r="F101" i="9"/>
  <c r="E14" i="9"/>
  <c r="F14" i="9"/>
  <c r="O84" i="9"/>
  <c r="O85" i="9"/>
  <c r="O86" i="9"/>
  <c r="O87" i="9"/>
  <c r="O83" i="9"/>
  <c r="O74" i="9"/>
  <c r="O73" i="9"/>
  <c r="O65" i="9"/>
  <c r="O66" i="9"/>
  <c r="O67" i="9"/>
  <c r="O68" i="9"/>
  <c r="O69" i="9"/>
  <c r="O64" i="9"/>
  <c r="O70" i="9"/>
  <c r="O55" i="9"/>
  <c r="O56" i="9"/>
  <c r="O57" i="9"/>
  <c r="O58" i="9"/>
  <c r="O59" i="9"/>
  <c r="O54" i="9"/>
  <c r="O44" i="9"/>
  <c r="O45" i="9"/>
  <c r="O46" i="9"/>
  <c r="O47" i="9"/>
  <c r="O48" i="9"/>
  <c r="O49" i="9"/>
  <c r="O50" i="9"/>
  <c r="O43" i="9"/>
  <c r="O24" i="9"/>
  <c r="O25" i="9"/>
  <c r="O26" i="9"/>
  <c r="O27" i="9"/>
  <c r="O28" i="9"/>
  <c r="O29" i="9"/>
  <c r="O30" i="9"/>
  <c r="O31" i="9"/>
  <c r="O32" i="9"/>
  <c r="O33" i="9"/>
  <c r="O34" i="9"/>
  <c r="O35" i="9"/>
  <c r="O36" i="9"/>
  <c r="O37" i="9"/>
  <c r="O38" i="9"/>
  <c r="O39" i="9"/>
  <c r="O23" i="9"/>
  <c r="F61" i="14" l="1"/>
  <c r="F99" i="14"/>
  <c r="Q86" i="14"/>
  <c r="E61" i="14"/>
  <c r="E99" i="14"/>
  <c r="Q79" i="14"/>
  <c r="Q39" i="14"/>
  <c r="P38" i="14"/>
  <c r="Q38" i="14" s="1"/>
  <c r="Q37" i="14"/>
  <c r="Q36" i="14"/>
  <c r="Q69" i="14"/>
  <c r="O61" i="14"/>
  <c r="Q96" i="14"/>
  <c r="O14" i="14"/>
  <c r="O114" i="14" s="1"/>
  <c r="G14" i="14"/>
  <c r="G106" i="14" s="1"/>
  <c r="Q9" i="14"/>
  <c r="Q50" i="14"/>
  <c r="L14" i="14"/>
  <c r="L114" i="14" s="1"/>
  <c r="P14" i="14"/>
  <c r="P114" i="14" s="1"/>
  <c r="P61" i="14"/>
  <c r="Q55" i="14"/>
  <c r="Q11" i="14"/>
  <c r="M14" i="14"/>
  <c r="M114" i="14" s="1"/>
  <c r="Q53" i="14"/>
  <c r="Q61" i="14" s="1"/>
  <c r="J61" i="14"/>
  <c r="Q94" i="14"/>
  <c r="L61" i="14"/>
  <c r="H14" i="14"/>
  <c r="Q95" i="14"/>
  <c r="E114" i="14"/>
  <c r="K14" i="14"/>
  <c r="K106" i="14" s="1"/>
  <c r="I14" i="14"/>
  <c r="I114" i="14" s="1"/>
  <c r="Q12" i="14"/>
  <c r="K61" i="14"/>
  <c r="M61" i="14"/>
  <c r="Q97" i="14"/>
  <c r="Q56" i="14"/>
  <c r="J14" i="14"/>
  <c r="J114" i="14" s="1"/>
  <c r="I61" i="14"/>
  <c r="N61" i="14"/>
  <c r="P35" i="14"/>
  <c r="H55" i="12"/>
  <c r="H24" i="12"/>
  <c r="H30" i="12" s="1"/>
  <c r="C15" i="13" s="1"/>
  <c r="H47" i="12"/>
  <c r="C18" i="13" s="1"/>
  <c r="H43" i="12"/>
  <c r="C17" i="13" s="1"/>
  <c r="H10" i="12"/>
  <c r="H11" i="12"/>
  <c r="H36" i="12"/>
  <c r="C16" i="13" s="1"/>
  <c r="H59" i="12"/>
  <c r="C20" i="13" s="1"/>
  <c r="E64" i="12"/>
  <c r="F64" i="12"/>
  <c r="G64" i="12"/>
  <c r="H7" i="12"/>
  <c r="C77" i="10"/>
  <c r="B78" i="10"/>
  <c r="B77" i="10"/>
  <c r="B76" i="10"/>
  <c r="C71" i="10"/>
  <c r="C72" i="10"/>
  <c r="C73" i="10"/>
  <c r="C74" i="10"/>
  <c r="C70" i="10"/>
  <c r="B73" i="10"/>
  <c r="B74" i="10"/>
  <c r="B72" i="10"/>
  <c r="B71" i="10"/>
  <c r="B70" i="10"/>
  <c r="B69" i="10"/>
  <c r="C67" i="10"/>
  <c r="C66" i="10" s="1"/>
  <c r="B67" i="10"/>
  <c r="B66" i="10"/>
  <c r="C64" i="10"/>
  <c r="B64" i="10"/>
  <c r="C63" i="10"/>
  <c r="B63" i="10"/>
  <c r="B62" i="10"/>
  <c r="B37" i="10"/>
  <c r="C54" i="10"/>
  <c r="C55" i="10"/>
  <c r="C56" i="10"/>
  <c r="C57" i="10"/>
  <c r="C58" i="10"/>
  <c r="C59" i="10"/>
  <c r="C60" i="10"/>
  <c r="C53" i="10"/>
  <c r="B54" i="10"/>
  <c r="B55" i="10"/>
  <c r="B56" i="10"/>
  <c r="B57" i="10"/>
  <c r="B58" i="10"/>
  <c r="B59" i="10"/>
  <c r="B60" i="10"/>
  <c r="B53" i="10"/>
  <c r="B52" i="10"/>
  <c r="C41" i="10"/>
  <c r="C42" i="10"/>
  <c r="C43" i="10"/>
  <c r="C44" i="10"/>
  <c r="C45" i="10"/>
  <c r="C46" i="10"/>
  <c r="C47" i="10"/>
  <c r="C48" i="10"/>
  <c r="C49" i="10"/>
  <c r="C50" i="10"/>
  <c r="C40" i="10"/>
  <c r="B39" i="10"/>
  <c r="B41" i="10"/>
  <c r="B42" i="10"/>
  <c r="B43" i="10"/>
  <c r="B44" i="10"/>
  <c r="B45" i="10"/>
  <c r="B46" i="10"/>
  <c r="B47" i="10"/>
  <c r="B48" i="10"/>
  <c r="B49" i="10"/>
  <c r="B50" i="10"/>
  <c r="B40" i="10"/>
  <c r="B22" i="10"/>
  <c r="I59" i="8"/>
  <c r="C22" i="10" s="1"/>
  <c r="Q99" i="14" l="1"/>
  <c r="N14" i="14"/>
  <c r="N114" i="14" s="1"/>
  <c r="Q114" i="14" s="1"/>
  <c r="G114" i="14"/>
  <c r="O106" i="14"/>
  <c r="K114" i="14"/>
  <c r="P106" i="14"/>
  <c r="L106" i="14"/>
  <c r="M106" i="14"/>
  <c r="E106" i="14"/>
  <c r="H106" i="14"/>
  <c r="J106" i="14"/>
  <c r="I106" i="14"/>
  <c r="Q35" i="14"/>
  <c r="H13" i="12"/>
  <c r="H72" i="12"/>
  <c r="C39" i="10"/>
  <c r="C62" i="10"/>
  <c r="C69" i="10"/>
  <c r="C52" i="10"/>
  <c r="L46" i="9"/>
  <c r="L47" i="9"/>
  <c r="B21" i="10"/>
  <c r="G56" i="8"/>
  <c r="G56" i="9"/>
  <c r="I60" i="9"/>
  <c r="J60" i="9"/>
  <c r="K60" i="9"/>
  <c r="L60" i="9"/>
  <c r="M60" i="9"/>
  <c r="N60" i="9"/>
  <c r="H60" i="9"/>
  <c r="B19" i="10"/>
  <c r="B12" i="10"/>
  <c r="E88" i="9"/>
  <c r="F88" i="9"/>
  <c r="E95" i="9"/>
  <c r="E88" i="8"/>
  <c r="F88" i="8"/>
  <c r="H84" i="9"/>
  <c r="H88" i="9" s="1"/>
  <c r="G84" i="9"/>
  <c r="G88" i="9" s="1"/>
  <c r="H75" i="9"/>
  <c r="G75" i="9"/>
  <c r="F75" i="9"/>
  <c r="E75" i="9"/>
  <c r="H70" i="9"/>
  <c r="G70" i="9"/>
  <c r="F70" i="9"/>
  <c r="E70" i="9"/>
  <c r="F60" i="9"/>
  <c r="E60" i="9"/>
  <c r="G55" i="9"/>
  <c r="G54" i="9"/>
  <c r="H51" i="9"/>
  <c r="G51" i="9"/>
  <c r="F51" i="9"/>
  <c r="E51" i="9"/>
  <c r="H40" i="9"/>
  <c r="E40" i="9"/>
  <c r="F30" i="9"/>
  <c r="F40" i="9" s="1"/>
  <c r="G25" i="9"/>
  <c r="G24" i="9"/>
  <c r="G23" i="9"/>
  <c r="G40" i="9" s="1"/>
  <c r="H12" i="9"/>
  <c r="G12" i="9"/>
  <c r="F12" i="9"/>
  <c r="H11" i="9"/>
  <c r="H14" i="9" s="1"/>
  <c r="G11" i="9"/>
  <c r="F11" i="9"/>
  <c r="F4" i="9"/>
  <c r="F5" i="9" s="1"/>
  <c r="O8" i="9"/>
  <c r="I47" i="8"/>
  <c r="C41" i="11"/>
  <c r="L45" i="9"/>
  <c r="L44" i="9"/>
  <c r="L43" i="9"/>
  <c r="J14" i="9"/>
  <c r="J93" i="9" s="1"/>
  <c r="K14" i="9"/>
  <c r="K93" i="9" s="1"/>
  <c r="L14" i="9"/>
  <c r="L93" i="9" s="1"/>
  <c r="M14" i="9"/>
  <c r="M101" i="9" s="1"/>
  <c r="N14" i="9"/>
  <c r="N101" i="9" s="1"/>
  <c r="L40" i="9"/>
  <c r="M40" i="9"/>
  <c r="N40" i="9"/>
  <c r="L84" i="9"/>
  <c r="L88" i="9" s="1"/>
  <c r="M84" i="9"/>
  <c r="M88" i="9" s="1"/>
  <c r="N84" i="9"/>
  <c r="N88" i="9" s="1"/>
  <c r="L75" i="9"/>
  <c r="M75" i="9"/>
  <c r="N75" i="9"/>
  <c r="L70" i="9"/>
  <c r="M70" i="9"/>
  <c r="N70" i="9"/>
  <c r="M51" i="9"/>
  <c r="N51" i="9"/>
  <c r="I51" i="9"/>
  <c r="J51" i="9"/>
  <c r="K51" i="9"/>
  <c r="I70" i="9"/>
  <c r="J70" i="9"/>
  <c r="K70" i="9"/>
  <c r="I75" i="9"/>
  <c r="J75" i="9"/>
  <c r="K75" i="9"/>
  <c r="I84" i="9"/>
  <c r="I88" i="9" s="1"/>
  <c r="J84" i="9"/>
  <c r="J88" i="9" s="1"/>
  <c r="K84" i="9"/>
  <c r="K88" i="9" s="1"/>
  <c r="I40" i="9"/>
  <c r="J40" i="9"/>
  <c r="K40" i="9"/>
  <c r="B26" i="11"/>
  <c r="B25" i="11"/>
  <c r="B24" i="11"/>
  <c r="B31" i="10"/>
  <c r="B30" i="10"/>
  <c r="B27" i="10"/>
  <c r="B26" i="10"/>
  <c r="B25" i="10"/>
  <c r="B24" i="10"/>
  <c r="B20" i="10"/>
  <c r="B18" i="10"/>
  <c r="B17" i="10"/>
  <c r="B16" i="10"/>
  <c r="B11" i="10"/>
  <c r="B8" i="10"/>
  <c r="B22" i="11"/>
  <c r="B14" i="11"/>
  <c r="B20" i="11"/>
  <c r="B19" i="11"/>
  <c r="B18" i="11"/>
  <c r="I29" i="8"/>
  <c r="B17" i="11"/>
  <c r="B16" i="11"/>
  <c r="B15" i="11"/>
  <c r="B14" i="10"/>
  <c r="B13" i="10"/>
  <c r="B10" i="10"/>
  <c r="B9" i="10"/>
  <c r="F30" i="8"/>
  <c r="C40" i="11" s="1"/>
  <c r="N106" i="14" l="1"/>
  <c r="H64" i="12"/>
  <c r="C23" i="13" s="1"/>
  <c r="G60" i="9"/>
  <c r="N93" i="9"/>
  <c r="M93" i="9"/>
  <c r="G14" i="9"/>
  <c r="G101" i="9" s="1"/>
  <c r="F93" i="9"/>
  <c r="H101" i="9"/>
  <c r="H93" i="9"/>
  <c r="O75" i="9"/>
  <c r="L51" i="9"/>
  <c r="J101" i="9"/>
  <c r="L101" i="9"/>
  <c r="K101" i="9"/>
  <c r="O51" i="9"/>
  <c r="G93" i="9" l="1"/>
  <c r="F95" i="9"/>
  <c r="O100" i="9"/>
  <c r="O92" i="9"/>
  <c r="O82" i="9"/>
  <c r="O13" i="9"/>
  <c r="O10" i="9"/>
  <c r="O9" i="9"/>
  <c r="O7" i="9"/>
  <c r="G55" i="8"/>
  <c r="G54" i="8"/>
  <c r="I58" i="8"/>
  <c r="C21" i="10" s="1"/>
  <c r="I85" i="8"/>
  <c r="I86" i="8"/>
  <c r="I87" i="8"/>
  <c r="E60" i="8"/>
  <c r="F60" i="8"/>
  <c r="E70" i="8"/>
  <c r="F70" i="8"/>
  <c r="E75" i="8"/>
  <c r="F75" i="8"/>
  <c r="E51" i="8"/>
  <c r="F51" i="8"/>
  <c r="E40" i="8"/>
  <c r="G24" i="8"/>
  <c r="G23" i="8"/>
  <c r="I57" i="8"/>
  <c r="C20" i="10" s="1"/>
  <c r="I45" i="8"/>
  <c r="I46" i="8"/>
  <c r="I35" i="8"/>
  <c r="I36" i="8"/>
  <c r="I37" i="8"/>
  <c r="I38" i="8"/>
  <c r="I32" i="8"/>
  <c r="I34" i="8"/>
  <c r="F40" i="8"/>
  <c r="O60" i="9" l="1"/>
  <c r="G60" i="8"/>
  <c r="O88" i="9"/>
  <c r="O11" i="9"/>
  <c r="O12" i="9"/>
  <c r="O40" i="9"/>
  <c r="I26" i="8"/>
  <c r="C12" i="10" s="1"/>
  <c r="I27" i="8"/>
  <c r="C13" i="10" s="1"/>
  <c r="I30" i="8"/>
  <c r="I31" i="8"/>
  <c r="I28" i="8"/>
  <c r="I24" i="8"/>
  <c r="C10" i="10" s="1"/>
  <c r="G25" i="8"/>
  <c r="I25" i="8" s="1"/>
  <c r="C11" i="10" s="1"/>
  <c r="O14" i="9" l="1"/>
  <c r="I41" i="1" l="1"/>
  <c r="I42" i="1"/>
  <c r="N40" i="1"/>
  <c r="K40" i="1"/>
  <c r="I40" i="1"/>
  <c r="H11" i="1"/>
  <c r="I11" i="1"/>
  <c r="J11" i="1"/>
  <c r="H12" i="1"/>
  <c r="I12" i="1"/>
  <c r="J12" i="1"/>
  <c r="H26" i="1"/>
  <c r="J29" i="1"/>
  <c r="H37" i="1"/>
  <c r="I37" i="1"/>
  <c r="J37" i="1"/>
  <c r="J41" i="1"/>
  <c r="J42" i="1"/>
  <c r="H54" i="1"/>
  <c r="I54" i="1"/>
  <c r="J54" i="1"/>
  <c r="H60" i="1"/>
  <c r="I60" i="1"/>
  <c r="J60" i="1"/>
  <c r="H75" i="1"/>
  <c r="I71" i="1"/>
  <c r="I75" i="1" s="1"/>
  <c r="J71" i="1"/>
  <c r="J75" i="1" s="1"/>
  <c r="I7" i="8"/>
  <c r="I8" i="8"/>
  <c r="I9" i="8"/>
  <c r="I10" i="8"/>
  <c r="F11" i="8"/>
  <c r="G11" i="8"/>
  <c r="H11" i="8"/>
  <c r="F12" i="8"/>
  <c r="G12" i="8"/>
  <c r="H12" i="8"/>
  <c r="I13" i="8"/>
  <c r="G84" i="8"/>
  <c r="I50" i="8"/>
  <c r="I100" i="8"/>
  <c r="I92" i="8"/>
  <c r="H84" i="8"/>
  <c r="H88" i="8" s="1"/>
  <c r="I82" i="8"/>
  <c r="H75" i="8"/>
  <c r="G75" i="8"/>
  <c r="I74" i="8"/>
  <c r="C31" i="10" s="1"/>
  <c r="C30" i="10" s="1"/>
  <c r="I73" i="8"/>
  <c r="H70" i="8"/>
  <c r="G70" i="8"/>
  <c r="I68" i="8"/>
  <c r="I67" i="8"/>
  <c r="C27" i="10" s="1"/>
  <c r="I66" i="8"/>
  <c r="C26" i="10" s="1"/>
  <c r="I65" i="8"/>
  <c r="I64" i="8"/>
  <c r="G51" i="8"/>
  <c r="I49" i="8"/>
  <c r="I48" i="8"/>
  <c r="I44" i="8"/>
  <c r="I43" i="8"/>
  <c r="I39" i="8"/>
  <c r="C14" i="10" s="1"/>
  <c r="G40" i="8"/>
  <c r="I23" i="8"/>
  <c r="C9" i="10" s="1"/>
  <c r="N27" i="6"/>
  <c r="K27" i="6"/>
  <c r="H27" i="6"/>
  <c r="E27" i="6"/>
  <c r="N26" i="6"/>
  <c r="K26" i="6"/>
  <c r="H26" i="6"/>
  <c r="E26" i="6"/>
  <c r="N25" i="6"/>
  <c r="K25" i="6"/>
  <c r="H25" i="6"/>
  <c r="E25" i="6"/>
  <c r="E11" i="6"/>
  <c r="H11" i="6"/>
  <c r="K11" i="6"/>
  <c r="N11" i="6"/>
  <c r="E12" i="6"/>
  <c r="F12" i="6"/>
  <c r="G12" i="6"/>
  <c r="H12" i="6"/>
  <c r="I12" i="6"/>
  <c r="J12" i="6"/>
  <c r="K12" i="6"/>
  <c r="L12" i="6"/>
  <c r="M12" i="6"/>
  <c r="N12" i="6"/>
  <c r="E13" i="6"/>
  <c r="H13" i="6"/>
  <c r="K13" i="6"/>
  <c r="N13" i="6"/>
  <c r="E14" i="6"/>
  <c r="H14" i="6"/>
  <c r="K14" i="6"/>
  <c r="N14" i="6"/>
  <c r="K8" i="1"/>
  <c r="N8" i="1" s="1"/>
  <c r="C8" i="10" l="1"/>
  <c r="I70" i="8"/>
  <c r="C19" i="11" s="1"/>
  <c r="C25" i="10"/>
  <c r="C24" i="10" s="1"/>
  <c r="G88" i="8"/>
  <c r="I88" i="8" s="1"/>
  <c r="C22" i="11" s="1"/>
  <c r="I84" i="8"/>
  <c r="H40" i="8"/>
  <c r="I11" i="8"/>
  <c r="F14" i="8"/>
  <c r="F101" i="8" s="1"/>
  <c r="H14" i="8"/>
  <c r="H93" i="8" s="1"/>
  <c r="I12" i="8"/>
  <c r="G14" i="8"/>
  <c r="G101" i="8" s="1"/>
  <c r="H51" i="8"/>
  <c r="I45" i="1"/>
  <c r="J14" i="1"/>
  <c r="H45" i="1"/>
  <c r="I14" i="1"/>
  <c r="J45" i="1"/>
  <c r="H14" i="1"/>
  <c r="J82" i="1"/>
  <c r="J90" i="1"/>
  <c r="I90" i="1"/>
  <c r="I82" i="1"/>
  <c r="H90" i="1"/>
  <c r="H82" i="1"/>
  <c r="I51" i="8"/>
  <c r="C17" i="11" s="1"/>
  <c r="H60" i="8"/>
  <c r="I83" i="8"/>
  <c r="I55" i="8"/>
  <c r="C18" i="10" s="1"/>
  <c r="I56" i="8"/>
  <c r="C19" i="10" s="1"/>
  <c r="I75" i="8"/>
  <c r="C20" i="11" s="1"/>
  <c r="L29" i="1"/>
  <c r="P29" i="1" s="1"/>
  <c r="I14" i="8" l="1"/>
  <c r="I40" i="8"/>
  <c r="H101" i="8"/>
  <c r="I101" i="8" s="1"/>
  <c r="G93" i="8"/>
  <c r="F93" i="8"/>
  <c r="I54" i="8"/>
  <c r="I60" i="8" s="1"/>
  <c r="A4" i="7"/>
  <c r="F19" i="9" l="1"/>
  <c r="P19" i="1"/>
  <c r="J19" i="14"/>
  <c r="N19" i="14"/>
  <c r="O19" i="14"/>
  <c r="C18" i="11"/>
  <c r="C17" i="10"/>
  <c r="F95" i="8"/>
  <c r="I93" i="8"/>
  <c r="C25" i="11" s="1"/>
  <c r="F19" i="8" l="1"/>
  <c r="P19" i="14"/>
  <c r="N19" i="9"/>
  <c r="N78" i="9" s="1"/>
  <c r="N94" i="9" s="1"/>
  <c r="N95" i="9" s="1"/>
  <c r="N102" i="9" s="1"/>
  <c r="N38" i="7"/>
  <c r="E18" i="12"/>
  <c r="K19" i="14"/>
  <c r="I19" i="1"/>
  <c r="I19" i="14"/>
  <c r="L19" i="14"/>
  <c r="F18" i="12"/>
  <c r="F50" i="12" s="1"/>
  <c r="F65" i="12" s="1"/>
  <c r="F66" i="12" s="1"/>
  <c r="F73" i="12" s="1"/>
  <c r="G18" i="12"/>
  <c r="G50" i="12" s="1"/>
  <c r="G65" i="12" s="1"/>
  <c r="G66" i="12" s="1"/>
  <c r="G73" i="12" s="1"/>
  <c r="M19" i="14"/>
  <c r="G107" i="14"/>
  <c r="G108" i="14" s="1"/>
  <c r="E19" i="9"/>
  <c r="E19" i="8"/>
  <c r="E78" i="8" s="1"/>
  <c r="E102" i="8" s="1"/>
  <c r="G19" i="1"/>
  <c r="L19" i="9"/>
  <c r="L78" i="9" s="1"/>
  <c r="L94" i="9" s="1"/>
  <c r="L95" i="9" s="1"/>
  <c r="L102" i="9" s="1"/>
  <c r="N19" i="1"/>
  <c r="K19" i="9"/>
  <c r="K78" i="9" s="1"/>
  <c r="K94" i="9" s="1"/>
  <c r="K95" i="9" s="1"/>
  <c r="K102" i="9" s="1"/>
  <c r="M19" i="1"/>
  <c r="I19" i="9"/>
  <c r="I78" i="9" s="1"/>
  <c r="I94" i="9" s="1"/>
  <c r="K19" i="1"/>
  <c r="C39" i="11"/>
  <c r="F78" i="8"/>
  <c r="F78" i="9"/>
  <c r="J19" i="9"/>
  <c r="J78" i="9" s="1"/>
  <c r="J94" i="9" s="1"/>
  <c r="J95" i="9" s="1"/>
  <c r="J102" i="9" s="1"/>
  <c r="L19" i="1"/>
  <c r="G19" i="8"/>
  <c r="G78" i="8" s="1"/>
  <c r="G94" i="8" s="1"/>
  <c r="G19" i="9"/>
  <c r="G78" i="9" s="1"/>
  <c r="G94" i="9" s="1"/>
  <c r="H19" i="9"/>
  <c r="H78" i="9" s="1"/>
  <c r="H94" i="9" s="1"/>
  <c r="H95" i="9" s="1"/>
  <c r="H102" i="9" s="1"/>
  <c r="H19" i="8"/>
  <c r="H78" i="8" s="1"/>
  <c r="H94" i="8" s="1"/>
  <c r="H95" i="8" s="1"/>
  <c r="H102" i="8" s="1"/>
  <c r="J19" i="1"/>
  <c r="M19" i="9"/>
  <c r="M78" i="9" s="1"/>
  <c r="M94" i="9" s="1"/>
  <c r="M95" i="9" s="1"/>
  <c r="M102" i="9" s="1"/>
  <c r="O19" i="1"/>
  <c r="C16" i="10"/>
  <c r="C81" i="10" s="1"/>
  <c r="N39" i="7" l="1"/>
  <c r="Q19" i="14"/>
  <c r="I19" i="8"/>
  <c r="C15" i="11" s="1"/>
  <c r="C14" i="11" s="1"/>
  <c r="O94" i="9"/>
  <c r="M106" i="9"/>
  <c r="E50" i="12"/>
  <c r="H18" i="12"/>
  <c r="C14" i="13" s="1"/>
  <c r="C13" i="13" s="1"/>
  <c r="E78" i="9"/>
  <c r="O19" i="9"/>
  <c r="F102" i="9"/>
  <c r="I78" i="8"/>
  <c r="F102" i="8"/>
  <c r="G95" i="9"/>
  <c r="G95" i="8"/>
  <c r="I94" i="8"/>
  <c r="C33" i="11"/>
  <c r="F4" i="8"/>
  <c r="F5" i="8" s="1"/>
  <c r="P60" i="1"/>
  <c r="O60" i="1"/>
  <c r="N60" i="1"/>
  <c r="M60" i="1"/>
  <c r="L60" i="1"/>
  <c r="K60" i="1"/>
  <c r="Q58" i="1"/>
  <c r="C37" i="10" l="1"/>
  <c r="E65" i="12"/>
  <c r="H50" i="12"/>
  <c r="C33" i="13" s="1"/>
  <c r="E102" i="9"/>
  <c r="O78" i="9"/>
  <c r="G102" i="8"/>
  <c r="G107" i="8" s="1"/>
  <c r="I95" i="8"/>
  <c r="C26" i="11"/>
  <c r="C78" i="10"/>
  <c r="C76" i="10" s="1"/>
  <c r="G102" i="9"/>
  <c r="G106" i="9" s="1"/>
  <c r="C38" i="11"/>
  <c r="I90" i="8"/>
  <c r="P37" i="1"/>
  <c r="O37" i="1"/>
  <c r="N37" i="1"/>
  <c r="M37" i="1"/>
  <c r="L37" i="1"/>
  <c r="K37" i="1"/>
  <c r="D17" i="2"/>
  <c r="D16" i="2"/>
  <c r="D15" i="2"/>
  <c r="D14" i="2"/>
  <c r="D13" i="2"/>
  <c r="D12" i="2"/>
  <c r="D11" i="2"/>
  <c r="D10" i="2"/>
  <c r="D9" i="2"/>
  <c r="D8" i="2"/>
  <c r="D7" i="2"/>
  <c r="D6" i="2"/>
  <c r="H19" i="2" s="1"/>
  <c r="D5" i="2"/>
  <c r="D4" i="2"/>
  <c r="D3" i="2"/>
  <c r="E72" i="1"/>
  <c r="F72" i="1"/>
  <c r="E73" i="1"/>
  <c r="F73" i="1"/>
  <c r="E71" i="1"/>
  <c r="F71" i="1"/>
  <c r="K71" i="1"/>
  <c r="L71" i="1"/>
  <c r="M71" i="1"/>
  <c r="N71" i="1"/>
  <c r="O71" i="1"/>
  <c r="P71" i="1"/>
  <c r="F68" i="1"/>
  <c r="E68" i="1"/>
  <c r="E40" i="1"/>
  <c r="F40" i="1"/>
  <c r="E41" i="1"/>
  <c r="F41" i="1"/>
  <c r="K41" i="1"/>
  <c r="L41" i="1"/>
  <c r="M41" i="1"/>
  <c r="N41" i="1"/>
  <c r="O41" i="1"/>
  <c r="E42" i="1"/>
  <c r="F42" i="1"/>
  <c r="K42" i="1"/>
  <c r="L42" i="1"/>
  <c r="N42" i="1"/>
  <c r="O42" i="1"/>
  <c r="N6" i="6"/>
  <c r="P42" i="1" s="1"/>
  <c r="N5" i="6"/>
  <c r="P41" i="1" s="1"/>
  <c r="K6" i="6"/>
  <c r="M42" i="1" s="1"/>
  <c r="K5" i="6"/>
  <c r="H6" i="6"/>
  <c r="H5" i="6"/>
  <c r="E6" i="6"/>
  <c r="E5" i="6"/>
  <c r="N4" i="6"/>
  <c r="K4" i="6"/>
  <c r="H4" i="6"/>
  <c r="E4" i="6"/>
  <c r="F9" i="1"/>
  <c r="G4" i="5"/>
  <c r="H5" i="5"/>
  <c r="F4" i="5"/>
  <c r="F5" i="5" s="1"/>
  <c r="D5" i="5"/>
  <c r="E5" i="5"/>
  <c r="G5" i="5"/>
  <c r="C5" i="5"/>
  <c r="E9" i="1" s="1"/>
  <c r="E11" i="1"/>
  <c r="F11" i="1"/>
  <c r="L11" i="1"/>
  <c r="M11" i="1"/>
  <c r="N11" i="1"/>
  <c r="O11" i="1"/>
  <c r="P11" i="1"/>
  <c r="N12" i="3"/>
  <c r="M12" i="3"/>
  <c r="L12" i="3"/>
  <c r="K12" i="3"/>
  <c r="J12" i="3"/>
  <c r="I12" i="3"/>
  <c r="K11" i="1" s="1"/>
  <c r="H12" i="3"/>
  <c r="G12" i="3"/>
  <c r="F12" i="3"/>
  <c r="E12" i="3"/>
  <c r="G11" i="1" s="1"/>
  <c r="D12" i="3"/>
  <c r="C12" i="3"/>
  <c r="F83" i="1"/>
  <c r="E83" i="1"/>
  <c r="C5" i="4"/>
  <c r="D5" i="4"/>
  <c r="E5" i="4"/>
  <c r="F5" i="4"/>
  <c r="G5" i="4"/>
  <c r="H5" i="4"/>
  <c r="I5" i="4"/>
  <c r="J5" i="4"/>
  <c r="K5" i="4"/>
  <c r="L5" i="4"/>
  <c r="M5" i="4"/>
  <c r="N5" i="4"/>
  <c r="C82" i="10" l="1"/>
  <c r="C32" i="11" s="1"/>
  <c r="E66" i="12"/>
  <c r="H65" i="12"/>
  <c r="C24" i="13" s="1"/>
  <c r="F25" i="1"/>
  <c r="F27" i="14"/>
  <c r="F41" i="14" s="1"/>
  <c r="F107" i="14" s="1"/>
  <c r="M25" i="1"/>
  <c r="M27" i="14"/>
  <c r="J27" i="14"/>
  <c r="J25" i="1"/>
  <c r="J30" i="1" s="1"/>
  <c r="J63" i="1" s="1"/>
  <c r="J83" i="1" s="1"/>
  <c r="J84" i="1" s="1"/>
  <c r="J91" i="1" s="1"/>
  <c r="P25" i="1"/>
  <c r="P27" i="14"/>
  <c r="L25" i="1"/>
  <c r="L27" i="14"/>
  <c r="I27" i="14"/>
  <c r="I25" i="1"/>
  <c r="I30" i="1" s="1"/>
  <c r="I63" i="1" s="1"/>
  <c r="I83" i="1" s="1"/>
  <c r="I84" i="1" s="1"/>
  <c r="I91" i="1" s="1"/>
  <c r="H27" i="14"/>
  <c r="H41" i="14" s="1"/>
  <c r="H25" i="1"/>
  <c r="H30" i="1" s="1"/>
  <c r="H63" i="1" s="1"/>
  <c r="H83" i="1" s="1"/>
  <c r="H84" i="1" s="1"/>
  <c r="H91" i="1" s="1"/>
  <c r="O25" i="1"/>
  <c r="O27" i="14"/>
  <c r="N25" i="1"/>
  <c r="N27" i="14"/>
  <c r="K25" i="1"/>
  <c r="K27" i="14"/>
  <c r="E25" i="1"/>
  <c r="E27" i="14"/>
  <c r="E41" i="14" s="1"/>
  <c r="E107" i="14" s="1"/>
  <c r="E108" i="14" s="1"/>
  <c r="E116" i="14" s="1"/>
  <c r="C44" i="11"/>
  <c r="I102" i="8"/>
  <c r="I104" i="8" s="1"/>
  <c r="I105" i="8" s="1"/>
  <c r="C31" i="11"/>
  <c r="C24" i="11"/>
  <c r="C28" i="11" s="1"/>
  <c r="I5" i="5"/>
  <c r="C84" i="10" l="1"/>
  <c r="E73" i="12"/>
  <c r="F77" i="12" s="1"/>
  <c r="F80" i="12" s="1"/>
  <c r="H66" i="12"/>
  <c r="O41" i="14"/>
  <c r="O107" i="14" s="1"/>
  <c r="O108" i="14" s="1"/>
  <c r="J41" i="14"/>
  <c r="J107" i="14" s="1"/>
  <c r="J108" i="14" s="1"/>
  <c r="K41" i="14"/>
  <c r="K107" i="14" s="1"/>
  <c r="K108" i="14" s="1"/>
  <c r="K115" i="14" s="1"/>
  <c r="M41" i="14"/>
  <c r="M107" i="14" s="1"/>
  <c r="M108" i="14" s="1"/>
  <c r="I41" i="14"/>
  <c r="P41" i="14"/>
  <c r="P107" i="14" s="1"/>
  <c r="P108" i="14" s="1"/>
  <c r="N41" i="14"/>
  <c r="N107" i="14" s="1"/>
  <c r="N108" i="14" s="1"/>
  <c r="N115" i="14" s="1"/>
  <c r="L41" i="14"/>
  <c r="L107" i="14" s="1"/>
  <c r="L108" i="14" s="1"/>
  <c r="Q27" i="14"/>
  <c r="Q41" i="14" s="1"/>
  <c r="H107" i="14"/>
  <c r="J5" i="5"/>
  <c r="H73" i="12" l="1"/>
  <c r="H75" i="12" s="1"/>
  <c r="H76" i="12" s="1"/>
  <c r="C35" i="13"/>
  <c r="C22" i="13"/>
  <c r="C26" i="13" s="1"/>
  <c r="Q89" i="14"/>
  <c r="I107" i="14"/>
  <c r="I108" i="14" s="1"/>
  <c r="H108" i="14"/>
  <c r="H115" i="14" s="1"/>
  <c r="K5" i="5"/>
  <c r="Q107" i="14" l="1"/>
  <c r="L5" i="5"/>
  <c r="N5" i="5" l="1"/>
  <c r="M5" i="5"/>
  <c r="E12" i="1" l="1"/>
  <c r="F12" i="1"/>
  <c r="G12" i="1"/>
  <c r="K12" i="1"/>
  <c r="M12" i="1"/>
  <c r="N12" i="1"/>
  <c r="P12" i="1"/>
  <c r="D6" i="3"/>
  <c r="E6" i="3"/>
  <c r="F6" i="3"/>
  <c r="G6" i="3"/>
  <c r="H6" i="3"/>
  <c r="I6" i="3"/>
  <c r="J6" i="3"/>
  <c r="L12" i="1" s="1"/>
  <c r="K6" i="3"/>
  <c r="L6" i="3"/>
  <c r="M6" i="3"/>
  <c r="O12" i="1" s="1"/>
  <c r="N6" i="3"/>
  <c r="C6" i="3"/>
  <c r="G19" i="2"/>
  <c r="F19" i="1" s="1"/>
  <c r="F19" i="2"/>
  <c r="E19" i="1" s="1"/>
  <c r="P75" i="1" l="1"/>
  <c r="O75" i="1"/>
  <c r="N75" i="1"/>
  <c r="M75" i="1"/>
  <c r="L75" i="1"/>
  <c r="K75" i="1"/>
  <c r="P54" i="1"/>
  <c r="O54" i="1"/>
  <c r="N54" i="1"/>
  <c r="M54" i="1"/>
  <c r="L54" i="1"/>
  <c r="K54" i="1"/>
  <c r="P45" i="1"/>
  <c r="O45" i="1"/>
  <c r="N45" i="1"/>
  <c r="M45" i="1"/>
  <c r="M63" i="1" s="1"/>
  <c r="L45" i="1"/>
  <c r="K45" i="1"/>
  <c r="P30" i="1"/>
  <c r="O30" i="1"/>
  <c r="N30" i="1"/>
  <c r="M30" i="1"/>
  <c r="L30" i="1"/>
  <c r="K30" i="1"/>
  <c r="G30" i="1"/>
  <c r="G37" i="1"/>
  <c r="G45" i="1"/>
  <c r="G54" i="1"/>
  <c r="G75" i="1"/>
  <c r="Q12" i="1"/>
  <c r="G63" i="1" l="1"/>
  <c r="G83" i="1" s="1"/>
  <c r="O63" i="1"/>
  <c r="K63" i="1"/>
  <c r="P63" i="1"/>
  <c r="L63" i="1"/>
  <c r="N63" i="1"/>
  <c r="L19" i="2"/>
  <c r="Q13" i="1"/>
  <c r="Q11" i="1"/>
  <c r="Q10" i="1"/>
  <c r="Q9" i="1"/>
  <c r="Q7" i="1"/>
  <c r="Q35" i="1"/>
  <c r="O14" i="1"/>
  <c r="Q89" i="1"/>
  <c r="Q81" i="1"/>
  <c r="Q75" i="1"/>
  <c r="Q74" i="1"/>
  <c r="Q73" i="1"/>
  <c r="Q72" i="1"/>
  <c r="Q71" i="1"/>
  <c r="Q70" i="1"/>
  <c r="Q69" i="1"/>
  <c r="Q68" i="1"/>
  <c r="Q67" i="1"/>
  <c r="Q59" i="1"/>
  <c r="Q57" i="1"/>
  <c r="Q53" i="1"/>
  <c r="Q52" i="1"/>
  <c r="Q51" i="1"/>
  <c r="Q50" i="1"/>
  <c r="Q49" i="1"/>
  <c r="Q44" i="1"/>
  <c r="Q43" i="1"/>
  <c r="Q42" i="1"/>
  <c r="Q41" i="1"/>
  <c r="Q36" i="1"/>
  <c r="Q34" i="1"/>
  <c r="Q33" i="1"/>
  <c r="Q32" i="1"/>
  <c r="Q29" i="1"/>
  <c r="Q28" i="1"/>
  <c r="Q27" i="1"/>
  <c r="Q26" i="1"/>
  <c r="Q25" i="1"/>
  <c r="Q24" i="1"/>
  <c r="F14" i="1"/>
  <c r="E14" i="1"/>
  <c r="K83" i="1" l="1"/>
  <c r="Q60" i="1"/>
  <c r="E82" i="1"/>
  <c r="E84" i="1" s="1"/>
  <c r="E91" i="1" s="1"/>
  <c r="E90" i="1"/>
  <c r="F82" i="1"/>
  <c r="F84" i="1" s="1"/>
  <c r="F91" i="1" s="1"/>
  <c r="F90" i="1"/>
  <c r="Q37" i="1"/>
  <c r="O82" i="1"/>
  <c r="O90" i="1"/>
  <c r="I19" i="2"/>
  <c r="M19" i="2"/>
  <c r="L83" i="1" s="1"/>
  <c r="Q19" i="2"/>
  <c r="P83" i="1" s="1"/>
  <c r="Q54" i="1"/>
  <c r="Q30" i="1"/>
  <c r="P19" i="2"/>
  <c r="O83" i="1" s="1"/>
  <c r="N19" i="2"/>
  <c r="M83" i="1" s="1"/>
  <c r="O19" i="2"/>
  <c r="N83" i="1" s="1"/>
  <c r="J19" i="2"/>
  <c r="K19" i="2"/>
  <c r="Q40" i="1"/>
  <c r="Q45" i="1" s="1"/>
  <c r="K14" i="1"/>
  <c r="L14" i="1"/>
  <c r="M14" i="1"/>
  <c r="P14" i="1"/>
  <c r="N14" i="1"/>
  <c r="F92" i="1" l="1"/>
  <c r="E92" i="1"/>
  <c r="O84" i="1"/>
  <c r="O91" i="1" s="1"/>
  <c r="N82" i="1"/>
  <c r="N84" i="1" s="1"/>
  <c r="N91" i="1" s="1"/>
  <c r="N90" i="1"/>
  <c r="P82" i="1"/>
  <c r="P84" i="1" s="1"/>
  <c r="P91" i="1" s="1"/>
  <c r="P90" i="1"/>
  <c r="M82" i="1"/>
  <c r="M84" i="1" s="1"/>
  <c r="M91" i="1" s="1"/>
  <c r="M90" i="1"/>
  <c r="K82" i="1"/>
  <c r="K84" i="1" s="1"/>
  <c r="K91" i="1" s="1"/>
  <c r="K90" i="1"/>
  <c r="L82" i="1"/>
  <c r="L90" i="1"/>
  <c r="L84" i="1"/>
  <c r="L91" i="1" s="1"/>
  <c r="Q19" i="1"/>
  <c r="G14" i="1"/>
  <c r="Q8" i="1"/>
  <c r="Q14" i="1" s="1"/>
  <c r="G90" i="1" l="1"/>
  <c r="G82" i="1"/>
  <c r="Q83" i="1"/>
  <c r="Q63" i="1"/>
  <c r="Q90" i="1" l="1"/>
  <c r="G84" i="1"/>
  <c r="G91" i="1" s="1"/>
  <c r="G92" i="1" s="1"/>
  <c r="Q82" i="1"/>
  <c r="H92" i="1" l="1"/>
  <c r="I92" i="1" s="1"/>
  <c r="J92" i="1" s="1"/>
  <c r="K92" i="1" s="1"/>
  <c r="L92" i="1" s="1"/>
  <c r="M92" i="1" s="1"/>
  <c r="N92" i="1" s="1"/>
  <c r="O92" i="1" s="1"/>
  <c r="P92" i="1" s="1"/>
  <c r="Q84" i="1"/>
  <c r="Q91" i="1" s="1"/>
  <c r="G4" i="1" l="1"/>
  <c r="H4" i="1" s="1"/>
  <c r="H5" i="1" s="1"/>
  <c r="Q94" i="1"/>
  <c r="Q95" i="1" s="1"/>
  <c r="Q92" i="1"/>
  <c r="G5" i="1" l="1"/>
  <c r="I14" i="9" l="1"/>
  <c r="I93" i="9" s="1"/>
  <c r="O93" i="9" s="1"/>
  <c r="I95" i="9" l="1"/>
  <c r="O95" i="9" s="1"/>
  <c r="O102" i="9" s="1"/>
  <c r="I101" i="9"/>
  <c r="O101" i="9" l="1"/>
  <c r="I102" i="9"/>
  <c r="J106" i="9" s="1"/>
  <c r="J109" i="9" s="1"/>
  <c r="O104" i="9"/>
  <c r="O105" i="9" s="1"/>
  <c r="F14" i="14"/>
  <c r="F106" i="14" s="1"/>
  <c r="Q8" i="14"/>
  <c r="Q14" i="14" s="1"/>
  <c r="F114" i="14" l="1"/>
  <c r="Q106" i="14"/>
  <c r="F108" i="14"/>
  <c r="F115" i="14" l="1"/>
  <c r="Q108" i="14"/>
  <c r="Q115" i="14" s="1"/>
  <c r="F116" i="14" l="1"/>
  <c r="G116" i="14" s="1"/>
  <c r="H116" i="14" s="1"/>
  <c r="I116" i="14" s="1"/>
  <c r="J116" i="14" s="1"/>
  <c r="K116" i="14" s="1"/>
  <c r="Q118" i="14"/>
  <c r="Q119" i="14" s="1"/>
  <c r="G4" i="14"/>
  <c r="Q116" i="14"/>
  <c r="L116" i="14" l="1"/>
  <c r="M116" i="14" s="1"/>
  <c r="N116" i="14" s="1"/>
  <c r="O116" i="14" s="1"/>
  <c r="P116" i="14" s="1"/>
  <c r="G5" i="14"/>
  <c r="H4" i="14"/>
  <c r="H5" i="14" s="1"/>
</calcChain>
</file>

<file path=xl/sharedStrings.xml><?xml version="1.0" encoding="utf-8"?>
<sst xmlns="http://schemas.openxmlformats.org/spreadsheetml/2006/main" count="805" uniqueCount="340">
  <si>
    <t>Category</t>
  </si>
  <si>
    <t>Membership Fees</t>
  </si>
  <si>
    <t>Consulting &amp; Advisory Services</t>
  </si>
  <si>
    <t>Event Hosting &amp; Sponsorships</t>
  </si>
  <si>
    <t>Other Income</t>
  </si>
  <si>
    <t>Total Revenue</t>
  </si>
  <si>
    <t>Operational Expenses</t>
  </si>
  <si>
    <t>Salaries &amp; Wages</t>
  </si>
  <si>
    <t>Equipment &amp; Infrastructure</t>
  </si>
  <si>
    <t>Administrative Costs</t>
  </si>
  <si>
    <t>Total Operational Expenses</t>
  </si>
  <si>
    <t>Innovation &amp; Program Support</t>
  </si>
  <si>
    <t>Startup Funding &amp; Grants</t>
  </si>
  <si>
    <t>Training &amp; Mentorship</t>
  </si>
  <si>
    <t>Accelerator/Incubation Programs</t>
  </si>
  <si>
    <t>Total Program Support</t>
  </si>
  <si>
    <t>Contingency &amp; Sustainability</t>
  </si>
  <si>
    <t>Total Contingency</t>
  </si>
  <si>
    <t>Summary</t>
  </si>
  <si>
    <t>Total Expenses</t>
  </si>
  <si>
    <t>Net Surplus / Deficit</t>
  </si>
  <si>
    <t>Public sector funding</t>
  </si>
  <si>
    <t>Corporate partnerships &amp; sponsorships</t>
  </si>
  <si>
    <t>Fees from startups &amp; researchers</t>
  </si>
  <si>
    <t>Consulting services revenue</t>
  </si>
  <si>
    <t>Revenue from events &amp; hackathons</t>
  </si>
  <si>
    <t>Miscellaneous revenue</t>
  </si>
  <si>
    <t>Staff salaries, mentors</t>
  </si>
  <si>
    <t>Rent, utilities, internet, security</t>
  </si>
  <si>
    <t>Laptops, software, lab tools</t>
  </si>
  <si>
    <t>Branding, events, PR</t>
  </si>
  <si>
    <t>Legal, compliance, insurance</t>
  </si>
  <si>
    <t>Seed funding for incubated startups</t>
  </si>
  <si>
    <t>Workshops, training</t>
  </si>
  <si>
    <t>Startup acceleration &amp; support</t>
  </si>
  <si>
    <t>Emergency fund for sustainability</t>
  </si>
  <si>
    <t>Unexpected costs</t>
  </si>
  <si>
    <t>Diesel</t>
  </si>
  <si>
    <t>Cleaning &amp; Landscaping</t>
  </si>
  <si>
    <t>Facility Maintenance &amp; Repairs</t>
  </si>
  <si>
    <t>Security</t>
  </si>
  <si>
    <t>Utilities &amp; Maintenance</t>
  </si>
  <si>
    <t>Cloud Servers</t>
  </si>
  <si>
    <t>Staff Email</t>
  </si>
  <si>
    <t>Miscellaneous Software Subscriptions &amp; Licenses</t>
  </si>
  <si>
    <t>Access Control &amp; Hub Management Software</t>
  </si>
  <si>
    <t>HVAC, Solar, Elevator, Access Control &amp; LED Screen Maintenance</t>
  </si>
  <si>
    <t>Kwara State Government Grants</t>
  </si>
  <si>
    <t>IHS Operational Funds</t>
  </si>
  <si>
    <t>Staff Professional Development (Afrilabs Capacity Building etc)</t>
  </si>
  <si>
    <t>Monthly Meetups</t>
  </si>
  <si>
    <t>Field Events</t>
  </si>
  <si>
    <t>Webinars</t>
  </si>
  <si>
    <t>Legal, Regulatory, Insurance etc</t>
  </si>
  <si>
    <t>International Conference Registration</t>
  </si>
  <si>
    <t>International Travel &amp; Accomodation</t>
  </si>
  <si>
    <t>Local Conference Registration</t>
  </si>
  <si>
    <t>Local Conference Exhibition</t>
  </si>
  <si>
    <t>Local Travel</t>
  </si>
  <si>
    <t>Travel &amp; Conferences</t>
  </si>
  <si>
    <t>Corporate Comms &amp; PR</t>
  </si>
  <si>
    <t>Souvenirs</t>
  </si>
  <si>
    <t>Banners</t>
  </si>
  <si>
    <t>Staff T-Shirts</t>
  </si>
  <si>
    <t>Online &amp; Social Media Marketing</t>
  </si>
  <si>
    <t>Description</t>
  </si>
  <si>
    <t>FY 2025</t>
  </si>
  <si>
    <t>Facility Rentals</t>
  </si>
  <si>
    <t xml:space="preserve">Association &amp; Society Memberships </t>
  </si>
  <si>
    <t>Laptops</t>
  </si>
  <si>
    <t>Guest Entertainment &amp; Refreshments</t>
  </si>
  <si>
    <t>Stationery &amp; Office Supplies</t>
  </si>
  <si>
    <t>Grade</t>
  </si>
  <si>
    <t>Jan</t>
  </si>
  <si>
    <t>Feb</t>
  </si>
  <si>
    <t>Mar</t>
  </si>
  <si>
    <t>Apr</t>
  </si>
  <si>
    <t>May</t>
  </si>
  <si>
    <t>Jun</t>
  </si>
  <si>
    <t>Jul</t>
  </si>
  <si>
    <t>Aug</t>
  </si>
  <si>
    <t>Sep</t>
  </si>
  <si>
    <t>Oct</t>
  </si>
  <si>
    <t>Nov</t>
  </si>
  <si>
    <t>Dec</t>
  </si>
  <si>
    <t xml:space="preserve">Total </t>
  </si>
  <si>
    <t>Rate</t>
  </si>
  <si>
    <t>No of rentals</t>
  </si>
  <si>
    <t>Price</t>
  </si>
  <si>
    <t>Consumption</t>
  </si>
  <si>
    <t>No of events</t>
  </si>
  <si>
    <t>Fees/Member</t>
  </si>
  <si>
    <t>No of members</t>
  </si>
  <si>
    <r>
      <t>Monhly Salary Amount (</t>
    </r>
    <r>
      <rPr>
        <b/>
        <sz val="11"/>
        <color theme="0"/>
        <rFont val="Calibri"/>
        <family val="2"/>
      </rPr>
      <t>₦)</t>
    </r>
  </si>
  <si>
    <t>Managing Director</t>
  </si>
  <si>
    <t>Director of Programs</t>
  </si>
  <si>
    <t>IT Manager</t>
  </si>
  <si>
    <t>Community Manager</t>
  </si>
  <si>
    <t>Facility Associate</t>
  </si>
  <si>
    <t>Finance Associate</t>
  </si>
  <si>
    <t>Admin &amp; HR Associate</t>
  </si>
  <si>
    <t>Content &amp; Digital Marketing Lead</t>
  </si>
  <si>
    <t>Graphic &amp; Multimedia Associate</t>
  </si>
  <si>
    <t>Driver</t>
  </si>
  <si>
    <t>Front Desk Associate (x2)</t>
  </si>
  <si>
    <t>IT Support Associate (x2)</t>
  </si>
  <si>
    <t>Facility Technician (x3)</t>
  </si>
  <si>
    <t>Intern (x2)</t>
  </si>
  <si>
    <t>Intern (x3)</t>
  </si>
  <si>
    <t>Annual Package  (₦)</t>
  </si>
  <si>
    <t>Total Monthly Employee Cost</t>
  </si>
  <si>
    <t>Software Subscriptions &amp; Licenses</t>
  </si>
  <si>
    <t>Miscellaneous Expenses - % of Operating Exp.</t>
  </si>
  <si>
    <t>Reserve Fund - % of Inflows</t>
  </si>
  <si>
    <t>Inflows</t>
  </si>
  <si>
    <t>Employer Cost - aligned with the Headcount Phasing</t>
  </si>
  <si>
    <t>S/N</t>
  </si>
  <si>
    <t>Front Desk Support</t>
  </si>
  <si>
    <t>Total</t>
  </si>
  <si>
    <t>reduction</t>
  </si>
  <si>
    <t>Conferences and Travels</t>
  </si>
  <si>
    <t>Trips - International</t>
  </si>
  <si>
    <t>Cost per trip (incl Intl travel)</t>
  </si>
  <si>
    <t>Trips - Local</t>
  </si>
  <si>
    <t>Cost per trip (incl local travel)</t>
  </si>
  <si>
    <t>x</t>
  </si>
  <si>
    <t>Q2 2025</t>
  </si>
  <si>
    <t>Internet Subscription</t>
  </si>
  <si>
    <t>Comment/Justification</t>
  </si>
  <si>
    <t>One Time</t>
  </si>
  <si>
    <t>Internet B Subscription (Starlink)</t>
  </si>
  <si>
    <t>Internet B Device (Starlink)</t>
  </si>
  <si>
    <t xml:space="preserve">Cleaning </t>
  </si>
  <si>
    <t>Equipment &amp; Software</t>
  </si>
  <si>
    <t>Internet A Setup Cost (MTN)</t>
  </si>
  <si>
    <t>Device Cost (Femtech IT, Ilorin)</t>
  </si>
  <si>
    <t>Internet A Subscription (MTN) 45Mbps</t>
  </si>
  <si>
    <t>HVAC Maintenance (Quarterly)</t>
  </si>
  <si>
    <t>Solar Maintenance (Biannually)</t>
  </si>
  <si>
    <t>Electrical Maintenance (Monthly)</t>
  </si>
  <si>
    <t>Mechanical Maintenance (Monthly)</t>
  </si>
  <si>
    <t>LED Screen Maintenance (Annually)</t>
  </si>
  <si>
    <t>Access Control Maintenance (Annually)</t>
  </si>
  <si>
    <t>Provision for Spare Parts for Solar, Electrical, Mechanical, LED Screens</t>
  </si>
  <si>
    <t>International Travel Flights</t>
  </si>
  <si>
    <t>International Travel Accomodation</t>
  </si>
  <si>
    <t>Considering 2 people</t>
  </si>
  <si>
    <t>Planned trip to Vivatech Paris at €700 per person</t>
  </si>
  <si>
    <t>$1500 return per person to Paris</t>
  </si>
  <si>
    <t>International Travel Allowance</t>
  </si>
  <si>
    <t>Assuming N150,000 per flight within Nigeria</t>
  </si>
  <si>
    <t>Opportunity to showcase our startups at conferences</t>
  </si>
  <si>
    <t>$200 per night for 5 nights</t>
  </si>
  <si>
    <t>Social Media Account Verification (Instagram, Facebook, Twitter)</t>
  </si>
  <si>
    <t>Not due until next year</t>
  </si>
  <si>
    <t>As quoted by Project Manager</t>
  </si>
  <si>
    <t>Geniserve</t>
  </si>
  <si>
    <t>Campus outreach events around Ilorin (UNILORIN, KWASU, Landmark, Al-Hikmah etc</t>
  </si>
  <si>
    <t>Last mile fiber + installation</t>
  </si>
  <si>
    <t>Landscaping</t>
  </si>
  <si>
    <t>Project Manager Professional Fee ?</t>
  </si>
  <si>
    <t>Till 2025 year end (8 months)</t>
  </si>
  <si>
    <t>Staff welcome kits, guest souvenirs</t>
  </si>
  <si>
    <t>Roller banners for internal and mobile use</t>
  </si>
  <si>
    <t>Paid online ads</t>
  </si>
  <si>
    <t>Zoom webinar fee @ $79/mo</t>
  </si>
  <si>
    <t>Networking events like Founders Match or hosted event support - tags, refreshments etc</t>
  </si>
  <si>
    <t>Printer toner, water, tea, coffee</t>
  </si>
  <si>
    <t>Internet B Installation (Starlink)</t>
  </si>
  <si>
    <t>Installation + any required additional materials</t>
  </si>
  <si>
    <t>Rent, utilities, internet, security, cleaning</t>
  </si>
  <si>
    <t>Office admin costs &amp; supplies</t>
  </si>
  <si>
    <t>Staff Professional Development</t>
  </si>
  <si>
    <t>Special training programs for staff</t>
  </si>
  <si>
    <t>Sponsoring professional development training &amp; certifications for staff</t>
  </si>
  <si>
    <t>Coworking Space Management &amp; Access Control Sofware</t>
  </si>
  <si>
    <t>Spacebring @ €3,553.20/yr</t>
  </si>
  <si>
    <t>Website Hosting, Cloud Servers &amp; Services</t>
  </si>
  <si>
    <t>Merchandise &amp; Staff T-Shirts</t>
  </si>
  <si>
    <t>Photography &amp; Videography</t>
  </si>
  <si>
    <t xml:space="preserve">For hosting guests </t>
  </si>
  <si>
    <t>For IIH Website, Digital Ocean, Sendgrid &amp; AWS @ $200/mo. Till 2025 year end (8 months)</t>
  </si>
  <si>
    <t>Staff Email + Collaboration Tools (Zoho One)</t>
  </si>
  <si>
    <t>Afrilabs @ N180,000/yr, ISN etc</t>
  </si>
  <si>
    <t>Purchase of spare parts for hardware infrastructure. As quoted by Project Manager</t>
  </si>
  <si>
    <t>Open AI credits, Canva, Bolt AI software dev tool @ $200</t>
  </si>
  <si>
    <t>As quoted by Project Manager. Not due until Q3</t>
  </si>
  <si>
    <t>Branding, PR</t>
  </si>
  <si>
    <t>Spacebring @ €3,553.20/yr for 12 months</t>
  </si>
  <si>
    <t>8 guards - 5 day, 3 night at N100,000/mo and 1 supervisor @N120,000/mo</t>
  </si>
  <si>
    <t>Zoom webinar subscription @ $79/mo</t>
  </si>
  <si>
    <t>Q2 ONE TIME COSTS</t>
  </si>
  <si>
    <t xml:space="preserve">Recurring costs totaled </t>
  </si>
  <si>
    <t>One time costs totaled</t>
  </si>
  <si>
    <t>Operational Expenses made up the bulk of the spending, with significant allocations to staff salaries, essential utilities, infrastructure maintenance, and key technology investments.</t>
  </si>
  <si>
    <t>A portion of the budget was reserved for contingency and sustainability, including a 2% reserve fund allocation from inflows and a buffer for miscellaneous or unexpected costs.</t>
  </si>
  <si>
    <t xml:space="preserve">Q2 2025 BUDGET SUMMARY </t>
  </si>
  <si>
    <t>Key Highlights</t>
  </si>
  <si>
    <t xml:space="preserve">Budget Category </t>
  </si>
  <si>
    <r>
      <t>Amount (</t>
    </r>
    <r>
      <rPr>
        <b/>
        <sz val="14"/>
        <color theme="1"/>
        <rFont val="Times New Roman"/>
        <family val="1"/>
      </rPr>
      <t>₦</t>
    </r>
    <r>
      <rPr>
        <b/>
        <sz val="14"/>
        <color theme="1"/>
        <rFont val="Avenir Book"/>
        <family val="2"/>
      </rPr>
      <t>)</t>
    </r>
  </si>
  <si>
    <t>This report provides a consolidated view of Q2 2025 expenses to support transparent and accountable disbursement of the IHS operational funds for the Ilorin Innovation Hub. The quarter’s activities remained aligned with the Hub’s broader mandate of fostering innovation, supporting local startups, and driving digital empowerment.</t>
  </si>
  <si>
    <t>Program Support initiatives included recurring community meetups, field engagements, and capacity development through staff training programs. One ecosystem event was held in March. We didnt host any ecosystem event in April but hosted a few external events such as UNILORIN Build with AI and a Womens empowerment event at no cost to us.</t>
  </si>
  <si>
    <t>We plan to attend Vivatech Paris in June 2025, with a 2-man delegation. The costs for this have been budgeted for.</t>
  </si>
  <si>
    <t xml:space="preserve">The second quarter of 2025 focused on consolidating operations and laying the groundwork for long-term program sustainability at the Ilorin Innovation Hub. During this period, the Hub incurred total expenses amounting to, comprising both recurring and one-time costs. </t>
  </si>
  <si>
    <t>Operational costs totaled</t>
  </si>
  <si>
    <t>included in operational expenses</t>
  </si>
  <si>
    <t>Only the MD and driver salaries have been incurred with a carryover from March. Interns were added in April but did not add dignificantly to the budget. The monthly Payroll for April is:</t>
  </si>
  <si>
    <t>International Visa Processing</t>
  </si>
  <si>
    <t>This includes greenery &amp; hedge maintenance</t>
  </si>
  <si>
    <t>Monthly Ecosystem Meetups</t>
  </si>
  <si>
    <t>Total One Time Costs</t>
  </si>
  <si>
    <t>These costs are covering the remaining period of 2025 and will not come up in subsequent quarters Q3 and Q4</t>
  </si>
  <si>
    <t>Total Operational Costs</t>
  </si>
  <si>
    <t xml:space="preserve">excluding contingency </t>
  </si>
  <si>
    <t>Remaining Recurring Costs</t>
  </si>
  <si>
    <t>Items in green have been paid for the entire year as Q2 one-time costs</t>
  </si>
  <si>
    <t>Total without Contingency</t>
  </si>
  <si>
    <t>Q4 Travel costs are considered at a 10% increase from Q2 costs</t>
  </si>
  <si>
    <t>Two line items have been left at zero - Phtography/Videography and Staff Professional Development. These are recommended for IHS consideration.</t>
  </si>
  <si>
    <t>Fees from startups &amp; coworking members</t>
  </si>
  <si>
    <t>We have recommended a budget Provision for Spare Parts for Solar, Electrical, Mechanical, LED Screens, as quoted by vendors managed by the Project Manager</t>
  </si>
  <si>
    <t>€300 @ €150 visa fee per person</t>
  </si>
  <si>
    <t>Estimated to cover any local conference reg</t>
  </si>
  <si>
    <t>Building repairs also made a considerable addition as a recent rainstorm in Ilorin in April caused leakage on the roof which also damaged the LED screen in the main hall. Roof costs will be paid but deducted from Solar vendors retention.</t>
  </si>
  <si>
    <t>FULL Q2 BREAKDOWN</t>
  </si>
  <si>
    <t>Majority of our recurring utilities are also being paid for the rest of the year, which is remaining a period of 8 months as one-time costs to ensure sustainability and avoid disruption in activities.</t>
  </si>
  <si>
    <t>Including carryover from March &amp; April (already paid for). Profesional cleaning starts in May. 11 man cleaning team &amp; consumables</t>
  </si>
  <si>
    <t>11 man cleaning team &amp; consumables</t>
  </si>
  <si>
    <t>May includes cost of repair of roof &amp; LED panel damaged during recent rainstorm. Other months are conservative estimate for repairs</t>
  </si>
  <si>
    <t>Conservative estimate for repairs</t>
  </si>
  <si>
    <t>Staff Mobile Devices</t>
  </si>
  <si>
    <t>Mobile devices for all staff by grade - N200k for mgt, N150k for staff, N25k for support staff</t>
  </si>
  <si>
    <t>Q2 RECURRING COSTS</t>
  </si>
  <si>
    <t>Code</t>
  </si>
  <si>
    <t>A</t>
  </si>
  <si>
    <t>B</t>
  </si>
  <si>
    <t>B01</t>
  </si>
  <si>
    <t>B02</t>
  </si>
  <si>
    <t>B03</t>
  </si>
  <si>
    <t>B04</t>
  </si>
  <si>
    <t>B05</t>
  </si>
  <si>
    <t>B06</t>
  </si>
  <si>
    <t>B07</t>
  </si>
  <si>
    <t>B08</t>
  </si>
  <si>
    <t>B09</t>
  </si>
  <si>
    <t>B10</t>
  </si>
  <si>
    <t>B11</t>
  </si>
  <si>
    <t>B12</t>
  </si>
  <si>
    <t>B13</t>
  </si>
  <si>
    <t>B14</t>
  </si>
  <si>
    <t>B15</t>
  </si>
  <si>
    <t>B16</t>
  </si>
  <si>
    <t>B17</t>
  </si>
  <si>
    <t>C</t>
  </si>
  <si>
    <t>C01</t>
  </si>
  <si>
    <t>C02</t>
  </si>
  <si>
    <t>C03</t>
  </si>
  <si>
    <t>C04</t>
  </si>
  <si>
    <t>C06</t>
  </si>
  <si>
    <t>C07</t>
  </si>
  <si>
    <t>C08</t>
  </si>
  <si>
    <t>C09</t>
  </si>
  <si>
    <t>D</t>
  </si>
  <si>
    <t>D01</t>
  </si>
  <si>
    <t>D02</t>
  </si>
  <si>
    <t>D03</t>
  </si>
  <si>
    <t>D04</t>
  </si>
  <si>
    <t>D05</t>
  </si>
  <si>
    <t>D06</t>
  </si>
  <si>
    <t>E</t>
  </si>
  <si>
    <t>E01</t>
  </si>
  <si>
    <t>E02</t>
  </si>
  <si>
    <t>E03</t>
  </si>
  <si>
    <t>E04</t>
  </si>
  <si>
    <t>E05</t>
  </si>
  <si>
    <t>E06</t>
  </si>
  <si>
    <t>F</t>
  </si>
  <si>
    <t>F01</t>
  </si>
  <si>
    <t>F02</t>
  </si>
  <si>
    <t>G</t>
  </si>
  <si>
    <t>G01</t>
  </si>
  <si>
    <t>G02</t>
  </si>
  <si>
    <t>G03</t>
  </si>
  <si>
    <t>G04</t>
  </si>
  <si>
    <t>G05</t>
  </si>
  <si>
    <t>H</t>
  </si>
  <si>
    <t>H01</t>
  </si>
  <si>
    <t>H02</t>
  </si>
  <si>
    <t>This report provides a consolidated view of Q3 2025 expenses to support transparent and accountable disbursement of the IHS operational funds for the Ilorin Innovation Hub. The quarter’s activities remained aligned with the Hub’s broader mandate of fostering innovation, supporting local startups, and driving digital empowerment.</t>
  </si>
  <si>
    <t xml:space="preserve">Q3 2025 BUDGET SUMMARY </t>
  </si>
  <si>
    <t xml:space="preserve">The third quarter of 2025 focused on building program momentum with stable operations at the Ilorin Innovation Hub. During this period, the Hub incurred total expenses comprising recurring costs and no one-time costs. </t>
  </si>
  <si>
    <t>FULL Q3 BREAKDOWN</t>
  </si>
  <si>
    <t>Additional Furniture &amp; Building Modifications</t>
  </si>
  <si>
    <t>These needs have been discovered post-operations launch</t>
  </si>
  <si>
    <t>No Equipment/software and Connectivity utility costs for this quarter, as those have been paid as one time costs in previous Q2 budget.</t>
  </si>
  <si>
    <t>CofO &amp; Land Document Processing</t>
  </si>
  <si>
    <t>Impact Storytelling &amp; Documentary</t>
  </si>
  <si>
    <t>Performance Bonus</t>
  </si>
  <si>
    <t>Special event needs to compliment programs</t>
  </si>
  <si>
    <t>Vehicles &amp; Logistics</t>
  </si>
  <si>
    <t>Vehicles, fueling &amp; maintenance</t>
  </si>
  <si>
    <t>Elevator Maintenance</t>
  </si>
  <si>
    <t>Access Control Maintenance</t>
  </si>
  <si>
    <t>LED Screen Maintenance</t>
  </si>
  <si>
    <t>Internet A Subscription (MTN) 155Mbps STM1</t>
  </si>
  <si>
    <t>Internet C Subscription (Mobile Starlink Mini)</t>
  </si>
  <si>
    <t>Professional Cleaning</t>
  </si>
  <si>
    <t>Electricity Bill (Band B)</t>
  </si>
  <si>
    <t xml:space="preserve">Landscaping </t>
  </si>
  <si>
    <t>Fumigation (Indoor + Outdoor)</t>
  </si>
  <si>
    <t>FY 2026</t>
  </si>
  <si>
    <t>Vehicle Fueling</t>
  </si>
  <si>
    <t>Vehicle Maintenance</t>
  </si>
  <si>
    <t>Charging Station Setup</t>
  </si>
  <si>
    <t>Access Control Software Subscription (Salto KS)</t>
  </si>
  <si>
    <t>Local Travel Allowance</t>
  </si>
  <si>
    <t>Local Travel Flights</t>
  </si>
  <si>
    <t>International Flights</t>
  </si>
  <si>
    <t>Zoho Email &amp; Software Suite (Annual)</t>
  </si>
  <si>
    <t>Front Desk Tablet &amp; Stand for VMS</t>
  </si>
  <si>
    <t>Vehicle Purchase (x3)</t>
  </si>
  <si>
    <t>HR Associate</t>
  </si>
  <si>
    <t>Admin Associate</t>
  </si>
  <si>
    <t>Asst. Director of Operations</t>
  </si>
  <si>
    <t>Social Media Associate</t>
  </si>
  <si>
    <t xml:space="preserve">NYSC Intern </t>
  </si>
  <si>
    <t xml:space="preserve">Student Intern </t>
  </si>
  <si>
    <t xml:space="preserve">Facility Technician </t>
  </si>
  <si>
    <t>Contract Driver</t>
  </si>
  <si>
    <t>Total Cost for the year 2026</t>
  </si>
  <si>
    <t>Proposed Additions</t>
  </si>
  <si>
    <t>Program Associate</t>
  </si>
  <si>
    <t>IT Support Associate</t>
  </si>
  <si>
    <t>Qty</t>
  </si>
  <si>
    <t>IT Support Associate (Event Production &amp; Sound)</t>
  </si>
  <si>
    <t>Project Manager &amp; EA</t>
  </si>
  <si>
    <t>Solar Maintenance (Twice annually)</t>
  </si>
  <si>
    <t>Facility Maintenance &amp; Repairs (Electrical)</t>
  </si>
  <si>
    <t>Facility Maintenance &amp; Repairs (Civil &amp; mechanical)</t>
  </si>
  <si>
    <t>AI Tool Credits (AWS, Claude, Kling, Vibecode etc) $200/mo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</si>
</sst>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_-* #,##0.00_-;\-* #,##0.00_-;_-* &quot;-&quot;??_-;_-@_-"/>
    <numFmt numFmtId="166" formatCode="_-* #,##0_-;\-* #,##0_-;_-* &quot;-&quot;??_-;_-@_-"/>
    <numFmt numFmtId="171" formatCode="_(* #,##0.0_);_(* \(#,##0.0\);_(* &quot;-&quot;?_);_(@_)"/>
  </numFmts>
  <fonts count="34" x14ac:knownFonts="1">
    <font>
      <sz val="11"/>
      <color theme="1"/>
      <name val="Calibri"/>
      <family val="2"/>
      <scheme val="minor"/>
    </font>
    <font>
      <b/>
      <sz val="11"/>
      <color theme="1"/>
      <name val="Calibri"/>
      <family val="2"/>
      <scheme val="minor"/>
    </font>
    <font>
      <sz val="11"/>
      <color theme="1"/>
      <name val="Calibri"/>
      <family val="2"/>
      <scheme val="minor"/>
    </font>
    <font>
      <sz val="10"/>
      <color rgb="FF000000"/>
      <name val="Arial"/>
      <family val="2"/>
    </font>
    <font>
      <b/>
      <sz val="10"/>
      <color rgb="FF000000"/>
      <name val="Arial"/>
      <family val="2"/>
    </font>
    <font>
      <b/>
      <sz val="11"/>
      <color theme="0"/>
      <name val="Calibri"/>
      <family val="2"/>
      <scheme val="minor"/>
    </font>
    <font>
      <sz val="11"/>
      <color theme="0"/>
      <name val="Arial"/>
      <family val="2"/>
    </font>
    <font>
      <sz val="11"/>
      <color theme="0"/>
      <name val="Calibri"/>
      <family val="2"/>
      <scheme val="minor"/>
    </font>
    <font>
      <sz val="11"/>
      <color rgb="FFC00000"/>
      <name val="Calibri"/>
      <family val="2"/>
      <scheme val="minor"/>
    </font>
    <font>
      <sz val="10"/>
      <color rgb="FFC00000"/>
      <name val="Arial"/>
      <family val="2"/>
    </font>
    <font>
      <b/>
      <sz val="11"/>
      <color rgb="FFC00000"/>
      <name val="Calibri"/>
      <family val="2"/>
      <scheme val="minor"/>
    </font>
    <font>
      <b/>
      <sz val="11"/>
      <color theme="0"/>
      <name val="Calibri"/>
      <family val="2"/>
    </font>
    <font>
      <sz val="8"/>
      <name val="Calibri"/>
      <family val="2"/>
      <scheme val="minor"/>
    </font>
    <font>
      <sz val="10"/>
      <name val="Arial"/>
      <family val="2"/>
    </font>
    <font>
      <b/>
      <sz val="12"/>
      <color theme="1"/>
      <name val="Aptos"/>
      <family val="2"/>
    </font>
    <font>
      <sz val="11"/>
      <color rgb="FFFF0000"/>
      <name val="Calibri"/>
      <family val="2"/>
    </font>
    <font>
      <b/>
      <sz val="11"/>
      <color theme="0"/>
      <name val="Aptos"/>
      <family val="2"/>
    </font>
    <font>
      <sz val="11"/>
      <color theme="1"/>
      <name val="Aptos"/>
      <family val="2"/>
    </font>
    <font>
      <b/>
      <sz val="11"/>
      <color theme="1"/>
      <name val="Aptos"/>
      <family val="2"/>
    </font>
    <font>
      <sz val="11"/>
      <name val="Calibri"/>
      <family val="2"/>
      <scheme val="minor"/>
    </font>
    <font>
      <b/>
      <sz val="11"/>
      <name val="Calibri"/>
      <family val="2"/>
      <scheme val="minor"/>
    </font>
    <font>
      <sz val="11"/>
      <color rgb="FF000000"/>
      <name val="Calibri"/>
      <family val="2"/>
      <scheme val="minor"/>
    </font>
    <font>
      <sz val="11"/>
      <color rgb="FF008732"/>
      <name val="Calibri"/>
      <family val="2"/>
      <scheme val="minor"/>
    </font>
    <font>
      <sz val="10"/>
      <color rgb="FF008732"/>
      <name val="Arial"/>
      <family val="2"/>
    </font>
    <font>
      <b/>
      <sz val="11"/>
      <color rgb="FF008732"/>
      <name val="Calibri"/>
      <family val="2"/>
      <scheme val="minor"/>
    </font>
    <font>
      <sz val="14"/>
      <color theme="1"/>
      <name val="Avenir Book"/>
      <family val="2"/>
    </font>
    <font>
      <b/>
      <sz val="14"/>
      <color theme="1"/>
      <name val="Avenir Book"/>
      <family val="2"/>
    </font>
    <font>
      <sz val="14"/>
      <color theme="1"/>
      <name val="Calibri"/>
      <family val="2"/>
      <scheme val="minor"/>
    </font>
    <font>
      <b/>
      <sz val="14"/>
      <color theme="1"/>
      <name val="Times New Roman"/>
      <family val="1"/>
    </font>
    <font>
      <b/>
      <sz val="14"/>
      <name val="Avenir Book"/>
      <family val="2"/>
    </font>
    <font>
      <sz val="14"/>
      <name val="Avenir Book"/>
      <family val="2"/>
    </font>
    <font>
      <b/>
      <sz val="10"/>
      <color theme="1"/>
      <name val="Calibri"/>
      <family val="2"/>
      <scheme val="minor"/>
    </font>
    <font>
      <sz val="14"/>
      <color rgb="FF000000"/>
      <name val="Avenir Book"/>
      <family val="2"/>
    </font>
    <font>
      <b/>
      <sz val="11"/>
      <color theme="1"/>
      <name val="Aptos"/>
    </font>
  </fonts>
  <fills count="12">
    <fill>
      <patternFill patternType="none"/>
    </fill>
    <fill>
      <patternFill patternType="gray125"/>
    </fill>
    <fill>
      <patternFill patternType="solid">
        <fgColor rgb="FF00B050"/>
        <bgColor indexed="64"/>
      </patternFill>
    </fill>
    <fill>
      <patternFill patternType="solid">
        <fgColor theme="8" tint="0.59996337778862885"/>
        <bgColor indexed="64"/>
      </patternFill>
    </fill>
    <fill>
      <patternFill patternType="solid">
        <fgColor rgb="FF008732"/>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rgb="FFFFFF00"/>
        <bgColor indexed="64"/>
      </patternFill>
    </fill>
    <fill>
      <patternFill patternType="solid">
        <fgColor theme="1"/>
        <bgColor indexed="64"/>
      </patternFill>
    </fill>
    <fill>
      <patternFill patternType="solid">
        <fgColor rgb="FFFF0000"/>
        <bgColor indexed="64"/>
      </patternFill>
    </fill>
    <fill>
      <patternFill patternType="solid">
        <fgColor theme="8" tint="0.59999389629810485"/>
        <bgColor indexed="64"/>
      </patternFill>
    </fill>
  </fills>
  <borders count="27">
    <border>
      <left/>
      <right/>
      <top/>
      <bottom/>
      <diagonal/>
    </border>
    <border>
      <left style="thin">
        <color auto="1"/>
      </left>
      <right style="thin">
        <color auto="1"/>
      </right>
      <top style="thin">
        <color auto="1"/>
      </top>
      <bottom style="thin">
        <color auto="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style="thin">
        <color rgb="FF008732"/>
      </left>
      <right style="dashed">
        <color theme="0" tint="-0.14996795556505021"/>
      </right>
      <top style="thin">
        <color rgb="FF008732"/>
      </top>
      <bottom style="dashed">
        <color theme="0" tint="-0.14996795556505021"/>
      </bottom>
      <diagonal/>
    </border>
    <border>
      <left style="dashed">
        <color theme="0" tint="-0.14996795556505021"/>
      </left>
      <right style="dashed">
        <color theme="0" tint="-0.14996795556505021"/>
      </right>
      <top style="thin">
        <color rgb="FF008732"/>
      </top>
      <bottom style="dashed">
        <color theme="0" tint="-0.14996795556505021"/>
      </bottom>
      <diagonal/>
    </border>
    <border>
      <left style="dashed">
        <color theme="0" tint="-0.14996795556505021"/>
      </left>
      <right style="thin">
        <color rgb="FF008732"/>
      </right>
      <top style="thin">
        <color rgb="FF008732"/>
      </top>
      <bottom style="dashed">
        <color theme="0" tint="-0.14996795556505021"/>
      </bottom>
      <diagonal/>
    </border>
    <border>
      <left style="thin">
        <color rgb="FF008732"/>
      </left>
      <right style="dashed">
        <color theme="0" tint="-0.14996795556505021"/>
      </right>
      <top style="dashed">
        <color theme="0" tint="-0.14996795556505021"/>
      </top>
      <bottom style="dashed">
        <color theme="0" tint="-0.14996795556505021"/>
      </bottom>
      <diagonal/>
    </border>
    <border>
      <left style="dashed">
        <color theme="0" tint="-0.14996795556505021"/>
      </left>
      <right style="dashed">
        <color theme="0" tint="-0.14996795556505021"/>
      </right>
      <top style="dashed">
        <color theme="0" tint="-0.14996795556505021"/>
      </top>
      <bottom style="dashed">
        <color theme="0" tint="-0.14996795556505021"/>
      </bottom>
      <diagonal/>
    </border>
    <border>
      <left style="dashed">
        <color theme="0" tint="-0.14996795556505021"/>
      </left>
      <right style="thin">
        <color rgb="FF008732"/>
      </right>
      <top style="dashed">
        <color theme="0" tint="-0.14996795556505021"/>
      </top>
      <bottom style="dashed">
        <color theme="0" tint="-0.14996795556505021"/>
      </bottom>
      <diagonal/>
    </border>
    <border>
      <left style="thin">
        <color rgb="FF008732"/>
      </left>
      <right style="dashed">
        <color theme="0" tint="-0.14996795556505021"/>
      </right>
      <top style="dashed">
        <color theme="0" tint="-0.14996795556505021"/>
      </top>
      <bottom style="thin">
        <color rgb="FF008732"/>
      </bottom>
      <diagonal/>
    </border>
    <border>
      <left style="dashed">
        <color theme="0" tint="-0.14996795556505021"/>
      </left>
      <right style="dashed">
        <color theme="0" tint="-0.14996795556505021"/>
      </right>
      <top style="dashed">
        <color theme="0" tint="-0.14996795556505021"/>
      </top>
      <bottom style="thin">
        <color rgb="FF008732"/>
      </bottom>
      <diagonal/>
    </border>
    <border>
      <left style="dashed">
        <color theme="0" tint="-0.14996795556505021"/>
      </left>
      <right style="thin">
        <color rgb="FF008732"/>
      </right>
      <top style="dashed">
        <color theme="0" tint="-0.14996795556505021"/>
      </top>
      <bottom style="thin">
        <color rgb="FF008732"/>
      </bottom>
      <diagonal/>
    </border>
    <border>
      <left/>
      <right/>
      <top/>
      <bottom style="thin">
        <color rgb="FF008732"/>
      </bottom>
      <diagonal/>
    </border>
    <border>
      <left/>
      <right style="dashed">
        <color theme="0" tint="-0.14996795556505021"/>
      </right>
      <top style="dashed">
        <color theme="0" tint="-0.14996795556505021"/>
      </top>
      <bottom style="thin">
        <color rgb="FF00873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bottom style="thin">
        <color rgb="FFA6A6A6"/>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218">
    <xf numFmtId="0" fontId="0" fillId="0" borderId="0" xfId="0"/>
    <xf numFmtId="0" fontId="3" fillId="0" borderId="0" xfId="0" applyFont="1" applyAlignment="1">
      <alignment horizontal="left" indent="1"/>
    </xf>
    <xf numFmtId="0" fontId="4" fillId="0" borderId="0" xfId="0" applyFont="1"/>
    <xf numFmtId="0" fontId="1" fillId="0" borderId="0" xfId="0" applyFont="1"/>
    <xf numFmtId="0" fontId="1" fillId="0" borderId="0" xfId="0" applyFont="1" applyAlignment="1">
      <alignment horizontal="center" vertical="top"/>
    </xf>
    <xf numFmtId="0" fontId="1" fillId="0" borderId="0" xfId="0" applyFont="1" applyAlignment="1">
      <alignment horizontal="left"/>
    </xf>
    <xf numFmtId="164" fontId="0" fillId="0" borderId="0" xfId="1" applyNumberFormat="1" applyFont="1"/>
    <xf numFmtId="0" fontId="1" fillId="2" borderId="0" xfId="0" applyFont="1" applyFill="1"/>
    <xf numFmtId="0" fontId="0" fillId="2" borderId="0" xfId="0" applyFill="1"/>
    <xf numFmtId="164" fontId="0" fillId="2" borderId="0" xfId="1" applyNumberFormat="1" applyFont="1" applyFill="1"/>
    <xf numFmtId="0" fontId="0" fillId="0" borderId="2" xfId="0" applyBorder="1"/>
    <xf numFmtId="0" fontId="0" fillId="0" borderId="2" xfId="0" applyBorder="1" applyAlignment="1">
      <alignment horizontal="left" indent="1"/>
    </xf>
    <xf numFmtId="164" fontId="0" fillId="0" borderId="2" xfId="1" applyNumberFormat="1" applyFont="1" applyBorder="1"/>
    <xf numFmtId="0" fontId="1" fillId="3" borderId="2" xfId="0" applyFont="1" applyFill="1" applyBorder="1"/>
    <xf numFmtId="164" fontId="1" fillId="3" borderId="2" xfId="1" applyNumberFormat="1" applyFont="1" applyFill="1" applyBorder="1"/>
    <xf numFmtId="0" fontId="3" fillId="0" borderId="2" xfId="0" applyFont="1" applyBorder="1" applyAlignment="1">
      <alignment horizontal="left" indent="1"/>
    </xf>
    <xf numFmtId="164" fontId="3" fillId="0" borderId="2" xfId="1" applyNumberFormat="1" applyFont="1" applyBorder="1"/>
    <xf numFmtId="0" fontId="3" fillId="0" borderId="2" xfId="0" applyFont="1" applyBorder="1" applyAlignment="1">
      <alignment horizontal="left" wrapText="1" indent="1"/>
    </xf>
    <xf numFmtId="0" fontId="5" fillId="4" borderId="1" xfId="0" applyFont="1" applyFill="1" applyBorder="1" applyAlignment="1">
      <alignment horizontal="center"/>
    </xf>
    <xf numFmtId="17" fontId="6" fillId="4" borderId="0" xfId="0" applyNumberFormat="1" applyFont="1" applyFill="1"/>
    <xf numFmtId="3" fontId="3" fillId="0" borderId="2" xfId="0" applyNumberFormat="1" applyFont="1" applyBorder="1"/>
    <xf numFmtId="3" fontId="0" fillId="0" borderId="0" xfId="0" applyNumberFormat="1" applyAlignment="1">
      <alignment horizontal="center"/>
    </xf>
    <xf numFmtId="3" fontId="7" fillId="4" borderId="0" xfId="0" applyNumberFormat="1" applyFont="1" applyFill="1" applyAlignment="1">
      <alignment horizontal="center"/>
    </xf>
    <xf numFmtId="3" fontId="0" fillId="5" borderId="2" xfId="0" applyNumberFormat="1" applyFill="1" applyBorder="1" applyAlignment="1">
      <alignment horizontal="center"/>
    </xf>
    <xf numFmtId="3" fontId="1" fillId="5" borderId="2" xfId="0" applyNumberFormat="1" applyFont="1" applyFill="1" applyBorder="1" applyAlignment="1">
      <alignment horizontal="center"/>
    </xf>
    <xf numFmtId="3" fontId="1" fillId="5" borderId="3" xfId="0" applyNumberFormat="1" applyFont="1" applyFill="1" applyBorder="1" applyAlignment="1">
      <alignment horizontal="center"/>
    </xf>
    <xf numFmtId="3" fontId="1" fillId="5" borderId="4" xfId="0" applyNumberFormat="1" applyFont="1" applyFill="1" applyBorder="1" applyAlignment="1">
      <alignment horizontal="center"/>
    </xf>
    <xf numFmtId="3" fontId="1" fillId="5" borderId="5" xfId="0" applyNumberFormat="1" applyFont="1" applyFill="1" applyBorder="1" applyAlignment="1">
      <alignment horizontal="center"/>
    </xf>
    <xf numFmtId="37" fontId="1" fillId="3" borderId="2" xfId="1" applyNumberFormat="1" applyFont="1" applyFill="1" applyBorder="1" applyAlignment="1">
      <alignment horizontal="center"/>
    </xf>
    <xf numFmtId="0" fontId="8" fillId="0" borderId="2" xfId="0" applyFont="1" applyBorder="1"/>
    <xf numFmtId="0" fontId="9" fillId="0" borderId="2" xfId="0" applyFont="1" applyBorder="1" applyAlignment="1">
      <alignment horizontal="left" indent="1"/>
    </xf>
    <xf numFmtId="164" fontId="8" fillId="0" borderId="2" xfId="1" applyNumberFormat="1" applyFont="1" applyBorder="1"/>
    <xf numFmtId="3" fontId="10" fillId="5" borderId="2" xfId="0" applyNumberFormat="1" applyFont="1" applyFill="1" applyBorder="1" applyAlignment="1">
      <alignment horizontal="center"/>
    </xf>
    <xf numFmtId="0" fontId="8" fillId="0" borderId="0" xfId="0" applyFont="1"/>
    <xf numFmtId="164" fontId="0" fillId="0" borderId="0" xfId="0" applyNumberFormat="1"/>
    <xf numFmtId="38" fontId="0" fillId="0" borderId="0" xfId="0" applyNumberFormat="1"/>
    <xf numFmtId="0" fontId="0" fillId="0" borderId="0" xfId="0" applyAlignment="1">
      <alignment horizontal="center"/>
    </xf>
    <xf numFmtId="38" fontId="0" fillId="0" borderId="0" xfId="0" applyNumberFormat="1" applyAlignment="1">
      <alignment horizontal="center"/>
    </xf>
    <xf numFmtId="0" fontId="0" fillId="0" borderId="9" xfId="0" applyBorder="1"/>
    <xf numFmtId="38" fontId="0" fillId="0" borderId="10" xfId="0" applyNumberFormat="1" applyBorder="1"/>
    <xf numFmtId="0" fontId="0" fillId="0" borderId="10" xfId="0" applyBorder="1" applyAlignment="1">
      <alignment horizontal="center"/>
    </xf>
    <xf numFmtId="0" fontId="0" fillId="0" borderId="11" xfId="0" applyBorder="1" applyAlignment="1">
      <alignment horizontal="center"/>
    </xf>
    <xf numFmtId="0" fontId="0" fillId="0" borderId="12" xfId="0" applyBorder="1"/>
    <xf numFmtId="0" fontId="0" fillId="4" borderId="6" xfId="0" applyFill="1" applyBorder="1"/>
    <xf numFmtId="0" fontId="5" fillId="4" borderId="6" xfId="0" applyFont="1" applyFill="1" applyBorder="1"/>
    <xf numFmtId="0" fontId="5" fillId="4" borderId="7" xfId="0" applyFont="1" applyFill="1" applyBorder="1" applyAlignment="1">
      <alignment horizontal="center"/>
    </xf>
    <xf numFmtId="0" fontId="5" fillId="4" borderId="8" xfId="0" applyFont="1" applyFill="1" applyBorder="1" applyAlignment="1">
      <alignment horizontal="center"/>
    </xf>
    <xf numFmtId="0" fontId="5" fillId="6" borderId="7" xfId="0" applyFont="1" applyFill="1" applyBorder="1"/>
    <xf numFmtId="38" fontId="0" fillId="6" borderId="10" xfId="0" applyNumberFormat="1" applyFill="1" applyBorder="1"/>
    <xf numFmtId="38" fontId="0" fillId="0" borderId="10" xfId="0" applyNumberFormat="1" applyBorder="1" applyAlignment="1">
      <alignment horizontal="center"/>
    </xf>
    <xf numFmtId="0" fontId="1" fillId="7" borderId="12" xfId="0" applyFont="1" applyFill="1" applyBorder="1"/>
    <xf numFmtId="0" fontId="1" fillId="7" borderId="13" xfId="0" applyFont="1" applyFill="1" applyBorder="1" applyAlignment="1">
      <alignment horizontal="center"/>
    </xf>
    <xf numFmtId="0" fontId="1" fillId="7" borderId="13" xfId="0" applyFont="1" applyFill="1" applyBorder="1"/>
    <xf numFmtId="38" fontId="1" fillId="7" borderId="13" xfId="0" applyNumberFormat="1" applyFont="1" applyFill="1" applyBorder="1" applyAlignment="1">
      <alignment horizontal="center"/>
    </xf>
    <xf numFmtId="38" fontId="1" fillId="7" borderId="14" xfId="0" applyNumberFormat="1" applyFont="1" applyFill="1" applyBorder="1" applyAlignment="1">
      <alignment horizontal="center"/>
    </xf>
    <xf numFmtId="38" fontId="0" fillId="0" borderId="11" xfId="0" applyNumberFormat="1" applyBorder="1" applyAlignment="1">
      <alignment horizontal="center"/>
    </xf>
    <xf numFmtId="0" fontId="5" fillId="4" borderId="0" xfId="0" applyFont="1" applyFill="1" applyAlignment="1">
      <alignment horizontal="center"/>
    </xf>
    <xf numFmtId="9" fontId="0" fillId="0" borderId="2" xfId="0" applyNumberFormat="1" applyBorder="1"/>
    <xf numFmtId="0" fontId="0" fillId="0" borderId="10" xfId="0" applyBorder="1"/>
    <xf numFmtId="0" fontId="13" fillId="0" borderId="2" xfId="0" applyFont="1" applyBorder="1" applyAlignment="1">
      <alignment horizontal="left" indent="1"/>
    </xf>
    <xf numFmtId="0" fontId="13" fillId="0" borderId="2" xfId="0" applyFont="1" applyBorder="1" applyAlignment="1">
      <alignment horizontal="left" wrapText="1" indent="1"/>
    </xf>
    <xf numFmtId="0" fontId="0" fillId="0" borderId="12" xfId="0" applyBorder="1" applyAlignment="1">
      <alignment wrapText="1"/>
    </xf>
    <xf numFmtId="0" fontId="0" fillId="0" borderId="9" xfId="0" applyBorder="1" applyAlignment="1">
      <alignment wrapText="1"/>
    </xf>
    <xf numFmtId="38" fontId="0" fillId="0" borderId="10" xfId="0" applyNumberFormat="1" applyBorder="1" applyAlignment="1">
      <alignment horizontal="center" vertical="center"/>
    </xf>
    <xf numFmtId="38" fontId="0" fillId="0" borderId="11" xfId="0" applyNumberFormat="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38" fontId="0" fillId="0" borderId="13" xfId="0" applyNumberFormat="1" applyBorder="1" applyAlignment="1">
      <alignment horizontal="center" vertical="center"/>
    </xf>
    <xf numFmtId="38" fontId="0" fillId="0" borderId="14" xfId="0" applyNumberFormat="1" applyBorder="1" applyAlignment="1">
      <alignment horizontal="center" vertical="center"/>
    </xf>
    <xf numFmtId="38" fontId="0" fillId="8" borderId="10" xfId="0" applyNumberFormat="1" applyFill="1" applyBorder="1" applyAlignment="1">
      <alignment horizontal="center"/>
    </xf>
    <xf numFmtId="0" fontId="1" fillId="0" borderId="12" xfId="0" applyFont="1" applyBorder="1"/>
    <xf numFmtId="38" fontId="1" fillId="0" borderId="13" xfId="0" applyNumberFormat="1" applyFont="1" applyBorder="1"/>
    <xf numFmtId="38" fontId="1" fillId="0" borderId="14" xfId="0" applyNumberFormat="1" applyFont="1" applyBorder="1"/>
    <xf numFmtId="38" fontId="1" fillId="0" borderId="13" xfId="0" applyNumberFormat="1" applyFont="1" applyBorder="1" applyAlignment="1">
      <alignment horizontal="center"/>
    </xf>
    <xf numFmtId="38" fontId="1" fillId="0" borderId="14" xfId="0" applyNumberFormat="1" applyFont="1" applyBorder="1" applyAlignment="1">
      <alignment horizontal="center"/>
    </xf>
    <xf numFmtId="0" fontId="1" fillId="0" borderId="13" xfId="0" applyFont="1" applyBorder="1"/>
    <xf numFmtId="0" fontId="1" fillId="0" borderId="14" xfId="0" applyFont="1" applyBorder="1"/>
    <xf numFmtId="0" fontId="1" fillId="7" borderId="16" xfId="0" applyFont="1" applyFill="1" applyBorder="1"/>
    <xf numFmtId="0" fontId="5" fillId="9" borderId="0" xfId="0" applyFont="1" applyFill="1"/>
    <xf numFmtId="164" fontId="5" fillId="9" borderId="0" xfId="0" applyNumberFormat="1" applyFont="1" applyFill="1"/>
    <xf numFmtId="43" fontId="0" fillId="0" borderId="0" xfId="1" applyFont="1" applyAlignment="1">
      <alignment horizontal="center"/>
    </xf>
    <xf numFmtId="0" fontId="3" fillId="0" borderId="0" xfId="0" applyFont="1" applyAlignment="1">
      <alignment horizontal="left" wrapText="1" indent="1"/>
    </xf>
    <xf numFmtId="164" fontId="0" fillId="0" borderId="0" xfId="1" applyNumberFormat="1" applyFont="1" applyBorder="1"/>
    <xf numFmtId="0" fontId="0" fillId="0" borderId="0" xfId="0" applyAlignment="1">
      <alignment horizontal="left" vertical="center"/>
    </xf>
    <xf numFmtId="0" fontId="15" fillId="10" borderId="0" xfId="0" applyFont="1" applyFill="1"/>
    <xf numFmtId="0" fontId="16" fillId="4" borderId="20" xfId="0" applyFont="1" applyFill="1" applyBorder="1" applyAlignment="1">
      <alignment vertical="center"/>
    </xf>
    <xf numFmtId="0" fontId="16" fillId="4" borderId="21" xfId="0" applyFont="1" applyFill="1" applyBorder="1" applyAlignment="1">
      <alignment vertical="center"/>
    </xf>
    <xf numFmtId="0" fontId="16" fillId="4" borderId="21" xfId="0" applyFont="1" applyFill="1" applyBorder="1" applyAlignment="1">
      <alignment horizontal="center" vertical="center"/>
    </xf>
    <xf numFmtId="0" fontId="16" fillId="4" borderId="22" xfId="0" applyFont="1" applyFill="1" applyBorder="1" applyAlignment="1">
      <alignment horizontal="center" vertical="center" wrapText="1"/>
    </xf>
    <xf numFmtId="0" fontId="17" fillId="0" borderId="23" xfId="0" applyFont="1" applyBorder="1" applyAlignment="1">
      <alignment horizontal="center"/>
    </xf>
    <xf numFmtId="0" fontId="17" fillId="0" borderId="23" xfId="0" applyFont="1" applyBorder="1"/>
    <xf numFmtId="166" fontId="17" fillId="0" borderId="23" xfId="1" applyNumberFormat="1" applyFont="1" applyBorder="1" applyAlignment="1">
      <alignment horizontal="center"/>
    </xf>
    <xf numFmtId="166" fontId="17" fillId="0" borderId="23" xfId="0" applyNumberFormat="1" applyFont="1" applyBorder="1" applyAlignment="1">
      <alignment horizontal="center"/>
    </xf>
    <xf numFmtId="0" fontId="17" fillId="0" borderId="1" xfId="0" applyFont="1" applyBorder="1" applyAlignment="1">
      <alignment horizontal="center"/>
    </xf>
    <xf numFmtId="166" fontId="17" fillId="0" borderId="1" xfId="1" applyNumberFormat="1" applyFont="1" applyBorder="1" applyAlignment="1">
      <alignment horizontal="center"/>
    </xf>
    <xf numFmtId="0" fontId="17" fillId="0" borderId="0" xfId="0" applyFont="1"/>
    <xf numFmtId="166" fontId="18" fillId="0" borderId="23" xfId="0" applyNumberFormat="1" applyFont="1" applyBorder="1" applyAlignment="1">
      <alignment horizontal="center"/>
    </xf>
    <xf numFmtId="165" fontId="0" fillId="0" borderId="0" xfId="0" applyNumberFormat="1" applyAlignment="1">
      <alignment horizontal="center"/>
    </xf>
    <xf numFmtId="9" fontId="0" fillId="0" borderId="0" xfId="2" applyFont="1" applyAlignment="1">
      <alignment horizontal="center"/>
    </xf>
    <xf numFmtId="165" fontId="0" fillId="0" borderId="0" xfId="0" applyNumberFormat="1"/>
    <xf numFmtId="164" fontId="7" fillId="0" borderId="0" xfId="0" applyNumberFormat="1" applyFont="1"/>
    <xf numFmtId="164" fontId="5" fillId="0" borderId="0" xfId="1" applyNumberFormat="1" applyFont="1" applyBorder="1" applyAlignment="1">
      <alignment horizontal="center" vertical="top"/>
    </xf>
    <xf numFmtId="164" fontId="7" fillId="0" borderId="0" xfId="1" applyNumberFormat="1" applyFont="1"/>
    <xf numFmtId="0" fontId="19" fillId="0" borderId="2" xfId="0" applyFont="1" applyBorder="1"/>
    <xf numFmtId="0" fontId="20" fillId="0" borderId="2" xfId="0" applyFont="1" applyBorder="1" applyAlignment="1">
      <alignment horizontal="left"/>
    </xf>
    <xf numFmtId="164" fontId="19" fillId="0" borderId="2" xfId="1" applyNumberFormat="1" applyFont="1" applyBorder="1"/>
    <xf numFmtId="0" fontId="19" fillId="0" borderId="0" xfId="0" applyFont="1"/>
    <xf numFmtId="164" fontId="13" fillId="0" borderId="2" xfId="1" applyNumberFormat="1" applyFont="1" applyBorder="1"/>
    <xf numFmtId="3" fontId="20" fillId="5" borderId="4" xfId="0" applyNumberFormat="1" applyFont="1" applyFill="1" applyBorder="1" applyAlignment="1">
      <alignment horizontal="center"/>
    </xf>
    <xf numFmtId="3" fontId="7" fillId="0" borderId="0" xfId="0" applyNumberFormat="1" applyFont="1" applyAlignment="1">
      <alignment horizontal="center"/>
    </xf>
    <xf numFmtId="4" fontId="0" fillId="0" borderId="0" xfId="0" applyNumberFormat="1"/>
    <xf numFmtId="3" fontId="7" fillId="4" borderId="0" xfId="0" applyNumberFormat="1" applyFont="1" applyFill="1" applyAlignment="1">
      <alignment horizontal="center" wrapText="1" shrinkToFit="1"/>
    </xf>
    <xf numFmtId="0" fontId="0" fillId="0" borderId="0" xfId="0" applyAlignment="1">
      <alignment wrapText="1" shrinkToFit="1"/>
    </xf>
    <xf numFmtId="0" fontId="1" fillId="0" borderId="0" xfId="0" applyFont="1" applyAlignment="1">
      <alignment wrapText="1" shrinkToFit="1"/>
    </xf>
    <xf numFmtId="0" fontId="19" fillId="0" borderId="0" xfId="0" applyFont="1" applyAlignment="1">
      <alignment wrapText="1" shrinkToFit="1"/>
    </xf>
    <xf numFmtId="3" fontId="0" fillId="0" borderId="0" xfId="0" applyNumberFormat="1"/>
    <xf numFmtId="164" fontId="0" fillId="0" borderId="2" xfId="1" applyNumberFormat="1" applyFont="1" applyFill="1" applyBorder="1"/>
    <xf numFmtId="3" fontId="1" fillId="0" borderId="2" xfId="0" applyNumberFormat="1" applyFont="1" applyBorder="1" applyAlignment="1">
      <alignment horizontal="center"/>
    </xf>
    <xf numFmtId="164" fontId="0" fillId="0" borderId="0" xfId="1" applyNumberFormat="1" applyFont="1" applyFill="1"/>
    <xf numFmtId="16" fontId="5" fillId="4" borderId="0" xfId="0" applyNumberFormat="1" applyFont="1" applyFill="1" applyAlignment="1">
      <alignment horizontal="center"/>
    </xf>
    <xf numFmtId="164" fontId="19" fillId="0" borderId="2" xfId="0" applyNumberFormat="1" applyFont="1" applyBorder="1"/>
    <xf numFmtId="0" fontId="1" fillId="11" borderId="2" xfId="0" applyFont="1" applyFill="1" applyBorder="1"/>
    <xf numFmtId="164" fontId="1" fillId="11" borderId="2" xfId="1" applyNumberFormat="1" applyFont="1" applyFill="1" applyBorder="1"/>
    <xf numFmtId="37" fontId="1" fillId="11" borderId="2" xfId="1" applyNumberFormat="1" applyFont="1" applyFill="1" applyBorder="1" applyAlignment="1">
      <alignment horizontal="center"/>
    </xf>
    <xf numFmtId="0" fontId="22" fillId="0" borderId="2" xfId="0" applyFont="1" applyBorder="1"/>
    <xf numFmtId="0" fontId="23" fillId="0" borderId="2" xfId="0" applyFont="1" applyBorder="1" applyAlignment="1">
      <alignment horizontal="left" indent="1"/>
    </xf>
    <xf numFmtId="164" fontId="23" fillId="0" borderId="2" xfId="1" applyNumberFormat="1" applyFont="1" applyBorder="1"/>
    <xf numFmtId="3" fontId="24" fillId="5" borderId="3" xfId="0" applyNumberFormat="1" applyFont="1" applyFill="1" applyBorder="1" applyAlignment="1">
      <alignment horizontal="center"/>
    </xf>
    <xf numFmtId="0" fontId="22" fillId="0" borderId="0" xfId="0" applyFont="1" applyAlignment="1">
      <alignment wrapText="1" shrinkToFit="1"/>
    </xf>
    <xf numFmtId="0" fontId="22" fillId="0" borderId="0" xfId="0" applyFont="1"/>
    <xf numFmtId="0" fontId="23" fillId="0" borderId="2" xfId="0" applyFont="1" applyBorder="1" applyAlignment="1">
      <alignment horizontal="left" wrapText="1" indent="1"/>
    </xf>
    <xf numFmtId="164" fontId="22" fillId="0" borderId="2" xfId="1" applyNumberFormat="1" applyFont="1" applyBorder="1"/>
    <xf numFmtId="3" fontId="24" fillId="5" borderId="2" xfId="0" applyNumberFormat="1" applyFont="1" applyFill="1" applyBorder="1" applyAlignment="1">
      <alignment horizontal="center"/>
    </xf>
    <xf numFmtId="3" fontId="22" fillId="0" borderId="0" xfId="0" applyNumberFormat="1" applyFont="1"/>
    <xf numFmtId="166" fontId="18" fillId="0" borderId="24" xfId="0" applyNumberFormat="1" applyFont="1" applyBorder="1" applyAlignment="1">
      <alignment horizontal="center"/>
    </xf>
    <xf numFmtId="166" fontId="0" fillId="0" borderId="0" xfId="0" applyNumberFormat="1"/>
    <xf numFmtId="164" fontId="22" fillId="0" borderId="2" xfId="1" applyNumberFormat="1" applyFont="1" applyFill="1" applyBorder="1"/>
    <xf numFmtId="3" fontId="24" fillId="0" borderId="2" xfId="0" applyNumberFormat="1" applyFont="1" applyBorder="1" applyAlignment="1">
      <alignment horizontal="center"/>
    </xf>
    <xf numFmtId="164" fontId="1" fillId="0" borderId="0" xfId="1" applyNumberFormat="1" applyFont="1" applyFill="1" applyBorder="1"/>
    <xf numFmtId="37" fontId="1" fillId="0" borderId="0" xfId="1" applyNumberFormat="1" applyFont="1" applyFill="1" applyBorder="1" applyAlignment="1">
      <alignment horizontal="center"/>
    </xf>
    <xf numFmtId="0" fontId="0" fillId="0" borderId="0" xfId="0" applyAlignment="1">
      <alignment horizontal="right"/>
    </xf>
    <xf numFmtId="166" fontId="1" fillId="0" borderId="0" xfId="0" applyNumberFormat="1" applyFont="1" applyAlignment="1">
      <alignment horizontal="center"/>
    </xf>
    <xf numFmtId="0" fontId="1" fillId="0" borderId="0" xfId="0" applyFont="1" applyAlignment="1">
      <alignment horizontal="center"/>
    </xf>
    <xf numFmtId="3" fontId="20" fillId="5" borderId="3" xfId="0" applyNumberFormat="1" applyFont="1" applyFill="1" applyBorder="1" applyAlignment="1">
      <alignment horizontal="center"/>
    </xf>
    <xf numFmtId="0" fontId="25" fillId="0" borderId="0" xfId="0" applyFont="1" applyAlignment="1">
      <alignment vertical="center" wrapText="1"/>
    </xf>
    <xf numFmtId="0" fontId="25" fillId="0" borderId="0" xfId="0" applyFont="1"/>
    <xf numFmtId="0" fontId="26" fillId="0" borderId="0" xfId="0" applyFont="1" applyAlignment="1">
      <alignment vertical="center"/>
    </xf>
    <xf numFmtId="0" fontId="25" fillId="0" borderId="0" xfId="0" applyFont="1" applyAlignment="1">
      <alignment wrapText="1"/>
    </xf>
    <xf numFmtId="0" fontId="26" fillId="0" borderId="0" xfId="0" applyFont="1" applyAlignment="1">
      <alignment vertical="center" wrapText="1"/>
    </xf>
    <xf numFmtId="0" fontId="25" fillId="0" borderId="0" xfId="0" applyFont="1" applyAlignment="1">
      <alignment horizontal="left" vertical="center" wrapText="1"/>
    </xf>
    <xf numFmtId="3" fontId="26" fillId="0" borderId="0" xfId="0" applyNumberFormat="1" applyFont="1" applyAlignment="1">
      <alignment horizontal="right"/>
    </xf>
    <xf numFmtId="0" fontId="27" fillId="0" borderId="0" xfId="0" applyFont="1"/>
    <xf numFmtId="4" fontId="25" fillId="0" borderId="0" xfId="0" applyNumberFormat="1" applyFont="1" applyAlignment="1">
      <alignment vertical="center" wrapText="1"/>
    </xf>
    <xf numFmtId="4" fontId="26" fillId="0" borderId="0" xfId="0" applyNumberFormat="1" applyFont="1" applyAlignment="1">
      <alignment vertical="center" wrapText="1"/>
    </xf>
    <xf numFmtId="0" fontId="29" fillId="0" borderId="0" xfId="0" applyFont="1"/>
    <xf numFmtId="3" fontId="30" fillId="0" borderId="0" xfId="0" applyNumberFormat="1" applyFont="1"/>
    <xf numFmtId="0" fontId="30" fillId="0" borderId="0" xfId="0" applyFont="1"/>
    <xf numFmtId="0" fontId="30" fillId="0" borderId="2" xfId="0" applyFont="1" applyBorder="1" applyAlignment="1">
      <alignment horizontal="left" indent="1"/>
    </xf>
    <xf numFmtId="0" fontId="30" fillId="0" borderId="2" xfId="0" applyFont="1" applyBorder="1" applyAlignment="1">
      <alignment horizontal="left" wrapText="1" indent="1"/>
    </xf>
    <xf numFmtId="3" fontId="29" fillId="0" borderId="0" xfId="0" applyNumberFormat="1" applyFont="1"/>
    <xf numFmtId="3" fontId="25" fillId="0" borderId="0" xfId="0" applyNumberFormat="1" applyFont="1"/>
    <xf numFmtId="0" fontId="30" fillId="0" borderId="0" xfId="0" applyFont="1" applyAlignment="1">
      <alignment wrapText="1"/>
    </xf>
    <xf numFmtId="0" fontId="30" fillId="0" borderId="0" xfId="0" applyFont="1" applyAlignment="1">
      <alignment horizontal="left" indent="1"/>
    </xf>
    <xf numFmtId="164" fontId="0" fillId="0" borderId="3" xfId="1" applyNumberFormat="1" applyFont="1" applyBorder="1"/>
    <xf numFmtId="164" fontId="23" fillId="0" borderId="3" xfId="1" applyNumberFormat="1" applyFont="1" applyBorder="1"/>
    <xf numFmtId="164" fontId="3" fillId="0" borderId="3" xfId="1" applyNumberFormat="1" applyFont="1" applyBorder="1"/>
    <xf numFmtId="0" fontId="24" fillId="0" borderId="0" xfId="0" applyFont="1" applyAlignment="1">
      <alignment horizontal="center" vertical="top"/>
    </xf>
    <xf numFmtId="0" fontId="26" fillId="0" borderId="0" xfId="0" applyFont="1" applyAlignment="1">
      <alignment wrapText="1"/>
    </xf>
    <xf numFmtId="37" fontId="31" fillId="0" borderId="0" xfId="0" applyNumberFormat="1" applyFont="1" applyAlignment="1">
      <alignment horizontal="center" wrapText="1" shrinkToFit="1"/>
    </xf>
    <xf numFmtId="0" fontId="4" fillId="0" borderId="0" xfId="0" applyFont="1" applyAlignment="1">
      <alignment horizontal="left" indent="1"/>
    </xf>
    <xf numFmtId="17" fontId="6" fillId="4" borderId="0" xfId="0" applyNumberFormat="1" applyFont="1" applyFill="1" applyAlignment="1">
      <alignment horizontal="right"/>
    </xf>
    <xf numFmtId="164" fontId="0" fillId="0" borderId="0" xfId="1" applyNumberFormat="1" applyFont="1" applyAlignment="1">
      <alignment horizontal="right"/>
    </xf>
    <xf numFmtId="164" fontId="0" fillId="2" borderId="0" xfId="1" applyNumberFormat="1" applyFont="1" applyFill="1" applyAlignment="1">
      <alignment horizontal="right"/>
    </xf>
    <xf numFmtId="164" fontId="0" fillId="0" borderId="2" xfId="1" applyNumberFormat="1" applyFont="1" applyBorder="1" applyAlignment="1">
      <alignment horizontal="right"/>
    </xf>
    <xf numFmtId="164" fontId="1" fillId="3" borderId="2" xfId="1" applyNumberFormat="1" applyFont="1" applyFill="1" applyBorder="1" applyAlignment="1">
      <alignment horizontal="right"/>
    </xf>
    <xf numFmtId="164" fontId="19" fillId="0" borderId="2" xfId="1" applyNumberFormat="1" applyFont="1" applyBorder="1" applyAlignment="1">
      <alignment horizontal="right"/>
    </xf>
    <xf numFmtId="164" fontId="23" fillId="0" borderId="2" xfId="1" applyNumberFormat="1" applyFont="1" applyBorder="1" applyAlignment="1">
      <alignment horizontal="right"/>
    </xf>
    <xf numFmtId="3" fontId="22" fillId="0" borderId="0" xfId="0" applyNumberFormat="1" applyFont="1" applyAlignment="1">
      <alignment horizontal="right"/>
    </xf>
    <xf numFmtId="164" fontId="3" fillId="0" borderId="2" xfId="1" applyNumberFormat="1" applyFont="1" applyBorder="1" applyAlignment="1">
      <alignment horizontal="right"/>
    </xf>
    <xf numFmtId="164" fontId="1" fillId="0" borderId="0" xfId="1" applyNumberFormat="1" applyFont="1" applyFill="1" applyBorder="1" applyAlignment="1">
      <alignment horizontal="right"/>
    </xf>
    <xf numFmtId="3" fontId="3" fillId="0" borderId="2" xfId="0" applyNumberFormat="1" applyFont="1" applyBorder="1" applyAlignment="1">
      <alignment horizontal="right"/>
    </xf>
    <xf numFmtId="164" fontId="22" fillId="0" borderId="2" xfId="1" applyNumberFormat="1" applyFont="1" applyBorder="1" applyAlignment="1">
      <alignment horizontal="right"/>
    </xf>
    <xf numFmtId="164" fontId="22" fillId="0" borderId="2" xfId="1" applyNumberFormat="1" applyFont="1" applyFill="1" applyBorder="1" applyAlignment="1">
      <alignment horizontal="right"/>
    </xf>
    <xf numFmtId="164" fontId="0" fillId="0" borderId="2" xfId="1" applyNumberFormat="1" applyFont="1" applyFill="1" applyBorder="1" applyAlignment="1">
      <alignment horizontal="right"/>
    </xf>
    <xf numFmtId="164" fontId="1" fillId="11" borderId="2" xfId="1" applyNumberFormat="1" applyFont="1" applyFill="1" applyBorder="1" applyAlignment="1">
      <alignment horizontal="right"/>
    </xf>
    <xf numFmtId="164" fontId="0" fillId="0" borderId="0" xfId="1" applyNumberFormat="1" applyFont="1" applyFill="1" applyAlignment="1">
      <alignment horizontal="right"/>
    </xf>
    <xf numFmtId="164" fontId="0" fillId="0" borderId="0" xfId="1" applyNumberFormat="1" applyFont="1" applyBorder="1" applyAlignment="1">
      <alignment horizontal="right"/>
    </xf>
    <xf numFmtId="164" fontId="0" fillId="0" borderId="0" xfId="0" applyNumberFormat="1" applyAlignment="1">
      <alignment horizontal="right"/>
    </xf>
    <xf numFmtId="0" fontId="26" fillId="0" borderId="0" xfId="0" applyFont="1" applyAlignment="1">
      <alignment horizontal="right" vertical="center" wrapText="1"/>
    </xf>
    <xf numFmtId="4" fontId="27" fillId="0" borderId="0" xfId="0" applyNumberFormat="1" applyFont="1"/>
    <xf numFmtId="0" fontId="29" fillId="0" borderId="0" xfId="0" applyFont="1" applyAlignment="1">
      <alignment horizontal="left"/>
    </xf>
    <xf numFmtId="0" fontId="0" fillId="0" borderId="0" xfId="0" applyAlignment="1">
      <alignment horizontal="left"/>
    </xf>
    <xf numFmtId="0" fontId="21" fillId="0" borderId="0" xfId="0" applyFont="1" applyAlignment="1">
      <alignment wrapText="1" shrinkToFit="1"/>
    </xf>
    <xf numFmtId="0" fontId="30" fillId="0" borderId="0" xfId="0" applyFont="1" applyAlignment="1">
      <alignment horizontal="left" wrapText="1" indent="1"/>
    </xf>
    <xf numFmtId="0" fontId="32" fillId="0" borderId="2" xfId="0" applyFont="1" applyBorder="1" applyAlignment="1">
      <alignment horizontal="left" wrapText="1" indent="1"/>
    </xf>
    <xf numFmtId="0" fontId="29" fillId="0" borderId="0" xfId="0" applyFont="1" applyAlignment="1">
      <alignment horizontal="left" wrapText="1" indent="1"/>
    </xf>
    <xf numFmtId="3" fontId="0" fillId="0" borderId="2" xfId="0" applyNumberFormat="1" applyBorder="1"/>
    <xf numFmtId="0" fontId="7" fillId="0" borderId="0" xfId="0" applyFont="1"/>
    <xf numFmtId="3" fontId="0" fillId="0" borderId="0" xfId="0" applyNumberFormat="1" applyAlignment="1">
      <alignment wrapText="1" shrinkToFit="1"/>
    </xf>
    <xf numFmtId="3" fontId="20" fillId="0" borderId="2" xfId="0" applyNumberFormat="1" applyFont="1" applyBorder="1" applyAlignment="1">
      <alignment horizontal="center"/>
    </xf>
    <xf numFmtId="0" fontId="14" fillId="0" borderId="17" xfId="0" applyFont="1" applyBorder="1" applyAlignment="1">
      <alignment horizontal="center" vertical="center"/>
    </xf>
    <xf numFmtId="0" fontId="14" fillId="0" borderId="18" xfId="0" applyFont="1" applyBorder="1" applyAlignment="1">
      <alignment horizontal="center" vertical="center"/>
    </xf>
    <xf numFmtId="0" fontId="14" fillId="0" borderId="19" xfId="0" applyFont="1" applyBorder="1" applyAlignment="1">
      <alignment horizontal="center" vertical="center"/>
    </xf>
    <xf numFmtId="0" fontId="0" fillId="0" borderId="15" xfId="0" applyBorder="1" applyAlignment="1">
      <alignment horizontal="center"/>
    </xf>
    <xf numFmtId="0" fontId="0" fillId="0" borderId="2" xfId="0" applyBorder="1" applyAlignment="1">
      <alignment wrapText="1"/>
    </xf>
    <xf numFmtId="164" fontId="21" fillId="0" borderId="25" xfId="0" applyNumberFormat="1" applyFont="1" applyBorder="1"/>
    <xf numFmtId="164" fontId="21" fillId="0" borderId="26" xfId="0" applyNumberFormat="1" applyFont="1" applyBorder="1"/>
    <xf numFmtId="4" fontId="19" fillId="0" borderId="2" xfId="0" applyNumberFormat="1" applyFont="1" applyBorder="1"/>
    <xf numFmtId="3" fontId="19" fillId="0" borderId="2" xfId="0" applyNumberFormat="1" applyFont="1" applyBorder="1"/>
    <xf numFmtId="164" fontId="13" fillId="0" borderId="3" xfId="1" applyNumberFormat="1" applyFont="1" applyBorder="1"/>
    <xf numFmtId="0" fontId="17" fillId="0" borderId="0" xfId="0" applyFont="1" applyBorder="1" applyAlignment="1">
      <alignment horizontal="center"/>
    </xf>
    <xf numFmtId="0" fontId="0" fillId="0" borderId="0" xfId="0" applyAlignment="1">
      <alignment wrapText="1"/>
    </xf>
    <xf numFmtId="0" fontId="16" fillId="4" borderId="21" xfId="0" applyFont="1" applyFill="1" applyBorder="1" applyAlignment="1">
      <alignment vertical="center" wrapText="1"/>
    </xf>
    <xf numFmtId="0" fontId="17" fillId="0" borderId="23" xfId="0" applyFont="1" applyBorder="1" applyAlignment="1">
      <alignment wrapText="1"/>
    </xf>
    <xf numFmtId="0" fontId="17" fillId="0" borderId="1" xfId="0" applyFont="1" applyBorder="1" applyAlignment="1">
      <alignment wrapText="1"/>
    </xf>
    <xf numFmtId="0" fontId="33" fillId="0" borderId="23" xfId="0" applyFont="1" applyBorder="1" applyAlignment="1">
      <alignment wrapText="1"/>
    </xf>
    <xf numFmtId="0" fontId="18" fillId="0" borderId="23" xfId="0" applyFont="1" applyBorder="1" applyAlignment="1">
      <alignment wrapText="1"/>
    </xf>
    <xf numFmtId="171" fontId="0" fillId="0" borderId="0" xfId="0" applyNumberFormat="1"/>
  </cellXfs>
  <cellStyles count="3">
    <cellStyle name="Comma" xfId="1" builtinId="3"/>
    <cellStyle name="Normal" xfId="0" builtinId="0"/>
    <cellStyle name="Percent" xfId="2" builtinId="5"/>
  </cellStyles>
  <dxfs count="0"/>
  <tableStyles count="0" defaultTableStyle="TableStyleMedium9" defaultPivotStyle="PivotStyleLight16"/>
  <colors>
    <mruColors>
      <color rgb="FF0087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Q95"/>
  <sheetViews>
    <sheetView showGridLines="0" zoomScale="78" zoomScaleNormal="78" workbookViewId="0">
      <pane xSplit="2" ySplit="2" topLeftCell="C51" activePane="bottomRight" state="frozen"/>
      <selection pane="topRight" activeCell="C1" sqref="C1"/>
      <selection pane="bottomLeft" activeCell="A7" sqref="A7"/>
      <selection pane="bottomRight" activeCell="D27" sqref="D27"/>
    </sheetView>
  </sheetViews>
  <sheetFormatPr baseColWidth="10" defaultColWidth="8.83203125" defaultRowHeight="15" x14ac:dyDescent="0.2"/>
  <cols>
    <col min="1" max="1" width="2.6640625" customWidth="1"/>
    <col min="2" max="2" width="49.1640625" customWidth="1"/>
    <col min="3" max="3" width="36.33203125" customWidth="1"/>
    <col min="4" max="4" width="11.33203125" customWidth="1"/>
    <col min="5" max="5" width="12.83203125" customWidth="1"/>
    <col min="6" max="6" width="11.6640625" customWidth="1"/>
    <col min="7" max="7" width="14.1640625" bestFit="1" customWidth="1"/>
    <col min="8" max="16" width="14.5" customWidth="1"/>
    <col min="17" max="17" width="23.6640625" style="21" customWidth="1"/>
    <col min="19" max="19" width="10" bestFit="1" customWidth="1"/>
  </cols>
  <sheetData>
    <row r="2" spans="1:17" x14ac:dyDescent="0.2">
      <c r="A2" s="18"/>
      <c r="B2" s="18" t="s">
        <v>0</v>
      </c>
      <c r="C2" s="18" t="s">
        <v>65</v>
      </c>
      <c r="D2" s="56"/>
      <c r="E2" s="19">
        <v>45658</v>
      </c>
      <c r="F2" s="19">
        <v>45689</v>
      </c>
      <c r="G2" s="19">
        <v>45717</v>
      </c>
      <c r="H2" s="19">
        <v>45748</v>
      </c>
      <c r="I2" s="19">
        <v>45778</v>
      </c>
      <c r="J2" s="19">
        <v>45809</v>
      </c>
      <c r="K2" s="19">
        <v>45839</v>
      </c>
      <c r="L2" s="19">
        <v>45870</v>
      </c>
      <c r="M2" s="19">
        <v>45901</v>
      </c>
      <c r="N2" s="19">
        <v>45931</v>
      </c>
      <c r="O2" s="19">
        <v>45962</v>
      </c>
      <c r="P2" s="19">
        <v>45992</v>
      </c>
      <c r="Q2" s="22" t="s">
        <v>66</v>
      </c>
    </row>
    <row r="3" spans="1:17" x14ac:dyDescent="0.2">
      <c r="B3" s="4"/>
      <c r="C3" s="4"/>
      <c r="D3" s="4"/>
    </row>
    <row r="4" spans="1:17" x14ac:dyDescent="0.2">
      <c r="B4" s="4"/>
      <c r="C4" s="4"/>
      <c r="D4" s="4"/>
      <c r="G4" s="100">
        <f>Q91</f>
        <v>-298294815.37750006</v>
      </c>
      <c r="H4" s="100">
        <f>G4/3</f>
        <v>-99431605.125833347</v>
      </c>
    </row>
    <row r="5" spans="1:17" x14ac:dyDescent="0.2">
      <c r="B5" s="4"/>
      <c r="C5" s="4"/>
      <c r="D5" s="4"/>
      <c r="F5" s="6"/>
      <c r="G5" s="101">
        <f>G4/9</f>
        <v>-33143868.375277784</v>
      </c>
      <c r="H5" s="102">
        <f>H4*3</f>
        <v>-298294815.37750006</v>
      </c>
      <c r="I5" s="6"/>
      <c r="J5" s="6"/>
      <c r="K5" s="6"/>
      <c r="L5" s="6"/>
      <c r="M5" s="6"/>
      <c r="N5" s="6"/>
      <c r="O5" s="6"/>
      <c r="P5" s="6"/>
    </row>
    <row r="6" spans="1:17" x14ac:dyDescent="0.2">
      <c r="A6" s="7" t="s">
        <v>114</v>
      </c>
      <c r="B6" s="8"/>
      <c r="C6" s="8"/>
      <c r="D6" s="8"/>
      <c r="E6" s="9"/>
      <c r="F6" s="9"/>
      <c r="G6" s="9"/>
      <c r="H6" s="9"/>
      <c r="I6" s="9"/>
      <c r="J6" s="9"/>
      <c r="K6" s="9"/>
      <c r="L6" s="9"/>
      <c r="M6" s="9"/>
      <c r="N6" s="9"/>
      <c r="O6" s="9"/>
      <c r="P6" s="9"/>
      <c r="Q6" s="9"/>
    </row>
    <row r="7" spans="1:17" x14ac:dyDescent="0.2">
      <c r="A7" s="10"/>
      <c r="B7" s="11" t="s">
        <v>47</v>
      </c>
      <c r="C7" s="10" t="s">
        <v>21</v>
      </c>
      <c r="D7" s="10"/>
      <c r="E7" s="12"/>
      <c r="F7" s="12"/>
      <c r="G7" s="12"/>
      <c r="H7" s="12"/>
      <c r="I7" s="12"/>
      <c r="J7" s="12"/>
      <c r="K7" s="12"/>
      <c r="L7" s="12"/>
      <c r="M7" s="12"/>
      <c r="N7" s="12"/>
      <c r="O7" s="12"/>
      <c r="P7" s="12"/>
      <c r="Q7" s="25">
        <f t="shared" ref="Q7:Q74" si="0">SUM(E7:P7)</f>
        <v>0</v>
      </c>
    </row>
    <row r="8" spans="1:17" x14ac:dyDescent="0.2">
      <c r="A8" s="10"/>
      <c r="B8" s="11" t="s">
        <v>48</v>
      </c>
      <c r="C8" s="10" t="s">
        <v>22</v>
      </c>
      <c r="D8" s="10"/>
      <c r="E8" s="12"/>
      <c r="F8" s="12"/>
      <c r="G8" s="12"/>
      <c r="H8" s="12">
        <v>106000000</v>
      </c>
      <c r="I8" s="12"/>
      <c r="J8" s="12"/>
      <c r="K8" s="12">
        <f>H8</f>
        <v>106000000</v>
      </c>
      <c r="L8" s="12"/>
      <c r="M8" s="12"/>
      <c r="N8" s="12">
        <f>K8</f>
        <v>106000000</v>
      </c>
      <c r="O8" s="12"/>
      <c r="P8" s="12"/>
      <c r="Q8" s="25">
        <f t="shared" si="0"/>
        <v>318000000</v>
      </c>
    </row>
    <row r="9" spans="1:17" x14ac:dyDescent="0.2">
      <c r="A9" s="10"/>
      <c r="B9" s="11" t="s">
        <v>1</v>
      </c>
      <c r="C9" s="10" t="s">
        <v>23</v>
      </c>
      <c r="D9" s="10"/>
      <c r="E9" s="12">
        <f>'Membership Fees'!C5</f>
        <v>0</v>
      </c>
      <c r="F9" s="12">
        <f>'Membership Fees'!D5</f>
        <v>0</v>
      </c>
      <c r="G9" s="12"/>
      <c r="H9" s="12"/>
      <c r="I9" s="12"/>
      <c r="J9" s="12"/>
      <c r="K9" s="12"/>
      <c r="L9" s="12"/>
      <c r="M9" s="12"/>
      <c r="N9" s="12"/>
      <c r="O9" s="12"/>
      <c r="P9" s="12"/>
      <c r="Q9" s="25">
        <f t="shared" si="0"/>
        <v>0</v>
      </c>
    </row>
    <row r="10" spans="1:17" x14ac:dyDescent="0.2">
      <c r="A10" s="10"/>
      <c r="B10" s="11" t="s">
        <v>2</v>
      </c>
      <c r="C10" s="10" t="s">
        <v>24</v>
      </c>
      <c r="D10" s="10"/>
      <c r="E10" s="12"/>
      <c r="F10" s="12"/>
      <c r="G10" s="12"/>
      <c r="H10" s="12"/>
      <c r="I10" s="12"/>
      <c r="J10" s="12"/>
      <c r="K10" s="12"/>
      <c r="L10" s="12"/>
      <c r="M10" s="12"/>
      <c r="N10" s="12"/>
      <c r="O10" s="12"/>
      <c r="P10" s="12"/>
      <c r="Q10" s="25">
        <f t="shared" si="0"/>
        <v>0</v>
      </c>
    </row>
    <row r="11" spans="1:17" x14ac:dyDescent="0.2">
      <c r="A11" s="10"/>
      <c r="B11" s="11" t="s">
        <v>3</v>
      </c>
      <c r="C11" s="10" t="s">
        <v>25</v>
      </c>
      <c r="D11" s="10"/>
      <c r="E11" s="12">
        <f>'Rental, Hosting &amp; Sponsorships'!C12</f>
        <v>0</v>
      </c>
      <c r="F11" s="12">
        <f>'Rental, Hosting &amp; Sponsorships'!D12</f>
        <v>0</v>
      </c>
      <c r="G11" s="12">
        <f>'Rental, Hosting &amp; Sponsorships'!E12</f>
        <v>0</v>
      </c>
      <c r="H11" s="12">
        <f>'Rental, Hosting &amp; Sponsorships'!F12</f>
        <v>0</v>
      </c>
      <c r="I11" s="12">
        <f>'Rental, Hosting &amp; Sponsorships'!G12</f>
        <v>0</v>
      </c>
      <c r="J11" s="12">
        <f>'Rental, Hosting &amp; Sponsorships'!H12</f>
        <v>0</v>
      </c>
      <c r="K11" s="12">
        <f>'Rental, Hosting &amp; Sponsorships'!I12</f>
        <v>0</v>
      </c>
      <c r="L11" s="12">
        <f>'Rental, Hosting &amp; Sponsorships'!J12</f>
        <v>0</v>
      </c>
      <c r="M11" s="12">
        <f>'Rental, Hosting &amp; Sponsorships'!K12</f>
        <v>0</v>
      </c>
      <c r="N11" s="12">
        <f>'Rental, Hosting &amp; Sponsorships'!L12</f>
        <v>0</v>
      </c>
      <c r="O11" s="12">
        <f>'Rental, Hosting &amp; Sponsorships'!M12</f>
        <v>0</v>
      </c>
      <c r="P11" s="12">
        <f>'Rental, Hosting &amp; Sponsorships'!N12</f>
        <v>0</v>
      </c>
      <c r="Q11" s="25">
        <f t="shared" si="0"/>
        <v>0</v>
      </c>
    </row>
    <row r="12" spans="1:17" x14ac:dyDescent="0.2">
      <c r="A12" s="10"/>
      <c r="B12" s="11" t="s">
        <v>67</v>
      </c>
      <c r="C12" s="10"/>
      <c r="D12" s="10"/>
      <c r="E12" s="12">
        <f>'Rental, Hosting &amp; Sponsorships'!C6</f>
        <v>0</v>
      </c>
      <c r="F12" s="12">
        <f>'Rental, Hosting &amp; Sponsorships'!D6</f>
        <v>0</v>
      </c>
      <c r="G12" s="12">
        <f>'Rental, Hosting &amp; Sponsorships'!E6</f>
        <v>0</v>
      </c>
      <c r="H12" s="12">
        <f>'Rental, Hosting &amp; Sponsorships'!F6</f>
        <v>0</v>
      </c>
      <c r="I12" s="12">
        <f>'Rental, Hosting &amp; Sponsorships'!G6</f>
        <v>0</v>
      </c>
      <c r="J12" s="12">
        <f>'Rental, Hosting &amp; Sponsorships'!H6</f>
        <v>0</v>
      </c>
      <c r="K12" s="12">
        <f>'Rental, Hosting &amp; Sponsorships'!I6</f>
        <v>0</v>
      </c>
      <c r="L12" s="12">
        <f>'Rental, Hosting &amp; Sponsorships'!J6</f>
        <v>0</v>
      </c>
      <c r="M12" s="12">
        <f>'Rental, Hosting &amp; Sponsorships'!K6</f>
        <v>0</v>
      </c>
      <c r="N12" s="12">
        <f>'Rental, Hosting &amp; Sponsorships'!L6</f>
        <v>0</v>
      </c>
      <c r="O12" s="12">
        <f>'Rental, Hosting &amp; Sponsorships'!M6</f>
        <v>0</v>
      </c>
      <c r="P12" s="12">
        <f>'Rental, Hosting &amp; Sponsorships'!N6</f>
        <v>0</v>
      </c>
      <c r="Q12" s="25">
        <f t="shared" si="0"/>
        <v>0</v>
      </c>
    </row>
    <row r="13" spans="1:17" x14ac:dyDescent="0.2">
      <c r="A13" s="10"/>
      <c r="B13" s="11" t="s">
        <v>4</v>
      </c>
      <c r="C13" s="10" t="s">
        <v>26</v>
      </c>
      <c r="D13" s="10"/>
      <c r="E13" s="12"/>
      <c r="F13" s="12"/>
      <c r="G13" s="12"/>
      <c r="H13" s="12"/>
      <c r="I13" s="12"/>
      <c r="J13" s="12"/>
      <c r="K13" s="12"/>
      <c r="L13" s="12"/>
      <c r="M13" s="12"/>
      <c r="N13" s="12"/>
      <c r="O13" s="12"/>
      <c r="P13" s="12"/>
      <c r="Q13" s="25">
        <f t="shared" si="0"/>
        <v>0</v>
      </c>
    </row>
    <row r="14" spans="1:17" s="3" customFormat="1" x14ac:dyDescent="0.2">
      <c r="A14" s="13" t="s">
        <v>5</v>
      </c>
      <c r="B14" s="13"/>
      <c r="C14" s="13"/>
      <c r="D14" s="13"/>
      <c r="E14" s="14">
        <f t="shared" ref="E14:F14" si="1">SUM(E6:E13)</f>
        <v>0</v>
      </c>
      <c r="F14" s="14">
        <f t="shared" si="1"/>
        <v>0</v>
      </c>
      <c r="G14" s="14">
        <f>SUM(G6:G13)</f>
        <v>0</v>
      </c>
      <c r="H14" s="14">
        <f t="shared" ref="H14:Q14" si="2">SUM(H6:H13)</f>
        <v>106000000</v>
      </c>
      <c r="I14" s="14">
        <f t="shared" si="2"/>
        <v>0</v>
      </c>
      <c r="J14" s="14">
        <f t="shared" si="2"/>
        <v>0</v>
      </c>
      <c r="K14" s="14">
        <f t="shared" si="2"/>
        <v>106000000</v>
      </c>
      <c r="L14" s="14">
        <f t="shared" si="2"/>
        <v>0</v>
      </c>
      <c r="M14" s="14">
        <f t="shared" si="2"/>
        <v>0</v>
      </c>
      <c r="N14" s="14">
        <f t="shared" si="2"/>
        <v>106000000</v>
      </c>
      <c r="O14" s="14">
        <f t="shared" si="2"/>
        <v>0</v>
      </c>
      <c r="P14" s="14">
        <f t="shared" si="2"/>
        <v>0</v>
      </c>
      <c r="Q14" s="28">
        <f t="shared" si="2"/>
        <v>318000000</v>
      </c>
    </row>
    <row r="15" spans="1:17" x14ac:dyDescent="0.2">
      <c r="E15" s="6"/>
      <c r="F15" s="6"/>
      <c r="G15" s="6"/>
      <c r="H15" s="6"/>
      <c r="I15" s="6"/>
      <c r="J15" s="6"/>
      <c r="K15" s="6"/>
      <c r="L15" s="6"/>
      <c r="M15" s="6"/>
      <c r="N15" s="6"/>
      <c r="O15" s="6"/>
      <c r="P15" s="6"/>
    </row>
    <row r="16" spans="1:17" x14ac:dyDescent="0.2">
      <c r="E16" s="6"/>
      <c r="F16" s="6"/>
      <c r="G16" s="6"/>
      <c r="H16" s="6"/>
      <c r="I16" s="6"/>
      <c r="J16" s="6"/>
      <c r="K16" s="6"/>
      <c r="L16" s="6"/>
      <c r="M16" s="6"/>
      <c r="N16" s="6"/>
      <c r="O16" s="6"/>
      <c r="P16" s="6"/>
    </row>
    <row r="17" spans="1:17" x14ac:dyDescent="0.2">
      <c r="E17" s="6"/>
      <c r="F17" s="6"/>
      <c r="G17" s="6"/>
      <c r="H17" s="6"/>
      <c r="I17" s="6"/>
      <c r="J17" s="6"/>
      <c r="K17" s="6"/>
      <c r="L17" s="6"/>
      <c r="M17" s="6"/>
      <c r="N17" s="6"/>
      <c r="O17" s="6"/>
      <c r="P17" s="6"/>
    </row>
    <row r="18" spans="1:17" x14ac:dyDescent="0.2">
      <c r="A18" s="7" t="s">
        <v>6</v>
      </c>
      <c r="B18" s="8"/>
      <c r="C18" s="8"/>
      <c r="D18" s="8"/>
      <c r="E18" s="9"/>
      <c r="F18" s="9"/>
      <c r="G18" s="9"/>
      <c r="H18" s="9"/>
      <c r="I18" s="9"/>
      <c r="J18" s="9"/>
      <c r="K18" s="9"/>
      <c r="L18" s="9"/>
      <c r="M18" s="9"/>
      <c r="N18" s="9"/>
      <c r="O18" s="9"/>
      <c r="P18" s="9"/>
      <c r="Q18" s="9"/>
    </row>
    <row r="19" spans="1:17" s="106" customFormat="1" x14ac:dyDescent="0.2">
      <c r="A19" s="103"/>
      <c r="B19" s="104" t="s">
        <v>7</v>
      </c>
      <c r="C19" s="103" t="s">
        <v>27</v>
      </c>
      <c r="D19" s="103"/>
      <c r="E19" s="105">
        <f>Salaries!F19</f>
        <v>0</v>
      </c>
      <c r="F19" s="105">
        <f>Salaries!G19</f>
        <v>0</v>
      </c>
      <c r="G19" s="105">
        <f>Salaries1!F27*0</f>
        <v>0</v>
      </c>
      <c r="H19" s="105">
        <v>13078401.625</v>
      </c>
      <c r="I19" s="105">
        <f>Salaries1!H27</f>
        <v>14571000</v>
      </c>
      <c r="J19" s="105">
        <f>Salaries1!I27</f>
        <v>14571000</v>
      </c>
      <c r="K19" s="105">
        <f>Salaries1!J27</f>
        <v>14571000</v>
      </c>
      <c r="L19" s="105">
        <f>Salaries1!K27</f>
        <v>14571000</v>
      </c>
      <c r="M19" s="105">
        <f>Salaries1!L27</f>
        <v>14571000</v>
      </c>
      <c r="N19" s="105">
        <f>Salaries1!M27</f>
        <v>14571000</v>
      </c>
      <c r="O19" s="105">
        <f>Salaries1!N27</f>
        <v>14571000</v>
      </c>
      <c r="P19" s="105">
        <f>Salaries1!O27</f>
        <v>14571000</v>
      </c>
      <c r="Q19" s="105">
        <f t="shared" si="0"/>
        <v>129646401.625</v>
      </c>
    </row>
    <row r="20" spans="1:17" x14ac:dyDescent="0.2">
      <c r="B20" s="5"/>
      <c r="E20" s="6"/>
      <c r="F20" s="6"/>
      <c r="G20" s="6"/>
      <c r="H20" s="6"/>
      <c r="I20" s="6"/>
      <c r="J20" s="6"/>
      <c r="K20" s="6"/>
      <c r="L20" s="6"/>
      <c r="M20" s="6"/>
      <c r="N20" s="6"/>
      <c r="O20" s="6"/>
      <c r="P20" s="6"/>
    </row>
    <row r="21" spans="1:17" x14ac:dyDescent="0.2">
      <c r="B21" s="5"/>
      <c r="E21" s="6"/>
      <c r="F21" s="6"/>
      <c r="G21" s="6"/>
      <c r="H21" s="6"/>
      <c r="I21" s="6"/>
      <c r="J21" s="6"/>
      <c r="K21" s="6"/>
      <c r="L21" s="6"/>
      <c r="M21" s="6"/>
      <c r="N21" s="6"/>
      <c r="O21" s="6"/>
      <c r="P21" s="6"/>
    </row>
    <row r="22" spans="1:17" x14ac:dyDescent="0.2">
      <c r="B22" s="5"/>
      <c r="E22" s="6"/>
      <c r="F22" s="6"/>
      <c r="G22" s="6"/>
      <c r="H22" s="6"/>
      <c r="I22" s="6"/>
      <c r="J22" s="6"/>
      <c r="K22" s="6"/>
      <c r="L22" s="6"/>
      <c r="M22" s="6"/>
      <c r="N22" s="6"/>
      <c r="O22" s="6"/>
      <c r="P22" s="6"/>
    </row>
    <row r="23" spans="1:17" x14ac:dyDescent="0.2">
      <c r="B23" s="2" t="s">
        <v>41</v>
      </c>
      <c r="C23" t="s">
        <v>28</v>
      </c>
      <c r="E23" s="6"/>
      <c r="F23" s="6"/>
      <c r="G23" s="6"/>
      <c r="H23" s="6"/>
      <c r="I23" s="6"/>
      <c r="J23" s="6"/>
      <c r="K23" s="6"/>
      <c r="L23" s="6"/>
      <c r="M23" s="6"/>
      <c r="N23" s="6"/>
      <c r="O23" s="6"/>
      <c r="P23" s="6"/>
    </row>
    <row r="24" spans="1:17" x14ac:dyDescent="0.2">
      <c r="A24" s="10"/>
      <c r="B24" s="15" t="s">
        <v>127</v>
      </c>
      <c r="C24" s="10"/>
      <c r="D24" s="10"/>
      <c r="E24" s="12"/>
      <c r="F24" s="12"/>
      <c r="G24" s="16"/>
      <c r="H24" s="16"/>
      <c r="I24" s="16">
        <v>800000</v>
      </c>
      <c r="J24" s="16">
        <v>800000</v>
      </c>
      <c r="K24" s="16">
        <v>800000</v>
      </c>
      <c r="L24" s="16">
        <v>800000</v>
      </c>
      <c r="M24" s="16">
        <v>800000</v>
      </c>
      <c r="N24" s="16">
        <v>800000</v>
      </c>
      <c r="O24" s="16">
        <v>800000</v>
      </c>
      <c r="P24" s="16">
        <v>800000</v>
      </c>
      <c r="Q24" s="25">
        <f t="shared" si="0"/>
        <v>6400000</v>
      </c>
    </row>
    <row r="25" spans="1:17" s="106" customFormat="1" x14ac:dyDescent="0.2">
      <c r="A25" s="103"/>
      <c r="B25" s="59" t="s">
        <v>37</v>
      </c>
      <c r="C25" s="103"/>
      <c r="D25" s="103"/>
      <c r="E25" s="105">
        <f>Diesel!C5</f>
        <v>1980000</v>
      </c>
      <c r="F25" s="105">
        <f>Diesel!D5</f>
        <v>1980000</v>
      </c>
      <c r="G25" s="107"/>
      <c r="H25" s="107">
        <f>Diesel!F5</f>
        <v>1980000</v>
      </c>
      <c r="I25" s="107">
        <f>Diesel!G5</f>
        <v>1980000</v>
      </c>
      <c r="J25" s="107">
        <f>Diesel!H5</f>
        <v>1980000</v>
      </c>
      <c r="K25" s="107">
        <f>Diesel!I5</f>
        <v>1980000</v>
      </c>
      <c r="L25" s="107">
        <f>Diesel!J5</f>
        <v>1980000</v>
      </c>
      <c r="M25" s="107">
        <f>Diesel!K5</f>
        <v>1980000</v>
      </c>
      <c r="N25" s="107">
        <f>Diesel!L5</f>
        <v>1980000</v>
      </c>
      <c r="O25" s="107">
        <f>Diesel!M5</f>
        <v>1980000</v>
      </c>
      <c r="P25" s="107">
        <f>Diesel!N5</f>
        <v>1980000</v>
      </c>
      <c r="Q25" s="108">
        <f t="shared" si="0"/>
        <v>21780000</v>
      </c>
    </row>
    <row r="26" spans="1:17" x14ac:dyDescent="0.2">
      <c r="A26" s="10"/>
      <c r="B26" s="17" t="s">
        <v>38</v>
      </c>
      <c r="C26" s="10"/>
      <c r="D26" s="10"/>
      <c r="E26" s="12"/>
      <c r="F26" s="12"/>
      <c r="G26" s="16"/>
      <c r="H26" s="16">
        <f>500000+1300000</f>
        <v>1800000</v>
      </c>
      <c r="I26" s="16">
        <v>1300000</v>
      </c>
      <c r="J26" s="16">
        <v>1300000</v>
      </c>
      <c r="K26" s="16">
        <v>1300000</v>
      </c>
      <c r="L26" s="16">
        <v>1300000</v>
      </c>
      <c r="M26" s="16">
        <v>1300000</v>
      </c>
      <c r="N26" s="16">
        <v>1300000</v>
      </c>
      <c r="O26" s="16">
        <v>1300000</v>
      </c>
      <c r="P26" s="16">
        <v>1300000</v>
      </c>
      <c r="Q26" s="26">
        <f t="shared" si="0"/>
        <v>12200000</v>
      </c>
    </row>
    <row r="27" spans="1:17" x14ac:dyDescent="0.2">
      <c r="A27" s="10"/>
      <c r="B27" s="17" t="s">
        <v>39</v>
      </c>
      <c r="C27" s="10"/>
      <c r="D27" s="10"/>
      <c r="E27" s="12"/>
      <c r="F27" s="12"/>
      <c r="G27" s="16"/>
      <c r="H27" s="16"/>
      <c r="I27" s="16">
        <v>1500000</v>
      </c>
      <c r="J27" s="16">
        <v>1000000</v>
      </c>
      <c r="K27" s="16">
        <v>833333.33333333337</v>
      </c>
      <c r="L27" s="16">
        <v>833333.33333333337</v>
      </c>
      <c r="M27" s="16">
        <v>833333.33333333337</v>
      </c>
      <c r="N27" s="16">
        <v>833333.33333333337</v>
      </c>
      <c r="O27" s="16">
        <v>833333.33333333337</v>
      </c>
      <c r="P27" s="16">
        <v>833333.33333333337</v>
      </c>
      <c r="Q27" s="26">
        <f t="shared" si="0"/>
        <v>7499999.9999999991</v>
      </c>
    </row>
    <row r="28" spans="1:17" ht="15.5" customHeight="1" x14ac:dyDescent="0.2">
      <c r="A28" s="10"/>
      <c r="B28" s="17" t="s">
        <v>40</v>
      </c>
      <c r="C28" s="10"/>
      <c r="D28" s="10"/>
      <c r="E28" s="12"/>
      <c r="F28" s="12"/>
      <c r="G28" s="16"/>
      <c r="H28" s="16"/>
      <c r="I28" s="16">
        <v>1000000</v>
      </c>
      <c r="J28" s="16">
        <v>1000000</v>
      </c>
      <c r="K28" s="16">
        <v>1000000</v>
      </c>
      <c r="L28" s="16">
        <v>1000000</v>
      </c>
      <c r="M28" s="16">
        <v>1000000</v>
      </c>
      <c r="N28" s="16">
        <v>1000000</v>
      </c>
      <c r="O28" s="16">
        <v>1000000</v>
      </c>
      <c r="P28" s="16">
        <v>1000000</v>
      </c>
      <c r="Q28" s="26">
        <f t="shared" si="0"/>
        <v>8000000</v>
      </c>
    </row>
    <row r="29" spans="1:17" ht="31" customHeight="1" x14ac:dyDescent="0.2">
      <c r="A29" s="10"/>
      <c r="B29" s="17" t="s">
        <v>46</v>
      </c>
      <c r="C29" s="10"/>
      <c r="D29" s="10"/>
      <c r="E29" s="12"/>
      <c r="F29" s="12"/>
      <c r="G29" s="16"/>
      <c r="I29" s="16"/>
      <c r="J29" s="16">
        <f>15000000/3</f>
        <v>5000000</v>
      </c>
      <c r="K29" s="16"/>
      <c r="L29" s="16">
        <f>J29</f>
        <v>5000000</v>
      </c>
      <c r="M29" s="16"/>
      <c r="N29" s="16"/>
      <c r="O29" s="16"/>
      <c r="P29" s="16">
        <f>L29</f>
        <v>5000000</v>
      </c>
      <c r="Q29" s="27">
        <f t="shared" si="0"/>
        <v>15000000</v>
      </c>
    </row>
    <row r="30" spans="1:17" s="3" customFormat="1" x14ac:dyDescent="0.2">
      <c r="A30" s="13"/>
      <c r="B30" s="13"/>
      <c r="C30" s="13"/>
      <c r="D30" s="13"/>
      <c r="E30" s="14"/>
      <c r="F30" s="14"/>
      <c r="G30" s="14">
        <f>SUM(G24:G29)</f>
        <v>0</v>
      </c>
      <c r="H30" s="14">
        <f t="shared" ref="H30:Q30" si="3">SUM(H24:H29)</f>
        <v>3780000</v>
      </c>
      <c r="I30" s="14">
        <f t="shared" si="3"/>
        <v>6580000</v>
      </c>
      <c r="J30" s="14">
        <f>SUM(J24:J29)</f>
        <v>11080000</v>
      </c>
      <c r="K30" s="14">
        <f t="shared" si="3"/>
        <v>5913333.333333333</v>
      </c>
      <c r="L30" s="14">
        <f t="shared" si="3"/>
        <v>10913333.333333332</v>
      </c>
      <c r="M30" s="14">
        <f t="shared" si="3"/>
        <v>5913333.333333333</v>
      </c>
      <c r="N30" s="14">
        <f t="shared" si="3"/>
        <v>5913333.333333333</v>
      </c>
      <c r="O30" s="14">
        <f t="shared" si="3"/>
        <v>5913333.333333333</v>
      </c>
      <c r="P30" s="14">
        <f t="shared" si="3"/>
        <v>10913333.333333332</v>
      </c>
      <c r="Q30" s="28">
        <f t="shared" si="3"/>
        <v>70880000</v>
      </c>
    </row>
    <row r="31" spans="1:17" x14ac:dyDescent="0.2">
      <c r="B31" s="2" t="s">
        <v>59</v>
      </c>
      <c r="E31" s="6"/>
      <c r="F31" s="6"/>
      <c r="G31" s="6"/>
      <c r="H31" s="6"/>
      <c r="I31" s="6"/>
      <c r="J31" s="6"/>
      <c r="K31" s="6"/>
      <c r="L31" s="6"/>
      <c r="M31" s="6"/>
      <c r="N31" s="6"/>
      <c r="O31" s="6"/>
      <c r="P31" s="6"/>
    </row>
    <row r="32" spans="1:17" x14ac:dyDescent="0.2">
      <c r="A32" s="10"/>
      <c r="B32" s="15" t="s">
        <v>54</v>
      </c>
      <c r="C32" s="10"/>
      <c r="D32" s="10"/>
      <c r="E32" s="12"/>
      <c r="F32" s="12"/>
      <c r="G32" s="20"/>
      <c r="H32" s="20"/>
      <c r="I32" s="20">
        <v>3000000</v>
      </c>
      <c r="J32" s="20"/>
      <c r="L32" s="20"/>
      <c r="M32" s="20"/>
      <c r="N32" s="20"/>
      <c r="O32" s="20"/>
      <c r="P32" s="20"/>
      <c r="Q32" s="23">
        <f t="shared" si="0"/>
        <v>3000000</v>
      </c>
    </row>
    <row r="33" spans="1:17" x14ac:dyDescent="0.2">
      <c r="A33" s="10"/>
      <c r="B33" s="15" t="s">
        <v>55</v>
      </c>
      <c r="C33" s="10"/>
      <c r="D33" s="10"/>
      <c r="E33" s="12"/>
      <c r="F33" s="12"/>
      <c r="G33" s="20"/>
      <c r="H33" s="20"/>
      <c r="I33" s="20">
        <v>7000000</v>
      </c>
      <c r="J33" s="20"/>
      <c r="L33" s="20"/>
      <c r="M33" s="20"/>
      <c r="N33" s="20">
        <v>7000000</v>
      </c>
      <c r="O33" s="20"/>
      <c r="P33" s="20">
        <v>7000000</v>
      </c>
      <c r="Q33" s="23">
        <f t="shared" si="0"/>
        <v>21000000</v>
      </c>
    </row>
    <row r="34" spans="1:17" x14ac:dyDescent="0.2">
      <c r="A34" s="10"/>
      <c r="B34" s="17" t="s">
        <v>56</v>
      </c>
      <c r="C34" s="10"/>
      <c r="D34" s="10"/>
      <c r="E34" s="12"/>
      <c r="F34" s="12"/>
      <c r="G34" s="20"/>
      <c r="H34" s="20"/>
      <c r="I34" s="20"/>
      <c r="J34" s="20">
        <v>750000</v>
      </c>
      <c r="K34" s="20"/>
      <c r="L34" s="20"/>
      <c r="M34" s="20">
        <v>750000</v>
      </c>
      <c r="N34" s="20"/>
      <c r="O34" s="20"/>
      <c r="P34" s="20">
        <v>750000</v>
      </c>
      <c r="Q34" s="23">
        <f t="shared" si="0"/>
        <v>2250000</v>
      </c>
    </row>
    <row r="35" spans="1:17" x14ac:dyDescent="0.2">
      <c r="A35" s="10"/>
      <c r="B35" s="17" t="s">
        <v>57</v>
      </c>
      <c r="C35" s="10"/>
      <c r="D35" s="10"/>
      <c r="E35" s="12"/>
      <c r="F35" s="12"/>
      <c r="G35" s="20"/>
      <c r="H35" s="20"/>
      <c r="I35" s="20"/>
      <c r="J35" s="20">
        <v>2000000</v>
      </c>
      <c r="K35" s="20"/>
      <c r="L35" s="20"/>
      <c r="M35" s="20">
        <v>2000000</v>
      </c>
      <c r="N35" s="20"/>
      <c r="O35" s="20"/>
      <c r="P35" s="20">
        <v>2000000</v>
      </c>
      <c r="Q35" s="23">
        <f t="shared" si="0"/>
        <v>6000000</v>
      </c>
    </row>
    <row r="36" spans="1:17" x14ac:dyDescent="0.2">
      <c r="A36" s="10"/>
      <c r="B36" s="17" t="s">
        <v>58</v>
      </c>
      <c r="C36" s="10"/>
      <c r="D36" s="10"/>
      <c r="E36" s="12"/>
      <c r="F36" s="12"/>
      <c r="G36" s="20"/>
      <c r="H36" s="20"/>
      <c r="I36" s="20">
        <v>1000000</v>
      </c>
      <c r="J36" s="20">
        <v>1000000</v>
      </c>
      <c r="K36" s="20">
        <v>1000000</v>
      </c>
      <c r="L36" s="20"/>
      <c r="M36" s="20"/>
      <c r="N36" s="20"/>
      <c r="O36" s="20">
        <v>1000000</v>
      </c>
      <c r="P36" s="20">
        <v>1000000</v>
      </c>
      <c r="Q36" s="23">
        <f t="shared" si="0"/>
        <v>5000000</v>
      </c>
    </row>
    <row r="37" spans="1:17" s="3" customFormat="1" x14ac:dyDescent="0.2">
      <c r="A37" s="13"/>
      <c r="B37" s="13"/>
      <c r="C37" s="13"/>
      <c r="D37" s="13"/>
      <c r="E37" s="14"/>
      <c r="F37" s="14"/>
      <c r="G37" s="14">
        <f>SUM(G32:G36)</f>
        <v>0</v>
      </c>
      <c r="H37" s="14">
        <f t="shared" ref="H37:Q37" si="4">SUM(H32:H36)</f>
        <v>0</v>
      </c>
      <c r="I37" s="14">
        <f>SUM(I32:I36)</f>
        <v>11000000</v>
      </c>
      <c r="J37" s="14">
        <f t="shared" si="4"/>
        <v>3750000</v>
      </c>
      <c r="K37" s="14">
        <f t="shared" si="4"/>
        <v>1000000</v>
      </c>
      <c r="L37" s="14">
        <f t="shared" si="4"/>
        <v>0</v>
      </c>
      <c r="M37" s="14">
        <f t="shared" si="4"/>
        <v>2750000</v>
      </c>
      <c r="N37" s="14">
        <f t="shared" si="4"/>
        <v>7000000</v>
      </c>
      <c r="O37" s="14">
        <f t="shared" si="4"/>
        <v>1000000</v>
      </c>
      <c r="P37" s="14">
        <f t="shared" si="4"/>
        <v>10750000</v>
      </c>
      <c r="Q37" s="28">
        <f t="shared" si="4"/>
        <v>37250000</v>
      </c>
    </row>
    <row r="38" spans="1:17" x14ac:dyDescent="0.2">
      <c r="E38" s="6"/>
      <c r="F38" s="6"/>
      <c r="G38" s="6"/>
      <c r="H38" s="6"/>
      <c r="I38" s="6"/>
      <c r="J38" s="6"/>
      <c r="K38" s="6"/>
      <c r="L38" s="6"/>
      <c r="M38" s="6"/>
      <c r="N38" s="6"/>
      <c r="O38" s="6"/>
      <c r="P38" s="6"/>
    </row>
    <row r="39" spans="1:17" x14ac:dyDescent="0.2">
      <c r="B39" s="3" t="s">
        <v>8</v>
      </c>
      <c r="C39" t="s">
        <v>29</v>
      </c>
      <c r="E39" s="6"/>
      <c r="F39" s="6"/>
      <c r="G39" s="6"/>
      <c r="H39" s="6"/>
      <c r="I39" s="6"/>
      <c r="J39" s="6"/>
      <c r="K39" s="6"/>
      <c r="L39" s="6"/>
      <c r="M39" s="6"/>
      <c r="N39" s="6"/>
      <c r="O39" s="6"/>
      <c r="P39" s="6"/>
    </row>
    <row r="40" spans="1:17" x14ac:dyDescent="0.2">
      <c r="A40" s="10"/>
      <c r="B40" s="60" t="s">
        <v>42</v>
      </c>
      <c r="C40" s="10"/>
      <c r="D40" s="10"/>
      <c r="E40" s="12">
        <f>Others!C4</f>
        <v>0</v>
      </c>
      <c r="F40" s="12">
        <f>Others!D4</f>
        <v>0</v>
      </c>
      <c r="G40" s="12"/>
      <c r="H40" s="12"/>
      <c r="I40" s="12">
        <f>3750000/4</f>
        <v>937500</v>
      </c>
      <c r="J40" s="12"/>
      <c r="K40" s="12">
        <f>3750000/4</f>
        <v>937500</v>
      </c>
      <c r="L40" s="12"/>
      <c r="M40" s="12"/>
      <c r="N40" s="12">
        <f>3750000/4</f>
        <v>937500</v>
      </c>
      <c r="O40" s="12"/>
      <c r="P40" s="12"/>
      <c r="Q40" s="24">
        <f t="shared" si="0"/>
        <v>2812500</v>
      </c>
    </row>
    <row r="41" spans="1:17" x14ac:dyDescent="0.2">
      <c r="A41" s="10"/>
      <c r="B41" s="59" t="s">
        <v>43</v>
      </c>
      <c r="C41" s="10"/>
      <c r="D41" s="10"/>
      <c r="E41" s="12">
        <f>Others!C5</f>
        <v>0</v>
      </c>
      <c r="F41" s="12">
        <f>Others!D5</f>
        <v>0</v>
      </c>
      <c r="G41" s="12"/>
      <c r="I41" s="12">
        <f>Others!E5</f>
        <v>729166.66666666663</v>
      </c>
      <c r="J41" s="12">
        <f>Others!H5</f>
        <v>729166.66666666663</v>
      </c>
      <c r="K41" s="12">
        <f>Others!I5</f>
        <v>0</v>
      </c>
      <c r="L41" s="12">
        <f>Others!J5</f>
        <v>0</v>
      </c>
      <c r="M41" s="12">
        <f>Others!K5</f>
        <v>729166.66666666663</v>
      </c>
      <c r="N41" s="12">
        <f>Others!L5</f>
        <v>0</v>
      </c>
      <c r="O41" s="12">
        <f>Others!M5</f>
        <v>0</v>
      </c>
      <c r="P41" s="12">
        <f>Others!N5</f>
        <v>729166.66666666663</v>
      </c>
      <c r="Q41" s="24">
        <f t="shared" si="0"/>
        <v>2916666.6666666665</v>
      </c>
    </row>
    <row r="42" spans="1:17" x14ac:dyDescent="0.2">
      <c r="A42" s="10"/>
      <c r="B42" s="59" t="s">
        <v>111</v>
      </c>
      <c r="C42" s="10"/>
      <c r="D42" s="10"/>
      <c r="E42" s="12">
        <f>Others!C6</f>
        <v>0</v>
      </c>
      <c r="F42" s="12">
        <f>Others!D6</f>
        <v>0</v>
      </c>
      <c r="G42" s="12"/>
      <c r="I42" s="12">
        <f>Others!E6</f>
        <v>416666.66666666669</v>
      </c>
      <c r="J42" s="12">
        <f>Others!H6</f>
        <v>416666.66666666669</v>
      </c>
      <c r="K42" s="12">
        <f>Others!I6</f>
        <v>0</v>
      </c>
      <c r="L42" s="12">
        <f>Others!J6</f>
        <v>0</v>
      </c>
      <c r="M42" s="12">
        <f>Others!K6</f>
        <v>416666.66666666669</v>
      </c>
      <c r="N42" s="12">
        <f>Others!L6</f>
        <v>0</v>
      </c>
      <c r="O42" s="12">
        <f>Others!M6</f>
        <v>0</v>
      </c>
      <c r="P42" s="12">
        <f>Others!N6</f>
        <v>416666.66666666669</v>
      </c>
      <c r="Q42" s="24">
        <f t="shared" si="0"/>
        <v>1666666.6666666667</v>
      </c>
    </row>
    <row r="43" spans="1:17" x14ac:dyDescent="0.2">
      <c r="A43" s="10"/>
      <c r="B43" s="59" t="s">
        <v>45</v>
      </c>
      <c r="C43" s="10"/>
      <c r="D43" s="10"/>
      <c r="E43" s="12"/>
      <c r="F43" s="12"/>
      <c r="G43" s="12"/>
      <c r="H43" s="12"/>
      <c r="I43" s="12">
        <v>6500000</v>
      </c>
      <c r="J43" s="12"/>
      <c r="K43" s="12"/>
      <c r="L43" s="12"/>
      <c r="M43" s="12"/>
      <c r="N43" s="12"/>
      <c r="O43" s="12"/>
      <c r="P43" s="12"/>
      <c r="Q43" s="24">
        <f t="shared" si="0"/>
        <v>6500000</v>
      </c>
    </row>
    <row r="44" spans="1:17" x14ac:dyDescent="0.2">
      <c r="A44" s="10"/>
      <c r="B44" s="59" t="s">
        <v>69</v>
      </c>
      <c r="C44" s="10"/>
      <c r="D44" s="10"/>
      <c r="E44" s="12"/>
      <c r="F44" s="12"/>
      <c r="G44" s="12"/>
      <c r="H44" s="12"/>
      <c r="I44" s="12"/>
      <c r="J44" s="12"/>
      <c r="K44" s="12"/>
      <c r="L44" s="12"/>
      <c r="M44" s="12"/>
      <c r="N44" s="12"/>
      <c r="O44" s="12"/>
      <c r="P44" s="12"/>
      <c r="Q44" s="24">
        <f t="shared" si="0"/>
        <v>0</v>
      </c>
    </row>
    <row r="45" spans="1:17" s="3" customFormat="1" x14ac:dyDescent="0.2">
      <c r="A45" s="13"/>
      <c r="B45" s="13"/>
      <c r="C45" s="13"/>
      <c r="D45" s="13"/>
      <c r="E45" s="14"/>
      <c r="F45" s="14"/>
      <c r="G45" s="14">
        <f>SUM(G40:G44)</f>
        <v>0</v>
      </c>
      <c r="H45" s="14">
        <f t="shared" ref="H45:Q45" si="5">SUM(H40:H44)</f>
        <v>0</v>
      </c>
      <c r="I45" s="14">
        <f>SUM(I40:I44)</f>
        <v>8583333.333333334</v>
      </c>
      <c r="J45" s="14">
        <f t="shared" si="5"/>
        <v>1145833.3333333333</v>
      </c>
      <c r="K45" s="14">
        <f t="shared" si="5"/>
        <v>937500</v>
      </c>
      <c r="L45" s="14">
        <f t="shared" si="5"/>
        <v>0</v>
      </c>
      <c r="M45" s="14">
        <f t="shared" si="5"/>
        <v>1145833.3333333333</v>
      </c>
      <c r="N45" s="14">
        <f t="shared" si="5"/>
        <v>937500</v>
      </c>
      <c r="O45" s="14">
        <f t="shared" si="5"/>
        <v>0</v>
      </c>
      <c r="P45" s="14">
        <f t="shared" si="5"/>
        <v>1145833.3333333333</v>
      </c>
      <c r="Q45" s="28">
        <f t="shared" si="5"/>
        <v>13895833.333333332</v>
      </c>
    </row>
    <row r="46" spans="1:17" x14ac:dyDescent="0.2">
      <c r="B46" s="1"/>
      <c r="E46" s="6"/>
      <c r="F46" s="6"/>
      <c r="G46" s="6"/>
      <c r="H46" s="6"/>
      <c r="I46" s="6"/>
      <c r="J46" s="6"/>
      <c r="K46" s="6"/>
      <c r="L46" s="6"/>
      <c r="M46" s="6"/>
      <c r="N46" s="6"/>
      <c r="O46" s="6"/>
      <c r="P46" s="6"/>
    </row>
    <row r="47" spans="1:17" x14ac:dyDescent="0.2">
      <c r="E47" s="6"/>
      <c r="F47" s="6"/>
      <c r="G47" s="6"/>
      <c r="H47" s="6"/>
      <c r="I47" s="6"/>
      <c r="J47" s="6"/>
      <c r="K47" s="6"/>
      <c r="L47" s="6"/>
      <c r="M47" s="6"/>
      <c r="N47" s="6"/>
      <c r="O47" s="6"/>
      <c r="P47" s="6"/>
    </row>
    <row r="48" spans="1:17" x14ac:dyDescent="0.2">
      <c r="B48" s="2" t="s">
        <v>60</v>
      </c>
      <c r="C48" t="s">
        <v>30</v>
      </c>
      <c r="E48" s="6"/>
      <c r="F48" s="6"/>
      <c r="G48" s="6"/>
      <c r="H48" s="6"/>
      <c r="I48" s="6"/>
      <c r="J48" s="6"/>
      <c r="K48" s="6"/>
      <c r="L48" s="6"/>
      <c r="M48" s="6"/>
      <c r="N48" s="6"/>
      <c r="O48" s="6"/>
      <c r="P48" s="6"/>
    </row>
    <row r="49" spans="1:17" x14ac:dyDescent="0.2">
      <c r="A49" s="10"/>
      <c r="B49" s="17" t="s">
        <v>61</v>
      </c>
      <c r="C49" s="10"/>
      <c r="D49" s="10"/>
      <c r="E49" s="12"/>
      <c r="F49" s="12"/>
      <c r="G49" s="12"/>
      <c r="H49" s="12"/>
      <c r="I49" s="12">
        <v>2500000</v>
      </c>
      <c r="J49" s="12"/>
      <c r="K49" s="12"/>
      <c r="L49" s="12"/>
      <c r="M49" s="12">
        <v>2500000</v>
      </c>
      <c r="N49" s="12"/>
      <c r="O49" s="12"/>
      <c r="P49" s="12">
        <v>2500000</v>
      </c>
      <c r="Q49" s="24">
        <f t="shared" si="0"/>
        <v>7500000</v>
      </c>
    </row>
    <row r="50" spans="1:17" x14ac:dyDescent="0.2">
      <c r="A50" s="10"/>
      <c r="B50" s="15" t="s">
        <v>70</v>
      </c>
      <c r="C50" s="10"/>
      <c r="D50" s="10"/>
      <c r="E50" s="12"/>
      <c r="F50" s="12"/>
      <c r="G50" s="12"/>
      <c r="H50" s="12"/>
      <c r="I50" s="12">
        <v>350000</v>
      </c>
      <c r="J50" s="12">
        <v>350000</v>
      </c>
      <c r="K50" s="12">
        <v>350000</v>
      </c>
      <c r="L50" s="12">
        <v>350000</v>
      </c>
      <c r="M50" s="12">
        <v>350000</v>
      </c>
      <c r="N50" s="12">
        <v>350000</v>
      </c>
      <c r="O50" s="12">
        <v>350000</v>
      </c>
      <c r="P50" s="12">
        <v>350000</v>
      </c>
      <c r="Q50" s="24">
        <f t="shared" si="0"/>
        <v>2800000</v>
      </c>
    </row>
    <row r="51" spans="1:17" x14ac:dyDescent="0.2">
      <c r="A51" s="10"/>
      <c r="B51" s="15" t="s">
        <v>62</v>
      </c>
      <c r="C51" s="10"/>
      <c r="D51" s="10"/>
      <c r="E51" s="12"/>
      <c r="F51" s="12"/>
      <c r="G51" s="12"/>
      <c r="H51" s="12"/>
      <c r="I51" s="12">
        <v>250000</v>
      </c>
      <c r="J51" s="12"/>
      <c r="K51" s="12">
        <v>125000</v>
      </c>
      <c r="L51" s="12">
        <v>125000</v>
      </c>
      <c r="M51" s="12">
        <v>125000</v>
      </c>
      <c r="N51" s="12">
        <v>125000</v>
      </c>
      <c r="O51" s="12">
        <v>125000</v>
      </c>
      <c r="P51" s="12">
        <v>125000</v>
      </c>
      <c r="Q51" s="24">
        <f t="shared" si="0"/>
        <v>1000000</v>
      </c>
    </row>
    <row r="52" spans="1:17" x14ac:dyDescent="0.2">
      <c r="A52" s="10"/>
      <c r="B52" s="15" t="s">
        <v>63</v>
      </c>
      <c r="C52" s="10"/>
      <c r="D52" s="10"/>
      <c r="E52" s="12"/>
      <c r="F52" s="12"/>
      <c r="G52" s="12"/>
      <c r="H52" s="12"/>
      <c r="I52" s="12">
        <v>500000</v>
      </c>
      <c r="J52" s="12"/>
      <c r="K52" s="12"/>
      <c r="L52" s="12"/>
      <c r="M52" s="12"/>
      <c r="N52" s="12">
        <v>250000</v>
      </c>
      <c r="O52" s="12"/>
      <c r="P52" s="12"/>
      <c r="Q52" s="24">
        <f t="shared" si="0"/>
        <v>750000</v>
      </c>
    </row>
    <row r="53" spans="1:17" x14ac:dyDescent="0.2">
      <c r="A53" s="10"/>
      <c r="B53" s="15" t="s">
        <v>64</v>
      </c>
      <c r="C53" s="10"/>
      <c r="D53" s="10"/>
      <c r="E53" s="12"/>
      <c r="F53" s="12"/>
      <c r="G53" s="12"/>
      <c r="H53" s="12"/>
      <c r="I53" s="12">
        <v>250000</v>
      </c>
      <c r="J53" s="12">
        <v>250000</v>
      </c>
      <c r="K53" s="12">
        <v>166666.66666666666</v>
      </c>
      <c r="L53" s="12">
        <v>166666.66666666666</v>
      </c>
      <c r="M53" s="12">
        <v>166666.66666666666</v>
      </c>
      <c r="N53" s="12">
        <v>166666.66666666666</v>
      </c>
      <c r="O53" s="12">
        <v>166666.66666666666</v>
      </c>
      <c r="P53" s="12">
        <v>166666.66666666666</v>
      </c>
      <c r="Q53" s="24">
        <f t="shared" si="0"/>
        <v>1500000</v>
      </c>
    </row>
    <row r="54" spans="1:17" s="3" customFormat="1" x14ac:dyDescent="0.2">
      <c r="A54" s="13"/>
      <c r="B54" s="13"/>
      <c r="C54" s="13"/>
      <c r="D54" s="13"/>
      <c r="E54" s="14"/>
      <c r="F54" s="14"/>
      <c r="G54" s="14">
        <f>SUM(G49:G53)</f>
        <v>0</v>
      </c>
      <c r="H54" s="14">
        <f t="shared" ref="H54:Q54" si="6">SUM(H49:H53)</f>
        <v>0</v>
      </c>
      <c r="I54" s="14">
        <f t="shared" si="6"/>
        <v>3850000</v>
      </c>
      <c r="J54" s="14">
        <f t="shared" si="6"/>
        <v>600000</v>
      </c>
      <c r="K54" s="14">
        <f t="shared" si="6"/>
        <v>641666.66666666663</v>
      </c>
      <c r="L54" s="14">
        <f t="shared" si="6"/>
        <v>641666.66666666663</v>
      </c>
      <c r="M54" s="14">
        <f t="shared" si="6"/>
        <v>3141666.6666666665</v>
      </c>
      <c r="N54" s="14">
        <f t="shared" si="6"/>
        <v>891666.66666666663</v>
      </c>
      <c r="O54" s="14">
        <f t="shared" si="6"/>
        <v>641666.66666666663</v>
      </c>
      <c r="P54" s="14">
        <f t="shared" si="6"/>
        <v>3141666.6666666665</v>
      </c>
      <c r="Q54" s="28">
        <f t="shared" si="6"/>
        <v>13550000</v>
      </c>
    </row>
    <row r="55" spans="1:17" x14ac:dyDescent="0.2">
      <c r="E55" s="6"/>
      <c r="F55" s="6"/>
      <c r="G55" s="6"/>
      <c r="H55" s="6"/>
      <c r="I55" s="6"/>
      <c r="J55" s="6"/>
      <c r="K55" s="6"/>
      <c r="L55" s="6"/>
      <c r="M55" s="6"/>
      <c r="N55" s="6"/>
      <c r="O55" s="6"/>
      <c r="P55" s="6"/>
    </row>
    <row r="56" spans="1:17" x14ac:dyDescent="0.2">
      <c r="B56" s="3" t="s">
        <v>9</v>
      </c>
      <c r="C56" t="s">
        <v>31</v>
      </c>
      <c r="E56" s="6"/>
      <c r="F56" s="6"/>
      <c r="G56" s="6"/>
      <c r="H56" s="6"/>
      <c r="I56" s="6"/>
      <c r="J56" s="6"/>
      <c r="K56" s="6"/>
      <c r="L56" s="6"/>
      <c r="M56" s="6"/>
      <c r="N56" s="6"/>
      <c r="O56" s="6"/>
      <c r="P56" s="6"/>
    </row>
    <row r="57" spans="1:17" x14ac:dyDescent="0.2">
      <c r="A57" s="10"/>
      <c r="B57" s="17" t="s">
        <v>53</v>
      </c>
      <c r="C57" s="10"/>
      <c r="D57" s="10"/>
      <c r="E57" s="12"/>
      <c r="F57" s="12"/>
      <c r="G57" s="12"/>
      <c r="H57" s="12"/>
      <c r="I57" s="12">
        <v>1666667</v>
      </c>
      <c r="J57" s="12">
        <v>1666667</v>
      </c>
      <c r="K57" s="12">
        <v>1666667</v>
      </c>
      <c r="L57" s="12">
        <v>1666667</v>
      </c>
      <c r="M57" s="12">
        <v>1666667</v>
      </c>
      <c r="N57" s="12">
        <v>1666667</v>
      </c>
      <c r="O57" s="12">
        <v>1666667</v>
      </c>
      <c r="P57" s="12">
        <v>1666667</v>
      </c>
      <c r="Q57" s="24">
        <f t="shared" si="0"/>
        <v>13333336</v>
      </c>
    </row>
    <row r="58" spans="1:17" x14ac:dyDescent="0.2">
      <c r="A58" s="10"/>
      <c r="B58" s="17" t="s">
        <v>71</v>
      </c>
      <c r="C58" s="10"/>
      <c r="D58" s="10"/>
      <c r="E58" s="12"/>
      <c r="F58" s="12"/>
      <c r="G58" s="12"/>
      <c r="H58" s="12"/>
      <c r="I58" s="12">
        <v>150000</v>
      </c>
      <c r="J58" s="12">
        <v>150000</v>
      </c>
      <c r="K58" s="12">
        <v>150000</v>
      </c>
      <c r="L58" s="12">
        <v>150000</v>
      </c>
      <c r="M58" s="12">
        <v>150000</v>
      </c>
      <c r="N58" s="12">
        <v>150000</v>
      </c>
      <c r="O58" s="12">
        <v>150000</v>
      </c>
      <c r="P58" s="12">
        <v>150000</v>
      </c>
      <c r="Q58" s="24">
        <f t="shared" si="0"/>
        <v>1200000</v>
      </c>
    </row>
    <row r="59" spans="1:17" x14ac:dyDescent="0.2">
      <c r="A59" s="10"/>
      <c r="B59" s="17" t="s">
        <v>68</v>
      </c>
      <c r="C59" s="10"/>
      <c r="D59" s="10"/>
      <c r="E59" s="12"/>
      <c r="F59" s="12"/>
      <c r="G59" s="12"/>
      <c r="H59" s="12"/>
      <c r="I59" s="12">
        <v>2000000</v>
      </c>
      <c r="J59" s="12"/>
      <c r="K59" s="12"/>
      <c r="L59" s="12"/>
      <c r="M59" s="12"/>
      <c r="N59" s="12"/>
      <c r="O59" s="12"/>
      <c r="Q59" s="24">
        <f>SUM(E59:O59)</f>
        <v>2000000</v>
      </c>
    </row>
    <row r="60" spans="1:17" s="3" customFormat="1" x14ac:dyDescent="0.2">
      <c r="A60" s="13"/>
      <c r="B60" s="13"/>
      <c r="C60" s="13"/>
      <c r="D60" s="13"/>
      <c r="E60" s="14"/>
      <c r="F60" s="14"/>
      <c r="G60" s="14"/>
      <c r="H60" s="14">
        <f>SUM(H57:H59)</f>
        <v>0</v>
      </c>
      <c r="I60" s="14">
        <f>SUM(I57:I59)</f>
        <v>3816667</v>
      </c>
      <c r="J60" s="14">
        <f t="shared" ref="J60:Q60" si="7">SUM(J57:J59)</f>
        <v>1816667</v>
      </c>
      <c r="K60" s="14">
        <f t="shared" si="7"/>
        <v>1816667</v>
      </c>
      <c r="L60" s="14">
        <f t="shared" si="7"/>
        <v>1816667</v>
      </c>
      <c r="M60" s="14">
        <f t="shared" si="7"/>
        <v>1816667</v>
      </c>
      <c r="N60" s="14">
        <f t="shared" si="7"/>
        <v>1816667</v>
      </c>
      <c r="O60" s="14">
        <f t="shared" si="7"/>
        <v>1816667</v>
      </c>
      <c r="P60" s="14">
        <f t="shared" si="7"/>
        <v>1816667</v>
      </c>
      <c r="Q60" s="28">
        <f t="shared" si="7"/>
        <v>16533336</v>
      </c>
    </row>
    <row r="61" spans="1:17" x14ac:dyDescent="0.2">
      <c r="B61" s="81"/>
      <c r="E61" s="82"/>
      <c r="F61" s="82"/>
      <c r="G61" s="82"/>
      <c r="H61" s="82"/>
      <c r="I61" s="82"/>
      <c r="J61" s="82"/>
      <c r="K61" s="82"/>
      <c r="L61" s="82"/>
      <c r="M61" s="82"/>
      <c r="N61" s="82"/>
      <c r="O61" s="82"/>
      <c r="P61" s="82"/>
    </row>
    <row r="62" spans="1:17" x14ac:dyDescent="0.2">
      <c r="E62" s="6"/>
      <c r="F62" s="6"/>
      <c r="G62" s="6"/>
      <c r="H62" s="6"/>
      <c r="I62" s="6"/>
      <c r="J62" s="6"/>
      <c r="K62" s="6"/>
      <c r="L62" s="6"/>
      <c r="M62" s="6"/>
      <c r="N62" s="6"/>
      <c r="O62" s="6"/>
      <c r="P62" s="6"/>
    </row>
    <row r="63" spans="1:17" s="3" customFormat="1" x14ac:dyDescent="0.2">
      <c r="A63" s="13"/>
      <c r="B63" s="13" t="s">
        <v>10</v>
      </c>
      <c r="C63" s="13"/>
      <c r="D63" s="13"/>
      <c r="E63" s="14"/>
      <c r="F63" s="14"/>
      <c r="G63" s="14">
        <f>SUM(G60,G54,G45,G37,G30,G19)</f>
        <v>0</v>
      </c>
      <c r="H63" s="14">
        <f t="shared" ref="H63:P63" si="8">SUM(H60,H54,H45,H37,H30,H19)</f>
        <v>16858401.625</v>
      </c>
      <c r="I63" s="14">
        <f t="shared" si="8"/>
        <v>48401000.333333336</v>
      </c>
      <c r="J63" s="14">
        <f t="shared" si="8"/>
        <v>32963500.333333332</v>
      </c>
      <c r="K63" s="14">
        <f t="shared" si="8"/>
        <v>24880167</v>
      </c>
      <c r="L63" s="14">
        <f t="shared" si="8"/>
        <v>27942667</v>
      </c>
      <c r="M63" s="14">
        <f t="shared" si="8"/>
        <v>29338500.333333332</v>
      </c>
      <c r="N63" s="14">
        <f t="shared" si="8"/>
        <v>31130167</v>
      </c>
      <c r="O63" s="14">
        <f t="shared" si="8"/>
        <v>23942667</v>
      </c>
      <c r="P63" s="14">
        <f t="shared" si="8"/>
        <v>42338500.333333328</v>
      </c>
      <c r="Q63" s="28">
        <f t="shared" si="0"/>
        <v>277795570.95833337</v>
      </c>
    </row>
    <row r="64" spans="1:17" x14ac:dyDescent="0.2">
      <c r="E64" s="6"/>
      <c r="F64" s="6"/>
      <c r="G64" s="6"/>
      <c r="H64" s="6"/>
      <c r="I64" s="6"/>
      <c r="J64" s="6"/>
      <c r="K64" s="6"/>
      <c r="L64" s="6"/>
      <c r="M64" s="6"/>
      <c r="N64" s="6"/>
      <c r="O64" s="6"/>
      <c r="P64" s="6"/>
    </row>
    <row r="65" spans="1:17" x14ac:dyDescent="0.2">
      <c r="E65" s="6"/>
      <c r="F65" s="6"/>
      <c r="G65" s="6"/>
      <c r="H65" s="6"/>
      <c r="I65" s="6"/>
      <c r="J65" s="6"/>
      <c r="K65" s="6"/>
      <c r="L65" s="6"/>
      <c r="M65" s="6"/>
      <c r="N65" s="6"/>
      <c r="O65" s="6"/>
      <c r="P65" s="6"/>
    </row>
    <row r="66" spans="1:17" x14ac:dyDescent="0.2">
      <c r="E66" s="6"/>
      <c r="F66" s="6"/>
      <c r="G66" s="6"/>
      <c r="H66" s="6"/>
      <c r="I66" s="6"/>
      <c r="J66" s="6"/>
      <c r="K66" s="6"/>
      <c r="L66" s="6"/>
      <c r="M66" s="6"/>
      <c r="N66" s="6"/>
      <c r="O66" s="6"/>
      <c r="P66" s="6"/>
    </row>
    <row r="67" spans="1:17" x14ac:dyDescent="0.2">
      <c r="A67" s="7" t="s">
        <v>11</v>
      </c>
      <c r="B67" s="8"/>
      <c r="C67" s="8"/>
      <c r="D67" s="8"/>
      <c r="E67" s="9"/>
      <c r="F67" s="9"/>
      <c r="G67" s="9"/>
      <c r="H67" s="9"/>
      <c r="I67" s="9"/>
      <c r="J67" s="9"/>
      <c r="K67" s="9"/>
      <c r="L67" s="9"/>
      <c r="M67" s="9"/>
      <c r="N67" s="9"/>
      <c r="O67" s="9"/>
      <c r="P67" s="9"/>
      <c r="Q67" s="9">
        <f t="shared" si="0"/>
        <v>0</v>
      </c>
    </row>
    <row r="68" spans="1:17" x14ac:dyDescent="0.2">
      <c r="A68" s="10"/>
      <c r="B68" s="15" t="s">
        <v>49</v>
      </c>
      <c r="C68" s="10"/>
      <c r="D68" s="10"/>
      <c r="E68" s="12">
        <f>Others!C11</f>
        <v>0</v>
      </c>
      <c r="F68" s="12">
        <f>Others!D11</f>
        <v>0</v>
      </c>
      <c r="G68" s="12"/>
      <c r="H68" s="12"/>
      <c r="I68" s="12">
        <v>333333.33333333331</v>
      </c>
      <c r="J68" s="12">
        <v>333333.33333333331</v>
      </c>
      <c r="K68" s="12">
        <v>333333.33333333331</v>
      </c>
      <c r="L68" s="12">
        <v>333333.33333333331</v>
      </c>
      <c r="M68" s="12">
        <v>333333.33333333331</v>
      </c>
      <c r="N68" s="12">
        <v>333333.33333333331</v>
      </c>
      <c r="O68" s="12">
        <v>333333.33333333331</v>
      </c>
      <c r="P68" s="12">
        <v>1333333</v>
      </c>
      <c r="Q68" s="24">
        <f t="shared" si="0"/>
        <v>3666666.333333333</v>
      </c>
    </row>
    <row r="69" spans="1:17" s="33" customFormat="1" x14ac:dyDescent="0.2">
      <c r="A69" s="29"/>
      <c r="B69" s="30" t="s">
        <v>12</v>
      </c>
      <c r="C69" s="29" t="s">
        <v>32</v>
      </c>
      <c r="D69" s="29"/>
      <c r="E69" s="31"/>
      <c r="F69" s="31"/>
      <c r="G69" s="31"/>
      <c r="H69" s="31"/>
      <c r="I69" s="31"/>
      <c r="J69" s="31"/>
      <c r="K69" s="31"/>
      <c r="L69" s="31"/>
      <c r="M69" s="31"/>
      <c r="N69" s="31"/>
      <c r="O69" s="31"/>
      <c r="P69" s="31"/>
      <c r="Q69" s="32">
        <f t="shared" si="0"/>
        <v>0</v>
      </c>
    </row>
    <row r="70" spans="1:17" s="33" customFormat="1" x14ac:dyDescent="0.2">
      <c r="A70" s="29"/>
      <c r="B70" s="30" t="s">
        <v>14</v>
      </c>
      <c r="C70" s="29" t="s">
        <v>33</v>
      </c>
      <c r="D70" s="29"/>
      <c r="E70" s="31"/>
      <c r="F70" s="31"/>
      <c r="G70" s="31"/>
      <c r="H70" s="31"/>
      <c r="I70" s="31"/>
      <c r="J70" s="31"/>
      <c r="K70" s="31"/>
      <c r="L70" s="31"/>
      <c r="M70" s="31"/>
      <c r="N70" s="31"/>
      <c r="O70" s="31"/>
      <c r="P70" s="31"/>
      <c r="Q70" s="32">
        <f t="shared" si="0"/>
        <v>0</v>
      </c>
    </row>
    <row r="71" spans="1:17" x14ac:dyDescent="0.2">
      <c r="A71" s="10"/>
      <c r="B71" s="15" t="s">
        <v>50</v>
      </c>
      <c r="C71" s="10" t="s">
        <v>34</v>
      </c>
      <c r="D71" s="10"/>
      <c r="E71" s="12">
        <f>Others!C12</f>
        <v>0</v>
      </c>
      <c r="F71" s="12">
        <f>Others!D12</f>
        <v>0</v>
      </c>
      <c r="G71" s="12"/>
      <c r="H71" s="12">
        <v>250000</v>
      </c>
      <c r="I71" s="12">
        <f>Others!G12</f>
        <v>250000</v>
      </c>
      <c r="J71" s="12">
        <f>Others!H12</f>
        <v>250000</v>
      </c>
      <c r="K71" s="12">
        <f>Others!I12</f>
        <v>250000</v>
      </c>
      <c r="L71" s="12">
        <f>Others!J12</f>
        <v>250000</v>
      </c>
      <c r="M71" s="12">
        <f>Others!K12</f>
        <v>250000</v>
      </c>
      <c r="N71" s="12">
        <f>Others!L12</f>
        <v>250000</v>
      </c>
      <c r="O71" s="12">
        <f>Others!M12</f>
        <v>250000</v>
      </c>
      <c r="P71" s="12">
        <f>Others!N12</f>
        <v>250000</v>
      </c>
      <c r="Q71" s="24">
        <f t="shared" si="0"/>
        <v>2250000</v>
      </c>
    </row>
    <row r="72" spans="1:17" x14ac:dyDescent="0.2">
      <c r="A72" s="10"/>
      <c r="B72" s="15" t="s">
        <v>51</v>
      </c>
      <c r="C72" s="10"/>
      <c r="D72" s="10"/>
      <c r="E72" s="12">
        <f>Others!C13</f>
        <v>0</v>
      </c>
      <c r="F72" s="12">
        <f>Others!D13</f>
        <v>0</v>
      </c>
      <c r="G72" s="12"/>
      <c r="H72" s="12"/>
      <c r="I72" s="12">
        <v>208333.33333333334</v>
      </c>
      <c r="J72" s="12">
        <v>208333.33333333334</v>
      </c>
      <c r="K72" s="12">
        <v>208333.33333333334</v>
      </c>
      <c r="L72" s="12">
        <v>208333.33333333334</v>
      </c>
      <c r="M72" s="12">
        <v>208333.33333333334</v>
      </c>
      <c r="N72" s="12">
        <v>208333.33333333334</v>
      </c>
      <c r="O72" s="12">
        <v>208333.33333333334</v>
      </c>
      <c r="P72" s="12">
        <v>208333.33333333334</v>
      </c>
      <c r="Q72" s="24">
        <f t="shared" si="0"/>
        <v>1666666.6666666665</v>
      </c>
    </row>
    <row r="73" spans="1:17" x14ac:dyDescent="0.2">
      <c r="A73" s="10"/>
      <c r="B73" s="15" t="s">
        <v>52</v>
      </c>
      <c r="C73" s="10"/>
      <c r="D73" s="10"/>
      <c r="E73" s="12">
        <f>Others!C14</f>
        <v>0</v>
      </c>
      <c r="F73" s="12">
        <f>Others!D14</f>
        <v>0</v>
      </c>
      <c r="G73" s="12"/>
      <c r="H73" s="12"/>
      <c r="I73" s="12">
        <v>125000</v>
      </c>
      <c r="J73" s="12">
        <v>125000</v>
      </c>
      <c r="K73" s="12">
        <v>125000</v>
      </c>
      <c r="L73" s="12">
        <v>125000</v>
      </c>
      <c r="M73" s="12">
        <v>125000</v>
      </c>
      <c r="N73" s="12">
        <v>125000</v>
      </c>
      <c r="O73" s="12">
        <v>125000</v>
      </c>
      <c r="P73" s="12">
        <v>125000</v>
      </c>
      <c r="Q73" s="24">
        <f t="shared" si="0"/>
        <v>1000000</v>
      </c>
    </row>
    <row r="74" spans="1:17" x14ac:dyDescent="0.2">
      <c r="A74" s="10"/>
      <c r="B74" s="15" t="s">
        <v>13</v>
      </c>
      <c r="C74" s="10"/>
      <c r="D74" s="10"/>
      <c r="E74" s="12"/>
      <c r="F74" s="12"/>
      <c r="G74" s="12"/>
      <c r="H74" s="12"/>
      <c r="I74" s="12"/>
      <c r="J74" s="12"/>
      <c r="K74" s="12"/>
      <c r="L74" s="12"/>
      <c r="M74" s="12"/>
      <c r="N74" s="12"/>
      <c r="O74" s="12"/>
      <c r="P74" s="12"/>
      <c r="Q74" s="24">
        <f t="shared" si="0"/>
        <v>0</v>
      </c>
    </row>
    <row r="75" spans="1:17" s="3" customFormat="1" x14ac:dyDescent="0.2">
      <c r="A75" s="13"/>
      <c r="B75" s="13" t="s">
        <v>15</v>
      </c>
      <c r="C75" s="13"/>
      <c r="D75" s="13"/>
      <c r="E75" s="14"/>
      <c r="F75" s="14"/>
      <c r="G75" s="14">
        <f>SUM(G68:G74)</f>
        <v>0</v>
      </c>
      <c r="H75" s="14">
        <f t="shared" ref="H75:P75" si="9">SUM(H68:H74)</f>
        <v>250000</v>
      </c>
      <c r="I75" s="14">
        <f t="shared" si="9"/>
        <v>916666.66666666663</v>
      </c>
      <c r="J75" s="14">
        <f t="shared" si="9"/>
        <v>916666.66666666663</v>
      </c>
      <c r="K75" s="14">
        <f t="shared" si="9"/>
        <v>916666.66666666663</v>
      </c>
      <c r="L75" s="14">
        <f t="shared" si="9"/>
        <v>916666.66666666663</v>
      </c>
      <c r="M75" s="14">
        <f t="shared" si="9"/>
        <v>916666.66666666663</v>
      </c>
      <c r="N75" s="14">
        <f t="shared" si="9"/>
        <v>916666.66666666663</v>
      </c>
      <c r="O75" s="14">
        <f t="shared" si="9"/>
        <v>916666.66666666663</v>
      </c>
      <c r="P75" s="14">
        <f t="shared" si="9"/>
        <v>1916666.3333333333</v>
      </c>
      <c r="Q75" s="28">
        <f t="shared" ref="Q75:Q89" si="10">SUM(E75:P75)</f>
        <v>8583333</v>
      </c>
    </row>
    <row r="76" spans="1:17" x14ac:dyDescent="0.2">
      <c r="E76" s="6"/>
      <c r="F76" s="6"/>
      <c r="G76" s="6"/>
      <c r="H76" s="6"/>
      <c r="I76" s="6"/>
      <c r="J76" s="6"/>
      <c r="K76" s="6"/>
      <c r="L76" s="6"/>
      <c r="M76" s="6"/>
      <c r="N76" s="6"/>
      <c r="O76" s="6"/>
      <c r="P76" s="6"/>
    </row>
    <row r="81" spans="1:17" x14ac:dyDescent="0.2">
      <c r="A81" s="7"/>
      <c r="B81" s="7" t="s">
        <v>16</v>
      </c>
      <c r="C81" s="8"/>
      <c r="D81" s="8"/>
      <c r="E81" s="9"/>
      <c r="F81" s="9"/>
      <c r="G81" s="9"/>
      <c r="H81" s="9"/>
      <c r="I81" s="9"/>
      <c r="J81" s="9"/>
      <c r="K81" s="9"/>
      <c r="L81" s="9"/>
      <c r="M81" s="9"/>
      <c r="N81" s="9"/>
      <c r="O81" s="9"/>
      <c r="P81" s="9"/>
      <c r="Q81" s="9">
        <f t="shared" si="10"/>
        <v>0</v>
      </c>
    </row>
    <row r="82" spans="1:17" x14ac:dyDescent="0.2">
      <c r="A82" s="10"/>
      <c r="B82" s="15" t="s">
        <v>113</v>
      </c>
      <c r="C82" s="10" t="s">
        <v>35</v>
      </c>
      <c r="D82" s="57">
        <v>0.02</v>
      </c>
      <c r="E82" s="12">
        <f>E14*$D$82</f>
        <v>0</v>
      </c>
      <c r="F82" s="12">
        <f t="shared" ref="F82:P82" si="11">F14*$D$82</f>
        <v>0</v>
      </c>
      <c r="G82" s="12">
        <f>G14*$D$82</f>
        <v>0</v>
      </c>
      <c r="H82" s="12">
        <f t="shared" si="11"/>
        <v>2120000</v>
      </c>
      <c r="I82" s="12">
        <f t="shared" si="11"/>
        <v>0</v>
      </c>
      <c r="J82" s="12">
        <f t="shared" si="11"/>
        <v>0</v>
      </c>
      <c r="K82" s="12">
        <f t="shared" si="11"/>
        <v>2120000</v>
      </c>
      <c r="L82" s="12">
        <f t="shared" si="11"/>
        <v>0</v>
      </c>
      <c r="M82" s="12">
        <f t="shared" si="11"/>
        <v>0</v>
      </c>
      <c r="N82" s="12">
        <f t="shared" si="11"/>
        <v>2120000</v>
      </c>
      <c r="O82" s="12">
        <f t="shared" si="11"/>
        <v>0</v>
      </c>
      <c r="P82" s="12">
        <f t="shared" si="11"/>
        <v>0</v>
      </c>
      <c r="Q82" s="24">
        <f t="shared" si="10"/>
        <v>6360000</v>
      </c>
    </row>
    <row r="83" spans="1:17" x14ac:dyDescent="0.2">
      <c r="A83" s="10"/>
      <c r="B83" s="15" t="s">
        <v>112</v>
      </c>
      <c r="C83" s="10" t="s">
        <v>36</v>
      </c>
      <c r="D83" s="57">
        <v>0.02</v>
      </c>
      <c r="E83" s="12">
        <f>E63*$D$83</f>
        <v>0</v>
      </c>
      <c r="F83" s="12">
        <f t="shared" ref="F83:P83" si="12">F63*$D$83</f>
        <v>0</v>
      </c>
      <c r="G83" s="12">
        <f>G63*$D$83</f>
        <v>0</v>
      </c>
      <c r="H83" s="12">
        <f t="shared" si="12"/>
        <v>337168.03250000003</v>
      </c>
      <c r="I83" s="12">
        <f t="shared" si="12"/>
        <v>968020.00666666671</v>
      </c>
      <c r="J83" s="12">
        <f t="shared" si="12"/>
        <v>659270.00666666671</v>
      </c>
      <c r="K83" s="12">
        <f t="shared" si="12"/>
        <v>497603.34</v>
      </c>
      <c r="L83" s="12">
        <f t="shared" si="12"/>
        <v>558853.34</v>
      </c>
      <c r="M83" s="12">
        <f t="shared" si="12"/>
        <v>586770.00666666671</v>
      </c>
      <c r="N83" s="12">
        <f t="shared" si="12"/>
        <v>622603.34</v>
      </c>
      <c r="O83" s="12">
        <f t="shared" si="12"/>
        <v>478853.34</v>
      </c>
      <c r="P83" s="12">
        <f t="shared" si="12"/>
        <v>846770.0066666666</v>
      </c>
      <c r="Q83" s="24">
        <f t="shared" si="10"/>
        <v>5555911.4191666665</v>
      </c>
    </row>
    <row r="84" spans="1:17" s="3" customFormat="1" x14ac:dyDescent="0.2">
      <c r="A84" s="13"/>
      <c r="B84" s="13" t="s">
        <v>17</v>
      </c>
      <c r="C84" s="13"/>
      <c r="D84" s="13"/>
      <c r="E84" s="14">
        <f>SUM(E82:E83)</f>
        <v>0</v>
      </c>
      <c r="F84" s="14">
        <f t="shared" ref="F84:P84" si="13">SUM(F82:F83)</f>
        <v>0</v>
      </c>
      <c r="G84" s="14">
        <f t="shared" si="13"/>
        <v>0</v>
      </c>
      <c r="H84" s="14">
        <f t="shared" si="13"/>
        <v>2457168.0325000002</v>
      </c>
      <c r="I84" s="14">
        <f t="shared" si="13"/>
        <v>968020.00666666671</v>
      </c>
      <c r="J84" s="14">
        <f t="shared" si="13"/>
        <v>659270.00666666671</v>
      </c>
      <c r="K84" s="14">
        <f t="shared" si="13"/>
        <v>2617603.34</v>
      </c>
      <c r="L84" s="14">
        <f t="shared" si="13"/>
        <v>558853.34</v>
      </c>
      <c r="M84" s="14">
        <f t="shared" si="13"/>
        <v>586770.00666666671</v>
      </c>
      <c r="N84" s="14">
        <f t="shared" si="13"/>
        <v>2742603.34</v>
      </c>
      <c r="O84" s="14">
        <f t="shared" si="13"/>
        <v>478853.34</v>
      </c>
      <c r="P84" s="14">
        <f t="shared" si="13"/>
        <v>846770.0066666666</v>
      </c>
      <c r="Q84" s="28">
        <f t="shared" si="10"/>
        <v>11915911.419166667</v>
      </c>
    </row>
    <row r="89" spans="1:17" x14ac:dyDescent="0.2">
      <c r="A89" s="7"/>
      <c r="B89" s="7" t="s">
        <v>18</v>
      </c>
      <c r="C89" s="8"/>
      <c r="D89" s="8"/>
      <c r="E89" s="9"/>
      <c r="F89" s="9"/>
      <c r="G89" s="9"/>
      <c r="H89" s="9"/>
      <c r="I89" s="9"/>
      <c r="J89" s="9"/>
      <c r="K89" s="9"/>
      <c r="L89" s="9"/>
      <c r="M89" s="9"/>
      <c r="N89" s="9"/>
      <c r="O89" s="9"/>
      <c r="P89" s="9"/>
      <c r="Q89" s="9">
        <f t="shared" si="10"/>
        <v>0</v>
      </c>
    </row>
    <row r="90" spans="1:17" x14ac:dyDescent="0.2">
      <c r="B90" t="s">
        <v>5</v>
      </c>
      <c r="E90" s="34">
        <f t="shared" ref="E90:F90" si="14">SUM(E14)</f>
        <v>0</v>
      </c>
      <c r="F90" s="34">
        <f t="shared" si="14"/>
        <v>0</v>
      </c>
      <c r="G90" s="34">
        <f>SUM(G14)</f>
        <v>0</v>
      </c>
      <c r="H90" s="34">
        <f t="shared" ref="H90:P90" si="15">SUM(H14)</f>
        <v>106000000</v>
      </c>
      <c r="I90" s="34">
        <f t="shared" si="15"/>
        <v>0</v>
      </c>
      <c r="J90" s="34">
        <f t="shared" si="15"/>
        <v>0</v>
      </c>
      <c r="K90" s="34">
        <f t="shared" si="15"/>
        <v>106000000</v>
      </c>
      <c r="L90" s="34">
        <f t="shared" si="15"/>
        <v>0</v>
      </c>
      <c r="M90" s="34">
        <f t="shared" si="15"/>
        <v>0</v>
      </c>
      <c r="N90" s="34">
        <f t="shared" si="15"/>
        <v>106000000</v>
      </c>
      <c r="O90" s="34">
        <f t="shared" si="15"/>
        <v>0</v>
      </c>
      <c r="P90" s="34">
        <f t="shared" si="15"/>
        <v>0</v>
      </c>
      <c r="Q90" s="34">
        <f>SUM(G90:P90)</f>
        <v>318000000</v>
      </c>
    </row>
    <row r="91" spans="1:17" x14ac:dyDescent="0.2">
      <c r="B91" t="s">
        <v>19</v>
      </c>
      <c r="E91" s="34">
        <f t="shared" ref="E91:F91" si="16">-SUM(E84,E75,E63,E54,E45,E37,E30,E19)</f>
        <v>0</v>
      </c>
      <c r="F91" s="34">
        <f t="shared" si="16"/>
        <v>0</v>
      </c>
      <c r="G91" s="34">
        <f>SUM(G84,G75,G63)</f>
        <v>0</v>
      </c>
      <c r="H91" s="34">
        <f t="shared" ref="H91:P91" si="17">SUM(H84,H75,H63)</f>
        <v>19565569.657499999</v>
      </c>
      <c r="I91" s="34">
        <f t="shared" si="17"/>
        <v>50285687.006666668</v>
      </c>
      <c r="J91" s="34">
        <f t="shared" si="17"/>
        <v>34539437.006666668</v>
      </c>
      <c r="K91" s="34">
        <f t="shared" si="17"/>
        <v>28414437.006666668</v>
      </c>
      <c r="L91" s="34">
        <f t="shared" si="17"/>
        <v>29418187.006666668</v>
      </c>
      <c r="M91" s="34">
        <f t="shared" si="17"/>
        <v>30841937.006666664</v>
      </c>
      <c r="N91" s="34">
        <f t="shared" si="17"/>
        <v>34789437.006666668</v>
      </c>
      <c r="O91" s="34">
        <f t="shared" si="17"/>
        <v>25338187.006666668</v>
      </c>
      <c r="P91" s="34">
        <f t="shared" si="17"/>
        <v>45101936.673333332</v>
      </c>
      <c r="Q91" s="34">
        <f>-SUM(Q84,Q75,Q63)</f>
        <v>-298294815.37750006</v>
      </c>
    </row>
    <row r="92" spans="1:17" s="3" customFormat="1" x14ac:dyDescent="0.2">
      <c r="A92" s="78"/>
      <c r="B92" s="78" t="s">
        <v>20</v>
      </c>
      <c r="C92" s="78"/>
      <c r="D92" s="78"/>
      <c r="E92" s="79">
        <f t="shared" ref="E92:F92" si="18">E90+E91</f>
        <v>0</v>
      </c>
      <c r="F92" s="79">
        <f t="shared" si="18"/>
        <v>0</v>
      </c>
      <c r="G92" s="79">
        <f t="shared" ref="G92:P92" si="19">G90-G91+F92</f>
        <v>0</v>
      </c>
      <c r="H92" s="79">
        <f t="shared" si="19"/>
        <v>86434430.342500001</v>
      </c>
      <c r="I92" s="79">
        <f t="shared" si="19"/>
        <v>36148743.335833333</v>
      </c>
      <c r="J92" s="79">
        <f t="shared" si="19"/>
        <v>1609306.3291666657</v>
      </c>
      <c r="K92" s="79">
        <f t="shared" si="19"/>
        <v>79194869.322500005</v>
      </c>
      <c r="L92" s="79">
        <f t="shared" si="19"/>
        <v>49776682.315833338</v>
      </c>
      <c r="M92" s="79">
        <f t="shared" si="19"/>
        <v>18934745.309166674</v>
      </c>
      <c r="N92" s="79">
        <f t="shared" si="19"/>
        <v>90145308.30250001</v>
      </c>
      <c r="O92" s="79">
        <f t="shared" si="19"/>
        <v>64807121.295833342</v>
      </c>
      <c r="P92" s="79">
        <f t="shared" si="19"/>
        <v>19705184.62250001</v>
      </c>
      <c r="Q92" s="79">
        <f t="shared" ref="Q92" si="20">Q90+Q91</f>
        <v>19705184.622499943</v>
      </c>
    </row>
    <row r="93" spans="1:17" x14ac:dyDescent="0.2">
      <c r="P93" s="34"/>
    </row>
    <row r="94" spans="1:17" x14ac:dyDescent="0.2">
      <c r="Q94" s="109">
        <f>Q91/10</f>
        <v>-29829481.537750006</v>
      </c>
    </row>
    <row r="95" spans="1:17" x14ac:dyDescent="0.2">
      <c r="Q95" s="109">
        <f>Q94*3</f>
        <v>-89488444.613250017</v>
      </c>
    </row>
  </sheetData>
  <pageMargins left="0.7" right="0.7" top="0.75" bottom="0.75" header="0.3" footer="0.3"/>
  <pageSetup paperSize="9" scale="28"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45829-81A2-5545-8DFC-5D33A7ECFA2A}">
  <sheetPr>
    <pageSetUpPr fitToPage="1"/>
  </sheetPr>
  <dimension ref="A2:Q122"/>
  <sheetViews>
    <sheetView showGridLines="0" tabSelected="1" zoomScaleNormal="100" workbookViewId="0">
      <pane xSplit="2" ySplit="2" topLeftCell="C3" activePane="bottomRight" state="frozen"/>
      <selection pane="topRight" activeCell="C1" sqref="C1"/>
      <selection pane="bottomLeft" activeCell="A7" sqref="A7"/>
      <selection pane="bottomRight" activeCell="L133" sqref="L133"/>
    </sheetView>
  </sheetViews>
  <sheetFormatPr baseColWidth="10" defaultColWidth="8.83203125" defaultRowHeight="15" x14ac:dyDescent="0.2"/>
  <cols>
    <col min="1" max="1" width="2.6640625" customWidth="1"/>
    <col min="2" max="2" width="55.6640625" customWidth="1"/>
    <col min="3" max="3" width="36.33203125" customWidth="1"/>
    <col min="4" max="4" width="14" customWidth="1"/>
    <col min="5" max="5" width="12.83203125" customWidth="1"/>
    <col min="6" max="6" width="16.1640625" customWidth="1"/>
    <col min="7" max="7" width="14.1640625" bestFit="1" customWidth="1"/>
    <col min="8" max="16" width="14.5" customWidth="1"/>
    <col min="17" max="17" width="23.6640625" style="21" customWidth="1"/>
    <col min="19" max="19" width="10" bestFit="1" customWidth="1"/>
  </cols>
  <sheetData>
    <row r="2" spans="1:17" x14ac:dyDescent="0.2">
      <c r="A2" s="18"/>
      <c r="B2" s="18" t="s">
        <v>0</v>
      </c>
      <c r="C2" s="18" t="s">
        <v>65</v>
      </c>
      <c r="D2" s="56"/>
      <c r="E2" s="19">
        <v>46023</v>
      </c>
      <c r="F2" s="19">
        <v>46054</v>
      </c>
      <c r="G2" s="19">
        <v>46082</v>
      </c>
      <c r="H2" s="19">
        <v>46113</v>
      </c>
      <c r="I2" s="19">
        <v>46143</v>
      </c>
      <c r="J2" s="19">
        <v>46174</v>
      </c>
      <c r="K2" s="19">
        <v>46204</v>
      </c>
      <c r="L2" s="19">
        <v>46235</v>
      </c>
      <c r="M2" s="19">
        <v>46266</v>
      </c>
      <c r="N2" s="19">
        <v>46296</v>
      </c>
      <c r="O2" s="19">
        <v>46327</v>
      </c>
      <c r="P2" s="19">
        <v>46357</v>
      </c>
      <c r="Q2" s="22" t="s">
        <v>310</v>
      </c>
    </row>
    <row r="3" spans="1:17" x14ac:dyDescent="0.2">
      <c r="B3" s="4"/>
      <c r="C3" s="4"/>
      <c r="D3" s="4"/>
    </row>
    <row r="4" spans="1:17" x14ac:dyDescent="0.2">
      <c r="B4" s="4"/>
      <c r="C4" s="4"/>
      <c r="D4" s="4"/>
      <c r="G4" s="100">
        <f>Q115</f>
        <v>-632635777.25667191</v>
      </c>
      <c r="H4" s="100">
        <f>G4/3</f>
        <v>-210878592.41889063</v>
      </c>
    </row>
    <row r="5" spans="1:17" x14ac:dyDescent="0.2">
      <c r="B5" s="4"/>
      <c r="C5" s="4"/>
      <c r="D5" s="4"/>
      <c r="F5" s="6"/>
      <c r="G5" s="101">
        <f>G4/9</f>
        <v>-70292864.139630213</v>
      </c>
      <c r="H5" s="102">
        <f>H4*3</f>
        <v>-632635777.25667191</v>
      </c>
      <c r="I5" s="6"/>
      <c r="J5" s="6"/>
      <c r="K5" s="6"/>
      <c r="L5" s="6"/>
      <c r="M5" s="6"/>
      <c r="N5" s="6"/>
      <c r="O5" s="6"/>
      <c r="P5" s="6"/>
    </row>
    <row r="6" spans="1:17" x14ac:dyDescent="0.2">
      <c r="A6" s="7" t="s">
        <v>114</v>
      </c>
      <c r="B6" s="8"/>
      <c r="C6" s="8"/>
      <c r="D6" s="8"/>
      <c r="E6" s="9"/>
      <c r="F6" s="9"/>
      <c r="G6" s="9"/>
      <c r="H6" s="9"/>
      <c r="I6" s="9"/>
      <c r="J6" s="9"/>
      <c r="K6" s="9"/>
      <c r="L6" s="9"/>
      <c r="M6" s="9"/>
      <c r="N6" s="9"/>
      <c r="O6" s="9"/>
      <c r="P6" s="9"/>
      <c r="Q6" s="9"/>
    </row>
    <row r="7" spans="1:17" x14ac:dyDescent="0.2">
      <c r="A7" s="10"/>
      <c r="B7" s="11" t="s">
        <v>47</v>
      </c>
      <c r="C7" s="10" t="s">
        <v>21</v>
      </c>
      <c r="D7" s="10"/>
      <c r="E7" s="12"/>
      <c r="F7" s="12"/>
      <c r="G7" s="12"/>
      <c r="H7" s="12"/>
      <c r="I7" s="12"/>
      <c r="J7" s="12"/>
      <c r="K7" s="12"/>
      <c r="L7" s="12"/>
      <c r="M7" s="12"/>
      <c r="N7" s="12"/>
      <c r="O7" s="12"/>
      <c r="P7" s="12"/>
      <c r="Q7" s="25">
        <f t="shared" ref="Q7:Q98" si="0">SUM(E7:P7)</f>
        <v>0</v>
      </c>
    </row>
    <row r="8" spans="1:17" x14ac:dyDescent="0.2">
      <c r="A8" s="10"/>
      <c r="B8" s="11" t="s">
        <v>48</v>
      </c>
      <c r="C8" s="10" t="s">
        <v>22</v>
      </c>
      <c r="D8" s="10"/>
      <c r="E8" s="12"/>
      <c r="F8" s="12">
        <v>118173383</v>
      </c>
      <c r="G8" s="12"/>
      <c r="H8" s="12">
        <v>215861567.01333299</v>
      </c>
      <c r="I8" s="12"/>
      <c r="J8" s="12"/>
      <c r="K8" s="12">
        <v>162644114.820261</v>
      </c>
      <c r="L8" s="12"/>
      <c r="M8" s="12"/>
      <c r="N8" s="12">
        <v>99956712</v>
      </c>
      <c r="O8" s="12"/>
      <c r="P8" s="12"/>
      <c r="Q8" s="25">
        <f t="shared" si="0"/>
        <v>596635776.83359396</v>
      </c>
    </row>
    <row r="9" spans="1:17" x14ac:dyDescent="0.2">
      <c r="A9" s="10"/>
      <c r="B9" s="11" t="s">
        <v>1</v>
      </c>
      <c r="C9" s="10" t="s">
        <v>23</v>
      </c>
      <c r="D9" s="10"/>
      <c r="E9" s="12">
        <f>'Membership Fees'!C5</f>
        <v>0</v>
      </c>
      <c r="F9" s="12">
        <f>'Membership Fees'!D5</f>
        <v>0</v>
      </c>
      <c r="G9" s="12"/>
      <c r="H9" s="12"/>
      <c r="I9" s="12"/>
      <c r="J9" s="12"/>
      <c r="K9" s="12"/>
      <c r="L9" s="12"/>
      <c r="M9" s="12"/>
      <c r="N9" s="12"/>
      <c r="O9" s="12"/>
      <c r="P9" s="12"/>
      <c r="Q9" s="25">
        <f t="shared" si="0"/>
        <v>0</v>
      </c>
    </row>
    <row r="10" spans="1:17" x14ac:dyDescent="0.2">
      <c r="A10" s="10"/>
      <c r="B10" s="11" t="s">
        <v>2</v>
      </c>
      <c r="C10" s="10" t="s">
        <v>24</v>
      </c>
      <c r="D10" s="10"/>
      <c r="E10" s="12"/>
      <c r="F10" s="12"/>
      <c r="G10" s="12"/>
      <c r="H10" s="12"/>
      <c r="I10" s="12"/>
      <c r="J10" s="12"/>
      <c r="K10" s="12"/>
      <c r="L10" s="12"/>
      <c r="M10" s="12"/>
      <c r="N10" s="12"/>
      <c r="O10" s="12"/>
      <c r="P10" s="12"/>
      <c r="Q10" s="25">
        <f t="shared" si="0"/>
        <v>0</v>
      </c>
    </row>
    <row r="11" spans="1:17" x14ac:dyDescent="0.2">
      <c r="A11" s="10"/>
      <c r="B11" s="11" t="s">
        <v>3</v>
      </c>
      <c r="C11" s="10" t="s">
        <v>25</v>
      </c>
      <c r="D11" s="10"/>
      <c r="E11" s="12"/>
      <c r="F11" s="12"/>
      <c r="G11" s="12"/>
      <c r="H11" s="12"/>
      <c r="I11" s="12"/>
      <c r="J11" s="12"/>
      <c r="K11" s="12"/>
      <c r="L11" s="12"/>
      <c r="M11" s="12"/>
      <c r="N11" s="12"/>
      <c r="O11" s="12"/>
      <c r="P11" s="12"/>
      <c r="Q11" s="25">
        <f t="shared" si="0"/>
        <v>0</v>
      </c>
    </row>
    <row r="12" spans="1:17" x14ac:dyDescent="0.2">
      <c r="A12" s="10"/>
      <c r="B12" s="11" t="s">
        <v>67</v>
      </c>
      <c r="C12" s="10"/>
      <c r="D12" s="10"/>
      <c r="E12" s="12">
        <v>3000000</v>
      </c>
      <c r="F12" s="12">
        <v>3000000</v>
      </c>
      <c r="G12" s="12">
        <v>3000000</v>
      </c>
      <c r="H12" s="12">
        <v>3000000</v>
      </c>
      <c r="I12" s="12">
        <v>3000000</v>
      </c>
      <c r="J12" s="12">
        <v>3000000</v>
      </c>
      <c r="K12" s="12">
        <v>3000000</v>
      </c>
      <c r="L12" s="12">
        <v>3000000</v>
      </c>
      <c r="M12" s="12">
        <v>3000000</v>
      </c>
      <c r="N12" s="12">
        <v>3000000</v>
      </c>
      <c r="O12" s="12">
        <v>3000000</v>
      </c>
      <c r="P12" s="12">
        <v>3000000</v>
      </c>
      <c r="Q12" s="25">
        <f t="shared" si="0"/>
        <v>36000000</v>
      </c>
    </row>
    <row r="13" spans="1:17" x14ac:dyDescent="0.2">
      <c r="A13" s="10"/>
      <c r="B13" s="11" t="s">
        <v>4</v>
      </c>
      <c r="C13" s="10" t="s">
        <v>26</v>
      </c>
      <c r="D13" s="10"/>
      <c r="E13" s="12"/>
      <c r="F13" s="12"/>
      <c r="G13" s="12"/>
      <c r="H13" s="12"/>
      <c r="I13" s="12"/>
      <c r="J13" s="12"/>
      <c r="K13" s="12"/>
      <c r="L13" s="12"/>
      <c r="M13" s="12"/>
      <c r="N13" s="12"/>
      <c r="O13" s="12"/>
      <c r="P13" s="12"/>
      <c r="Q13" s="25">
        <f t="shared" si="0"/>
        <v>0</v>
      </c>
    </row>
    <row r="14" spans="1:17" s="3" customFormat="1" x14ac:dyDescent="0.2">
      <c r="A14" s="13" t="s">
        <v>5</v>
      </c>
      <c r="B14" s="13"/>
      <c r="C14" s="13"/>
      <c r="D14" s="13"/>
      <c r="E14" s="14">
        <f>SUM(E6:E13)</f>
        <v>3000000</v>
      </c>
      <c r="F14" s="14">
        <f t="shared" ref="E14:F14" si="1">SUM(F6:F13)</f>
        <v>121173383</v>
      </c>
      <c r="G14" s="14">
        <f>SUM(G6:G13)</f>
        <v>3000000</v>
      </c>
      <c r="H14" s="14">
        <f t="shared" ref="H14:Q14" si="2">SUM(H6:H13)</f>
        <v>218861567.01333299</v>
      </c>
      <c r="I14" s="14">
        <f t="shared" si="2"/>
        <v>3000000</v>
      </c>
      <c r="J14" s="14">
        <f t="shared" si="2"/>
        <v>3000000</v>
      </c>
      <c r="K14" s="14">
        <f t="shared" si="2"/>
        <v>165644114.820261</v>
      </c>
      <c r="L14" s="14">
        <f t="shared" si="2"/>
        <v>3000000</v>
      </c>
      <c r="M14" s="14">
        <f t="shared" si="2"/>
        <v>3000000</v>
      </c>
      <c r="N14" s="14">
        <f t="shared" si="2"/>
        <v>102956712</v>
      </c>
      <c r="O14" s="14">
        <f t="shared" si="2"/>
        <v>3000000</v>
      </c>
      <c r="P14" s="14">
        <f t="shared" si="2"/>
        <v>3000000</v>
      </c>
      <c r="Q14" s="28">
        <f t="shared" si="2"/>
        <v>632635776.83359396</v>
      </c>
    </row>
    <row r="15" spans="1:17" x14ac:dyDescent="0.2">
      <c r="E15" s="6"/>
      <c r="F15" s="6"/>
      <c r="G15" s="6"/>
      <c r="H15" s="6"/>
      <c r="I15" s="6"/>
      <c r="J15" s="6"/>
      <c r="K15" s="6"/>
      <c r="L15" s="6"/>
      <c r="M15" s="6"/>
      <c r="N15" s="6"/>
      <c r="O15" s="6"/>
      <c r="P15" s="6"/>
    </row>
    <row r="16" spans="1:17" x14ac:dyDescent="0.2">
      <c r="E16" s="6"/>
      <c r="F16" s="6"/>
      <c r="G16" s="6"/>
      <c r="H16" s="6"/>
      <c r="I16" s="6"/>
      <c r="J16" s="6"/>
      <c r="K16" s="6"/>
      <c r="L16" s="6"/>
      <c r="M16" s="6"/>
      <c r="N16" s="6"/>
      <c r="O16" s="6"/>
      <c r="P16" s="6"/>
    </row>
    <row r="17" spans="1:17" x14ac:dyDescent="0.2">
      <c r="E17" s="6"/>
      <c r="F17" s="6"/>
      <c r="G17" s="6"/>
      <c r="H17" s="6"/>
      <c r="I17" s="6"/>
      <c r="J17" s="6"/>
      <c r="K17" s="6"/>
      <c r="L17" s="6"/>
      <c r="M17" s="6"/>
      <c r="N17" s="6"/>
      <c r="O17" s="6"/>
      <c r="P17" s="6"/>
    </row>
    <row r="18" spans="1:17" x14ac:dyDescent="0.2">
      <c r="A18" s="7" t="s">
        <v>6</v>
      </c>
      <c r="B18" s="8"/>
      <c r="C18" s="8"/>
      <c r="D18" s="8"/>
      <c r="E18" s="9"/>
      <c r="F18" s="9"/>
      <c r="G18" s="9"/>
      <c r="H18" s="9"/>
      <c r="I18" s="9"/>
      <c r="J18" s="9"/>
      <c r="K18" s="9"/>
      <c r="L18" s="9"/>
      <c r="M18" s="9"/>
      <c r="N18" s="9"/>
      <c r="O18" s="9"/>
      <c r="P18" s="9"/>
      <c r="Q18" s="9"/>
    </row>
    <row r="19" spans="1:17" s="106" customFormat="1" x14ac:dyDescent="0.2">
      <c r="A19" s="103"/>
      <c r="B19" s="104" t="s">
        <v>7</v>
      </c>
      <c r="C19" s="103" t="s">
        <v>27</v>
      </c>
      <c r="D19" s="103"/>
      <c r="E19" s="105">
        <f>Salaries1!D27</f>
        <v>11486000</v>
      </c>
      <c r="F19" s="105">
        <f>Salaries1!E27</f>
        <v>11726000</v>
      </c>
      <c r="G19" s="105">
        <f>Salaries1!F27</f>
        <v>14571000</v>
      </c>
      <c r="H19" s="105">
        <f>Salaries1!G27</f>
        <v>14571000</v>
      </c>
      <c r="I19" s="105">
        <f>Salaries1!H27</f>
        <v>14571000</v>
      </c>
      <c r="J19" s="105">
        <f>Salaries1!I27</f>
        <v>14571000</v>
      </c>
      <c r="K19" s="105">
        <f>Salaries1!J27</f>
        <v>14571000</v>
      </c>
      <c r="L19" s="105">
        <f>Salaries1!K27</f>
        <v>14571000</v>
      </c>
      <c r="M19" s="105">
        <f>Salaries1!L27</f>
        <v>14571000</v>
      </c>
      <c r="N19" s="105">
        <f>Salaries1!M27</f>
        <v>14571000</v>
      </c>
      <c r="O19" s="105">
        <f>Salaries1!N27</f>
        <v>14571000</v>
      </c>
      <c r="P19" s="105">
        <f>Salaries1!O27</f>
        <v>14571000</v>
      </c>
      <c r="Q19" s="105">
        <f t="shared" si="0"/>
        <v>168922000</v>
      </c>
    </row>
    <row r="20" spans="1:17" s="106" customFormat="1" x14ac:dyDescent="0.2">
      <c r="A20" s="103"/>
      <c r="B20" s="104" t="s">
        <v>297</v>
      </c>
      <c r="C20" s="103"/>
      <c r="D20" s="103"/>
      <c r="E20" s="105"/>
      <c r="F20" s="105"/>
      <c r="G20" s="105"/>
      <c r="H20" s="105"/>
      <c r="I20" s="105"/>
      <c r="J20" s="105"/>
      <c r="K20" s="105"/>
      <c r="L20" s="105"/>
      <c r="M20" s="105"/>
      <c r="N20" s="105"/>
      <c r="O20" s="105"/>
      <c r="P20" s="105">
        <f>Salaries1!Q27</f>
        <v>29922200</v>
      </c>
      <c r="Q20" s="105"/>
    </row>
    <row r="21" spans="1:17" x14ac:dyDescent="0.2">
      <c r="B21" s="5"/>
      <c r="E21" s="6"/>
      <c r="F21" s="6"/>
      <c r="G21" s="6"/>
      <c r="H21" s="6"/>
      <c r="I21" s="6"/>
      <c r="J21" s="6"/>
      <c r="K21" s="6"/>
      <c r="L21" s="6"/>
      <c r="M21" s="6"/>
      <c r="N21" s="6"/>
      <c r="O21" s="6"/>
      <c r="P21" s="6"/>
    </row>
    <row r="22" spans="1:17" x14ac:dyDescent="0.2">
      <c r="B22" s="5"/>
      <c r="E22" s="6"/>
      <c r="F22" s="6"/>
      <c r="G22" s="6"/>
      <c r="H22" s="6"/>
      <c r="I22" s="6"/>
      <c r="J22" s="6"/>
      <c r="K22" s="6"/>
      <c r="L22" s="6"/>
      <c r="M22" s="6"/>
      <c r="N22" s="6"/>
      <c r="O22" s="6"/>
      <c r="P22" s="6"/>
    </row>
    <row r="23" spans="1:17" x14ac:dyDescent="0.2">
      <c r="B23" s="2" t="s">
        <v>41</v>
      </c>
      <c r="C23" t="s">
        <v>28</v>
      </c>
      <c r="E23" s="6"/>
      <c r="F23" s="6"/>
      <c r="G23" s="6"/>
      <c r="H23" s="6"/>
      <c r="I23" s="6"/>
      <c r="J23" s="6"/>
      <c r="K23" s="6"/>
      <c r="L23" s="6"/>
      <c r="M23" s="6"/>
      <c r="N23" s="6"/>
      <c r="O23" s="6"/>
      <c r="P23" s="6"/>
    </row>
    <row r="24" spans="1:17" s="106" customFormat="1" x14ac:dyDescent="0.2">
      <c r="A24" s="103"/>
      <c r="B24" s="59" t="s">
        <v>304</v>
      </c>
      <c r="C24" s="103"/>
      <c r="D24" s="103"/>
      <c r="E24" s="207">
        <v>1710550</v>
      </c>
      <c r="F24" s="207">
        <v>1710550</v>
      </c>
      <c r="G24" s="207">
        <v>1710550</v>
      </c>
      <c r="H24" s="207">
        <v>1710550</v>
      </c>
      <c r="I24" s="207">
        <v>1710550</v>
      </c>
      <c r="J24" s="207">
        <v>1710550</v>
      </c>
      <c r="K24" s="207">
        <v>1710550</v>
      </c>
      <c r="L24" s="207">
        <v>1710550</v>
      </c>
      <c r="M24" s="207">
        <v>1710550</v>
      </c>
      <c r="N24" s="207">
        <v>1710550</v>
      </c>
      <c r="O24" s="207">
        <v>1710550</v>
      </c>
      <c r="P24" s="207">
        <v>1710550</v>
      </c>
      <c r="Q24" s="143">
        <f t="shared" si="0"/>
        <v>20526600</v>
      </c>
    </row>
    <row r="25" spans="1:17" s="106" customFormat="1" x14ac:dyDescent="0.2">
      <c r="A25" s="103"/>
      <c r="B25" s="59" t="s">
        <v>130</v>
      </c>
      <c r="C25" s="103"/>
      <c r="D25" s="103"/>
      <c r="E25" s="208">
        <v>159000</v>
      </c>
      <c r="F25" s="208">
        <v>159000</v>
      </c>
      <c r="G25" s="208">
        <v>159000</v>
      </c>
      <c r="H25" s="208">
        <v>159000</v>
      </c>
      <c r="I25" s="208">
        <v>159000</v>
      </c>
      <c r="J25" s="208">
        <v>159000</v>
      </c>
      <c r="K25" s="208">
        <v>159000</v>
      </c>
      <c r="L25" s="208">
        <v>159000</v>
      </c>
      <c r="M25" s="208">
        <v>159000</v>
      </c>
      <c r="N25" s="208">
        <v>159000</v>
      </c>
      <c r="O25" s="208">
        <v>159000</v>
      </c>
      <c r="P25" s="208">
        <v>159000</v>
      </c>
      <c r="Q25" s="143">
        <f t="shared" si="0"/>
        <v>1908000</v>
      </c>
    </row>
    <row r="26" spans="1:17" s="106" customFormat="1" x14ac:dyDescent="0.2">
      <c r="A26" s="103"/>
      <c r="B26" s="59" t="s">
        <v>305</v>
      </c>
      <c r="C26" s="103"/>
      <c r="D26" s="103"/>
      <c r="E26" s="103"/>
      <c r="F26" s="107"/>
      <c r="G26" s="107"/>
      <c r="H26" s="107"/>
      <c r="I26" s="209"/>
      <c r="J26" s="209"/>
      <c r="K26" s="209"/>
      <c r="L26" s="209"/>
      <c r="M26" s="209"/>
      <c r="N26" s="209"/>
      <c r="O26" s="107"/>
      <c r="P26" s="107"/>
      <c r="Q26" s="143">
        <f t="shared" si="0"/>
        <v>0</v>
      </c>
    </row>
    <row r="27" spans="1:17" s="106" customFormat="1" x14ac:dyDescent="0.2">
      <c r="A27" s="103"/>
      <c r="B27" s="59" t="s">
        <v>37</v>
      </c>
      <c r="C27" s="103"/>
      <c r="D27" s="103"/>
      <c r="E27" s="105">
        <f>Diesel!C5</f>
        <v>1980000</v>
      </c>
      <c r="F27" s="105">
        <f>Diesel!D5</f>
        <v>1980000</v>
      </c>
      <c r="G27" s="105">
        <f>Diesel!E5</f>
        <v>1980000</v>
      </c>
      <c r="H27" s="107">
        <f>Diesel!F5</f>
        <v>1980000</v>
      </c>
      <c r="I27" s="107">
        <f>Diesel!G5</f>
        <v>1980000</v>
      </c>
      <c r="J27" s="107">
        <f>Diesel!H5</f>
        <v>1980000</v>
      </c>
      <c r="K27" s="107">
        <f>Diesel!I5</f>
        <v>1980000</v>
      </c>
      <c r="L27" s="107">
        <f>Diesel!J5</f>
        <v>1980000</v>
      </c>
      <c r="M27" s="107">
        <f>Diesel!K5</f>
        <v>1980000</v>
      </c>
      <c r="N27" s="107">
        <f>Diesel!L5</f>
        <v>1980000</v>
      </c>
      <c r="O27" s="107">
        <f>Diesel!M5</f>
        <v>1980000</v>
      </c>
      <c r="P27" s="107">
        <f>Diesel!N5</f>
        <v>1980000</v>
      </c>
      <c r="Q27" s="108">
        <f t="shared" si="0"/>
        <v>23760000</v>
      </c>
    </row>
    <row r="28" spans="1:17" s="106" customFormat="1" x14ac:dyDescent="0.2">
      <c r="A28" s="103"/>
      <c r="B28" s="59" t="s">
        <v>307</v>
      </c>
      <c r="C28" s="103"/>
      <c r="D28" s="103"/>
      <c r="E28" s="105">
        <v>500000</v>
      </c>
      <c r="F28" s="105">
        <v>500000</v>
      </c>
      <c r="G28" s="105">
        <v>500000</v>
      </c>
      <c r="H28" s="105">
        <v>500000</v>
      </c>
      <c r="I28" s="105">
        <v>500000</v>
      </c>
      <c r="J28" s="105">
        <v>500000</v>
      </c>
      <c r="K28" s="105">
        <v>500000</v>
      </c>
      <c r="L28" s="105">
        <v>500000</v>
      </c>
      <c r="M28" s="105">
        <v>500000</v>
      </c>
      <c r="N28" s="105">
        <v>500000</v>
      </c>
      <c r="O28" s="105">
        <v>500000</v>
      </c>
      <c r="P28" s="105">
        <v>500000</v>
      </c>
      <c r="Q28" s="108"/>
    </row>
    <row r="29" spans="1:17" x14ac:dyDescent="0.2">
      <c r="A29" s="10"/>
      <c r="B29" s="17" t="s">
        <v>306</v>
      </c>
      <c r="C29" s="10"/>
      <c r="D29" s="10"/>
      <c r="E29" s="16">
        <v>1300000</v>
      </c>
      <c r="F29" s="16">
        <v>1300000</v>
      </c>
      <c r="G29" s="16">
        <v>1300000</v>
      </c>
      <c r="H29" s="16">
        <v>1300000</v>
      </c>
      <c r="I29" s="16">
        <v>1300000</v>
      </c>
      <c r="J29" s="16">
        <v>1300000</v>
      </c>
      <c r="K29" s="16">
        <v>1300000</v>
      </c>
      <c r="L29" s="16">
        <v>1300000</v>
      </c>
      <c r="M29" s="16">
        <v>1300000</v>
      </c>
      <c r="N29" s="16">
        <v>1300000</v>
      </c>
      <c r="O29" s="16">
        <v>1300000</v>
      </c>
      <c r="P29" s="16">
        <v>1300000</v>
      </c>
      <c r="Q29" s="26">
        <f t="shared" si="0"/>
        <v>15600000</v>
      </c>
    </row>
    <row r="30" spans="1:17" x14ac:dyDescent="0.2">
      <c r="A30" s="10"/>
      <c r="B30" s="17" t="s">
        <v>308</v>
      </c>
      <c r="C30" s="10"/>
      <c r="D30" s="10"/>
      <c r="E30" s="12">
        <v>500000</v>
      </c>
      <c r="F30" s="12">
        <v>500000</v>
      </c>
      <c r="G30" s="12">
        <v>500000</v>
      </c>
      <c r="H30" s="12">
        <v>500000</v>
      </c>
      <c r="I30" s="12">
        <v>500000</v>
      </c>
      <c r="J30" s="12">
        <v>500000</v>
      </c>
      <c r="K30" s="12">
        <v>500000</v>
      </c>
      <c r="L30" s="12">
        <v>500000</v>
      </c>
      <c r="M30" s="12">
        <v>500000</v>
      </c>
      <c r="N30" s="12">
        <v>500000</v>
      </c>
      <c r="O30" s="12">
        <v>500000</v>
      </c>
      <c r="P30" s="12">
        <v>500000</v>
      </c>
      <c r="Q30" s="26">
        <f t="shared" ref="Q30:Q31" si="3">SUM(E30:P30)</f>
        <v>6000000</v>
      </c>
    </row>
    <row r="31" spans="1:17" x14ac:dyDescent="0.2">
      <c r="A31" s="10"/>
      <c r="B31" s="17" t="s">
        <v>309</v>
      </c>
      <c r="C31" s="10"/>
      <c r="D31" s="10"/>
      <c r="E31" s="12">
        <v>550000</v>
      </c>
      <c r="F31" s="12"/>
      <c r="G31" s="16"/>
      <c r="H31" s="16">
        <v>550000</v>
      </c>
      <c r="I31" s="16"/>
      <c r="J31" s="16"/>
      <c r="K31" s="16">
        <v>550000</v>
      </c>
      <c r="L31" s="16"/>
      <c r="M31" s="16"/>
      <c r="N31" s="16">
        <v>550000</v>
      </c>
      <c r="O31" s="16"/>
      <c r="P31" s="16"/>
      <c r="Q31" s="26">
        <f t="shared" si="3"/>
        <v>2200000</v>
      </c>
    </row>
    <row r="32" spans="1:17" x14ac:dyDescent="0.2">
      <c r="A32" s="10"/>
      <c r="B32" s="17" t="s">
        <v>337</v>
      </c>
      <c r="C32" s="10"/>
      <c r="D32" s="10"/>
      <c r="E32" s="16">
        <v>500000</v>
      </c>
      <c r="F32" s="16">
        <v>500000</v>
      </c>
      <c r="G32" s="16">
        <v>500000</v>
      </c>
      <c r="H32" s="16">
        <v>500000</v>
      </c>
      <c r="I32" s="16">
        <v>500000</v>
      </c>
      <c r="J32" s="16">
        <v>500000</v>
      </c>
      <c r="K32" s="16">
        <v>500000</v>
      </c>
      <c r="L32" s="16">
        <v>500000</v>
      </c>
      <c r="M32" s="16">
        <v>500000</v>
      </c>
      <c r="N32" s="16">
        <v>500000</v>
      </c>
      <c r="O32" s="16">
        <v>500000</v>
      </c>
      <c r="P32" s="16">
        <v>500000</v>
      </c>
      <c r="Q32" s="26">
        <f t="shared" si="0"/>
        <v>6000000</v>
      </c>
    </row>
    <row r="33" spans="1:17" x14ac:dyDescent="0.2">
      <c r="A33" s="10"/>
      <c r="B33" s="17" t="s">
        <v>338</v>
      </c>
      <c r="C33" s="10"/>
      <c r="D33" s="10"/>
      <c r="E33" s="16">
        <v>500000</v>
      </c>
      <c r="F33" s="16">
        <v>500000</v>
      </c>
      <c r="G33" s="16">
        <v>500000</v>
      </c>
      <c r="H33" s="16">
        <v>500000</v>
      </c>
      <c r="I33" s="16">
        <v>500000</v>
      </c>
      <c r="J33" s="16">
        <v>500000</v>
      </c>
      <c r="K33" s="16">
        <v>500000</v>
      </c>
      <c r="L33" s="16">
        <v>500000</v>
      </c>
      <c r="M33" s="16">
        <v>500000</v>
      </c>
      <c r="N33" s="16">
        <v>500000</v>
      </c>
      <c r="O33" s="16">
        <v>500000</v>
      </c>
      <c r="P33" s="16">
        <v>500000</v>
      </c>
      <c r="Q33" s="26">
        <f t="shared" ref="Q33" si="4">SUM(E33:P33)</f>
        <v>6000000</v>
      </c>
    </row>
    <row r="34" spans="1:17" ht="15.5" customHeight="1" x14ac:dyDescent="0.2">
      <c r="A34" s="10"/>
      <c r="B34" s="17" t="s">
        <v>40</v>
      </c>
      <c r="C34" s="10"/>
      <c r="D34" s="10"/>
      <c r="E34" s="16">
        <v>1000000</v>
      </c>
      <c r="F34" s="16">
        <v>1000000</v>
      </c>
      <c r="G34" s="16">
        <v>1000000</v>
      </c>
      <c r="H34" s="16">
        <v>1000000</v>
      </c>
      <c r="I34" s="16">
        <v>1000000</v>
      </c>
      <c r="J34" s="16">
        <v>1000000</v>
      </c>
      <c r="K34" s="16">
        <v>1000000</v>
      </c>
      <c r="L34" s="16">
        <v>1000000</v>
      </c>
      <c r="M34" s="16">
        <v>1000000</v>
      </c>
      <c r="N34" s="16">
        <v>1000000</v>
      </c>
      <c r="O34" s="16">
        <v>1000000</v>
      </c>
      <c r="P34" s="16">
        <v>1000000</v>
      </c>
      <c r="Q34" s="26">
        <f t="shared" si="0"/>
        <v>12000000</v>
      </c>
    </row>
    <row r="35" spans="1:17" x14ac:dyDescent="0.2">
      <c r="A35" s="10"/>
      <c r="B35" s="17" t="s">
        <v>137</v>
      </c>
      <c r="C35" s="10"/>
      <c r="D35" s="10"/>
      <c r="F35" s="12">
        <v>2000000</v>
      </c>
      <c r="H35" s="16"/>
      <c r="I35" s="16">
        <v>2000000</v>
      </c>
      <c r="J35" s="16"/>
      <c r="K35" s="16"/>
      <c r="L35" s="16">
        <v>2000000</v>
      </c>
      <c r="M35" s="16"/>
      <c r="N35" s="16"/>
      <c r="O35" s="16">
        <v>2000000</v>
      </c>
      <c r="P35" s="16">
        <f>M35</f>
        <v>0</v>
      </c>
      <c r="Q35" s="27">
        <f>SUM(F35:P35)</f>
        <v>8000000</v>
      </c>
    </row>
    <row r="36" spans="1:17" x14ac:dyDescent="0.2">
      <c r="A36" s="10"/>
      <c r="B36" s="17" t="s">
        <v>336</v>
      </c>
      <c r="C36" s="10"/>
      <c r="D36" s="10"/>
      <c r="E36" s="12">
        <v>4000000</v>
      </c>
      <c r="F36" s="12"/>
      <c r="G36" s="16"/>
      <c r="H36" s="16"/>
      <c r="I36" s="16"/>
      <c r="J36" s="16"/>
      <c r="K36" s="16">
        <v>4000000</v>
      </c>
      <c r="L36" s="16"/>
      <c r="M36" s="16"/>
      <c r="N36" s="16"/>
      <c r="O36" s="16"/>
      <c r="P36" s="16">
        <f>L36</f>
        <v>0</v>
      </c>
      <c r="Q36" s="27">
        <f t="shared" ref="Q36:Q37" si="5">SUM(E36:P36)</f>
        <v>8000000</v>
      </c>
    </row>
    <row r="37" spans="1:17" x14ac:dyDescent="0.2">
      <c r="A37" s="10"/>
      <c r="B37" s="17" t="s">
        <v>301</v>
      </c>
      <c r="C37" s="10"/>
      <c r="D37" s="10"/>
      <c r="E37" s="12"/>
      <c r="F37" s="12"/>
      <c r="G37" s="16"/>
      <c r="H37" s="16"/>
      <c r="I37" s="16"/>
      <c r="J37" s="16"/>
      <c r="K37" s="16"/>
      <c r="L37" s="16"/>
      <c r="M37" s="16"/>
      <c r="N37" s="16"/>
      <c r="O37" s="16"/>
      <c r="P37" s="16">
        <f>L37</f>
        <v>0</v>
      </c>
      <c r="Q37" s="27">
        <f t="shared" si="5"/>
        <v>0</v>
      </c>
    </row>
    <row r="38" spans="1:17" x14ac:dyDescent="0.2">
      <c r="A38" s="10"/>
      <c r="B38" s="17" t="s">
        <v>302</v>
      </c>
      <c r="C38" s="10"/>
      <c r="D38" s="10"/>
      <c r="E38" s="12"/>
      <c r="F38" s="12"/>
      <c r="G38" s="16">
        <v>500000</v>
      </c>
      <c r="H38" s="16"/>
      <c r="I38" s="16"/>
      <c r="J38" s="16"/>
      <c r="K38" s="16"/>
      <c r="L38" s="16"/>
      <c r="M38" s="16"/>
      <c r="N38" s="16"/>
      <c r="O38" s="16"/>
      <c r="P38" s="16">
        <f>L38</f>
        <v>0</v>
      </c>
      <c r="Q38" s="27">
        <f t="shared" ref="Q38" si="6">SUM(E38:P38)</f>
        <v>500000</v>
      </c>
    </row>
    <row r="39" spans="1:17" x14ac:dyDescent="0.2">
      <c r="A39" s="10"/>
      <c r="B39" s="17" t="s">
        <v>303</v>
      </c>
      <c r="C39" s="10"/>
      <c r="D39" s="10"/>
      <c r="E39" s="12"/>
      <c r="F39" s="12"/>
      <c r="G39" s="16">
        <v>2500000</v>
      </c>
      <c r="H39" s="16"/>
      <c r="I39" s="16"/>
      <c r="J39" s="16"/>
      <c r="K39" s="16"/>
      <c r="L39" s="16"/>
      <c r="M39" s="16"/>
      <c r="N39" s="16"/>
      <c r="O39" s="16"/>
      <c r="P39" s="16">
        <f>L39</f>
        <v>0</v>
      </c>
      <c r="Q39" s="27">
        <f t="shared" ref="Q39" si="7">SUM(E39:P39)</f>
        <v>2500000</v>
      </c>
    </row>
    <row r="40" spans="1:17" x14ac:dyDescent="0.2">
      <c r="A40" s="10"/>
      <c r="B40" s="17"/>
      <c r="C40" s="10"/>
      <c r="D40" s="10"/>
      <c r="E40" s="12"/>
      <c r="F40" s="12"/>
      <c r="G40" s="16"/>
      <c r="H40" s="16"/>
      <c r="I40" s="16"/>
      <c r="J40" s="16"/>
      <c r="K40" s="16"/>
      <c r="L40" s="16"/>
      <c r="M40" s="16"/>
      <c r="N40" s="16"/>
      <c r="O40" s="16"/>
      <c r="P40" s="16"/>
      <c r="Q40" s="27"/>
    </row>
    <row r="41" spans="1:17" s="3" customFormat="1" x14ac:dyDescent="0.2">
      <c r="A41" s="13"/>
      <c r="B41" s="13"/>
      <c r="C41" s="13"/>
      <c r="D41" s="13"/>
      <c r="E41" s="14">
        <f t="shared" ref="E41:G41" si="8">SUM(E24:E39)</f>
        <v>12699550</v>
      </c>
      <c r="F41" s="14">
        <f t="shared" si="8"/>
        <v>10149550</v>
      </c>
      <c r="G41" s="14">
        <f t="shared" si="8"/>
        <v>11149550</v>
      </c>
      <c r="H41" s="14">
        <f>SUM(H24:H39)</f>
        <v>8699550</v>
      </c>
      <c r="I41" s="14">
        <f t="shared" ref="I41:P41" si="9">SUM(I24:I39)</f>
        <v>10149550</v>
      </c>
      <c r="J41" s="14">
        <f t="shared" si="9"/>
        <v>8149550</v>
      </c>
      <c r="K41" s="14">
        <f t="shared" si="9"/>
        <v>12699550</v>
      </c>
      <c r="L41" s="14">
        <f t="shared" si="9"/>
        <v>10149550</v>
      </c>
      <c r="M41" s="14">
        <f t="shared" si="9"/>
        <v>8149550</v>
      </c>
      <c r="N41" s="14">
        <f t="shared" si="9"/>
        <v>8699550</v>
      </c>
      <c r="O41" s="14">
        <f t="shared" si="9"/>
        <v>10149550</v>
      </c>
      <c r="P41" s="14">
        <f t="shared" si="9"/>
        <v>8149550</v>
      </c>
      <c r="Q41" s="28">
        <f>SUM(Q24:Q39)</f>
        <v>112994600</v>
      </c>
    </row>
    <row r="42" spans="1:17" ht="28" customHeight="1" x14ac:dyDescent="0.2">
      <c r="B42" s="2" t="s">
        <v>59</v>
      </c>
      <c r="E42" s="6"/>
      <c r="F42" s="6"/>
      <c r="G42" s="6"/>
      <c r="H42" s="6"/>
      <c r="I42" s="6"/>
      <c r="J42" s="6"/>
      <c r="K42" s="6"/>
      <c r="L42" s="6"/>
      <c r="M42" s="6"/>
      <c r="N42" s="6"/>
      <c r="O42" s="6"/>
      <c r="P42" s="6"/>
    </row>
    <row r="43" spans="1:17" x14ac:dyDescent="0.2">
      <c r="A43" s="10"/>
      <c r="B43" s="15" t="s">
        <v>54</v>
      </c>
      <c r="C43" s="10"/>
      <c r="D43" s="10"/>
      <c r="E43" s="10"/>
      <c r="F43" s="12">
        <v>3000000</v>
      </c>
      <c r="G43" s="20"/>
      <c r="H43" s="10"/>
      <c r="I43" s="12">
        <v>3000000</v>
      </c>
      <c r="J43" s="20"/>
      <c r="K43" s="20"/>
      <c r="L43" s="12">
        <v>3000000</v>
      </c>
      <c r="M43" s="20"/>
      <c r="N43" s="20"/>
      <c r="O43" s="205">
        <v>3000000</v>
      </c>
      <c r="P43" s="20"/>
      <c r="Q43" s="23">
        <f>SUM(F43:P43)</f>
        <v>12000000</v>
      </c>
    </row>
    <row r="44" spans="1:17" x14ac:dyDescent="0.2">
      <c r="A44" s="10"/>
      <c r="B44" s="15" t="s">
        <v>317</v>
      </c>
      <c r="C44" s="10"/>
      <c r="D44" s="10"/>
      <c r="E44" s="12"/>
      <c r="F44" s="12">
        <v>4000000</v>
      </c>
      <c r="G44" s="20"/>
      <c r="H44" s="20"/>
      <c r="I44" s="12">
        <v>4000000</v>
      </c>
      <c r="J44" s="20"/>
      <c r="K44" s="20"/>
      <c r="L44" s="12">
        <v>4000000</v>
      </c>
      <c r="M44" s="20"/>
      <c r="N44" s="20"/>
      <c r="O44" s="206">
        <v>4000000</v>
      </c>
      <c r="P44" s="20"/>
      <c r="Q44" s="23">
        <f t="shared" si="0"/>
        <v>16000000</v>
      </c>
    </row>
    <row r="45" spans="1:17" x14ac:dyDescent="0.2">
      <c r="A45" s="10"/>
      <c r="B45" s="15" t="s">
        <v>149</v>
      </c>
      <c r="C45" s="10"/>
      <c r="D45" s="10"/>
      <c r="E45" s="12"/>
      <c r="F45" s="12">
        <v>2300000</v>
      </c>
      <c r="G45" s="20"/>
      <c r="H45" s="20"/>
      <c r="I45" s="12">
        <v>2300000</v>
      </c>
      <c r="J45" s="20"/>
      <c r="K45" s="20"/>
      <c r="L45" s="12">
        <v>2300000</v>
      </c>
      <c r="M45" s="20"/>
      <c r="N45" s="20"/>
      <c r="O45" s="206">
        <v>2300000</v>
      </c>
      <c r="P45" s="20"/>
      <c r="Q45" s="23">
        <f t="shared" si="0"/>
        <v>9200000</v>
      </c>
    </row>
    <row r="46" spans="1:17" x14ac:dyDescent="0.2">
      <c r="A46" s="10"/>
      <c r="B46" s="15" t="s">
        <v>145</v>
      </c>
      <c r="C46" s="10"/>
      <c r="D46" s="10"/>
      <c r="E46" s="12"/>
      <c r="F46" s="12">
        <v>1500000</v>
      </c>
      <c r="G46" s="20"/>
      <c r="H46" s="20"/>
      <c r="I46" s="12">
        <v>1500000</v>
      </c>
      <c r="J46" s="20"/>
      <c r="K46" s="20"/>
      <c r="L46" s="12">
        <v>1500000</v>
      </c>
      <c r="M46" s="20"/>
      <c r="N46" s="20"/>
      <c r="O46" s="206">
        <v>1500000</v>
      </c>
      <c r="P46" s="20"/>
      <c r="Q46" s="23">
        <f t="shared" si="0"/>
        <v>6000000</v>
      </c>
    </row>
    <row r="47" spans="1:17" x14ac:dyDescent="0.2">
      <c r="A47" s="10"/>
      <c r="B47" s="17" t="s">
        <v>56</v>
      </c>
      <c r="C47" s="10"/>
      <c r="D47" s="10"/>
      <c r="E47" s="12"/>
      <c r="F47" s="12"/>
      <c r="G47" s="20">
        <v>750000</v>
      </c>
      <c r="H47" s="20"/>
      <c r="I47" s="20"/>
      <c r="J47" s="20">
        <v>750000</v>
      </c>
      <c r="K47" s="20"/>
      <c r="L47" s="20"/>
      <c r="M47" s="20">
        <v>750000</v>
      </c>
      <c r="N47" s="20"/>
      <c r="O47" s="20"/>
      <c r="P47" s="20">
        <v>750000</v>
      </c>
      <c r="Q47" s="23">
        <f t="shared" si="0"/>
        <v>3000000</v>
      </c>
    </row>
    <row r="48" spans="1:17" x14ac:dyDescent="0.2">
      <c r="A48" s="10"/>
      <c r="B48" s="17" t="s">
        <v>316</v>
      </c>
      <c r="C48" s="10"/>
      <c r="D48" s="10"/>
      <c r="E48" s="12">
        <v>1000000</v>
      </c>
      <c r="F48" s="12">
        <v>1000000</v>
      </c>
      <c r="G48" s="12">
        <v>1000000</v>
      </c>
      <c r="H48" s="12">
        <v>1000000</v>
      </c>
      <c r="I48" s="12">
        <v>1000000</v>
      </c>
      <c r="J48" s="12">
        <v>1000000</v>
      </c>
      <c r="K48" s="12">
        <v>1000000</v>
      </c>
      <c r="L48" s="12">
        <v>1000000</v>
      </c>
      <c r="M48" s="12">
        <v>1000000</v>
      </c>
      <c r="N48" s="12">
        <v>1000000</v>
      </c>
      <c r="O48" s="12">
        <v>1000000</v>
      </c>
      <c r="P48" s="12">
        <v>1000000</v>
      </c>
      <c r="Q48" s="23" t="e">
        <f>SUM(#REF!)</f>
        <v>#REF!</v>
      </c>
    </row>
    <row r="49" spans="1:17" x14ac:dyDescent="0.2">
      <c r="A49" s="10"/>
      <c r="B49" s="17" t="s">
        <v>315</v>
      </c>
      <c r="C49" s="10"/>
      <c r="D49" s="10"/>
      <c r="E49" s="10"/>
      <c r="F49" s="10"/>
      <c r="G49" s="10"/>
      <c r="H49" s="10"/>
      <c r="I49" s="10"/>
      <c r="J49" s="10"/>
      <c r="K49" s="10"/>
      <c r="L49" s="10"/>
      <c r="M49" s="10"/>
      <c r="N49" s="10"/>
      <c r="O49" s="10"/>
      <c r="P49" s="10"/>
      <c r="Q49" s="23">
        <f>SUM(E48:P48)</f>
        <v>12000000</v>
      </c>
    </row>
    <row r="50" spans="1:17" s="3" customFormat="1" x14ac:dyDescent="0.2">
      <c r="A50" s="13"/>
      <c r="B50" s="13"/>
      <c r="C50" s="13"/>
      <c r="D50" s="13"/>
      <c r="E50" s="14">
        <f>SUM(E43:E48)</f>
        <v>1000000</v>
      </c>
      <c r="F50" s="14">
        <f>SUM(F43:F48)</f>
        <v>11800000</v>
      </c>
      <c r="G50" s="14">
        <f>SUM(G43:G48)</f>
        <v>1750000</v>
      </c>
      <c r="H50" s="14">
        <f>SUM(H43:H48)</f>
        <v>1000000</v>
      </c>
      <c r="I50" s="14">
        <f>SUM(I43:I48)</f>
        <v>11800000</v>
      </c>
      <c r="J50" s="14">
        <f>SUM(J43:J48)</f>
        <v>1750000</v>
      </c>
      <c r="K50" s="14">
        <f>SUM(K43:K48)</f>
        <v>1000000</v>
      </c>
      <c r="L50" s="14">
        <f>SUM(L43:L48)</f>
        <v>11800000</v>
      </c>
      <c r="M50" s="14">
        <f>SUM(M43:M48)</f>
        <v>1750000</v>
      </c>
      <c r="N50" s="14">
        <f>SUM(N43:N48)</f>
        <v>1000000</v>
      </c>
      <c r="O50" s="14">
        <f>SUM(O43:O48)</f>
        <v>11800000</v>
      </c>
      <c r="P50" s="14">
        <f>SUM(P43:P48)</f>
        <v>1750000</v>
      </c>
      <c r="Q50" s="28" t="e">
        <f t="shared" ref="H50:Q50" si="10">SUM(Q43:Q49)</f>
        <v>#REF!</v>
      </c>
    </row>
    <row r="51" spans="1:17" x14ac:dyDescent="0.2">
      <c r="E51" s="6"/>
      <c r="F51" s="6"/>
      <c r="G51" s="6"/>
      <c r="H51" s="6"/>
      <c r="I51" s="6"/>
      <c r="J51" s="6"/>
      <c r="K51" s="6"/>
      <c r="L51" s="6"/>
      <c r="M51" s="6"/>
      <c r="N51" s="6"/>
      <c r="O51" s="6"/>
      <c r="P51" s="6"/>
    </row>
    <row r="52" spans="1:17" x14ac:dyDescent="0.2">
      <c r="B52" s="3" t="s">
        <v>8</v>
      </c>
      <c r="C52" t="s">
        <v>29</v>
      </c>
      <c r="E52" s="6"/>
      <c r="F52" s="6"/>
      <c r="G52" s="6"/>
      <c r="H52" s="6"/>
      <c r="I52" s="6"/>
      <c r="J52" s="6"/>
      <c r="K52" s="6"/>
      <c r="L52" s="6"/>
      <c r="M52" s="6"/>
      <c r="N52" s="6"/>
      <c r="O52" s="6"/>
      <c r="P52" s="6"/>
    </row>
    <row r="53" spans="1:17" x14ac:dyDescent="0.2">
      <c r="A53" s="10"/>
      <c r="B53" s="60" t="s">
        <v>177</v>
      </c>
      <c r="C53" s="10"/>
      <c r="D53" s="10"/>
      <c r="E53" s="12">
        <f>Others!C4</f>
        <v>0</v>
      </c>
      <c r="F53" s="12">
        <f>Others!D4</f>
        <v>0</v>
      </c>
      <c r="G53" s="12"/>
      <c r="H53" s="12"/>
      <c r="I53" s="12">
        <f>3750000/4</f>
        <v>937500</v>
      </c>
      <c r="J53" s="12"/>
      <c r="K53" s="12">
        <f>3750000/4</f>
        <v>937500</v>
      </c>
      <c r="L53" s="12"/>
      <c r="M53" s="12"/>
      <c r="N53" s="12">
        <f>3750000/4</f>
        <v>937500</v>
      </c>
      <c r="O53" s="12"/>
      <c r="P53" s="12"/>
      <c r="Q53" s="24">
        <f t="shared" si="0"/>
        <v>2812500</v>
      </c>
    </row>
    <row r="54" spans="1:17" x14ac:dyDescent="0.2">
      <c r="A54" s="10"/>
      <c r="B54" s="60" t="s">
        <v>339</v>
      </c>
      <c r="C54" s="10"/>
      <c r="D54" s="10"/>
      <c r="E54" s="12">
        <v>310000</v>
      </c>
      <c r="F54" s="12">
        <v>310000</v>
      </c>
      <c r="G54" s="12">
        <v>310000</v>
      </c>
      <c r="H54" s="12">
        <v>310000</v>
      </c>
      <c r="I54" s="12">
        <v>310000</v>
      </c>
      <c r="J54" s="12">
        <v>310000</v>
      </c>
      <c r="K54" s="12">
        <v>310000</v>
      </c>
      <c r="L54" s="12">
        <v>310000</v>
      </c>
      <c r="M54" s="12">
        <v>310000</v>
      </c>
      <c r="N54" s="12">
        <v>310000</v>
      </c>
      <c r="O54" s="12">
        <v>310000</v>
      </c>
      <c r="P54" s="12">
        <v>310000</v>
      </c>
      <c r="Q54" s="24">
        <f t="shared" si="0"/>
        <v>3720000</v>
      </c>
    </row>
    <row r="55" spans="1:17" x14ac:dyDescent="0.2">
      <c r="A55" s="10"/>
      <c r="B55" s="59" t="s">
        <v>318</v>
      </c>
      <c r="C55" s="10"/>
      <c r="D55" s="10"/>
      <c r="E55" s="12">
        <f>Others!C5</f>
        <v>0</v>
      </c>
      <c r="F55" s="12">
        <f>Others!D5</f>
        <v>0</v>
      </c>
      <c r="G55" s="12">
        <v>2000000</v>
      </c>
      <c r="H55" s="12"/>
      <c r="I55" s="12"/>
      <c r="J55" s="12"/>
      <c r="K55" s="12"/>
      <c r="L55" s="12"/>
      <c r="M55" s="12"/>
      <c r="N55" s="12"/>
      <c r="O55" s="12"/>
      <c r="P55" s="12"/>
      <c r="Q55" s="24">
        <f t="shared" si="0"/>
        <v>2000000</v>
      </c>
    </row>
    <row r="56" spans="1:17" x14ac:dyDescent="0.2">
      <c r="A56" s="10"/>
      <c r="B56" s="59" t="s">
        <v>111</v>
      </c>
      <c r="C56" s="10"/>
      <c r="D56" s="10"/>
      <c r="E56" s="12">
        <f>Others!C6</f>
        <v>0</v>
      </c>
      <c r="F56" s="12">
        <f>Others!D6</f>
        <v>0</v>
      </c>
      <c r="G56" s="12"/>
      <c r="H56" s="12"/>
      <c r="I56" s="12">
        <f>Others!E6</f>
        <v>416666.66666666669</v>
      </c>
      <c r="J56" s="12">
        <f>Others!H6</f>
        <v>416666.66666666669</v>
      </c>
      <c r="K56" s="12">
        <f>Others!I6</f>
        <v>0</v>
      </c>
      <c r="L56" s="12">
        <f>Others!J6</f>
        <v>0</v>
      </c>
      <c r="M56" s="12">
        <f>Others!K6</f>
        <v>416666.66666666669</v>
      </c>
      <c r="N56" s="12">
        <f>Others!L6</f>
        <v>0</v>
      </c>
      <c r="O56" s="12">
        <f>Others!M6</f>
        <v>0</v>
      </c>
      <c r="P56" s="12">
        <f>Others!N6</f>
        <v>416666.66666666669</v>
      </c>
      <c r="Q56" s="24">
        <f t="shared" si="0"/>
        <v>1666666.6666666667</v>
      </c>
    </row>
    <row r="57" spans="1:17" x14ac:dyDescent="0.2">
      <c r="A57" s="10"/>
      <c r="B57" s="59" t="s">
        <v>314</v>
      </c>
      <c r="C57" s="10"/>
      <c r="D57" s="10"/>
      <c r="E57" s="12"/>
      <c r="F57" s="12">
        <v>1500000</v>
      </c>
      <c r="G57" s="12"/>
      <c r="H57" s="12"/>
      <c r="I57" s="12"/>
      <c r="J57" s="12"/>
      <c r="K57" s="12"/>
      <c r="L57" s="12"/>
      <c r="M57" s="12"/>
      <c r="N57" s="12"/>
      <c r="O57" s="12"/>
      <c r="P57" s="12"/>
      <c r="Q57" s="24">
        <f t="shared" si="0"/>
        <v>1500000</v>
      </c>
    </row>
    <row r="58" spans="1:17" x14ac:dyDescent="0.2">
      <c r="A58" s="10"/>
      <c r="B58" s="59" t="s">
        <v>69</v>
      </c>
      <c r="C58" s="10"/>
      <c r="D58" s="10"/>
      <c r="E58" s="12"/>
      <c r="F58" s="12">
        <v>4000000</v>
      </c>
      <c r="G58" s="12"/>
      <c r="H58" s="12"/>
      <c r="I58" s="12"/>
      <c r="J58" s="12"/>
      <c r="K58" s="12"/>
      <c r="L58" s="12"/>
      <c r="M58" s="12"/>
      <c r="N58" s="12"/>
      <c r="O58" s="12"/>
      <c r="P58" s="12"/>
      <c r="Q58" s="24">
        <f t="shared" si="0"/>
        <v>4000000</v>
      </c>
    </row>
    <row r="59" spans="1:17" x14ac:dyDescent="0.2">
      <c r="A59" s="10"/>
      <c r="B59" s="59" t="s">
        <v>319</v>
      </c>
      <c r="C59" s="10"/>
      <c r="D59" s="10"/>
      <c r="E59" s="12"/>
      <c r="F59" s="12">
        <v>300000</v>
      </c>
      <c r="G59" s="12"/>
      <c r="H59" s="12"/>
      <c r="I59" s="12"/>
      <c r="J59" s="12"/>
      <c r="K59" s="12"/>
      <c r="L59" s="12"/>
      <c r="M59" s="12"/>
      <c r="N59" s="12"/>
      <c r="O59" s="12"/>
      <c r="P59" s="12"/>
      <c r="Q59" s="24">
        <f t="shared" si="0"/>
        <v>300000</v>
      </c>
    </row>
    <row r="60" spans="1:17" x14ac:dyDescent="0.2">
      <c r="A60" s="10"/>
      <c r="B60" s="59" t="s">
        <v>230</v>
      </c>
      <c r="C60" s="10"/>
      <c r="D60" s="10"/>
      <c r="E60" s="12"/>
      <c r="F60" s="12"/>
      <c r="G60" s="12"/>
      <c r="H60" s="12"/>
      <c r="I60" s="12"/>
      <c r="J60" s="12"/>
      <c r="K60" s="12"/>
      <c r="L60" s="12"/>
      <c r="M60" s="12"/>
      <c r="N60" s="12"/>
      <c r="O60" s="12"/>
      <c r="P60" s="12"/>
      <c r="Q60" s="24"/>
    </row>
    <row r="61" spans="1:17" s="3" customFormat="1" x14ac:dyDescent="0.2">
      <c r="A61" s="13"/>
      <c r="B61" s="13"/>
      <c r="C61" s="13"/>
      <c r="D61" s="13"/>
      <c r="E61" s="14">
        <f t="shared" ref="E61:F61" si="11">SUM(E53:E58)</f>
        <v>310000</v>
      </c>
      <c r="F61" s="14">
        <f>SUM(F53:F59)</f>
        <v>6110000</v>
      </c>
      <c r="G61" s="14">
        <f>SUM(G53:G58)</f>
        <v>2310000</v>
      </c>
      <c r="H61" s="14">
        <f t="shared" ref="H61:Q61" si="12">SUM(H53:H58)</f>
        <v>310000</v>
      </c>
      <c r="I61" s="14">
        <f>SUM(I53:I58)</f>
        <v>1664166.6666666667</v>
      </c>
      <c r="J61" s="14">
        <f t="shared" si="12"/>
        <v>726666.66666666674</v>
      </c>
      <c r="K61" s="14">
        <f t="shared" si="12"/>
        <v>1247500</v>
      </c>
      <c r="L61" s="14">
        <f t="shared" si="12"/>
        <v>310000</v>
      </c>
      <c r="M61" s="14">
        <f t="shared" si="12"/>
        <v>726666.66666666674</v>
      </c>
      <c r="N61" s="14">
        <f t="shared" si="12"/>
        <v>1247500</v>
      </c>
      <c r="O61" s="14">
        <f t="shared" si="12"/>
        <v>310000</v>
      </c>
      <c r="P61" s="14">
        <f t="shared" si="12"/>
        <v>726666.66666666674</v>
      </c>
      <c r="Q61" s="28">
        <f>SUM(Q53:Q59)</f>
        <v>15999166.666666666</v>
      </c>
    </row>
    <row r="62" spans="1:17" x14ac:dyDescent="0.2">
      <c r="B62" s="1"/>
      <c r="E62" s="6"/>
      <c r="F62" s="6"/>
      <c r="G62" s="6"/>
      <c r="H62" s="6"/>
      <c r="I62" s="6"/>
      <c r="J62" s="6"/>
      <c r="K62" s="6"/>
      <c r="L62" s="6"/>
      <c r="M62" s="6"/>
      <c r="N62" s="6"/>
      <c r="O62" s="6"/>
      <c r="P62" s="6"/>
    </row>
    <row r="63" spans="1:17" x14ac:dyDescent="0.2">
      <c r="B63" s="3" t="s">
        <v>299</v>
      </c>
      <c r="C63" t="s">
        <v>300</v>
      </c>
      <c r="E63" s="6"/>
      <c r="F63" s="6"/>
      <c r="G63" s="6"/>
      <c r="H63" s="6"/>
      <c r="I63" s="6"/>
      <c r="J63" s="6"/>
      <c r="K63" s="6"/>
      <c r="L63" s="6"/>
      <c r="M63" s="6"/>
      <c r="N63" s="6"/>
      <c r="O63" s="6"/>
      <c r="P63" s="6"/>
    </row>
    <row r="64" spans="1:17" x14ac:dyDescent="0.2">
      <c r="A64" s="10"/>
      <c r="B64" s="60" t="s">
        <v>320</v>
      </c>
      <c r="C64" s="10"/>
      <c r="D64" s="10"/>
      <c r="E64" s="12"/>
      <c r="F64" s="12"/>
      <c r="G64" s="12"/>
      <c r="H64" s="12">
        <v>100000000</v>
      </c>
      <c r="I64" s="12"/>
      <c r="J64" s="12"/>
      <c r="K64" s="12">
        <v>50000000</v>
      </c>
      <c r="L64" s="12"/>
      <c r="M64" s="12"/>
      <c r="N64" s="12"/>
      <c r="O64" s="12"/>
      <c r="P64" s="12"/>
      <c r="Q64" s="24">
        <f t="shared" ref="Q64:Q70" si="13">SUM(E64:P64)</f>
        <v>150000000</v>
      </c>
    </row>
    <row r="65" spans="1:17" x14ac:dyDescent="0.2">
      <c r="A65" s="10"/>
      <c r="B65" s="59" t="s">
        <v>311</v>
      </c>
      <c r="C65" s="10"/>
      <c r="D65" s="10"/>
      <c r="E65" s="12">
        <v>450000</v>
      </c>
      <c r="F65" s="12">
        <v>450000</v>
      </c>
      <c r="G65" s="12">
        <v>450000</v>
      </c>
      <c r="H65" s="12">
        <v>450000</v>
      </c>
      <c r="I65" s="12">
        <v>450000</v>
      </c>
      <c r="J65" s="12">
        <v>450000</v>
      </c>
      <c r="K65" s="12">
        <v>450000</v>
      </c>
      <c r="L65" s="12">
        <v>450000</v>
      </c>
      <c r="M65" s="12">
        <v>450000</v>
      </c>
      <c r="N65" s="12">
        <v>450000</v>
      </c>
      <c r="O65" s="12">
        <v>450000</v>
      </c>
      <c r="P65" s="12">
        <v>450000</v>
      </c>
      <c r="Q65" s="24">
        <f t="shared" si="13"/>
        <v>5400000</v>
      </c>
    </row>
    <row r="66" spans="1:17" x14ac:dyDescent="0.2">
      <c r="A66" s="10"/>
      <c r="B66" s="59" t="s">
        <v>312</v>
      </c>
      <c r="C66" s="10"/>
      <c r="D66" s="10"/>
      <c r="E66" s="12"/>
      <c r="F66" s="12"/>
      <c r="G66" s="12"/>
      <c r="H66" s="12"/>
      <c r="I66" s="12"/>
      <c r="J66" s="12">
        <v>1500000</v>
      </c>
      <c r="K66" s="12"/>
      <c r="L66" s="12"/>
      <c r="M66" s="12">
        <v>1500000</v>
      </c>
      <c r="N66" s="12"/>
      <c r="O66" s="12"/>
      <c r="P66" s="12">
        <v>1500000</v>
      </c>
      <c r="Q66" s="24">
        <f t="shared" si="13"/>
        <v>4500000</v>
      </c>
    </row>
    <row r="67" spans="1:17" x14ac:dyDescent="0.2">
      <c r="A67" s="10"/>
      <c r="B67" s="59" t="s">
        <v>313</v>
      </c>
      <c r="C67" s="10"/>
      <c r="D67" s="10"/>
      <c r="E67" s="12"/>
      <c r="F67" s="12"/>
      <c r="G67" s="12"/>
      <c r="H67" s="12"/>
      <c r="I67" s="12"/>
      <c r="J67" s="12"/>
      <c r="K67" s="12"/>
      <c r="L67" s="12"/>
      <c r="M67" s="12"/>
      <c r="N67" s="12"/>
      <c r="O67" s="12"/>
      <c r="P67" s="12"/>
      <c r="Q67" s="24">
        <f t="shared" si="13"/>
        <v>0</v>
      </c>
    </row>
    <row r="68" spans="1:17" x14ac:dyDescent="0.2">
      <c r="A68" s="10"/>
      <c r="B68" s="59"/>
      <c r="C68" s="10"/>
      <c r="D68" s="10"/>
      <c r="E68" s="12"/>
      <c r="F68" s="12"/>
      <c r="G68" s="12"/>
      <c r="H68" s="12"/>
      <c r="I68" s="12"/>
      <c r="J68" s="12"/>
      <c r="K68" s="12"/>
      <c r="L68" s="12"/>
      <c r="M68" s="12"/>
      <c r="N68" s="12"/>
      <c r="O68" s="12"/>
      <c r="P68" s="12"/>
      <c r="Q68" s="24">
        <f t="shared" si="13"/>
        <v>0</v>
      </c>
    </row>
    <row r="69" spans="1:17" s="3" customFormat="1" x14ac:dyDescent="0.2">
      <c r="A69" s="13"/>
      <c r="B69" s="13"/>
      <c r="C69" s="13"/>
      <c r="D69" s="13"/>
      <c r="E69" s="14">
        <f t="shared" ref="E69:F69" si="14">SUM(E64:E68)</f>
        <v>450000</v>
      </c>
      <c r="F69" s="14">
        <f t="shared" si="14"/>
        <v>450000</v>
      </c>
      <c r="G69" s="14">
        <f>SUM(G64:G68)</f>
        <v>450000</v>
      </c>
      <c r="H69" s="14">
        <f t="shared" ref="H69:Q69" si="15">SUM(H64:H68)</f>
        <v>100450000</v>
      </c>
      <c r="I69" s="14">
        <f>SUM(I64:I68)</f>
        <v>450000</v>
      </c>
      <c r="J69" s="14">
        <f t="shared" ref="J69:S69" si="16">SUM(J64:J68)</f>
        <v>1950000</v>
      </c>
      <c r="K69" s="14">
        <f t="shared" si="16"/>
        <v>50450000</v>
      </c>
      <c r="L69" s="14">
        <f t="shared" si="16"/>
        <v>450000</v>
      </c>
      <c r="M69" s="14">
        <f t="shared" si="16"/>
        <v>1950000</v>
      </c>
      <c r="N69" s="14">
        <f t="shared" si="16"/>
        <v>450000</v>
      </c>
      <c r="O69" s="14">
        <f t="shared" si="16"/>
        <v>450000</v>
      </c>
      <c r="P69" s="14">
        <f t="shared" si="16"/>
        <v>1950000</v>
      </c>
      <c r="Q69" s="28">
        <f t="shared" si="16"/>
        <v>159900000</v>
      </c>
    </row>
    <row r="70" spans="1:17" x14ac:dyDescent="0.2">
      <c r="B70" s="1"/>
      <c r="E70" s="6"/>
      <c r="F70" s="6"/>
      <c r="G70" s="6"/>
      <c r="H70" s="6"/>
      <c r="I70" s="6"/>
      <c r="J70" s="6"/>
      <c r="K70" s="6"/>
      <c r="L70" s="6"/>
      <c r="M70" s="6"/>
      <c r="N70" s="6"/>
      <c r="O70" s="6"/>
      <c r="P70" s="6"/>
    </row>
    <row r="71" spans="1:17" x14ac:dyDescent="0.2">
      <c r="E71" s="6"/>
      <c r="F71" s="6"/>
      <c r="G71" s="6"/>
      <c r="H71" s="6"/>
      <c r="I71" s="6"/>
      <c r="J71" s="6"/>
      <c r="K71" s="6"/>
      <c r="L71" s="6"/>
      <c r="M71" s="6"/>
      <c r="N71" s="6"/>
      <c r="O71" s="6"/>
      <c r="P71" s="6"/>
    </row>
    <row r="72" spans="1:17" x14ac:dyDescent="0.2">
      <c r="B72" s="2" t="s">
        <v>60</v>
      </c>
      <c r="C72" t="s">
        <v>30</v>
      </c>
      <c r="E72" s="6"/>
      <c r="F72" s="6"/>
      <c r="G72" s="6"/>
      <c r="H72" s="6"/>
      <c r="I72" s="6"/>
      <c r="J72" s="6"/>
      <c r="K72" s="6"/>
      <c r="L72" s="6"/>
      <c r="M72" s="6"/>
      <c r="N72" s="6"/>
      <c r="O72" s="6"/>
      <c r="P72" s="6"/>
    </row>
    <row r="73" spans="1:17" x14ac:dyDescent="0.2">
      <c r="A73" s="10"/>
      <c r="B73" s="17" t="s">
        <v>61</v>
      </c>
      <c r="C73" s="10"/>
      <c r="D73" s="10"/>
      <c r="E73" s="10"/>
      <c r="F73" s="12">
        <v>7500000</v>
      </c>
      <c r="G73" s="12"/>
      <c r="H73" s="12">
        <v>2500000</v>
      </c>
      <c r="I73" s="12"/>
      <c r="J73" s="12"/>
      <c r="K73" s="12"/>
      <c r="L73" s="12">
        <v>2500000</v>
      </c>
      <c r="M73" s="12"/>
      <c r="N73" s="12"/>
      <c r="O73" s="12">
        <v>2500000</v>
      </c>
      <c r="P73" s="12"/>
      <c r="Q73" s="24">
        <f>SUM(F73:O73)</f>
        <v>15000000</v>
      </c>
    </row>
    <row r="74" spans="1:17" x14ac:dyDescent="0.2">
      <c r="A74" s="10"/>
      <c r="B74" s="15" t="s">
        <v>70</v>
      </c>
      <c r="C74" s="10"/>
      <c r="D74" s="10"/>
      <c r="E74" s="12">
        <v>350000</v>
      </c>
      <c r="F74" s="12">
        <v>350000</v>
      </c>
      <c r="G74" s="12">
        <v>350000</v>
      </c>
      <c r="H74" s="12">
        <v>350000</v>
      </c>
      <c r="I74" s="12">
        <v>350000</v>
      </c>
      <c r="J74" s="12">
        <v>350000</v>
      </c>
      <c r="K74" s="12">
        <v>350000</v>
      </c>
      <c r="L74" s="12">
        <v>350000</v>
      </c>
      <c r="M74" s="12">
        <v>350000</v>
      </c>
      <c r="N74" s="12">
        <v>350000</v>
      </c>
      <c r="O74" s="12">
        <v>350000</v>
      </c>
      <c r="P74" s="12">
        <v>350000</v>
      </c>
      <c r="Q74" s="24">
        <f t="shared" si="0"/>
        <v>4200000</v>
      </c>
    </row>
    <row r="75" spans="1:17" x14ac:dyDescent="0.2">
      <c r="A75" s="10"/>
      <c r="B75" s="15" t="s">
        <v>62</v>
      </c>
      <c r="C75" s="10"/>
      <c r="D75" s="10"/>
      <c r="E75" s="12">
        <v>125000</v>
      </c>
      <c r="F75" s="12">
        <v>125000</v>
      </c>
      <c r="G75" s="12">
        <v>125000</v>
      </c>
      <c r="H75" s="12">
        <v>125000</v>
      </c>
      <c r="I75" s="12">
        <v>125000</v>
      </c>
      <c r="J75" s="12">
        <v>125000</v>
      </c>
      <c r="K75" s="12">
        <v>125000</v>
      </c>
      <c r="L75" s="12">
        <v>125000</v>
      </c>
      <c r="M75" s="12">
        <v>125000</v>
      </c>
      <c r="N75" s="12">
        <v>125000</v>
      </c>
      <c r="O75" s="12">
        <v>125000</v>
      </c>
      <c r="P75" s="12">
        <v>125000</v>
      </c>
      <c r="Q75" s="24">
        <f t="shared" si="0"/>
        <v>1500000</v>
      </c>
    </row>
    <row r="76" spans="1:17" x14ac:dyDescent="0.2">
      <c r="A76" s="10"/>
      <c r="B76" s="15" t="s">
        <v>63</v>
      </c>
      <c r="C76" s="10"/>
      <c r="D76" s="10"/>
      <c r="F76" s="12">
        <v>500000</v>
      </c>
      <c r="G76" s="12"/>
      <c r="H76" s="12"/>
      <c r="I76" s="12">
        <v>500000</v>
      </c>
      <c r="J76" s="12"/>
      <c r="K76" s="12"/>
      <c r="L76" s="12"/>
      <c r="M76" s="12"/>
      <c r="N76" s="12">
        <v>250000</v>
      </c>
      <c r="O76" s="12"/>
      <c r="P76" s="12"/>
      <c r="Q76" s="24">
        <f>SUM(F76:P76)</f>
        <v>1250000</v>
      </c>
    </row>
    <row r="77" spans="1:17" x14ac:dyDescent="0.2">
      <c r="A77" s="10"/>
      <c r="B77" s="15" t="s">
        <v>64</v>
      </c>
      <c r="C77" s="10"/>
      <c r="D77" s="10"/>
      <c r="E77" s="12"/>
      <c r="F77" s="12"/>
      <c r="G77" s="12"/>
      <c r="H77" s="12"/>
      <c r="I77" s="12">
        <v>250000</v>
      </c>
      <c r="J77" s="12">
        <v>250000</v>
      </c>
      <c r="K77" s="12">
        <v>166666.66666666666</v>
      </c>
      <c r="L77" s="12">
        <v>166666.66666666666</v>
      </c>
      <c r="M77" s="12">
        <v>166666.66666666666</v>
      </c>
      <c r="N77" s="12">
        <v>166666.66666666666</v>
      </c>
      <c r="O77" s="12">
        <v>166666.66666666666</v>
      </c>
      <c r="P77" s="12">
        <v>166666.66666666666</v>
      </c>
      <c r="Q77" s="24">
        <f t="shared" si="0"/>
        <v>1500000</v>
      </c>
    </row>
    <row r="78" spans="1:17" x14ac:dyDescent="0.2">
      <c r="A78" s="10"/>
      <c r="B78" s="15" t="s">
        <v>296</v>
      </c>
      <c r="C78" s="10"/>
      <c r="D78" s="10"/>
      <c r="E78" s="12"/>
      <c r="F78" s="12"/>
      <c r="G78" s="12"/>
      <c r="H78" s="12"/>
      <c r="I78" s="12"/>
      <c r="J78" s="12"/>
      <c r="K78" s="12"/>
      <c r="L78" s="12"/>
      <c r="M78" s="12"/>
      <c r="N78" s="12"/>
      <c r="O78" s="12"/>
      <c r="P78" s="12"/>
      <c r="Q78" s="24">
        <f t="shared" si="0"/>
        <v>0</v>
      </c>
    </row>
    <row r="79" spans="1:17" s="3" customFormat="1" x14ac:dyDescent="0.2">
      <c r="A79" s="13"/>
      <c r="B79" s="13"/>
      <c r="C79" s="13"/>
      <c r="D79" s="13"/>
      <c r="E79" s="14">
        <f t="shared" ref="E79:P79" si="17">SUM(E73:E77)</f>
        <v>475000</v>
      </c>
      <c r="F79" s="14">
        <f t="shared" si="17"/>
        <v>8475000</v>
      </c>
      <c r="G79" s="14">
        <f t="shared" si="17"/>
        <v>475000</v>
      </c>
      <c r="H79" s="14">
        <f t="shared" si="17"/>
        <v>2975000</v>
      </c>
      <c r="I79" s="14">
        <f t="shared" si="17"/>
        <v>1225000</v>
      </c>
      <c r="J79" s="14">
        <f t="shared" si="17"/>
        <v>725000</v>
      </c>
      <c r="K79" s="14">
        <f t="shared" si="17"/>
        <v>641666.66666666663</v>
      </c>
      <c r="L79" s="14">
        <f t="shared" si="17"/>
        <v>3141666.6666666665</v>
      </c>
      <c r="M79" s="14">
        <f t="shared" si="17"/>
        <v>641666.66666666663</v>
      </c>
      <c r="N79" s="14">
        <f t="shared" si="17"/>
        <v>891666.66666666663</v>
      </c>
      <c r="O79" s="14">
        <f t="shared" si="17"/>
        <v>3141666.6666666665</v>
      </c>
      <c r="P79" s="14">
        <f t="shared" si="17"/>
        <v>641666.66666666663</v>
      </c>
      <c r="Q79" s="28">
        <f>SUM(Q73:Q78)</f>
        <v>23450000</v>
      </c>
    </row>
    <row r="80" spans="1:17" x14ac:dyDescent="0.2">
      <c r="E80" s="6"/>
      <c r="F80" s="6"/>
      <c r="G80" s="6"/>
      <c r="H80" s="6"/>
      <c r="I80" s="6"/>
      <c r="J80" s="6"/>
      <c r="K80" s="6"/>
      <c r="L80" s="6"/>
      <c r="M80" s="6"/>
      <c r="N80" s="6"/>
      <c r="O80" s="6"/>
      <c r="P80" s="6"/>
    </row>
    <row r="81" spans="1:17" x14ac:dyDescent="0.2">
      <c r="B81" s="3" t="s">
        <v>9</v>
      </c>
      <c r="C81" t="s">
        <v>31</v>
      </c>
      <c r="E81" s="6"/>
      <c r="F81" s="6"/>
      <c r="G81" s="6"/>
      <c r="H81" s="6"/>
      <c r="I81" s="6"/>
      <c r="J81" s="6"/>
      <c r="K81" s="6"/>
      <c r="L81" s="6"/>
      <c r="M81" s="6"/>
      <c r="N81" s="6"/>
      <c r="O81" s="6"/>
      <c r="P81" s="6"/>
    </row>
    <row r="82" spans="1:17" x14ac:dyDescent="0.2">
      <c r="A82" s="10"/>
      <c r="B82" s="17" t="s">
        <v>53</v>
      </c>
      <c r="C82" s="10"/>
      <c r="D82" s="10"/>
      <c r="E82" s="12"/>
      <c r="F82" s="12"/>
      <c r="G82" s="12"/>
      <c r="H82" s="12"/>
      <c r="I82" s="12">
        <v>1666667</v>
      </c>
      <c r="J82" s="12">
        <v>1666667</v>
      </c>
      <c r="K82" s="12">
        <v>1666667</v>
      </c>
      <c r="L82" s="12">
        <v>1666667</v>
      </c>
      <c r="M82" s="12">
        <v>1666667</v>
      </c>
      <c r="N82" s="12">
        <v>1666667</v>
      </c>
      <c r="O82" s="12">
        <v>1666667</v>
      </c>
      <c r="P82" s="12">
        <v>1666667</v>
      </c>
      <c r="Q82" s="24">
        <f t="shared" si="0"/>
        <v>13333336</v>
      </c>
    </row>
    <row r="83" spans="1:17" x14ac:dyDescent="0.2">
      <c r="A83" s="10"/>
      <c r="B83" s="17" t="s">
        <v>71</v>
      </c>
      <c r="C83" s="10"/>
      <c r="D83" s="10"/>
      <c r="E83" s="12"/>
      <c r="F83" s="12"/>
      <c r="G83" s="12"/>
      <c r="H83" s="12"/>
      <c r="I83" s="12">
        <v>150000</v>
      </c>
      <c r="J83" s="12">
        <v>150000</v>
      </c>
      <c r="K83" s="12">
        <v>150000</v>
      </c>
      <c r="L83" s="12">
        <v>150000</v>
      </c>
      <c r="M83" s="12">
        <v>150000</v>
      </c>
      <c r="N83" s="12">
        <v>150000</v>
      </c>
      <c r="O83" s="12">
        <v>150000</v>
      </c>
      <c r="P83" s="12">
        <v>150000</v>
      </c>
      <c r="Q83" s="24">
        <f t="shared" si="0"/>
        <v>1200000</v>
      </c>
    </row>
    <row r="84" spans="1:17" x14ac:dyDescent="0.2">
      <c r="A84" s="10"/>
      <c r="B84" s="17" t="s">
        <v>68</v>
      </c>
      <c r="C84" s="10"/>
      <c r="D84" s="10"/>
      <c r="E84" s="12"/>
      <c r="F84" s="12"/>
      <c r="G84" s="12"/>
      <c r="H84" s="12"/>
      <c r="I84" s="12">
        <v>2000000</v>
      </c>
      <c r="J84" s="12"/>
      <c r="K84" s="12"/>
      <c r="L84" s="12"/>
      <c r="M84" s="12"/>
      <c r="N84" s="12"/>
      <c r="O84" s="12"/>
      <c r="Q84" s="24">
        <f>SUM(E84:O84)</f>
        <v>2000000</v>
      </c>
    </row>
    <row r="85" spans="1:17" x14ac:dyDescent="0.2">
      <c r="A85" s="10"/>
      <c r="B85" s="17" t="s">
        <v>295</v>
      </c>
      <c r="C85" s="10"/>
      <c r="D85" s="10"/>
      <c r="E85" s="12"/>
      <c r="F85" s="12"/>
      <c r="G85" s="12">
        <v>7000000</v>
      </c>
      <c r="H85" s="12"/>
      <c r="I85" s="12"/>
      <c r="J85" s="12"/>
      <c r="K85" s="12"/>
      <c r="L85" s="12"/>
      <c r="M85" s="12"/>
      <c r="N85" s="12"/>
      <c r="O85" s="12"/>
      <c r="P85" s="12"/>
      <c r="Q85" s="24">
        <f>SUM(E85:O85)</f>
        <v>7000000</v>
      </c>
    </row>
    <row r="86" spans="1:17" s="3" customFormat="1" x14ac:dyDescent="0.2">
      <c r="A86" s="13"/>
      <c r="B86" s="13"/>
      <c r="C86" s="13"/>
      <c r="D86" s="13"/>
      <c r="E86" s="14">
        <f>SUM(E82:E85)</f>
        <v>0</v>
      </c>
      <c r="F86" s="14">
        <f t="shared" ref="F86:P86" si="18">SUM(F82:F85)</f>
        <v>0</v>
      </c>
      <c r="G86" s="14">
        <f t="shared" si="18"/>
        <v>7000000</v>
      </c>
      <c r="H86" s="14">
        <f t="shared" si="18"/>
        <v>0</v>
      </c>
      <c r="I86" s="14">
        <f t="shared" si="18"/>
        <v>3816667</v>
      </c>
      <c r="J86" s="14">
        <f t="shared" si="18"/>
        <v>1816667</v>
      </c>
      <c r="K86" s="14">
        <f t="shared" si="18"/>
        <v>1816667</v>
      </c>
      <c r="L86" s="14">
        <f t="shared" si="18"/>
        <v>1816667</v>
      </c>
      <c r="M86" s="14">
        <f t="shared" si="18"/>
        <v>1816667</v>
      </c>
      <c r="N86" s="14">
        <f t="shared" si="18"/>
        <v>1816667</v>
      </c>
      <c r="O86" s="14">
        <f t="shared" si="18"/>
        <v>1816667</v>
      </c>
      <c r="P86" s="14">
        <f t="shared" si="18"/>
        <v>1816667</v>
      </c>
      <c r="Q86" s="28">
        <f>SUM(Q82:Q85)</f>
        <v>23533336</v>
      </c>
    </row>
    <row r="87" spans="1:17" x14ac:dyDescent="0.2">
      <c r="B87" s="81"/>
      <c r="E87" s="82"/>
      <c r="F87" s="82"/>
      <c r="G87" s="82"/>
      <c r="H87" s="82"/>
      <c r="I87" s="82"/>
      <c r="J87" s="82"/>
      <c r="K87" s="82"/>
      <c r="L87" s="82"/>
      <c r="M87" s="82"/>
      <c r="N87" s="82"/>
      <c r="O87" s="82"/>
      <c r="P87" s="82"/>
    </row>
    <row r="88" spans="1:17" x14ac:dyDescent="0.2">
      <c r="E88" s="6"/>
      <c r="F88" s="6"/>
      <c r="G88" s="6"/>
      <c r="H88" s="6"/>
      <c r="I88" s="6"/>
      <c r="J88" s="6"/>
      <c r="K88" s="6"/>
      <c r="L88" s="6"/>
      <c r="M88" s="6"/>
      <c r="N88" s="6"/>
      <c r="O88" s="6"/>
      <c r="P88" s="6"/>
    </row>
    <row r="89" spans="1:17" s="3" customFormat="1" x14ac:dyDescent="0.2">
      <c r="A89" s="13"/>
      <c r="B89" s="13" t="s">
        <v>10</v>
      </c>
      <c r="C89" s="13"/>
      <c r="D89" s="13"/>
      <c r="E89" s="14">
        <f>SUM(E86,E79,E69,E61,E50,E41,E19,E20)</f>
        <v>26420550</v>
      </c>
      <c r="F89" s="14">
        <f t="shared" ref="F89:P89" si="19">SUM(F86,F79,F69,F61,F50,F41,F19,F20)</f>
        <v>48710550</v>
      </c>
      <c r="G89" s="14">
        <f t="shared" si="19"/>
        <v>37705550</v>
      </c>
      <c r="H89" s="14">
        <f t="shared" si="19"/>
        <v>128005550</v>
      </c>
      <c r="I89" s="14">
        <f t="shared" si="19"/>
        <v>43676383.666666672</v>
      </c>
      <c r="J89" s="14">
        <f t="shared" si="19"/>
        <v>29688883.666666668</v>
      </c>
      <c r="K89" s="14">
        <f t="shared" si="19"/>
        <v>82426383.666666657</v>
      </c>
      <c r="L89" s="14">
        <f t="shared" si="19"/>
        <v>42238883.666666664</v>
      </c>
      <c r="M89" s="14">
        <f t="shared" si="19"/>
        <v>29605550.333333332</v>
      </c>
      <c r="N89" s="14">
        <f t="shared" si="19"/>
        <v>28676383.666666664</v>
      </c>
      <c r="O89" s="14">
        <f t="shared" si="19"/>
        <v>42238883.666666664</v>
      </c>
      <c r="P89" s="14">
        <f t="shared" si="19"/>
        <v>59527750.333333328</v>
      </c>
      <c r="Q89" s="28">
        <f t="shared" si="0"/>
        <v>598921302.66666675</v>
      </c>
    </row>
    <row r="90" spans="1:17" x14ac:dyDescent="0.2">
      <c r="E90" s="6"/>
      <c r="F90" s="6"/>
      <c r="G90" s="6"/>
      <c r="H90" s="6"/>
      <c r="I90" s="6"/>
      <c r="J90" s="6"/>
      <c r="K90" s="6"/>
      <c r="L90" s="6"/>
      <c r="M90" s="6"/>
      <c r="N90" s="6"/>
      <c r="O90" s="6"/>
      <c r="P90" s="6"/>
    </row>
    <row r="91" spans="1:17" x14ac:dyDescent="0.2">
      <c r="E91" s="6"/>
      <c r="F91" s="6"/>
      <c r="G91" s="6"/>
      <c r="H91" s="6"/>
      <c r="I91" s="6"/>
      <c r="J91" s="6"/>
      <c r="K91" s="6"/>
      <c r="L91" s="6"/>
      <c r="M91" s="6"/>
      <c r="N91" s="6"/>
      <c r="O91" s="6"/>
      <c r="P91" s="6"/>
    </row>
    <row r="92" spans="1:17" x14ac:dyDescent="0.2">
      <c r="E92" s="6"/>
      <c r="F92" s="6"/>
      <c r="G92" s="6"/>
      <c r="H92" s="6"/>
      <c r="I92" s="6"/>
      <c r="J92" s="6"/>
      <c r="K92" s="6"/>
      <c r="L92" s="6"/>
      <c r="M92" s="6"/>
      <c r="N92" s="6"/>
      <c r="O92" s="6"/>
      <c r="P92" s="6"/>
    </row>
    <row r="93" spans="1:17" x14ac:dyDescent="0.2">
      <c r="A93" s="7" t="s">
        <v>11</v>
      </c>
      <c r="B93" s="8"/>
      <c r="C93" s="8"/>
      <c r="D93" s="8"/>
      <c r="E93" s="9"/>
      <c r="F93" s="9"/>
      <c r="G93" s="9"/>
      <c r="H93" s="9"/>
      <c r="I93" s="9"/>
      <c r="J93" s="9"/>
      <c r="K93" s="9"/>
      <c r="L93" s="9"/>
      <c r="M93" s="9"/>
      <c r="N93" s="9"/>
      <c r="O93" s="9"/>
      <c r="P93" s="9"/>
      <c r="Q93" s="9">
        <f t="shared" si="0"/>
        <v>0</v>
      </c>
    </row>
    <row r="94" spans="1:17" x14ac:dyDescent="0.2">
      <c r="A94" s="10"/>
      <c r="B94" s="15" t="s">
        <v>172</v>
      </c>
      <c r="C94" s="10"/>
      <c r="D94" s="10"/>
      <c r="E94" s="12">
        <f>Others!C11</f>
        <v>0</v>
      </c>
      <c r="F94" s="12">
        <f>Others!D11</f>
        <v>0</v>
      </c>
      <c r="G94" s="12"/>
      <c r="H94" s="12"/>
      <c r="I94" s="12">
        <v>333333.33333333331</v>
      </c>
      <c r="J94" s="12">
        <v>333333.33333333331</v>
      </c>
      <c r="K94" s="12">
        <v>333333.33333333331</v>
      </c>
      <c r="L94" s="12">
        <v>333333.33333333331</v>
      </c>
      <c r="M94" s="12">
        <v>333333.33333333331</v>
      </c>
      <c r="N94" s="12">
        <v>333333.33333333331</v>
      </c>
      <c r="O94" s="12">
        <v>333333.33333333331</v>
      </c>
      <c r="P94" s="12">
        <v>1333333</v>
      </c>
      <c r="Q94" s="24">
        <f t="shared" si="0"/>
        <v>3666666.333333333</v>
      </c>
    </row>
    <row r="95" spans="1:17" ht="16" x14ac:dyDescent="0.2">
      <c r="A95" s="10"/>
      <c r="B95" s="15" t="s">
        <v>50</v>
      </c>
      <c r="C95" s="204" t="s">
        <v>298</v>
      </c>
      <c r="D95" s="10"/>
      <c r="E95" s="12">
        <f>Others!C12</f>
        <v>0</v>
      </c>
      <c r="F95" s="12">
        <v>250000</v>
      </c>
      <c r="G95" s="12">
        <v>250000</v>
      </c>
      <c r="H95" s="12">
        <v>250000</v>
      </c>
      <c r="I95" s="12">
        <f>Others!G12</f>
        <v>250000</v>
      </c>
      <c r="J95" s="12">
        <f>Others!H12</f>
        <v>250000</v>
      </c>
      <c r="K95" s="12">
        <f>Others!I12</f>
        <v>250000</v>
      </c>
      <c r="L95" s="12">
        <f>Others!J12</f>
        <v>250000</v>
      </c>
      <c r="M95" s="12">
        <f>Others!K12</f>
        <v>250000</v>
      </c>
      <c r="N95" s="12">
        <f>Others!L12</f>
        <v>250000</v>
      </c>
      <c r="O95" s="12">
        <f>Others!M12</f>
        <v>250000</v>
      </c>
      <c r="P95" s="12">
        <f>Others!N12</f>
        <v>250000</v>
      </c>
      <c r="Q95" s="24">
        <f t="shared" si="0"/>
        <v>2750000</v>
      </c>
    </row>
    <row r="96" spans="1:17" x14ac:dyDescent="0.2">
      <c r="A96" s="10"/>
      <c r="B96" s="15" t="s">
        <v>51</v>
      </c>
      <c r="C96" s="10"/>
      <c r="D96" s="10"/>
      <c r="E96" s="12">
        <f>Others!C13</f>
        <v>0</v>
      </c>
      <c r="F96" s="12">
        <f>Others!D13</f>
        <v>0</v>
      </c>
      <c r="G96" s="12"/>
      <c r="H96" s="12"/>
      <c r="I96" s="12">
        <v>208333.33333333334</v>
      </c>
      <c r="J96" s="12">
        <v>208333.33333333334</v>
      </c>
      <c r="K96" s="12">
        <v>208333.33333333334</v>
      </c>
      <c r="L96" s="12">
        <v>208333.33333333334</v>
      </c>
      <c r="M96" s="12">
        <v>208333.33333333334</v>
      </c>
      <c r="N96" s="12">
        <v>208333.33333333334</v>
      </c>
      <c r="O96" s="12">
        <v>208333.33333333334</v>
      </c>
      <c r="P96" s="12">
        <v>208333.33333333334</v>
      </c>
      <c r="Q96" s="24">
        <f t="shared" si="0"/>
        <v>1666666.6666666665</v>
      </c>
    </row>
    <row r="97" spans="1:17" x14ac:dyDescent="0.2">
      <c r="A97" s="10"/>
      <c r="B97" s="15" t="s">
        <v>52</v>
      </c>
      <c r="C97" s="10"/>
      <c r="D97" s="10"/>
      <c r="E97" s="12">
        <f>Others!C14</f>
        <v>0</v>
      </c>
      <c r="F97" s="12">
        <f>Others!D14</f>
        <v>0</v>
      </c>
      <c r="G97" s="12"/>
      <c r="H97" s="12"/>
      <c r="I97" s="12">
        <v>125000</v>
      </c>
      <c r="J97" s="12">
        <v>125000</v>
      </c>
      <c r="K97" s="12">
        <v>125000</v>
      </c>
      <c r="L97" s="12">
        <v>125000</v>
      </c>
      <c r="M97" s="12">
        <v>125000</v>
      </c>
      <c r="N97" s="12">
        <v>125000</v>
      </c>
      <c r="O97" s="12">
        <v>125000</v>
      </c>
      <c r="P97" s="12">
        <v>125000</v>
      </c>
      <c r="Q97" s="24">
        <f t="shared" si="0"/>
        <v>1000000</v>
      </c>
    </row>
    <row r="98" spans="1:17" x14ac:dyDescent="0.2">
      <c r="A98" s="10"/>
      <c r="B98" s="15" t="s">
        <v>13</v>
      </c>
      <c r="C98" s="10"/>
      <c r="D98" s="10"/>
      <c r="E98" s="12"/>
      <c r="F98" s="12"/>
      <c r="G98" s="12"/>
      <c r="H98" s="12"/>
      <c r="I98" s="12"/>
      <c r="J98" s="12"/>
      <c r="K98" s="12"/>
      <c r="L98" s="12"/>
      <c r="M98" s="12"/>
      <c r="N98" s="12"/>
      <c r="O98" s="12"/>
      <c r="P98" s="12"/>
      <c r="Q98" s="24">
        <f t="shared" si="0"/>
        <v>0</v>
      </c>
    </row>
    <row r="99" spans="1:17" s="3" customFormat="1" x14ac:dyDescent="0.2">
      <c r="A99" s="13"/>
      <c r="B99" s="13" t="s">
        <v>15</v>
      </c>
      <c r="C99" s="13"/>
      <c r="D99" s="13"/>
      <c r="E99" s="14">
        <f t="shared" ref="E99:F99" si="20">SUM(E94:E98)</f>
        <v>0</v>
      </c>
      <c r="F99" s="14">
        <f t="shared" si="20"/>
        <v>250000</v>
      </c>
      <c r="G99" s="14">
        <f>SUM(G94:G98)</f>
        <v>250000</v>
      </c>
      <c r="H99" s="14">
        <f>SUM(H94:H98)</f>
        <v>250000</v>
      </c>
      <c r="I99" s="14">
        <f>SUM(I94:I98)</f>
        <v>916666.66666666663</v>
      </c>
      <c r="J99" s="14">
        <f>SUM(J94:J98)</f>
        <v>916666.66666666663</v>
      </c>
      <c r="K99" s="14">
        <f>SUM(K94:K98)</f>
        <v>916666.66666666663</v>
      </c>
      <c r="L99" s="14">
        <f>SUM(L94:L98)</f>
        <v>916666.66666666663</v>
      </c>
      <c r="M99" s="14">
        <f>SUM(M94:M98)</f>
        <v>916666.66666666663</v>
      </c>
      <c r="N99" s="14">
        <f>SUM(N94:N98)</f>
        <v>916666.66666666663</v>
      </c>
      <c r="O99" s="14">
        <f>SUM(O94:O98)</f>
        <v>916666.66666666663</v>
      </c>
      <c r="P99" s="14">
        <f>SUM(P94:P98)</f>
        <v>1916666.3333333333</v>
      </c>
      <c r="Q99" s="28">
        <f t="shared" ref="Q99:Q113" si="21">SUM(E99:P99)</f>
        <v>9083333</v>
      </c>
    </row>
    <row r="100" spans="1:17" x14ac:dyDescent="0.2">
      <c r="E100" s="6"/>
      <c r="F100" s="6"/>
      <c r="G100" s="6"/>
      <c r="H100" s="6"/>
      <c r="I100" s="6"/>
      <c r="J100" s="6"/>
      <c r="K100" s="6"/>
      <c r="L100" s="6"/>
      <c r="M100" s="6"/>
      <c r="N100" s="6"/>
      <c r="O100" s="6"/>
      <c r="P100" s="6"/>
    </row>
    <row r="105" spans="1:17" x14ac:dyDescent="0.2">
      <c r="A105" s="7"/>
      <c r="B105" s="7" t="s">
        <v>16</v>
      </c>
      <c r="C105" s="8"/>
      <c r="D105" s="8"/>
      <c r="E105" s="9"/>
      <c r="F105" s="9"/>
      <c r="G105" s="9"/>
      <c r="H105" s="9"/>
      <c r="I105" s="9"/>
      <c r="J105" s="9"/>
      <c r="K105" s="9"/>
      <c r="L105" s="9"/>
      <c r="M105" s="9"/>
      <c r="N105" s="9"/>
      <c r="O105" s="9"/>
      <c r="P105" s="9"/>
      <c r="Q105" s="9">
        <f t="shared" si="21"/>
        <v>0</v>
      </c>
    </row>
    <row r="106" spans="1:17" x14ac:dyDescent="0.2">
      <c r="A106" s="10"/>
      <c r="B106" s="15" t="s">
        <v>113</v>
      </c>
      <c r="C106" s="10" t="s">
        <v>35</v>
      </c>
      <c r="D106" s="57">
        <v>0.02</v>
      </c>
      <c r="E106" s="12">
        <f>E14*$D$106</f>
        <v>60000</v>
      </c>
      <c r="F106" s="12">
        <f>F14*$D$106</f>
        <v>2423467.66</v>
      </c>
      <c r="G106" s="12">
        <f>G14*$D$106</f>
        <v>60000</v>
      </c>
      <c r="H106" s="12">
        <f>H14*$D$106</f>
        <v>4377231.3402666599</v>
      </c>
      <c r="I106" s="12">
        <f>I14*$D$106</f>
        <v>60000</v>
      </c>
      <c r="J106" s="12">
        <f>J14*$D$106</f>
        <v>60000</v>
      </c>
      <c r="K106" s="12">
        <f>K14*$D$106</f>
        <v>3312882.2964052199</v>
      </c>
      <c r="L106" s="12">
        <f>L14*$D$106</f>
        <v>60000</v>
      </c>
      <c r="M106" s="12">
        <f>M14*$D$106</f>
        <v>60000</v>
      </c>
      <c r="N106" s="12">
        <f>N14*$D$106</f>
        <v>2059134.24</v>
      </c>
      <c r="O106" s="12">
        <f>O14*$D$106</f>
        <v>60000</v>
      </c>
      <c r="P106" s="12">
        <f>P14*$D$106</f>
        <v>60000</v>
      </c>
      <c r="Q106" s="24">
        <f t="shared" si="21"/>
        <v>12652715.536671881</v>
      </c>
    </row>
    <row r="107" spans="1:17" x14ac:dyDescent="0.2">
      <c r="A107" s="10"/>
      <c r="B107" s="15" t="s">
        <v>112</v>
      </c>
      <c r="C107" s="10" t="s">
        <v>36</v>
      </c>
      <c r="D107" s="57">
        <v>0.02</v>
      </c>
      <c r="E107" s="12">
        <f>E89*$D$107</f>
        <v>528411</v>
      </c>
      <c r="F107" s="12">
        <f>F89*$D$107</f>
        <v>974211</v>
      </c>
      <c r="G107" s="12">
        <f>G89*$D$107</f>
        <v>754111</v>
      </c>
      <c r="H107" s="12">
        <f>H89*$D$107</f>
        <v>2560111</v>
      </c>
      <c r="I107" s="12">
        <f>I89*$D$107</f>
        <v>873527.67333333346</v>
      </c>
      <c r="J107" s="12">
        <f>J89*$D$107</f>
        <v>593777.67333333334</v>
      </c>
      <c r="K107" s="12">
        <f>K89*$D$107</f>
        <v>1648527.6733333331</v>
      </c>
      <c r="L107" s="12">
        <f>L89*$D$107</f>
        <v>844777.67333333334</v>
      </c>
      <c r="M107" s="12">
        <f>M89*$D$107</f>
        <v>592111.00666666671</v>
      </c>
      <c r="N107" s="12">
        <f>N89*$D$107</f>
        <v>573527.67333333334</v>
      </c>
      <c r="O107" s="12">
        <f>O89*$D$107</f>
        <v>844777.67333333334</v>
      </c>
      <c r="P107" s="12">
        <f>P89*$D$107</f>
        <v>1190555.0066666666</v>
      </c>
      <c r="Q107" s="24">
        <f t="shared" si="21"/>
        <v>11978426.053333333</v>
      </c>
    </row>
    <row r="108" spans="1:17" s="3" customFormat="1" x14ac:dyDescent="0.2">
      <c r="A108" s="13"/>
      <c r="B108" s="13" t="s">
        <v>17</v>
      </c>
      <c r="C108" s="13"/>
      <c r="D108" s="13"/>
      <c r="E108" s="14">
        <f>SUM(E106:E107)</f>
        <v>588411</v>
      </c>
      <c r="F108" s="14">
        <f t="shared" ref="F108:P108" si="22">SUM(F106:F107)</f>
        <v>3397678.66</v>
      </c>
      <c r="G108" s="14">
        <f t="shared" si="22"/>
        <v>814111</v>
      </c>
      <c r="H108" s="14">
        <f t="shared" si="22"/>
        <v>6937342.3402666599</v>
      </c>
      <c r="I108" s="14">
        <f t="shared" si="22"/>
        <v>933527.67333333346</v>
      </c>
      <c r="J108" s="14">
        <f t="shared" si="22"/>
        <v>653777.67333333334</v>
      </c>
      <c r="K108" s="14">
        <f t="shared" si="22"/>
        <v>4961409.9697385533</v>
      </c>
      <c r="L108" s="14">
        <f t="shared" si="22"/>
        <v>904777.67333333334</v>
      </c>
      <c r="M108" s="14">
        <f t="shared" si="22"/>
        <v>652111.00666666671</v>
      </c>
      <c r="N108" s="14">
        <f t="shared" si="22"/>
        <v>2632661.9133333331</v>
      </c>
      <c r="O108" s="14">
        <f t="shared" si="22"/>
        <v>904777.67333333334</v>
      </c>
      <c r="P108" s="14">
        <f t="shared" si="22"/>
        <v>1250555.0066666666</v>
      </c>
      <c r="Q108" s="28">
        <f t="shared" si="21"/>
        <v>24631141.590005215</v>
      </c>
    </row>
    <row r="113" spans="1:17" x14ac:dyDescent="0.2">
      <c r="A113" s="7"/>
      <c r="B113" s="7" t="s">
        <v>18</v>
      </c>
      <c r="C113" s="8"/>
      <c r="D113" s="8"/>
      <c r="E113" s="9"/>
      <c r="F113" s="9"/>
      <c r="G113" s="9"/>
      <c r="H113" s="9"/>
      <c r="I113" s="9"/>
      <c r="J113" s="9"/>
      <c r="K113" s="9"/>
      <c r="L113" s="9"/>
      <c r="M113" s="9"/>
      <c r="N113" s="9"/>
      <c r="O113" s="9"/>
      <c r="P113" s="9"/>
      <c r="Q113" s="9">
        <f t="shared" si="21"/>
        <v>0</v>
      </c>
    </row>
    <row r="114" spans="1:17" x14ac:dyDescent="0.2">
      <c r="B114" t="s">
        <v>5</v>
      </c>
      <c r="E114" s="34">
        <f>SUM(E14)</f>
        <v>3000000</v>
      </c>
      <c r="F114" s="34">
        <f>SUM(F14)</f>
        <v>121173383</v>
      </c>
      <c r="G114" s="34">
        <f>SUM(G14)</f>
        <v>3000000</v>
      </c>
      <c r="H114" s="34">
        <f>SUM(H14)</f>
        <v>218861567.01333299</v>
      </c>
      <c r="I114" s="34">
        <f>SUM(I14)</f>
        <v>3000000</v>
      </c>
      <c r="J114" s="34">
        <f>SUM(J14)</f>
        <v>3000000</v>
      </c>
      <c r="K114" s="34">
        <f>SUM(K14)</f>
        <v>165644114.820261</v>
      </c>
      <c r="L114" s="34">
        <f>SUM(L14)</f>
        <v>3000000</v>
      </c>
      <c r="M114" s="34">
        <f>SUM(M14)</f>
        <v>3000000</v>
      </c>
      <c r="N114" s="34">
        <f>SUM(N14)</f>
        <v>102956712</v>
      </c>
      <c r="O114" s="34">
        <f>SUM(O14)</f>
        <v>3000000</v>
      </c>
      <c r="P114" s="34">
        <f>SUM(P14)</f>
        <v>3000000</v>
      </c>
      <c r="Q114" s="34">
        <f>SUM(E114:P114)</f>
        <v>632635776.83359396</v>
      </c>
    </row>
    <row r="115" spans="1:17" x14ac:dyDescent="0.2">
      <c r="B115" t="s">
        <v>19</v>
      </c>
      <c r="E115" s="34">
        <f>-SUM(E108,E99,E89)</f>
        <v>-27008961</v>
      </c>
      <c r="F115" s="34">
        <f t="shared" ref="F115:P115" si="23">-SUM(F108,F99,F89)</f>
        <v>-52358228.659999996</v>
      </c>
      <c r="G115" s="34">
        <f t="shared" si="23"/>
        <v>-38769661</v>
      </c>
      <c r="H115" s="34">
        <f t="shared" si="23"/>
        <v>-135192892.34026664</v>
      </c>
      <c r="I115" s="34">
        <f t="shared" si="23"/>
        <v>-45526578.006666675</v>
      </c>
      <c r="J115" s="34">
        <f t="shared" si="23"/>
        <v>-31259328.006666668</v>
      </c>
      <c r="K115" s="34">
        <f t="shared" si="23"/>
        <v>-88304460.303071871</v>
      </c>
      <c r="L115" s="34">
        <f t="shared" si="23"/>
        <v>-44060328.00666666</v>
      </c>
      <c r="M115" s="34">
        <f t="shared" si="23"/>
        <v>-31174328.006666664</v>
      </c>
      <c r="N115" s="34">
        <f t="shared" si="23"/>
        <v>-32225712.246666662</v>
      </c>
      <c r="O115" s="34">
        <f t="shared" si="23"/>
        <v>-44060328.00666666</v>
      </c>
      <c r="P115" s="34">
        <f t="shared" si="23"/>
        <v>-62694971.673333332</v>
      </c>
      <c r="Q115" s="34">
        <f>-SUM(Q108,Q99,Q89)</f>
        <v>-632635777.25667191</v>
      </c>
    </row>
    <row r="116" spans="1:17" s="3" customFormat="1" x14ac:dyDescent="0.2">
      <c r="A116" s="78"/>
      <c r="B116" s="78" t="s">
        <v>20</v>
      </c>
      <c r="C116" s="78"/>
      <c r="D116" s="78"/>
      <c r="E116" s="79">
        <f>E114+E115</f>
        <v>-24008961</v>
      </c>
      <c r="F116" s="79">
        <f>F114+F115-E116</f>
        <v>92824115.340000004</v>
      </c>
      <c r="G116" s="79">
        <f t="shared" ref="G116:P116" si="24">G114+G115-F116</f>
        <v>-128593776.34</v>
      </c>
      <c r="H116" s="79">
        <f t="shared" si="24"/>
        <v>212262451.01306635</v>
      </c>
      <c r="I116" s="79">
        <f t="shared" si="24"/>
        <v>-254789029.01973301</v>
      </c>
      <c r="J116" s="79">
        <f t="shared" si="24"/>
        <v>226529701.01306635</v>
      </c>
      <c r="K116" s="79">
        <f t="shared" si="24"/>
        <v>-149190046.49587721</v>
      </c>
      <c r="L116" s="79">
        <f t="shared" si="24"/>
        <v>108129718.48921055</v>
      </c>
      <c r="M116" s="79">
        <f t="shared" si="24"/>
        <v>-136304046.49587721</v>
      </c>
      <c r="N116" s="79">
        <f t="shared" si="24"/>
        <v>207035046.24921054</v>
      </c>
      <c r="O116" s="79">
        <f t="shared" si="24"/>
        <v>-248095374.2558772</v>
      </c>
      <c r="P116" s="79">
        <f t="shared" si="24"/>
        <v>188400402.58254385</v>
      </c>
      <c r="Q116" s="79">
        <f t="shared" ref="Q116" si="25">Q114+Q115</f>
        <v>-0.42307794094085693</v>
      </c>
    </row>
    <row r="117" spans="1:17" x14ac:dyDescent="0.2">
      <c r="P117" s="34"/>
    </row>
    <row r="118" spans="1:17" x14ac:dyDescent="0.2">
      <c r="Q118" s="109">
        <f>Q115/10</f>
        <v>-63263577.725667194</v>
      </c>
    </row>
    <row r="119" spans="1:17" x14ac:dyDescent="0.2">
      <c r="Q119" s="109">
        <f>Q118*3</f>
        <v>-189790733.1770016</v>
      </c>
    </row>
    <row r="122" spans="1:17" x14ac:dyDescent="0.2">
      <c r="D122" s="34"/>
      <c r="E122" s="34"/>
      <c r="F122" s="34"/>
      <c r="G122" s="34"/>
      <c r="H122" s="34"/>
    </row>
  </sheetData>
  <pageMargins left="0.7" right="0.7" top="0.75" bottom="0.75" header="0.3" footer="0.3"/>
  <pageSetup paperSize="9" scale="28"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2A600-0B46-DA4F-BB4E-94D69D65693F}">
  <sheetPr>
    <pageSetUpPr fitToPage="1"/>
  </sheetPr>
  <dimension ref="A2:R110"/>
  <sheetViews>
    <sheetView topLeftCell="A43" zoomScale="90" zoomScaleNormal="90" workbookViewId="0">
      <selection activeCell="B54" sqref="B54"/>
    </sheetView>
  </sheetViews>
  <sheetFormatPr baseColWidth="10" defaultColWidth="8.83203125" defaultRowHeight="15" x14ac:dyDescent="0.2"/>
  <cols>
    <col min="1" max="1" width="2.6640625" customWidth="1"/>
    <col min="2" max="2" width="55.83203125" customWidth="1"/>
    <col min="3" max="3" width="36.33203125" customWidth="1"/>
    <col min="4" max="4" width="12.83203125" customWidth="1"/>
    <col min="5" max="5" width="14.6640625" customWidth="1"/>
    <col min="6" max="6" width="14.83203125" customWidth="1"/>
    <col min="7" max="14" width="14.5" customWidth="1"/>
    <col min="15" max="15" width="23.6640625" style="21" customWidth="1"/>
    <col min="16" max="16" width="38.5" style="112" customWidth="1"/>
    <col min="17" max="17" width="10" bestFit="1" customWidth="1"/>
  </cols>
  <sheetData>
    <row r="2" spans="1:18" ht="16" x14ac:dyDescent="0.2">
      <c r="A2" s="18"/>
      <c r="B2" s="18" t="s">
        <v>0</v>
      </c>
      <c r="C2" s="18" t="s">
        <v>65</v>
      </c>
      <c r="D2" s="56"/>
      <c r="E2" s="119">
        <v>45741</v>
      </c>
      <c r="F2" s="19">
        <v>45748</v>
      </c>
      <c r="G2" s="19">
        <v>45778</v>
      </c>
      <c r="H2" s="19">
        <v>45809</v>
      </c>
      <c r="I2" s="19">
        <v>45863</v>
      </c>
      <c r="J2" s="19">
        <v>45894</v>
      </c>
      <c r="K2" s="19">
        <v>45925</v>
      </c>
      <c r="L2" s="19">
        <v>45955</v>
      </c>
      <c r="M2" s="19">
        <v>45986</v>
      </c>
      <c r="N2" s="19">
        <v>46016</v>
      </c>
      <c r="O2" s="22" t="s">
        <v>66</v>
      </c>
      <c r="P2" s="111" t="s">
        <v>128</v>
      </c>
      <c r="Q2" s="22" t="s">
        <v>129</v>
      </c>
      <c r="R2" t="s">
        <v>233</v>
      </c>
    </row>
    <row r="3" spans="1:18" x14ac:dyDescent="0.2">
      <c r="B3" s="4"/>
      <c r="C3" s="4"/>
      <c r="D3" s="4"/>
      <c r="E3" s="4"/>
    </row>
    <row r="4" spans="1:18" x14ac:dyDescent="0.2">
      <c r="B4" s="166" t="s">
        <v>215</v>
      </c>
      <c r="C4" s="4"/>
      <c r="D4" s="4"/>
      <c r="E4" s="4"/>
      <c r="F4" s="100" t="e">
        <f>#REF!/3</f>
        <v>#REF!</v>
      </c>
    </row>
    <row r="5" spans="1:18" x14ac:dyDescent="0.2">
      <c r="B5" s="4"/>
      <c r="C5" s="4"/>
      <c r="D5" s="4"/>
      <c r="E5" s="4"/>
      <c r="F5" s="102" t="e">
        <f>F4*3</f>
        <v>#REF!</v>
      </c>
      <c r="G5" s="6"/>
      <c r="H5" s="6"/>
      <c r="I5" s="6"/>
      <c r="J5" s="6"/>
      <c r="K5" s="6"/>
      <c r="L5" s="6"/>
      <c r="M5" s="6"/>
      <c r="N5" s="6"/>
    </row>
    <row r="6" spans="1:18" x14ac:dyDescent="0.2">
      <c r="A6" s="7" t="s">
        <v>114</v>
      </c>
      <c r="B6" s="8"/>
      <c r="C6" s="8"/>
      <c r="D6" s="8"/>
      <c r="E6" s="8"/>
      <c r="F6" s="9"/>
      <c r="G6" s="9"/>
      <c r="H6" s="9"/>
      <c r="I6" s="9"/>
      <c r="J6" s="9"/>
      <c r="K6" s="9"/>
      <c r="L6" s="9"/>
      <c r="M6" s="9"/>
      <c r="N6" s="9"/>
      <c r="O6" s="9"/>
    </row>
    <row r="7" spans="1:18" x14ac:dyDescent="0.2">
      <c r="A7" s="10"/>
      <c r="B7" s="11" t="s">
        <v>47</v>
      </c>
      <c r="C7" s="10" t="s">
        <v>21</v>
      </c>
      <c r="D7" s="10"/>
      <c r="E7" s="10"/>
      <c r="F7" s="12"/>
      <c r="G7" s="12"/>
      <c r="H7" s="12"/>
      <c r="I7" s="163"/>
      <c r="J7" s="163"/>
      <c r="K7" s="163"/>
      <c r="L7" s="163"/>
      <c r="M7" s="163"/>
      <c r="N7" s="163"/>
      <c r="O7" s="25">
        <f>SUM(F7:H7)</f>
        <v>0</v>
      </c>
    </row>
    <row r="8" spans="1:18" x14ac:dyDescent="0.2">
      <c r="A8" s="10"/>
      <c r="B8" s="11" t="s">
        <v>48</v>
      </c>
      <c r="C8" s="10" t="s">
        <v>22</v>
      </c>
      <c r="D8" s="10"/>
      <c r="E8" s="196">
        <v>6908850</v>
      </c>
      <c r="G8" s="173">
        <v>133916648</v>
      </c>
      <c r="H8" s="12"/>
      <c r="I8" s="12">
        <f>104296540-D16</f>
        <v>85159576.379999995</v>
      </c>
      <c r="J8" s="163"/>
      <c r="L8" s="12">
        <f>100000000+D16</f>
        <v>119136963.62</v>
      </c>
      <c r="M8" s="163"/>
      <c r="N8" s="163"/>
      <c r="O8" s="25">
        <f>SUM(E8:N8)</f>
        <v>345122038</v>
      </c>
    </row>
    <row r="9" spans="1:18" x14ac:dyDescent="0.2">
      <c r="A9" s="10"/>
      <c r="B9" s="11" t="s">
        <v>1</v>
      </c>
      <c r="C9" s="10" t="s">
        <v>23</v>
      </c>
      <c r="D9" s="10"/>
      <c r="E9" s="10"/>
      <c r="F9" s="12"/>
      <c r="G9" s="12"/>
      <c r="H9" s="12"/>
      <c r="I9" s="163"/>
      <c r="J9" s="163"/>
      <c r="K9" s="163"/>
      <c r="L9" s="163"/>
      <c r="M9" s="163"/>
      <c r="N9" s="163"/>
      <c r="O9" s="25">
        <f>SUM(F9:H9)</f>
        <v>0</v>
      </c>
    </row>
    <row r="10" spans="1:18" x14ac:dyDescent="0.2">
      <c r="A10" s="10"/>
      <c r="B10" s="11" t="s">
        <v>2</v>
      </c>
      <c r="C10" s="10" t="s">
        <v>24</v>
      </c>
      <c r="D10" s="10"/>
      <c r="E10" s="10"/>
      <c r="F10" s="12"/>
      <c r="G10" s="12"/>
      <c r="H10" s="12"/>
      <c r="I10" s="163"/>
      <c r="J10" s="163"/>
      <c r="K10" s="163"/>
      <c r="L10" s="163"/>
      <c r="M10" s="163"/>
      <c r="N10" s="163"/>
      <c r="O10" s="25">
        <f>SUM(F10:H10)</f>
        <v>0</v>
      </c>
    </row>
    <row r="11" spans="1:18" x14ac:dyDescent="0.2">
      <c r="A11" s="10"/>
      <c r="B11" s="11" t="s">
        <v>3</v>
      </c>
      <c r="C11" s="10" t="s">
        <v>25</v>
      </c>
      <c r="D11" s="10"/>
      <c r="E11" s="10"/>
      <c r="F11" s="12">
        <f>'Rental, Hosting &amp; Sponsorships'!F12</f>
        <v>0</v>
      </c>
      <c r="G11" s="12">
        <f>'Rental, Hosting &amp; Sponsorships'!G12</f>
        <v>0</v>
      </c>
      <c r="H11" s="12">
        <f>'Rental, Hosting &amp; Sponsorships'!H12</f>
        <v>0</v>
      </c>
      <c r="I11" s="163"/>
      <c r="J11" s="163"/>
      <c r="K11" s="163"/>
      <c r="L11" s="163"/>
      <c r="M11" s="163"/>
      <c r="N11" s="163"/>
      <c r="O11" s="25">
        <f>SUM(F11:H11)</f>
        <v>0</v>
      </c>
    </row>
    <row r="12" spans="1:18" x14ac:dyDescent="0.2">
      <c r="A12" s="10"/>
      <c r="B12" s="11" t="s">
        <v>67</v>
      </c>
      <c r="C12" s="10"/>
      <c r="D12" s="10"/>
      <c r="E12" s="10"/>
      <c r="F12" s="12">
        <f>'Rental, Hosting &amp; Sponsorships'!F6</f>
        <v>0</v>
      </c>
      <c r="G12" s="12">
        <f>'Rental, Hosting &amp; Sponsorships'!G6</f>
        <v>0</v>
      </c>
      <c r="H12" s="12">
        <f>'Rental, Hosting &amp; Sponsorships'!H6</f>
        <v>0</v>
      </c>
      <c r="I12" s="163"/>
      <c r="J12" s="163"/>
      <c r="K12" s="163"/>
      <c r="L12" s="163"/>
      <c r="M12" s="163"/>
      <c r="N12" s="163"/>
      <c r="O12" s="25">
        <f>SUM(F12:H12)</f>
        <v>0</v>
      </c>
    </row>
    <row r="13" spans="1:18" x14ac:dyDescent="0.2">
      <c r="A13" s="10"/>
      <c r="B13" s="11" t="s">
        <v>4</v>
      </c>
      <c r="C13" s="10" t="s">
        <v>26</v>
      </c>
      <c r="D13" s="10"/>
      <c r="E13" s="10"/>
      <c r="F13" s="12"/>
      <c r="G13" s="12"/>
      <c r="H13" s="12"/>
      <c r="I13" s="163"/>
      <c r="J13" s="163"/>
      <c r="K13" s="163"/>
      <c r="L13" s="163"/>
      <c r="M13" s="163"/>
      <c r="N13" s="163"/>
      <c r="O13" s="25">
        <f>SUM(F13:H13)</f>
        <v>0</v>
      </c>
    </row>
    <row r="14" spans="1:18" s="3" customFormat="1" x14ac:dyDescent="0.2">
      <c r="A14" s="13" t="s">
        <v>5</v>
      </c>
      <c r="B14" s="13"/>
      <c r="C14" s="13"/>
      <c r="D14" s="13"/>
      <c r="E14" s="14">
        <f t="shared" ref="E14:H14" si="0">SUM(E6:E13)</f>
        <v>6908850</v>
      </c>
      <c r="F14" s="14">
        <f t="shared" si="0"/>
        <v>0</v>
      </c>
      <c r="G14" s="14">
        <f t="shared" si="0"/>
        <v>133916648</v>
      </c>
      <c r="H14" s="14">
        <f t="shared" si="0"/>
        <v>0</v>
      </c>
      <c r="I14" s="14">
        <f t="shared" ref="I14:N14" si="1">SUM(I6:I13)</f>
        <v>85159576.379999995</v>
      </c>
      <c r="J14" s="14">
        <f t="shared" si="1"/>
        <v>0</v>
      </c>
      <c r="K14" s="14">
        <f t="shared" si="1"/>
        <v>0</v>
      </c>
      <c r="L14" s="14">
        <f t="shared" si="1"/>
        <v>119136963.62</v>
      </c>
      <c r="M14" s="14">
        <f t="shared" si="1"/>
        <v>0</v>
      </c>
      <c r="N14" s="14">
        <f t="shared" si="1"/>
        <v>0</v>
      </c>
      <c r="O14" s="28">
        <f>SUM(O6:O13)</f>
        <v>345122038</v>
      </c>
      <c r="P14" s="113"/>
    </row>
    <row r="15" spans="1:18" x14ac:dyDescent="0.2">
      <c r="F15" s="6"/>
      <c r="G15" s="6"/>
      <c r="H15" s="6"/>
      <c r="I15" s="6"/>
      <c r="J15" s="6"/>
      <c r="K15" s="6"/>
      <c r="L15" s="6"/>
      <c r="M15" s="6"/>
      <c r="N15" s="6"/>
    </row>
    <row r="16" spans="1:18" x14ac:dyDescent="0.2">
      <c r="D16" s="197">
        <v>19136963.620000001</v>
      </c>
      <c r="F16" s="6"/>
      <c r="G16" s="6"/>
      <c r="H16" s="6"/>
      <c r="I16" s="6"/>
      <c r="J16" s="6"/>
      <c r="K16" s="6"/>
      <c r="L16" s="6"/>
      <c r="M16" s="6"/>
      <c r="N16" s="6"/>
    </row>
    <row r="17" spans="1:16" x14ac:dyDescent="0.2">
      <c r="F17" s="6"/>
      <c r="G17" s="6"/>
      <c r="H17" s="6"/>
      <c r="I17" s="6"/>
      <c r="J17" s="6"/>
      <c r="K17" s="6"/>
      <c r="L17" s="6"/>
      <c r="M17" s="6"/>
      <c r="N17" s="6"/>
    </row>
    <row r="18" spans="1:16" x14ac:dyDescent="0.2">
      <c r="A18" s="7" t="s">
        <v>6</v>
      </c>
      <c r="B18" s="8"/>
      <c r="C18" s="8"/>
      <c r="D18" s="8"/>
      <c r="E18" s="8"/>
      <c r="F18" s="9"/>
      <c r="G18" s="9"/>
      <c r="H18" s="9"/>
      <c r="I18" s="9"/>
      <c r="J18" s="9"/>
      <c r="K18" s="9"/>
      <c r="L18" s="9"/>
      <c r="M18" s="9"/>
      <c r="N18" s="9"/>
      <c r="O18" s="9"/>
    </row>
    <row r="19" spans="1:16" s="106" customFormat="1" x14ac:dyDescent="0.2">
      <c r="A19" s="103"/>
      <c r="B19" s="104" t="s">
        <v>7</v>
      </c>
      <c r="C19" s="103" t="s">
        <v>27</v>
      </c>
      <c r="D19" s="103"/>
      <c r="E19" s="120">
        <f>Salaries1!F27</f>
        <v>14571000</v>
      </c>
      <c r="F19" s="105">
        <f>Salaries1!G27</f>
        <v>14571000</v>
      </c>
      <c r="G19" s="105">
        <f>Salaries1!H48</f>
        <v>0</v>
      </c>
      <c r="H19" s="105">
        <f>Salaries1!I27</f>
        <v>14571000</v>
      </c>
      <c r="I19" s="105">
        <f>Salaries1!J27</f>
        <v>14571000</v>
      </c>
      <c r="J19" s="105">
        <f>Salaries1!K27</f>
        <v>14571000</v>
      </c>
      <c r="K19" s="105">
        <f>Salaries1!L27</f>
        <v>14571000</v>
      </c>
      <c r="L19" s="105">
        <f>Salaries1!M27</f>
        <v>14571000</v>
      </c>
      <c r="M19" s="105">
        <f>Salaries1!N27</f>
        <v>14571000</v>
      </c>
      <c r="N19" s="105">
        <f>Salaries1!O27+Salaries1!O27</f>
        <v>29142000</v>
      </c>
      <c r="O19" s="105">
        <f>SUM(E19:N19)</f>
        <v>145710000</v>
      </c>
      <c r="P19" s="114"/>
    </row>
    <row r="20" spans="1:16" x14ac:dyDescent="0.2">
      <c r="B20" s="5"/>
      <c r="F20" s="6"/>
      <c r="G20" s="6"/>
      <c r="H20" s="6"/>
      <c r="I20" s="6"/>
      <c r="J20" s="6"/>
      <c r="K20" s="6"/>
      <c r="L20" s="6"/>
      <c r="M20" s="6"/>
      <c r="N20" s="6"/>
    </row>
    <row r="21" spans="1:16" x14ac:dyDescent="0.2">
      <c r="B21" s="5"/>
      <c r="F21" s="6"/>
      <c r="G21" s="6"/>
      <c r="H21" s="6"/>
      <c r="I21" s="6"/>
      <c r="J21" s="6"/>
      <c r="K21" s="6"/>
      <c r="L21" s="6"/>
      <c r="M21" s="6"/>
      <c r="N21" s="6"/>
    </row>
    <row r="22" spans="1:16" x14ac:dyDescent="0.2">
      <c r="B22" s="2" t="s">
        <v>41</v>
      </c>
      <c r="C22" t="s">
        <v>170</v>
      </c>
      <c r="F22" s="6"/>
      <c r="G22" s="6"/>
      <c r="H22" s="6"/>
      <c r="I22" s="6"/>
      <c r="J22" s="6"/>
      <c r="K22" s="6"/>
      <c r="L22" s="6"/>
      <c r="M22" s="6"/>
      <c r="N22" s="6"/>
    </row>
    <row r="23" spans="1:16" s="129" customFormat="1" ht="16" x14ac:dyDescent="0.2">
      <c r="A23" s="124"/>
      <c r="B23" s="125" t="s">
        <v>136</v>
      </c>
      <c r="C23" s="124"/>
      <c r="D23" s="124"/>
      <c r="E23" s="124"/>
      <c r="F23" s="126"/>
      <c r="G23" s="126">
        <f>1201234*8</f>
        <v>9609872</v>
      </c>
      <c r="H23" s="126"/>
      <c r="I23" s="164"/>
      <c r="J23" s="164"/>
      <c r="K23" s="164"/>
      <c r="L23" s="164"/>
      <c r="M23" s="164"/>
      <c r="N23" s="164"/>
      <c r="O23" s="127">
        <f>SUM(E23:N23)</f>
        <v>9609872</v>
      </c>
      <c r="P23" s="128" t="s">
        <v>161</v>
      </c>
    </row>
    <row r="24" spans="1:16" s="129" customFormat="1" ht="16" x14ac:dyDescent="0.2">
      <c r="A24" s="124"/>
      <c r="B24" s="125" t="s">
        <v>134</v>
      </c>
      <c r="C24" s="124"/>
      <c r="D24" s="124"/>
      <c r="E24" s="124"/>
      <c r="F24" s="126"/>
      <c r="G24" s="133">
        <f>1982000</f>
        <v>1982000</v>
      </c>
      <c r="H24" s="126"/>
      <c r="I24" s="164"/>
      <c r="J24" s="164"/>
      <c r="K24" s="164"/>
      <c r="L24" s="164"/>
      <c r="M24" s="164"/>
      <c r="N24" s="164"/>
      <c r="O24" s="127">
        <f t="shared" ref="O24:O39" si="2">SUM(E24:N24)</f>
        <v>1982000</v>
      </c>
      <c r="P24" s="128" t="s">
        <v>158</v>
      </c>
    </row>
    <row r="25" spans="1:16" s="129" customFormat="1" ht="16" x14ac:dyDescent="0.2">
      <c r="A25" s="124"/>
      <c r="B25" s="125" t="s">
        <v>130</v>
      </c>
      <c r="C25" s="124"/>
      <c r="D25" s="124"/>
      <c r="E25" s="124"/>
      <c r="F25" s="126"/>
      <c r="G25" s="126">
        <f>38000*8</f>
        <v>304000</v>
      </c>
      <c r="H25" s="126"/>
      <c r="I25" s="164"/>
      <c r="J25" s="164"/>
      <c r="K25" s="164"/>
      <c r="L25" s="164"/>
      <c r="M25" s="164"/>
      <c r="N25" s="164"/>
      <c r="O25" s="127">
        <f t="shared" si="2"/>
        <v>304000</v>
      </c>
      <c r="P25" s="128" t="s">
        <v>161</v>
      </c>
    </row>
    <row r="26" spans="1:16" s="129" customFormat="1" ht="16" x14ac:dyDescent="0.2">
      <c r="A26" s="124"/>
      <c r="B26" s="125" t="s">
        <v>131</v>
      </c>
      <c r="C26" s="124"/>
      <c r="D26" s="124"/>
      <c r="E26" s="124"/>
      <c r="F26" s="126"/>
      <c r="G26" s="126">
        <v>679000</v>
      </c>
      <c r="H26" s="126"/>
      <c r="I26" s="164"/>
      <c r="J26" s="164"/>
      <c r="K26" s="164"/>
      <c r="L26" s="164"/>
      <c r="M26" s="164"/>
      <c r="N26" s="164"/>
      <c r="O26" s="127">
        <f t="shared" si="2"/>
        <v>679000</v>
      </c>
      <c r="P26" s="128" t="s">
        <v>135</v>
      </c>
    </row>
    <row r="27" spans="1:16" s="129" customFormat="1" ht="16" x14ac:dyDescent="0.2">
      <c r="A27" s="124"/>
      <c r="B27" s="125" t="s">
        <v>168</v>
      </c>
      <c r="C27" s="124"/>
      <c r="D27" s="124"/>
      <c r="E27" s="124"/>
      <c r="F27" s="126"/>
      <c r="G27" s="126">
        <v>200000</v>
      </c>
      <c r="H27" s="126"/>
      <c r="I27" s="164"/>
      <c r="J27" s="164"/>
      <c r="K27" s="164"/>
      <c r="L27" s="164"/>
      <c r="M27" s="164"/>
      <c r="N27" s="164"/>
      <c r="O27" s="127">
        <f t="shared" si="2"/>
        <v>200000</v>
      </c>
      <c r="P27" s="128" t="s">
        <v>169</v>
      </c>
    </row>
    <row r="28" spans="1:16" ht="16" x14ac:dyDescent="0.2">
      <c r="A28" s="10"/>
      <c r="B28" s="17" t="s">
        <v>132</v>
      </c>
      <c r="C28" s="10"/>
      <c r="D28" s="10"/>
      <c r="E28" s="16">
        <v>240000</v>
      </c>
      <c r="F28" s="16">
        <v>240000</v>
      </c>
      <c r="G28" s="16">
        <v>1328000</v>
      </c>
      <c r="H28" s="16">
        <v>1328000</v>
      </c>
      <c r="I28" s="16">
        <v>1328000</v>
      </c>
      <c r="J28" s="16">
        <v>1328000</v>
      </c>
      <c r="K28" s="16">
        <v>1328000</v>
      </c>
      <c r="L28" s="16">
        <v>1328000</v>
      </c>
      <c r="M28" s="16">
        <v>1328000</v>
      </c>
      <c r="N28" s="16">
        <v>1328000</v>
      </c>
      <c r="O28" s="127">
        <f t="shared" si="2"/>
        <v>11104000</v>
      </c>
      <c r="P28" s="112" t="s">
        <v>227</v>
      </c>
    </row>
    <row r="29" spans="1:16" x14ac:dyDescent="0.2">
      <c r="A29" s="10"/>
      <c r="B29" s="17" t="s">
        <v>159</v>
      </c>
      <c r="C29" s="10"/>
      <c r="D29" s="10"/>
      <c r="E29" s="10"/>
      <c r="F29" s="16"/>
      <c r="G29" s="16">
        <v>300000</v>
      </c>
      <c r="H29" s="16">
        <v>300000</v>
      </c>
      <c r="I29" s="16">
        <v>300000</v>
      </c>
      <c r="J29" s="16">
        <v>300000</v>
      </c>
      <c r="K29" s="16">
        <v>300000</v>
      </c>
      <c r="L29" s="16">
        <v>300000</v>
      </c>
      <c r="M29" s="16">
        <v>300000</v>
      </c>
      <c r="N29" s="16">
        <v>300000</v>
      </c>
      <c r="O29" s="127">
        <f t="shared" si="2"/>
        <v>2400000</v>
      </c>
    </row>
    <row r="30" spans="1:16" ht="16" x14ac:dyDescent="0.2">
      <c r="A30" s="10"/>
      <c r="B30" s="17" t="s">
        <v>39</v>
      </c>
      <c r="C30" s="10"/>
      <c r="D30" s="10"/>
      <c r="E30" s="10"/>
      <c r="F30" s="16">
        <f>172000+136000+300000+800000+4429000</f>
        <v>5837000</v>
      </c>
      <c r="G30" s="16">
        <v>1500000</v>
      </c>
      <c r="H30" s="16">
        <v>1500000</v>
      </c>
      <c r="I30" s="16">
        <v>1500000</v>
      </c>
      <c r="J30" s="16">
        <v>1500000</v>
      </c>
      <c r="K30" s="16">
        <v>1500000</v>
      </c>
      <c r="L30" s="16">
        <v>1500000</v>
      </c>
      <c r="M30" s="16">
        <v>1500000</v>
      </c>
      <c r="N30" s="16">
        <v>1500000</v>
      </c>
      <c r="O30" s="127">
        <f t="shared" si="2"/>
        <v>17837000</v>
      </c>
      <c r="P30" s="112" t="s">
        <v>229</v>
      </c>
    </row>
    <row r="31" spans="1:16" ht="32" x14ac:dyDescent="0.2">
      <c r="A31" s="10"/>
      <c r="B31" s="17" t="s">
        <v>40</v>
      </c>
      <c r="C31" s="10"/>
      <c r="D31" s="10"/>
      <c r="E31" s="10"/>
      <c r="F31" s="16"/>
      <c r="G31" s="16">
        <v>1000000</v>
      </c>
      <c r="H31" s="16">
        <v>1000000</v>
      </c>
      <c r="I31" s="16">
        <v>920000</v>
      </c>
      <c r="J31" s="16">
        <v>920000</v>
      </c>
      <c r="K31" s="16">
        <v>920000</v>
      </c>
      <c r="L31" s="16">
        <v>920000</v>
      </c>
      <c r="M31" s="16">
        <v>920000</v>
      </c>
      <c r="N31" s="16">
        <v>920000</v>
      </c>
      <c r="O31" s="127">
        <f t="shared" si="2"/>
        <v>7520000</v>
      </c>
      <c r="P31" s="112" t="s">
        <v>189</v>
      </c>
    </row>
    <row r="32" spans="1:16" ht="15.5" customHeight="1" x14ac:dyDescent="0.2">
      <c r="A32" s="10"/>
      <c r="B32" s="17" t="s">
        <v>137</v>
      </c>
      <c r="C32" s="10"/>
      <c r="D32" s="10"/>
      <c r="E32" s="10"/>
      <c r="F32" s="16"/>
      <c r="G32" s="16"/>
      <c r="H32" s="16">
        <v>2000000</v>
      </c>
      <c r="I32" s="165"/>
      <c r="J32" s="165"/>
      <c r="K32" s="165">
        <v>2000000</v>
      </c>
      <c r="L32" s="165"/>
      <c r="M32" s="165"/>
      <c r="N32" s="165">
        <v>2000000</v>
      </c>
      <c r="O32" s="127">
        <f t="shared" si="2"/>
        <v>6000000</v>
      </c>
      <c r="P32" s="112" t="s">
        <v>155</v>
      </c>
    </row>
    <row r="33" spans="1:16" ht="15.5" customHeight="1" x14ac:dyDescent="0.2">
      <c r="A33" s="10"/>
      <c r="B33" s="17" t="s">
        <v>138</v>
      </c>
      <c r="C33" s="10"/>
      <c r="D33" s="10"/>
      <c r="E33" s="10"/>
      <c r="F33" s="16"/>
      <c r="G33" s="16"/>
      <c r="H33" s="16"/>
      <c r="I33" s="165"/>
      <c r="J33" s="165"/>
      <c r="K33" s="165"/>
      <c r="L33" s="165"/>
      <c r="M33" s="165"/>
      <c r="N33" s="165"/>
      <c r="O33" s="127">
        <f t="shared" si="2"/>
        <v>0</v>
      </c>
      <c r="P33" s="112" t="s">
        <v>186</v>
      </c>
    </row>
    <row r="34" spans="1:16" ht="15.5" customHeight="1" x14ac:dyDescent="0.2">
      <c r="A34" s="10"/>
      <c r="B34" s="17" t="s">
        <v>139</v>
      </c>
      <c r="C34" s="10"/>
      <c r="D34" s="10"/>
      <c r="E34" s="10"/>
      <c r="F34" s="16"/>
      <c r="G34" s="16">
        <v>250000</v>
      </c>
      <c r="H34" s="16">
        <v>250000</v>
      </c>
      <c r="I34" s="16">
        <v>250000</v>
      </c>
      <c r="J34" s="16">
        <v>250000</v>
      </c>
      <c r="K34" s="16">
        <v>250000</v>
      </c>
      <c r="L34" s="16">
        <v>250000</v>
      </c>
      <c r="M34" s="16">
        <v>250000</v>
      </c>
      <c r="N34" s="16">
        <v>250000</v>
      </c>
      <c r="O34" s="127">
        <f t="shared" si="2"/>
        <v>2000000</v>
      </c>
      <c r="P34" s="112" t="s">
        <v>155</v>
      </c>
    </row>
    <row r="35" spans="1:16" ht="15.5" customHeight="1" x14ac:dyDescent="0.2">
      <c r="A35" s="10"/>
      <c r="B35" s="17" t="s">
        <v>140</v>
      </c>
      <c r="C35" s="10"/>
      <c r="D35" s="10"/>
      <c r="E35" s="10"/>
      <c r="F35" s="16"/>
      <c r="G35" s="16">
        <v>400000</v>
      </c>
      <c r="H35" s="16">
        <v>400000</v>
      </c>
      <c r="I35" s="16">
        <v>400000</v>
      </c>
      <c r="J35" s="16">
        <v>400000</v>
      </c>
      <c r="K35" s="16">
        <v>400000</v>
      </c>
      <c r="L35" s="16">
        <v>400000</v>
      </c>
      <c r="M35" s="16">
        <v>400000</v>
      </c>
      <c r="N35" s="16">
        <v>400000</v>
      </c>
      <c r="O35" s="127">
        <f t="shared" si="2"/>
        <v>3200000</v>
      </c>
      <c r="P35" s="112" t="s">
        <v>155</v>
      </c>
    </row>
    <row r="36" spans="1:16" s="129" customFormat="1" ht="15.5" customHeight="1" x14ac:dyDescent="0.2">
      <c r="A36" s="124"/>
      <c r="B36" s="130" t="s">
        <v>141</v>
      </c>
      <c r="C36" s="124"/>
      <c r="D36" s="124"/>
      <c r="E36" s="124"/>
      <c r="F36" s="126"/>
      <c r="G36" s="126"/>
      <c r="H36" s="126"/>
      <c r="I36" s="164"/>
      <c r="J36" s="164"/>
      <c r="K36" s="164"/>
      <c r="L36" s="164"/>
      <c r="M36" s="164"/>
      <c r="N36" s="164"/>
      <c r="O36" s="127">
        <f t="shared" si="2"/>
        <v>0</v>
      </c>
      <c r="P36" s="128" t="s">
        <v>154</v>
      </c>
    </row>
    <row r="37" spans="1:16" s="129" customFormat="1" ht="15.5" customHeight="1" x14ac:dyDescent="0.2">
      <c r="A37" s="124"/>
      <c r="B37" s="130" t="s">
        <v>142</v>
      </c>
      <c r="C37" s="124"/>
      <c r="D37" s="124"/>
      <c r="E37" s="124"/>
      <c r="F37" s="126"/>
      <c r="G37" s="126"/>
      <c r="H37" s="126"/>
      <c r="I37" s="164"/>
      <c r="J37" s="164"/>
      <c r="K37" s="164"/>
      <c r="L37" s="164"/>
      <c r="M37" s="164"/>
      <c r="N37" s="164"/>
      <c r="O37" s="127">
        <f t="shared" si="2"/>
        <v>0</v>
      </c>
      <c r="P37" s="128" t="s">
        <v>154</v>
      </c>
    </row>
    <row r="38" spans="1:16" ht="15.5" customHeight="1" x14ac:dyDescent="0.2">
      <c r="A38" s="10"/>
      <c r="B38" s="17" t="s">
        <v>160</v>
      </c>
      <c r="C38" s="10"/>
      <c r="D38" s="10"/>
      <c r="E38" s="10"/>
      <c r="F38" s="16">
        <v>3000000</v>
      </c>
      <c r="G38" s="16">
        <v>3000000</v>
      </c>
      <c r="H38" s="16">
        <v>3000000</v>
      </c>
      <c r="I38" s="16">
        <v>3000000</v>
      </c>
      <c r="J38" s="16">
        <v>3000000</v>
      </c>
      <c r="K38" s="16">
        <v>3000000</v>
      </c>
      <c r="L38" s="16">
        <v>3000000</v>
      </c>
      <c r="M38" s="16">
        <v>3000000</v>
      </c>
      <c r="N38" s="16">
        <v>3000000</v>
      </c>
      <c r="O38" s="127">
        <f t="shared" si="2"/>
        <v>27000000</v>
      </c>
      <c r="P38" s="112" t="s">
        <v>156</v>
      </c>
    </row>
    <row r="39" spans="1:16" s="129" customFormat="1" ht="58" customHeight="1" x14ac:dyDescent="0.2">
      <c r="A39" s="124"/>
      <c r="B39" s="130" t="s">
        <v>143</v>
      </c>
      <c r="C39" s="124"/>
      <c r="D39" s="124"/>
      <c r="E39" s="124"/>
      <c r="G39" s="126"/>
      <c r="H39" s="126">
        <v>10735000</v>
      </c>
      <c r="I39" s="164"/>
      <c r="J39" s="164"/>
      <c r="K39" s="164"/>
      <c r="L39" s="164"/>
      <c r="M39" s="164"/>
      <c r="N39" s="164"/>
      <c r="O39" s="127">
        <f t="shared" si="2"/>
        <v>10735000</v>
      </c>
      <c r="P39" s="128" t="s">
        <v>184</v>
      </c>
    </row>
    <row r="40" spans="1:16" s="3" customFormat="1" x14ac:dyDescent="0.2">
      <c r="A40" s="13"/>
      <c r="B40" s="13"/>
      <c r="C40" s="13"/>
      <c r="D40" s="13"/>
      <c r="E40" s="14">
        <f>SUM(E23:E39)</f>
        <v>240000</v>
      </c>
      <c r="F40" s="14">
        <f>SUM(F23:F39)</f>
        <v>9077000</v>
      </c>
      <c r="G40" s="14">
        <f>SUM(G23:G39)</f>
        <v>20552872</v>
      </c>
      <c r="H40" s="14">
        <f>SUM(H23:H39)</f>
        <v>20513000</v>
      </c>
      <c r="I40" s="14">
        <f t="shared" ref="I40:K40" si="3">SUM(I23:I39)</f>
        <v>7698000</v>
      </c>
      <c r="J40" s="14">
        <f t="shared" si="3"/>
        <v>7698000</v>
      </c>
      <c r="K40" s="14">
        <f t="shared" si="3"/>
        <v>9698000</v>
      </c>
      <c r="L40" s="14">
        <f t="shared" ref="L40" si="4">SUM(L23:L39)</f>
        <v>7698000</v>
      </c>
      <c r="M40" s="14">
        <f t="shared" ref="M40" si="5">SUM(M23:M39)</f>
        <v>7698000</v>
      </c>
      <c r="N40" s="14">
        <f t="shared" ref="N40" si="6">SUM(N23:N39)</f>
        <v>9698000</v>
      </c>
      <c r="O40" s="28">
        <f>SUM(O23:O39)</f>
        <v>100570872</v>
      </c>
      <c r="P40" s="113"/>
    </row>
    <row r="41" spans="1:16" s="3" customFormat="1" x14ac:dyDescent="0.2">
      <c r="E41" s="138"/>
      <c r="F41" s="138"/>
      <c r="G41" s="138"/>
      <c r="H41" s="138"/>
      <c r="I41" s="138"/>
      <c r="J41" s="138"/>
      <c r="K41" s="138"/>
      <c r="L41" s="138"/>
      <c r="M41" s="138"/>
      <c r="N41" s="138"/>
      <c r="O41" s="139"/>
      <c r="P41" s="113"/>
    </row>
    <row r="42" spans="1:16" ht="16" x14ac:dyDescent="0.2">
      <c r="B42" s="2" t="s">
        <v>59</v>
      </c>
      <c r="C42">
        <v>1.1000000000000001</v>
      </c>
      <c r="F42" s="6"/>
      <c r="G42" s="6"/>
      <c r="H42" s="6"/>
      <c r="I42" s="6"/>
      <c r="J42" s="6"/>
      <c r="K42" s="6"/>
      <c r="L42" s="6"/>
      <c r="M42" s="6"/>
      <c r="N42" s="6"/>
      <c r="P42" s="113" t="s">
        <v>146</v>
      </c>
    </row>
    <row r="43" spans="1:16" ht="32" x14ac:dyDescent="0.2">
      <c r="A43" s="10"/>
      <c r="B43" s="15" t="s">
        <v>54</v>
      </c>
      <c r="C43" s="10"/>
      <c r="D43" s="10"/>
      <c r="E43" s="10"/>
      <c r="F43" s="20"/>
      <c r="G43" s="20">
        <v>2251027</v>
      </c>
      <c r="H43" s="20"/>
      <c r="I43" s="20"/>
      <c r="J43" s="20"/>
      <c r="K43" s="20"/>
      <c r="L43" s="20">
        <f>G43*C42</f>
        <v>2476129.7000000002</v>
      </c>
      <c r="M43" s="20"/>
      <c r="N43" s="20"/>
      <c r="O43" s="23">
        <f>SUM(E43:N43)</f>
        <v>4727156.7</v>
      </c>
      <c r="P43" s="112" t="s">
        <v>217</v>
      </c>
    </row>
    <row r="44" spans="1:16" ht="32" x14ac:dyDescent="0.2">
      <c r="A44" s="10"/>
      <c r="B44" s="15" t="s">
        <v>144</v>
      </c>
      <c r="C44" s="10"/>
      <c r="D44" s="10"/>
      <c r="E44" s="10"/>
      <c r="F44" s="20"/>
      <c r="G44" s="20">
        <v>5478430</v>
      </c>
      <c r="H44" s="20"/>
      <c r="I44" s="20"/>
      <c r="J44" s="20"/>
      <c r="K44" s="20"/>
      <c r="L44" s="20">
        <f>G44*C42</f>
        <v>6026273.0000000009</v>
      </c>
      <c r="M44" s="20"/>
      <c r="N44" s="20"/>
      <c r="O44" s="23">
        <f t="shared" ref="O44:O50" si="7">SUM(E44:N44)</f>
        <v>11504703</v>
      </c>
      <c r="P44" s="112" t="s">
        <v>217</v>
      </c>
    </row>
    <row r="45" spans="1:16" ht="32" x14ac:dyDescent="0.2">
      <c r="A45" s="10"/>
      <c r="B45" s="15" t="s">
        <v>145</v>
      </c>
      <c r="C45" s="10"/>
      <c r="D45" s="10"/>
      <c r="E45" s="10"/>
      <c r="F45" s="20"/>
      <c r="G45" s="20">
        <v>3214346</v>
      </c>
      <c r="H45" s="20"/>
      <c r="I45" s="20"/>
      <c r="J45" s="20"/>
      <c r="K45" s="20"/>
      <c r="L45" s="20">
        <f>G45*C42</f>
        <v>3535780.6</v>
      </c>
      <c r="M45" s="20"/>
      <c r="N45" s="20"/>
      <c r="O45" s="23">
        <f t="shared" si="7"/>
        <v>6750126.5999999996</v>
      </c>
      <c r="P45" s="112" t="s">
        <v>217</v>
      </c>
    </row>
    <row r="46" spans="1:16" ht="16" x14ac:dyDescent="0.2">
      <c r="A46" s="10"/>
      <c r="B46" s="15" t="s">
        <v>149</v>
      </c>
      <c r="C46" s="10"/>
      <c r="D46" s="10"/>
      <c r="E46" s="10"/>
      <c r="F46" s="20"/>
      <c r="G46" s="20">
        <v>4017435</v>
      </c>
      <c r="H46" s="20"/>
      <c r="I46" s="20"/>
      <c r="J46" s="20"/>
      <c r="K46" s="20"/>
      <c r="L46" s="20">
        <f>G46</f>
        <v>4017435</v>
      </c>
      <c r="M46" s="20"/>
      <c r="N46" s="20"/>
      <c r="O46" s="23">
        <f t="shared" si="7"/>
        <v>8034870</v>
      </c>
      <c r="P46" s="192" t="s">
        <v>152</v>
      </c>
    </row>
    <row r="47" spans="1:16" ht="16" x14ac:dyDescent="0.2">
      <c r="A47" s="10"/>
      <c r="B47" s="15" t="s">
        <v>207</v>
      </c>
      <c r="C47" s="10"/>
      <c r="D47" s="10"/>
      <c r="E47" s="10"/>
      <c r="F47" s="20"/>
      <c r="G47" s="20">
        <v>548642</v>
      </c>
      <c r="H47" s="20"/>
      <c r="I47" s="20"/>
      <c r="J47" s="20"/>
      <c r="K47" s="20"/>
      <c r="L47" s="20">
        <f>G47</f>
        <v>548642</v>
      </c>
      <c r="M47" s="20"/>
      <c r="N47" s="20"/>
      <c r="O47" s="23">
        <f t="shared" si="7"/>
        <v>1097284</v>
      </c>
      <c r="P47" s="112" t="s">
        <v>221</v>
      </c>
    </row>
    <row r="48" spans="1:16" ht="16" x14ac:dyDescent="0.2">
      <c r="A48" s="10"/>
      <c r="B48" s="17" t="s">
        <v>56</v>
      </c>
      <c r="C48" s="10"/>
      <c r="D48" s="10"/>
      <c r="E48" s="10"/>
      <c r="F48" s="20"/>
      <c r="G48" s="20"/>
      <c r="H48" s="20">
        <v>750000</v>
      </c>
      <c r="I48" s="20"/>
      <c r="J48" s="20"/>
      <c r="K48" s="20">
        <v>750000</v>
      </c>
      <c r="L48" s="20"/>
      <c r="M48" s="20"/>
      <c r="N48" s="20">
        <v>750000</v>
      </c>
      <c r="O48" s="23">
        <f t="shared" si="7"/>
        <v>2250000</v>
      </c>
      <c r="P48" s="112" t="s">
        <v>222</v>
      </c>
    </row>
    <row r="49" spans="1:16" ht="32" x14ac:dyDescent="0.2">
      <c r="A49" s="10"/>
      <c r="B49" s="17" t="s">
        <v>57</v>
      </c>
      <c r="C49" s="10"/>
      <c r="D49" s="10"/>
      <c r="E49" s="10"/>
      <c r="F49" s="20"/>
      <c r="G49" s="20"/>
      <c r="H49" s="20">
        <v>2000000</v>
      </c>
      <c r="I49" s="20"/>
      <c r="J49" s="20"/>
      <c r="K49" s="20">
        <v>2000000</v>
      </c>
      <c r="L49" s="20"/>
      <c r="M49" s="20"/>
      <c r="N49" s="20">
        <v>2000000</v>
      </c>
      <c r="O49" s="23">
        <f t="shared" si="7"/>
        <v>6000000</v>
      </c>
      <c r="P49" s="112" t="s">
        <v>151</v>
      </c>
    </row>
    <row r="50" spans="1:16" ht="16" x14ac:dyDescent="0.2">
      <c r="A50" s="10"/>
      <c r="B50" s="17" t="s">
        <v>58</v>
      </c>
      <c r="C50" s="10"/>
      <c r="D50" s="10"/>
      <c r="E50" s="10"/>
      <c r="G50" s="20">
        <v>300000</v>
      </c>
      <c r="H50" s="20">
        <v>300000</v>
      </c>
      <c r="I50" s="20">
        <v>300000</v>
      </c>
      <c r="J50" s="20">
        <v>300000</v>
      </c>
      <c r="K50" s="20">
        <v>300000</v>
      </c>
      <c r="L50" s="20">
        <v>300000</v>
      </c>
      <c r="M50" s="20">
        <v>300000</v>
      </c>
      <c r="N50" s="20">
        <v>300000</v>
      </c>
      <c r="O50" s="23">
        <f t="shared" si="7"/>
        <v>2400000</v>
      </c>
      <c r="P50" s="112" t="s">
        <v>150</v>
      </c>
    </row>
    <row r="51" spans="1:16" s="3" customFormat="1" x14ac:dyDescent="0.2">
      <c r="A51" s="13"/>
      <c r="B51" s="13"/>
      <c r="C51" s="13"/>
      <c r="D51" s="13"/>
      <c r="E51" s="14">
        <f>SUM(E43:E50)</f>
        <v>0</v>
      </c>
      <c r="F51" s="14">
        <f>SUM(F43:F50)</f>
        <v>0</v>
      </c>
      <c r="G51" s="14">
        <f>SUM(G43:G50)</f>
        <v>15809880</v>
      </c>
      <c r="H51" s="14">
        <f>SUM(H43:H50)</f>
        <v>3050000</v>
      </c>
      <c r="I51" s="14">
        <f t="shared" ref="I51:K51" si="8">SUM(I43:I50)</f>
        <v>300000</v>
      </c>
      <c r="J51" s="14">
        <f t="shared" si="8"/>
        <v>300000</v>
      </c>
      <c r="K51" s="14">
        <f t="shared" si="8"/>
        <v>3050000</v>
      </c>
      <c r="L51" s="14">
        <f t="shared" ref="L51" si="9">SUM(L43:L50)</f>
        <v>16904260.300000001</v>
      </c>
      <c r="M51" s="14">
        <f t="shared" ref="M51" si="10">SUM(M43:M50)</f>
        <v>300000</v>
      </c>
      <c r="N51" s="14">
        <f t="shared" ref="N51" si="11">SUM(N43:N50)</f>
        <v>3050000</v>
      </c>
      <c r="O51" s="28">
        <f>SUM(O43:O50)</f>
        <v>42764140.299999997</v>
      </c>
      <c r="P51" s="113"/>
    </row>
    <row r="52" spans="1:16" x14ac:dyDescent="0.2">
      <c r="F52" s="6"/>
      <c r="G52" s="6"/>
      <c r="H52" s="6"/>
      <c r="I52" s="6"/>
      <c r="J52" s="6"/>
      <c r="K52" s="6"/>
      <c r="L52" s="6"/>
      <c r="M52" s="6"/>
      <c r="N52" s="6"/>
    </row>
    <row r="53" spans="1:16" x14ac:dyDescent="0.2">
      <c r="B53" s="3" t="s">
        <v>133</v>
      </c>
      <c r="C53" t="s">
        <v>29</v>
      </c>
      <c r="F53" s="6"/>
      <c r="G53" s="6"/>
      <c r="H53" s="6"/>
      <c r="I53" s="6"/>
      <c r="J53" s="6"/>
      <c r="K53" s="6"/>
      <c r="L53" s="6"/>
      <c r="M53" s="6"/>
      <c r="N53" s="6"/>
    </row>
    <row r="54" spans="1:16" s="129" customFormat="1" ht="32" x14ac:dyDescent="0.2">
      <c r="A54" s="124"/>
      <c r="B54" s="130" t="s">
        <v>177</v>
      </c>
      <c r="C54" s="124"/>
      <c r="D54" s="124"/>
      <c r="E54" s="124"/>
      <c r="F54" s="131"/>
      <c r="G54" s="131">
        <f>321528*8</f>
        <v>2572224</v>
      </c>
      <c r="H54" s="131"/>
      <c r="I54" s="131"/>
      <c r="J54" s="131"/>
      <c r="K54" s="131"/>
      <c r="L54" s="131"/>
      <c r="M54" s="131"/>
      <c r="N54" s="131"/>
      <c r="O54" s="132">
        <f>SUM(E54:N54)</f>
        <v>2572224</v>
      </c>
      <c r="P54" s="128" t="s">
        <v>181</v>
      </c>
    </row>
    <row r="55" spans="1:16" s="129" customFormat="1" ht="16" x14ac:dyDescent="0.2">
      <c r="A55" s="124"/>
      <c r="B55" s="125" t="s">
        <v>182</v>
      </c>
      <c r="C55" s="124"/>
      <c r="D55" s="124"/>
      <c r="E55" s="124"/>
      <c r="F55" s="131"/>
      <c r="G55" s="131">
        <f>499200*1.075</f>
        <v>536640</v>
      </c>
      <c r="H55" s="131"/>
      <c r="I55" s="131"/>
      <c r="J55" s="131"/>
      <c r="K55" s="131"/>
      <c r="L55" s="131"/>
      <c r="M55" s="131"/>
      <c r="N55" s="131"/>
      <c r="O55" s="132">
        <f t="shared" ref="O55:O59" si="12">SUM(E55:N55)</f>
        <v>536640</v>
      </c>
      <c r="P55" s="128" t="s">
        <v>161</v>
      </c>
    </row>
    <row r="56" spans="1:16" ht="32" x14ac:dyDescent="0.2">
      <c r="A56" s="10"/>
      <c r="B56" s="125" t="s">
        <v>111</v>
      </c>
      <c r="C56" s="10"/>
      <c r="D56" s="10"/>
      <c r="E56" s="10"/>
      <c r="F56" s="12"/>
      <c r="G56" s="131">
        <f>402202*8</f>
        <v>3217616</v>
      </c>
      <c r="H56" s="12"/>
      <c r="I56" s="12"/>
      <c r="J56" s="12"/>
      <c r="K56" s="12"/>
      <c r="L56" s="12"/>
      <c r="M56" s="12"/>
      <c r="N56" s="12"/>
      <c r="O56" s="132">
        <f t="shared" si="12"/>
        <v>3217616</v>
      </c>
      <c r="P56" s="112" t="s">
        <v>185</v>
      </c>
    </row>
    <row r="57" spans="1:16" s="129" customFormat="1" ht="16" x14ac:dyDescent="0.2">
      <c r="A57" s="124"/>
      <c r="B57" s="125" t="s">
        <v>153</v>
      </c>
      <c r="C57" s="124"/>
      <c r="D57" s="124"/>
      <c r="E57" s="124"/>
      <c r="F57" s="131"/>
      <c r="G57" s="133">
        <v>526622</v>
      </c>
      <c r="H57" s="131"/>
      <c r="I57" s="131"/>
      <c r="J57" s="131"/>
      <c r="K57" s="131"/>
      <c r="L57" s="131"/>
      <c r="M57" s="131"/>
      <c r="N57" s="131"/>
      <c r="O57" s="132">
        <f t="shared" si="12"/>
        <v>526622</v>
      </c>
      <c r="P57" s="128" t="s">
        <v>161</v>
      </c>
    </row>
    <row r="58" spans="1:16" s="129" customFormat="1" ht="16" x14ac:dyDescent="0.2">
      <c r="A58" s="124"/>
      <c r="B58" s="125" t="s">
        <v>175</v>
      </c>
      <c r="C58" s="124"/>
      <c r="D58" s="124"/>
      <c r="E58" s="10"/>
      <c r="F58" s="12"/>
      <c r="G58" s="133">
        <v>6491523</v>
      </c>
      <c r="H58" s="12"/>
      <c r="I58" s="131"/>
      <c r="J58" s="131"/>
      <c r="K58" s="131"/>
      <c r="L58" s="131"/>
      <c r="M58" s="131"/>
      <c r="N58" s="131"/>
      <c r="O58" s="132">
        <f t="shared" si="12"/>
        <v>6491523</v>
      </c>
      <c r="P58" s="128" t="s">
        <v>188</v>
      </c>
    </row>
    <row r="59" spans="1:16" s="129" customFormat="1" x14ac:dyDescent="0.2">
      <c r="A59" s="124"/>
      <c r="B59" s="125" t="s">
        <v>230</v>
      </c>
      <c r="C59" s="124"/>
      <c r="D59" s="124"/>
      <c r="E59" s="10"/>
      <c r="F59" s="12"/>
      <c r="G59" s="133">
        <v>1825000</v>
      </c>
      <c r="H59" s="12"/>
      <c r="I59" s="131"/>
      <c r="J59" s="131"/>
      <c r="K59" s="131"/>
      <c r="L59" s="131"/>
      <c r="M59" s="131"/>
      <c r="N59" s="131"/>
      <c r="O59" s="132">
        <f t="shared" si="12"/>
        <v>1825000</v>
      </c>
      <c r="P59" s="128"/>
    </row>
    <row r="60" spans="1:16" s="3" customFormat="1" x14ac:dyDescent="0.2">
      <c r="A60" s="13"/>
      <c r="B60" s="13"/>
      <c r="C60" s="13"/>
      <c r="D60" s="13"/>
      <c r="E60" s="14">
        <f>SUM(E54:E57)</f>
        <v>0</v>
      </c>
      <c r="F60" s="14">
        <f>SUM(F54:F57)</f>
        <v>0</v>
      </c>
      <c r="G60" s="14">
        <f>SUM(G54:G59)</f>
        <v>15169625</v>
      </c>
      <c r="H60" s="14">
        <f>SUM(H54:H58)</f>
        <v>0</v>
      </c>
      <c r="I60" s="14">
        <f t="shared" ref="I60:N60" si="13">SUM(I54:I58)</f>
        <v>0</v>
      </c>
      <c r="J60" s="14">
        <f t="shared" si="13"/>
        <v>0</v>
      </c>
      <c r="K60" s="14">
        <f t="shared" si="13"/>
        <v>0</v>
      </c>
      <c r="L60" s="14">
        <f t="shared" si="13"/>
        <v>0</v>
      </c>
      <c r="M60" s="14">
        <f t="shared" si="13"/>
        <v>0</v>
      </c>
      <c r="N60" s="14">
        <f t="shared" si="13"/>
        <v>0</v>
      </c>
      <c r="O60" s="28">
        <f>SUM(O54:O59)</f>
        <v>15169625</v>
      </c>
      <c r="P60" s="113"/>
    </row>
    <row r="61" spans="1:16" x14ac:dyDescent="0.2">
      <c r="B61" s="1"/>
      <c r="F61" s="6"/>
      <c r="G61" s="6"/>
      <c r="H61" s="6"/>
      <c r="I61" s="6"/>
      <c r="J61" s="6"/>
      <c r="K61" s="6"/>
      <c r="L61" s="6"/>
      <c r="M61" s="6"/>
      <c r="N61" s="6"/>
    </row>
    <row r="62" spans="1:16" x14ac:dyDescent="0.2">
      <c r="F62" s="6"/>
      <c r="G62" s="6"/>
      <c r="H62" s="6"/>
      <c r="I62" s="6"/>
      <c r="J62" s="6"/>
      <c r="K62" s="6"/>
      <c r="L62" s="6"/>
      <c r="M62" s="6"/>
      <c r="N62" s="6"/>
    </row>
    <row r="63" spans="1:16" x14ac:dyDescent="0.2">
      <c r="B63" s="2" t="s">
        <v>60</v>
      </c>
      <c r="C63" t="s">
        <v>187</v>
      </c>
      <c r="F63" s="6"/>
      <c r="G63" s="6"/>
      <c r="H63" s="6"/>
      <c r="I63" s="6"/>
      <c r="J63" s="6"/>
      <c r="K63" s="6"/>
      <c r="L63" s="6"/>
      <c r="M63" s="6"/>
      <c r="N63" s="6"/>
    </row>
    <row r="64" spans="1:16" s="129" customFormat="1" ht="16" x14ac:dyDescent="0.2">
      <c r="A64" s="124"/>
      <c r="B64" s="130" t="s">
        <v>61</v>
      </c>
      <c r="C64" s="124"/>
      <c r="D64" s="124"/>
      <c r="E64" s="124"/>
      <c r="F64" s="136"/>
      <c r="G64" s="136">
        <v>2500000</v>
      </c>
      <c r="H64" s="136"/>
      <c r="I64" s="136"/>
      <c r="J64" s="136"/>
      <c r="K64" s="136"/>
      <c r="L64" s="136"/>
      <c r="M64" s="136"/>
      <c r="N64" s="136"/>
      <c r="O64" s="137">
        <f>SUM(E64:N64)</f>
        <v>2500000</v>
      </c>
      <c r="P64" s="128" t="s">
        <v>162</v>
      </c>
    </row>
    <row r="65" spans="1:16" ht="16" x14ac:dyDescent="0.2">
      <c r="A65" s="10"/>
      <c r="B65" s="15" t="s">
        <v>70</v>
      </c>
      <c r="C65" s="10"/>
      <c r="D65" s="10"/>
      <c r="E65" s="10"/>
      <c r="F65" s="116"/>
      <c r="G65" s="116">
        <v>350000</v>
      </c>
      <c r="H65" s="116">
        <v>350000</v>
      </c>
      <c r="I65" s="116">
        <v>350000</v>
      </c>
      <c r="J65" s="116">
        <v>350000</v>
      </c>
      <c r="K65" s="116">
        <v>350000</v>
      </c>
      <c r="L65" s="116">
        <v>350000</v>
      </c>
      <c r="M65" s="116">
        <v>350000</v>
      </c>
      <c r="N65" s="116">
        <v>350000</v>
      </c>
      <c r="O65" s="137">
        <f t="shared" ref="O65:O69" si="14">SUM(E65:N65)</f>
        <v>2800000</v>
      </c>
      <c r="P65" s="112" t="s">
        <v>180</v>
      </c>
    </row>
    <row r="66" spans="1:16" s="129" customFormat="1" ht="16" x14ac:dyDescent="0.2">
      <c r="A66" s="124"/>
      <c r="B66" s="125" t="s">
        <v>62</v>
      </c>
      <c r="C66" s="124"/>
      <c r="D66" s="124"/>
      <c r="E66" s="124"/>
      <c r="F66" s="136"/>
      <c r="G66" s="136">
        <v>250000</v>
      </c>
      <c r="H66" s="136"/>
      <c r="I66" s="136"/>
      <c r="J66" s="136"/>
      <c r="K66" s="136"/>
      <c r="L66" s="136"/>
      <c r="M66" s="136"/>
      <c r="N66" s="136"/>
      <c r="O66" s="137">
        <f t="shared" si="14"/>
        <v>250000</v>
      </c>
      <c r="P66" s="128" t="s">
        <v>163</v>
      </c>
    </row>
    <row r="67" spans="1:16" s="129" customFormat="1" x14ac:dyDescent="0.2">
      <c r="A67" s="124"/>
      <c r="B67" s="125" t="s">
        <v>178</v>
      </c>
      <c r="C67" s="124"/>
      <c r="D67" s="124"/>
      <c r="E67" s="124"/>
      <c r="G67" s="136">
        <v>250000</v>
      </c>
      <c r="H67" s="136"/>
      <c r="I67" s="136"/>
      <c r="J67" s="136"/>
      <c r="K67" s="136"/>
      <c r="L67" s="136"/>
      <c r="M67" s="136"/>
      <c r="N67" s="136"/>
      <c r="O67" s="137">
        <f t="shared" si="14"/>
        <v>250000</v>
      </c>
      <c r="P67" s="128"/>
    </row>
    <row r="68" spans="1:16" ht="16" x14ac:dyDescent="0.2">
      <c r="A68" s="10"/>
      <c r="B68" s="15" t="s">
        <v>64</v>
      </c>
      <c r="C68" s="10"/>
      <c r="D68" s="10"/>
      <c r="E68" s="10"/>
      <c r="F68" s="116"/>
      <c r="G68" s="116">
        <v>250000</v>
      </c>
      <c r="H68" s="116">
        <v>250000</v>
      </c>
      <c r="I68" s="116">
        <v>250000</v>
      </c>
      <c r="J68" s="116">
        <v>250000</v>
      </c>
      <c r="K68" s="116">
        <v>250000</v>
      </c>
      <c r="L68" s="116">
        <v>250000</v>
      </c>
      <c r="M68" s="116">
        <v>250000</v>
      </c>
      <c r="N68" s="116">
        <v>250000</v>
      </c>
      <c r="O68" s="137">
        <f t="shared" si="14"/>
        <v>2000000</v>
      </c>
      <c r="P68" s="112" t="s">
        <v>164</v>
      </c>
    </row>
    <row r="69" spans="1:16" x14ac:dyDescent="0.2">
      <c r="A69" s="10"/>
      <c r="B69" s="15" t="s">
        <v>179</v>
      </c>
      <c r="C69" s="10"/>
      <c r="D69" s="10"/>
      <c r="E69" s="10"/>
      <c r="F69" s="116"/>
      <c r="G69" s="116"/>
      <c r="H69" s="116"/>
      <c r="I69" s="116"/>
      <c r="J69" s="116"/>
      <c r="K69" s="116"/>
      <c r="L69" s="116"/>
      <c r="M69" s="116"/>
      <c r="N69" s="116"/>
      <c r="O69" s="137">
        <f t="shared" si="14"/>
        <v>0</v>
      </c>
    </row>
    <row r="70" spans="1:16" s="3" customFormat="1" x14ac:dyDescent="0.2">
      <c r="A70" s="121"/>
      <c r="B70" s="121"/>
      <c r="C70" s="121"/>
      <c r="D70" s="121"/>
      <c r="E70" s="122">
        <f>SUM(E64:E68)</f>
        <v>0</v>
      </c>
      <c r="F70" s="122">
        <f>SUM(F64:F68)</f>
        <v>0</v>
      </c>
      <c r="G70" s="122">
        <f>SUM(G64:G68)</f>
        <v>3600000</v>
      </c>
      <c r="H70" s="122">
        <f>SUM(H64:H68)</f>
        <v>600000</v>
      </c>
      <c r="I70" s="122">
        <f t="shared" ref="I70:N70" si="15">SUM(I64:I68)</f>
        <v>600000</v>
      </c>
      <c r="J70" s="122">
        <f t="shared" si="15"/>
        <v>600000</v>
      </c>
      <c r="K70" s="122">
        <f t="shared" si="15"/>
        <v>600000</v>
      </c>
      <c r="L70" s="122">
        <f t="shared" si="15"/>
        <v>600000</v>
      </c>
      <c r="M70" s="122">
        <f t="shared" si="15"/>
        <v>600000</v>
      </c>
      <c r="N70" s="122">
        <f t="shared" si="15"/>
        <v>600000</v>
      </c>
      <c r="O70" s="123">
        <f>SUM(O64:O69)</f>
        <v>7800000</v>
      </c>
      <c r="P70" s="113"/>
    </row>
    <row r="71" spans="1:16" x14ac:dyDescent="0.2">
      <c r="F71" s="118"/>
      <c r="G71" s="118"/>
      <c r="H71" s="118"/>
      <c r="I71" s="118"/>
      <c r="J71" s="118"/>
      <c r="K71" s="118"/>
      <c r="L71" s="118"/>
      <c r="M71" s="118"/>
      <c r="N71" s="118"/>
    </row>
    <row r="72" spans="1:16" x14ac:dyDescent="0.2">
      <c r="B72" s="3" t="s">
        <v>9</v>
      </c>
      <c r="C72" t="s">
        <v>171</v>
      </c>
      <c r="F72" s="118"/>
      <c r="G72" s="118"/>
      <c r="H72" s="118"/>
      <c r="I72" s="118"/>
      <c r="J72" s="118"/>
      <c r="K72" s="118"/>
      <c r="L72" s="118"/>
      <c r="M72" s="118"/>
      <c r="N72" s="118"/>
    </row>
    <row r="73" spans="1:16" ht="16" x14ac:dyDescent="0.2">
      <c r="A73" s="10"/>
      <c r="B73" s="17" t="s">
        <v>71</v>
      </c>
      <c r="C73" s="10"/>
      <c r="D73" s="10"/>
      <c r="E73" s="10"/>
      <c r="F73" s="116"/>
      <c r="G73" s="116">
        <v>150000</v>
      </c>
      <c r="H73" s="116">
        <v>150000</v>
      </c>
      <c r="I73" s="116">
        <v>150000</v>
      </c>
      <c r="J73" s="116">
        <v>150000</v>
      </c>
      <c r="K73" s="116">
        <v>150000</v>
      </c>
      <c r="L73" s="116">
        <v>150000</v>
      </c>
      <c r="M73" s="116">
        <v>150000</v>
      </c>
      <c r="N73" s="116">
        <v>150000</v>
      </c>
      <c r="O73" s="117">
        <f>SUM(E73:N73)</f>
        <v>1200000</v>
      </c>
      <c r="P73" s="112" t="s">
        <v>167</v>
      </c>
    </row>
    <row r="74" spans="1:16" s="129" customFormat="1" ht="16" x14ac:dyDescent="0.2">
      <c r="A74" s="124"/>
      <c r="B74" s="130" t="s">
        <v>68</v>
      </c>
      <c r="C74" s="124"/>
      <c r="D74" s="124"/>
      <c r="E74" s="124"/>
      <c r="F74" s="136"/>
      <c r="G74" s="136">
        <v>500000</v>
      </c>
      <c r="H74" s="136"/>
      <c r="I74" s="136"/>
      <c r="J74" s="136"/>
      <c r="K74" s="136"/>
      <c r="L74" s="136"/>
      <c r="M74" s="136"/>
      <c r="N74" s="136"/>
      <c r="O74" s="117">
        <f>SUM(E74:N74)</f>
        <v>500000</v>
      </c>
      <c r="P74" s="128" t="s">
        <v>183</v>
      </c>
    </row>
    <row r="75" spans="1:16" s="3" customFormat="1" x14ac:dyDescent="0.2">
      <c r="A75" s="13"/>
      <c r="B75" s="13"/>
      <c r="C75" s="13"/>
      <c r="D75" s="13"/>
      <c r="E75" s="14">
        <f t="shared" ref="E75:F75" si="16">SUM(E73:E74)</f>
        <v>0</v>
      </c>
      <c r="F75" s="14">
        <f t="shared" si="16"/>
        <v>0</v>
      </c>
      <c r="G75" s="14">
        <f>SUM(G73:G74)</f>
        <v>650000</v>
      </c>
      <c r="H75" s="14">
        <f>SUM(H73:H74)</f>
        <v>150000</v>
      </c>
      <c r="I75" s="14">
        <f t="shared" ref="I75:K75" si="17">SUM(I73:I74)</f>
        <v>150000</v>
      </c>
      <c r="J75" s="14">
        <f t="shared" si="17"/>
        <v>150000</v>
      </c>
      <c r="K75" s="14">
        <f t="shared" si="17"/>
        <v>150000</v>
      </c>
      <c r="L75" s="14">
        <f t="shared" ref="L75" si="18">SUM(L73:L74)</f>
        <v>150000</v>
      </c>
      <c r="M75" s="14">
        <f t="shared" ref="M75" si="19">SUM(M73:M74)</f>
        <v>150000</v>
      </c>
      <c r="N75" s="14">
        <f t="shared" ref="N75" si="20">SUM(N73:N74)</f>
        <v>150000</v>
      </c>
      <c r="O75" s="28">
        <f>SUM(O73:O74)</f>
        <v>1700000</v>
      </c>
      <c r="P75" s="113"/>
    </row>
    <row r="76" spans="1:16" x14ac:dyDescent="0.2">
      <c r="B76" s="81"/>
      <c r="F76" s="82"/>
      <c r="G76" s="82"/>
      <c r="H76" s="82"/>
      <c r="I76" s="82"/>
      <c r="J76" s="82"/>
      <c r="K76" s="82"/>
      <c r="L76" s="82"/>
      <c r="M76" s="82"/>
      <c r="N76" s="82"/>
    </row>
    <row r="77" spans="1:16" x14ac:dyDescent="0.2">
      <c r="F77" s="6"/>
      <c r="G77" s="6"/>
      <c r="H77" s="6"/>
      <c r="I77" s="6"/>
      <c r="J77" s="6"/>
      <c r="K77" s="6"/>
      <c r="L77" s="6"/>
      <c r="M77" s="6"/>
      <c r="N77" s="6"/>
    </row>
    <row r="78" spans="1:16" s="3" customFormat="1" x14ac:dyDescent="0.2">
      <c r="A78" s="13"/>
      <c r="B78" s="13" t="s">
        <v>10</v>
      </c>
      <c r="C78" s="13"/>
      <c r="D78" s="13"/>
      <c r="E78" s="14">
        <f t="shared" ref="E78:N78" si="21">SUM(E75,E70,E60,E51,E40,E19)</f>
        <v>14811000</v>
      </c>
      <c r="F78" s="14">
        <f t="shared" si="21"/>
        <v>23648000</v>
      </c>
      <c r="G78" s="14">
        <f t="shared" si="21"/>
        <v>55782377</v>
      </c>
      <c r="H78" s="14">
        <f t="shared" si="21"/>
        <v>38884000</v>
      </c>
      <c r="I78" s="14">
        <f t="shared" si="21"/>
        <v>23319000</v>
      </c>
      <c r="J78" s="14">
        <f t="shared" si="21"/>
        <v>23319000</v>
      </c>
      <c r="K78" s="14">
        <f t="shared" si="21"/>
        <v>28069000</v>
      </c>
      <c r="L78" s="14">
        <f t="shared" si="21"/>
        <v>39923260.299999997</v>
      </c>
      <c r="M78" s="14">
        <f t="shared" si="21"/>
        <v>23319000</v>
      </c>
      <c r="N78" s="14">
        <f t="shared" si="21"/>
        <v>42640000</v>
      </c>
      <c r="O78" s="28">
        <f>SUM(E78:N78)</f>
        <v>313714637.30000001</v>
      </c>
      <c r="P78" s="113"/>
    </row>
    <row r="79" spans="1:16" x14ac:dyDescent="0.2">
      <c r="F79" s="6"/>
      <c r="G79" s="6"/>
      <c r="H79" s="6"/>
      <c r="I79" s="6"/>
      <c r="J79" s="6"/>
      <c r="K79" s="6"/>
      <c r="L79" s="6"/>
      <c r="M79" s="6"/>
      <c r="N79" s="6"/>
    </row>
    <row r="80" spans="1:16" x14ac:dyDescent="0.2">
      <c r="F80" s="6"/>
      <c r="G80" s="6"/>
      <c r="H80" s="6"/>
      <c r="I80" s="6"/>
      <c r="J80" s="6"/>
      <c r="K80" s="6"/>
      <c r="L80" s="6"/>
      <c r="M80" s="6"/>
      <c r="N80" s="6"/>
    </row>
    <row r="81" spans="1:16" x14ac:dyDescent="0.2">
      <c r="F81" s="6"/>
      <c r="G81" s="6"/>
      <c r="H81" s="6"/>
      <c r="I81" s="6"/>
      <c r="J81" s="6"/>
      <c r="K81" s="6"/>
      <c r="L81" s="6"/>
      <c r="M81" s="6"/>
      <c r="N81" s="6"/>
    </row>
    <row r="82" spans="1:16" x14ac:dyDescent="0.2">
      <c r="A82" s="7" t="s">
        <v>11</v>
      </c>
      <c r="B82" s="8"/>
      <c r="C82" s="8"/>
      <c r="D82" s="8"/>
      <c r="E82" s="8"/>
      <c r="F82" s="9"/>
      <c r="G82" s="9"/>
      <c r="H82" s="9"/>
      <c r="I82" s="9"/>
      <c r="J82" s="9"/>
      <c r="K82" s="9"/>
      <c r="L82" s="9"/>
      <c r="M82" s="9"/>
      <c r="N82" s="9"/>
      <c r="O82" s="9">
        <f>SUM(F82:H82)</f>
        <v>0</v>
      </c>
    </row>
    <row r="83" spans="1:16" ht="32" x14ac:dyDescent="0.2">
      <c r="A83" s="10"/>
      <c r="B83" s="15" t="s">
        <v>172</v>
      </c>
      <c r="C83" s="10"/>
      <c r="D83" s="10"/>
      <c r="E83" s="10"/>
      <c r="F83" s="12"/>
      <c r="O83" s="24">
        <f>SUM(E83:N83)</f>
        <v>0</v>
      </c>
      <c r="P83" s="112" t="s">
        <v>174</v>
      </c>
    </row>
    <row r="84" spans="1:16" ht="32" x14ac:dyDescent="0.2">
      <c r="A84" s="10"/>
      <c r="B84" s="15" t="s">
        <v>50</v>
      </c>
      <c r="C84" s="10" t="s">
        <v>34</v>
      </c>
      <c r="D84" s="10"/>
      <c r="E84" s="12">
        <v>250000</v>
      </c>
      <c r="G84" s="12">
        <f>Others!G12</f>
        <v>250000</v>
      </c>
      <c r="H84" s="12">
        <f>Others!H12</f>
        <v>250000</v>
      </c>
      <c r="I84" s="12">
        <f>Others!I12</f>
        <v>250000</v>
      </c>
      <c r="J84" s="12">
        <f>Others!J12</f>
        <v>250000</v>
      </c>
      <c r="K84" s="12">
        <f>Others!K12</f>
        <v>250000</v>
      </c>
      <c r="L84" s="12">
        <f>Others!L12</f>
        <v>250000</v>
      </c>
      <c r="M84" s="12">
        <f>Others!M12</f>
        <v>250000</v>
      </c>
      <c r="N84" s="12">
        <f>Others!N12</f>
        <v>250000</v>
      </c>
      <c r="O84" s="24">
        <f t="shared" ref="O84:O87" si="22">SUM(E84:N84)</f>
        <v>2250000</v>
      </c>
      <c r="P84" s="112" t="s">
        <v>166</v>
      </c>
    </row>
    <row r="85" spans="1:16" ht="28" customHeight="1" x14ac:dyDescent="0.2">
      <c r="A85" s="10"/>
      <c r="B85" s="15" t="s">
        <v>51</v>
      </c>
      <c r="C85" s="10"/>
      <c r="D85" s="10"/>
      <c r="E85" s="10"/>
      <c r="F85" s="12"/>
      <c r="G85" s="12">
        <v>200000</v>
      </c>
      <c r="H85" s="12">
        <v>200000</v>
      </c>
      <c r="I85" s="12">
        <v>200000</v>
      </c>
      <c r="J85" s="12">
        <v>200000</v>
      </c>
      <c r="K85" s="12">
        <v>200000</v>
      </c>
      <c r="L85" s="12">
        <v>200000</v>
      </c>
      <c r="M85" s="12">
        <v>200000</v>
      </c>
      <c r="N85" s="12">
        <v>200000</v>
      </c>
      <c r="O85" s="24">
        <f t="shared" si="22"/>
        <v>1600000</v>
      </c>
      <c r="P85" s="112" t="s">
        <v>157</v>
      </c>
    </row>
    <row r="86" spans="1:16" ht="16" x14ac:dyDescent="0.2">
      <c r="A86" s="10"/>
      <c r="B86" s="15" t="s">
        <v>52</v>
      </c>
      <c r="C86" s="10"/>
      <c r="D86" s="10"/>
      <c r="E86" s="10"/>
      <c r="F86" s="12"/>
      <c r="G86" s="12">
        <v>136000</v>
      </c>
      <c r="H86" s="12">
        <v>136000</v>
      </c>
      <c r="I86" s="12">
        <v>136000</v>
      </c>
      <c r="J86" s="12">
        <v>136000</v>
      </c>
      <c r="K86" s="12">
        <v>136000</v>
      </c>
      <c r="L86" s="12">
        <v>136000</v>
      </c>
      <c r="M86" s="12">
        <v>136000</v>
      </c>
      <c r="N86" s="12">
        <v>136000</v>
      </c>
      <c r="O86" s="24">
        <f t="shared" si="22"/>
        <v>1088000</v>
      </c>
      <c r="P86" s="112" t="s">
        <v>190</v>
      </c>
    </row>
    <row r="87" spans="1:16" ht="16" x14ac:dyDescent="0.2">
      <c r="A87" s="10"/>
      <c r="B87" s="15" t="s">
        <v>13</v>
      </c>
      <c r="C87" s="10"/>
      <c r="D87" s="10"/>
      <c r="E87" s="10"/>
      <c r="F87" s="12"/>
      <c r="G87" s="12">
        <v>333333.33333333331</v>
      </c>
      <c r="H87" s="12">
        <v>333333.33333333331</v>
      </c>
      <c r="I87" s="12">
        <v>333333.33333333331</v>
      </c>
      <c r="J87" s="12">
        <v>333333.33333333331</v>
      </c>
      <c r="K87" s="12">
        <v>333333.33333333331</v>
      </c>
      <c r="L87" s="12">
        <v>333333.33333333331</v>
      </c>
      <c r="M87" s="12">
        <v>333333.33333333331</v>
      </c>
      <c r="N87" s="12">
        <v>333333.33333333331</v>
      </c>
      <c r="O87" s="24">
        <f t="shared" si="22"/>
        <v>2666666.6666666665</v>
      </c>
      <c r="P87" s="112" t="s">
        <v>173</v>
      </c>
    </row>
    <row r="88" spans="1:16" s="3" customFormat="1" x14ac:dyDescent="0.2">
      <c r="A88" s="13"/>
      <c r="B88" s="13" t="s">
        <v>15</v>
      </c>
      <c r="C88" s="13"/>
      <c r="D88" s="13"/>
      <c r="E88" s="14">
        <f t="shared" ref="E88:F88" si="23">SUM(E84:E87)</f>
        <v>250000</v>
      </c>
      <c r="F88" s="14">
        <f t="shared" si="23"/>
        <v>0</v>
      </c>
      <c r="G88" s="14">
        <f>SUM(G84:G87)</f>
        <v>919333.33333333326</v>
      </c>
      <c r="H88" s="14">
        <f>SUM(H84:H87)</f>
        <v>919333.33333333326</v>
      </c>
      <c r="I88" s="14">
        <f t="shared" ref="I88:K88" si="24">SUM(I84:I87)</f>
        <v>919333.33333333326</v>
      </c>
      <c r="J88" s="14">
        <f t="shared" si="24"/>
        <v>919333.33333333326</v>
      </c>
      <c r="K88" s="14">
        <f t="shared" si="24"/>
        <v>919333.33333333326</v>
      </c>
      <c r="L88" s="14">
        <f t="shared" ref="L88" si="25">SUM(L84:L87)</f>
        <v>919333.33333333326</v>
      </c>
      <c r="M88" s="14">
        <f t="shared" ref="M88" si="26">SUM(M84:M87)</f>
        <v>919333.33333333326</v>
      </c>
      <c r="N88" s="14">
        <f t="shared" ref="N88" si="27">SUM(N84:N87)</f>
        <v>919333.33333333326</v>
      </c>
      <c r="O88" s="28">
        <f>SUM(O83:O87)</f>
        <v>7604666.666666666</v>
      </c>
      <c r="P88" s="113"/>
    </row>
    <row r="89" spans="1:16" x14ac:dyDescent="0.2">
      <c r="F89" s="6"/>
      <c r="G89" s="6"/>
      <c r="H89" s="6"/>
      <c r="I89" s="6"/>
      <c r="J89" s="6"/>
      <c r="K89" s="6"/>
      <c r="L89" s="6"/>
      <c r="M89" s="6"/>
      <c r="N89" s="6"/>
    </row>
    <row r="92" spans="1:16" x14ac:dyDescent="0.2">
      <c r="A92" s="7"/>
      <c r="B92" s="7" t="s">
        <v>16</v>
      </c>
      <c r="C92" s="8"/>
      <c r="D92" s="8"/>
      <c r="E92" s="8"/>
      <c r="F92" s="9"/>
      <c r="G92" s="9"/>
      <c r="H92" s="9"/>
      <c r="I92" s="9"/>
      <c r="J92" s="9"/>
      <c r="K92" s="9"/>
      <c r="L92" s="9"/>
      <c r="M92" s="9"/>
      <c r="N92" s="9"/>
      <c r="O92" s="9">
        <f>SUM(F92:H92)</f>
        <v>0</v>
      </c>
    </row>
    <row r="93" spans="1:16" x14ac:dyDescent="0.2">
      <c r="A93" s="10"/>
      <c r="B93" s="15" t="s">
        <v>113</v>
      </c>
      <c r="C93" s="10" t="s">
        <v>35</v>
      </c>
      <c r="D93" s="57">
        <v>0.02</v>
      </c>
      <c r="F93" s="12">
        <f t="shared" ref="F93:N93" si="28">F14*$D$93</f>
        <v>0</v>
      </c>
      <c r="G93" s="12">
        <f t="shared" si="28"/>
        <v>2678332.96</v>
      </c>
      <c r="H93" s="12">
        <f t="shared" si="28"/>
        <v>0</v>
      </c>
      <c r="I93" s="12">
        <f t="shared" si="28"/>
        <v>1703191.5275999999</v>
      </c>
      <c r="J93" s="12">
        <f t="shared" si="28"/>
        <v>0</v>
      </c>
      <c r="K93" s="12">
        <f t="shared" si="28"/>
        <v>0</v>
      </c>
      <c r="L93" s="12">
        <f t="shared" si="28"/>
        <v>2382739.2724000001</v>
      </c>
      <c r="M93" s="12">
        <f t="shared" si="28"/>
        <v>0</v>
      </c>
      <c r="N93" s="12">
        <f t="shared" si="28"/>
        <v>0</v>
      </c>
      <c r="O93" s="24">
        <f>SUM(E93:N93)</f>
        <v>6764263.7599999998</v>
      </c>
    </row>
    <row r="94" spans="1:16" x14ac:dyDescent="0.2">
      <c r="A94" s="10"/>
      <c r="B94" s="15" t="s">
        <v>112</v>
      </c>
      <c r="C94" s="10" t="s">
        <v>36</v>
      </c>
      <c r="D94" s="57">
        <v>0.02</v>
      </c>
      <c r="F94" s="12"/>
      <c r="G94" s="12">
        <f t="shared" ref="G94:N94" si="29">G78*$D$94</f>
        <v>1115647.54</v>
      </c>
      <c r="H94" s="12">
        <f t="shared" si="29"/>
        <v>777680</v>
      </c>
      <c r="I94" s="12">
        <f t="shared" si="29"/>
        <v>466380</v>
      </c>
      <c r="J94" s="12">
        <f t="shared" si="29"/>
        <v>466380</v>
      </c>
      <c r="K94" s="12">
        <f t="shared" si="29"/>
        <v>561380</v>
      </c>
      <c r="L94" s="12">
        <f t="shared" si="29"/>
        <v>798465.20600000001</v>
      </c>
      <c r="M94" s="12">
        <f t="shared" si="29"/>
        <v>466380</v>
      </c>
      <c r="N94" s="12">
        <f t="shared" si="29"/>
        <v>852800</v>
      </c>
      <c r="O94" s="24">
        <f>SUM(E94:N94)</f>
        <v>5505112.7460000003</v>
      </c>
    </row>
    <row r="95" spans="1:16" s="3" customFormat="1" x14ac:dyDescent="0.2">
      <c r="A95" s="13"/>
      <c r="B95" s="13" t="s">
        <v>17</v>
      </c>
      <c r="C95" s="13"/>
      <c r="D95" s="13"/>
      <c r="E95" s="14">
        <f t="shared" ref="E95:H95" si="30">SUM(E93:E94)</f>
        <v>0</v>
      </c>
      <c r="F95" s="14">
        <f t="shared" si="30"/>
        <v>0</v>
      </c>
      <c r="G95" s="14">
        <f t="shared" si="30"/>
        <v>3793980.5</v>
      </c>
      <c r="H95" s="14">
        <f t="shared" si="30"/>
        <v>777680</v>
      </c>
      <c r="I95" s="14">
        <f t="shared" ref="I95:N95" si="31">SUM(I93:I94)</f>
        <v>2169571.5275999997</v>
      </c>
      <c r="J95" s="14">
        <f t="shared" si="31"/>
        <v>466380</v>
      </c>
      <c r="K95" s="14">
        <f t="shared" si="31"/>
        <v>561380</v>
      </c>
      <c r="L95" s="14">
        <f t="shared" si="31"/>
        <v>3181204.4784000004</v>
      </c>
      <c r="M95" s="14">
        <f t="shared" si="31"/>
        <v>466380</v>
      </c>
      <c r="N95" s="14">
        <f t="shared" si="31"/>
        <v>852800</v>
      </c>
      <c r="O95" s="28">
        <f>SUM(E95:N95)</f>
        <v>12269376.506000001</v>
      </c>
      <c r="P95" s="113"/>
    </row>
    <row r="100" spans="1:16" x14ac:dyDescent="0.2">
      <c r="A100" s="7"/>
      <c r="B100" s="7" t="s">
        <v>18</v>
      </c>
      <c r="C100" s="8"/>
      <c r="D100" s="8"/>
      <c r="E100" s="8"/>
      <c r="F100" s="9"/>
      <c r="G100" s="9"/>
      <c r="H100" s="9"/>
      <c r="I100" s="9"/>
      <c r="J100" s="9"/>
      <c r="K100" s="9"/>
      <c r="L100" s="9"/>
      <c r="M100" s="9"/>
      <c r="N100" s="9"/>
      <c r="O100" s="9">
        <f>SUM(F100:H100)</f>
        <v>0</v>
      </c>
    </row>
    <row r="101" spans="1:16" x14ac:dyDescent="0.2">
      <c r="B101" t="s">
        <v>5</v>
      </c>
      <c r="E101" s="34">
        <f t="shared" ref="E101:N101" si="32">SUM(E14)</f>
        <v>6908850</v>
      </c>
      <c r="F101" s="34">
        <f t="shared" si="32"/>
        <v>0</v>
      </c>
      <c r="G101" s="34">
        <f t="shared" si="32"/>
        <v>133916648</v>
      </c>
      <c r="H101" s="34">
        <f t="shared" si="32"/>
        <v>0</v>
      </c>
      <c r="I101" s="34">
        <f t="shared" si="32"/>
        <v>85159576.379999995</v>
      </c>
      <c r="J101" s="34">
        <f t="shared" si="32"/>
        <v>0</v>
      </c>
      <c r="K101" s="34">
        <f t="shared" si="32"/>
        <v>0</v>
      </c>
      <c r="L101" s="34">
        <f t="shared" si="32"/>
        <v>119136963.62</v>
      </c>
      <c r="M101" s="34">
        <f t="shared" si="32"/>
        <v>0</v>
      </c>
      <c r="N101" s="34">
        <f t="shared" si="32"/>
        <v>0</v>
      </c>
      <c r="O101" s="34">
        <f>SUM(E101:N101)</f>
        <v>345122038</v>
      </c>
    </row>
    <row r="102" spans="1:16" x14ac:dyDescent="0.2">
      <c r="B102" t="s">
        <v>19</v>
      </c>
      <c r="E102" s="34">
        <f>SUM(E95,E88,E78)</f>
        <v>15061000</v>
      </c>
      <c r="F102" s="34">
        <f>SUM(F95,F88,F78)</f>
        <v>23648000</v>
      </c>
      <c r="G102" s="34">
        <f>SUM(G95,G88,G78)</f>
        <v>60495690.833333336</v>
      </c>
      <c r="H102" s="34">
        <f>SUM(H95,H88,H78)</f>
        <v>40581013.333333336</v>
      </c>
      <c r="I102" s="34">
        <f t="shared" ref="I102:N102" si="33">SUM(I95,I88,I78)</f>
        <v>26407904.860933334</v>
      </c>
      <c r="J102" s="34">
        <f t="shared" si="33"/>
        <v>24704713.333333332</v>
      </c>
      <c r="K102" s="34">
        <f t="shared" si="33"/>
        <v>29549713.333333332</v>
      </c>
      <c r="L102" s="34">
        <f t="shared" si="33"/>
        <v>44023798.111733332</v>
      </c>
      <c r="M102" s="34">
        <f t="shared" si="33"/>
        <v>24704713.333333332</v>
      </c>
      <c r="N102" s="34">
        <f t="shared" si="33"/>
        <v>44412133.333333336</v>
      </c>
      <c r="O102" s="34">
        <f>-SUM(O95,O88,O78)</f>
        <v>-333588680.47266668</v>
      </c>
    </row>
    <row r="103" spans="1:16" s="3" customFormat="1" x14ac:dyDescent="0.2">
      <c r="A103" s="78"/>
      <c r="B103" s="78"/>
      <c r="C103" s="78"/>
      <c r="D103" s="78"/>
      <c r="E103" s="79"/>
      <c r="F103" s="79"/>
      <c r="G103" s="79"/>
      <c r="H103" s="79"/>
      <c r="I103" s="79"/>
      <c r="J103" s="79"/>
      <c r="K103" s="79"/>
      <c r="L103" s="79"/>
      <c r="M103" s="79"/>
      <c r="N103" s="79"/>
      <c r="O103" s="79"/>
      <c r="P103" s="113"/>
    </row>
    <row r="104" spans="1:16" x14ac:dyDescent="0.2">
      <c r="O104" s="109">
        <f>O102/10</f>
        <v>-33358868.04726667</v>
      </c>
    </row>
    <row r="105" spans="1:16" x14ac:dyDescent="0.2">
      <c r="O105" s="109">
        <f>O104*3</f>
        <v>-100076604.14180002</v>
      </c>
    </row>
    <row r="106" spans="1:16" x14ac:dyDescent="0.2">
      <c r="F106" s="197"/>
      <c r="G106" s="100">
        <f>F102+G102+H102</f>
        <v>124724704.16666669</v>
      </c>
      <c r="H106" s="197"/>
      <c r="I106" s="197"/>
      <c r="J106" s="100">
        <f>I102+J102+K102</f>
        <v>80662331.52759999</v>
      </c>
      <c r="K106" s="197"/>
      <c r="L106" s="197"/>
      <c r="M106" s="100">
        <f>L102+M102+N102</f>
        <v>113140644.7784</v>
      </c>
    </row>
    <row r="107" spans="1:16" x14ac:dyDescent="0.2">
      <c r="F107" s="197"/>
      <c r="G107" s="197"/>
      <c r="H107" s="197"/>
      <c r="I107" s="197"/>
      <c r="J107" s="197"/>
      <c r="K107" s="197"/>
      <c r="L107" s="197"/>
      <c r="M107" s="197"/>
    </row>
    <row r="108" spans="1:16" x14ac:dyDescent="0.2">
      <c r="F108" s="197"/>
      <c r="G108" s="197"/>
      <c r="H108" s="197"/>
      <c r="I108" s="197"/>
      <c r="J108" s="197"/>
      <c r="K108" s="197"/>
      <c r="L108" s="197"/>
      <c r="M108" s="197"/>
    </row>
    <row r="109" spans="1:16" x14ac:dyDescent="0.2">
      <c r="F109" s="197"/>
      <c r="G109" s="197"/>
      <c r="H109" s="197"/>
      <c r="I109" s="197"/>
      <c r="J109" s="100">
        <f>I101-J106</f>
        <v>4497244.8524000049</v>
      </c>
      <c r="K109" s="197"/>
      <c r="L109" s="197"/>
      <c r="M109" s="197"/>
    </row>
    <row r="110" spans="1:16" x14ac:dyDescent="0.2">
      <c r="F110" s="197"/>
      <c r="G110" s="197"/>
      <c r="H110" s="197"/>
      <c r="I110" s="197"/>
      <c r="J110" s="197">
        <v>18754227.617499992</v>
      </c>
      <c r="K110" s="197"/>
      <c r="L110" s="197"/>
      <c r="M110" s="197"/>
    </row>
  </sheetData>
  <pageMargins left="0.25" right="0.25" top="0.75" bottom="0.75" header="0.3" footer="0.3"/>
  <pageSetup paperSize="9" scale="27" orientation="portrait" horizontalDpi="0" verticalDpi="0" copies="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E3917-0992-7940-BB38-67DCB2DDDBC7}">
  <sheetPr>
    <pageSetUpPr fitToPage="1"/>
  </sheetPr>
  <dimension ref="A2:J81"/>
  <sheetViews>
    <sheetView topLeftCell="A25" zoomScale="90" zoomScaleNormal="90" workbookViewId="0">
      <selection activeCell="C20" sqref="C20"/>
    </sheetView>
  </sheetViews>
  <sheetFormatPr baseColWidth="10" defaultColWidth="8.83203125" defaultRowHeight="15" x14ac:dyDescent="0.2"/>
  <cols>
    <col min="1" max="1" width="2.6640625" customWidth="1"/>
    <col min="2" max="2" width="55.83203125" customWidth="1"/>
    <col min="3" max="3" width="36.33203125" customWidth="1"/>
    <col min="4" max="4" width="12.83203125" customWidth="1"/>
    <col min="5" max="7" width="14.5" customWidth="1"/>
    <col min="8" max="8" width="23.6640625" style="21" customWidth="1"/>
    <col min="9" max="9" width="38.5" style="112" customWidth="1"/>
    <col min="10" max="10" width="10" bestFit="1" customWidth="1"/>
  </cols>
  <sheetData>
    <row r="2" spans="1:10" ht="16" x14ac:dyDescent="0.2">
      <c r="A2" s="18"/>
      <c r="B2" s="18" t="s">
        <v>0</v>
      </c>
      <c r="C2" s="18" t="s">
        <v>65</v>
      </c>
      <c r="D2" s="56"/>
      <c r="E2" s="19">
        <v>45863</v>
      </c>
      <c r="F2" s="19">
        <v>45894</v>
      </c>
      <c r="G2" s="19">
        <v>45925</v>
      </c>
      <c r="H2" s="22" t="s">
        <v>66</v>
      </c>
      <c r="I2" s="111" t="s">
        <v>128</v>
      </c>
      <c r="J2" s="22" t="s">
        <v>129</v>
      </c>
    </row>
    <row r="3" spans="1:10" x14ac:dyDescent="0.2">
      <c r="B3" s="4"/>
      <c r="C3" s="4"/>
      <c r="D3" s="4"/>
    </row>
    <row r="4" spans="1:10" x14ac:dyDescent="0.2">
      <c r="B4" s="4"/>
      <c r="C4" s="4"/>
      <c r="D4" s="4"/>
      <c r="E4" s="6"/>
      <c r="F4" s="6"/>
      <c r="G4" s="6"/>
    </row>
    <row r="5" spans="1:10" x14ac:dyDescent="0.2">
      <c r="A5" s="7" t="s">
        <v>114</v>
      </c>
      <c r="B5" s="8"/>
      <c r="C5" s="8"/>
      <c r="D5" s="8"/>
      <c r="E5" s="9"/>
      <c r="F5" s="9"/>
      <c r="G5" s="9"/>
      <c r="H5" s="9"/>
    </row>
    <row r="6" spans="1:10" x14ac:dyDescent="0.2">
      <c r="A6" s="10"/>
      <c r="B6" s="11" t="s">
        <v>47</v>
      </c>
      <c r="C6" s="10" t="s">
        <v>21</v>
      </c>
      <c r="D6" s="10"/>
      <c r="E6" s="163"/>
      <c r="F6" s="163"/>
      <c r="G6" s="163"/>
      <c r="H6" s="25" t="e">
        <f>SUM(#REF!)</f>
        <v>#REF!</v>
      </c>
    </row>
    <row r="7" spans="1:10" x14ac:dyDescent="0.2">
      <c r="A7" s="10"/>
      <c r="B7" s="11" t="s">
        <v>48</v>
      </c>
      <c r="C7" s="10" t="s">
        <v>22</v>
      </c>
      <c r="D7" s="10"/>
      <c r="E7" s="198">
        <v>85159573</v>
      </c>
      <c r="F7" s="163"/>
      <c r="H7" s="25">
        <f>SUM(E7:G7)</f>
        <v>85159573</v>
      </c>
    </row>
    <row r="8" spans="1:10" x14ac:dyDescent="0.2">
      <c r="A8" s="10"/>
      <c r="B8" s="11" t="s">
        <v>1</v>
      </c>
      <c r="C8" s="10" t="s">
        <v>23</v>
      </c>
      <c r="D8" s="10"/>
      <c r="E8" s="163"/>
      <c r="F8" s="163"/>
      <c r="G8" s="163"/>
      <c r="H8" s="25" t="e">
        <f>SUM(#REF!)</f>
        <v>#REF!</v>
      </c>
    </row>
    <row r="9" spans="1:10" x14ac:dyDescent="0.2">
      <c r="A9" s="10"/>
      <c r="B9" s="11" t="s">
        <v>2</v>
      </c>
      <c r="C9" s="10" t="s">
        <v>24</v>
      </c>
      <c r="D9" s="10"/>
      <c r="E9" s="163"/>
      <c r="F9" s="163"/>
      <c r="G9" s="163"/>
      <c r="H9" s="25" t="e">
        <f>SUM(#REF!)</f>
        <v>#REF!</v>
      </c>
    </row>
    <row r="10" spans="1:10" x14ac:dyDescent="0.2">
      <c r="A10" s="10"/>
      <c r="B10" s="11" t="s">
        <v>3</v>
      </c>
      <c r="C10" s="10" t="s">
        <v>25</v>
      </c>
      <c r="D10" s="10"/>
      <c r="E10" s="163"/>
      <c r="F10" s="163"/>
      <c r="G10" s="163"/>
      <c r="H10" s="25" t="e">
        <f>SUM(#REF!)</f>
        <v>#REF!</v>
      </c>
    </row>
    <row r="11" spans="1:10" x14ac:dyDescent="0.2">
      <c r="A11" s="10"/>
      <c r="B11" s="11" t="s">
        <v>67</v>
      </c>
      <c r="C11" s="10"/>
      <c r="D11" s="10"/>
      <c r="E11" s="163"/>
      <c r="F11" s="163"/>
      <c r="G11" s="163"/>
      <c r="H11" s="25" t="e">
        <f>SUM(#REF!)</f>
        <v>#REF!</v>
      </c>
    </row>
    <row r="12" spans="1:10" x14ac:dyDescent="0.2">
      <c r="A12" s="10"/>
      <c r="B12" s="11" t="s">
        <v>4</v>
      </c>
      <c r="C12" s="10" t="s">
        <v>26</v>
      </c>
      <c r="D12" s="10"/>
      <c r="E12" s="163"/>
      <c r="F12" s="163"/>
      <c r="G12" s="163"/>
      <c r="H12" s="25" t="e">
        <f>SUM(#REF!)</f>
        <v>#REF!</v>
      </c>
    </row>
    <row r="13" spans="1:10" s="3" customFormat="1" x14ac:dyDescent="0.2">
      <c r="A13" s="13" t="s">
        <v>5</v>
      </c>
      <c r="B13" s="13"/>
      <c r="C13" s="13"/>
      <c r="D13" s="13"/>
      <c r="E13" s="14">
        <f t="shared" ref="E13:G13" si="0">SUM(E5:E12)</f>
        <v>85159573</v>
      </c>
      <c r="F13" s="14">
        <f t="shared" si="0"/>
        <v>0</v>
      </c>
      <c r="G13" s="14">
        <f t="shared" si="0"/>
        <v>0</v>
      </c>
      <c r="H13" s="28" t="e">
        <f>SUM(H5:H12)</f>
        <v>#REF!</v>
      </c>
    </row>
    <row r="14" spans="1:10" x14ac:dyDescent="0.2">
      <c r="E14" s="6"/>
      <c r="F14" s="6"/>
      <c r="G14" s="6"/>
    </row>
    <row r="15" spans="1:10" x14ac:dyDescent="0.2">
      <c r="D15" s="197">
        <v>19136963.620000001</v>
      </c>
      <c r="E15" s="6"/>
      <c r="F15" s="6"/>
      <c r="G15" s="6"/>
    </row>
    <row r="16" spans="1:10" x14ac:dyDescent="0.2">
      <c r="E16" s="6"/>
      <c r="F16" s="6"/>
      <c r="G16" s="6"/>
    </row>
    <row r="17" spans="1:9" x14ac:dyDescent="0.2">
      <c r="A17" s="7" t="s">
        <v>6</v>
      </c>
      <c r="B17" s="8"/>
      <c r="C17" s="8"/>
      <c r="D17" s="8"/>
      <c r="E17" s="9"/>
      <c r="F17" s="9"/>
      <c r="G17" s="9"/>
      <c r="H17" s="9"/>
    </row>
    <row r="18" spans="1:9" s="106" customFormat="1" x14ac:dyDescent="0.2">
      <c r="A18" s="103"/>
      <c r="B18" s="104" t="s">
        <v>7</v>
      </c>
      <c r="C18" s="103" t="s">
        <v>27</v>
      </c>
      <c r="D18" s="103"/>
      <c r="E18" s="105">
        <f>Salaries1!J27</f>
        <v>14571000</v>
      </c>
      <c r="F18" s="105">
        <f>Salaries1!K27</f>
        <v>14571000</v>
      </c>
      <c r="G18" s="105">
        <f>Salaries1!L27</f>
        <v>14571000</v>
      </c>
      <c r="H18" s="105">
        <f>SUM(E18:G18)</f>
        <v>43713000</v>
      </c>
      <c r="I18" s="114"/>
    </row>
    <row r="19" spans="1:9" x14ac:dyDescent="0.2">
      <c r="B19" s="5"/>
      <c r="E19" s="6"/>
      <c r="F19" s="6"/>
      <c r="G19" s="6"/>
    </row>
    <row r="20" spans="1:9" x14ac:dyDescent="0.2">
      <c r="B20" s="5"/>
      <c r="E20" s="6"/>
      <c r="F20" s="6"/>
      <c r="G20" s="6"/>
    </row>
    <row r="21" spans="1:9" x14ac:dyDescent="0.2">
      <c r="B21" s="2" t="s">
        <v>41</v>
      </c>
      <c r="C21" t="s">
        <v>170</v>
      </c>
      <c r="E21" s="6"/>
      <c r="F21" s="6"/>
      <c r="G21" s="6"/>
    </row>
    <row r="22" spans="1:9" ht="16" x14ac:dyDescent="0.2">
      <c r="A22" s="10"/>
      <c r="B22" s="17" t="s">
        <v>132</v>
      </c>
      <c r="C22" s="10"/>
      <c r="D22" s="10"/>
      <c r="E22" s="16">
        <v>1328000</v>
      </c>
      <c r="F22" s="16">
        <v>1328000</v>
      </c>
      <c r="G22" s="16">
        <v>1328000</v>
      </c>
      <c r="H22" s="143">
        <f t="shared" ref="H22:H29" si="1">SUM(E22:G22)</f>
        <v>3984000</v>
      </c>
      <c r="I22" s="112" t="s">
        <v>227</v>
      </c>
    </row>
    <row r="23" spans="1:9" x14ac:dyDescent="0.2">
      <c r="A23" s="10"/>
      <c r="B23" s="17" t="s">
        <v>159</v>
      </c>
      <c r="C23" s="10"/>
      <c r="D23" s="10"/>
      <c r="E23" s="16">
        <v>300000</v>
      </c>
      <c r="F23" s="16">
        <v>300000</v>
      </c>
      <c r="G23" s="16">
        <v>300000</v>
      </c>
      <c r="H23" s="143">
        <f t="shared" si="1"/>
        <v>900000</v>
      </c>
    </row>
    <row r="24" spans="1:9" ht="16" x14ac:dyDescent="0.2">
      <c r="A24" s="10"/>
      <c r="B24" s="17" t="s">
        <v>39</v>
      </c>
      <c r="C24" s="10"/>
      <c r="D24" s="10"/>
      <c r="E24" s="16">
        <v>1500000</v>
      </c>
      <c r="F24" s="16">
        <v>1500000</v>
      </c>
      <c r="G24" s="16">
        <v>1500000</v>
      </c>
      <c r="H24" s="143">
        <f t="shared" si="1"/>
        <v>4500000</v>
      </c>
      <c r="I24" s="112" t="s">
        <v>229</v>
      </c>
    </row>
    <row r="25" spans="1:9" ht="32" x14ac:dyDescent="0.2">
      <c r="A25" s="10"/>
      <c r="B25" s="17" t="s">
        <v>40</v>
      </c>
      <c r="C25" s="10"/>
      <c r="D25" s="10"/>
      <c r="E25" s="16">
        <v>920000</v>
      </c>
      <c r="F25" s="16">
        <v>920000</v>
      </c>
      <c r="G25" s="16">
        <v>920000</v>
      </c>
      <c r="H25" s="143">
        <f t="shared" si="1"/>
        <v>2760000</v>
      </c>
      <c r="I25" s="112" t="s">
        <v>189</v>
      </c>
    </row>
    <row r="26" spans="1:9" ht="15.5" customHeight="1" x14ac:dyDescent="0.2">
      <c r="A26" s="10"/>
      <c r="B26" s="17" t="s">
        <v>137</v>
      </c>
      <c r="C26" s="10"/>
      <c r="D26" s="10"/>
      <c r="E26" s="165"/>
      <c r="F26" s="165"/>
      <c r="G26" s="165">
        <v>2000000</v>
      </c>
      <c r="H26" s="143">
        <f t="shared" si="1"/>
        <v>2000000</v>
      </c>
      <c r="I26" s="112" t="s">
        <v>155</v>
      </c>
    </row>
    <row r="27" spans="1:9" ht="15.5" customHeight="1" x14ac:dyDescent="0.2">
      <c r="A27" s="10"/>
      <c r="B27" s="17" t="s">
        <v>139</v>
      </c>
      <c r="C27" s="10"/>
      <c r="D27" s="10"/>
      <c r="E27" s="16">
        <v>250000</v>
      </c>
      <c r="F27" s="16">
        <v>250000</v>
      </c>
      <c r="G27" s="16">
        <v>250000</v>
      </c>
      <c r="H27" s="143">
        <f t="shared" si="1"/>
        <v>750000</v>
      </c>
      <c r="I27" s="112" t="s">
        <v>155</v>
      </c>
    </row>
    <row r="28" spans="1:9" ht="15.5" customHeight="1" x14ac:dyDescent="0.2">
      <c r="A28" s="10"/>
      <c r="B28" s="17" t="s">
        <v>140</v>
      </c>
      <c r="C28" s="10"/>
      <c r="D28" s="10"/>
      <c r="E28" s="16">
        <v>400000</v>
      </c>
      <c r="F28" s="16">
        <v>400000</v>
      </c>
      <c r="G28" s="16">
        <v>400000</v>
      </c>
      <c r="H28" s="143">
        <f t="shared" si="1"/>
        <v>1200000</v>
      </c>
      <c r="I28" s="112" t="s">
        <v>155</v>
      </c>
    </row>
    <row r="29" spans="1:9" ht="29" customHeight="1" x14ac:dyDescent="0.2">
      <c r="A29" s="10"/>
      <c r="B29" s="17" t="s">
        <v>292</v>
      </c>
      <c r="C29" s="10"/>
      <c r="D29" s="10"/>
      <c r="E29" s="16">
        <v>3000000</v>
      </c>
      <c r="F29" s="16">
        <v>3000000</v>
      </c>
      <c r="G29" s="16">
        <v>3000000</v>
      </c>
      <c r="H29" s="143">
        <f t="shared" si="1"/>
        <v>9000000</v>
      </c>
      <c r="I29" s="112" t="s">
        <v>293</v>
      </c>
    </row>
    <row r="30" spans="1:9" s="3" customFormat="1" x14ac:dyDescent="0.2">
      <c r="A30" s="13"/>
      <c r="B30" s="13"/>
      <c r="C30" s="13"/>
      <c r="D30" s="13"/>
      <c r="E30" s="14">
        <f>SUM(E22:E29)</f>
        <v>7698000</v>
      </c>
      <c r="F30" s="14">
        <f>SUM(F22:F29)</f>
        <v>7698000</v>
      </c>
      <c r="G30" s="14">
        <f>SUM(G22:G29)</f>
        <v>9698000</v>
      </c>
      <c r="H30" s="28">
        <f>SUM(H22:H29)</f>
        <v>25094000</v>
      </c>
      <c r="I30" s="113"/>
    </row>
    <row r="31" spans="1:9" s="3" customFormat="1" x14ac:dyDescent="0.2">
      <c r="E31" s="138"/>
      <c r="F31" s="138"/>
      <c r="G31" s="138"/>
      <c r="H31" s="139"/>
      <c r="I31" s="113"/>
    </row>
    <row r="32" spans="1:9" ht="16" x14ac:dyDescent="0.2">
      <c r="B32" s="2" t="s">
        <v>59</v>
      </c>
      <c r="C32">
        <v>1.1000000000000001</v>
      </c>
      <c r="E32" s="6"/>
      <c r="F32" s="6"/>
      <c r="G32" s="6"/>
      <c r="I32" s="113" t="s">
        <v>146</v>
      </c>
    </row>
    <row r="33" spans="1:9" ht="16" x14ac:dyDescent="0.2">
      <c r="A33" s="10"/>
      <c r="B33" s="17" t="s">
        <v>56</v>
      </c>
      <c r="C33" s="10"/>
      <c r="D33" s="10"/>
      <c r="E33" s="20"/>
      <c r="F33" s="20"/>
      <c r="G33" s="20">
        <v>750000</v>
      </c>
      <c r="H33" s="23">
        <f t="shared" ref="H33:H35" si="2">SUM(E33:G33)</f>
        <v>750000</v>
      </c>
      <c r="I33" s="112" t="s">
        <v>222</v>
      </c>
    </row>
    <row r="34" spans="1:9" ht="32" x14ac:dyDescent="0.2">
      <c r="A34" s="10"/>
      <c r="B34" s="17" t="s">
        <v>57</v>
      </c>
      <c r="C34" s="10"/>
      <c r="D34" s="10"/>
      <c r="E34" s="20"/>
      <c r="F34" s="20"/>
      <c r="G34" s="20">
        <v>2000000</v>
      </c>
      <c r="H34" s="23">
        <f t="shared" si="2"/>
        <v>2000000</v>
      </c>
      <c r="I34" s="112" t="s">
        <v>151</v>
      </c>
    </row>
    <row r="35" spans="1:9" ht="16" x14ac:dyDescent="0.2">
      <c r="A35" s="10"/>
      <c r="B35" s="17" t="s">
        <v>58</v>
      </c>
      <c r="C35" s="10"/>
      <c r="D35" s="10"/>
      <c r="E35" s="20">
        <v>300000</v>
      </c>
      <c r="F35" s="20">
        <v>300000</v>
      </c>
      <c r="G35" s="20">
        <v>300000</v>
      </c>
      <c r="H35" s="23">
        <f t="shared" si="2"/>
        <v>900000</v>
      </c>
      <c r="I35" s="112" t="s">
        <v>150</v>
      </c>
    </row>
    <row r="36" spans="1:9" s="3" customFormat="1" x14ac:dyDescent="0.2">
      <c r="A36" s="13"/>
      <c r="B36" s="13"/>
      <c r="C36" s="13"/>
      <c r="D36" s="13"/>
      <c r="E36" s="14">
        <f>SUM(E33:E35)</f>
        <v>300000</v>
      </c>
      <c r="F36" s="14">
        <f>SUM(F33:F35)</f>
        <v>300000</v>
      </c>
      <c r="G36" s="14">
        <f>SUM(G33:G35)</f>
        <v>3050000</v>
      </c>
      <c r="H36" s="28">
        <f>SUM(H33:H35)</f>
        <v>3650000</v>
      </c>
      <c r="I36" s="113"/>
    </row>
    <row r="37" spans="1:9" x14ac:dyDescent="0.2">
      <c r="E37" s="6"/>
      <c r="F37" s="6"/>
      <c r="G37" s="6"/>
    </row>
    <row r="38" spans="1:9" x14ac:dyDescent="0.2">
      <c r="B38" s="1"/>
      <c r="E38" s="6"/>
      <c r="F38" s="6"/>
      <c r="G38" s="6"/>
    </row>
    <row r="39" spans="1:9" x14ac:dyDescent="0.2">
      <c r="E39" s="6"/>
      <c r="F39" s="6"/>
      <c r="G39" s="6"/>
    </row>
    <row r="40" spans="1:9" x14ac:dyDescent="0.2">
      <c r="B40" s="2" t="s">
        <v>60</v>
      </c>
      <c r="C40" t="s">
        <v>187</v>
      </c>
      <c r="E40" s="6"/>
      <c r="F40" s="6"/>
      <c r="G40" s="6"/>
    </row>
    <row r="41" spans="1:9" ht="16" x14ac:dyDescent="0.2">
      <c r="A41" s="10"/>
      <c r="B41" s="15" t="s">
        <v>70</v>
      </c>
      <c r="C41" s="10"/>
      <c r="D41" s="10"/>
      <c r="E41" s="116">
        <v>350000</v>
      </c>
      <c r="F41" s="116">
        <v>350000</v>
      </c>
      <c r="G41" s="116">
        <v>350000</v>
      </c>
      <c r="H41" s="199">
        <f t="shared" ref="H41:H42" si="3">SUM(E41:G41)</f>
        <v>1050000</v>
      </c>
      <c r="I41" s="112" t="s">
        <v>180</v>
      </c>
    </row>
    <row r="42" spans="1:9" ht="16" x14ac:dyDescent="0.2">
      <c r="A42" s="10"/>
      <c r="B42" s="15" t="s">
        <v>64</v>
      </c>
      <c r="C42" s="10"/>
      <c r="D42" s="10"/>
      <c r="E42" s="116">
        <v>250000</v>
      </c>
      <c r="F42" s="116">
        <v>250000</v>
      </c>
      <c r="G42" s="116">
        <v>250000</v>
      </c>
      <c r="H42" s="199">
        <f t="shared" si="3"/>
        <v>750000</v>
      </c>
      <c r="I42" s="112" t="s">
        <v>164</v>
      </c>
    </row>
    <row r="43" spans="1:9" s="3" customFormat="1" x14ac:dyDescent="0.2">
      <c r="A43" s="121"/>
      <c r="B43" s="121"/>
      <c r="C43" s="121"/>
      <c r="D43" s="121"/>
      <c r="E43" s="122">
        <f>SUM(E41:E42)</f>
        <v>600000</v>
      </c>
      <c r="F43" s="122">
        <f>SUM(F41:F42)</f>
        <v>600000</v>
      </c>
      <c r="G43" s="122">
        <f>SUM(G41:G42)</f>
        <v>600000</v>
      </c>
      <c r="H43" s="123">
        <f>SUM(H41:H42)</f>
        <v>1800000</v>
      </c>
      <c r="I43" s="113"/>
    </row>
    <row r="44" spans="1:9" x14ac:dyDescent="0.2">
      <c r="E44" s="118"/>
      <c r="F44" s="118"/>
      <c r="G44" s="118"/>
    </row>
    <row r="45" spans="1:9" x14ac:dyDescent="0.2">
      <c r="B45" s="3" t="s">
        <v>9</v>
      </c>
      <c r="C45" t="s">
        <v>171</v>
      </c>
      <c r="E45" s="118"/>
      <c r="F45" s="118"/>
      <c r="G45" s="118"/>
    </row>
    <row r="46" spans="1:9" ht="16" x14ac:dyDescent="0.2">
      <c r="A46" s="10"/>
      <c r="B46" s="17" t="s">
        <v>71</v>
      </c>
      <c r="C46" s="10"/>
      <c r="D46" s="10"/>
      <c r="E46" s="116">
        <v>150000</v>
      </c>
      <c r="F46" s="116">
        <v>150000</v>
      </c>
      <c r="G46" s="116">
        <v>150000</v>
      </c>
      <c r="H46" s="117">
        <f>SUM(E46:G46)</f>
        <v>450000</v>
      </c>
      <c r="I46" s="112" t="s">
        <v>167</v>
      </c>
    </row>
    <row r="47" spans="1:9" s="3" customFormat="1" x14ac:dyDescent="0.2">
      <c r="A47" s="13"/>
      <c r="B47" s="13"/>
      <c r="C47" s="13"/>
      <c r="D47" s="13"/>
      <c r="E47" s="14">
        <f>SUM(E46:E46)</f>
        <v>150000</v>
      </c>
      <c r="F47" s="14">
        <f>SUM(F46:F46)</f>
        <v>150000</v>
      </c>
      <c r="G47" s="14">
        <f>SUM(G46:G46)</f>
        <v>150000</v>
      </c>
      <c r="H47" s="28">
        <f>SUM(H46:H46)</f>
        <v>450000</v>
      </c>
      <c r="I47" s="113"/>
    </row>
    <row r="48" spans="1:9" x14ac:dyDescent="0.2">
      <c r="B48" s="81"/>
      <c r="E48" s="82"/>
      <c r="F48" s="82"/>
      <c r="G48" s="82"/>
    </row>
    <row r="49" spans="1:9" x14ac:dyDescent="0.2">
      <c r="E49" s="6"/>
      <c r="F49" s="6"/>
      <c r="G49" s="6"/>
    </row>
    <row r="50" spans="1:9" s="3" customFormat="1" x14ac:dyDescent="0.2">
      <c r="A50" s="13"/>
      <c r="B50" s="13" t="s">
        <v>10</v>
      </c>
      <c r="C50" s="13"/>
      <c r="D50" s="13"/>
      <c r="E50" s="14">
        <f>SUM(E47,E43,E36,E30,E18)</f>
        <v>23319000</v>
      </c>
      <c r="F50" s="14">
        <f>SUM(F47,F43,F36,F30,F18)</f>
        <v>23319000</v>
      </c>
      <c r="G50" s="14">
        <f>SUM(G47,G43,G36,G30,G18)</f>
        <v>28069000</v>
      </c>
      <c r="H50" s="28">
        <f>SUM(E50:G50)</f>
        <v>74707000</v>
      </c>
      <c r="I50" s="113"/>
    </row>
    <row r="51" spans="1:9" x14ac:dyDescent="0.2">
      <c r="E51" s="6"/>
      <c r="F51" s="6"/>
      <c r="G51" s="6"/>
    </row>
    <row r="52" spans="1:9" x14ac:dyDescent="0.2">
      <c r="E52" s="6"/>
      <c r="F52" s="6"/>
      <c r="G52" s="6"/>
    </row>
    <row r="53" spans="1:9" x14ac:dyDescent="0.2">
      <c r="E53" s="6"/>
      <c r="F53" s="6"/>
      <c r="G53" s="6"/>
    </row>
    <row r="54" spans="1:9" x14ac:dyDescent="0.2">
      <c r="A54" s="7" t="s">
        <v>11</v>
      </c>
      <c r="B54" s="8"/>
      <c r="C54" s="8"/>
      <c r="D54" s="8"/>
      <c r="E54" s="9"/>
      <c r="F54" s="9"/>
      <c r="G54" s="9"/>
      <c r="H54" s="9" t="e">
        <f>SUM(#REF!)</f>
        <v>#REF!</v>
      </c>
    </row>
    <row r="55" spans="1:9" ht="32" x14ac:dyDescent="0.2">
      <c r="A55" s="10"/>
      <c r="B55" s="15" t="s">
        <v>50</v>
      </c>
      <c r="C55" s="10" t="s">
        <v>34</v>
      </c>
      <c r="D55" s="10"/>
      <c r="E55" s="12">
        <f>Others!I12</f>
        <v>250000</v>
      </c>
      <c r="F55" s="12">
        <f>Others!J12</f>
        <v>250000</v>
      </c>
      <c r="G55" s="12">
        <f>Others!K12</f>
        <v>250000</v>
      </c>
      <c r="H55" s="24">
        <f>SUM(E55:G55)</f>
        <v>750000</v>
      </c>
      <c r="I55" s="112" t="s">
        <v>166</v>
      </c>
    </row>
    <row r="56" spans="1:9" ht="28" customHeight="1" x14ac:dyDescent="0.2">
      <c r="A56" s="10"/>
      <c r="B56" s="15" t="s">
        <v>51</v>
      </c>
      <c r="C56" s="10"/>
      <c r="D56" s="10"/>
      <c r="E56" s="12">
        <v>200000</v>
      </c>
      <c r="F56" s="12">
        <v>200000</v>
      </c>
      <c r="G56" s="12">
        <v>200000</v>
      </c>
      <c r="H56" s="24">
        <f>SUM(E56:G56)</f>
        <v>600000</v>
      </c>
      <c r="I56" s="112" t="s">
        <v>157</v>
      </c>
    </row>
    <row r="57" spans="1:9" ht="16" x14ac:dyDescent="0.2">
      <c r="A57" s="10"/>
      <c r="B57" s="15" t="s">
        <v>52</v>
      </c>
      <c r="C57" s="10"/>
      <c r="D57" s="10"/>
      <c r="E57" s="12">
        <v>136000</v>
      </c>
      <c r="F57" s="12">
        <v>136000</v>
      </c>
      <c r="G57" s="12">
        <v>136000</v>
      </c>
      <c r="H57" s="24">
        <f>SUM(E57:G57)</f>
        <v>408000</v>
      </c>
      <c r="I57" s="112" t="s">
        <v>190</v>
      </c>
    </row>
    <row r="58" spans="1:9" ht="16" x14ac:dyDescent="0.2">
      <c r="A58" s="10"/>
      <c r="B58" s="15" t="s">
        <v>13</v>
      </c>
      <c r="C58" s="10"/>
      <c r="D58" s="10"/>
      <c r="E58" s="12">
        <v>333333.33333333331</v>
      </c>
      <c r="F58" s="12">
        <v>333333.33333333331</v>
      </c>
      <c r="G58" s="12">
        <v>333333.33333333331</v>
      </c>
      <c r="H58" s="24">
        <f>SUM(E58:G58)</f>
        <v>1000000</v>
      </c>
      <c r="I58" s="112" t="s">
        <v>173</v>
      </c>
    </row>
    <row r="59" spans="1:9" s="3" customFormat="1" x14ac:dyDescent="0.2">
      <c r="A59" s="13"/>
      <c r="B59" s="13" t="s">
        <v>15</v>
      </c>
      <c r="C59" s="13"/>
      <c r="D59" s="13"/>
      <c r="E59" s="14">
        <f t="shared" ref="E59:G59" si="4">SUM(E55:E58)</f>
        <v>919333.33333333326</v>
      </c>
      <c r="F59" s="14">
        <f t="shared" si="4"/>
        <v>919333.33333333326</v>
      </c>
      <c r="G59" s="14">
        <f t="shared" si="4"/>
        <v>919333.33333333326</v>
      </c>
      <c r="H59" s="28">
        <f>SUM(H55:H58)</f>
        <v>2758000</v>
      </c>
      <c r="I59" s="113"/>
    </row>
    <row r="60" spans="1:9" x14ac:dyDescent="0.2">
      <c r="E60" s="6"/>
      <c r="F60" s="6"/>
      <c r="G60" s="6"/>
    </row>
    <row r="63" spans="1:9" x14ac:dyDescent="0.2">
      <c r="A63" s="7"/>
      <c r="B63" s="7" t="s">
        <v>16</v>
      </c>
      <c r="C63" s="8"/>
      <c r="D63" s="8"/>
      <c r="E63" s="9"/>
      <c r="F63" s="9"/>
      <c r="G63" s="9"/>
      <c r="H63" s="9" t="e">
        <f>SUM(#REF!)</f>
        <v>#REF!</v>
      </c>
    </row>
    <row r="64" spans="1:9" x14ac:dyDescent="0.2">
      <c r="A64" s="10"/>
      <c r="B64" s="15" t="s">
        <v>113</v>
      </c>
      <c r="C64" s="10" t="s">
        <v>35</v>
      </c>
      <c r="D64" s="57">
        <v>0.02</v>
      </c>
      <c r="E64" s="12">
        <f>E13*$D$64</f>
        <v>1703191.46</v>
      </c>
      <c r="F64" s="12">
        <f>F13*$D$64</f>
        <v>0</v>
      </c>
      <c r="G64" s="12">
        <f>G13*$D$64</f>
        <v>0</v>
      </c>
      <c r="H64" s="24">
        <f>SUM(E64:G64)</f>
        <v>1703191.46</v>
      </c>
    </row>
    <row r="65" spans="1:9" x14ac:dyDescent="0.2">
      <c r="A65" s="10"/>
      <c r="B65" s="15" t="s">
        <v>112</v>
      </c>
      <c r="C65" s="10" t="s">
        <v>36</v>
      </c>
      <c r="D65" s="57">
        <v>0.02</v>
      </c>
      <c r="E65" s="12">
        <f>E50*$D$65</f>
        <v>466380</v>
      </c>
      <c r="F65" s="12">
        <f>F50*$D$65</f>
        <v>466380</v>
      </c>
      <c r="G65" s="12">
        <f>G50*$D$65</f>
        <v>561380</v>
      </c>
      <c r="H65" s="24">
        <f>SUM(E65:G65)</f>
        <v>1494140</v>
      </c>
    </row>
    <row r="66" spans="1:9" s="3" customFormat="1" x14ac:dyDescent="0.2">
      <c r="A66" s="13"/>
      <c r="B66" s="13" t="s">
        <v>17</v>
      </c>
      <c r="C66" s="13"/>
      <c r="D66" s="13"/>
      <c r="E66" s="14">
        <f t="shared" ref="E66:G66" si="5">SUM(E64:E65)</f>
        <v>2169571.46</v>
      </c>
      <c r="F66" s="14">
        <f t="shared" si="5"/>
        <v>466380</v>
      </c>
      <c r="G66" s="14">
        <f t="shared" si="5"/>
        <v>561380</v>
      </c>
      <c r="H66" s="28">
        <f>SUM(E66:G66)</f>
        <v>3197331.46</v>
      </c>
      <c r="I66" s="113"/>
    </row>
    <row r="71" spans="1:9" x14ac:dyDescent="0.2">
      <c r="A71" s="7"/>
      <c r="B71" s="7" t="s">
        <v>18</v>
      </c>
      <c r="C71" s="8"/>
      <c r="D71" s="8"/>
      <c r="E71" s="9"/>
      <c r="F71" s="9"/>
      <c r="G71" s="9"/>
      <c r="H71" s="9" t="e">
        <f>SUM(#REF!)</f>
        <v>#REF!</v>
      </c>
    </row>
    <row r="72" spans="1:9" x14ac:dyDescent="0.2">
      <c r="B72" t="s">
        <v>5</v>
      </c>
      <c r="E72" s="34">
        <f>SUM(E13)</f>
        <v>85159573</v>
      </c>
      <c r="F72" s="34">
        <f>SUM(F13)</f>
        <v>0</v>
      </c>
      <c r="G72" s="34">
        <f>SUM(G13)</f>
        <v>0</v>
      </c>
      <c r="H72" s="34">
        <f>SUM(E72:G72)</f>
        <v>85159573</v>
      </c>
    </row>
    <row r="73" spans="1:9" x14ac:dyDescent="0.2">
      <c r="B73" t="s">
        <v>19</v>
      </c>
      <c r="E73" s="34">
        <f>SUM(E66,E59,E50)</f>
        <v>26407904.793333333</v>
      </c>
      <c r="F73" s="34">
        <f>SUM(F66,F59,F50)</f>
        <v>24704713.333333332</v>
      </c>
      <c r="G73" s="34">
        <f>SUM(G66,G59,G50)</f>
        <v>29549713.333333332</v>
      </c>
      <c r="H73" s="34">
        <f>-SUM(H66,H59,H50)</f>
        <v>-80662331.459999993</v>
      </c>
    </row>
    <row r="74" spans="1:9" s="3" customFormat="1" x14ac:dyDescent="0.2">
      <c r="A74" s="78"/>
      <c r="B74" s="78"/>
      <c r="C74" s="78"/>
      <c r="D74" s="78"/>
      <c r="E74" s="79"/>
      <c r="F74" s="79"/>
      <c r="G74" s="79"/>
      <c r="H74" s="79"/>
      <c r="I74" s="113"/>
    </row>
    <row r="75" spans="1:9" x14ac:dyDescent="0.2">
      <c r="H75" s="109">
        <f>H73/10</f>
        <v>-8066233.1459999997</v>
      </c>
    </row>
    <row r="76" spans="1:9" x14ac:dyDescent="0.2">
      <c r="H76" s="109">
        <f>H75*3</f>
        <v>-24198699.438000001</v>
      </c>
    </row>
    <row r="77" spans="1:9" x14ac:dyDescent="0.2">
      <c r="E77" s="197"/>
      <c r="F77" s="100">
        <f>E73+F73+G73</f>
        <v>80662331.459999993</v>
      </c>
      <c r="G77" s="197"/>
    </row>
    <row r="78" spans="1:9" x14ac:dyDescent="0.2">
      <c r="E78" s="197"/>
      <c r="F78" s="197"/>
      <c r="G78" s="197"/>
    </row>
    <row r="79" spans="1:9" x14ac:dyDescent="0.2">
      <c r="E79" s="197"/>
      <c r="F79" s="197"/>
      <c r="G79" s="197"/>
    </row>
    <row r="80" spans="1:9" x14ac:dyDescent="0.2">
      <c r="E80" s="197"/>
      <c r="F80" s="100">
        <f>E72-F77</f>
        <v>4497241.5400000066</v>
      </c>
      <c r="G80" s="197"/>
    </row>
    <row r="81" spans="5:7" x14ac:dyDescent="0.2">
      <c r="E81" s="197"/>
      <c r="F81" s="197">
        <v>18754227.617499992</v>
      </c>
      <c r="G81" s="197"/>
    </row>
  </sheetData>
  <pageMargins left="0.25" right="0.25" top="0.75" bottom="0.75" header="0.3" footer="0.3"/>
  <pageSetup paperSize="9" scale="41" orientation="portrait" horizontalDpi="0" verticalDpi="0" copies="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5633F-6DDF-134E-8FC4-AEADD21F1A49}">
  <sheetPr>
    <pageSetUpPr fitToPage="1"/>
  </sheetPr>
  <dimension ref="A2:K107"/>
  <sheetViews>
    <sheetView topLeftCell="A2" zoomScale="110" zoomScaleNormal="110" workbookViewId="0">
      <selection activeCell="G8" sqref="G8"/>
    </sheetView>
  </sheetViews>
  <sheetFormatPr baseColWidth="10" defaultColWidth="8.83203125" defaultRowHeight="15" x14ac:dyDescent="0.2"/>
  <cols>
    <col min="1" max="1" width="5.5" customWidth="1"/>
    <col min="2" max="2" width="56" bestFit="1" customWidth="1"/>
    <col min="3" max="3" width="36.33203125" customWidth="1"/>
    <col min="4" max="4" width="11.6640625" customWidth="1"/>
    <col min="5" max="5" width="14.6640625" customWidth="1"/>
    <col min="6" max="6" width="14.83203125" customWidth="1"/>
    <col min="7" max="7" width="14.5" style="140" customWidth="1"/>
    <col min="8" max="8" width="14.5" customWidth="1"/>
    <col min="9" max="9" width="23.6640625" style="21" customWidth="1"/>
    <col min="10" max="10" width="38.5" style="112" customWidth="1"/>
    <col min="11" max="11" width="10" bestFit="1" customWidth="1"/>
  </cols>
  <sheetData>
    <row r="2" spans="1:11" ht="16" x14ac:dyDescent="0.2">
      <c r="A2" s="18"/>
      <c r="B2" s="18" t="s">
        <v>0</v>
      </c>
      <c r="C2" s="18" t="s">
        <v>65</v>
      </c>
      <c r="D2" s="56"/>
      <c r="E2" s="119">
        <v>45741</v>
      </c>
      <c r="F2" s="19">
        <v>45748</v>
      </c>
      <c r="G2" s="170">
        <v>45778</v>
      </c>
      <c r="H2" s="19">
        <v>45809</v>
      </c>
      <c r="I2" s="22" t="s">
        <v>126</v>
      </c>
      <c r="J2" s="111" t="s">
        <v>128</v>
      </c>
      <c r="K2" s="22" t="s">
        <v>129</v>
      </c>
    </row>
    <row r="3" spans="1:11" x14ac:dyDescent="0.2">
      <c r="B3" s="4"/>
      <c r="C3" s="4"/>
      <c r="D3" s="4"/>
      <c r="E3" s="4"/>
    </row>
    <row r="4" spans="1:11" x14ac:dyDescent="0.2">
      <c r="B4" s="166" t="s">
        <v>215</v>
      </c>
      <c r="C4" s="4"/>
      <c r="D4" s="4"/>
      <c r="E4" s="4"/>
      <c r="F4" s="100" t="e">
        <f>#REF!/3</f>
        <v>#REF!</v>
      </c>
    </row>
    <row r="5" spans="1:11" x14ac:dyDescent="0.2">
      <c r="B5" s="4"/>
      <c r="C5" s="4"/>
      <c r="D5" s="4"/>
      <c r="E5" s="4"/>
      <c r="F5" s="102" t="e">
        <f>F4*3</f>
        <v>#REF!</v>
      </c>
      <c r="G5" s="171"/>
      <c r="H5" s="6"/>
    </row>
    <row r="6" spans="1:11" x14ac:dyDescent="0.2">
      <c r="A6" s="7" t="s">
        <v>114</v>
      </c>
      <c r="B6" s="8"/>
      <c r="C6" s="8"/>
      <c r="D6" s="8"/>
      <c r="E6" s="8"/>
      <c r="F6" s="9"/>
      <c r="G6" s="172"/>
      <c r="H6" s="9"/>
      <c r="I6" s="9"/>
    </row>
    <row r="7" spans="1:11" x14ac:dyDescent="0.2">
      <c r="A7" s="10"/>
      <c r="B7" s="11" t="s">
        <v>47</v>
      </c>
      <c r="C7" s="10" t="s">
        <v>21</v>
      </c>
      <c r="D7" s="10"/>
      <c r="E7" s="10"/>
      <c r="F7" s="12"/>
      <c r="G7" s="173"/>
      <c r="H7" s="12"/>
      <c r="I7" s="25">
        <f>SUM(F7:H7)</f>
        <v>0</v>
      </c>
    </row>
    <row r="8" spans="1:11" x14ac:dyDescent="0.2">
      <c r="A8" s="10"/>
      <c r="B8" s="11" t="s">
        <v>48</v>
      </c>
      <c r="C8" s="10" t="s">
        <v>22</v>
      </c>
      <c r="D8" s="10"/>
      <c r="E8" s="10"/>
      <c r="G8" s="173">
        <v>133916648</v>
      </c>
      <c r="H8" s="12"/>
      <c r="I8" s="25">
        <f>SUM(G8:H8)</f>
        <v>133916648</v>
      </c>
    </row>
    <row r="9" spans="1:11" x14ac:dyDescent="0.2">
      <c r="A9" s="10"/>
      <c r="B9" s="11" t="s">
        <v>1</v>
      </c>
      <c r="C9" s="10" t="s">
        <v>219</v>
      </c>
      <c r="D9" s="10"/>
      <c r="E9" s="10"/>
      <c r="F9" s="12"/>
      <c r="G9" s="173"/>
      <c r="H9" s="12"/>
      <c r="I9" s="25">
        <f>SUM(F9:H9)</f>
        <v>0</v>
      </c>
    </row>
    <row r="10" spans="1:11" x14ac:dyDescent="0.2">
      <c r="A10" s="10"/>
      <c r="B10" s="11" t="s">
        <v>2</v>
      </c>
      <c r="C10" s="10" t="s">
        <v>24</v>
      </c>
      <c r="D10" s="10"/>
      <c r="E10" s="10"/>
      <c r="F10" s="12"/>
      <c r="G10" s="173"/>
      <c r="H10" s="12"/>
      <c r="I10" s="25">
        <f>SUM(F10:H10)</f>
        <v>0</v>
      </c>
    </row>
    <row r="11" spans="1:11" x14ac:dyDescent="0.2">
      <c r="A11" s="10"/>
      <c r="B11" s="11" t="s">
        <v>3</v>
      </c>
      <c r="C11" s="10" t="s">
        <v>25</v>
      </c>
      <c r="D11" s="10"/>
      <c r="E11" s="10"/>
      <c r="F11" s="12">
        <f>'Rental, Hosting &amp; Sponsorships'!F12</f>
        <v>0</v>
      </c>
      <c r="G11" s="173">
        <f>'Rental, Hosting &amp; Sponsorships'!G12</f>
        <v>0</v>
      </c>
      <c r="H11" s="12">
        <f>'Rental, Hosting &amp; Sponsorships'!H12</f>
        <v>0</v>
      </c>
      <c r="I11" s="25">
        <f>SUM(F11:H11)</f>
        <v>0</v>
      </c>
    </row>
    <row r="12" spans="1:11" x14ac:dyDescent="0.2">
      <c r="A12" s="10"/>
      <c r="B12" s="11" t="s">
        <v>67</v>
      </c>
      <c r="C12" s="10"/>
      <c r="D12" s="10"/>
      <c r="E12" s="10"/>
      <c r="F12" s="12">
        <f>'Rental, Hosting &amp; Sponsorships'!F6</f>
        <v>0</v>
      </c>
      <c r="G12" s="173">
        <f>'Rental, Hosting &amp; Sponsorships'!G6</f>
        <v>0</v>
      </c>
      <c r="H12" s="12">
        <f>'Rental, Hosting &amp; Sponsorships'!H6</f>
        <v>0</v>
      </c>
      <c r="I12" s="25">
        <f>SUM(F12:H12)</f>
        <v>0</v>
      </c>
    </row>
    <row r="13" spans="1:11" x14ac:dyDescent="0.2">
      <c r="A13" s="10"/>
      <c r="B13" s="11" t="s">
        <v>4</v>
      </c>
      <c r="C13" s="10" t="s">
        <v>26</v>
      </c>
      <c r="D13" s="10"/>
      <c r="E13" s="10"/>
      <c r="F13" s="12"/>
      <c r="G13" s="173"/>
      <c r="H13" s="12"/>
      <c r="I13" s="25">
        <f>SUM(F13:H13)</f>
        <v>0</v>
      </c>
    </row>
    <row r="14" spans="1:11" s="3" customFormat="1" x14ac:dyDescent="0.2">
      <c r="A14" s="13" t="s">
        <v>5</v>
      </c>
      <c r="B14" s="13"/>
      <c r="C14" s="13"/>
      <c r="D14" s="13"/>
      <c r="E14" s="13"/>
      <c r="F14" s="14">
        <f t="shared" ref="F14:I14" si="0">SUM(F6:F13)</f>
        <v>0</v>
      </c>
      <c r="G14" s="174">
        <f t="shared" si="0"/>
        <v>133916648</v>
      </c>
      <c r="H14" s="14">
        <f t="shared" si="0"/>
        <v>0</v>
      </c>
      <c r="I14" s="28">
        <f t="shared" si="0"/>
        <v>133916648</v>
      </c>
      <c r="J14" s="113"/>
    </row>
    <row r="15" spans="1:11" x14ac:dyDescent="0.2">
      <c r="F15" s="6"/>
      <c r="G15" s="171"/>
      <c r="H15" s="6"/>
    </row>
    <row r="16" spans="1:11" x14ac:dyDescent="0.2">
      <c r="F16" s="6"/>
      <c r="G16" s="171"/>
      <c r="H16" s="6"/>
    </row>
    <row r="17" spans="1:11" x14ac:dyDescent="0.2">
      <c r="F17" s="6"/>
      <c r="G17" s="171"/>
      <c r="H17" s="6"/>
    </row>
    <row r="18" spans="1:11" x14ac:dyDescent="0.2">
      <c r="B18" s="7" t="s">
        <v>6</v>
      </c>
      <c r="C18" s="8"/>
      <c r="D18" s="8"/>
      <c r="E18" s="8"/>
      <c r="F18" s="9"/>
      <c r="G18" s="172"/>
      <c r="H18" s="9"/>
      <c r="I18" s="9"/>
    </row>
    <row r="19" spans="1:11" s="106" customFormat="1" x14ac:dyDescent="0.2">
      <c r="A19" s="103" t="s">
        <v>234</v>
      </c>
      <c r="B19" s="104" t="s">
        <v>7</v>
      </c>
      <c r="C19" s="103" t="s">
        <v>27</v>
      </c>
      <c r="D19" s="103"/>
      <c r="E19" s="120">
        <f>Salaries1!F27</f>
        <v>14571000</v>
      </c>
      <c r="F19" s="105">
        <f>Salaries1!G27</f>
        <v>14571000</v>
      </c>
      <c r="G19" s="175">
        <f>Salaries1!H48</f>
        <v>0</v>
      </c>
      <c r="H19" s="105">
        <f>Salaries1!I27</f>
        <v>14571000</v>
      </c>
      <c r="I19" s="105">
        <f>SUM(F19:H19)</f>
        <v>29142000</v>
      </c>
      <c r="J19" s="114"/>
    </row>
    <row r="20" spans="1:11" x14ac:dyDescent="0.2">
      <c r="B20" s="5"/>
      <c r="F20" s="6"/>
      <c r="G20" s="171"/>
      <c r="H20" s="6"/>
    </row>
    <row r="21" spans="1:11" x14ac:dyDescent="0.2">
      <c r="B21" s="5"/>
      <c r="F21" s="6"/>
      <c r="G21" s="171"/>
      <c r="H21" s="6"/>
    </row>
    <row r="22" spans="1:11" x14ac:dyDescent="0.2">
      <c r="A22" t="s">
        <v>235</v>
      </c>
      <c r="B22" s="2" t="s">
        <v>41</v>
      </c>
      <c r="C22" t="s">
        <v>170</v>
      </c>
      <c r="F22" s="6"/>
      <c r="G22" s="171"/>
      <c r="H22" s="6"/>
    </row>
    <row r="23" spans="1:11" s="129" customFormat="1" ht="16" x14ac:dyDescent="0.2">
      <c r="A23" s="124" t="s">
        <v>236</v>
      </c>
      <c r="B23" s="125" t="s">
        <v>136</v>
      </c>
      <c r="C23" s="124"/>
      <c r="D23" s="124"/>
      <c r="E23" s="124"/>
      <c r="F23" s="126"/>
      <c r="G23" s="176">
        <f>1201234*8</f>
        <v>9609872</v>
      </c>
      <c r="H23" s="126"/>
      <c r="I23" s="127">
        <f>SUM(F23:H23)</f>
        <v>9609872</v>
      </c>
      <c r="J23" s="128" t="s">
        <v>161</v>
      </c>
    </row>
    <row r="24" spans="1:11" s="129" customFormat="1" ht="16" x14ac:dyDescent="0.2">
      <c r="A24" s="124" t="s">
        <v>237</v>
      </c>
      <c r="B24" s="125" t="s">
        <v>134</v>
      </c>
      <c r="C24" s="124"/>
      <c r="D24" s="124"/>
      <c r="E24" s="124"/>
      <c r="F24" s="126"/>
      <c r="G24" s="177">
        <f>1982000</f>
        <v>1982000</v>
      </c>
      <c r="H24" s="126"/>
      <c r="I24" s="127">
        <f t="shared" ref="I24:I39" si="1">SUM(F24:H24)</f>
        <v>1982000</v>
      </c>
      <c r="J24" s="128" t="s">
        <v>158</v>
      </c>
      <c r="K24" s="129" t="s">
        <v>125</v>
      </c>
    </row>
    <row r="25" spans="1:11" s="129" customFormat="1" ht="16" x14ac:dyDescent="0.2">
      <c r="A25" s="124" t="s">
        <v>238</v>
      </c>
      <c r="B25" s="125" t="s">
        <v>130</v>
      </c>
      <c r="C25" s="124"/>
      <c r="D25" s="124"/>
      <c r="E25" s="124"/>
      <c r="F25" s="126"/>
      <c r="G25" s="176">
        <f>38000*8</f>
        <v>304000</v>
      </c>
      <c r="H25" s="126"/>
      <c r="I25" s="127">
        <f t="shared" si="1"/>
        <v>304000</v>
      </c>
      <c r="J25" s="128" t="s">
        <v>161</v>
      </c>
    </row>
    <row r="26" spans="1:11" s="129" customFormat="1" ht="16" x14ac:dyDescent="0.2">
      <c r="A26" s="124" t="s">
        <v>239</v>
      </c>
      <c r="B26" s="125" t="s">
        <v>131</v>
      </c>
      <c r="C26" s="124"/>
      <c r="D26" s="124"/>
      <c r="E26" s="124"/>
      <c r="F26" s="126"/>
      <c r="G26" s="176">
        <v>679000</v>
      </c>
      <c r="H26" s="126"/>
      <c r="I26" s="127">
        <f t="shared" si="1"/>
        <v>679000</v>
      </c>
      <c r="J26" s="128" t="s">
        <v>135</v>
      </c>
      <c r="K26" s="129" t="s">
        <v>125</v>
      </c>
    </row>
    <row r="27" spans="1:11" s="129" customFormat="1" ht="16" x14ac:dyDescent="0.2">
      <c r="A27" s="124" t="s">
        <v>240</v>
      </c>
      <c r="B27" s="125" t="s">
        <v>168</v>
      </c>
      <c r="C27" s="124"/>
      <c r="D27" s="124"/>
      <c r="E27" s="124"/>
      <c r="F27" s="126"/>
      <c r="G27" s="176">
        <v>200000</v>
      </c>
      <c r="H27" s="126"/>
      <c r="I27" s="127">
        <f t="shared" si="1"/>
        <v>200000</v>
      </c>
      <c r="J27" s="128" t="s">
        <v>169</v>
      </c>
    </row>
    <row r="28" spans="1:11" ht="48" x14ac:dyDescent="0.2">
      <c r="A28" s="10" t="s">
        <v>241</v>
      </c>
      <c r="B28" s="17" t="s">
        <v>132</v>
      </c>
      <c r="C28" s="10"/>
      <c r="D28" s="10"/>
      <c r="E28" s="16">
        <v>240000</v>
      </c>
      <c r="F28" s="16">
        <v>240000</v>
      </c>
      <c r="G28" s="178">
        <v>1328000</v>
      </c>
      <c r="H28" s="16">
        <v>1328000</v>
      </c>
      <c r="I28" s="25">
        <f t="shared" si="1"/>
        <v>2896000</v>
      </c>
      <c r="J28" s="112" t="s">
        <v>226</v>
      </c>
    </row>
    <row r="29" spans="1:11" ht="16" x14ac:dyDescent="0.2">
      <c r="A29" s="10" t="s">
        <v>242</v>
      </c>
      <c r="B29" s="17" t="s">
        <v>159</v>
      </c>
      <c r="C29" s="10"/>
      <c r="D29" s="10"/>
      <c r="E29" s="10"/>
      <c r="F29" s="16"/>
      <c r="G29" s="178">
        <v>300000</v>
      </c>
      <c r="H29" s="16">
        <v>300000</v>
      </c>
      <c r="I29" s="25">
        <f t="shared" si="1"/>
        <v>600000</v>
      </c>
      <c r="J29" s="112" t="s">
        <v>208</v>
      </c>
    </row>
    <row r="30" spans="1:11" ht="48" x14ac:dyDescent="0.2">
      <c r="A30" s="10" t="s">
        <v>243</v>
      </c>
      <c r="B30" s="17" t="s">
        <v>39</v>
      </c>
      <c r="C30" s="10"/>
      <c r="D30" s="10"/>
      <c r="E30" s="10"/>
      <c r="F30" s="16">
        <f>172000+136000+300000+800000+4429000</f>
        <v>5837000</v>
      </c>
      <c r="G30" s="178">
        <v>1500000</v>
      </c>
      <c r="H30" s="16">
        <v>1500000</v>
      </c>
      <c r="I30" s="25">
        <f>SUM(F30:H30)</f>
        <v>8837000</v>
      </c>
      <c r="J30" s="112" t="s">
        <v>228</v>
      </c>
    </row>
    <row r="31" spans="1:11" x14ac:dyDescent="0.2">
      <c r="A31" s="10" t="s">
        <v>244</v>
      </c>
      <c r="B31" s="17" t="s">
        <v>40</v>
      </c>
      <c r="C31" s="10"/>
      <c r="D31" s="10"/>
      <c r="E31" s="10"/>
      <c r="F31" s="16"/>
      <c r="G31" s="178">
        <v>1000000</v>
      </c>
      <c r="H31" s="16">
        <v>1000000</v>
      </c>
      <c r="I31" s="25">
        <f t="shared" si="1"/>
        <v>2000000</v>
      </c>
    </row>
    <row r="32" spans="1:11" ht="15.5" customHeight="1" x14ac:dyDescent="0.2">
      <c r="A32" s="10" t="s">
        <v>245</v>
      </c>
      <c r="B32" s="17" t="s">
        <v>137</v>
      </c>
      <c r="C32" s="10"/>
      <c r="D32" s="10"/>
      <c r="E32" s="10"/>
      <c r="F32" s="16"/>
      <c r="G32" s="178"/>
      <c r="H32" s="16">
        <v>2000000</v>
      </c>
      <c r="I32" s="25">
        <f t="shared" si="1"/>
        <v>2000000</v>
      </c>
      <c r="J32" s="112" t="s">
        <v>155</v>
      </c>
    </row>
    <row r="33" spans="1:10" ht="15.5" customHeight="1" x14ac:dyDescent="0.2">
      <c r="A33" s="10" t="s">
        <v>246</v>
      </c>
      <c r="B33" s="17" t="s">
        <v>138</v>
      </c>
      <c r="C33" s="10"/>
      <c r="D33" s="10"/>
      <c r="E33" s="10"/>
      <c r="F33" s="16"/>
      <c r="G33" s="178"/>
      <c r="H33" s="16"/>
      <c r="I33" s="25"/>
      <c r="J33" s="112" t="s">
        <v>186</v>
      </c>
    </row>
    <row r="34" spans="1:10" ht="15.5" customHeight="1" x14ac:dyDescent="0.2">
      <c r="A34" s="10" t="s">
        <v>247</v>
      </c>
      <c r="B34" s="17" t="s">
        <v>139</v>
      </c>
      <c r="C34" s="10"/>
      <c r="D34" s="10"/>
      <c r="E34" s="10"/>
      <c r="F34" s="16"/>
      <c r="G34" s="178">
        <v>250000</v>
      </c>
      <c r="H34" s="16">
        <v>250000</v>
      </c>
      <c r="I34" s="25">
        <f t="shared" si="1"/>
        <v>500000</v>
      </c>
      <c r="J34" s="112" t="s">
        <v>155</v>
      </c>
    </row>
    <row r="35" spans="1:10" ht="15.5" customHeight="1" x14ac:dyDescent="0.2">
      <c r="A35" s="10" t="s">
        <v>248</v>
      </c>
      <c r="B35" s="17" t="s">
        <v>140</v>
      </c>
      <c r="C35" s="10"/>
      <c r="D35" s="10"/>
      <c r="E35" s="10"/>
      <c r="F35" s="16"/>
      <c r="G35" s="178">
        <v>400000</v>
      </c>
      <c r="H35" s="16">
        <v>400000</v>
      </c>
      <c r="I35" s="25">
        <f t="shared" si="1"/>
        <v>800000</v>
      </c>
      <c r="J35" s="112" t="s">
        <v>155</v>
      </c>
    </row>
    <row r="36" spans="1:10" s="129" customFormat="1" ht="15.5" customHeight="1" x14ac:dyDescent="0.2">
      <c r="A36" s="124" t="s">
        <v>249</v>
      </c>
      <c r="B36" s="60" t="s">
        <v>141</v>
      </c>
      <c r="C36" s="124"/>
      <c r="D36" s="124"/>
      <c r="E36" s="124"/>
      <c r="F36" s="126"/>
      <c r="G36" s="176"/>
      <c r="H36" s="126"/>
      <c r="I36" s="143">
        <f t="shared" si="1"/>
        <v>0</v>
      </c>
      <c r="J36" s="114" t="s">
        <v>154</v>
      </c>
    </row>
    <row r="37" spans="1:10" s="129" customFormat="1" ht="15.5" customHeight="1" x14ac:dyDescent="0.2">
      <c r="A37" s="124" t="s">
        <v>250</v>
      </c>
      <c r="B37" s="60" t="s">
        <v>142</v>
      </c>
      <c r="C37" s="124"/>
      <c r="D37" s="124"/>
      <c r="E37" s="124"/>
      <c r="F37" s="126"/>
      <c r="G37" s="176"/>
      <c r="H37" s="126"/>
      <c r="I37" s="143">
        <f t="shared" si="1"/>
        <v>0</v>
      </c>
      <c r="J37" s="114" t="s">
        <v>154</v>
      </c>
    </row>
    <row r="38" spans="1:10" ht="15.5" customHeight="1" x14ac:dyDescent="0.2">
      <c r="A38" s="10" t="s">
        <v>251</v>
      </c>
      <c r="B38" s="17" t="s">
        <v>160</v>
      </c>
      <c r="C38" s="10"/>
      <c r="D38" s="10"/>
      <c r="E38" s="10"/>
      <c r="F38" s="16">
        <v>3000000</v>
      </c>
      <c r="G38" s="178">
        <v>3000000</v>
      </c>
      <c r="H38" s="16">
        <v>3000000</v>
      </c>
      <c r="I38" s="25">
        <f t="shared" si="1"/>
        <v>9000000</v>
      </c>
      <c r="J38" s="112" t="s">
        <v>156</v>
      </c>
    </row>
    <row r="39" spans="1:10" s="129" customFormat="1" ht="58" customHeight="1" x14ac:dyDescent="0.2">
      <c r="A39" s="124" t="s">
        <v>252</v>
      </c>
      <c r="B39" s="130" t="s">
        <v>143</v>
      </c>
      <c r="C39" s="124"/>
      <c r="D39" s="124"/>
      <c r="E39" s="124"/>
      <c r="G39" s="176"/>
      <c r="H39" s="126">
        <v>10735000</v>
      </c>
      <c r="I39" s="127">
        <f t="shared" si="1"/>
        <v>10735000</v>
      </c>
      <c r="J39" s="128" t="s">
        <v>184</v>
      </c>
    </row>
    <row r="40" spans="1:10" s="3" customFormat="1" x14ac:dyDescent="0.2">
      <c r="A40" s="13"/>
      <c r="B40" s="13"/>
      <c r="C40" s="13"/>
      <c r="D40" s="13"/>
      <c r="E40" s="14">
        <f>SUM(E23:E39)</f>
        <v>240000</v>
      </c>
      <c r="F40" s="14">
        <f>SUM(F23:F39)</f>
        <v>9077000</v>
      </c>
      <c r="G40" s="174">
        <f>SUM(G23:G39)</f>
        <v>20552872</v>
      </c>
      <c r="H40" s="14">
        <f>SUM(H23:H39)</f>
        <v>20513000</v>
      </c>
      <c r="I40" s="28">
        <f>SUM(I23:I39)</f>
        <v>50142872</v>
      </c>
      <c r="J40" s="113"/>
    </row>
    <row r="41" spans="1:10" s="3" customFormat="1" x14ac:dyDescent="0.2">
      <c r="E41" s="138"/>
      <c r="F41" s="138"/>
      <c r="G41" s="179"/>
      <c r="H41" s="138"/>
      <c r="I41" s="139"/>
      <c r="J41" s="113"/>
    </row>
    <row r="42" spans="1:10" ht="16" x14ac:dyDescent="0.2">
      <c r="A42" t="s">
        <v>253</v>
      </c>
      <c r="B42" s="2" t="s">
        <v>59</v>
      </c>
      <c r="F42" s="6"/>
      <c r="G42" s="171"/>
      <c r="H42" s="6"/>
      <c r="J42" s="113" t="s">
        <v>146</v>
      </c>
    </row>
    <row r="43" spans="1:10" ht="32" x14ac:dyDescent="0.2">
      <c r="A43" s="10" t="s">
        <v>254</v>
      </c>
      <c r="B43" s="15" t="s">
        <v>54</v>
      </c>
      <c r="C43" s="10"/>
      <c r="D43" s="10"/>
      <c r="E43" s="10"/>
      <c r="F43" s="20"/>
      <c r="G43" s="180">
        <v>2251027</v>
      </c>
      <c r="H43" s="20"/>
      <c r="I43" s="24">
        <f>SUM(F43:H43)</f>
        <v>2251027</v>
      </c>
      <c r="J43" s="112" t="s">
        <v>147</v>
      </c>
    </row>
    <row r="44" spans="1:10" ht="16" x14ac:dyDescent="0.2">
      <c r="A44" s="10" t="s">
        <v>255</v>
      </c>
      <c r="B44" s="15" t="s">
        <v>144</v>
      </c>
      <c r="C44" s="10"/>
      <c r="D44" s="10"/>
      <c r="E44" s="10"/>
      <c r="F44" s="20"/>
      <c r="G44" s="180">
        <v>5478430</v>
      </c>
      <c r="H44" s="20"/>
      <c r="I44" s="24">
        <f>SUM(F44:H44)</f>
        <v>5478430</v>
      </c>
      <c r="J44" s="112" t="s">
        <v>148</v>
      </c>
    </row>
    <row r="45" spans="1:10" ht="16" x14ac:dyDescent="0.2">
      <c r="A45" s="10" t="s">
        <v>256</v>
      </c>
      <c r="B45" s="15" t="s">
        <v>145</v>
      </c>
      <c r="C45" s="10"/>
      <c r="D45" s="10"/>
      <c r="E45" s="10"/>
      <c r="F45" s="20"/>
      <c r="G45" s="180">
        <v>3214346</v>
      </c>
      <c r="H45" s="20"/>
      <c r="I45" s="24">
        <f t="shared" ref="I45:I47" si="2">SUM(F45:H45)</f>
        <v>3214346</v>
      </c>
      <c r="J45" s="112" t="s">
        <v>152</v>
      </c>
    </row>
    <row r="46" spans="1:10" ht="16" x14ac:dyDescent="0.2">
      <c r="A46" s="10" t="s">
        <v>257</v>
      </c>
      <c r="B46" s="15" t="s">
        <v>149</v>
      </c>
      <c r="C46" s="10"/>
      <c r="D46" s="10"/>
      <c r="E46" s="10"/>
      <c r="F46" s="20"/>
      <c r="G46" s="180">
        <v>4017435</v>
      </c>
      <c r="H46" s="20"/>
      <c r="I46" s="24">
        <f t="shared" si="2"/>
        <v>4017435</v>
      </c>
      <c r="J46" s="112" t="s">
        <v>152</v>
      </c>
    </row>
    <row r="47" spans="1:10" ht="16" x14ac:dyDescent="0.2">
      <c r="A47" s="10" t="s">
        <v>258</v>
      </c>
      <c r="B47" s="15" t="s">
        <v>207</v>
      </c>
      <c r="C47" s="10"/>
      <c r="D47" s="10"/>
      <c r="E47" s="10"/>
      <c r="F47" s="20"/>
      <c r="G47" s="180">
        <v>548642</v>
      </c>
      <c r="H47" s="20"/>
      <c r="I47" s="24">
        <f t="shared" si="2"/>
        <v>548642</v>
      </c>
      <c r="J47" s="112" t="s">
        <v>221</v>
      </c>
    </row>
    <row r="48" spans="1:10" ht="16" x14ac:dyDescent="0.2">
      <c r="A48" s="10" t="s">
        <v>259</v>
      </c>
      <c r="B48" s="17" t="s">
        <v>56</v>
      </c>
      <c r="C48" s="10"/>
      <c r="D48" s="10"/>
      <c r="E48" s="10"/>
      <c r="F48" s="20"/>
      <c r="G48" s="180"/>
      <c r="H48" s="20">
        <v>750000</v>
      </c>
      <c r="I48" s="24">
        <f>SUM(F48:H48)</f>
        <v>750000</v>
      </c>
      <c r="J48" s="112" t="s">
        <v>222</v>
      </c>
    </row>
    <row r="49" spans="1:10" ht="32" x14ac:dyDescent="0.2">
      <c r="A49" s="10" t="s">
        <v>260</v>
      </c>
      <c r="B49" s="17" t="s">
        <v>57</v>
      </c>
      <c r="C49" s="10"/>
      <c r="D49" s="10"/>
      <c r="E49" s="10"/>
      <c r="F49" s="20"/>
      <c r="G49" s="180"/>
      <c r="H49" s="20">
        <v>2000000</v>
      </c>
      <c r="I49" s="24">
        <f>SUM(F49:H49)</f>
        <v>2000000</v>
      </c>
      <c r="J49" s="112" t="s">
        <v>151</v>
      </c>
    </row>
    <row r="50" spans="1:10" ht="16" x14ac:dyDescent="0.2">
      <c r="A50" s="10" t="s">
        <v>261</v>
      </c>
      <c r="B50" s="17" t="s">
        <v>58</v>
      </c>
      <c r="C50" s="10"/>
      <c r="D50" s="10"/>
      <c r="E50" s="10"/>
      <c r="G50" s="180">
        <v>300000</v>
      </c>
      <c r="H50" s="20">
        <v>300000</v>
      </c>
      <c r="I50" s="24">
        <f>SUM(G50:H50)</f>
        <v>600000</v>
      </c>
      <c r="J50" s="112" t="s">
        <v>150</v>
      </c>
    </row>
    <row r="51" spans="1:10" s="3" customFormat="1" x14ac:dyDescent="0.2">
      <c r="A51" s="13"/>
      <c r="B51" s="13"/>
      <c r="C51" s="13"/>
      <c r="D51" s="13"/>
      <c r="E51" s="14">
        <f>SUM(E43:E50)</f>
        <v>0</v>
      </c>
      <c r="F51" s="14">
        <f>SUM(F43:F50)</f>
        <v>0</v>
      </c>
      <c r="G51" s="174">
        <f>SUM(G43:G50)</f>
        <v>15809880</v>
      </c>
      <c r="H51" s="14">
        <f>SUM(H43:H50)</f>
        <v>3050000</v>
      </c>
      <c r="I51" s="28">
        <f>SUM(I43:I50)</f>
        <v>18859880</v>
      </c>
      <c r="J51" s="113"/>
    </row>
    <row r="52" spans="1:10" x14ac:dyDescent="0.2">
      <c r="F52" s="6"/>
      <c r="G52" s="171"/>
      <c r="H52" s="6"/>
    </row>
    <row r="53" spans="1:10" x14ac:dyDescent="0.2">
      <c r="A53" t="s">
        <v>262</v>
      </c>
      <c r="B53" s="3" t="s">
        <v>133</v>
      </c>
      <c r="C53" t="s">
        <v>29</v>
      </c>
      <c r="F53" s="6"/>
      <c r="G53" s="171"/>
      <c r="H53" s="6"/>
    </row>
    <row r="54" spans="1:10" s="129" customFormat="1" ht="32" x14ac:dyDescent="0.2">
      <c r="A54" s="124" t="s">
        <v>263</v>
      </c>
      <c r="B54" s="130" t="s">
        <v>177</v>
      </c>
      <c r="C54" s="124"/>
      <c r="D54" s="124"/>
      <c r="E54" s="124"/>
      <c r="F54" s="131"/>
      <c r="G54" s="181">
        <f>321528*8</f>
        <v>2572224</v>
      </c>
      <c r="H54" s="131"/>
      <c r="I54" s="132">
        <f t="shared" ref="I54:I59" si="3">SUM(F54:H54)</f>
        <v>2572224</v>
      </c>
      <c r="J54" s="128" t="s">
        <v>181</v>
      </c>
    </row>
    <row r="55" spans="1:10" s="129" customFormat="1" ht="16" x14ac:dyDescent="0.2">
      <c r="A55" s="124" t="s">
        <v>264</v>
      </c>
      <c r="B55" s="125" t="s">
        <v>182</v>
      </c>
      <c r="C55" s="124"/>
      <c r="D55" s="124"/>
      <c r="E55" s="124"/>
      <c r="F55" s="131"/>
      <c r="G55" s="181">
        <f>499200*1.075</f>
        <v>536640</v>
      </c>
      <c r="H55" s="131"/>
      <c r="I55" s="132">
        <f t="shared" si="3"/>
        <v>536640</v>
      </c>
      <c r="J55" s="128" t="s">
        <v>161</v>
      </c>
    </row>
    <row r="56" spans="1:10" ht="32" x14ac:dyDescent="0.2">
      <c r="A56" s="10" t="s">
        <v>265</v>
      </c>
      <c r="B56" s="125" t="s">
        <v>111</v>
      </c>
      <c r="C56" s="10"/>
      <c r="D56" s="10"/>
      <c r="E56" s="10"/>
      <c r="F56" s="12"/>
      <c r="G56" s="181">
        <f>402202*8</f>
        <v>3217616</v>
      </c>
      <c r="H56" s="12"/>
      <c r="I56" s="132">
        <f t="shared" si="3"/>
        <v>3217616</v>
      </c>
      <c r="J56" s="112" t="s">
        <v>185</v>
      </c>
    </row>
    <row r="57" spans="1:10" s="129" customFormat="1" ht="16" x14ac:dyDescent="0.2">
      <c r="A57" s="124" t="s">
        <v>266</v>
      </c>
      <c r="B57" s="125" t="s">
        <v>153</v>
      </c>
      <c r="C57" s="124"/>
      <c r="D57" s="124"/>
      <c r="E57" s="124"/>
      <c r="F57" s="131"/>
      <c r="G57" s="177">
        <v>526622</v>
      </c>
      <c r="H57" s="131"/>
      <c r="I57" s="132">
        <f t="shared" si="3"/>
        <v>526622</v>
      </c>
      <c r="J57" s="128" t="s">
        <v>161</v>
      </c>
    </row>
    <row r="58" spans="1:10" ht="16" x14ac:dyDescent="0.2">
      <c r="A58" s="10" t="s">
        <v>267</v>
      </c>
      <c r="B58" s="125" t="s">
        <v>175</v>
      </c>
      <c r="C58" s="10"/>
      <c r="D58" s="10"/>
      <c r="E58" s="10"/>
      <c r="F58" s="12"/>
      <c r="G58" s="177">
        <v>6491523</v>
      </c>
      <c r="H58" s="12"/>
      <c r="I58" s="132">
        <f t="shared" si="3"/>
        <v>6491523</v>
      </c>
      <c r="J58" s="112" t="s">
        <v>176</v>
      </c>
    </row>
    <row r="59" spans="1:10" ht="32" x14ac:dyDescent="0.2">
      <c r="A59" s="10" t="s">
        <v>268</v>
      </c>
      <c r="B59" s="125" t="s">
        <v>230</v>
      </c>
      <c r="C59" s="10"/>
      <c r="D59" s="10"/>
      <c r="E59" s="10"/>
      <c r="F59" s="12"/>
      <c r="G59" s="133">
        <v>1825000</v>
      </c>
      <c r="H59" s="12"/>
      <c r="I59" s="132">
        <f t="shared" si="3"/>
        <v>1825000</v>
      </c>
      <c r="J59" s="112" t="s">
        <v>231</v>
      </c>
    </row>
    <row r="60" spans="1:10" s="3" customFormat="1" x14ac:dyDescent="0.2">
      <c r="A60" s="13"/>
      <c r="B60" s="13"/>
      <c r="C60" s="13"/>
      <c r="D60" s="13"/>
      <c r="E60" s="14">
        <f t="shared" ref="E60:F60" si="4">SUM(E54:E57)</f>
        <v>0</v>
      </c>
      <c r="F60" s="14">
        <f t="shared" si="4"/>
        <v>0</v>
      </c>
      <c r="G60" s="174">
        <f>SUM(G54:G59)</f>
        <v>15169625</v>
      </c>
      <c r="H60" s="14">
        <f>SUM(H54:H57)</f>
        <v>0</v>
      </c>
      <c r="I60" s="28">
        <f>SUM(I54:I59)</f>
        <v>15169625</v>
      </c>
      <c r="J60" s="113"/>
    </row>
    <row r="61" spans="1:10" x14ac:dyDescent="0.2">
      <c r="B61" s="1"/>
      <c r="F61" s="6"/>
      <c r="G61" s="171"/>
      <c r="H61" s="6"/>
    </row>
    <row r="62" spans="1:10" x14ac:dyDescent="0.2">
      <c r="F62" s="6"/>
      <c r="G62" s="171"/>
      <c r="H62" s="6"/>
    </row>
    <row r="63" spans="1:10" x14ac:dyDescent="0.2">
      <c r="A63" t="s">
        <v>269</v>
      </c>
      <c r="B63" s="2" t="s">
        <v>60</v>
      </c>
      <c r="C63" t="s">
        <v>30</v>
      </c>
      <c r="F63" s="6"/>
      <c r="G63" s="171"/>
      <c r="H63" s="6"/>
    </row>
    <row r="64" spans="1:10" s="129" customFormat="1" ht="16" x14ac:dyDescent="0.2">
      <c r="A64" s="124" t="s">
        <v>270</v>
      </c>
      <c r="B64" s="130" t="s">
        <v>61</v>
      </c>
      <c r="C64" s="124"/>
      <c r="D64" s="124"/>
      <c r="E64" s="124"/>
      <c r="F64" s="136"/>
      <c r="G64" s="182">
        <v>2500000</v>
      </c>
      <c r="H64" s="136"/>
      <c r="I64" s="137">
        <f>SUM(F64:H64)</f>
        <v>2500000</v>
      </c>
      <c r="J64" s="128" t="s">
        <v>162</v>
      </c>
    </row>
    <row r="65" spans="1:10" ht="16" x14ac:dyDescent="0.2">
      <c r="A65" s="10" t="s">
        <v>271</v>
      </c>
      <c r="B65" s="15" t="s">
        <v>70</v>
      </c>
      <c r="C65" s="10"/>
      <c r="D65" s="10"/>
      <c r="E65" s="10"/>
      <c r="F65" s="116"/>
      <c r="G65" s="183">
        <v>350000</v>
      </c>
      <c r="H65" s="116">
        <v>350000</v>
      </c>
      <c r="I65" s="117">
        <f>SUM(F65:H65)</f>
        <v>700000</v>
      </c>
      <c r="J65" s="112" t="s">
        <v>180</v>
      </c>
    </row>
    <row r="66" spans="1:10" s="129" customFormat="1" ht="16" x14ac:dyDescent="0.2">
      <c r="A66" s="124" t="s">
        <v>272</v>
      </c>
      <c r="B66" s="125" t="s">
        <v>62</v>
      </c>
      <c r="C66" s="124"/>
      <c r="D66" s="124"/>
      <c r="E66" s="124"/>
      <c r="F66" s="136"/>
      <c r="G66" s="182">
        <v>250000</v>
      </c>
      <c r="H66" s="136"/>
      <c r="I66" s="137">
        <f>SUM(F66:H66)</f>
        <v>250000</v>
      </c>
      <c r="J66" s="128" t="s">
        <v>163</v>
      </c>
    </row>
    <row r="67" spans="1:10" s="129" customFormat="1" x14ac:dyDescent="0.2">
      <c r="A67" s="124" t="s">
        <v>273</v>
      </c>
      <c r="B67" s="125" t="s">
        <v>178</v>
      </c>
      <c r="C67" s="124"/>
      <c r="D67" s="124"/>
      <c r="E67" s="124"/>
      <c r="G67" s="182">
        <v>250000</v>
      </c>
      <c r="H67" s="136"/>
      <c r="I67" s="137">
        <f>SUM(G67:H67)</f>
        <v>250000</v>
      </c>
      <c r="J67" s="128"/>
    </row>
    <row r="68" spans="1:10" ht="16" x14ac:dyDescent="0.2">
      <c r="A68" s="10" t="s">
        <v>274</v>
      </c>
      <c r="B68" s="15" t="s">
        <v>64</v>
      </c>
      <c r="C68" s="10"/>
      <c r="D68" s="10"/>
      <c r="E68" s="10"/>
      <c r="F68" s="116"/>
      <c r="G68" s="183">
        <v>250000</v>
      </c>
      <c r="H68" s="116">
        <v>250000</v>
      </c>
      <c r="I68" s="117">
        <f>SUM(F68:H68)</f>
        <v>500000</v>
      </c>
      <c r="J68" s="112" t="s">
        <v>164</v>
      </c>
    </row>
    <row r="69" spans="1:10" x14ac:dyDescent="0.2">
      <c r="A69" s="10" t="s">
        <v>275</v>
      </c>
      <c r="B69" s="15" t="s">
        <v>179</v>
      </c>
      <c r="C69" s="10"/>
      <c r="D69" s="10"/>
      <c r="E69" s="10"/>
      <c r="F69" s="116"/>
      <c r="G69" s="183"/>
      <c r="H69" s="116"/>
      <c r="I69" s="117"/>
    </row>
    <row r="70" spans="1:10" s="3" customFormat="1" x14ac:dyDescent="0.2">
      <c r="A70" s="121"/>
      <c r="B70" s="121"/>
      <c r="C70" s="121"/>
      <c r="D70" s="121"/>
      <c r="E70" s="122">
        <f>SUM(E64:E68)</f>
        <v>0</v>
      </c>
      <c r="F70" s="122">
        <f>SUM(F64:F68)</f>
        <v>0</v>
      </c>
      <c r="G70" s="184">
        <f>SUM(G64:G68)</f>
        <v>3600000</v>
      </c>
      <c r="H70" s="122">
        <f>SUM(H64:H68)</f>
        <v>600000</v>
      </c>
      <c r="I70" s="123">
        <f>SUM(I64:I69)</f>
        <v>4200000</v>
      </c>
      <c r="J70" s="113"/>
    </row>
    <row r="71" spans="1:10" x14ac:dyDescent="0.2">
      <c r="F71" s="118"/>
      <c r="G71" s="185"/>
      <c r="H71" s="118"/>
    </row>
    <row r="72" spans="1:10" x14ac:dyDescent="0.2">
      <c r="A72" t="s">
        <v>276</v>
      </c>
      <c r="B72" s="3" t="s">
        <v>9</v>
      </c>
      <c r="C72" t="s">
        <v>171</v>
      </c>
      <c r="F72" s="118"/>
      <c r="G72" s="185"/>
      <c r="H72" s="118"/>
    </row>
    <row r="73" spans="1:10" ht="16" x14ac:dyDescent="0.2">
      <c r="A73" s="10" t="s">
        <v>277</v>
      </c>
      <c r="B73" s="17" t="s">
        <v>71</v>
      </c>
      <c r="C73" s="10"/>
      <c r="D73" s="10"/>
      <c r="E73" s="10"/>
      <c r="F73" s="116"/>
      <c r="G73" s="183">
        <v>150000</v>
      </c>
      <c r="H73" s="116">
        <v>150000</v>
      </c>
      <c r="I73" s="117">
        <f>SUM(F73:H73)</f>
        <v>300000</v>
      </c>
      <c r="J73" s="112" t="s">
        <v>167</v>
      </c>
    </row>
    <row r="74" spans="1:10" s="129" customFormat="1" ht="16" x14ac:dyDescent="0.2">
      <c r="A74" s="124" t="s">
        <v>278</v>
      </c>
      <c r="B74" s="130" t="s">
        <v>68</v>
      </c>
      <c r="C74" s="124"/>
      <c r="D74" s="124"/>
      <c r="E74" s="124"/>
      <c r="F74" s="136"/>
      <c r="G74" s="182">
        <v>500000</v>
      </c>
      <c r="H74" s="136"/>
      <c r="I74" s="137">
        <f>SUM(F74:H74)</f>
        <v>500000</v>
      </c>
      <c r="J74" s="128" t="s">
        <v>183</v>
      </c>
    </row>
    <row r="75" spans="1:10" s="3" customFormat="1" x14ac:dyDescent="0.2">
      <c r="A75" s="13"/>
      <c r="B75" s="13"/>
      <c r="C75" s="13"/>
      <c r="D75" s="13"/>
      <c r="E75" s="14">
        <f t="shared" ref="E75:F75" si="5">SUM(E73:E74)</f>
        <v>0</v>
      </c>
      <c r="F75" s="14">
        <f t="shared" si="5"/>
        <v>0</v>
      </c>
      <c r="G75" s="174">
        <f>SUM(G73:G74)</f>
        <v>650000</v>
      </c>
      <c r="H75" s="14">
        <f>SUM(H73:H74)</f>
        <v>150000</v>
      </c>
      <c r="I75" s="28">
        <f>SUM(I73:I74)</f>
        <v>800000</v>
      </c>
      <c r="J75" s="113"/>
    </row>
    <row r="76" spans="1:10" x14ac:dyDescent="0.2">
      <c r="B76" s="81"/>
      <c r="F76" s="82"/>
      <c r="G76" s="186"/>
      <c r="H76" s="82"/>
    </row>
    <row r="77" spans="1:10" x14ac:dyDescent="0.2">
      <c r="F77" s="6"/>
      <c r="G77" s="171"/>
      <c r="H77" s="6"/>
    </row>
    <row r="78" spans="1:10" s="3" customFormat="1" x14ac:dyDescent="0.2">
      <c r="A78" s="13"/>
      <c r="B78" s="13" t="s">
        <v>10</v>
      </c>
      <c r="C78" s="13"/>
      <c r="D78" s="13"/>
      <c r="E78" s="14">
        <f>SUM(E75,E70,E60,E51,E40,E19)</f>
        <v>14811000</v>
      </c>
      <c r="F78" s="14">
        <f>SUM(F75,F70,F60,F51,F40,F19)</f>
        <v>23648000</v>
      </c>
      <c r="G78" s="174">
        <f>SUM(G75,G70,G60,G51,G40,G19)</f>
        <v>55782377</v>
      </c>
      <c r="H78" s="14">
        <f>SUM(H75,H70,H60,H51,H40,H19)</f>
        <v>38884000</v>
      </c>
      <c r="I78" s="28">
        <f>SUM(F78:H78)</f>
        <v>118314377</v>
      </c>
      <c r="J78" s="113"/>
    </row>
    <row r="79" spans="1:10" x14ac:dyDescent="0.2">
      <c r="F79" s="6"/>
      <c r="G79" s="171"/>
      <c r="H79" s="6"/>
    </row>
    <row r="80" spans="1:10" x14ac:dyDescent="0.2">
      <c r="F80" s="6"/>
      <c r="G80" s="171"/>
      <c r="H80" s="6"/>
    </row>
    <row r="81" spans="1:10" x14ac:dyDescent="0.2">
      <c r="F81" s="6"/>
      <c r="G81" s="171"/>
      <c r="H81" s="6"/>
    </row>
    <row r="82" spans="1:10" x14ac:dyDescent="0.2">
      <c r="A82" t="s">
        <v>279</v>
      </c>
      <c r="B82" s="7" t="s">
        <v>11</v>
      </c>
      <c r="C82" s="8"/>
      <c r="D82" s="8"/>
      <c r="E82" s="8"/>
      <c r="F82" s="9"/>
      <c r="G82" s="172"/>
      <c r="H82" s="9"/>
      <c r="I82" s="9">
        <f>SUM(F82:H82)</f>
        <v>0</v>
      </c>
    </row>
    <row r="83" spans="1:10" ht="32" x14ac:dyDescent="0.2">
      <c r="A83" s="10" t="s">
        <v>280</v>
      </c>
      <c r="B83" s="15" t="s">
        <v>172</v>
      </c>
      <c r="C83" s="10"/>
      <c r="D83" s="10"/>
      <c r="E83" s="10"/>
      <c r="F83" s="12"/>
      <c r="I83" s="24">
        <f>SUM(F83:H83)</f>
        <v>0</v>
      </c>
      <c r="J83" s="112" t="s">
        <v>174</v>
      </c>
    </row>
    <row r="84" spans="1:10" ht="32" x14ac:dyDescent="0.2">
      <c r="A84" s="10" t="s">
        <v>281</v>
      </c>
      <c r="B84" s="15" t="s">
        <v>209</v>
      </c>
      <c r="C84" s="10" t="s">
        <v>34</v>
      </c>
      <c r="D84" s="10"/>
      <c r="E84" s="12">
        <v>250000</v>
      </c>
      <c r="G84" s="173">
        <f>Others!G12</f>
        <v>250000</v>
      </c>
      <c r="H84" s="12">
        <f>Others!H12</f>
        <v>250000</v>
      </c>
      <c r="I84" s="24">
        <f t="shared" ref="I84:I86" si="6">SUM(F84:H84)</f>
        <v>500000</v>
      </c>
      <c r="J84" s="112" t="s">
        <v>166</v>
      </c>
    </row>
    <row r="85" spans="1:10" ht="33" customHeight="1" x14ac:dyDescent="0.2">
      <c r="A85" s="10" t="s">
        <v>282</v>
      </c>
      <c r="B85" s="15" t="s">
        <v>51</v>
      </c>
      <c r="C85" s="10"/>
      <c r="D85" s="10"/>
      <c r="E85" s="10"/>
      <c r="F85" s="12"/>
      <c r="G85" s="173">
        <v>200000</v>
      </c>
      <c r="H85" s="12">
        <v>200000</v>
      </c>
      <c r="I85" s="24">
        <f t="shared" si="6"/>
        <v>400000</v>
      </c>
      <c r="J85" s="112" t="s">
        <v>157</v>
      </c>
    </row>
    <row r="86" spans="1:10" ht="16" x14ac:dyDescent="0.2">
      <c r="A86" s="10" t="s">
        <v>283</v>
      </c>
      <c r="B86" s="15" t="s">
        <v>52</v>
      </c>
      <c r="C86" s="10"/>
      <c r="D86" s="10"/>
      <c r="E86" s="10"/>
      <c r="F86" s="12"/>
      <c r="G86" s="173">
        <v>136000</v>
      </c>
      <c r="H86" s="12">
        <v>136000</v>
      </c>
      <c r="I86" s="24">
        <f t="shared" si="6"/>
        <v>272000</v>
      </c>
      <c r="J86" s="112" t="s">
        <v>165</v>
      </c>
    </row>
    <row r="87" spans="1:10" ht="16" x14ac:dyDescent="0.2">
      <c r="A87" s="10" t="s">
        <v>284</v>
      </c>
      <c r="B87" s="15" t="s">
        <v>13</v>
      </c>
      <c r="C87" s="10"/>
      <c r="D87" s="10"/>
      <c r="E87" s="10"/>
      <c r="F87" s="12"/>
      <c r="G87" s="173">
        <v>333333.33333333331</v>
      </c>
      <c r="H87" s="12">
        <v>333333.33333333331</v>
      </c>
      <c r="I87" s="24">
        <f>SUM(F87:H87)</f>
        <v>666666.66666666663</v>
      </c>
      <c r="J87" s="112" t="s">
        <v>173</v>
      </c>
    </row>
    <row r="88" spans="1:10" s="3" customFormat="1" x14ac:dyDescent="0.2">
      <c r="A88" s="13"/>
      <c r="B88" s="13" t="s">
        <v>15</v>
      </c>
      <c r="C88" s="13"/>
      <c r="D88" s="13"/>
      <c r="E88" s="14">
        <f t="shared" ref="E88:F88" si="7">SUM(E84:E87)</f>
        <v>250000</v>
      </c>
      <c r="F88" s="14">
        <f t="shared" si="7"/>
        <v>0</v>
      </c>
      <c r="G88" s="174">
        <f>SUM(G84:G87)</f>
        <v>919333.33333333326</v>
      </c>
      <c r="H88" s="14">
        <f>SUM(H84:H87)</f>
        <v>919333.33333333326</v>
      </c>
      <c r="I88" s="28">
        <f>SUM(F88:H88)</f>
        <v>1838666.6666666665</v>
      </c>
      <c r="J88" s="113"/>
    </row>
    <row r="89" spans="1:10" x14ac:dyDescent="0.2">
      <c r="F89" s="6"/>
      <c r="G89" s="171"/>
      <c r="H89" s="6"/>
    </row>
    <row r="90" spans="1:10" x14ac:dyDescent="0.2">
      <c r="B90" s="169" t="s">
        <v>216</v>
      </c>
      <c r="I90" s="168">
        <f>I78+I88</f>
        <v>120153043.66666667</v>
      </c>
    </row>
    <row r="92" spans="1:10" x14ac:dyDescent="0.2">
      <c r="A92" s="7" t="s">
        <v>285</v>
      </c>
      <c r="B92" s="7" t="s">
        <v>16</v>
      </c>
      <c r="C92" s="8"/>
      <c r="D92" s="8"/>
      <c r="E92" s="8"/>
      <c r="F92" s="9"/>
      <c r="G92" s="172"/>
      <c r="H92" s="9"/>
      <c r="I92" s="9">
        <f>SUM(F92:H92)</f>
        <v>0</v>
      </c>
    </row>
    <row r="93" spans="1:10" x14ac:dyDescent="0.2">
      <c r="A93" s="10" t="s">
        <v>286</v>
      </c>
      <c r="B93" s="15" t="s">
        <v>113</v>
      </c>
      <c r="C93" s="10" t="s">
        <v>35</v>
      </c>
      <c r="D93" s="57">
        <v>0.02</v>
      </c>
      <c r="F93" s="12">
        <f>F14*$D$93</f>
        <v>0</v>
      </c>
      <c r="G93" s="173">
        <f>G14*$D$93</f>
        <v>2678332.96</v>
      </c>
      <c r="H93" s="12">
        <f>H14*$D$93</f>
        <v>0</v>
      </c>
      <c r="I93" s="24">
        <f>SUM(F93:H93)</f>
        <v>2678332.96</v>
      </c>
    </row>
    <row r="94" spans="1:10" x14ac:dyDescent="0.2">
      <c r="A94" s="10" t="s">
        <v>287</v>
      </c>
      <c r="B94" s="15" t="s">
        <v>112</v>
      </c>
      <c r="C94" s="10" t="s">
        <v>36</v>
      </c>
      <c r="D94" s="57">
        <v>0.02</v>
      </c>
      <c r="F94" s="12"/>
      <c r="G94" s="173">
        <f>G78*$D$94</f>
        <v>1115647.54</v>
      </c>
      <c r="H94" s="12">
        <f>H78*$D$94</f>
        <v>777680</v>
      </c>
      <c r="I94" s="24">
        <f>SUM(F94:H94)</f>
        <v>1893327.54</v>
      </c>
    </row>
    <row r="95" spans="1:10" s="3" customFormat="1" x14ac:dyDescent="0.2">
      <c r="A95" s="13"/>
      <c r="B95" s="13" t="s">
        <v>17</v>
      </c>
      <c r="C95" s="13"/>
      <c r="D95" s="13"/>
      <c r="E95" s="13"/>
      <c r="F95" s="14">
        <f t="shared" ref="F95:H95" si="8">SUM(F93:F94)</f>
        <v>0</v>
      </c>
      <c r="G95" s="174">
        <f t="shared" si="8"/>
        <v>3793980.5</v>
      </c>
      <c r="H95" s="14">
        <f t="shared" si="8"/>
        <v>777680</v>
      </c>
      <c r="I95" s="28">
        <f>SUM(F95:H95)</f>
        <v>4571660.5</v>
      </c>
      <c r="J95" s="113"/>
    </row>
    <row r="100" spans="1:9" x14ac:dyDescent="0.2">
      <c r="A100" s="7"/>
      <c r="B100" s="7" t="s">
        <v>18</v>
      </c>
      <c r="C100" s="8"/>
      <c r="D100" s="8"/>
      <c r="E100" s="8"/>
      <c r="F100" s="9"/>
      <c r="G100" s="172"/>
      <c r="H100" s="9"/>
      <c r="I100" s="9">
        <f>SUM(F100:H100)</f>
        <v>0</v>
      </c>
    </row>
    <row r="101" spans="1:9" x14ac:dyDescent="0.2">
      <c r="B101" t="s">
        <v>5</v>
      </c>
      <c r="F101" s="34">
        <f>SUM(F14)</f>
        <v>0</v>
      </c>
      <c r="G101" s="187">
        <f>SUM(G14)</f>
        <v>133916648</v>
      </c>
      <c r="H101" s="34">
        <f>SUM(H14)</f>
        <v>0</v>
      </c>
      <c r="I101" s="34">
        <f>SUM(F101:H101)</f>
        <v>133916648</v>
      </c>
    </row>
    <row r="102" spans="1:9" x14ac:dyDescent="0.2">
      <c r="B102" t="s">
        <v>19</v>
      </c>
      <c r="E102" s="34">
        <f>SUM(E95,E88,E78)</f>
        <v>15061000</v>
      </c>
      <c r="F102" s="34">
        <f>SUM(F95,F88,F78)</f>
        <v>23648000</v>
      </c>
      <c r="G102" s="187">
        <f>SUM(G95,G88,G78)</f>
        <v>60495690.833333336</v>
      </c>
      <c r="H102" s="34">
        <f>SUM(H95,H88,H78)</f>
        <v>40581013.333333336</v>
      </c>
      <c r="I102" s="34">
        <f>-SUM(I95,I88,I78)</f>
        <v>-124724704.16666667</v>
      </c>
    </row>
    <row r="104" spans="1:9" x14ac:dyDescent="0.2">
      <c r="I104" s="109">
        <f>I102/10</f>
        <v>-12472470.416666668</v>
      </c>
    </row>
    <row r="105" spans="1:9" x14ac:dyDescent="0.2">
      <c r="I105" s="109">
        <f>I104*3</f>
        <v>-37417411.25</v>
      </c>
    </row>
    <row r="107" spans="1:9" x14ac:dyDescent="0.2">
      <c r="G107" s="187">
        <f>F102+G102+H102</f>
        <v>124724704.16666669</v>
      </c>
    </row>
  </sheetData>
  <phoneticPr fontId="12" type="noConversion"/>
  <pageMargins left="0.25" right="0.25" top="0.75" bottom="0.75" header="0.3" footer="0.3"/>
  <pageSetup paperSize="9" scale="55" fitToHeight="2" orientation="landscape" horizontalDpi="0" verticalDpi="0" copies="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70169-3B46-9F42-8F3C-6CDA63ABF6CF}">
  <sheetPr>
    <pageSetUpPr fitToPage="1"/>
  </sheetPr>
  <dimension ref="B4:D44"/>
  <sheetViews>
    <sheetView topLeftCell="A2" workbookViewId="0">
      <selection activeCell="C15" sqref="C15"/>
    </sheetView>
  </sheetViews>
  <sheetFormatPr baseColWidth="10" defaultRowHeight="20" x14ac:dyDescent="0.3"/>
  <cols>
    <col min="2" max="2" width="95.33203125" style="147" customWidth="1"/>
    <col min="3" max="3" width="23.1640625" style="150" customWidth="1"/>
    <col min="4" max="4" width="32.1640625" style="151" bestFit="1" customWidth="1"/>
    <col min="5" max="5" width="22.83203125" customWidth="1"/>
  </cols>
  <sheetData>
    <row r="4" spans="2:4" x14ac:dyDescent="0.3">
      <c r="B4" s="146" t="s">
        <v>196</v>
      </c>
    </row>
    <row r="5" spans="2:4" x14ac:dyDescent="0.25">
      <c r="B5" s="146"/>
      <c r="C5" s="148"/>
    </row>
    <row r="6" spans="2:4" ht="107" customHeight="1" x14ac:dyDescent="0.3">
      <c r="B6" s="144" t="s">
        <v>200</v>
      </c>
    </row>
    <row r="7" spans="2:4" ht="70" customHeight="1" x14ac:dyDescent="0.3">
      <c r="B7" s="149" t="s">
        <v>218</v>
      </c>
    </row>
    <row r="8" spans="2:4" ht="110" customHeight="1" x14ac:dyDescent="0.3">
      <c r="B8" s="144" t="s">
        <v>203</v>
      </c>
    </row>
    <row r="9" spans="2:4" ht="77" customHeight="1" x14ac:dyDescent="0.3">
      <c r="B9" s="144" t="s">
        <v>225</v>
      </c>
    </row>
    <row r="10" spans="2:4" ht="22" customHeight="1" x14ac:dyDescent="0.3">
      <c r="B10" s="148"/>
    </row>
    <row r="11" spans="2:4" ht="22" customHeight="1" x14ac:dyDescent="0.3">
      <c r="B11" s="167" t="s">
        <v>224</v>
      </c>
      <c r="C11" s="188" t="s">
        <v>199</v>
      </c>
    </row>
    <row r="12" spans="2:4" ht="22" customHeight="1" x14ac:dyDescent="0.3">
      <c r="B12" s="167"/>
    </row>
    <row r="13" spans="2:4" ht="21" x14ac:dyDescent="0.3">
      <c r="B13" s="148" t="s">
        <v>198</v>
      </c>
    </row>
    <row r="14" spans="2:4" ht="21" x14ac:dyDescent="0.25">
      <c r="B14" s="148" t="str">
        <f>'Quarterly (Q2)'!B18</f>
        <v>Operational Expenses</v>
      </c>
      <c r="C14" s="153">
        <f>SUM(C15:C20)</f>
        <v>118314377</v>
      </c>
    </row>
    <row r="15" spans="2:4" ht="21" x14ac:dyDescent="0.25">
      <c r="B15" s="144" t="str">
        <f>'Quarterly (Q2)'!B19</f>
        <v>Salaries &amp; Wages</v>
      </c>
      <c r="C15" s="152">
        <f>'Quarterly (Q2)'!I19</f>
        <v>29142000</v>
      </c>
    </row>
    <row r="16" spans="2:4" ht="21" x14ac:dyDescent="0.2">
      <c r="B16" s="144" t="str">
        <f>'Quarterly (Q2)'!B22</f>
        <v>Utilities &amp; Maintenance</v>
      </c>
      <c r="C16" s="152">
        <f>'Quarterly (Q2)'!I40</f>
        <v>50142872</v>
      </c>
      <c r="D16" s="110"/>
    </row>
    <row r="17" spans="2:4" ht="21" x14ac:dyDescent="0.25">
      <c r="B17" s="144" t="str">
        <f>'Quarterly (Q2)'!B42</f>
        <v>Travel &amp; Conferences</v>
      </c>
      <c r="C17" s="152">
        <f>'Quarterly (Q2)'!I51</f>
        <v>18859880</v>
      </c>
    </row>
    <row r="18" spans="2:4" ht="21" x14ac:dyDescent="0.25">
      <c r="B18" s="144" t="str">
        <f>'Quarterly (Q2)'!B53</f>
        <v>Equipment &amp; Software</v>
      </c>
      <c r="C18" s="152">
        <f>'Quarterly (Q2)'!I60</f>
        <v>15169625</v>
      </c>
    </row>
    <row r="19" spans="2:4" ht="21" x14ac:dyDescent="0.25">
      <c r="B19" s="144" t="str">
        <f>'Quarterly (Q2)'!B63</f>
        <v>Corporate Comms &amp; PR</v>
      </c>
      <c r="C19" s="152">
        <f>'Quarterly (Q2)'!I70</f>
        <v>4200000</v>
      </c>
      <c r="D19" s="189"/>
    </row>
    <row r="20" spans="2:4" ht="21" x14ac:dyDescent="0.25">
      <c r="B20" s="144" t="str">
        <f>'Quarterly (Q2)'!B72</f>
        <v>Administrative Costs</v>
      </c>
      <c r="C20" s="152">
        <f>'Quarterly (Q2)'!I75</f>
        <v>800000</v>
      </c>
    </row>
    <row r="21" spans="2:4" x14ac:dyDescent="0.25">
      <c r="B21" s="144"/>
      <c r="C21" s="153"/>
    </row>
    <row r="22" spans="2:4" ht="21" x14ac:dyDescent="0.25">
      <c r="B22" s="148" t="str">
        <f>'Quarterly (Q2)'!B82</f>
        <v>Innovation &amp; Program Support</v>
      </c>
      <c r="C22" s="153">
        <f>'Quarterly (Q2)'!I88</f>
        <v>1838666.6666666665</v>
      </c>
    </row>
    <row r="23" spans="2:4" x14ac:dyDescent="0.25">
      <c r="B23" s="144"/>
      <c r="C23" s="153"/>
    </row>
    <row r="24" spans="2:4" ht="21" x14ac:dyDescent="0.25">
      <c r="B24" s="148" t="str">
        <f>'Quarterly (Q2)'!B92</f>
        <v>Contingency &amp; Sustainability</v>
      </c>
      <c r="C24" s="153">
        <f>'Quarterly (Q2)'!I95</f>
        <v>4571660.5</v>
      </c>
    </row>
    <row r="25" spans="2:4" ht="21" x14ac:dyDescent="0.25">
      <c r="B25" s="144" t="str">
        <f>'Quarterly (Q2)'!B93</f>
        <v>Reserve Fund - % of Inflows</v>
      </c>
      <c r="C25" s="152">
        <f>'Quarterly (Q2)'!I93</f>
        <v>2678332.96</v>
      </c>
    </row>
    <row r="26" spans="2:4" ht="21" x14ac:dyDescent="0.25">
      <c r="B26" s="144" t="str">
        <f>'Quarterly (Q2)'!B94</f>
        <v>Miscellaneous Expenses - % of Operating Exp.</v>
      </c>
      <c r="C26" s="152">
        <f>'Quarterly (Q2)'!I94</f>
        <v>1893327.54</v>
      </c>
    </row>
    <row r="27" spans="2:4" x14ac:dyDescent="0.25">
      <c r="B27" s="144"/>
      <c r="C27" s="153"/>
    </row>
    <row r="28" spans="2:4" ht="21" x14ac:dyDescent="0.25">
      <c r="B28" s="148" t="s">
        <v>19</v>
      </c>
      <c r="C28" s="153">
        <f>C14+C22+C24</f>
        <v>124724704.16666667</v>
      </c>
    </row>
    <row r="29" spans="2:4" x14ac:dyDescent="0.3">
      <c r="B29" s="148"/>
    </row>
    <row r="30" spans="2:4" x14ac:dyDescent="0.3">
      <c r="B30" s="148"/>
    </row>
    <row r="31" spans="2:4" ht="21" x14ac:dyDescent="0.3">
      <c r="B31" s="144" t="s">
        <v>204</v>
      </c>
      <c r="C31" s="150">
        <f>'Quarterly (Q2)'!I78+'Quarterly (Q2)'!I88+'Quarterly (Q2)'!I95</f>
        <v>124724704.16666667</v>
      </c>
      <c r="D31" s="148"/>
    </row>
    <row r="32" spans="2:4" ht="21" x14ac:dyDescent="0.3">
      <c r="B32" s="147" t="s">
        <v>192</v>
      </c>
      <c r="C32" s="150">
        <f>'Q2 One-Time VS Recurring Costs'!C82</f>
        <v>82545207.166666672</v>
      </c>
    </row>
    <row r="33" spans="2:4" ht="21" x14ac:dyDescent="0.3">
      <c r="B33" s="147" t="s">
        <v>193</v>
      </c>
      <c r="C33" s="150">
        <f>'Q2 One-Time VS Recurring Costs'!C81</f>
        <v>42179497</v>
      </c>
    </row>
    <row r="36" spans="2:4" ht="21" x14ac:dyDescent="0.3">
      <c r="B36" s="148" t="s">
        <v>197</v>
      </c>
    </row>
    <row r="38" spans="2:4" ht="63" x14ac:dyDescent="0.3">
      <c r="B38" s="149" t="s">
        <v>194</v>
      </c>
      <c r="C38" s="150">
        <f>'Quarterly (Q2)'!I78</f>
        <v>118314377</v>
      </c>
    </row>
    <row r="39" spans="2:4" ht="63" x14ac:dyDescent="0.3">
      <c r="B39" s="149" t="s">
        <v>206</v>
      </c>
      <c r="C39" s="150">
        <f>'Quarterly (Q2)'!F19</f>
        <v>14571000</v>
      </c>
      <c r="D39" s="151" t="s">
        <v>205</v>
      </c>
    </row>
    <row r="40" spans="2:4" ht="63" x14ac:dyDescent="0.3">
      <c r="B40" s="149" t="s">
        <v>223</v>
      </c>
      <c r="C40" s="150">
        <f>'Quarterly (Q2)'!F30</f>
        <v>5837000</v>
      </c>
      <c r="D40" s="151" t="s">
        <v>205</v>
      </c>
    </row>
    <row r="41" spans="2:4" ht="42" x14ac:dyDescent="0.3">
      <c r="B41" s="149" t="s">
        <v>220</v>
      </c>
      <c r="C41" s="150">
        <f>'Quarterly (Q2)'!H39</f>
        <v>10735000</v>
      </c>
      <c r="D41" s="151" t="s">
        <v>205</v>
      </c>
    </row>
    <row r="42" spans="2:4" ht="42" x14ac:dyDescent="0.3">
      <c r="B42" s="149" t="s">
        <v>202</v>
      </c>
    </row>
    <row r="43" spans="2:4" ht="105" x14ac:dyDescent="0.3">
      <c r="B43" s="149" t="s">
        <v>201</v>
      </c>
    </row>
    <row r="44" spans="2:4" ht="63" x14ac:dyDescent="0.3">
      <c r="B44" s="149" t="s">
        <v>195</v>
      </c>
      <c r="C44" s="150">
        <f>'Quarterly (Q2)'!I95</f>
        <v>4571660.5</v>
      </c>
    </row>
  </sheetData>
  <pageMargins left="0.25" right="0.25" top="0.75" bottom="0.75" header="0.3" footer="0.3"/>
  <pageSetup paperSize="9" scale="53"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ED8F3-8F45-5A4B-A6A3-7C53995C6F56}">
  <sheetPr>
    <pageSetUpPr fitToPage="1"/>
  </sheetPr>
  <dimension ref="B4:D35"/>
  <sheetViews>
    <sheetView topLeftCell="A24" workbookViewId="0">
      <selection activeCell="C34" sqref="C34"/>
    </sheetView>
  </sheetViews>
  <sheetFormatPr baseColWidth="10" defaultRowHeight="20" x14ac:dyDescent="0.3"/>
  <cols>
    <col min="2" max="2" width="95.33203125" style="147" customWidth="1"/>
    <col min="3" max="3" width="23.1640625" style="150" customWidth="1"/>
    <col min="4" max="4" width="32.1640625" style="151" bestFit="1" customWidth="1"/>
    <col min="5" max="5" width="22.83203125" customWidth="1"/>
  </cols>
  <sheetData>
    <row r="4" spans="2:4" x14ac:dyDescent="0.3">
      <c r="B4" s="146" t="s">
        <v>289</v>
      </c>
    </row>
    <row r="5" spans="2:4" x14ac:dyDescent="0.25">
      <c r="B5" s="146"/>
      <c r="C5" s="148"/>
    </row>
    <row r="6" spans="2:4" ht="107" customHeight="1" x14ac:dyDescent="0.3">
      <c r="B6" s="144" t="s">
        <v>288</v>
      </c>
    </row>
    <row r="7" spans="2:4" ht="110" customHeight="1" x14ac:dyDescent="0.3">
      <c r="B7" s="144" t="s">
        <v>290</v>
      </c>
    </row>
    <row r="8" spans="2:4" ht="77" customHeight="1" x14ac:dyDescent="0.3">
      <c r="B8" s="144"/>
    </row>
    <row r="9" spans="2:4" ht="22" customHeight="1" x14ac:dyDescent="0.3">
      <c r="B9" s="148"/>
    </row>
    <row r="10" spans="2:4" ht="22" customHeight="1" x14ac:dyDescent="0.3">
      <c r="B10" s="167" t="s">
        <v>291</v>
      </c>
      <c r="C10" s="188" t="s">
        <v>199</v>
      </c>
    </row>
    <row r="11" spans="2:4" ht="22" customHeight="1" x14ac:dyDescent="0.3">
      <c r="B11" s="167"/>
    </row>
    <row r="12" spans="2:4" ht="21" x14ac:dyDescent="0.3">
      <c r="B12" s="148" t="s">
        <v>198</v>
      </c>
    </row>
    <row r="13" spans="2:4" ht="21" x14ac:dyDescent="0.25">
      <c r="B13" s="148" t="str">
        <f>'Quarterly (Q2)'!B18</f>
        <v>Operational Expenses</v>
      </c>
      <c r="C13" s="153">
        <f>SUM(C14:C18)</f>
        <v>74707000</v>
      </c>
    </row>
    <row r="14" spans="2:4" ht="21" x14ac:dyDescent="0.25">
      <c r="B14" s="144" t="str">
        <f>'Quarterly (Q2)'!B19</f>
        <v>Salaries &amp; Wages</v>
      </c>
      <c r="C14" s="152">
        <f>'Quarterly (Q3)'!H18</f>
        <v>43713000</v>
      </c>
    </row>
    <row r="15" spans="2:4" ht="21" x14ac:dyDescent="0.2">
      <c r="B15" s="144" t="str">
        <f>'Quarterly (Q2)'!B22</f>
        <v>Utilities &amp; Maintenance</v>
      </c>
      <c r="C15" s="152">
        <f>'Quarterly (Q3)'!H30</f>
        <v>25094000</v>
      </c>
      <c r="D15" s="110"/>
    </row>
    <row r="16" spans="2:4" ht="21" x14ac:dyDescent="0.25">
      <c r="B16" s="144" t="str">
        <f>'Quarterly (Q2)'!B42</f>
        <v>Travel &amp; Conferences</v>
      </c>
      <c r="C16" s="152">
        <f>'Quarterly (Q3)'!H36</f>
        <v>3650000</v>
      </c>
    </row>
    <row r="17" spans="2:4" ht="21" x14ac:dyDescent="0.25">
      <c r="B17" s="144" t="str">
        <f>'Quarterly (Q2)'!B63</f>
        <v>Corporate Comms &amp; PR</v>
      </c>
      <c r="C17" s="152">
        <f>'Quarterly (Q3)'!H43</f>
        <v>1800000</v>
      </c>
      <c r="D17" s="189"/>
    </row>
    <row r="18" spans="2:4" ht="21" x14ac:dyDescent="0.25">
      <c r="B18" s="144" t="str">
        <f>'Quarterly (Q2)'!B72</f>
        <v>Administrative Costs</v>
      </c>
      <c r="C18" s="152">
        <f>'Quarterly (Q3)'!H47</f>
        <v>450000</v>
      </c>
    </row>
    <row r="19" spans="2:4" x14ac:dyDescent="0.25">
      <c r="B19" s="144"/>
      <c r="C19" s="153"/>
    </row>
    <row r="20" spans="2:4" ht="21" x14ac:dyDescent="0.25">
      <c r="B20" s="148" t="str">
        <f>'Quarterly (Q2)'!B82</f>
        <v>Innovation &amp; Program Support</v>
      </c>
      <c r="C20" s="153">
        <f>'Quarterly (Q3)'!H59</f>
        <v>2758000</v>
      </c>
    </row>
    <row r="21" spans="2:4" x14ac:dyDescent="0.25">
      <c r="B21" s="144"/>
      <c r="C21" s="153"/>
    </row>
    <row r="22" spans="2:4" ht="21" x14ac:dyDescent="0.25">
      <c r="B22" s="148" t="str">
        <f>'Quarterly (Q2)'!B92</f>
        <v>Contingency &amp; Sustainability</v>
      </c>
      <c r="C22" s="153">
        <f>'Quarterly (Q3)'!H66</f>
        <v>3197331.46</v>
      </c>
    </row>
    <row r="23" spans="2:4" ht="21" x14ac:dyDescent="0.25">
      <c r="B23" s="144" t="str">
        <f>'Quarterly (Q2)'!B93</f>
        <v>Reserve Fund - % of Inflows</v>
      </c>
      <c r="C23" s="152">
        <f>'Quarterly (Q3)'!H64</f>
        <v>1703191.46</v>
      </c>
    </row>
    <row r="24" spans="2:4" ht="21" x14ac:dyDescent="0.25">
      <c r="B24" s="144" t="str">
        <f>'Quarterly (Q2)'!B94</f>
        <v>Miscellaneous Expenses - % of Operating Exp.</v>
      </c>
      <c r="C24" s="152">
        <f>'Quarterly (Q3)'!H65</f>
        <v>1494140</v>
      </c>
    </row>
    <row r="25" spans="2:4" x14ac:dyDescent="0.25">
      <c r="B25" s="144"/>
      <c r="C25" s="153"/>
    </row>
    <row r="26" spans="2:4" ht="21" x14ac:dyDescent="0.25">
      <c r="B26" s="148" t="s">
        <v>19</v>
      </c>
      <c r="C26" s="153">
        <f>C13+C20+C22</f>
        <v>80662331.459999993</v>
      </c>
    </row>
    <row r="27" spans="2:4" x14ac:dyDescent="0.3">
      <c r="B27" s="148"/>
    </row>
    <row r="28" spans="2:4" x14ac:dyDescent="0.3">
      <c r="B28" s="148"/>
    </row>
    <row r="31" spans="2:4" ht="21" x14ac:dyDescent="0.3">
      <c r="B31" s="148" t="s">
        <v>197</v>
      </c>
    </row>
    <row r="33" spans="2:3" ht="63" x14ac:dyDescent="0.3">
      <c r="B33" s="149" t="s">
        <v>194</v>
      </c>
      <c r="C33" s="150">
        <f>'Quarterly (Q3)'!H50</f>
        <v>74707000</v>
      </c>
    </row>
    <row r="34" spans="2:3" ht="42" x14ac:dyDescent="0.3">
      <c r="B34" s="149" t="s">
        <v>294</v>
      </c>
    </row>
    <row r="35" spans="2:3" ht="63" x14ac:dyDescent="0.3">
      <c r="B35" s="149" t="s">
        <v>195</v>
      </c>
      <c r="C35" s="150">
        <f>'Quarterly (Q3)'!H66</f>
        <v>3197331.46</v>
      </c>
    </row>
  </sheetData>
  <pageMargins left="0.25" right="0.25" top="0.75" bottom="0.75" header="0.3" footer="0.3"/>
  <pageSetup paperSize="9" scale="53"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C9937-45E4-D74F-B29A-2A692E998764}">
  <sheetPr>
    <pageSetUpPr fitToPage="1"/>
  </sheetPr>
  <dimension ref="B5:E85"/>
  <sheetViews>
    <sheetView workbookViewId="0">
      <selection activeCell="A78" sqref="A34:XFD78"/>
    </sheetView>
  </sheetViews>
  <sheetFormatPr baseColWidth="10" defaultRowHeight="20" x14ac:dyDescent="0.3"/>
  <cols>
    <col min="2" max="2" width="82.1640625" style="145" customWidth="1"/>
    <col min="3" max="3" width="33.1640625" style="160" customWidth="1"/>
    <col min="4" max="5" width="19.6640625" customWidth="1"/>
    <col min="6" max="6" width="24.33203125" customWidth="1"/>
    <col min="7" max="7" width="21.6640625" customWidth="1"/>
  </cols>
  <sheetData>
    <row r="5" spans="2:5" x14ac:dyDescent="0.3">
      <c r="B5" s="154" t="s">
        <v>191</v>
      </c>
      <c r="C5" s="155"/>
    </row>
    <row r="6" spans="2:5" ht="42" x14ac:dyDescent="0.3">
      <c r="B6" s="161" t="s">
        <v>211</v>
      </c>
      <c r="C6" s="155"/>
    </row>
    <row r="7" spans="2:5" x14ac:dyDescent="0.3">
      <c r="B7" s="156"/>
      <c r="C7" s="155"/>
    </row>
    <row r="8" spans="2:5" x14ac:dyDescent="0.3">
      <c r="B8" s="154" t="str">
        <f>'Quarterly (Q2)'!B22</f>
        <v>Utilities &amp; Maintenance</v>
      </c>
      <c r="C8" s="159">
        <f>SUM(C9:C14)</f>
        <v>23509872</v>
      </c>
      <c r="E8" s="110"/>
    </row>
    <row r="9" spans="2:5" x14ac:dyDescent="0.3">
      <c r="B9" s="157" t="str">
        <f>'Quarterly (Q2)'!B23</f>
        <v>Internet A Subscription (MTN) 45Mbps</v>
      </c>
      <c r="C9" s="155">
        <f>'Quarterly (Q2)'!I23</f>
        <v>9609872</v>
      </c>
    </row>
    <row r="10" spans="2:5" x14ac:dyDescent="0.3">
      <c r="B10" s="157" t="str">
        <f>'Quarterly (Q2)'!B24</f>
        <v>Internet A Setup Cost (MTN)</v>
      </c>
      <c r="C10" s="155">
        <f>'Quarterly (Q2)'!I24</f>
        <v>1982000</v>
      </c>
    </row>
    <row r="11" spans="2:5" x14ac:dyDescent="0.3">
      <c r="B11" s="157" t="str">
        <f>'Quarterly (Q2)'!B25</f>
        <v>Internet B Subscription (Starlink)</v>
      </c>
      <c r="C11" s="155">
        <f>'Quarterly (Q2)'!I25</f>
        <v>304000</v>
      </c>
    </row>
    <row r="12" spans="2:5" x14ac:dyDescent="0.3">
      <c r="B12" s="157" t="str">
        <f>'Quarterly (Q2)'!B26</f>
        <v>Internet B Device (Starlink)</v>
      </c>
      <c r="C12" s="155">
        <f>'Quarterly (Q2)'!I26</f>
        <v>679000</v>
      </c>
    </row>
    <row r="13" spans="2:5" x14ac:dyDescent="0.3">
      <c r="B13" s="157" t="str">
        <f>'Quarterly (Q2)'!B27</f>
        <v>Internet B Installation (Starlink)</v>
      </c>
      <c r="C13" s="155">
        <f>'Quarterly (Q2)'!I27</f>
        <v>200000</v>
      </c>
    </row>
    <row r="14" spans="2:5" ht="21" x14ac:dyDescent="0.3">
      <c r="B14" s="158" t="str">
        <f>'Quarterly (Q2)'!B39</f>
        <v>Provision for Spare Parts for Solar, Electrical, Mechanical, LED Screens</v>
      </c>
      <c r="C14" s="155">
        <f>'Quarterly (Q2)'!I39</f>
        <v>10735000</v>
      </c>
    </row>
    <row r="15" spans="2:5" x14ac:dyDescent="0.3">
      <c r="B15" s="156"/>
      <c r="C15" s="155"/>
    </row>
    <row r="16" spans="2:5" x14ac:dyDescent="0.3">
      <c r="B16" s="154" t="str">
        <f>'Quarterly (Q2)'!B53</f>
        <v>Equipment &amp; Software</v>
      </c>
      <c r="C16" s="159">
        <f>SUM(C17:C22)</f>
        <v>15169625</v>
      </c>
    </row>
    <row r="17" spans="2:3" ht="21" x14ac:dyDescent="0.3">
      <c r="B17" s="158" t="str">
        <f>'Quarterly (Q2)'!B54</f>
        <v>Website Hosting, Cloud Servers &amp; Services</v>
      </c>
      <c r="C17" s="155">
        <f>'Quarterly (Q2)'!I54</f>
        <v>2572224</v>
      </c>
    </row>
    <row r="18" spans="2:3" x14ac:dyDescent="0.3">
      <c r="B18" s="157" t="str">
        <f>'Quarterly (Q2)'!B55</f>
        <v>Staff Email + Collaboration Tools (Zoho One)</v>
      </c>
      <c r="C18" s="155">
        <f>'Quarterly (Q2)'!I55</f>
        <v>536640</v>
      </c>
    </row>
    <row r="19" spans="2:3" x14ac:dyDescent="0.3">
      <c r="B19" s="157" t="str">
        <f>'Quarterly (Q2)'!B56</f>
        <v>Software Subscriptions &amp; Licenses</v>
      </c>
      <c r="C19" s="155">
        <f>'Quarterly (Q2)'!I56</f>
        <v>3217616</v>
      </c>
    </row>
    <row r="20" spans="2:3" x14ac:dyDescent="0.3">
      <c r="B20" s="157" t="str">
        <f>'Quarterly (Q2)'!B57</f>
        <v>Social Media Account Verification (Instagram, Facebook, Twitter)</v>
      </c>
      <c r="C20" s="155">
        <f>'Quarterly (Q2)'!I57</f>
        <v>526622</v>
      </c>
    </row>
    <row r="21" spans="2:3" x14ac:dyDescent="0.3">
      <c r="B21" s="157" t="str">
        <f>'Quarterly (Q2)'!B58</f>
        <v>Coworking Space Management &amp; Access Control Sofware</v>
      </c>
      <c r="C21" s="155">
        <f>'Quarterly (Q2)'!I58</f>
        <v>6491523</v>
      </c>
    </row>
    <row r="22" spans="2:3" x14ac:dyDescent="0.3">
      <c r="B22" s="162" t="str">
        <f>'Quarterly (Q2)'!B59</f>
        <v>Staff Mobile Devices</v>
      </c>
      <c r="C22" s="155">
        <f>'Quarterly (Q2)'!I59</f>
        <v>1825000</v>
      </c>
    </row>
    <row r="23" spans="2:3" x14ac:dyDescent="0.3">
      <c r="B23" s="156"/>
      <c r="C23" s="155"/>
    </row>
    <row r="24" spans="2:3" x14ac:dyDescent="0.3">
      <c r="B24" s="154" t="str">
        <f>'Quarterly (Q2)'!B63</f>
        <v>Corporate Comms &amp; PR</v>
      </c>
      <c r="C24" s="159">
        <f>SUM(C25:C27)</f>
        <v>3000000</v>
      </c>
    </row>
    <row r="25" spans="2:3" ht="21" x14ac:dyDescent="0.3">
      <c r="B25" s="158" t="str">
        <f>'Quarterly (Q2)'!B64</f>
        <v>Souvenirs</v>
      </c>
      <c r="C25" s="155">
        <f>'Quarterly (Q2)'!I64</f>
        <v>2500000</v>
      </c>
    </row>
    <row r="26" spans="2:3" x14ac:dyDescent="0.3">
      <c r="B26" s="157" t="str">
        <f>'Quarterly (Q2)'!B66</f>
        <v>Banners</v>
      </c>
      <c r="C26" s="155">
        <f>'Quarterly (Q2)'!I66</f>
        <v>250000</v>
      </c>
    </row>
    <row r="27" spans="2:3" x14ac:dyDescent="0.3">
      <c r="B27" s="157" t="str">
        <f>'Quarterly (Q2)'!B67</f>
        <v>Merchandise &amp; Staff T-Shirts</v>
      </c>
      <c r="C27" s="155">
        <f>'Quarterly (Q2)'!I67</f>
        <v>250000</v>
      </c>
    </row>
    <row r="28" spans="2:3" x14ac:dyDescent="0.3">
      <c r="B28" s="156"/>
      <c r="C28" s="155"/>
    </row>
    <row r="29" spans="2:3" x14ac:dyDescent="0.3">
      <c r="B29" s="156"/>
      <c r="C29" s="155"/>
    </row>
    <row r="30" spans="2:3" x14ac:dyDescent="0.3">
      <c r="B30" s="154" t="str">
        <f>'Quarterly (Q2)'!B72</f>
        <v>Administrative Costs</v>
      </c>
      <c r="C30" s="159">
        <f>SUM(C31)</f>
        <v>500000</v>
      </c>
    </row>
    <row r="31" spans="2:3" ht="21" x14ac:dyDescent="0.3">
      <c r="B31" s="158" t="str">
        <f>'Quarterly (Q2)'!B74</f>
        <v xml:space="preserve">Association &amp; Society Memberships </v>
      </c>
      <c r="C31" s="155">
        <f>'Quarterly (Q2)'!I74</f>
        <v>500000</v>
      </c>
    </row>
    <row r="32" spans="2:3" x14ac:dyDescent="0.3">
      <c r="B32" s="193"/>
      <c r="C32" s="155"/>
    </row>
    <row r="33" spans="2:3" x14ac:dyDescent="0.3">
      <c r="B33" s="193"/>
      <c r="C33" s="155"/>
    </row>
    <row r="34" spans="2:3" hidden="1" x14ac:dyDescent="0.3">
      <c r="B34" s="193"/>
      <c r="C34" s="155"/>
    </row>
    <row r="35" spans="2:3" hidden="1" x14ac:dyDescent="0.3">
      <c r="B35" s="154" t="s">
        <v>232</v>
      </c>
      <c r="C35" s="155"/>
    </row>
    <row r="36" spans="2:3" hidden="1" x14ac:dyDescent="0.3">
      <c r="B36" s="154"/>
      <c r="C36" s="155"/>
    </row>
    <row r="37" spans="2:3" hidden="1" x14ac:dyDescent="0.3">
      <c r="B37" s="154" t="str">
        <f>'Quarterly (Q2)'!B19</f>
        <v>Salaries &amp; Wages</v>
      </c>
      <c r="C37" s="159">
        <f>'Quarterly (Q2)'!I19</f>
        <v>29142000</v>
      </c>
    </row>
    <row r="38" spans="2:3" hidden="1" x14ac:dyDescent="0.3">
      <c r="B38" s="193"/>
      <c r="C38" s="155"/>
    </row>
    <row r="39" spans="2:3" ht="21" hidden="1" x14ac:dyDescent="0.3">
      <c r="B39" s="195" t="str">
        <f>'Quarterly (Q2)'!B22</f>
        <v>Utilities &amp; Maintenance</v>
      </c>
      <c r="C39" s="159">
        <f>SUM(C40:C50)</f>
        <v>26633000</v>
      </c>
    </row>
    <row r="40" spans="2:3" ht="21" hidden="1" x14ac:dyDescent="0.3">
      <c r="B40" s="194" t="str">
        <f>'Quarterly (Q2)'!B28</f>
        <v xml:space="preserve">Cleaning </v>
      </c>
      <c r="C40" s="155">
        <f>'Quarterly (Q2)'!I28</f>
        <v>2896000</v>
      </c>
    </row>
    <row r="41" spans="2:3" ht="21" hidden="1" x14ac:dyDescent="0.3">
      <c r="B41" s="194" t="str">
        <f>'Quarterly (Q2)'!B29</f>
        <v>Landscaping</v>
      </c>
      <c r="C41" s="155">
        <f>'Quarterly (Q2)'!I29</f>
        <v>600000</v>
      </c>
    </row>
    <row r="42" spans="2:3" ht="21" hidden="1" x14ac:dyDescent="0.3">
      <c r="B42" s="194" t="str">
        <f>'Quarterly (Q2)'!B30</f>
        <v>Facility Maintenance &amp; Repairs</v>
      </c>
      <c r="C42" s="155">
        <f>'Quarterly (Q2)'!I30</f>
        <v>8837000</v>
      </c>
    </row>
    <row r="43" spans="2:3" ht="21" hidden="1" x14ac:dyDescent="0.3">
      <c r="B43" s="194" t="str">
        <f>'Quarterly (Q2)'!B31</f>
        <v>Security</v>
      </c>
      <c r="C43" s="155">
        <f>'Quarterly (Q2)'!I31</f>
        <v>2000000</v>
      </c>
    </row>
    <row r="44" spans="2:3" ht="21" hidden="1" x14ac:dyDescent="0.3">
      <c r="B44" s="194" t="str">
        <f>'Quarterly (Q2)'!B32</f>
        <v>HVAC Maintenance (Quarterly)</v>
      </c>
      <c r="C44" s="155">
        <f>'Quarterly (Q2)'!I32</f>
        <v>2000000</v>
      </c>
    </row>
    <row r="45" spans="2:3" ht="21" hidden="1" x14ac:dyDescent="0.3">
      <c r="B45" s="194" t="str">
        <f>'Quarterly (Q2)'!B33</f>
        <v>Solar Maintenance (Biannually)</v>
      </c>
      <c r="C45" s="155">
        <f>'Quarterly (Q2)'!I33</f>
        <v>0</v>
      </c>
    </row>
    <row r="46" spans="2:3" ht="21" hidden="1" x14ac:dyDescent="0.3">
      <c r="B46" s="194" t="str">
        <f>'Quarterly (Q2)'!B34</f>
        <v>Electrical Maintenance (Monthly)</v>
      </c>
      <c r="C46" s="155">
        <f>'Quarterly (Q2)'!I34</f>
        <v>500000</v>
      </c>
    </row>
    <row r="47" spans="2:3" ht="21" hidden="1" x14ac:dyDescent="0.3">
      <c r="B47" s="194" t="str">
        <f>'Quarterly (Q2)'!B35</f>
        <v>Mechanical Maintenance (Monthly)</v>
      </c>
      <c r="C47" s="155">
        <f>'Quarterly (Q2)'!I35</f>
        <v>800000</v>
      </c>
    </row>
    <row r="48" spans="2:3" ht="21" hidden="1" x14ac:dyDescent="0.3">
      <c r="B48" s="194" t="str">
        <f>'Quarterly (Q2)'!B36</f>
        <v>LED Screen Maintenance (Annually)</v>
      </c>
      <c r="C48" s="155">
        <f>'Quarterly (Q2)'!I36</f>
        <v>0</v>
      </c>
    </row>
    <row r="49" spans="2:3" ht="21" hidden="1" x14ac:dyDescent="0.3">
      <c r="B49" s="194" t="str">
        <f>'Quarterly (Q2)'!B37</f>
        <v>Access Control Maintenance (Annually)</v>
      </c>
      <c r="C49" s="155">
        <f>'Quarterly (Q2)'!I37</f>
        <v>0</v>
      </c>
    </row>
    <row r="50" spans="2:3" ht="21" hidden="1" x14ac:dyDescent="0.3">
      <c r="B50" s="194" t="str">
        <f>'Quarterly (Q2)'!B38</f>
        <v>Project Manager Professional Fee ?</v>
      </c>
      <c r="C50" s="155">
        <f>'Quarterly (Q2)'!I38</f>
        <v>9000000</v>
      </c>
    </row>
    <row r="51" spans="2:3" hidden="1" x14ac:dyDescent="0.3">
      <c r="B51" s="193"/>
      <c r="C51" s="155"/>
    </row>
    <row r="52" spans="2:3" ht="21" hidden="1" x14ac:dyDescent="0.3">
      <c r="B52" s="195" t="str">
        <f>'Quarterly (Q2)'!B42</f>
        <v>Travel &amp; Conferences</v>
      </c>
      <c r="C52" s="159">
        <f>SUM(C53:C60)</f>
        <v>18859880</v>
      </c>
    </row>
    <row r="53" spans="2:3" ht="21" hidden="1" x14ac:dyDescent="0.3">
      <c r="B53" s="193" t="str">
        <f>'Quarterly (Q2)'!B43</f>
        <v>International Conference Registration</v>
      </c>
      <c r="C53" s="155">
        <f>'Quarterly (Q2)'!I43</f>
        <v>2251027</v>
      </c>
    </row>
    <row r="54" spans="2:3" ht="21" hidden="1" x14ac:dyDescent="0.3">
      <c r="B54" s="193" t="str">
        <f>'Quarterly (Q2)'!B44</f>
        <v>International Travel Flights</v>
      </c>
      <c r="C54" s="155">
        <f>'Quarterly (Q2)'!I44</f>
        <v>5478430</v>
      </c>
    </row>
    <row r="55" spans="2:3" ht="21" hidden="1" x14ac:dyDescent="0.3">
      <c r="B55" s="193" t="str">
        <f>'Quarterly (Q2)'!B45</f>
        <v>International Travel Accomodation</v>
      </c>
      <c r="C55" s="155">
        <f>'Quarterly (Q2)'!I45</f>
        <v>3214346</v>
      </c>
    </row>
    <row r="56" spans="2:3" ht="21" hidden="1" x14ac:dyDescent="0.3">
      <c r="B56" s="193" t="str">
        <f>'Quarterly (Q2)'!B46</f>
        <v>International Travel Allowance</v>
      </c>
      <c r="C56" s="155">
        <f>'Quarterly (Q2)'!I46</f>
        <v>4017435</v>
      </c>
    </row>
    <row r="57" spans="2:3" ht="21" hidden="1" x14ac:dyDescent="0.3">
      <c r="B57" s="193" t="str">
        <f>'Quarterly (Q2)'!B47</f>
        <v>International Visa Processing</v>
      </c>
      <c r="C57" s="155">
        <f>'Quarterly (Q2)'!I47</f>
        <v>548642</v>
      </c>
    </row>
    <row r="58" spans="2:3" ht="21" hidden="1" x14ac:dyDescent="0.3">
      <c r="B58" s="193" t="str">
        <f>'Quarterly (Q2)'!B48</f>
        <v>Local Conference Registration</v>
      </c>
      <c r="C58" s="155">
        <f>'Quarterly (Q2)'!I48</f>
        <v>750000</v>
      </c>
    </row>
    <row r="59" spans="2:3" ht="21" hidden="1" x14ac:dyDescent="0.3">
      <c r="B59" s="193" t="str">
        <f>'Quarterly (Q2)'!B49</f>
        <v>Local Conference Exhibition</v>
      </c>
      <c r="C59" s="155">
        <f>'Quarterly (Q2)'!I49</f>
        <v>2000000</v>
      </c>
    </row>
    <row r="60" spans="2:3" ht="21" hidden="1" x14ac:dyDescent="0.3">
      <c r="B60" s="193" t="str">
        <f>'Quarterly (Q2)'!B50</f>
        <v>Local Travel</v>
      </c>
      <c r="C60" s="155">
        <f>'Quarterly (Q2)'!I50</f>
        <v>600000</v>
      </c>
    </row>
    <row r="61" spans="2:3" hidden="1" x14ac:dyDescent="0.3">
      <c r="B61" s="193"/>
      <c r="C61" s="155"/>
    </row>
    <row r="62" spans="2:3" ht="21" hidden="1" x14ac:dyDescent="0.3">
      <c r="B62" s="195" t="str">
        <f>'Quarterly (Q2)'!B63</f>
        <v>Corporate Comms &amp; PR</v>
      </c>
      <c r="C62" s="159">
        <f>SUM(C63:C64)</f>
        <v>1200000</v>
      </c>
    </row>
    <row r="63" spans="2:3" ht="21" hidden="1" x14ac:dyDescent="0.3">
      <c r="B63" s="193" t="str">
        <f>'Quarterly (Q2)'!B65</f>
        <v>Guest Entertainment &amp; Refreshments</v>
      </c>
      <c r="C63" s="155">
        <f>'Quarterly (Q2)'!I65</f>
        <v>700000</v>
      </c>
    </row>
    <row r="64" spans="2:3" ht="21" hidden="1" x14ac:dyDescent="0.3">
      <c r="B64" s="193" t="str">
        <f>'Quarterly (Q2)'!B68</f>
        <v>Online &amp; Social Media Marketing</v>
      </c>
      <c r="C64" s="155">
        <f>'Quarterly (Q2)'!I68</f>
        <v>500000</v>
      </c>
    </row>
    <row r="65" spans="2:3" hidden="1" x14ac:dyDescent="0.3">
      <c r="B65" s="193"/>
      <c r="C65" s="155"/>
    </row>
    <row r="66" spans="2:3" ht="21" hidden="1" x14ac:dyDescent="0.3">
      <c r="B66" s="195" t="str">
        <f>'Quarterly (Q2)'!B72</f>
        <v>Administrative Costs</v>
      </c>
      <c r="C66" s="159">
        <f>SUM(C67)</f>
        <v>300000</v>
      </c>
    </row>
    <row r="67" spans="2:3" ht="21" hidden="1" x14ac:dyDescent="0.3">
      <c r="B67" s="193" t="str">
        <f>'Quarterly (Q2)'!B73</f>
        <v>Stationery &amp; Office Supplies</v>
      </c>
      <c r="C67" s="155">
        <f>'Quarterly (Q2)'!I73</f>
        <v>300000</v>
      </c>
    </row>
    <row r="68" spans="2:3" hidden="1" x14ac:dyDescent="0.3">
      <c r="B68" s="193"/>
      <c r="C68" s="155"/>
    </row>
    <row r="69" spans="2:3" ht="21" hidden="1" x14ac:dyDescent="0.3">
      <c r="B69" s="195" t="str">
        <f>'Quarterly (Q2)'!B82</f>
        <v>Innovation &amp; Program Support</v>
      </c>
      <c r="C69" s="159">
        <f>SUM(C70:C74)</f>
        <v>1838666.6666666665</v>
      </c>
    </row>
    <row r="70" spans="2:3" ht="21" hidden="1" x14ac:dyDescent="0.3">
      <c r="B70" s="193" t="str">
        <f>'Quarterly (Q2)'!B83</f>
        <v>Staff Professional Development</v>
      </c>
      <c r="C70" s="155">
        <f>'Quarterly (Q2)'!I83</f>
        <v>0</v>
      </c>
    </row>
    <row r="71" spans="2:3" ht="21" hidden="1" x14ac:dyDescent="0.3">
      <c r="B71" s="193" t="str">
        <f>'Quarterly (Q2)'!B84</f>
        <v>Monthly Ecosystem Meetups</v>
      </c>
      <c r="C71" s="155">
        <f>'Quarterly (Q2)'!I84</f>
        <v>500000</v>
      </c>
    </row>
    <row r="72" spans="2:3" ht="21" hidden="1" x14ac:dyDescent="0.3">
      <c r="B72" s="193" t="str">
        <f>'Quarterly (Q2)'!B85</f>
        <v>Field Events</v>
      </c>
      <c r="C72" s="155">
        <f>'Quarterly (Q2)'!I85</f>
        <v>400000</v>
      </c>
    </row>
    <row r="73" spans="2:3" ht="21" hidden="1" x14ac:dyDescent="0.3">
      <c r="B73" s="193" t="str">
        <f>'Quarterly (Q2)'!B86</f>
        <v>Webinars</v>
      </c>
      <c r="C73" s="155">
        <f>'Quarterly (Q2)'!I86</f>
        <v>272000</v>
      </c>
    </row>
    <row r="74" spans="2:3" ht="21" hidden="1" x14ac:dyDescent="0.3">
      <c r="B74" s="193" t="str">
        <f>'Quarterly (Q2)'!B87</f>
        <v>Training &amp; Mentorship</v>
      </c>
      <c r="C74" s="155">
        <f>'Quarterly (Q2)'!I87</f>
        <v>666666.66666666663</v>
      </c>
    </row>
    <row r="75" spans="2:3" hidden="1" x14ac:dyDescent="0.3">
      <c r="B75" s="193"/>
      <c r="C75" s="155"/>
    </row>
    <row r="76" spans="2:3" ht="21" hidden="1" x14ac:dyDescent="0.3">
      <c r="B76" s="195" t="str">
        <f>'Quarterly (Q2)'!B92</f>
        <v>Contingency &amp; Sustainability</v>
      </c>
      <c r="C76" s="159">
        <f>SUM(C77:C78)</f>
        <v>4571660.5</v>
      </c>
    </row>
    <row r="77" spans="2:3" ht="21" hidden="1" x14ac:dyDescent="0.3">
      <c r="B77" s="193" t="str">
        <f>'Quarterly (Q2)'!B93</f>
        <v>Reserve Fund - % of Inflows</v>
      </c>
      <c r="C77" s="155">
        <f>'Quarterly (Q2)'!I93</f>
        <v>2678332.96</v>
      </c>
    </row>
    <row r="78" spans="2:3" ht="21" hidden="1" x14ac:dyDescent="0.3">
      <c r="B78" s="193" t="str">
        <f>'Quarterly (Q2)'!B94</f>
        <v>Miscellaneous Expenses - % of Operating Exp.</v>
      </c>
      <c r="C78" s="155">
        <f>'Quarterly (Q2)'!I94</f>
        <v>1893327.54</v>
      </c>
    </row>
    <row r="79" spans="2:3" x14ac:dyDescent="0.3">
      <c r="B79" s="193"/>
      <c r="C79" s="155"/>
    </row>
    <row r="80" spans="2:3" x14ac:dyDescent="0.3">
      <c r="B80" s="156"/>
      <c r="C80" s="155"/>
    </row>
    <row r="81" spans="2:4" x14ac:dyDescent="0.3">
      <c r="B81" s="190" t="s">
        <v>210</v>
      </c>
      <c r="C81" s="159">
        <f>C8+C16+C24+C30</f>
        <v>42179497</v>
      </c>
    </row>
    <row r="82" spans="2:4" x14ac:dyDescent="0.3">
      <c r="B82" s="190" t="s">
        <v>214</v>
      </c>
      <c r="C82" s="159">
        <f>C69+C62+C52+C39+C37+C66+C76</f>
        <v>82545207.166666672</v>
      </c>
      <c r="D82" s="115"/>
    </row>
    <row r="83" spans="2:4" x14ac:dyDescent="0.3">
      <c r="B83" s="190"/>
      <c r="C83" s="159"/>
    </row>
    <row r="84" spans="2:4" x14ac:dyDescent="0.3">
      <c r="B84" s="190" t="s">
        <v>212</v>
      </c>
      <c r="C84" s="159">
        <f>C81+C82</f>
        <v>124724704.16666667</v>
      </c>
    </row>
    <row r="85" spans="2:4" x14ac:dyDescent="0.3">
      <c r="B85" s="191" t="s">
        <v>213</v>
      </c>
    </row>
  </sheetData>
  <pageMargins left="0.25" right="0.25" top="0.75" bottom="0.75" header="0.3" footer="0.3"/>
  <pageSetup paperSize="9" scale="73"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53BF7-C895-4066-8F4B-45B70F118F80}">
  <dimension ref="A1:R48"/>
  <sheetViews>
    <sheetView topLeftCell="B1" workbookViewId="0">
      <selection activeCell="Q27" sqref="Q27"/>
    </sheetView>
  </sheetViews>
  <sheetFormatPr baseColWidth="10" defaultColWidth="8.83203125" defaultRowHeight="15" x14ac:dyDescent="0.2"/>
  <cols>
    <col min="2" max="2" width="29.83203125" style="211" customWidth="1"/>
    <col min="4" max="4" width="11.5" style="36" bestFit="1" customWidth="1"/>
    <col min="5" max="5" width="11.1640625" style="36" bestFit="1" customWidth="1"/>
    <col min="6" max="6" width="12.5" style="36" customWidth="1"/>
    <col min="7" max="7" width="12.33203125" style="36" customWidth="1"/>
    <col min="8" max="8" width="13.6640625" style="36" customWidth="1"/>
    <col min="9" max="9" width="13.83203125" style="36" customWidth="1"/>
    <col min="10" max="10" width="13.33203125" style="36" customWidth="1"/>
    <col min="11" max="11" width="12.5" style="36" customWidth="1"/>
    <col min="12" max="12" width="12.83203125" style="36" customWidth="1"/>
    <col min="13" max="13" width="15.1640625" style="36" customWidth="1"/>
    <col min="14" max="14" width="14.83203125" style="36" customWidth="1"/>
    <col min="15" max="15" width="14.1640625" style="36" customWidth="1"/>
    <col min="16" max="16" width="14.6640625" customWidth="1"/>
    <col min="17" max="17" width="23.6640625" customWidth="1"/>
  </cols>
  <sheetData>
    <row r="1" spans="1:17" ht="17" thickBot="1" x14ac:dyDescent="0.25">
      <c r="D1" s="83"/>
      <c r="F1" s="200" t="s">
        <v>115</v>
      </c>
      <c r="G1" s="201"/>
      <c r="H1" s="201"/>
      <c r="I1" s="201"/>
      <c r="J1" s="201"/>
      <c r="K1" s="201"/>
      <c r="L1" s="201"/>
      <c r="M1" s="201"/>
      <c r="N1" s="201"/>
      <c r="O1" s="202"/>
      <c r="P1" s="84"/>
    </row>
    <row r="2" spans="1:17" ht="33" thickBot="1" x14ac:dyDescent="0.25">
      <c r="A2" s="85" t="s">
        <v>116</v>
      </c>
      <c r="B2" s="212" t="s">
        <v>72</v>
      </c>
      <c r="C2" s="86" t="s">
        <v>333</v>
      </c>
      <c r="D2" s="87" t="s">
        <v>73</v>
      </c>
      <c r="E2" s="87" t="s">
        <v>74</v>
      </c>
      <c r="F2" s="87" t="s">
        <v>75</v>
      </c>
      <c r="G2" s="87" t="s">
        <v>76</v>
      </c>
      <c r="H2" s="87" t="s">
        <v>77</v>
      </c>
      <c r="I2" s="87" t="s">
        <v>78</v>
      </c>
      <c r="J2" s="87" t="s">
        <v>79</v>
      </c>
      <c r="K2" s="87" t="s">
        <v>80</v>
      </c>
      <c r="L2" s="87" t="s">
        <v>81</v>
      </c>
      <c r="M2" s="87" t="s">
        <v>82</v>
      </c>
      <c r="N2" s="87" t="s">
        <v>83</v>
      </c>
      <c r="O2" s="87" t="s">
        <v>84</v>
      </c>
      <c r="P2" s="88" t="s">
        <v>329</v>
      </c>
      <c r="Q2" s="88" t="s">
        <v>297</v>
      </c>
    </row>
    <row r="3" spans="1:17" ht="16" x14ac:dyDescent="0.2">
      <c r="A3" s="89">
        <v>1</v>
      </c>
      <c r="B3" s="213" t="s">
        <v>94</v>
      </c>
      <c r="C3" s="90">
        <v>1</v>
      </c>
      <c r="D3" s="91">
        <v>4760000</v>
      </c>
      <c r="E3" s="91">
        <v>4760000</v>
      </c>
      <c r="F3" s="91">
        <v>4760000</v>
      </c>
      <c r="G3" s="91">
        <v>4760000</v>
      </c>
      <c r="H3" s="91">
        <v>4760000</v>
      </c>
      <c r="I3" s="91">
        <v>4760000</v>
      </c>
      <c r="J3" s="91">
        <v>4760000</v>
      </c>
      <c r="K3" s="91">
        <v>4760000</v>
      </c>
      <c r="L3" s="91">
        <v>4760000</v>
      </c>
      <c r="M3" s="91">
        <v>4760000</v>
      </c>
      <c r="N3" s="91">
        <v>4760000</v>
      </c>
      <c r="O3" s="91">
        <v>4760000</v>
      </c>
      <c r="P3" s="92">
        <f>SUM(D3:O3)</f>
        <v>57120000</v>
      </c>
      <c r="Q3" s="217">
        <f>P3*0.2</f>
        <v>11424000</v>
      </c>
    </row>
    <row r="4" spans="1:17" ht="16" x14ac:dyDescent="0.2">
      <c r="A4" s="93">
        <f>A3+1</f>
        <v>2</v>
      </c>
      <c r="B4" s="214" t="s">
        <v>95</v>
      </c>
      <c r="C4" s="90">
        <v>1</v>
      </c>
      <c r="D4" s="94">
        <v>2710000</v>
      </c>
      <c r="E4" s="94">
        <v>2710000</v>
      </c>
      <c r="F4" s="94">
        <v>2710000</v>
      </c>
      <c r="G4" s="94">
        <v>2710000</v>
      </c>
      <c r="H4" s="94">
        <v>2710000</v>
      </c>
      <c r="I4" s="94">
        <v>2710000</v>
      </c>
      <c r="J4" s="94">
        <v>2710000</v>
      </c>
      <c r="K4" s="94">
        <v>2710000</v>
      </c>
      <c r="L4" s="94">
        <v>2710000</v>
      </c>
      <c r="M4" s="94">
        <v>2710000</v>
      </c>
      <c r="N4" s="94">
        <v>2710000</v>
      </c>
      <c r="O4" s="94">
        <v>2710000</v>
      </c>
      <c r="P4" s="92">
        <f t="shared" ref="P4:P26" si="0">SUM(D4:O4)</f>
        <v>32520000</v>
      </c>
      <c r="Q4" s="217">
        <f t="shared" ref="Q4:Q5" si="1">P4*0.2</f>
        <v>6504000</v>
      </c>
    </row>
    <row r="5" spans="1:17" ht="16" x14ac:dyDescent="0.2">
      <c r="A5" s="93">
        <f>A4+1</f>
        <v>3</v>
      </c>
      <c r="B5" s="214" t="s">
        <v>323</v>
      </c>
      <c r="C5" s="90">
        <v>1</v>
      </c>
      <c r="E5" s="94"/>
      <c r="F5" s="94">
        <v>1900000</v>
      </c>
      <c r="G5" s="94">
        <v>1900000</v>
      </c>
      <c r="H5" s="94">
        <v>1900000</v>
      </c>
      <c r="I5" s="94">
        <v>1900000</v>
      </c>
      <c r="J5" s="94">
        <v>1900000</v>
      </c>
      <c r="K5" s="94">
        <v>1900000</v>
      </c>
      <c r="L5" s="94">
        <v>1900000</v>
      </c>
      <c r="M5" s="94">
        <v>1900000</v>
      </c>
      <c r="N5" s="94">
        <v>1900000</v>
      </c>
      <c r="O5" s="94">
        <v>1900000</v>
      </c>
      <c r="P5" s="92">
        <f t="shared" si="0"/>
        <v>19000000</v>
      </c>
      <c r="Q5" s="217">
        <f t="shared" si="1"/>
        <v>3800000</v>
      </c>
    </row>
    <row r="6" spans="1:17" ht="16" x14ac:dyDescent="0.2">
      <c r="A6" s="93">
        <f t="shared" ref="A6:A21" si="2">A5+1</f>
        <v>4</v>
      </c>
      <c r="B6" s="214" t="s">
        <v>96</v>
      </c>
      <c r="C6" s="90">
        <v>1</v>
      </c>
      <c r="D6" s="94">
        <v>555000</v>
      </c>
      <c r="E6" s="94">
        <v>555000</v>
      </c>
      <c r="F6" s="94">
        <v>555000</v>
      </c>
      <c r="G6" s="94">
        <v>555000</v>
      </c>
      <c r="H6" s="94">
        <v>555000</v>
      </c>
      <c r="I6" s="94">
        <v>555000</v>
      </c>
      <c r="J6" s="94">
        <v>555000</v>
      </c>
      <c r="K6" s="94">
        <v>555000</v>
      </c>
      <c r="L6" s="94">
        <v>555000</v>
      </c>
      <c r="M6" s="94">
        <v>555000</v>
      </c>
      <c r="N6" s="94">
        <v>555000</v>
      </c>
      <c r="O6" s="94">
        <v>555000</v>
      </c>
      <c r="P6" s="92">
        <f t="shared" si="0"/>
        <v>6660000</v>
      </c>
      <c r="Q6" s="135">
        <f>P6*0.15</f>
        <v>999000</v>
      </c>
    </row>
    <row r="7" spans="1:17" ht="16" x14ac:dyDescent="0.2">
      <c r="A7" s="93">
        <f t="shared" si="2"/>
        <v>5</v>
      </c>
      <c r="B7" s="214" t="s">
        <v>97</v>
      </c>
      <c r="C7" s="90">
        <v>1</v>
      </c>
      <c r="D7" s="94">
        <v>315000</v>
      </c>
      <c r="E7" s="94">
        <v>555000</v>
      </c>
      <c r="F7" s="94">
        <v>555000</v>
      </c>
      <c r="G7" s="94">
        <v>555000</v>
      </c>
      <c r="H7" s="94">
        <v>555000</v>
      </c>
      <c r="I7" s="94">
        <v>555000</v>
      </c>
      <c r="J7" s="94">
        <v>555000</v>
      </c>
      <c r="K7" s="94">
        <v>555000</v>
      </c>
      <c r="L7" s="94">
        <v>555000</v>
      </c>
      <c r="M7" s="94">
        <v>555000</v>
      </c>
      <c r="N7" s="94">
        <v>555000</v>
      </c>
      <c r="O7" s="94">
        <v>555000</v>
      </c>
      <c r="P7" s="92">
        <f t="shared" si="0"/>
        <v>6420000</v>
      </c>
      <c r="Q7" s="135">
        <f t="shared" ref="Q7:Q15" si="3">P7*0.15</f>
        <v>963000</v>
      </c>
    </row>
    <row r="8" spans="1:17" ht="16" x14ac:dyDescent="0.2">
      <c r="A8" s="93">
        <f t="shared" si="2"/>
        <v>6</v>
      </c>
      <c r="B8" s="214" t="s">
        <v>98</v>
      </c>
      <c r="C8" s="90">
        <v>1</v>
      </c>
      <c r="D8" s="94">
        <v>315000</v>
      </c>
      <c r="E8" s="94">
        <v>315000</v>
      </c>
      <c r="F8" s="94">
        <v>315000</v>
      </c>
      <c r="G8" s="94">
        <v>315000</v>
      </c>
      <c r="H8" s="94">
        <v>315000</v>
      </c>
      <c r="I8" s="94">
        <v>315000</v>
      </c>
      <c r="J8" s="94">
        <v>315000</v>
      </c>
      <c r="K8" s="94">
        <v>315000</v>
      </c>
      <c r="L8" s="94">
        <v>315000</v>
      </c>
      <c r="M8" s="94">
        <v>315000</v>
      </c>
      <c r="N8" s="94">
        <v>315000</v>
      </c>
      <c r="O8" s="94">
        <v>315000</v>
      </c>
      <c r="P8" s="92">
        <f t="shared" si="0"/>
        <v>3780000</v>
      </c>
      <c r="Q8" s="135">
        <f t="shared" si="3"/>
        <v>567000</v>
      </c>
    </row>
    <row r="9" spans="1:17" ht="16" x14ac:dyDescent="0.2">
      <c r="A9" s="93">
        <f t="shared" si="2"/>
        <v>7</v>
      </c>
      <c r="B9" s="214" t="s">
        <v>321</v>
      </c>
      <c r="C9" s="90">
        <v>1</v>
      </c>
      <c r="D9" s="94">
        <v>315000</v>
      </c>
      <c r="E9" s="94">
        <v>315000</v>
      </c>
      <c r="F9" s="94">
        <v>315000</v>
      </c>
      <c r="G9" s="94">
        <v>315000</v>
      </c>
      <c r="H9" s="94">
        <v>315000</v>
      </c>
      <c r="I9" s="94">
        <v>315000</v>
      </c>
      <c r="J9" s="94">
        <v>315000</v>
      </c>
      <c r="K9" s="94">
        <v>315000</v>
      </c>
      <c r="L9" s="94">
        <v>315000</v>
      </c>
      <c r="M9" s="94">
        <v>315000</v>
      </c>
      <c r="N9" s="94">
        <v>315000</v>
      </c>
      <c r="O9" s="94">
        <v>315000</v>
      </c>
      <c r="P9" s="92">
        <f t="shared" si="0"/>
        <v>3780000</v>
      </c>
      <c r="Q9" s="135">
        <f t="shared" si="3"/>
        <v>567000</v>
      </c>
    </row>
    <row r="10" spans="1:17" ht="16" x14ac:dyDescent="0.2">
      <c r="A10" s="93">
        <f t="shared" si="2"/>
        <v>8</v>
      </c>
      <c r="B10" s="214" t="s">
        <v>322</v>
      </c>
      <c r="C10" s="90">
        <v>1</v>
      </c>
      <c r="D10" s="94">
        <v>315000</v>
      </c>
      <c r="E10" s="94">
        <v>315000</v>
      </c>
      <c r="F10" s="94">
        <v>315000</v>
      </c>
      <c r="G10" s="94">
        <v>315000</v>
      </c>
      <c r="H10" s="94">
        <v>315000</v>
      </c>
      <c r="I10" s="94">
        <v>315000</v>
      </c>
      <c r="J10" s="94">
        <v>315000</v>
      </c>
      <c r="K10" s="94">
        <v>315000</v>
      </c>
      <c r="L10" s="94">
        <v>315000</v>
      </c>
      <c r="M10" s="94">
        <v>315000</v>
      </c>
      <c r="N10" s="94">
        <v>315000</v>
      </c>
      <c r="O10" s="94">
        <v>315000</v>
      </c>
      <c r="P10" s="92">
        <f t="shared" si="0"/>
        <v>3780000</v>
      </c>
      <c r="Q10" s="135">
        <f t="shared" si="3"/>
        <v>567000</v>
      </c>
    </row>
    <row r="11" spans="1:17" ht="16" x14ac:dyDescent="0.2">
      <c r="A11" s="93">
        <f t="shared" si="2"/>
        <v>9</v>
      </c>
      <c r="B11" s="214" t="s">
        <v>99</v>
      </c>
      <c r="C11" s="90">
        <v>1</v>
      </c>
      <c r="D11" s="94">
        <v>315000</v>
      </c>
      <c r="E11" s="94">
        <v>315000</v>
      </c>
      <c r="F11" s="94">
        <v>315000</v>
      </c>
      <c r="G11" s="94">
        <v>315000</v>
      </c>
      <c r="H11" s="94">
        <v>315000</v>
      </c>
      <c r="I11" s="94">
        <v>315000</v>
      </c>
      <c r="J11" s="94">
        <v>315000</v>
      </c>
      <c r="K11" s="94">
        <v>315000</v>
      </c>
      <c r="L11" s="94">
        <v>315000</v>
      </c>
      <c r="M11" s="94">
        <v>315000</v>
      </c>
      <c r="N11" s="94">
        <v>315000</v>
      </c>
      <c r="O11" s="94">
        <v>315000</v>
      </c>
      <c r="P11" s="92">
        <f t="shared" si="0"/>
        <v>3780000</v>
      </c>
      <c r="Q11" s="135">
        <f t="shared" si="3"/>
        <v>567000</v>
      </c>
    </row>
    <row r="12" spans="1:17" ht="16" x14ac:dyDescent="0.2">
      <c r="A12" s="93">
        <f t="shared" si="2"/>
        <v>10</v>
      </c>
      <c r="B12" s="214" t="s">
        <v>332</v>
      </c>
      <c r="C12" s="90">
        <v>2</v>
      </c>
      <c r="D12" s="94">
        <v>315000</v>
      </c>
      <c r="E12" s="94">
        <v>315000</v>
      </c>
      <c r="F12" s="94">
        <v>315000</v>
      </c>
      <c r="G12" s="94">
        <v>315000</v>
      </c>
      <c r="H12" s="94">
        <v>315000</v>
      </c>
      <c r="I12" s="94">
        <v>315000</v>
      </c>
      <c r="J12" s="94">
        <v>315000</v>
      </c>
      <c r="K12" s="94">
        <v>315000</v>
      </c>
      <c r="L12" s="94">
        <v>315000</v>
      </c>
      <c r="M12" s="94">
        <v>315000</v>
      </c>
      <c r="N12" s="94">
        <v>315000</v>
      </c>
      <c r="O12" s="94">
        <v>315000</v>
      </c>
      <c r="P12" s="92">
        <f t="shared" si="0"/>
        <v>3780000</v>
      </c>
      <c r="Q12" s="135">
        <f t="shared" si="3"/>
        <v>567000</v>
      </c>
    </row>
    <row r="13" spans="1:17" ht="16" x14ac:dyDescent="0.2">
      <c r="A13" s="93">
        <f t="shared" si="2"/>
        <v>11</v>
      </c>
      <c r="B13" s="214" t="s">
        <v>101</v>
      </c>
      <c r="C13" s="90">
        <v>1</v>
      </c>
      <c r="D13" s="94">
        <v>315000</v>
      </c>
      <c r="E13" s="94">
        <v>315000</v>
      </c>
      <c r="F13" s="94">
        <v>315000</v>
      </c>
      <c r="G13" s="94">
        <v>315000</v>
      </c>
      <c r="H13" s="94">
        <v>315000</v>
      </c>
      <c r="I13" s="94">
        <v>315000</v>
      </c>
      <c r="J13" s="94">
        <v>315000</v>
      </c>
      <c r="K13" s="94">
        <v>315000</v>
      </c>
      <c r="L13" s="94">
        <v>315000</v>
      </c>
      <c r="M13" s="94">
        <v>315000</v>
      </c>
      <c r="N13" s="94">
        <v>315000</v>
      </c>
      <c r="O13" s="94">
        <v>315000</v>
      </c>
      <c r="P13" s="92">
        <f t="shared" si="0"/>
        <v>3780000</v>
      </c>
      <c r="Q13" s="135">
        <f t="shared" si="3"/>
        <v>567000</v>
      </c>
    </row>
    <row r="14" spans="1:17" ht="16" x14ac:dyDescent="0.2">
      <c r="A14" s="93">
        <f t="shared" si="2"/>
        <v>12</v>
      </c>
      <c r="B14" s="214" t="s">
        <v>102</v>
      </c>
      <c r="C14" s="90">
        <v>1</v>
      </c>
      <c r="D14" s="94">
        <v>315000</v>
      </c>
      <c r="E14" s="94">
        <v>315000</v>
      </c>
      <c r="F14" s="94">
        <v>315000</v>
      </c>
      <c r="G14" s="94">
        <v>315000</v>
      </c>
      <c r="H14" s="94">
        <v>315000</v>
      </c>
      <c r="I14" s="94">
        <v>315000</v>
      </c>
      <c r="J14" s="94">
        <v>315000</v>
      </c>
      <c r="K14" s="94">
        <v>315000</v>
      </c>
      <c r="L14" s="94">
        <v>315000</v>
      </c>
      <c r="M14" s="94">
        <v>315000</v>
      </c>
      <c r="N14" s="94">
        <v>315000</v>
      </c>
      <c r="O14" s="94">
        <v>315000</v>
      </c>
      <c r="P14" s="92">
        <f t="shared" si="0"/>
        <v>3780000</v>
      </c>
      <c r="Q14" s="135">
        <f t="shared" si="3"/>
        <v>567000</v>
      </c>
    </row>
    <row r="15" spans="1:17" ht="16" x14ac:dyDescent="0.2">
      <c r="A15" s="93">
        <f t="shared" si="2"/>
        <v>13</v>
      </c>
      <c r="B15" s="214" t="s">
        <v>324</v>
      </c>
      <c r="C15" s="90">
        <v>1</v>
      </c>
      <c r="D15" s="94">
        <v>315000</v>
      </c>
      <c r="E15" s="94">
        <v>315000</v>
      </c>
      <c r="F15" s="94">
        <v>315000</v>
      </c>
      <c r="G15" s="94">
        <v>315000</v>
      </c>
      <c r="H15" s="94">
        <v>315000</v>
      </c>
      <c r="I15" s="94">
        <v>315000</v>
      </c>
      <c r="J15" s="94">
        <v>315000</v>
      </c>
      <c r="K15" s="94">
        <v>315000</v>
      </c>
      <c r="L15" s="94">
        <v>315000</v>
      </c>
      <c r="M15" s="94">
        <v>315000</v>
      </c>
      <c r="N15" s="94">
        <v>315000</v>
      </c>
      <c r="O15" s="94">
        <v>315000</v>
      </c>
      <c r="P15" s="92">
        <f t="shared" si="0"/>
        <v>3780000</v>
      </c>
      <c r="Q15" s="135">
        <f t="shared" si="3"/>
        <v>567000</v>
      </c>
    </row>
    <row r="16" spans="1:17" ht="16" x14ac:dyDescent="0.2">
      <c r="A16" s="93">
        <f t="shared" si="2"/>
        <v>14</v>
      </c>
      <c r="B16" s="214" t="s">
        <v>117</v>
      </c>
      <c r="C16" s="90">
        <v>2</v>
      </c>
      <c r="D16" s="94">
        <v>150000</v>
      </c>
      <c r="E16" s="94">
        <v>150000</v>
      </c>
      <c r="F16" s="94">
        <v>150000</v>
      </c>
      <c r="G16" s="94">
        <v>150000</v>
      </c>
      <c r="H16" s="94">
        <v>150000</v>
      </c>
      <c r="I16" s="94">
        <v>150000</v>
      </c>
      <c r="J16" s="94">
        <v>150000</v>
      </c>
      <c r="K16" s="94">
        <v>150000</v>
      </c>
      <c r="L16" s="94">
        <v>150000</v>
      </c>
      <c r="M16" s="94">
        <v>150000</v>
      </c>
      <c r="N16" s="94">
        <v>150000</v>
      </c>
      <c r="O16" s="94">
        <v>150000</v>
      </c>
      <c r="P16" s="92">
        <f t="shared" si="0"/>
        <v>1800000</v>
      </c>
      <c r="Q16" s="217">
        <f>P16*0.1</f>
        <v>180000</v>
      </c>
    </row>
    <row r="17" spans="1:18" ht="16" x14ac:dyDescent="0.2">
      <c r="A17" s="93">
        <f t="shared" si="2"/>
        <v>15</v>
      </c>
      <c r="B17" s="214" t="s">
        <v>327</v>
      </c>
      <c r="C17" s="90">
        <v>2</v>
      </c>
      <c r="D17" s="94">
        <v>150000</v>
      </c>
      <c r="E17" s="94">
        <v>150000</v>
      </c>
      <c r="F17" s="94">
        <v>150000</v>
      </c>
      <c r="G17" s="94">
        <v>150000</v>
      </c>
      <c r="H17" s="94">
        <v>150000</v>
      </c>
      <c r="I17" s="94">
        <v>150000</v>
      </c>
      <c r="J17" s="94">
        <v>150000</v>
      </c>
      <c r="K17" s="94">
        <v>150000</v>
      </c>
      <c r="L17" s="94">
        <v>150000</v>
      </c>
      <c r="M17" s="94">
        <v>150000</v>
      </c>
      <c r="N17" s="94">
        <v>150000</v>
      </c>
      <c r="O17" s="94">
        <v>150000</v>
      </c>
      <c r="P17" s="92">
        <f t="shared" si="0"/>
        <v>1800000</v>
      </c>
      <c r="Q17" s="217">
        <f t="shared" ref="Q17:Q26" si="4">P17*0.1</f>
        <v>180000</v>
      </c>
    </row>
    <row r="18" spans="1:18" ht="16" x14ac:dyDescent="0.2">
      <c r="A18" s="93">
        <f t="shared" si="2"/>
        <v>16</v>
      </c>
      <c r="B18" s="214" t="s">
        <v>103</v>
      </c>
      <c r="C18" s="90">
        <v>1</v>
      </c>
      <c r="D18" s="94">
        <v>150000</v>
      </c>
      <c r="E18" s="94">
        <v>150000</v>
      </c>
      <c r="F18" s="94">
        <v>150000</v>
      </c>
      <c r="G18" s="94">
        <v>150000</v>
      </c>
      <c r="H18" s="94">
        <v>150000</v>
      </c>
      <c r="I18" s="94">
        <v>150000</v>
      </c>
      <c r="J18" s="94">
        <v>150000</v>
      </c>
      <c r="K18" s="94">
        <v>150000</v>
      </c>
      <c r="L18" s="94">
        <v>150000</v>
      </c>
      <c r="M18" s="94">
        <v>150000</v>
      </c>
      <c r="N18" s="94">
        <v>150000</v>
      </c>
      <c r="O18" s="94">
        <v>150000</v>
      </c>
      <c r="P18" s="92">
        <f t="shared" si="0"/>
        <v>1800000</v>
      </c>
      <c r="Q18" s="217">
        <f t="shared" si="4"/>
        <v>180000</v>
      </c>
    </row>
    <row r="19" spans="1:18" ht="16" x14ac:dyDescent="0.2">
      <c r="A19" s="93">
        <f t="shared" si="2"/>
        <v>17</v>
      </c>
      <c r="B19" s="214" t="s">
        <v>328</v>
      </c>
      <c r="C19" s="90">
        <v>1</v>
      </c>
      <c r="D19" s="94">
        <v>75000</v>
      </c>
      <c r="E19" s="94">
        <v>75000</v>
      </c>
      <c r="F19" s="94">
        <v>75000</v>
      </c>
      <c r="G19" s="94">
        <v>75000</v>
      </c>
      <c r="H19" s="94">
        <v>75000</v>
      </c>
      <c r="I19" s="94">
        <v>75000</v>
      </c>
      <c r="J19" s="94">
        <v>75000</v>
      </c>
      <c r="K19" s="94">
        <v>75000</v>
      </c>
      <c r="L19" s="94">
        <v>75000</v>
      </c>
      <c r="M19" s="94">
        <v>75000</v>
      </c>
      <c r="N19" s="94">
        <v>75000</v>
      </c>
      <c r="O19" s="94">
        <v>75000</v>
      </c>
      <c r="P19" s="92">
        <f t="shared" si="0"/>
        <v>900000</v>
      </c>
      <c r="Q19" s="217">
        <f t="shared" si="4"/>
        <v>90000</v>
      </c>
    </row>
    <row r="20" spans="1:18" ht="16" x14ac:dyDescent="0.2">
      <c r="A20" s="93">
        <f t="shared" si="2"/>
        <v>18</v>
      </c>
      <c r="B20" s="214" t="s">
        <v>325</v>
      </c>
      <c r="C20" s="90">
        <v>5</v>
      </c>
      <c r="D20" s="94">
        <v>55000</v>
      </c>
      <c r="E20" s="94">
        <v>55000</v>
      </c>
      <c r="F20" s="94">
        <v>55000</v>
      </c>
      <c r="G20" s="94">
        <v>55000</v>
      </c>
      <c r="H20" s="94">
        <v>55000</v>
      </c>
      <c r="I20" s="94">
        <v>55000</v>
      </c>
      <c r="J20" s="94">
        <v>55000</v>
      </c>
      <c r="K20" s="94">
        <v>55000</v>
      </c>
      <c r="L20" s="94">
        <v>55000</v>
      </c>
      <c r="M20" s="94">
        <v>55000</v>
      </c>
      <c r="N20" s="94">
        <v>55000</v>
      </c>
      <c r="O20" s="94">
        <v>55000</v>
      </c>
      <c r="P20" s="92">
        <f t="shared" si="0"/>
        <v>660000</v>
      </c>
      <c r="Q20" s="217">
        <f t="shared" si="4"/>
        <v>66000</v>
      </c>
    </row>
    <row r="21" spans="1:18" ht="16" x14ac:dyDescent="0.2">
      <c r="A21" s="93">
        <f t="shared" si="2"/>
        <v>19</v>
      </c>
      <c r="B21" s="214" t="s">
        <v>326</v>
      </c>
      <c r="C21" s="90">
        <v>5</v>
      </c>
      <c r="D21" s="94">
        <v>46000</v>
      </c>
      <c r="E21" s="94">
        <v>46000</v>
      </c>
      <c r="F21" s="94">
        <v>46000</v>
      </c>
      <c r="G21" s="94">
        <v>46000</v>
      </c>
      <c r="H21" s="94">
        <v>46000</v>
      </c>
      <c r="I21" s="94">
        <v>46000</v>
      </c>
      <c r="J21" s="94">
        <v>46000</v>
      </c>
      <c r="K21" s="94">
        <v>46000</v>
      </c>
      <c r="L21" s="94">
        <v>46000</v>
      </c>
      <c r="M21" s="94">
        <v>46000</v>
      </c>
      <c r="N21" s="94">
        <v>46000</v>
      </c>
      <c r="O21" s="94">
        <v>46000</v>
      </c>
      <c r="P21" s="92">
        <f t="shared" si="0"/>
        <v>552000</v>
      </c>
      <c r="Q21" s="217">
        <f t="shared" si="4"/>
        <v>55200</v>
      </c>
    </row>
    <row r="22" spans="1:18" x14ac:dyDescent="0.2">
      <c r="A22" s="210"/>
      <c r="B22" s="213"/>
      <c r="C22" s="90">
        <v>1</v>
      </c>
      <c r="D22" s="91"/>
      <c r="E22" s="91"/>
      <c r="F22" s="91"/>
      <c r="G22" s="91"/>
      <c r="H22" s="91"/>
      <c r="I22" s="91"/>
      <c r="J22" s="91"/>
      <c r="K22" s="91"/>
      <c r="L22" s="91"/>
      <c r="M22" s="91"/>
      <c r="N22" s="91"/>
      <c r="O22" s="91"/>
      <c r="P22" s="92">
        <f t="shared" si="0"/>
        <v>0</v>
      </c>
      <c r="Q22" s="217">
        <f t="shared" si="4"/>
        <v>0</v>
      </c>
    </row>
    <row r="23" spans="1:18" ht="16" x14ac:dyDescent="0.2">
      <c r="A23" s="210"/>
      <c r="B23" s="215" t="s">
        <v>330</v>
      </c>
      <c r="C23" s="90">
        <v>1</v>
      </c>
      <c r="D23" s="91"/>
      <c r="E23" s="91"/>
      <c r="F23" s="91"/>
      <c r="G23" s="91"/>
      <c r="H23" s="91"/>
      <c r="I23" s="91"/>
      <c r="J23" s="91"/>
      <c r="K23" s="91"/>
      <c r="L23" s="91"/>
      <c r="M23" s="91"/>
      <c r="N23" s="91"/>
      <c r="O23" s="91"/>
      <c r="P23" s="92">
        <f t="shared" si="0"/>
        <v>0</v>
      </c>
      <c r="Q23" s="217">
        <f t="shared" si="4"/>
        <v>0</v>
      </c>
    </row>
    <row r="24" spans="1:18" ht="16" x14ac:dyDescent="0.2">
      <c r="A24" s="210"/>
      <c r="B24" s="213" t="s">
        <v>331</v>
      </c>
      <c r="C24" s="90">
        <v>1</v>
      </c>
      <c r="D24" s="94"/>
      <c r="E24" s="94"/>
      <c r="F24" s="94">
        <v>315000</v>
      </c>
      <c r="G24" s="94">
        <v>315000</v>
      </c>
      <c r="H24" s="94">
        <v>315000</v>
      </c>
      <c r="I24" s="94">
        <v>315000</v>
      </c>
      <c r="J24" s="94">
        <v>315000</v>
      </c>
      <c r="K24" s="94">
        <v>315000</v>
      </c>
      <c r="L24" s="94">
        <v>315000</v>
      </c>
      <c r="M24" s="94">
        <v>315000</v>
      </c>
      <c r="N24" s="94">
        <v>315000</v>
      </c>
      <c r="O24" s="94">
        <v>315000</v>
      </c>
      <c r="P24" s="92">
        <f t="shared" si="0"/>
        <v>3150000</v>
      </c>
      <c r="Q24" s="217">
        <f t="shared" si="4"/>
        <v>315000</v>
      </c>
    </row>
    <row r="25" spans="1:18" ht="32" x14ac:dyDescent="0.2">
      <c r="A25" s="210"/>
      <c r="B25" s="213" t="s">
        <v>334</v>
      </c>
      <c r="C25" s="90">
        <v>1</v>
      </c>
      <c r="D25" s="94"/>
      <c r="E25" s="94"/>
      <c r="F25" s="94">
        <v>315000</v>
      </c>
      <c r="G25" s="94">
        <v>315000</v>
      </c>
      <c r="H25" s="94">
        <v>315000</v>
      </c>
      <c r="I25" s="94">
        <v>315000</v>
      </c>
      <c r="J25" s="94">
        <v>315000</v>
      </c>
      <c r="K25" s="94">
        <v>315000</v>
      </c>
      <c r="L25" s="94">
        <v>315000</v>
      </c>
      <c r="M25" s="94">
        <v>315000</v>
      </c>
      <c r="N25" s="94">
        <v>315000</v>
      </c>
      <c r="O25" s="94">
        <v>315000</v>
      </c>
      <c r="P25" s="92">
        <f t="shared" si="0"/>
        <v>3150000</v>
      </c>
      <c r="Q25" s="217">
        <f t="shared" si="4"/>
        <v>315000</v>
      </c>
    </row>
    <row r="26" spans="1:18" ht="16" x14ac:dyDescent="0.2">
      <c r="A26" s="210"/>
      <c r="B26" s="213" t="s">
        <v>335</v>
      </c>
      <c r="C26" s="90">
        <v>1</v>
      </c>
      <c r="D26" s="94"/>
      <c r="E26" s="94"/>
      <c r="F26" s="94">
        <v>315000</v>
      </c>
      <c r="G26" s="94">
        <v>315000</v>
      </c>
      <c r="H26" s="94">
        <v>315000</v>
      </c>
      <c r="I26" s="94">
        <v>315000</v>
      </c>
      <c r="J26" s="94">
        <v>315000</v>
      </c>
      <c r="K26" s="94">
        <v>315000</v>
      </c>
      <c r="L26" s="94">
        <v>315000</v>
      </c>
      <c r="M26" s="94">
        <v>315000</v>
      </c>
      <c r="N26" s="94">
        <v>315000</v>
      </c>
      <c r="O26" s="94">
        <v>315000</v>
      </c>
      <c r="P26" s="92">
        <f t="shared" si="0"/>
        <v>3150000</v>
      </c>
      <c r="Q26" s="217">
        <f t="shared" si="4"/>
        <v>315000</v>
      </c>
    </row>
    <row r="27" spans="1:18" ht="16" x14ac:dyDescent="0.2">
      <c r="A27" s="95"/>
      <c r="B27" s="216" t="s">
        <v>118</v>
      </c>
      <c r="C27" s="134">
        <f>SUM(C3:C26)</f>
        <v>35</v>
      </c>
      <c r="D27" s="96">
        <f>SUM(D3:D26)</f>
        <v>11486000</v>
      </c>
      <c r="E27" s="96">
        <f t="shared" ref="E27:O27" si="5">SUM(E3:E26)</f>
        <v>11726000</v>
      </c>
      <c r="F27" s="96">
        <f t="shared" si="5"/>
        <v>14571000</v>
      </c>
      <c r="G27" s="96">
        <f t="shared" si="5"/>
        <v>14571000</v>
      </c>
      <c r="H27" s="96">
        <f t="shared" si="5"/>
        <v>14571000</v>
      </c>
      <c r="I27" s="96">
        <f t="shared" si="5"/>
        <v>14571000</v>
      </c>
      <c r="J27" s="96">
        <f t="shared" si="5"/>
        <v>14571000</v>
      </c>
      <c r="K27" s="96">
        <f t="shared" si="5"/>
        <v>14571000</v>
      </c>
      <c r="L27" s="96">
        <f t="shared" si="5"/>
        <v>14571000</v>
      </c>
      <c r="M27" s="96">
        <f t="shared" si="5"/>
        <v>14571000</v>
      </c>
      <c r="N27" s="96">
        <f t="shared" si="5"/>
        <v>14571000</v>
      </c>
      <c r="O27" s="96">
        <f t="shared" si="5"/>
        <v>14571000</v>
      </c>
      <c r="P27" s="96">
        <f>SUM(P3:P26)</f>
        <v>168922000</v>
      </c>
      <c r="Q27" s="96">
        <f>SUM(Q3:Q26)</f>
        <v>29922200</v>
      </c>
      <c r="R27" s="135"/>
    </row>
    <row r="28" spans="1:18" x14ac:dyDescent="0.2">
      <c r="P28" s="135"/>
    </row>
    <row r="31" spans="1:18" x14ac:dyDescent="0.2">
      <c r="H31" s="142"/>
      <c r="I31" s="142"/>
    </row>
    <row r="32" spans="1:18" x14ac:dyDescent="0.2">
      <c r="H32" s="142"/>
      <c r="I32" s="142"/>
    </row>
    <row r="33" spans="4:16" x14ac:dyDescent="0.2">
      <c r="H33" s="142"/>
      <c r="I33" s="142"/>
    </row>
    <row r="34" spans="4:16" x14ac:dyDescent="0.2">
      <c r="H34" s="142"/>
      <c r="I34" s="142"/>
    </row>
    <row r="35" spans="4:16" x14ac:dyDescent="0.2">
      <c r="H35" s="142"/>
      <c r="I35" s="142"/>
    </row>
    <row r="36" spans="4:16" x14ac:dyDescent="0.2">
      <c r="H36" s="142"/>
      <c r="I36" s="142"/>
    </row>
    <row r="37" spans="4:16" x14ac:dyDescent="0.2">
      <c r="G37" s="97"/>
      <c r="H37" s="142"/>
      <c r="I37" s="142"/>
      <c r="J37" s="97"/>
      <c r="K37" s="97"/>
      <c r="L37" s="97"/>
      <c r="M37" s="97"/>
      <c r="N37" s="97" t="s">
        <v>119</v>
      </c>
      <c r="O37" s="97"/>
      <c r="P37" s="97"/>
    </row>
    <row r="38" spans="4:16" x14ac:dyDescent="0.2">
      <c r="G38" s="97"/>
      <c r="H38" s="142"/>
      <c r="I38" s="142"/>
      <c r="J38" s="97"/>
      <c r="K38" s="97"/>
      <c r="L38" s="97"/>
      <c r="M38" s="97">
        <v>235017335.19999999</v>
      </c>
      <c r="N38" s="97">
        <f>M38-P27</f>
        <v>66095335.199999988</v>
      </c>
      <c r="O38" s="97"/>
      <c r="P38" s="97"/>
    </row>
    <row r="39" spans="4:16" x14ac:dyDescent="0.2">
      <c r="D39" s="37"/>
      <c r="E39" s="37"/>
      <c r="F39" s="37"/>
      <c r="G39" s="37"/>
      <c r="H39" s="142"/>
      <c r="I39" s="142"/>
      <c r="J39" s="37"/>
      <c r="K39" s="37"/>
      <c r="L39" s="37"/>
      <c r="M39" s="98"/>
      <c r="N39" s="98">
        <f>(M38-P27)/M38</f>
        <v>0.28123599964978241</v>
      </c>
      <c r="O39" s="37"/>
      <c r="P39" s="99"/>
    </row>
    <row r="40" spans="4:16" x14ac:dyDescent="0.2">
      <c r="H40" s="142"/>
      <c r="I40" s="142"/>
    </row>
    <row r="41" spans="4:16" x14ac:dyDescent="0.2">
      <c r="H41" s="142"/>
      <c r="I41" s="142"/>
    </row>
    <row r="42" spans="4:16" x14ac:dyDescent="0.2">
      <c r="H42" s="142"/>
      <c r="I42" s="142"/>
    </row>
    <row r="43" spans="4:16" x14ac:dyDescent="0.2">
      <c r="H43" s="142"/>
      <c r="I43" s="142"/>
    </row>
    <row r="44" spans="4:16" x14ac:dyDescent="0.2">
      <c r="H44" s="142"/>
      <c r="I44" s="142"/>
    </row>
    <row r="45" spans="4:16" x14ac:dyDescent="0.2">
      <c r="H45" s="142"/>
      <c r="I45" s="142"/>
    </row>
    <row r="46" spans="4:16" x14ac:dyDescent="0.2">
      <c r="H46" s="142"/>
      <c r="I46" s="142"/>
    </row>
    <row r="47" spans="4:16" x14ac:dyDescent="0.2">
      <c r="H47" s="142"/>
      <c r="I47" s="142"/>
    </row>
    <row r="48" spans="4:16" x14ac:dyDescent="0.2">
      <c r="H48" s="141"/>
    </row>
  </sheetData>
  <mergeCells count="1">
    <mergeCell ref="F1:O1"/>
  </mergeCells>
  <phoneticPr fontId="12" type="noConversion"/>
  <pageMargins left="0.7" right="0.7" top="0.75" bottom="0.75" header="0.3" footer="0.3"/>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BEA67-70FC-4A1A-8630-1953A2A0DF88}">
  <dimension ref="B2:O27"/>
  <sheetViews>
    <sheetView showGridLines="0" topLeftCell="A7" workbookViewId="0">
      <selection activeCell="H21" sqref="H21"/>
    </sheetView>
  </sheetViews>
  <sheetFormatPr baseColWidth="10" defaultColWidth="8.83203125" defaultRowHeight="15" x14ac:dyDescent="0.2"/>
  <cols>
    <col min="2" max="2" width="23.5" customWidth="1"/>
    <col min="5" max="5" width="9.5" bestFit="1" customWidth="1"/>
    <col min="8" max="8" width="9.5" bestFit="1" customWidth="1"/>
    <col min="11" max="11" width="9.5" bestFit="1" customWidth="1"/>
    <col min="14" max="15" width="9.5" bestFit="1" customWidth="1"/>
  </cols>
  <sheetData>
    <row r="2" spans="2:15" x14ac:dyDescent="0.2">
      <c r="B2" s="203" t="s">
        <v>8</v>
      </c>
      <c r="C2" s="203"/>
      <c r="D2" s="203"/>
      <c r="E2" s="203"/>
      <c r="F2" s="203"/>
      <c r="G2" s="203"/>
      <c r="H2" s="203"/>
      <c r="I2" s="203"/>
      <c r="J2" s="203"/>
      <c r="K2" s="203"/>
      <c r="L2" s="203"/>
      <c r="M2" s="203"/>
      <c r="N2" s="203"/>
      <c r="O2" s="203"/>
    </row>
    <row r="3" spans="2:15" x14ac:dyDescent="0.2">
      <c r="B3" s="43"/>
      <c r="C3" s="45" t="s">
        <v>73</v>
      </c>
      <c r="D3" s="45" t="s">
        <v>74</v>
      </c>
      <c r="E3" s="45" t="s">
        <v>75</v>
      </c>
      <c r="F3" s="45" t="s">
        <v>76</v>
      </c>
      <c r="G3" s="45" t="s">
        <v>77</v>
      </c>
      <c r="H3" s="45" t="s">
        <v>78</v>
      </c>
      <c r="I3" s="45" t="s">
        <v>79</v>
      </c>
      <c r="J3" s="45" t="s">
        <v>80</v>
      </c>
      <c r="K3" s="45" t="s">
        <v>81</v>
      </c>
      <c r="L3" s="45" t="s">
        <v>82</v>
      </c>
      <c r="M3" s="45" t="s">
        <v>83</v>
      </c>
      <c r="N3" s="45" t="s">
        <v>84</v>
      </c>
      <c r="O3" s="46" t="s">
        <v>85</v>
      </c>
    </row>
    <row r="4" spans="2:15" x14ac:dyDescent="0.2">
      <c r="B4" s="38" t="s">
        <v>42</v>
      </c>
      <c r="C4" s="63"/>
      <c r="D4" s="63"/>
      <c r="E4" s="63">
        <f>$O$4/4</f>
        <v>1041666.6666666665</v>
      </c>
      <c r="F4" s="63"/>
      <c r="G4" s="63"/>
      <c r="H4" s="63">
        <f>$O$4/4</f>
        <v>1041666.6666666665</v>
      </c>
      <c r="I4" s="63"/>
      <c r="J4" s="63"/>
      <c r="K4" s="63">
        <f>$O$4/4</f>
        <v>1041666.6666666665</v>
      </c>
      <c r="L4" s="63"/>
      <c r="M4" s="63"/>
      <c r="N4" s="63">
        <f>$O$4/4</f>
        <v>1041666.6666666665</v>
      </c>
      <c r="O4" s="64">
        <v>4166666.666666666</v>
      </c>
    </row>
    <row r="5" spans="2:15" x14ac:dyDescent="0.2">
      <c r="B5" s="38" t="s">
        <v>43</v>
      </c>
      <c r="C5" s="63"/>
      <c r="D5" s="63"/>
      <c r="E5" s="63">
        <f>$O$5/4</f>
        <v>729166.66666666663</v>
      </c>
      <c r="F5" s="63"/>
      <c r="G5" s="63"/>
      <c r="H5" s="63">
        <f>$O$5/4</f>
        <v>729166.66666666663</v>
      </c>
      <c r="I5" s="63"/>
      <c r="J5" s="63"/>
      <c r="K5" s="63">
        <f>$O$5/4</f>
        <v>729166.66666666663</v>
      </c>
      <c r="L5" s="63"/>
      <c r="M5" s="63"/>
      <c r="N5" s="63">
        <f>$O$5/4</f>
        <v>729166.66666666663</v>
      </c>
      <c r="O5" s="64">
        <v>2916666.6666666665</v>
      </c>
    </row>
    <row r="6" spans="2:15" ht="32" x14ac:dyDescent="0.2">
      <c r="B6" s="61" t="s">
        <v>44</v>
      </c>
      <c r="C6" s="67"/>
      <c r="D6" s="67"/>
      <c r="E6" s="67">
        <f>$O$6/4</f>
        <v>416666.66666666669</v>
      </c>
      <c r="F6" s="67"/>
      <c r="G6" s="67"/>
      <c r="H6" s="67">
        <f>$O$6/4</f>
        <v>416666.66666666669</v>
      </c>
      <c r="I6" s="67"/>
      <c r="J6" s="67"/>
      <c r="K6" s="67">
        <f>$O$6/4</f>
        <v>416666.66666666669</v>
      </c>
      <c r="L6" s="67"/>
      <c r="M6" s="67"/>
      <c r="N6" s="67">
        <f>$O$6/4</f>
        <v>416666.66666666669</v>
      </c>
      <c r="O6" s="68">
        <v>1666666.6666666667</v>
      </c>
    </row>
    <row r="9" spans="2:15" x14ac:dyDescent="0.2">
      <c r="B9" s="203" t="s">
        <v>11</v>
      </c>
      <c r="C9" s="203"/>
      <c r="D9" s="203"/>
      <c r="E9" s="203"/>
      <c r="F9" s="203"/>
      <c r="G9" s="203"/>
      <c r="H9" s="203"/>
      <c r="I9" s="203"/>
      <c r="J9" s="203"/>
      <c r="K9" s="203"/>
      <c r="L9" s="203"/>
      <c r="M9" s="203"/>
      <c r="N9" s="203"/>
      <c r="O9" s="203"/>
    </row>
    <row r="10" spans="2:15" x14ac:dyDescent="0.2">
      <c r="B10" s="43"/>
      <c r="C10" s="45" t="s">
        <v>73</v>
      </c>
      <c r="D10" s="45" t="s">
        <v>74</v>
      </c>
      <c r="E10" s="45" t="s">
        <v>75</v>
      </c>
      <c r="F10" s="45" t="s">
        <v>76</v>
      </c>
      <c r="G10" s="45" t="s">
        <v>77</v>
      </c>
      <c r="H10" s="45" t="s">
        <v>78</v>
      </c>
      <c r="I10" s="45" t="s">
        <v>79</v>
      </c>
      <c r="J10" s="45" t="s">
        <v>80</v>
      </c>
      <c r="K10" s="45" t="s">
        <v>81</v>
      </c>
      <c r="L10" s="45" t="s">
        <v>82</v>
      </c>
      <c r="M10" s="45" t="s">
        <v>83</v>
      </c>
      <c r="N10" s="45" t="s">
        <v>84</v>
      </c>
      <c r="O10" s="46" t="s">
        <v>85</v>
      </c>
    </row>
    <row r="11" spans="2:15" ht="48" x14ac:dyDescent="0.2">
      <c r="B11" s="62" t="s">
        <v>49</v>
      </c>
      <c r="C11" s="63"/>
      <c r="D11" s="63"/>
      <c r="E11" s="63">
        <f>$O11/4</f>
        <v>1000000</v>
      </c>
      <c r="F11" s="63"/>
      <c r="G11" s="63"/>
      <c r="H11" s="63">
        <f t="shared" ref="H11:H13" si="0">$O11/4</f>
        <v>1000000</v>
      </c>
      <c r="I11" s="63"/>
      <c r="J11" s="63"/>
      <c r="K11" s="63">
        <f t="shared" ref="K11:K13" si="1">$O11/4</f>
        <v>1000000</v>
      </c>
      <c r="L11" s="63"/>
      <c r="M11" s="63"/>
      <c r="N11" s="63">
        <f t="shared" ref="N11:N13" si="2">$O11/4</f>
        <v>1000000</v>
      </c>
      <c r="O11" s="64">
        <v>4000000</v>
      </c>
    </row>
    <row r="12" spans="2:15" x14ac:dyDescent="0.2">
      <c r="B12" s="38" t="s">
        <v>50</v>
      </c>
      <c r="C12" s="63"/>
      <c r="D12" s="63"/>
      <c r="E12" s="63">
        <f>$O12/10</f>
        <v>250000</v>
      </c>
      <c r="F12" s="63">
        <f t="shared" ref="F12:N12" si="3">$O12/10</f>
        <v>250000</v>
      </c>
      <c r="G12" s="63">
        <f t="shared" si="3"/>
        <v>250000</v>
      </c>
      <c r="H12" s="63">
        <f t="shared" si="3"/>
        <v>250000</v>
      </c>
      <c r="I12" s="63">
        <f t="shared" si="3"/>
        <v>250000</v>
      </c>
      <c r="J12" s="63">
        <f t="shared" si="3"/>
        <v>250000</v>
      </c>
      <c r="K12" s="63">
        <f t="shared" si="3"/>
        <v>250000</v>
      </c>
      <c r="L12" s="63">
        <f t="shared" si="3"/>
        <v>250000</v>
      </c>
      <c r="M12" s="63">
        <f t="shared" si="3"/>
        <v>250000</v>
      </c>
      <c r="N12" s="63">
        <f t="shared" si="3"/>
        <v>250000</v>
      </c>
      <c r="O12" s="64">
        <v>2500000</v>
      </c>
    </row>
    <row r="13" spans="2:15" ht="16" x14ac:dyDescent="0.2">
      <c r="B13" s="62" t="s">
        <v>51</v>
      </c>
      <c r="C13" s="63"/>
      <c r="D13" s="63"/>
      <c r="E13" s="63">
        <f t="shared" ref="E13" si="4">$O13/4</f>
        <v>520833.33333333326</v>
      </c>
      <c r="F13" s="63"/>
      <c r="G13" s="63"/>
      <c r="H13" s="63">
        <f t="shared" si="0"/>
        <v>520833.33333333326</v>
      </c>
      <c r="I13" s="63"/>
      <c r="J13" s="63"/>
      <c r="K13" s="63">
        <f t="shared" si="1"/>
        <v>520833.33333333326</v>
      </c>
      <c r="L13" s="63"/>
      <c r="M13" s="63"/>
      <c r="N13" s="63">
        <f t="shared" si="2"/>
        <v>520833.33333333326</v>
      </c>
      <c r="O13" s="64">
        <v>2083333.333333333</v>
      </c>
    </row>
    <row r="14" spans="2:15" x14ac:dyDescent="0.2">
      <c r="B14" s="42" t="s">
        <v>52</v>
      </c>
      <c r="C14" s="65"/>
      <c r="D14" s="65"/>
      <c r="E14" s="65">
        <f>$O14/4</f>
        <v>312500</v>
      </c>
      <c r="F14" s="65"/>
      <c r="G14" s="65"/>
      <c r="H14" s="65">
        <f>$O14/4</f>
        <v>312500</v>
      </c>
      <c r="I14" s="65"/>
      <c r="J14" s="65"/>
      <c r="K14" s="65">
        <f>$O14/4</f>
        <v>312500</v>
      </c>
      <c r="L14" s="65"/>
      <c r="M14" s="65"/>
      <c r="N14" s="65">
        <f>$O14/4</f>
        <v>312500</v>
      </c>
      <c r="O14" s="66">
        <v>1250000</v>
      </c>
    </row>
    <row r="18" spans="2:15" x14ac:dyDescent="0.2">
      <c r="B18" s="203" t="s">
        <v>120</v>
      </c>
      <c r="C18" s="203"/>
      <c r="D18" s="203"/>
      <c r="E18" s="203"/>
      <c r="F18" s="203"/>
      <c r="G18" s="203"/>
      <c r="H18" s="203"/>
      <c r="I18" s="203"/>
      <c r="J18" s="203"/>
      <c r="K18" s="203"/>
      <c r="L18" s="203"/>
      <c r="M18" s="203"/>
      <c r="N18" s="203"/>
      <c r="O18" s="203"/>
    </row>
    <row r="19" spans="2:15" x14ac:dyDescent="0.2">
      <c r="B19" s="43"/>
      <c r="C19" s="45" t="s">
        <v>73</v>
      </c>
      <c r="D19" s="45" t="s">
        <v>74</v>
      </c>
      <c r="E19" s="45" t="s">
        <v>75</v>
      </c>
      <c r="F19" s="45" t="s">
        <v>76</v>
      </c>
      <c r="G19" s="45" t="s">
        <v>77</v>
      </c>
      <c r="H19" s="45" t="s">
        <v>78</v>
      </c>
      <c r="I19" s="45" t="s">
        <v>79</v>
      </c>
      <c r="J19" s="45" t="s">
        <v>80</v>
      </c>
      <c r="K19" s="45" t="s">
        <v>81</v>
      </c>
      <c r="L19" s="45" t="s">
        <v>82</v>
      </c>
      <c r="M19" s="45" t="s">
        <v>83</v>
      </c>
      <c r="N19" s="45" t="s">
        <v>84</v>
      </c>
      <c r="O19" s="46" t="s">
        <v>85</v>
      </c>
    </row>
    <row r="20" spans="2:15" ht="16" x14ac:dyDescent="0.2">
      <c r="B20" s="62" t="s">
        <v>121</v>
      </c>
      <c r="C20" s="63"/>
      <c r="D20" s="63"/>
      <c r="E20" s="63"/>
      <c r="F20" s="63"/>
      <c r="G20" s="63"/>
      <c r="H20" s="63">
        <v>1</v>
      </c>
      <c r="I20" s="63"/>
      <c r="J20" s="63"/>
      <c r="K20" s="63"/>
      <c r="L20" s="63">
        <v>1</v>
      </c>
      <c r="M20" s="63"/>
      <c r="N20" s="63"/>
      <c r="O20" s="64">
        <v>4000000</v>
      </c>
    </row>
    <row r="21" spans="2:15" x14ac:dyDescent="0.2">
      <c r="B21" s="38" t="s">
        <v>122</v>
      </c>
      <c r="C21" s="63"/>
      <c r="D21" s="63"/>
      <c r="E21" s="63"/>
      <c r="F21" s="63"/>
      <c r="G21" s="63"/>
      <c r="H21" s="63"/>
      <c r="I21" s="63"/>
      <c r="J21" s="63"/>
      <c r="K21" s="63"/>
      <c r="L21" s="63"/>
      <c r="M21" s="63"/>
      <c r="N21" s="63"/>
      <c r="O21" s="64">
        <v>2500000</v>
      </c>
    </row>
    <row r="22" spans="2:15" x14ac:dyDescent="0.2">
      <c r="B22" s="38"/>
      <c r="C22" s="63"/>
      <c r="D22" s="63"/>
      <c r="E22" s="63"/>
      <c r="F22" s="63"/>
      <c r="G22" s="63"/>
      <c r="H22" s="63"/>
      <c r="I22" s="63"/>
      <c r="J22" s="63"/>
      <c r="K22" s="63"/>
      <c r="L22" s="63"/>
      <c r="M22" s="63"/>
      <c r="N22" s="63"/>
      <c r="O22" s="64"/>
    </row>
    <row r="23" spans="2:15" x14ac:dyDescent="0.2">
      <c r="B23" s="38"/>
      <c r="C23" s="63"/>
      <c r="D23" s="63"/>
      <c r="E23" s="63"/>
      <c r="F23" s="63"/>
      <c r="G23" s="63"/>
      <c r="H23" s="63"/>
      <c r="I23" s="63"/>
      <c r="J23" s="63"/>
      <c r="K23" s="63"/>
      <c r="L23" s="63"/>
      <c r="M23" s="63"/>
      <c r="N23" s="63"/>
      <c r="O23" s="64"/>
    </row>
    <row r="24" spans="2:15" x14ac:dyDescent="0.2">
      <c r="B24" s="62"/>
      <c r="C24" s="63"/>
      <c r="D24" s="63"/>
      <c r="E24" s="63"/>
      <c r="F24" s="63"/>
      <c r="G24" s="63"/>
      <c r="H24" s="63"/>
      <c r="I24" s="63"/>
      <c r="J24" s="63"/>
      <c r="K24" s="63"/>
      <c r="L24" s="63"/>
      <c r="M24" s="63"/>
      <c r="N24" s="63"/>
      <c r="O24" s="64"/>
    </row>
    <row r="25" spans="2:15" x14ac:dyDescent="0.2">
      <c r="B25" s="42" t="s">
        <v>52</v>
      </c>
      <c r="C25" s="65"/>
      <c r="D25" s="65"/>
      <c r="E25" s="65">
        <f>$O25/4</f>
        <v>312500</v>
      </c>
      <c r="F25" s="65"/>
      <c r="G25" s="65"/>
      <c r="H25" s="65">
        <f>$O25/4</f>
        <v>312500</v>
      </c>
      <c r="I25" s="65"/>
      <c r="J25" s="65"/>
      <c r="K25" s="65">
        <f>$O25/4</f>
        <v>312500</v>
      </c>
      <c r="L25" s="65"/>
      <c r="M25" s="65"/>
      <c r="N25" s="65">
        <f>$O25/4</f>
        <v>312500</v>
      </c>
      <c r="O25" s="66">
        <v>1250000</v>
      </c>
    </row>
    <row r="26" spans="2:15" ht="16" x14ac:dyDescent="0.2">
      <c r="B26" s="62" t="s">
        <v>123</v>
      </c>
      <c r="C26" s="63"/>
      <c r="D26" s="63"/>
      <c r="E26" s="63">
        <f t="shared" ref="E26" si="5">$O26/4</f>
        <v>520833.33333333326</v>
      </c>
      <c r="F26" s="63"/>
      <c r="G26" s="63"/>
      <c r="H26" s="63">
        <f t="shared" ref="H26" si="6">$O26/4</f>
        <v>520833.33333333326</v>
      </c>
      <c r="I26" s="63"/>
      <c r="J26" s="63"/>
      <c r="K26" s="63">
        <f t="shared" ref="K26" si="7">$O26/4</f>
        <v>520833.33333333326</v>
      </c>
      <c r="L26" s="63"/>
      <c r="M26" s="63"/>
      <c r="N26" s="63">
        <f t="shared" ref="N26" si="8">$O26/4</f>
        <v>520833.33333333326</v>
      </c>
      <c r="O26" s="64">
        <v>2083333.333333333</v>
      </c>
    </row>
    <row r="27" spans="2:15" x14ac:dyDescent="0.2">
      <c r="B27" s="38" t="s">
        <v>124</v>
      </c>
      <c r="C27" s="65"/>
      <c r="D27" s="65"/>
      <c r="E27" s="65">
        <f>$O27/4</f>
        <v>312500</v>
      </c>
      <c r="F27" s="65"/>
      <c r="G27" s="65"/>
      <c r="H27" s="65">
        <f>$O27/4</f>
        <v>312500</v>
      </c>
      <c r="I27" s="65"/>
      <c r="J27" s="65"/>
      <c r="K27" s="65">
        <f>$O27/4</f>
        <v>312500</v>
      </c>
      <c r="L27" s="65"/>
      <c r="M27" s="65"/>
      <c r="N27" s="65">
        <f>$O27/4</f>
        <v>312500</v>
      </c>
      <c r="O27" s="66">
        <v>1250000</v>
      </c>
    </row>
  </sheetData>
  <mergeCells count="3">
    <mergeCell ref="B2:O2"/>
    <mergeCell ref="B9:O9"/>
    <mergeCell ref="B18:O18"/>
  </mergeCells>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72AF1-1208-405C-8449-46D4BF7DA6FC}">
  <dimension ref="B2:N5"/>
  <sheetViews>
    <sheetView showGridLines="0" workbookViewId="0">
      <selection activeCell="M11" sqref="M11"/>
    </sheetView>
  </sheetViews>
  <sheetFormatPr baseColWidth="10" defaultColWidth="8.83203125" defaultRowHeight="15" x14ac:dyDescent="0.2"/>
  <cols>
    <col min="2" max="2" width="14.5" bestFit="1" customWidth="1"/>
  </cols>
  <sheetData>
    <row r="2" spans="2:14" x14ac:dyDescent="0.2">
      <c r="B2" s="43"/>
      <c r="C2" s="45" t="s">
        <v>73</v>
      </c>
      <c r="D2" s="45" t="s">
        <v>74</v>
      </c>
      <c r="E2" s="45" t="s">
        <v>75</v>
      </c>
      <c r="F2" s="45" t="s">
        <v>76</v>
      </c>
      <c r="G2" s="45" t="s">
        <v>77</v>
      </c>
      <c r="H2" s="45" t="s">
        <v>78</v>
      </c>
      <c r="I2" s="45" t="s">
        <v>79</v>
      </c>
      <c r="J2" s="45" t="s">
        <v>80</v>
      </c>
      <c r="K2" s="45" t="s">
        <v>81</v>
      </c>
      <c r="L2" s="45" t="s">
        <v>82</v>
      </c>
      <c r="M2" s="45" t="s">
        <v>83</v>
      </c>
      <c r="N2" s="46" t="s">
        <v>84</v>
      </c>
    </row>
    <row r="3" spans="2:14" x14ac:dyDescent="0.2">
      <c r="B3" s="38" t="s">
        <v>91</v>
      </c>
      <c r="C3" s="58">
        <v>50000</v>
      </c>
      <c r="D3" s="58">
        <v>50000</v>
      </c>
      <c r="E3" s="58">
        <v>50000</v>
      </c>
      <c r="F3" s="58">
        <v>50000</v>
      </c>
      <c r="G3" s="58">
        <v>50000</v>
      </c>
      <c r="H3" s="58">
        <v>50000</v>
      </c>
      <c r="I3" s="58">
        <v>50000</v>
      </c>
      <c r="J3" s="58">
        <v>50000</v>
      </c>
      <c r="K3" s="58">
        <v>50000</v>
      </c>
      <c r="L3" s="58">
        <v>50000</v>
      </c>
      <c r="M3" s="58">
        <v>50000</v>
      </c>
      <c r="N3" s="58">
        <v>50000</v>
      </c>
    </row>
    <row r="4" spans="2:14" x14ac:dyDescent="0.2">
      <c r="B4" s="38" t="s">
        <v>92</v>
      </c>
      <c r="C4" s="58">
        <v>0</v>
      </c>
      <c r="D4" s="58">
        <v>0</v>
      </c>
      <c r="E4" s="58">
        <v>5</v>
      </c>
      <c r="F4" s="58">
        <f>E4+10</f>
        <v>15</v>
      </c>
      <c r="G4" s="58">
        <f t="shared" ref="G4" si="0">F4+10</f>
        <v>25</v>
      </c>
      <c r="H4" s="58">
        <v>50</v>
      </c>
      <c r="I4" s="58">
        <v>50</v>
      </c>
      <c r="J4" s="58">
        <v>50</v>
      </c>
      <c r="K4" s="58">
        <v>50</v>
      </c>
      <c r="L4" s="58">
        <v>50</v>
      </c>
      <c r="M4" s="58">
        <v>50</v>
      </c>
      <c r="N4" s="58">
        <v>50</v>
      </c>
    </row>
    <row r="5" spans="2:14" s="3" customFormat="1" x14ac:dyDescent="0.2">
      <c r="B5" s="70" t="s">
        <v>85</v>
      </c>
      <c r="C5" s="75">
        <f>C3*C4</f>
        <v>0</v>
      </c>
      <c r="D5" s="75">
        <f t="shared" ref="D5:N5" si="1">D3*D4</f>
        <v>0</v>
      </c>
      <c r="E5" s="75">
        <f t="shared" si="1"/>
        <v>250000</v>
      </c>
      <c r="F5" s="75">
        <f t="shared" si="1"/>
        <v>750000</v>
      </c>
      <c r="G5" s="75">
        <f t="shared" si="1"/>
        <v>1250000</v>
      </c>
      <c r="H5" s="75">
        <f t="shared" si="1"/>
        <v>2500000</v>
      </c>
      <c r="I5" s="75">
        <f t="shared" si="1"/>
        <v>2500000</v>
      </c>
      <c r="J5" s="75">
        <f t="shared" si="1"/>
        <v>2500000</v>
      </c>
      <c r="K5" s="75">
        <f t="shared" si="1"/>
        <v>2500000</v>
      </c>
      <c r="L5" s="75">
        <f t="shared" si="1"/>
        <v>2500000</v>
      </c>
      <c r="M5" s="75">
        <f t="shared" si="1"/>
        <v>2500000</v>
      </c>
      <c r="N5" s="76">
        <f t="shared" si="1"/>
        <v>2500000</v>
      </c>
    </row>
  </sheetData>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7444B-2063-410F-8034-9E903181E1BF}">
  <dimension ref="B2:N5"/>
  <sheetViews>
    <sheetView showGridLines="0" workbookViewId="0">
      <selection activeCell="P6" sqref="P6"/>
    </sheetView>
  </sheetViews>
  <sheetFormatPr baseColWidth="10" defaultColWidth="8.83203125" defaultRowHeight="15" x14ac:dyDescent="0.2"/>
  <cols>
    <col min="2" max="2" width="12.5" bestFit="1" customWidth="1"/>
    <col min="3" max="14" width="9.5" bestFit="1" customWidth="1"/>
  </cols>
  <sheetData>
    <row r="2" spans="2:14" x14ac:dyDescent="0.2">
      <c r="B2" s="43"/>
      <c r="C2" s="45" t="s">
        <v>73</v>
      </c>
      <c r="D2" s="45" t="s">
        <v>74</v>
      </c>
      <c r="E2" s="45" t="s">
        <v>75</v>
      </c>
      <c r="F2" s="45" t="s">
        <v>76</v>
      </c>
      <c r="G2" s="45" t="s">
        <v>77</v>
      </c>
      <c r="H2" s="45" t="s">
        <v>78</v>
      </c>
      <c r="I2" s="45" t="s">
        <v>79</v>
      </c>
      <c r="J2" s="45" t="s">
        <v>80</v>
      </c>
      <c r="K2" s="45" t="s">
        <v>81</v>
      </c>
      <c r="L2" s="45" t="s">
        <v>82</v>
      </c>
      <c r="M2" s="45" t="s">
        <v>83</v>
      </c>
      <c r="N2" s="46" t="s">
        <v>84</v>
      </c>
    </row>
    <row r="3" spans="2:14" x14ac:dyDescent="0.2">
      <c r="B3" s="38" t="s">
        <v>88</v>
      </c>
      <c r="C3" s="39">
        <v>990</v>
      </c>
      <c r="D3" s="39">
        <v>990</v>
      </c>
      <c r="E3" s="39">
        <v>990</v>
      </c>
      <c r="F3" s="39">
        <v>990</v>
      </c>
      <c r="G3" s="39">
        <v>990</v>
      </c>
      <c r="H3" s="39">
        <v>990</v>
      </c>
      <c r="I3" s="39">
        <v>990</v>
      </c>
      <c r="J3" s="39">
        <v>990</v>
      </c>
      <c r="K3" s="39">
        <v>990</v>
      </c>
      <c r="L3" s="39">
        <v>990</v>
      </c>
      <c r="M3" s="39">
        <v>990</v>
      </c>
      <c r="N3" s="39">
        <v>990</v>
      </c>
    </row>
    <row r="4" spans="2:14" x14ac:dyDescent="0.2">
      <c r="B4" s="38" t="s">
        <v>89</v>
      </c>
      <c r="C4" s="39">
        <v>2000</v>
      </c>
      <c r="D4" s="39">
        <v>2000</v>
      </c>
      <c r="E4" s="39">
        <v>2000</v>
      </c>
      <c r="F4" s="39">
        <v>2000</v>
      </c>
      <c r="G4" s="39">
        <v>2000</v>
      </c>
      <c r="H4" s="39">
        <v>2000</v>
      </c>
      <c r="I4" s="39">
        <v>2000</v>
      </c>
      <c r="J4" s="39">
        <v>2000</v>
      </c>
      <c r="K4" s="39">
        <v>2000</v>
      </c>
      <c r="L4" s="39">
        <v>2000</v>
      </c>
      <c r="M4" s="39">
        <v>2000</v>
      </c>
      <c r="N4" s="39">
        <v>2000</v>
      </c>
    </row>
    <row r="5" spans="2:14" s="3" customFormat="1" x14ac:dyDescent="0.2">
      <c r="B5" s="70" t="s">
        <v>85</v>
      </c>
      <c r="C5" s="71">
        <f t="shared" ref="C5:N5" si="0">C3*C4</f>
        <v>1980000</v>
      </c>
      <c r="D5" s="71">
        <f t="shared" si="0"/>
        <v>1980000</v>
      </c>
      <c r="E5" s="71">
        <f t="shared" si="0"/>
        <v>1980000</v>
      </c>
      <c r="F5" s="71">
        <f t="shared" si="0"/>
        <v>1980000</v>
      </c>
      <c r="G5" s="71">
        <f t="shared" si="0"/>
        <v>1980000</v>
      </c>
      <c r="H5" s="71">
        <f t="shared" si="0"/>
        <v>1980000</v>
      </c>
      <c r="I5" s="71">
        <f t="shared" si="0"/>
        <v>1980000</v>
      </c>
      <c r="J5" s="71">
        <f t="shared" si="0"/>
        <v>1980000</v>
      </c>
      <c r="K5" s="71">
        <f t="shared" si="0"/>
        <v>1980000</v>
      </c>
      <c r="L5" s="71">
        <f t="shared" si="0"/>
        <v>1980000</v>
      </c>
      <c r="M5" s="71">
        <f t="shared" si="0"/>
        <v>1980000</v>
      </c>
      <c r="N5" s="72">
        <f t="shared" si="0"/>
        <v>1980000</v>
      </c>
    </row>
  </sheetData>
  <pageMargins left="0.7" right="0.7" top="0.75" bottom="0.75" header="0.3" footer="0.3"/>
  <pageSetup paperSize="9"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A328C-A4C6-4ABB-B276-14082A076277}">
  <dimension ref="B2:Q23"/>
  <sheetViews>
    <sheetView showGridLines="0" workbookViewId="0">
      <pane xSplit="2" ySplit="2" topLeftCell="D3" activePane="bottomRight" state="frozen"/>
      <selection pane="topRight" activeCell="C1" sqref="C1"/>
      <selection pane="bottomLeft" activeCell="A3" sqref="A3"/>
      <selection pane="bottomRight" activeCell="H21" sqref="H21"/>
    </sheetView>
  </sheetViews>
  <sheetFormatPr baseColWidth="10" defaultColWidth="8.83203125" defaultRowHeight="15" x14ac:dyDescent="0.2"/>
  <cols>
    <col min="2" max="3" width="27.5" customWidth="1"/>
    <col min="4" max="4" width="22.6640625" style="36" customWidth="1"/>
    <col min="5" max="5" width="3.5" customWidth="1"/>
    <col min="6" max="7" width="11.1640625" style="36" bestFit="1" customWidth="1"/>
    <col min="8" max="8" width="12.5" style="36" customWidth="1"/>
    <col min="9" max="9" width="15.1640625" style="36" customWidth="1"/>
    <col min="10" max="17" width="13.6640625" style="36" bestFit="1" customWidth="1"/>
  </cols>
  <sheetData>
    <row r="2" spans="2:17" x14ac:dyDescent="0.2">
      <c r="B2" s="44" t="s">
        <v>72</v>
      </c>
      <c r="C2" s="45" t="s">
        <v>109</v>
      </c>
      <c r="D2" s="45" t="s">
        <v>93</v>
      </c>
      <c r="E2" s="47"/>
      <c r="F2" s="45" t="s">
        <v>73</v>
      </c>
      <c r="G2" s="45" t="s">
        <v>74</v>
      </c>
      <c r="H2" s="45" t="s">
        <v>75</v>
      </c>
      <c r="I2" s="45" t="s">
        <v>76</v>
      </c>
      <c r="J2" s="45" t="s">
        <v>77</v>
      </c>
      <c r="K2" s="45" t="s">
        <v>78</v>
      </c>
      <c r="L2" s="45" t="s">
        <v>79</v>
      </c>
      <c r="M2" s="45" t="s">
        <v>80</v>
      </c>
      <c r="N2" s="45" t="s">
        <v>81</v>
      </c>
      <c r="O2" s="45" t="s">
        <v>82</v>
      </c>
      <c r="P2" s="45" t="s">
        <v>83</v>
      </c>
      <c r="Q2" s="46" t="s">
        <v>84</v>
      </c>
    </row>
    <row r="3" spans="2:17" x14ac:dyDescent="0.2">
      <c r="B3" s="38" t="s">
        <v>94</v>
      </c>
      <c r="C3" s="69">
        <v>92560384</v>
      </c>
      <c r="D3" s="69">
        <f>C3/12</f>
        <v>7713365.333333333</v>
      </c>
      <c r="E3" s="48"/>
      <c r="F3" s="40"/>
      <c r="G3" s="40"/>
      <c r="H3" s="40">
        <v>1</v>
      </c>
      <c r="I3" s="40">
        <v>1</v>
      </c>
      <c r="J3" s="40">
        <v>1</v>
      </c>
      <c r="K3" s="40">
        <v>1</v>
      </c>
      <c r="L3" s="40">
        <v>1</v>
      </c>
      <c r="M3" s="40">
        <v>1</v>
      </c>
      <c r="N3" s="40">
        <v>1</v>
      </c>
      <c r="O3" s="40">
        <v>1</v>
      </c>
      <c r="P3" s="40">
        <v>1</v>
      </c>
      <c r="Q3" s="40">
        <v>1</v>
      </c>
    </row>
    <row r="4" spans="2:17" x14ac:dyDescent="0.2">
      <c r="B4" s="38" t="s">
        <v>95</v>
      </c>
      <c r="C4" s="69">
        <v>51528999</v>
      </c>
      <c r="D4" s="69">
        <f t="shared" ref="D4:D17" si="0">C4/12</f>
        <v>4294083.25</v>
      </c>
      <c r="E4" s="48"/>
      <c r="F4" s="40"/>
      <c r="G4" s="40"/>
      <c r="H4" s="40"/>
      <c r="I4" s="40">
        <v>1</v>
      </c>
      <c r="J4" s="40">
        <v>1</v>
      </c>
      <c r="K4" s="40">
        <v>1</v>
      </c>
      <c r="L4" s="40">
        <v>1</v>
      </c>
      <c r="M4" s="40">
        <v>1</v>
      </c>
      <c r="N4" s="40">
        <v>1</v>
      </c>
      <c r="O4" s="40">
        <v>1</v>
      </c>
      <c r="P4" s="40">
        <v>1</v>
      </c>
      <c r="Q4" s="40">
        <v>1</v>
      </c>
    </row>
    <row r="5" spans="2:17" x14ac:dyDescent="0.2">
      <c r="B5" s="38" t="s">
        <v>96</v>
      </c>
      <c r="C5" s="69">
        <v>10365498</v>
      </c>
      <c r="D5" s="69">
        <f t="shared" si="0"/>
        <v>863791.5</v>
      </c>
      <c r="E5" s="48"/>
      <c r="F5" s="40"/>
      <c r="G5" s="40"/>
      <c r="H5" s="40"/>
      <c r="I5" s="40">
        <v>1</v>
      </c>
      <c r="J5" s="40">
        <v>1</v>
      </c>
      <c r="K5" s="40">
        <v>1</v>
      </c>
      <c r="L5" s="40">
        <v>1</v>
      </c>
      <c r="M5" s="40">
        <v>1</v>
      </c>
      <c r="N5" s="40">
        <v>1</v>
      </c>
      <c r="O5" s="40">
        <v>1</v>
      </c>
      <c r="P5" s="40">
        <v>1</v>
      </c>
      <c r="Q5" s="40">
        <v>1</v>
      </c>
    </row>
    <row r="6" spans="2:17" x14ac:dyDescent="0.2">
      <c r="B6" s="38" t="s">
        <v>97</v>
      </c>
      <c r="C6" s="69">
        <v>10365498</v>
      </c>
      <c r="D6" s="69">
        <f t="shared" si="0"/>
        <v>863791.5</v>
      </c>
      <c r="E6" s="48"/>
      <c r="F6" s="40"/>
      <c r="G6" s="40"/>
      <c r="H6" s="40"/>
      <c r="I6" s="40">
        <v>1</v>
      </c>
      <c r="J6" s="40">
        <v>1</v>
      </c>
      <c r="K6" s="40">
        <v>1</v>
      </c>
      <c r="L6" s="40">
        <v>1</v>
      </c>
      <c r="M6" s="40">
        <v>1</v>
      </c>
      <c r="N6" s="40">
        <v>1</v>
      </c>
      <c r="O6" s="40">
        <v>1</v>
      </c>
      <c r="P6" s="40">
        <v>1</v>
      </c>
      <c r="Q6" s="40">
        <v>1</v>
      </c>
    </row>
    <row r="7" spans="2:17" x14ac:dyDescent="0.2">
      <c r="B7" s="38" t="s">
        <v>98</v>
      </c>
      <c r="C7" s="69">
        <v>5939986.5</v>
      </c>
      <c r="D7" s="69">
        <f t="shared" si="0"/>
        <v>494998.875</v>
      </c>
      <c r="E7" s="48"/>
      <c r="F7" s="40"/>
      <c r="G7" s="40"/>
      <c r="H7" s="40"/>
      <c r="I7" s="40">
        <v>1</v>
      </c>
      <c r="J7" s="40">
        <v>1</v>
      </c>
      <c r="K7" s="40">
        <v>1</v>
      </c>
      <c r="L7" s="40">
        <v>1</v>
      </c>
      <c r="M7" s="40">
        <v>1</v>
      </c>
      <c r="N7" s="40">
        <v>1</v>
      </c>
      <c r="O7" s="40">
        <v>1</v>
      </c>
      <c r="P7" s="40">
        <v>1</v>
      </c>
      <c r="Q7" s="40">
        <v>1</v>
      </c>
    </row>
    <row r="8" spans="2:17" x14ac:dyDescent="0.2">
      <c r="B8" s="38" t="s">
        <v>104</v>
      </c>
      <c r="C8" s="69">
        <v>11879973</v>
      </c>
      <c r="D8" s="69">
        <f t="shared" si="0"/>
        <v>989997.75</v>
      </c>
      <c r="E8" s="48"/>
      <c r="F8" s="40"/>
      <c r="G8" s="40"/>
      <c r="H8" s="40"/>
      <c r="I8" s="40">
        <v>1</v>
      </c>
      <c r="J8" s="40">
        <v>1</v>
      </c>
      <c r="K8" s="40">
        <v>2</v>
      </c>
      <c r="L8" s="40">
        <v>2</v>
      </c>
      <c r="M8" s="40">
        <v>2</v>
      </c>
      <c r="N8" s="40">
        <v>2</v>
      </c>
      <c r="O8" s="40">
        <v>2</v>
      </c>
      <c r="P8" s="40">
        <v>2</v>
      </c>
      <c r="Q8" s="40">
        <v>2</v>
      </c>
    </row>
    <row r="9" spans="2:17" x14ac:dyDescent="0.2">
      <c r="B9" s="38" t="s">
        <v>99</v>
      </c>
      <c r="C9" s="69">
        <v>5939986.5</v>
      </c>
      <c r="D9" s="69">
        <f t="shared" si="0"/>
        <v>494998.875</v>
      </c>
      <c r="E9" s="48"/>
      <c r="F9" s="40"/>
      <c r="G9" s="40"/>
      <c r="H9" s="40"/>
      <c r="I9" s="40">
        <v>1</v>
      </c>
      <c r="J9" s="40">
        <v>1</v>
      </c>
      <c r="K9" s="40">
        <v>1</v>
      </c>
      <c r="L9" s="40">
        <v>1</v>
      </c>
      <c r="M9" s="40">
        <v>1</v>
      </c>
      <c r="N9" s="40">
        <v>1</v>
      </c>
      <c r="O9" s="40">
        <v>1</v>
      </c>
      <c r="P9" s="40">
        <v>1</v>
      </c>
      <c r="Q9" s="40">
        <v>1</v>
      </c>
    </row>
    <row r="10" spans="2:17" x14ac:dyDescent="0.2">
      <c r="B10" s="38" t="s">
        <v>100</v>
      </c>
      <c r="C10" s="69">
        <v>5939986.5</v>
      </c>
      <c r="D10" s="69">
        <f t="shared" si="0"/>
        <v>494998.875</v>
      </c>
      <c r="E10" s="48"/>
      <c r="F10" s="40"/>
      <c r="G10" s="40"/>
      <c r="H10" s="40"/>
      <c r="I10" s="40">
        <v>1</v>
      </c>
      <c r="J10" s="40">
        <v>1</v>
      </c>
      <c r="K10" s="40">
        <v>1</v>
      </c>
      <c r="L10" s="40">
        <v>1</v>
      </c>
      <c r="M10" s="40">
        <v>1</v>
      </c>
      <c r="N10" s="40">
        <v>1</v>
      </c>
      <c r="O10" s="40">
        <v>1</v>
      </c>
      <c r="P10" s="40">
        <v>1</v>
      </c>
      <c r="Q10" s="40">
        <v>1</v>
      </c>
    </row>
    <row r="11" spans="2:17" x14ac:dyDescent="0.2">
      <c r="B11" s="38" t="s">
        <v>105</v>
      </c>
      <c r="C11" s="69">
        <v>11879973</v>
      </c>
      <c r="D11" s="69">
        <f t="shared" si="0"/>
        <v>989997.75</v>
      </c>
      <c r="E11" s="48"/>
      <c r="F11" s="40"/>
      <c r="G11" s="40"/>
      <c r="H11" s="40"/>
      <c r="I11" s="40">
        <v>1</v>
      </c>
      <c r="J11" s="40">
        <v>1</v>
      </c>
      <c r="K11" s="40">
        <v>1</v>
      </c>
      <c r="L11" s="40">
        <v>1</v>
      </c>
      <c r="M11" s="40">
        <v>1</v>
      </c>
      <c r="N11" s="40">
        <v>1</v>
      </c>
      <c r="O11" s="40">
        <v>1</v>
      </c>
      <c r="P11" s="40">
        <v>1</v>
      </c>
      <c r="Q11" s="40">
        <v>1</v>
      </c>
    </row>
    <row r="12" spans="2:17" x14ac:dyDescent="0.2">
      <c r="B12" s="38" t="s">
        <v>101</v>
      </c>
      <c r="C12" s="69">
        <v>5939986.5</v>
      </c>
      <c r="D12" s="69">
        <f t="shared" si="0"/>
        <v>494998.875</v>
      </c>
      <c r="E12" s="48"/>
      <c r="F12" s="40"/>
      <c r="G12" s="40"/>
      <c r="H12" s="40"/>
      <c r="I12" s="40">
        <v>1</v>
      </c>
      <c r="J12" s="40">
        <v>1</v>
      </c>
      <c r="K12" s="40">
        <v>1</v>
      </c>
      <c r="L12" s="40">
        <v>1</v>
      </c>
      <c r="M12" s="40">
        <v>1</v>
      </c>
      <c r="N12" s="40">
        <v>1</v>
      </c>
      <c r="O12" s="40">
        <v>1</v>
      </c>
      <c r="P12" s="40">
        <v>1</v>
      </c>
      <c r="Q12" s="40">
        <v>1</v>
      </c>
    </row>
    <row r="13" spans="2:17" x14ac:dyDescent="0.2">
      <c r="B13" s="38" t="s">
        <v>102</v>
      </c>
      <c r="C13" s="69">
        <v>5939986.5</v>
      </c>
      <c r="D13" s="69">
        <f t="shared" si="0"/>
        <v>494998.875</v>
      </c>
      <c r="E13" s="48"/>
      <c r="F13" s="40"/>
      <c r="G13" s="40"/>
      <c r="H13" s="40"/>
      <c r="I13" s="40">
        <v>1</v>
      </c>
      <c r="J13" s="40">
        <v>1</v>
      </c>
      <c r="K13" s="40">
        <v>1</v>
      </c>
      <c r="L13" s="40">
        <v>1</v>
      </c>
      <c r="M13" s="40">
        <v>1</v>
      </c>
      <c r="N13" s="40">
        <v>1</v>
      </c>
      <c r="O13" s="40">
        <v>1</v>
      </c>
      <c r="P13" s="40">
        <v>1</v>
      </c>
      <c r="Q13" s="40">
        <v>1</v>
      </c>
    </row>
    <row r="14" spans="2:17" x14ac:dyDescent="0.2">
      <c r="B14" s="38" t="s">
        <v>106</v>
      </c>
      <c r="C14" s="69">
        <v>8840273.25</v>
      </c>
      <c r="D14" s="69">
        <f t="shared" si="0"/>
        <v>736689.4375</v>
      </c>
      <c r="E14" s="48"/>
      <c r="F14" s="40"/>
      <c r="G14" s="40"/>
      <c r="H14" s="40"/>
      <c r="I14" s="40">
        <v>1</v>
      </c>
      <c r="J14" s="40">
        <v>1</v>
      </c>
      <c r="K14" s="40">
        <v>1</v>
      </c>
      <c r="L14" s="40">
        <v>1</v>
      </c>
      <c r="M14" s="40">
        <v>1</v>
      </c>
      <c r="N14" s="40">
        <v>1</v>
      </c>
      <c r="O14" s="40">
        <v>1</v>
      </c>
      <c r="P14" s="40">
        <v>1</v>
      </c>
      <c r="Q14" s="40">
        <v>1</v>
      </c>
    </row>
    <row r="15" spans="2:17" x14ac:dyDescent="0.2">
      <c r="B15" s="38" t="s">
        <v>103</v>
      </c>
      <c r="C15" s="69">
        <v>2946757.75</v>
      </c>
      <c r="D15" s="69">
        <f t="shared" si="0"/>
        <v>245563.14583333334</v>
      </c>
      <c r="E15" s="48"/>
      <c r="F15" s="40"/>
      <c r="G15" s="40"/>
      <c r="H15" s="40"/>
      <c r="I15" s="40">
        <v>1</v>
      </c>
      <c r="J15" s="40">
        <v>2</v>
      </c>
      <c r="K15" s="40">
        <v>2</v>
      </c>
      <c r="L15" s="40">
        <v>2</v>
      </c>
      <c r="M15" s="40">
        <v>2</v>
      </c>
      <c r="N15" s="40">
        <v>2</v>
      </c>
      <c r="O15" s="40">
        <v>2</v>
      </c>
      <c r="P15" s="40">
        <v>2</v>
      </c>
      <c r="Q15" s="40">
        <v>2</v>
      </c>
    </row>
    <row r="16" spans="2:17" x14ac:dyDescent="0.2">
      <c r="B16" s="38" t="s">
        <v>107</v>
      </c>
      <c r="C16" s="69">
        <v>2260179.5</v>
      </c>
      <c r="D16" s="69">
        <f t="shared" si="0"/>
        <v>188348.29166666666</v>
      </c>
      <c r="E16" s="48"/>
      <c r="F16" s="40"/>
      <c r="G16" s="40"/>
      <c r="H16" s="40"/>
      <c r="I16" s="40">
        <v>2</v>
      </c>
      <c r="J16" s="40">
        <v>2</v>
      </c>
      <c r="K16" s="40">
        <v>2</v>
      </c>
      <c r="L16" s="40">
        <v>2</v>
      </c>
      <c r="M16" s="40">
        <v>2</v>
      </c>
      <c r="N16" s="40">
        <v>2</v>
      </c>
      <c r="O16" s="40">
        <v>2</v>
      </c>
      <c r="P16" s="40">
        <v>2</v>
      </c>
      <c r="Q16" s="40">
        <v>2</v>
      </c>
    </row>
    <row r="17" spans="2:17" x14ac:dyDescent="0.2">
      <c r="B17" s="38" t="s">
        <v>108</v>
      </c>
      <c r="C17" s="69">
        <v>2689867.2</v>
      </c>
      <c r="D17" s="69">
        <f t="shared" si="0"/>
        <v>224155.6</v>
      </c>
      <c r="E17" s="48"/>
      <c r="F17" s="40"/>
      <c r="G17" s="40"/>
      <c r="H17" s="40"/>
      <c r="I17" s="40">
        <v>3</v>
      </c>
      <c r="J17" s="40">
        <v>3</v>
      </c>
      <c r="K17" s="40">
        <v>3</v>
      </c>
      <c r="L17" s="40">
        <v>3</v>
      </c>
      <c r="M17" s="40">
        <v>3</v>
      </c>
      <c r="N17" s="40">
        <v>3</v>
      </c>
      <c r="O17" s="40">
        <v>3</v>
      </c>
      <c r="P17" s="40">
        <v>3</v>
      </c>
      <c r="Q17" s="40">
        <v>3</v>
      </c>
    </row>
    <row r="18" spans="2:17" x14ac:dyDescent="0.2">
      <c r="B18" s="38"/>
      <c r="C18" s="69"/>
      <c r="D18" s="69"/>
      <c r="E18" s="48"/>
      <c r="F18" s="40"/>
      <c r="G18" s="40"/>
      <c r="H18" s="40"/>
      <c r="I18" s="40"/>
      <c r="J18" s="40"/>
      <c r="K18" s="40"/>
      <c r="L18" s="40"/>
      <c r="M18" s="40"/>
      <c r="N18" s="40"/>
      <c r="O18" s="40"/>
      <c r="P18" s="40"/>
      <c r="Q18" s="41"/>
    </row>
    <row r="19" spans="2:17" x14ac:dyDescent="0.2">
      <c r="B19" s="50" t="s">
        <v>110</v>
      </c>
      <c r="C19" s="77"/>
      <c r="D19" s="51"/>
      <c r="E19" s="52"/>
      <c r="F19" s="53">
        <f>SUM(F3:F18)</f>
        <v>0</v>
      </c>
      <c r="G19" s="53">
        <f>SUM(G3:G18)</f>
        <v>0</v>
      </c>
      <c r="H19" s="53">
        <f t="shared" ref="H19:Q19" si="1">SUMPRODUCT(H3:H18,$D$3:$D$18)</f>
        <v>7713365.333333333</v>
      </c>
      <c r="I19" s="53">
        <f t="shared" si="1"/>
        <v>20221437.424999997</v>
      </c>
      <c r="J19" s="53">
        <f t="shared" si="1"/>
        <v>20467000.570833333</v>
      </c>
      <c r="K19" s="53">
        <f t="shared" si="1"/>
        <v>21456998.320833333</v>
      </c>
      <c r="L19" s="53">
        <f t="shared" si="1"/>
        <v>21456998.320833333</v>
      </c>
      <c r="M19" s="53">
        <f t="shared" si="1"/>
        <v>21456998.320833333</v>
      </c>
      <c r="N19" s="53">
        <f t="shared" si="1"/>
        <v>21456998.320833333</v>
      </c>
      <c r="O19" s="53">
        <f t="shared" si="1"/>
        <v>21456998.320833333</v>
      </c>
      <c r="P19" s="53">
        <f t="shared" si="1"/>
        <v>21456998.320833333</v>
      </c>
      <c r="Q19" s="54">
        <f t="shared" si="1"/>
        <v>21456998.320833333</v>
      </c>
    </row>
    <row r="22" spans="2:17" x14ac:dyDescent="0.2">
      <c r="H22" s="80">
        <v>6418849.8125</v>
      </c>
      <c r="I22" s="80">
        <v>15610314.020833336</v>
      </c>
      <c r="J22" s="80">
        <v>16040686.791666668</v>
      </c>
      <c r="K22" s="80">
        <v>16040686.791666668</v>
      </c>
      <c r="L22" s="80">
        <v>16040686.791666668</v>
      </c>
      <c r="M22" s="80">
        <v>16040686.791666668</v>
      </c>
      <c r="N22" s="80">
        <v>16040686.791666668</v>
      </c>
      <c r="O22" s="80">
        <v>16040686.791666668</v>
      </c>
      <c r="P22" s="80">
        <v>16040686.791666668</v>
      </c>
      <c r="Q22" s="80">
        <v>16040686.791666668</v>
      </c>
    </row>
    <row r="23" spans="2:17" x14ac:dyDescent="0.2">
      <c r="F23" s="37"/>
      <c r="G23" s="37"/>
      <c r="H23" s="37"/>
      <c r="I23" s="37"/>
      <c r="J23" s="37"/>
      <c r="K23" s="37"/>
      <c r="L23" s="37"/>
      <c r="M23" s="37"/>
      <c r="N23" s="37"/>
      <c r="O23" s="37"/>
      <c r="P23" s="37"/>
      <c r="Q23" s="37"/>
    </row>
  </sheetData>
  <phoneticPr fontId="1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53882-C0D2-49C8-BBC8-15141FF74F9E}">
  <dimension ref="B2:N14"/>
  <sheetViews>
    <sheetView showGridLines="0" workbookViewId="0">
      <selection activeCell="F17" sqref="F17"/>
    </sheetView>
  </sheetViews>
  <sheetFormatPr baseColWidth="10" defaultColWidth="8.83203125" defaultRowHeight="15" x14ac:dyDescent="0.2"/>
  <cols>
    <col min="2" max="2" width="20.1640625" customWidth="1"/>
    <col min="3" max="6" width="9.5" bestFit="1" customWidth="1"/>
    <col min="7" max="12" width="9.6640625" bestFit="1" customWidth="1"/>
    <col min="13" max="13" width="9.5" bestFit="1" customWidth="1"/>
    <col min="14" max="14" width="9.6640625" bestFit="1" customWidth="1"/>
  </cols>
  <sheetData>
    <row r="2" spans="2:14" x14ac:dyDescent="0.2">
      <c r="B2" s="203" t="s">
        <v>67</v>
      </c>
      <c r="C2" s="203"/>
      <c r="D2" s="203"/>
      <c r="E2" s="203"/>
      <c r="F2" s="203"/>
      <c r="G2" s="203"/>
      <c r="H2" s="203"/>
      <c r="I2" s="203"/>
      <c r="J2" s="203"/>
      <c r="K2" s="203"/>
      <c r="L2" s="203"/>
      <c r="M2" s="203"/>
      <c r="N2" s="203"/>
    </row>
    <row r="3" spans="2:14" x14ac:dyDescent="0.2">
      <c r="B3" s="44"/>
      <c r="C3" s="45" t="s">
        <v>73</v>
      </c>
      <c r="D3" s="45" t="s">
        <v>74</v>
      </c>
      <c r="E3" s="45" t="s">
        <v>75</v>
      </c>
      <c r="F3" s="45" t="s">
        <v>76</v>
      </c>
      <c r="G3" s="45" t="s">
        <v>77</v>
      </c>
      <c r="H3" s="45" t="s">
        <v>78</v>
      </c>
      <c r="I3" s="45" t="s">
        <v>79</v>
      </c>
      <c r="J3" s="45" t="s">
        <v>80</v>
      </c>
      <c r="K3" s="45" t="s">
        <v>81</v>
      </c>
      <c r="L3" s="45" t="s">
        <v>82</v>
      </c>
      <c r="M3" s="45" t="s">
        <v>83</v>
      </c>
      <c r="N3" s="46" t="s">
        <v>84</v>
      </c>
    </row>
    <row r="4" spans="2:14" x14ac:dyDescent="0.2">
      <c r="B4" s="38" t="s">
        <v>86</v>
      </c>
      <c r="C4" s="49">
        <v>500000</v>
      </c>
      <c r="D4" s="49">
        <v>500000</v>
      </c>
      <c r="E4" s="49">
        <v>500000</v>
      </c>
      <c r="F4" s="49">
        <v>500000</v>
      </c>
      <c r="G4" s="49">
        <v>500000</v>
      </c>
      <c r="H4" s="49">
        <v>500000</v>
      </c>
      <c r="I4" s="49">
        <v>500000</v>
      </c>
      <c r="J4" s="49">
        <v>500000</v>
      </c>
      <c r="K4" s="49">
        <v>500000</v>
      </c>
      <c r="L4" s="49">
        <v>500000</v>
      </c>
      <c r="M4" s="49">
        <v>500000</v>
      </c>
      <c r="N4" s="55">
        <v>500000</v>
      </c>
    </row>
    <row r="5" spans="2:14" x14ac:dyDescent="0.2">
      <c r="B5" s="38" t="s">
        <v>87</v>
      </c>
      <c r="C5" s="49">
        <v>0</v>
      </c>
      <c r="D5" s="49">
        <v>0</v>
      </c>
      <c r="E5" s="49">
        <v>0</v>
      </c>
      <c r="F5" s="49">
        <v>0</v>
      </c>
      <c r="G5" s="49">
        <v>0</v>
      </c>
      <c r="H5" s="49">
        <v>0</v>
      </c>
      <c r="I5" s="49">
        <v>0</v>
      </c>
      <c r="J5" s="49">
        <v>0</v>
      </c>
      <c r="K5" s="49">
        <v>0</v>
      </c>
      <c r="L5" s="49">
        <v>0</v>
      </c>
      <c r="M5" s="49">
        <v>0</v>
      </c>
      <c r="N5" s="49">
        <v>0</v>
      </c>
    </row>
    <row r="6" spans="2:14" s="3" customFormat="1" x14ac:dyDescent="0.2">
      <c r="B6" s="70" t="s">
        <v>85</v>
      </c>
      <c r="C6" s="73">
        <f>C4*C5</f>
        <v>0</v>
      </c>
      <c r="D6" s="73">
        <f t="shared" ref="D6:N6" si="0">D4*D5</f>
        <v>0</v>
      </c>
      <c r="E6" s="73">
        <f t="shared" si="0"/>
        <v>0</v>
      </c>
      <c r="F6" s="73">
        <f t="shared" si="0"/>
        <v>0</v>
      </c>
      <c r="G6" s="73">
        <f t="shared" si="0"/>
        <v>0</v>
      </c>
      <c r="H6" s="73">
        <f t="shared" si="0"/>
        <v>0</v>
      </c>
      <c r="I6" s="73">
        <f t="shared" si="0"/>
        <v>0</v>
      </c>
      <c r="J6" s="73">
        <f t="shared" si="0"/>
        <v>0</v>
      </c>
      <c r="K6" s="73">
        <f t="shared" si="0"/>
        <v>0</v>
      </c>
      <c r="L6" s="73">
        <f t="shared" si="0"/>
        <v>0</v>
      </c>
      <c r="M6" s="73">
        <f t="shared" si="0"/>
        <v>0</v>
      </c>
      <c r="N6" s="74">
        <f t="shared" si="0"/>
        <v>0</v>
      </c>
    </row>
    <row r="7" spans="2:14" x14ac:dyDescent="0.2">
      <c r="C7" s="35"/>
      <c r="D7" s="35"/>
      <c r="E7" s="35"/>
      <c r="F7" s="35"/>
      <c r="G7" s="35"/>
      <c r="H7" s="35"/>
      <c r="I7" s="35"/>
      <c r="J7" s="35"/>
      <c r="K7" s="35"/>
      <c r="L7" s="35"/>
      <c r="M7" s="35"/>
      <c r="N7" s="35"/>
    </row>
    <row r="8" spans="2:14" x14ac:dyDescent="0.2">
      <c r="B8" s="203" t="s">
        <v>3</v>
      </c>
      <c r="C8" s="203"/>
      <c r="D8" s="203"/>
      <c r="E8" s="203"/>
      <c r="F8" s="203"/>
      <c r="G8" s="203"/>
      <c r="H8" s="203"/>
      <c r="I8" s="203"/>
      <c r="J8" s="203"/>
      <c r="K8" s="203"/>
      <c r="L8" s="203"/>
      <c r="M8" s="203"/>
      <c r="N8" s="203"/>
    </row>
    <row r="9" spans="2:14" x14ac:dyDescent="0.2">
      <c r="B9" s="44"/>
      <c r="C9" s="45" t="s">
        <v>73</v>
      </c>
      <c r="D9" s="45" t="s">
        <v>74</v>
      </c>
      <c r="E9" s="45" t="s">
        <v>75</v>
      </c>
      <c r="F9" s="45" t="s">
        <v>76</v>
      </c>
      <c r="G9" s="45" t="s">
        <v>77</v>
      </c>
      <c r="H9" s="45" t="s">
        <v>78</v>
      </c>
      <c r="I9" s="45" t="s">
        <v>79</v>
      </c>
      <c r="J9" s="45" t="s">
        <v>80</v>
      </c>
      <c r="K9" s="45" t="s">
        <v>81</v>
      </c>
      <c r="L9" s="45" t="s">
        <v>82</v>
      </c>
      <c r="M9" s="45" t="s">
        <v>83</v>
      </c>
      <c r="N9" s="46" t="s">
        <v>84</v>
      </c>
    </row>
    <row r="10" spans="2:14" x14ac:dyDescent="0.2">
      <c r="B10" s="38" t="s">
        <v>86</v>
      </c>
      <c r="C10" s="49">
        <v>1000000</v>
      </c>
      <c r="D10" s="49">
        <v>1000000</v>
      </c>
      <c r="E10" s="49">
        <v>1000000</v>
      </c>
      <c r="F10" s="49">
        <v>1000000</v>
      </c>
      <c r="G10" s="49">
        <v>1000000</v>
      </c>
      <c r="H10" s="49">
        <v>1000000</v>
      </c>
      <c r="I10" s="49">
        <v>1000000</v>
      </c>
      <c r="J10" s="49">
        <v>1000000</v>
      </c>
      <c r="K10" s="49">
        <v>1000000</v>
      </c>
      <c r="L10" s="49">
        <v>1000000</v>
      </c>
      <c r="M10" s="49">
        <v>1000000</v>
      </c>
      <c r="N10" s="55">
        <v>1000000</v>
      </c>
    </row>
    <row r="11" spans="2:14" x14ac:dyDescent="0.2">
      <c r="B11" s="38" t="s">
        <v>90</v>
      </c>
      <c r="C11" s="49">
        <v>0</v>
      </c>
      <c r="D11" s="49">
        <v>0</v>
      </c>
      <c r="E11" s="49">
        <v>0</v>
      </c>
      <c r="F11" s="49">
        <v>0</v>
      </c>
      <c r="G11" s="49">
        <v>0</v>
      </c>
      <c r="H11" s="49">
        <v>0</v>
      </c>
      <c r="I11" s="49">
        <v>0</v>
      </c>
      <c r="J11" s="49">
        <v>0</v>
      </c>
      <c r="K11" s="49">
        <v>0</v>
      </c>
      <c r="L11" s="49">
        <v>0</v>
      </c>
      <c r="M11" s="49">
        <v>0</v>
      </c>
      <c r="N11" s="55">
        <v>0</v>
      </c>
    </row>
    <row r="12" spans="2:14" s="3" customFormat="1" x14ac:dyDescent="0.2">
      <c r="B12" s="70" t="s">
        <v>85</v>
      </c>
      <c r="C12" s="73">
        <f>C10*C11</f>
        <v>0</v>
      </c>
      <c r="D12" s="73">
        <f t="shared" ref="D12" si="1">D10*D11</f>
        <v>0</v>
      </c>
      <c r="E12" s="73">
        <f t="shared" ref="E12" si="2">E10*E11</f>
        <v>0</v>
      </c>
      <c r="F12" s="73">
        <f t="shared" ref="F12" si="3">F10*F11</f>
        <v>0</v>
      </c>
      <c r="G12" s="73">
        <f t="shared" ref="G12" si="4">G10*G11</f>
        <v>0</v>
      </c>
      <c r="H12" s="73">
        <f t="shared" ref="H12" si="5">H10*H11</f>
        <v>0</v>
      </c>
      <c r="I12" s="73">
        <f t="shared" ref="I12" si="6">I10*I11</f>
        <v>0</v>
      </c>
      <c r="J12" s="73">
        <f t="shared" ref="J12" si="7">J10*J11</f>
        <v>0</v>
      </c>
      <c r="K12" s="73">
        <f t="shared" ref="K12" si="8">K10*K11</f>
        <v>0</v>
      </c>
      <c r="L12" s="73">
        <f t="shared" ref="L12" si="9">L10*L11</f>
        <v>0</v>
      </c>
      <c r="M12" s="73">
        <f t="shared" ref="M12" si="10">M10*M11</f>
        <v>0</v>
      </c>
      <c r="N12" s="74">
        <f t="shared" ref="N12" si="11">N10*N11</f>
        <v>0</v>
      </c>
    </row>
    <row r="13" spans="2:14" x14ac:dyDescent="0.2">
      <c r="C13" s="35"/>
      <c r="D13" s="35"/>
      <c r="E13" s="35"/>
      <c r="F13" s="35"/>
      <c r="G13" s="35"/>
      <c r="H13" s="35"/>
      <c r="I13" s="35"/>
      <c r="J13" s="35"/>
      <c r="K13" s="35"/>
      <c r="L13" s="35"/>
      <c r="M13" s="35"/>
      <c r="N13" s="35"/>
    </row>
    <row r="14" spans="2:14" x14ac:dyDescent="0.2">
      <c r="C14" s="35"/>
      <c r="D14" s="35"/>
      <c r="E14" s="35"/>
      <c r="F14" s="35"/>
      <c r="G14" s="35"/>
      <c r="H14" s="35"/>
      <c r="I14" s="35"/>
      <c r="J14" s="35"/>
      <c r="K14" s="35"/>
      <c r="L14" s="35"/>
      <c r="M14" s="35"/>
      <c r="N14" s="35"/>
    </row>
  </sheetData>
  <mergeCells count="2">
    <mergeCell ref="B2:N2"/>
    <mergeCell ref="B8:N8"/>
  </mergeCells>
  <phoneticPr fontId="12"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01AF70E8F6F234491216CAEBD274F54" ma:contentTypeVersion="15" ma:contentTypeDescription="Create a new document." ma:contentTypeScope="" ma:versionID="9a47f3a5ac93cc9ac3060a7ea0f3fb39">
  <xsd:schema xmlns:xsd="http://www.w3.org/2001/XMLSchema" xmlns:xs="http://www.w3.org/2001/XMLSchema" xmlns:p="http://schemas.microsoft.com/office/2006/metadata/properties" xmlns:ns3="f0c70bdc-2c8e-4bb8-bbc1-d721c099d10a" xmlns:ns4="8676ec5e-4004-46b2-8d11-365c41e65125" targetNamespace="http://schemas.microsoft.com/office/2006/metadata/properties" ma:root="true" ma:fieldsID="6f53e2fb2b93e2134c53059b95be462c" ns3:_="" ns4:_="">
    <xsd:import namespace="f0c70bdc-2c8e-4bb8-bbc1-d721c099d10a"/>
    <xsd:import namespace="8676ec5e-4004-46b2-8d11-365c41e65125"/>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_activity"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c70bdc-2c8e-4bb8-bbc1-d721c099d1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676ec5e-4004-46b2-8d11-365c41e6512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f0c70bdc-2c8e-4bb8-bbc1-d721c099d10a" xsi:nil="true"/>
  </documentManagement>
</p:properties>
</file>

<file path=customXml/itemProps1.xml><?xml version="1.0" encoding="utf-8"?>
<ds:datastoreItem xmlns:ds="http://schemas.openxmlformats.org/officeDocument/2006/customXml" ds:itemID="{9FA6D26D-5496-44E9-9BA0-04AC0C03BF1A}">
  <ds:schemaRefs>
    <ds:schemaRef ds:uri="http://schemas.microsoft.com/sharepoint/v3/contenttype/forms"/>
  </ds:schemaRefs>
</ds:datastoreItem>
</file>

<file path=customXml/itemProps2.xml><?xml version="1.0" encoding="utf-8"?>
<ds:datastoreItem xmlns:ds="http://schemas.openxmlformats.org/officeDocument/2006/customXml" ds:itemID="{B7850806-56D1-4480-AFC6-06C1C80BD7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c70bdc-2c8e-4bb8-bbc1-d721c099d10a"/>
    <ds:schemaRef ds:uri="8676ec5e-4004-46b2-8d11-365c41e651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5DE7E6E-39DE-4957-9E3A-6300C86CACC0}">
  <ds:schemaRefs>
    <ds:schemaRef ds:uri="http://schemas.microsoft.com/office/2006/metadata/properties"/>
    <ds:schemaRef ds:uri="http://schemas.microsoft.com/office/2006/documentManagement/types"/>
    <ds:schemaRef ds:uri="8676ec5e-4004-46b2-8d11-365c41e65125"/>
    <ds:schemaRef ds:uri="http://purl.org/dc/elements/1.1/"/>
    <ds:schemaRef ds:uri="http://www.w3.org/XML/1998/namespace"/>
    <ds:schemaRef ds:uri="http://purl.org/dc/terms/"/>
    <ds:schemaRef ds:uri="http://purl.org/dc/dcmitype/"/>
    <ds:schemaRef ds:uri="http://schemas.microsoft.com/office/infopath/2007/PartnerControls"/>
    <ds:schemaRef ds:uri="http://schemas.openxmlformats.org/package/2006/metadata/core-properties"/>
    <ds:schemaRef ds:uri="f0c70bdc-2c8e-4bb8-bbc1-d721c099d10a"/>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Draft Budget</vt:lpstr>
      <vt:lpstr>Full Year (2026)</vt:lpstr>
      <vt:lpstr>Full Year (2025)</vt:lpstr>
      <vt:lpstr>Quarterly (Q3)</vt:lpstr>
      <vt:lpstr>Quarterly (Q2)</vt:lpstr>
      <vt:lpstr>Q2 Summary</vt:lpstr>
      <vt:lpstr>Q3 Summary</vt:lpstr>
      <vt:lpstr>Q2 One-Time VS Recurring Costs</vt:lpstr>
      <vt:lpstr>Salaries1</vt:lpstr>
      <vt:lpstr>Others</vt:lpstr>
      <vt:lpstr>Membership Fees</vt:lpstr>
      <vt:lpstr>Diesel</vt:lpstr>
      <vt:lpstr>Salaries</vt:lpstr>
      <vt:lpstr>Rental, Hosting &amp; Sponsorships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Mathias Amuta</dc:creator>
  <cp:lastModifiedBy>Temi Kolawole</cp:lastModifiedBy>
  <cp:lastPrinted>2025-09-09T06:27:52Z</cp:lastPrinted>
  <dcterms:created xsi:type="dcterms:W3CDTF">2025-03-10T12:35:29Z</dcterms:created>
  <dcterms:modified xsi:type="dcterms:W3CDTF">2026-01-28T05:38:06Z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0x010100C01AF70E8F6F234491216CAEBD274F54</vt:lpwstr>
  </property>
</Properties>
</file>