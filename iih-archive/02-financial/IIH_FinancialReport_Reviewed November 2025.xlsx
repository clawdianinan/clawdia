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tables/table1.xml" ContentType="application/vnd.openxmlformats-officedocument.spreadsheetml.table+xml"/>
  <Override PartName="/xl/pivotTables/pivotTable1.xml" ContentType="application/vnd.openxmlformats-officedocument.spreadsheetml.pivotTable+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Override PartName="/xl/threadedComments/threadedComment4.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C:\Users\IIH\Downloads\"/>
    </mc:Choice>
  </mc:AlternateContent>
  <bookViews>
    <workbookView xWindow="0" yWindow="0" windowWidth="7480" windowHeight="3060" tabRatio="912" firstSheet="3" activeTab="7"/>
  </bookViews>
  <sheets>
    <sheet name="Sheet2 (2)" sheetId="4" state="hidden" r:id="rId1"/>
    <sheet name="Cover" sheetId="15" r:id="rId2"/>
    <sheet name="SCI" sheetId="9" r:id="rId3"/>
    <sheet name="SFP" sheetId="10" r:id="rId4"/>
    <sheet name="SCF" sheetId="11" r:id="rId5"/>
    <sheet name="Notes" sheetId="12" r:id="rId6"/>
    <sheet name="&gt;&gt;&gt;&gt;" sheetId="18" r:id="rId7"/>
    <sheet name="Trial Balance" sheetId="8" r:id="rId8"/>
    <sheet name="GL_Transactions" sheetId="2" r:id="rId9"/>
    <sheet name="Recon" sheetId="23" r:id="rId10"/>
    <sheet name="FAR" sheetId="19" r:id="rId11"/>
    <sheet name="Sheet1" sheetId="24" r:id="rId12"/>
    <sheet name="MoM Transactions" sheetId="16" r:id="rId13"/>
    <sheet name="Chart of Accounts" sheetId="5" r:id="rId14"/>
    <sheet name="Breakdown of MD reimbu" sheetId="6" r:id="rId15"/>
    <sheet name="invoice_details" sheetId="22" r:id="rId16"/>
  </sheets>
  <definedNames>
    <definedName name="_xlnm._FilterDatabase" localSheetId="13" hidden="1">'Chart of Accounts'!$A$1:$M$77</definedName>
    <definedName name="_xlnm._FilterDatabase" localSheetId="8" hidden="1">GL_Transactions!$A$1:$I$1450</definedName>
    <definedName name="_xlnm._FilterDatabase" localSheetId="15" hidden="1">invoice_details!$A$2:$U$58</definedName>
    <definedName name="_xlnm._FilterDatabase" localSheetId="0" hidden="1">'Sheet2 (2)'!$A$1:$E$1025</definedName>
    <definedName name="_xlnm._FilterDatabase" localSheetId="7" hidden="1">'Trial Balance'!$A$2:$F$80</definedName>
    <definedName name="_xlnm.Print_Area" localSheetId="1">Cover!$A$1:$J$28</definedName>
    <definedName name="_xlnm.Print_Area" localSheetId="4">SCF!$A$1:$D$45</definedName>
    <definedName name="_xlnm.Print_Area" localSheetId="2">SCI!$A$1:$E$19</definedName>
    <definedName name="_xlnm.Print_Area" localSheetId="3">SFP!$A$1:$E$46</definedName>
  </definedNames>
  <calcPr calcId="152511"/>
  <pivotCaches>
    <pivotCache cacheId="0" r:id="rId17"/>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103" i="2" l="1"/>
  <c r="F2030" i="2" l="1"/>
  <c r="F1784" i="2" l="1"/>
  <c r="F1530" i="2" l="1"/>
  <c r="F1366" i="2" l="1"/>
  <c r="F40" i="16" l="1"/>
  <c r="C6" i="23" l="1"/>
  <c r="C8" i="23" l="1"/>
  <c r="C5" i="23"/>
  <c r="C4" i="23"/>
  <c r="C3" i="23"/>
  <c r="C40" i="8"/>
  <c r="D40" i="8"/>
  <c r="F40" i="8"/>
  <c r="C38" i="8"/>
  <c r="D38" i="8"/>
  <c r="F38" i="8"/>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2" i="2"/>
  <c r="D7" i="12"/>
  <c r="D15" i="12" s="1"/>
  <c r="D6" i="10"/>
  <c r="C6" i="11" s="1"/>
  <c r="D6" i="12" s="1"/>
  <c r="D14" i="12" s="1"/>
  <c r="C7" i="23" l="1"/>
  <c r="C9" i="23" s="1"/>
  <c r="D34" i="12"/>
  <c r="D60" i="12" s="1"/>
  <c r="D68" i="12" s="1"/>
  <c r="D75" i="12" s="1"/>
  <c r="D81" i="12" s="1"/>
  <c r="C89" i="12" s="1"/>
  <c r="D89" i="12" s="1"/>
  <c r="D33" i="12"/>
  <c r="D59" i="12" s="1"/>
  <c r="D67" i="12" s="1"/>
  <c r="D74" i="12" s="1"/>
  <c r="D80" i="12" s="1"/>
  <c r="C42" i="12" l="1"/>
  <c r="D42" i="12" s="1"/>
  <c r="B4" i="10" l="1"/>
  <c r="B4" i="11" s="1"/>
  <c r="B4" i="12" s="1"/>
  <c r="L64" i="22" l="1"/>
  <c r="A14" i="12" l="1"/>
  <c r="C3" i="8"/>
  <c r="H61" i="22"/>
  <c r="M61" i="22"/>
  <c r="C40" i="11"/>
  <c r="I61" i="22" l="1"/>
  <c r="D49" i="12"/>
  <c r="D18" i="11"/>
  <c r="D90" i="12"/>
  <c r="D72" i="12"/>
  <c r="D17" i="10" s="1"/>
  <c r="C17" i="11" s="1"/>
  <c r="C8" i="9"/>
  <c r="D43" i="12"/>
  <c r="C56" i="12"/>
  <c r="E11" i="12"/>
  <c r="E43" i="10"/>
  <c r="E34" i="10"/>
  <c r="D34" i="10"/>
  <c r="E29" i="10"/>
  <c r="E19" i="10"/>
  <c r="E13" i="10"/>
  <c r="E10" i="9"/>
  <c r="E13" i="9" s="1"/>
  <c r="E16" i="9" s="1"/>
  <c r="E18" i="9" s="1"/>
  <c r="E21" i="10" l="1"/>
  <c r="D56" i="12"/>
  <c r="E36" i="10"/>
  <c r="E45" i="10" s="1"/>
  <c r="A33" i="12"/>
  <c r="C11" i="9"/>
  <c r="E38" i="10" l="1"/>
  <c r="C12" i="9"/>
  <c r="A40" i="12"/>
  <c r="C10" i="10" l="1"/>
  <c r="A59" i="12"/>
  <c r="C73" i="8"/>
  <c r="D73" i="8"/>
  <c r="F73" i="8"/>
  <c r="C74" i="8"/>
  <c r="D74" i="8"/>
  <c r="F74" i="8"/>
  <c r="C75" i="8"/>
  <c r="C92" i="12" s="1"/>
  <c r="D75" i="8"/>
  <c r="F75" i="8"/>
  <c r="C54" i="8"/>
  <c r="C50" i="12" s="1"/>
  <c r="D54" i="8"/>
  <c r="F54" i="8"/>
  <c r="A67" i="12" l="1"/>
  <c r="C16" i="10"/>
  <c r="C52" i="12"/>
  <c r="D50" i="12"/>
  <c r="A74" i="12" l="1"/>
  <c r="C17" i="10"/>
  <c r="C11" i="11"/>
  <c r="D52" i="12"/>
  <c r="A80" i="12" l="1"/>
  <c r="C18" i="10"/>
  <c r="D80" i="8"/>
  <c r="F80" i="8"/>
  <c r="C80" i="8"/>
  <c r="C15" i="8"/>
  <c r="C59" i="8"/>
  <c r="C60" i="8"/>
  <c r="C61" i="8"/>
  <c r="C53" i="8"/>
  <c r="C44" i="12" s="1"/>
  <c r="C25" i="11" s="1"/>
  <c r="C63" i="8"/>
  <c r="C66" i="8"/>
  <c r="C68" i="8"/>
  <c r="D83" i="12" s="1"/>
  <c r="C76" i="8"/>
  <c r="C77" i="8"/>
  <c r="C78" i="8"/>
  <c r="C8" i="8"/>
  <c r="C9" i="8"/>
  <c r="C69" i="8"/>
  <c r="D84" i="12" s="1"/>
  <c r="C10" i="8"/>
  <c r="D35" i="12" s="1"/>
  <c r="C11" i="8"/>
  <c r="C16" i="8"/>
  <c r="D23" i="12" s="1"/>
  <c r="C17" i="8"/>
  <c r="D24" i="12" s="1"/>
  <c r="C6" i="8"/>
  <c r="C18" i="8"/>
  <c r="D25" i="12" s="1"/>
  <c r="C19" i="8"/>
  <c r="C22" i="8"/>
  <c r="C23" i="8"/>
  <c r="C24" i="8"/>
  <c r="C25" i="8"/>
  <c r="C26" i="8"/>
  <c r="C27" i="8"/>
  <c r="C12" i="8"/>
  <c r="C29" i="8"/>
  <c r="C30" i="8"/>
  <c r="C71" i="8"/>
  <c r="C64" i="8"/>
  <c r="C42" i="8"/>
  <c r="C72" i="8"/>
  <c r="C43" i="8"/>
  <c r="C44" i="8"/>
  <c r="C45" i="8"/>
  <c r="C46" i="8"/>
  <c r="C47" i="8"/>
  <c r="C48" i="8"/>
  <c r="D17" i="12" s="1"/>
  <c r="C70" i="8"/>
  <c r="C49" i="8"/>
  <c r="C62" i="8"/>
  <c r="C13" i="8"/>
  <c r="C79" i="8"/>
  <c r="C50" i="8"/>
  <c r="C65" i="8"/>
  <c r="D63" i="12" s="1"/>
  <c r="C51" i="8"/>
  <c r="C52" i="8"/>
  <c r="C55" i="8"/>
  <c r="C56" i="8"/>
  <c r="C58" i="8"/>
  <c r="D8" i="12"/>
  <c r="C67" i="8"/>
  <c r="C20" i="8"/>
  <c r="D22" i="12" s="1"/>
  <c r="C21" i="8"/>
  <c r="D28" i="12" s="1"/>
  <c r="C14" i="8"/>
  <c r="C4" i="8"/>
  <c r="C5" i="8"/>
  <c r="C31" i="8"/>
  <c r="D27" i="12" s="1"/>
  <c r="C32" i="8"/>
  <c r="C33" i="8"/>
  <c r="D26" i="12" s="1"/>
  <c r="C34" i="8"/>
  <c r="D19" i="12" s="1"/>
  <c r="C35" i="8"/>
  <c r="D20" i="12" s="1"/>
  <c r="C36" i="8"/>
  <c r="C37" i="8"/>
  <c r="C39" i="8"/>
  <c r="C41" i="8"/>
  <c r="C7" i="8"/>
  <c r="D62" i="12" l="1"/>
  <c r="D16" i="12"/>
  <c r="A88" i="12"/>
  <c r="C41" i="10" s="1"/>
  <c r="C25" i="10"/>
  <c r="D18" i="12"/>
  <c r="D37" i="12"/>
  <c r="D12" i="9" s="1"/>
  <c r="C29" i="11"/>
  <c r="C31" i="11" s="1"/>
  <c r="C12" i="11"/>
  <c r="D61" i="12"/>
  <c r="D30" i="12"/>
  <c r="D29" i="12"/>
  <c r="D77" i="12"/>
  <c r="D85" i="12"/>
  <c r="D82" i="12"/>
  <c r="C46" i="12"/>
  <c r="C55" i="12" s="1"/>
  <c r="D44" i="12"/>
  <c r="D46" i="12" s="1"/>
  <c r="D55" i="12" s="1"/>
  <c r="D10" i="10" s="1"/>
  <c r="D13" i="10" s="1"/>
  <c r="D10" i="12"/>
  <c r="D9" i="12"/>
  <c r="D65" i="12" l="1"/>
  <c r="D16" i="10" s="1"/>
  <c r="C15" i="11" s="1"/>
  <c r="D86" i="12"/>
  <c r="D25" i="10" s="1"/>
  <c r="D11" i="12"/>
  <c r="D8" i="9" s="1"/>
  <c r="D10" i="9" s="1"/>
  <c r="D29" i="10" l="1"/>
  <c r="D36" i="10" s="1"/>
  <c r="C16" i="11"/>
  <c r="C18" i="11" s="1"/>
  <c r="D15" i="8" l="1"/>
  <c r="F15" i="8"/>
  <c r="D59" i="8"/>
  <c r="F59" i="8"/>
  <c r="D60" i="8"/>
  <c r="F60" i="8"/>
  <c r="D61" i="8"/>
  <c r="F61" i="8"/>
  <c r="D53" i="8"/>
  <c r="F53" i="8"/>
  <c r="D63" i="8"/>
  <c r="F63" i="8"/>
  <c r="D66" i="8"/>
  <c r="F66" i="8"/>
  <c r="D68" i="8"/>
  <c r="F68" i="8"/>
  <c r="D76" i="8"/>
  <c r="F76" i="8"/>
  <c r="D77" i="8"/>
  <c r="F77" i="8"/>
  <c r="D78" i="8"/>
  <c r="F78" i="8"/>
  <c r="D8" i="8"/>
  <c r="F8" i="8"/>
  <c r="D9" i="8"/>
  <c r="F9" i="8"/>
  <c r="D69" i="8"/>
  <c r="F69" i="8"/>
  <c r="D10" i="8"/>
  <c r="D11" i="8"/>
  <c r="F11" i="8"/>
  <c r="D16" i="8"/>
  <c r="F16" i="8"/>
  <c r="D17" i="8"/>
  <c r="F17" i="8"/>
  <c r="D6" i="8"/>
  <c r="F6" i="8"/>
  <c r="D18" i="8"/>
  <c r="F18" i="8"/>
  <c r="D19" i="8"/>
  <c r="F19" i="8"/>
  <c r="D22" i="8"/>
  <c r="F22" i="8"/>
  <c r="D23" i="8"/>
  <c r="F23" i="8"/>
  <c r="D24" i="8"/>
  <c r="F24" i="8"/>
  <c r="D25" i="8"/>
  <c r="F25" i="8"/>
  <c r="D26" i="8"/>
  <c r="F26" i="8"/>
  <c r="D27" i="8"/>
  <c r="F27" i="8"/>
  <c r="D28" i="8"/>
  <c r="F28" i="8"/>
  <c r="D12" i="8"/>
  <c r="F12" i="8"/>
  <c r="D29" i="8"/>
  <c r="F29" i="8"/>
  <c r="D30" i="8"/>
  <c r="F30" i="8"/>
  <c r="D71" i="8"/>
  <c r="F71" i="8"/>
  <c r="D64" i="8"/>
  <c r="F64" i="8"/>
  <c r="D42" i="8"/>
  <c r="F42" i="8"/>
  <c r="D72" i="8"/>
  <c r="F72" i="8"/>
  <c r="D43" i="8"/>
  <c r="F43" i="8"/>
  <c r="D44" i="8"/>
  <c r="F44" i="8"/>
  <c r="D45" i="8"/>
  <c r="F45" i="8"/>
  <c r="D46" i="8"/>
  <c r="F46" i="8"/>
  <c r="D47" i="8"/>
  <c r="F47" i="8"/>
  <c r="D48" i="8"/>
  <c r="F48" i="8"/>
  <c r="D70" i="8"/>
  <c r="F70" i="8"/>
  <c r="D49" i="8"/>
  <c r="F49" i="8"/>
  <c r="D62" i="8"/>
  <c r="F62" i="8"/>
  <c r="D13" i="8"/>
  <c r="F13" i="8"/>
  <c r="D79" i="8"/>
  <c r="F79" i="8"/>
  <c r="D50" i="8"/>
  <c r="F50" i="8"/>
  <c r="D65" i="8"/>
  <c r="F65" i="8"/>
  <c r="D51" i="8"/>
  <c r="F51" i="8"/>
  <c r="D52" i="8"/>
  <c r="F52" i="8"/>
  <c r="D55" i="8"/>
  <c r="F55" i="8"/>
  <c r="D56" i="8"/>
  <c r="F56" i="8"/>
  <c r="D57" i="8"/>
  <c r="F57" i="8"/>
  <c r="D58" i="8"/>
  <c r="F58" i="8"/>
  <c r="D3" i="8"/>
  <c r="F3" i="8"/>
  <c r="D67" i="8"/>
  <c r="F67" i="8"/>
  <c r="D20" i="8"/>
  <c r="F20" i="8"/>
  <c r="D21" i="8"/>
  <c r="F21" i="8"/>
  <c r="D14" i="8"/>
  <c r="D4" i="8"/>
  <c r="F4" i="8"/>
  <c r="D5" i="8"/>
  <c r="F5" i="8"/>
  <c r="D31" i="8"/>
  <c r="F31" i="8"/>
  <c r="D32" i="8"/>
  <c r="F32" i="8"/>
  <c r="D33" i="8"/>
  <c r="F33" i="8"/>
  <c r="D34" i="8"/>
  <c r="F34" i="8"/>
  <c r="D35" i="8"/>
  <c r="F35" i="8"/>
  <c r="D36" i="8"/>
  <c r="F36" i="8"/>
  <c r="D37" i="8"/>
  <c r="F37" i="8"/>
  <c r="D39" i="8"/>
  <c r="F39" i="8"/>
  <c r="D41" i="8"/>
  <c r="F41" i="8"/>
  <c r="F7" i="8"/>
  <c r="D7" i="8"/>
  <c r="F348" i="2" l="1"/>
  <c r="C28" i="8" s="1"/>
  <c r="D11" i="6"/>
  <c r="D7" i="6"/>
  <c r="C13" i="6"/>
  <c r="D21" i="12" l="1"/>
  <c r="D31" i="12" s="1"/>
  <c r="E355" i="4"/>
  <c r="F361" i="2" l="1"/>
  <c r="D11" i="9" l="1"/>
  <c r="D13" i="9" s="1"/>
  <c r="D16" i="9" s="1"/>
  <c r="D18" i="9" s="1"/>
  <c r="C57" i="8"/>
  <c r="C82" i="8" s="1"/>
  <c r="C1" i="8" l="1"/>
  <c r="C91" i="12"/>
  <c r="C93" i="12" s="1"/>
  <c r="D41" i="10" s="1"/>
  <c r="D43" i="10" s="1"/>
  <c r="D45" i="10" s="1"/>
  <c r="C8" i="11"/>
  <c r="C13" i="11" s="1"/>
  <c r="C20" i="11" s="1"/>
  <c r="C22" i="11" s="1"/>
  <c r="C42" i="11" s="1"/>
  <c r="C44" i="11" s="1"/>
  <c r="D76" i="12"/>
  <c r="D78" i="12" s="1"/>
  <c r="D18" i="10" s="1"/>
  <c r="D19" i="10" s="1"/>
  <c r="D21" i="10" s="1"/>
  <c r="D91" i="12" l="1"/>
  <c r="D93" i="12" s="1"/>
  <c r="C45" i="11"/>
  <c r="D38" i="10"/>
  <c r="D46" i="10"/>
</calcChain>
</file>

<file path=xl/comments1.xml><?xml version="1.0" encoding="utf-8"?>
<comments xmlns="http://schemas.openxmlformats.org/spreadsheetml/2006/main">
  <authors>
    <author>tc={2F0E7997-15BF-45E5-93AF-9E07300CD028}</author>
    <author>tc={4BE46735-8E6E-4338-93C4-95D1D5AFFDEF}</author>
    <author>tc={B76FE2EC-A710-4FF8-8DD3-D5BD1E5C99BF}</author>
  </authors>
  <commentList>
    <comment ref="C56" authorId="0" shapeId="0">
      <text>
        <r>
          <rPr>
            <sz val="10"/>
            <color rgb="FF000000"/>
            <rFont val="Times New Roman"/>
            <charset val="204"/>
          </rPr>
          <t>[Threaded comment]
Your version of Excel allows you to read this threaded comment; however, any edits to it will get removed if the file is opened in a newer version of Excel. Learn more: https://go.microsoft.com/fwlink/?linkid=870924
Comment:
    Please do a check that these balances agree with the closing Sept statement. They should mirror the closing balances in the accounts if all entries have been captured in the GL tab correctly.
For example, Sterling is expected to be zero as the account has been closed, however there a reconciling balance of N400k that needs to be resolved</t>
        </r>
      </text>
    </comment>
    <comment ref="C80" authorId="1" shapeId="0">
      <text>
        <r>
          <rPr>
            <sz val="10"/>
            <color rgb="FF000000"/>
            <rFont val="Times New Roman"/>
            <charset val="204"/>
          </rPr>
          <t>[Threaded comment]
Your version of Excel allows you to read this threaded comment; however, any edits to it will get removed if the file is opened in a newer version of Excel. Learn more: https://go.microsoft.com/fwlink/?linkid=870924
Comment:
    There are 6 items currently in this account that need to be properly categorized, please look into them and categorize accordingly.This should serve as a temporay account for transcations that cannot be  categorized</t>
        </r>
      </text>
    </comment>
    <comment ref="C82" authorId="2" shapeId="0">
      <text>
        <r>
          <rPr>
            <sz val="10"/>
            <color rgb="FF000000"/>
            <rFont val="Times New Roman"/>
            <charset val="204"/>
          </rPr>
          <t>[Threaded comment]
Your version of Excel allows you to read this threaded comment; however, any edits to it will get removed if the file is opened in a newer version of Excel. Learn more: https://go.microsoft.com/fwlink/?linkid=870924
Comment:
    Cleared the check. This would let you know entries that are not recording in the trial balance because the account name used in the GL transation is not in the listed accounts</t>
        </r>
      </text>
    </comment>
  </commentList>
</comments>
</file>

<file path=xl/comments2.xml><?xml version="1.0" encoding="utf-8"?>
<comments xmlns="http://schemas.openxmlformats.org/spreadsheetml/2006/main">
  <authors>
    <author>tc={5460515E-8B84-42B1-B85C-72CE1A47BAB8}</author>
    <author>tc={8CE7C680-A6FA-4EF7-AA30-B3044ECDA9B4}</author>
    <author>tc={75E55F38-C50B-4946-BFB8-69E8CE910D2E}</author>
    <author>tc={55FBF640-DB13-4583-9C20-0968D96E9694}</author>
    <author>tc={F9AA5F44-3A7B-4EAF-BF48-F6EA962D29AA}</author>
  </authors>
  <commentList>
    <comment ref="F1337" authorId="0" shapeId="0">
      <text>
        <r>
          <rPr>
            <sz val="10"/>
            <color rgb="FF000000"/>
            <rFont val="Times New Roman"/>
            <charset val="204"/>
          </rPr>
          <t>[Threaded comment]
Your version of Excel allows you to read this threaded comment; however, any edits to it will get removed if the file is opened in a newer version of Excel. Learn more: https://go.microsoft.com/fwlink/?linkid=870924
Comment:
    These entries in red font were captured as text and not numbers, i have updated them</t>
        </r>
      </text>
    </comment>
    <comment ref="F1366" authorId="1" shapeId="0">
      <text>
        <r>
          <rPr>
            <sz val="10"/>
            <color rgb="FF000000"/>
            <rFont val="Times New Roman"/>
            <charset val="204"/>
          </rPr>
          <t>[Threaded comment]
Your version of Excel allows you to read this threaded comment; however, any edits to it will get removed if the file is opened in a newer version of Excel. Learn more: https://go.microsoft.com/fwlink/?linkid=870924
Comment:
    Amount initially quoted of 37,833,676.74 did not add up to the total transactions updated for the month in this bank, so i have updated it with a formula to correct this. 
This is due to the input in rows 1337-1340 (in red font) which were reading as text not numbers. I have updated it, kindly confirm on your end as well</t>
        </r>
      </text>
    </comment>
    <comment ref="E1406" authorId="2" shapeId="0">
      <text>
        <r>
          <rPr>
            <sz val="10"/>
            <color rgb="FF000000"/>
            <rFont val="Times New Roman"/>
            <charset val="204"/>
          </rPr>
          <t>[Threaded comment]
Your version of Excel allows you to read this threaded comment; however, any edits to it will get removed if the file is opened in a newer version of Excel. Learn more: https://go.microsoft.com/fwlink/?linkid=870924
Comment:
    Noted that is the amount withdrawn from the sterling account from closure of account</t>
        </r>
      </text>
    </comment>
    <comment ref="E1447" authorId="3" shapeId="0">
      <text>
        <r>
          <rPr>
            <sz val="10"/>
            <color rgb="FF000000"/>
            <rFont val="Times New Roman"/>
            <charset val="204"/>
          </rPr>
          <t>[Threaded comment]
Your version of Excel allows you to read this threaded comment; however, any edits to it will get removed if the file is opened in a newer version of Excel. Learn more: https://go.microsoft.com/fwlink/?linkid=870924
Comment:
    I believe this is the total withdrawal on account from closing the sterling account. I categorized it as zenith bank as the amount was moved to the bank, as a cash movement</t>
        </r>
      </text>
    </comment>
    <comment ref="F1447" authorId="4" shapeId="0">
      <text>
        <r>
          <rPr>
            <sz val="10"/>
            <color rgb="FF000000"/>
            <rFont val="Times New Roman"/>
            <charset val="204"/>
          </rPr>
          <t>[Threaded comment]
Your version of Excel allows you to read this threaded comment; however, any edits to it will get removed if the file is opened in a newer version of Excel. Learn more: https://go.microsoft.com/fwlink/?linkid=870924
Comment:
    I understand this is the total amount withdrawn, however it doesnt match up with the balance in the books for Sterling. As at Aug, the closing cash was 2,427,592.5. Please see recon sheet for expected balance</t>
        </r>
      </text>
    </comment>
  </commentList>
</comments>
</file>

<file path=xl/comments3.xml><?xml version="1.0" encoding="utf-8"?>
<comments xmlns="http://schemas.openxmlformats.org/spreadsheetml/2006/main">
  <authors>
    <author>tc={B80950DE-4F4E-4FDC-BA87-0C21D2C9FF09}</author>
  </authors>
  <commentList>
    <comment ref="C9" authorId="0" shapeId="0">
      <text>
        <r>
          <rPr>
            <sz val="10"/>
            <color rgb="FF000000"/>
            <rFont val="Times New Roman"/>
            <charset val="204"/>
          </rPr>
          <t>[Threaded comment]
Your version of Excel allows you to read this threaded comment; however, any edits to it will get removed if the file is opened in a newer version of Excel. Learn more: https://go.microsoft.com/fwlink/?linkid=870924
Comment:
    Kindly investigate the variance noted on account closure. Need to re-confirm transactions in the month as there appears to be a missing inflow not recorded or an entry not recorded properly</t>
        </r>
      </text>
    </comment>
  </commentList>
</comments>
</file>

<file path=xl/comments4.xml><?xml version="1.0" encoding="utf-8"?>
<comments xmlns="http://schemas.openxmlformats.org/spreadsheetml/2006/main">
  <authors>
    <author>tc={4712482E-FD07-4DE3-A2E8-A2D52E57CFA1}</author>
    <author>tc={D463C068-C19E-46CA-BFCE-C712BACF8B40}</author>
  </authors>
  <commentList>
    <comment ref="D57" authorId="0" shapeId="0">
      <text>
        <r>
          <rPr>
            <sz val="10"/>
            <color rgb="FF000000"/>
            <rFont val="Times New Roman"/>
            <charset val="204"/>
          </rPr>
          <t>[Threaded comment]
Your version of Excel allows you to read this threaded comment; however, any edits to it will get removed if the file is opened in a newer version of Excel. Learn more: https://go.microsoft.com/fwlink/?linkid=870924
Comment:
    Updated GL description to include kwara state as it is a similar donation received from IHS. We can also consider creating a tracker to know amount received from both donors at any point in time</t>
        </r>
      </text>
    </comment>
    <comment ref="B78" authorId="1" shapeId="0">
      <text>
        <r>
          <rPr>
            <sz val="10"/>
            <color rgb="FF000000"/>
            <rFont val="Times New Roman"/>
            <charset val="204"/>
          </rPr>
          <t>[Threaded comment]
Your version of Excel allows you to read this threaded comment; however, any edits to it will get removed if the file is opened in a newer version of Excel. Learn more: https://go.microsoft.com/fwlink/?linkid=870924
Comment:
    Updated description for new accounts on the COA and removed duplicates like training and kwara, which forms part of income from staff training and Donation</t>
        </r>
      </text>
    </comment>
  </commentList>
</comments>
</file>

<file path=xl/sharedStrings.xml><?xml version="1.0" encoding="utf-8"?>
<sst xmlns="http://schemas.openxmlformats.org/spreadsheetml/2006/main" count="14915" uniqueCount="2169">
  <si>
    <t>Category</t>
  </si>
  <si>
    <t>Transactions</t>
  </si>
  <si>
    <t>Facility rentals</t>
  </si>
  <si>
    <t>Bank charges</t>
  </si>
  <si>
    <t>Stationery and Office Supplies</t>
  </si>
  <si>
    <t>Other Expenses</t>
  </si>
  <si>
    <t>Cleaning expenses</t>
  </si>
  <si>
    <t>IHS Payment</t>
  </si>
  <si>
    <t>Salaries and Wages</t>
  </si>
  <si>
    <t>Deposit refund</t>
  </si>
  <si>
    <t>Software expense - Zoho</t>
  </si>
  <si>
    <t>Data and telephone expenses</t>
  </si>
  <si>
    <t>Income</t>
  </si>
  <si>
    <t>Repairs and maintenance</t>
  </si>
  <si>
    <t>Purchase of phones</t>
  </si>
  <si>
    <t>Guest and entertainment</t>
  </si>
  <si>
    <t>security</t>
  </si>
  <si>
    <t>Generator purchase</t>
  </si>
  <si>
    <t>000MOBT251686079  NIP  Transfer  from ILORIN INNOVATION HUB LTD to PRECIOUS UCHECHUKWU OSELE</t>
  </si>
  <si>
    <t>Unallocated expense</t>
  </si>
  <si>
    <t>Purchase of AC</t>
  </si>
  <si>
    <t>Souvenirs</t>
  </si>
  <si>
    <t>Security</t>
  </si>
  <si>
    <t>Purchase of equipment</t>
  </si>
  <si>
    <t>Refund</t>
  </si>
  <si>
    <t>000MOBT25181ADF2 MD EXPENSE REIMBURSEMENT MAR TO JUN NIP Transfer from ILORIN INNOVATION HUB LTD to</t>
  </si>
  <si>
    <t>Transport and Travel</t>
  </si>
  <si>
    <t>Staff welfare</t>
  </si>
  <si>
    <t>Accomodation</t>
  </si>
  <si>
    <t>Diesel and Fuel</t>
  </si>
  <si>
    <t>Rentals</t>
  </si>
  <si>
    <t>Security deposit</t>
  </si>
  <si>
    <t>Staff training</t>
  </si>
  <si>
    <t>Staff allowance</t>
  </si>
  <si>
    <t>bank charges</t>
  </si>
  <si>
    <t>salaries and Wages</t>
  </si>
  <si>
    <t>Staff expense</t>
  </si>
  <si>
    <t>Trans Date</t>
  </si>
  <si>
    <t>Value Date</t>
  </si>
  <si>
    <t>Transaction Details</t>
  </si>
  <si>
    <t>21-MAY-
2025</t>
  </si>
  <si>
    <t>016NIPT251410435 NIP TRSF FROM AYOBAMI JOEL ATOLAGBE IIH HALL BOOKING by</t>
  </si>
  <si>
    <t>016EMTL251410057     ELECTRONIC     MONEY TRANSFER LEVY</t>
  </si>
  <si>
    <t>30-MAY-
2025</t>
  </si>
  <si>
    <t>000MOBT25150A0VX Payment for 4 flags US EU UNDP NG NIP Transfer from ILORIN INNOVATION HUB LTD to LET S BR</t>
  </si>
  <si>
    <t>0168840251500001 BNG LEGAL SEARCH FEE FOR ILORIN INNOVATION  HUB LTD0040117676</t>
  </si>
  <si>
    <t>000MOBT25150A5H9 Purchase of cleaning supplies NIP Transfer from ILORIN INNOVATION HUB LTD to MAUREEN DANIE</t>
  </si>
  <si>
    <t>000MOBT25150AA0U      NIP     Transfer     from ILORIN  INNOVATION  HUB  LTD  to  MAUREEN
DANIEL OKEY</t>
  </si>
  <si>
    <t>000MOBT25150AA0U NIP  Transfer  from ILORIN INNOVATION HUB LTD to MAUREEN DANIEL OKEY</t>
  </si>
  <si>
    <t>016AMFC251500023                             ACCOUNT MAINTENANCE FEE</t>
  </si>
  <si>
    <t>016AMFV251500021   VAT   ON  TRANSACTION CHARGES</t>
  </si>
  <si>
    <t>000MOBT25150AJEP           REFUND           FOR PURCHASE    OF    SPEAKER    SYSTEM    NIP
Transfer from ILORIN INNOVATION HUB LTD</t>
  </si>
  <si>
    <t>02-JUN-
2025</t>
  </si>
  <si>
    <t>000NEFI251530339 NEFT INWARD STP CR - ILORIN INNOVATION HUB (Q2 ONE-OFF I B/O IHS (NIGERIA) LIMITED</t>
  </si>
  <si>
    <t>000MOBT25153A588  IIH  SALARY  MAY  2025
NIP  Transfer  from  ILORIN  INNOVATION  HUB LTD to ONUCHUKWU  SINACHI GOOD</t>
  </si>
  <si>
    <t>000MOBT25153A5CB  IIH  SALARY  MAY  2025
ALLOWANCES   NIP   Transfer    from   ILORIN INNOVATION HUB LTD to ONUCHUKWU  S</t>
  </si>
  <si>
    <t>000MOBT25153A5D4  IIH  MAY  2025  SALARY
ALLOWANCES   NIP   Transfer    from   ILORIN INNOVATION HUB LTD to OLUWADAMILA</t>
  </si>
  <si>
    <t>000MOBT25153A5G3  IIH  SALARY  MAY  2025
ALLOWANCES   NIP   Transfer    from   ILORIN INNOVATION HUB LTD to TEMILOLUWA</t>
  </si>
  <si>
    <t>000MOBT25153A5H1  IIH  SALARY  MAY  2025
ALLOWANCES   NIP   Transfer    from   ILORIN INNOVATION HUB LTD to KHADIJAT ZU</t>
  </si>
  <si>
    <t>000MOBT25153A5JT  IIH  SALARY  MAY  2025
ALLOWANCES   NIP   Transfer    from   ILORIN INNOVATION HUB LTD to OLALEYE KAY</t>
  </si>
  <si>
    <t>016EMTL2515300B9     ELECTRONIC     MONEY TRANSFER LEVY</t>
  </si>
  <si>
    <t>03-JUN-
2025</t>
  </si>
  <si>
    <t>000MOBT251540405      IIH      MAY      SALARY
ALLOWANCES   NIP   Transfer    from   ILORIN INNOVATION HUB LTD to MUHAMMED</t>
  </si>
  <si>
    <t>000MOBT251540515      IIH      MAY      SALARY
ALLOWANCES   NIP   Transfer    from   ILORIN INNOVATION HUB LTD to OKEY MAUREEN</t>
  </si>
  <si>
    <t>000MOBT251540536            MAY            SALARY
ALLOWANCES   NIP   Transfer    from   ILORIN INNOVATION HUB LTD to HENRY MGBECHI</t>
  </si>
  <si>
    <t>000MOBT251541459            MAY            SALARY
ALLOWANCES   NIP   Transfer    from   ILORIN INNOVATION HUB LTD to AKANDE</t>
  </si>
  <si>
    <t>000NEFI251540263 NEFT INWARD STP CR - ILORIN INNOVATION HUB OPERATIONAL C B/O IHS (NIGERIA) LIMITED</t>
  </si>
  <si>
    <t>000NEFI251540264 NEFT INWARD STP CR - ILORIN INNOVATION HUB (Q2 RECURRENT B/O IHS (NIGERIA) LIMITED</t>
  </si>
  <si>
    <t>000MOBT25154A0ED   IIH   DEPOSIT   REFUND
FOR   BITKWA   EVENT    NIP    Transfer   from ILORIN INNOVATION HUB LTD to AYOBAMI</t>
  </si>
  <si>
    <t>000MOBT25154A0F7  JUNE  OFFICE SUPPLIES
NIP  Transfer  from  ILORIN  INNOVATION  HUB LTD to MAUREEN DANIEL OKEY</t>
  </si>
  <si>
    <t>000MOBT25154A15G          50          JANITORIAL
CLEANING     NIP     Transfer     from     ILORIN INNOVATION HUB LTD to SIII MULTIPURPOSE</t>
  </si>
  <si>
    <t>016EMTL2515400BW    ELECTRONIC    MONEY TRANSFER LEVY</t>
  </si>
  <si>
    <t>016EMTL2515400CD     ELECTRONIC     MONEY TRANSFER LEVY</t>
  </si>
  <si>
    <t>000MOBT25154A3ZU         MARCH         SALARY
ALLOWANCES   NIP   Transfer    from   ILORIN INNOVATION HUB LTD to TEMILOLUWA</t>
  </si>
  <si>
    <t>000MOBT25154A401         MARCH         SALARY
ALLOWANCES   NIP   Transfer    from   ILORIN INNOVATION HUB LTD to OLALEYE KAYODE</t>
  </si>
  <si>
    <t>000MOBT25154A405          APRIL          SALARY
ALLOWANCES   NIP   Transfer    from   ILORIN INNOVATION HUB LTD to TEMILOLUWA</t>
  </si>
  <si>
    <t>000MOBT25154A408          APRIL          SALARY
ALLOWANCES   NIP   Transfer    from   ILORIN INNOVATION HUB LTD to OLALEYE KAYODE</t>
  </si>
  <si>
    <t>04-JUN-
2025</t>
  </si>
  <si>
    <t>000MOBT251557167            ZOHO           BOOKS
STANDARD PLAN 3 USERS NIP Transfer from ILORIN INNOVATION HUB LTD to PAYSTACK</t>
  </si>
  <si>
    <t>000MOBT251557289      ZOHO      WORKPLACE
UPGRADE 5 USERS NIP Transfer from ILORIN INNOVATION HUB LTD to PAYSTACK CHE</t>
  </si>
  <si>
    <t>05-JUN-
2025</t>
  </si>
  <si>
    <t>0165522251560001 BNG LEGAL SEARCH FEE FOR ILORIN INNOVATION HUB LTD</t>
  </si>
  <si>
    <t>000MOBT251567774    STARLINK    PURCHASE
INSTALLATION   NIP   Transfer   from   ILORIN INNOVATION HUB LTD to FEMTECH INF</t>
  </si>
  <si>
    <t>016NIPT251560778 NIP TRSF FROM COCREATION HUB LIMITED ER-05417 IHS ILORIN INNOVATION REFUND TO</t>
  </si>
  <si>
    <t>10-JUN-
2025</t>
  </si>
  <si>
    <t>000MOBT25161B18D  Reimbursement    for Office Equipment purchase NIP Transfer from ILORIN INNOVATION HUB LTD t</t>
  </si>
  <si>
    <t>000MOBT25161B1AA DSTV Compact Xtraview Subscription NIP Transfer from ILORIN INNOVATION HUB LTD to ISAIAH</t>
  </si>
  <si>
    <t>000MOBT25161B2CT Electrical security light repair NIP Transfer from ILORIN INNOVATION HUB LTD to ELIJAH OD</t>
  </si>
  <si>
    <t>000MOBT25161B2EN  Reimbursement  for waste disposal payment NIP Transfer from ILORIN INNOVATION HUB LTD to HE</t>
  </si>
  <si>
    <t>000MOBT25161B2FU MTN FIBER Installation 45MBPS Monthly NIP Transfer from ILORIN INNOVATION HUB LTD to MTN</t>
  </si>
  <si>
    <t>000MOBT25161B2JT  LANDPHONE PURCHASE
HUAWEI      NIP      Transfer      from      ILORIN INNOVATION HUB LTD to FEMTECH PHONES</t>
  </si>
  <si>
    <t>000MOBT25161B3P2         STAFF         PHONES
PURCHASE     NIP     Transfer     from     ILORIN INNOVATION HUB LTD to TOO SCARCE</t>
  </si>
  <si>
    <t>000MOBT25161B5H1   LED   SCREEN   REPAIR
NIP  Transfer  from  ILORIN  INNOVATION  HUB LTD to CORPORATE SWAGGZ   CSI ME</t>
  </si>
  <si>
    <t>016EMTL2516100GH     ELECTRONIC     MONEY TRANSFER LEVY</t>
  </si>
  <si>
    <t>000MOBT25161BB6Q    SMALL    CHOPS    FOR
FIRESIDE CHAT WITH IYIN NIP Transfer from ILORIN INNOVATION HUB LTD to JIM</t>
  </si>
  <si>
    <t>11-JUN-
2025</t>
  </si>
  <si>
    <t>000MOBT251621922           ZOHO           PEOPLE
ENTERPRISE  16  USERS  NIP  Transfer  from ILORIN INNOVATION HUB LTD to PAYSTACK</t>
  </si>
  <si>
    <t>13-JUN-
2025</t>
  </si>
  <si>
    <t>000MOBT251646244      SECURITY      SERVICE
HALF   PAYMENT   JUNE   NIP   Transfer   from ILORIN INNOVATION HUB LTD to ROHI INT</t>
  </si>
  <si>
    <t>16-JUN-
2025</t>
  </si>
  <si>
    <t>000MOBT251675348     STAFF     LUNCH     NIP
Transfer  from  ILORIN  INNOVATION  HUB  LTD to BOA FOODS RESTAURANT LTD</t>
  </si>
  <si>
    <t>000MOBT251676319      MAY      SALARY      NIP
Transfer  from  ILORIN  INNOVATION  HUB  LTD to AYORINDE OLAMIDE OPEMIPO</t>
  </si>
  <si>
    <t>000MOBT25167AD55 FIRMAN GENERATOR PURCHASE 3 ITEL EXTENSIONS NIP Transfer from ILORIN INNOVATION HUB LTD t</t>
  </si>
  <si>
    <t>000MOBT25167AHII  PURCHASE  OF  DRILLING
MACHINE      NIP      Transfer      from      ILORIN INNOVATION HUB LTD to ONYEAGBA EMEKA</t>
  </si>
  <si>
    <t>000MOBT25167AHX5          PURCHASE          OF MAINTENANCE   AND   SECURITY   ITEMS   NIP
Transfer from ILORIN INNOVATION HUB LTD</t>
  </si>
  <si>
    <t>000MOBT25167AHYM   COST   OF   ALUMINIUM
DOOR  REPAIRS   NIP  Transfer  from  ILORIN INNOVATION HUB LTD to ABDULRAHEEM</t>
  </si>
  <si>
    <t>17-JUN-
2025</t>
  </si>
  <si>
    <t>000MOBT251684004 20 STAFF CUG LINES NIP
Transfer  from  ILORIN  INNOVATION  HUB  LTD to MUHAMMED NASIRU MAHMOOD</t>
  </si>
  <si>
    <t>000MOBT251688231 PURCHASE OF 2 WASTE
BINS  NIP  Transfer  from  ILORIN  INNOVATION HUB LTD to Halimat Damilola A</t>
  </si>
  <si>
    <t>18-JUN-
2025</t>
  </si>
  <si>
    <t>000MOBT251690018 ZOHO CREATOR 1 USER
ANNUAL      NIP      Transfer      from      ILORIN INNOVATION HUB LTD to PAYSTACK</t>
  </si>
  <si>
    <t>016NIPT251690179  NIP  TRSF  FROM  KWSG INT REV SERV EXP ACCT GT20250649 BEING PAYMENT TO RENT INNOVATION HUB TO</t>
  </si>
  <si>
    <t>016EMTL2516900BW    ELECTRONIC    MONEY TRANSFER LEVY</t>
  </si>
  <si>
    <t>19-JUN-
2025</t>
  </si>
  <si>
    <t>016NIPT251700200 NIP TRSF FROM DADZIE OMOTOLA VANESSA NIP Transfer to ILORIN INNOVATION HUB LTD.</t>
  </si>
  <si>
    <t>000MOBT251709749  MTN  CUG  16  LINES  NIP
Transfer  from  ILORIN  INNOVATION  HUB  LTD to POSTPAID CUSTOMERSCOLLECTI</t>
  </si>
  <si>
    <t>000MOBT25170A05E  PURCHASE  OF  POWER
BANKS       NIP       Transfer       from       ILORIN INNOVATION HUB LTD to FEMTECH PHONES</t>
  </si>
  <si>
    <t>000MOBT25170A07Q    ZOZO    MAIL    1    ONE
ADDITIONAL USER NIP Transfer from ILORIN INNOVATION HUB LTD to PAYSTACK CH</t>
  </si>
  <si>
    <t>000MOBT25170A0C0          PURCHASE          OF SAMSUNG GALAXY A06 FOR COMM MGR NIP
Transfer from ILORIN INNOVATION HUB LTD</t>
  </si>
  <si>
    <t>000MOBT25170A15P NIP  Transfer  from ILORIN INNOVATION HUB LTD to BENETTON CONSULTING LIMITED</t>
  </si>
  <si>
    <t>016EMTL25170006K     ELECTRONIC     MONEY TRANSFER LEVY</t>
  </si>
  <si>
    <t>20-JUN-
2025</t>
  </si>
  <si>
    <t>0166678251710001 REMITTA PAYMENT IFO E-
payment   till   –Olaoluwa   Ishola   B/O   ILORIN INNOVATION HUB LTD</t>
  </si>
  <si>
    <t>016NIPT251710467        NIP       TRSF       FROM
MICHELLE   CHIDINMA   UBA   Transfer   from MICHELLE CHIDINMA UBA</t>
  </si>
  <si>
    <t>000MOBT25171A1LE  PURCHASE  OF SNACKS FOR  ILORIN  DEV  BOX  EVENT  NIP  Transfer
from ILORIN INNOVATION HUB LTD to</t>
  </si>
  <si>
    <t>000MOBT25171A1LE PURCHASE OF SNACKS FOR ILORIN DEV BOX EVENT NIP Transfer from ILORIN INNOVATION HUB LTD to</t>
  </si>
  <si>
    <t>016EMTL251710057     ELECTRONIC     MONEY TRANSFER LEVY</t>
  </si>
  <si>
    <t>23-JUN-
2025</t>
  </si>
  <si>
    <t>000MOBT251740051        BREAKFAST        FOR MASTERCLASS       WITH       PRINCE       DAPO
ADELEGAN NIP Transfer from ILORIN</t>
  </si>
  <si>
    <t>000MOBT251743898   AIRTEL  WIFI  MONTHLY
RENEWAL      NIP     Transfer     from     ILORIN INNOVATION HUB LTD to PAYSTACK CHECK</t>
  </si>
  <si>
    <t>000MOBT25174AIVI PURCHASE OF UTENCILS MICROWAVE FOR VIP  LOUNGE NIP  Transfer from ILORIN INNOVATION HUB LTD</t>
  </si>
  <si>
    <t>000MOBT25174AIX6           PURCHASE           OF
SOUVENIR  MUGS  NIP  Transfer  from  ILORIN INNOVATION HUB LTD to SQUAD KITCHEN</t>
  </si>
  <si>
    <t>000MOBT25174ALEW    PURCHASE    OF   ONE
YEAR ZOHO FORMS NIP Transfer from ILORIN INNOVATION HUB LTD to PAYSTACK CH</t>
  </si>
  <si>
    <t>000MOBT25174ALSD          PURCHASE          OF WASHROOM          HANDTAP          ADDITIONAL
INSTALLATION MATERIALS NIP Transfer from</t>
  </si>
  <si>
    <t>000MOBT25174ALT1         1HP        AC        FOR
MAINTENANCE   OFFICE   NIP   Transfer   from ILORIN INNOVATION HUB LTD to CYCLE</t>
  </si>
  <si>
    <t>24-JUN-
2025</t>
  </si>
  <si>
    <t>000MOBT251750725  NIP  Transfer  from ILORIN INNOVATION HUB LTD to  Infinitus Innovations Limited    FOODSTER</t>
  </si>
  <si>
    <t>000MOBT251751920       SECURITY       SALARY
OFFSET      NIP      Transfer      from      ILORIN INNOVATION HUB LTD to OKPE EDWIN</t>
  </si>
  <si>
    <t>000MOBT251753537 IHS VISITOR LUNCH  NIP
Transfer  from  ILORIN  INNOVATION  HUB  LTD to BOA FOODS RESTAURANT LTD</t>
  </si>
  <si>
    <t>000MOBT251758433  REIMB  FOR  PURCHASE OF  WATER  FOR  MASTERCLASS  ADELEGAN
NIP Transfer from ILORIN INNOVATION H</t>
  </si>
  <si>
    <t>000MOBT251759864    REIMBURSEMENT    FOR
RIDE  NIP  Transfer  from  ILORIN  INNOVATION HUB LTD to ONUCHUKWU  SINACHI G</t>
  </si>
  <si>
    <t>000MOBT251759905           PAYMENT           FOR
FURNITURE MAINTENANCE NIP Transfer from ILORIN INNOVATION HUB LTD to IBRAHIM A</t>
  </si>
  <si>
    <t>000MOBT25175A0AB   REIMBURSEMENT   FOR
TOILETRIES   PURCHASE   NIP   Transfer   from ILORIN INNOVATION HUB LTD to ONUCH</t>
  </si>
  <si>
    <t>000MOBT25175A0FU          PAYMENT          FOR
PLUMBING  MAINTENANCE  NIP  Transfer from ILORIN INNOVATION HUB LTD to</t>
  </si>
  <si>
    <t>000MOBT25175A0HI IHS ADDITIONAL VISITOR
LUNCH       NIP       Transfer       from       ILORIN INNOVATION HUB LTD to HENRY MGBECHI</t>
  </si>
  <si>
    <t>25-JUN-
2025</t>
  </si>
  <si>
    <t>000MOBT251766406   INITIAL   DEPOSIT   FOR PURCHASE   OF   SOUVENIRS   FOR   CCHUB
ROADSHOW  NIP Transfer from ILORIN INN</t>
  </si>
  <si>
    <t>000MOBT251769386     PURCHASE     OF     VIP LOUNGE      HOSPITALITY      SUPPLIES      NIP
Transfer from ILORIN INNOVATION HUB LTD</t>
  </si>
  <si>
    <t>000MOBT251769514 IIH SALARY JUN 2025 NIP
Transfer  from  ILORIN  INNOVATION  HUB  LTD to TEMILOLUWA OLUWALEKE KO</t>
  </si>
  <si>
    <t>000MOBT251769516 IIH SALARY JUN 2025 NIP
Transfer  from  ILORIN  INNOVATION  HUB  LTD to KHADIJAT ZUMAH SULYMAN</t>
  </si>
  <si>
    <t>000MOBT251769518 IIH SALARY JUN 2025 NIP
Transfer  from  ILORIN  INNOVATION  HUB  LTD to MUHAMMED NASIRU MAHMOOD</t>
  </si>
  <si>
    <t>000MOBT251769520 IIH SALARY JUN 2025 NIP
Transfer  from  ILORIN  INNOVATION  HUB  LTD to OKEY MAUREEN DANIEL</t>
  </si>
  <si>
    <t>000MOBT251769522 IIH SALARY JUN 2025 NIP
Transfer  from  ILORIN  INNOVATION  HUB  LTD to ONUCHUKWU  SINACHI GOOD</t>
  </si>
  <si>
    <t>000MOBT251769525 IIH SALARY JUN 2025 NIP
Transfer  from  ILORIN  INNOVATION  HUB  LTD to AKANDE OLUWASAYO TEMILO</t>
  </si>
  <si>
    <t>000MOBT251769526 IIH SALARY JUN 2025 NIP
Transfer  from  ILORIN  INNOVATION  HUB  LTD to HENRY MGBECHI CHUKWUEBU</t>
  </si>
  <si>
    <t>000MOBT251769531 IIH SALARY JUN 2025 NIP
Transfer  from  ILORIN  INNOVATION  HUB  LTD to OLUWADAMILARE EMMANUEL</t>
  </si>
  <si>
    <t>000MOBT251769535 IIH SALARY JUN 2025 NIP
Transfer  from  ILORIN  INNOVATION  HUB  LTD to AHMAD FARIDAT OLUWATOSI</t>
  </si>
  <si>
    <t>000MOBT251769537 IIH SALARY JUN 2025 NIP
Transfer  from  ILORIN  INNOVATION  HUB  LTD to YUSUF DOLAPO ABDULRAMAN</t>
  </si>
  <si>
    <t>000MOBT251769543 IIH SALARY JUN 2025 NIP
Transfer  from  ILORIN  INNOVATION  HUB  LTD to JAMIU ADEBOLA OLADIPO</t>
  </si>
  <si>
    <t>000MOBT251769544 IIH SALARY JUN 2025 NIP
Transfer  from  ILORIN  INNOVATION  HUB  LTD to AMIDAT OLUWATOSIN OLALE</t>
  </si>
  <si>
    <t>000MOBT251769545 IIH SALARY JUN 2025 NIP
Transfer  from  ILORIN  INNOVATION  HUB  LTD to MUINAT OYINKANSOLA BELL</t>
  </si>
  <si>
    <t>000MOBT251769547 IIH SALARY JUN 2025 NIP
Transfer  from  ILORIN  INNOVATION  HUB  LTD to KAMIL LANRE AHMED</t>
  </si>
  <si>
    <t>000MOBT251769553 IIH SALARY JUN 2025 NIP
Transfer  from  ILORIN  INNOVATION  HUB  LTD to SULYMAN YUSUF ALAO</t>
  </si>
  <si>
    <t>000MOBT251769555 IIH SALARY JUN 2025 NIP
Transfer  from  ILORIN  INNOVATION  HUB  LTD to OLALEYE KAYODE</t>
  </si>
  <si>
    <t>000MOBT251769557 IIH SALARY JUN 2025 NIP
Transfer  from  ILORIN  INNOVATION  HUB  LTD to AYORINDE OLAMIDE OPEMIP</t>
  </si>
  <si>
    <t>000MOBT251769563 IIH SALARY JUN 2025 NIP
Transfer  from  ILORIN  INNOVATION  HUB  LTD to OKOLIE  OGOCHUKWUKA BEN</t>
  </si>
  <si>
    <t>000MOBT251769568 IIH SALARY JUN 2025 NIP
Transfer  from  ILORIN  INNOVATION  HUB  LTD to OWARE JOAN</t>
  </si>
  <si>
    <t>000MOBT251769576 IIH SALARY JUN 2025 NIP
Transfer  from  ILORIN  INNOVATION  HUB  LTD to ABDULHAMEED BOLAJI MUST</t>
  </si>
  <si>
    <t>000MOBT251769581 IIH SALARY JUN 2025 NIP
Transfer  from  ILORIN  INNOVATION  HUB  LTD to ABDULRASAQ   ABDULRASAQ</t>
  </si>
  <si>
    <t>000MOBT251769584 IIH SALARY JUN 2025 NIP
Transfer  from  ILORIN  INNOVATION  HUB  LTD to SAMUEL STEVEN ARISE</t>
  </si>
  <si>
    <t>000MOBT251769586 IIH SALARY JUN 2025 NIP
Transfer  from  ILORIN  INNOVATION  HUB  LTD to ABDULKHALEED EYITAYO AL</t>
  </si>
  <si>
    <t>000MOBT251769587 IIH SALARY JUN 2025 NIP
Transfer  from  ILORIN  INNOVATION  HUB  LTD to SHEIDU  AL FAID OSIFOMO</t>
  </si>
  <si>
    <t>000MOBT251769595 IIH SALARY JUN 2025 NIP
Transfer  from  ILORIN  INNOVATION  HUB  LTD to HAPPINESS  SAMUEL</t>
  </si>
  <si>
    <t>27-JUN-
2025</t>
  </si>
  <si>
    <t>000MOBT251788098    NSITF    REGISTRATION
FEE    REMITA    NIP    Transfer    from    ILORIN INNOVATION HUB LTD to Remita Checko</t>
  </si>
  <si>
    <t>000MOBT251789399  IIH  STIPEND  JUNE  2025
NIP  Transfer  from  ILORIN  INNOVATION  HUB LTD to HAPPINESS  SAMUEL</t>
  </si>
  <si>
    <t>000MOBT251789463  IIH  STIPEND  JUNE  2025
NIP  Transfer  from  ILORIN  INNOVATION  HUB LTD to AOFIOLUJUWON MIRIAM D</t>
  </si>
  <si>
    <t>000MOBT251789530  PURCHASE  OF  WALKIE
TALKIE   GAMING  ITEMS  NIP  Transfer  from ILORIN INNOVATION HUB LTD to Kon</t>
  </si>
  <si>
    <t>000MOBT25178A04Q   LUNCH   FOR   INTERNS
NIP  Transfer  from  ILORIN  INNOVATION  HUB LTD to AKINVEST INTEGRATED ENTER</t>
  </si>
  <si>
    <t>000MOBT25178A0G1   SPILLOVER   SECURITY
SERVICES     NIP     Transfer     from     ILORIN INNOVATION HUB LTD to SHCM INTEGRATED</t>
  </si>
  <si>
    <t>000MOBT25178A0PD   PURCHASE   OF   GATE
PADLOCK   AND   KEYS   NIP   Transfer   from ILORIN INNOVATION HUB LTD to POS Trans</t>
  </si>
  <si>
    <t>30-JUN-
2025</t>
  </si>
  <si>
    <t>000MOBT25181A04I  INDOOR  AND  OUTDOOR
FUMIGATION   SERVICE   NIP   Transfer   from ILORIN INNOVATION HUB LTD to BENET</t>
  </si>
  <si>
    <t>000MOBT25181A08C          PAYMENT          FOR
PLUMBING    SERVICES    NIP    Transfer    from ILORIN INNOVATION HUB LTD to</t>
  </si>
  <si>
    <t>000MOBT25181ABR4          PURCHASE          OF ADDITIONAL      SOUND      EQUIPMENT      NIP
Transfer from ILORIN INNOVATION HUB LTD</t>
  </si>
  <si>
    <t>000MOBT25181ACFR     NSITF     JUNE     2025
CONTRIB      NIP      Transfer      from      ILORIN INNOVATION HUB LTD to Remita Checkout</t>
  </si>
  <si>
    <t>016AMFC251810009                             ACCOUNT MAINTENANCE FEE</t>
  </si>
  <si>
    <t>016AMFV251810009   VAT   ON  TRANSACTION CHARGES</t>
  </si>
  <si>
    <t>000MOBT25181ADCP       FACILITY       RENTAL
REFUND      NIP      Transfer      from      ILORIN INNOVATION HUB LTD to KWSG INT  REV</t>
  </si>
  <si>
    <t>000MOBT25181ADMK      TKT      ABUJA      US
EMBASSY  VISIT   NIP  Transfer  from  ILORIN INNOVATION HUB LTD to PAYSTACK</t>
  </si>
  <si>
    <t>016AMFC25181003N                             ACCOUNT MAINTENANCE FEE</t>
  </si>
  <si>
    <t>016AMFV25181003E  VAT  ON  TRANSACTION CHARGES</t>
  </si>
  <si>
    <t>01-JUL-
2025</t>
  </si>
  <si>
    <t>000MOBT25182AT02     MONTHLY     CLEANING
BALANCE      NIP      Transfer      from      ILORIN INNOVATION HUB LTD to SIII MULTIPURPOSE</t>
  </si>
  <si>
    <t>02-JUL-
2025</t>
  </si>
  <si>
    <t>000MOBT251834063      EODB      LUNCH      NIP
Transfer  from  ILORIN  INNOVATION  HUB  LTD to  BOA FOODS RESTAURANT LTD   1</t>
  </si>
  <si>
    <t>03-JUL-
2025</t>
  </si>
  <si>
    <t>000MOBT251841910   EODB  BREAKFAST  NIP
Transfer  from  ILORIN  INNOVATION  HUB  LTD to Infinitus Innovations Limite</t>
  </si>
  <si>
    <t>000MOBT251846895      EODB      Lunch      NIP
Transfer  from  ILORIN  INNOVATION  HUB  LTD to  BOA FOODS RESTAURANT LTD   1</t>
  </si>
  <si>
    <t>000MOBT251847829  MD  100 BIZ  CARDS   NIP
Transfer  from  ILORIN  INNOVATION  HUB  LTD to DOCULAND BUSINESS SOL LTD</t>
  </si>
  <si>
    <t>000MOBT25184A2YX  LOS  ABV  LOS  TRAVEL
ZUMAH       NIP       Transfer       from       ILORIN INNOVATION HUB LTD to PAYSTACK</t>
  </si>
  <si>
    <t>04-JUL-
2025</t>
  </si>
  <si>
    <t>000MOBT251851068    REIMBURSEMENT    FOR
REFRESHMENTS  NIP  Transfer  from  ILORIN INNOVATION HUB LTD to ONUCHUKWU  S</t>
  </si>
  <si>
    <t>000MOBT251851121   EODB   REFRESHMENTS
NIP  Transfer  from  ILORIN  INNOVATION  HUB LTD to JIMOH SULEIMAN OLAWALE</t>
  </si>
  <si>
    <t>000MOBT251854607    BALANCE    OF   CCHUB
ROADSHOW  SOUVENIRS  NIP  Transfer  from ILORIN INNOVATION HUB LTD to LET S B</t>
  </si>
  <si>
    <t>000MOBT251859338  TA  COMMUNITY  LUNCH
NIP  Transfer  from  ILORIN  INNOVATION  HUB LTD to  BOA FOODS RESTAURANT LT</t>
  </si>
  <si>
    <t>000MOBT25185A03Q      HMO      ONE      YEAR
LEADWAY HEALTH NIP Transfer from ILORIN INNOVATION HUB LTD to LEADWAY HEALTH</t>
  </si>
  <si>
    <t>07-JUL-
2025</t>
  </si>
  <si>
    <t>000MOBT25188A8LT   EODB   REFRESHMENTS
NIP  Transfer  from  ILORIN  INNOVATION  HUB LTD to POS Transfer   BOLANLE OK</t>
  </si>
  <si>
    <t>000MOBT25188A8MI   EODB   REFRESHMENTS
NIP  Transfer  from  ILORIN  INNOVATION  HUB LTD to Infinitus Innovations Lim</t>
  </si>
  <si>
    <t>000MOBT25188ABX7  EODB  REFRESHMENTS
NIP  Transfer  from  ILORIN  INNOVATION  HUB LTD to BANKOLE RICHARD OGUNDILE</t>
  </si>
  <si>
    <t>000MOBT25188ABZ7  PAYMENT  FOR MONTHLY WASTE DISPOSAL  NIP  Transfer from ILORIN INNOVATION HUB LTD to</t>
  </si>
  <si>
    <t>09-JUL-
2025</t>
  </si>
  <si>
    <t>000MOBT251904319    ABJ   BOLT    RIDE   NIP
Transfer  from  ILORIN  INNOVATION  HUB  LTD to BOLANLE MONICA MAKINWA</t>
  </si>
  <si>
    <t>10-JUL-
2025</t>
  </si>
  <si>
    <t>016NIPO251910009 NIP - NIP TRF IFO ALPHA TECHNOLOGIES  LIMITED  B/O   ILORIN  TECH
PARK LTD</t>
  </si>
  <si>
    <t>016NIPC251910009 NIP Charge - NIP TRF IFO ALPHA TECHNOLOGIES LIMITED B/O ILORIN TECH PARK LTD</t>
  </si>
  <si>
    <t>016VATP251910009 NIP Charge VAT - NIP TRF IFO ALPHA TECHNOLOGIES LIMITED B/O ILORIN TECH PARK LTD</t>
  </si>
  <si>
    <t>0167022251910001 BNG ISSUANCE OF 1 TOKENS (37-6477779-9 KOLAWOLE ( IFO ILORIN TECH PARK LTD)</t>
  </si>
  <si>
    <t>0167022251910001 BNG ISSUANCE OF 1 TOKENS (37-6477780-5 YAHAYA ( IFO ILORIN TECH PARK LTD)</t>
  </si>
  <si>
    <t>0167022251910001 BNG ISSUANCE OF 1 TOKENS (37-6477781-2 AHMAD ( IFO ILORIN TECH PARK LTD)</t>
  </si>
  <si>
    <t>016NIPO251910018 NIP - NIP TRF IFO JIMOH SULEIMAN OLAWALE B/O  ILORIN  TECH PARK LTD</t>
  </si>
  <si>
    <t>016NIPC251910018 NIP Charge - NIP TRF IFO JIMOH SULEIMAN OLAWALE B/O  ILORIN TECH PARK LTD</t>
  </si>
  <si>
    <t>016VATP251910018 NIP Charge VAT - NIP TRF IFO JIMOH SULEIMAN OLAWALE B/O ILORIN TECH PARK LTD</t>
  </si>
  <si>
    <t>11-JUL-
2025</t>
  </si>
  <si>
    <t>016NIPO251920002 NIP - NIP TRF IFO LET'S BRAND IT ENTERPRISES B/O ILORIN TECH PARK LTD</t>
  </si>
  <si>
    <t>016NIPC251920002 NIP Charge - NIP TRF IFO LET'S BRAND IT ENTERPRISES B/O ILORIN TECH PARK LTD</t>
  </si>
  <si>
    <t>016VATP251920002 NIP Charge VAT - NIP TRF IFO LET'S BRAND IT ENTERPRISES B/O ILORIN TECH PARK LTD</t>
  </si>
  <si>
    <t>17-JUL-
2025</t>
  </si>
  <si>
    <t>016NIPO251980008 NIP - NIP TRF IFO TEMILOLUWA OLUWALEKE KOLAWOLE B/O ILORIN TECH PARK LTD</t>
  </si>
  <si>
    <t>016NIPC251980008 NIP Charge - NIP TRF IFO TEMILOLUWA OLUWALEKE KOLAWOLE B/O ILORIN TECH PARK LTD</t>
  </si>
  <si>
    <t>016VATP251980008 NIP Charge VAT - NIP TRF IFO TEMILOLUWA OLUWALEKE KOLAWOLE B/O  ILORIN TECH PARK LTD</t>
  </si>
  <si>
    <t>016NIPO251980009 NIP  -  BNG  PAYMENT MADE FOR LAGOS HOTEL ACCOMODATION REIMBURSEMENT</t>
  </si>
  <si>
    <t>016NIPC251980009 NIP Charge - BNG PAYMENT MADE FOR LAGOS HOTEL ACCOMODATION  REIMBURSEMENT</t>
  </si>
  <si>
    <t>016VATP251980009 NIP Charge VAT - BNG PAYMENT MADE FOR LAGOS HOTEL ACCOMODATION  REIMBURSEMENT</t>
  </si>
  <si>
    <t>016NIPO251980015    NIP    -    BNG    PAYMENT MADE FOR PURCHASE OF SCAFFOLD</t>
  </si>
  <si>
    <t>016NIPC251980015 NIP Charge - BNG PAYMENT MADE FOR PURCHASE OF SCAFFOLD</t>
  </si>
  <si>
    <t>016VATP251980015 NIP Charge VAT - BNG PAYMENT MADE FOR PURCHASE OF SCAFFOLD</t>
  </si>
  <si>
    <t>18-JUL-
2025</t>
  </si>
  <si>
    <t>016NIPO251990009 NIP - NIP TRF IFO ISREAL ABIODUN B/O  ILORIN TECH PARK LTD</t>
  </si>
  <si>
    <t>016NIPC251990009 NIP Charge - NIP TRF IFO ISREAL ABIODUN B/O ILORIN TECH PARK LTD</t>
  </si>
  <si>
    <t>016VATP251990009 NIP Charge VAT - NIP TRF IFO   ISREAL   ABIODUN   B/O    ILORIN   TECH
PARK LTD</t>
  </si>
  <si>
    <t>000MOBT25199A0ME REIMBURSEMENT FOR STAFF BIRTHDAY FAREEDAH NIP Transfer from ILORIN INNOVATION HUB LTD to O</t>
  </si>
  <si>
    <t>000MOBT25199A0U0              REIMBURSEMENT
STAFF   BIRTHDAY   NAS   NIP   Transfer   from ILORIN INNOVATION HUB LTD to</t>
  </si>
  <si>
    <t>000MOBT25199A0W7                               TRAVEL REIMBURSEMENT   ABUJA  HOTEL  TAXI  NIP
Transfer from ILORIN INNOVATION HUB LTD</t>
  </si>
  <si>
    <t>000MOBT25199A0YV              REIMBURSEMENT
STARLINK  JUL10  AUG10  NIP  Transfer  from ILORIN INNOVATION HUB LTD to TEMILOLU</t>
  </si>
  <si>
    <t>21-JUL-
2025</t>
  </si>
  <si>
    <t>000MOBT25202A2F1     REFRESHMENTS    3SU
MENTORSHIP    EVENT    NIP    Transfer    from ILORIN INNOVATION HUB LTD to  BOA FOOD</t>
  </si>
  <si>
    <t>000MOBT25202ADQO PAYMENT FOR AIRTEL MONTHLY INTERNET BACKUP NIP Transfer from ILORIN INNOVATION HUB LTD to</t>
  </si>
  <si>
    <t>22-JUL-
2025</t>
  </si>
  <si>
    <t>000MOBT252030888  AC  MAINTENANCE  GAS
NIP  Transfer  from  ILORIN  INNOVATION  HUB LTD to KAYDEEN INTEGRATED SERVI</t>
  </si>
  <si>
    <t>000MOBT252037206    REIMBURSEMENT    FOR
FUEL NIP Transfer from ILORIN INNOVATION HUB LTD to TEMILOLUWA OLUWALEKE</t>
  </si>
  <si>
    <t>23-JUL-
2025</t>
  </si>
  <si>
    <t>000MOBT25204A0WG  PAYMENT  FOR  STAFF
ID CARD PRINTING NIP Transfer from ILORIN INNOVATION HUB LTD to PRINT WO</t>
  </si>
  <si>
    <t>000MOBT25204A0XM PAYMENT FOR ID CARD
LANYARDS  AND  CASES  NIP  Transfer  from ILORIN INNOVATION HUB LTD to LET</t>
  </si>
  <si>
    <t>000MOBT25204A197    PAYMENT    FOR    3SU
REFRESHMENTS  WATER  NIP  Transfer  from ILORIN INNOVATION HUB LTD to OLALUWOY</t>
  </si>
  <si>
    <t>24-JUL-
2025</t>
  </si>
  <si>
    <t>000MOBT252054108     PAYMENT     FOR     3SU
REFRESHMENTS  NIP  Transfer  from  ILORIN INNOVATION HUB LTD to  BOA FOODS RES</t>
  </si>
  <si>
    <t>000MOBT252055681 LUNCH FOR IHS GUESTS
NIP  Transfer  from  ILORIN  INNOVATION  HUB LTD to THE GREEN DOOR FOOD LA</t>
  </si>
  <si>
    <t>000MOBT252056033 LUNCH FOR IHS GUESTS
NIP  Transfer  from  ILORIN  INNOVATION  HUB LTD to  BOA FOODS RESTAURANT</t>
  </si>
  <si>
    <t>000MOBT252057480 LUNCH FOR IHS GUESTS
NIP  Transfer  from  ILORIN  INNOVATION  HUB LTD to DAVID ABIDEMI OWOJAIYE</t>
  </si>
  <si>
    <t>000MOBT25205A11V   REIMBURSEMENT   FOR
REFRESHMENTS TA COMM NIP Transfer from ILORIN INNOVATION HUB LTD to HENR</t>
  </si>
  <si>
    <t>000MOBT25205A12X   REIMBURSEMENT   FOR
REFRESHMENTS   EODB   NIP   Transfer   from ILORIN INNOVATION HUB LTD to ONUCHUK</t>
  </si>
  <si>
    <t>25-JUL-
2025</t>
  </si>
  <si>
    <t>000MOBT252067575     PAYMENT     FOR     3SU
REFRESHMENTS  NIP  Transfer  from  ILORIN INNOVATION HUB LTD to  BOA FOODS RES</t>
  </si>
  <si>
    <t>016NIPO252060019   NIP  -  ILH  SALARY  JUL
2025</t>
  </si>
  <si>
    <t>016NIPC252060019 NIP Charge - ILH SALARY JUL 2025</t>
  </si>
  <si>
    <t>016VATP252060019   NIP   Charge   VAT   -   ILH SALARY JUL 2025</t>
  </si>
  <si>
    <t>016NIPO252060020   NIP  -  ILH  SALARY  JUL
2025</t>
  </si>
  <si>
    <t>016NIPC252060020 NIP Charge - ILH SALARY JUL 2025</t>
  </si>
  <si>
    <t>016VATP252060020   NIP   Charge   VAT   -   ILH SALARY JUL 2025</t>
  </si>
  <si>
    <t>016NIPO252060021   NIP  -  ILH  SALARY  JUL
2025</t>
  </si>
  <si>
    <t>016NIPC252060021 NIP Charge - ILH SALARY JUL 2025</t>
  </si>
  <si>
    <t>016VATP252060021   NIP   Charge   VAT   -   ILH SALARY JUL 2025</t>
  </si>
  <si>
    <t>016NIPO252060022   NIP  -  ILH  SALARY  JUL
2025</t>
  </si>
  <si>
    <t>016NIPC252060022 NIP Charge - ILH SALARY JUL 2025</t>
  </si>
  <si>
    <t>016VATP252060022   NIP   Charge   VAT   -   ILH SALARY JUL 2025</t>
  </si>
  <si>
    <t>016NIPO252060023   NIP  -  ILH  SALARY  JUL
2025</t>
  </si>
  <si>
    <t>016NIPC252060023 NIP Charge - ILH SALARY JUL 2025</t>
  </si>
  <si>
    <t>016VATP252060023   NIP   Charge   VAT   -   ILH SALARY JUL 2025</t>
  </si>
  <si>
    <t>016NIPO252060024   NIP  -  ILH  SALARY  JUL
2025</t>
  </si>
  <si>
    <t>016NIPC252060024 NIP Charge - ILH SALARY JUL 2025</t>
  </si>
  <si>
    <t>016VATP252060024   NIP   Charge   VAT   -   ILH SALARY JUL 2025</t>
  </si>
  <si>
    <t>016NIPO252060025   NIP  -  ILH  SALARY  JUL
2025</t>
  </si>
  <si>
    <t>016NIPC252060025 NIP Charge - ILH SALARY JUL 2025</t>
  </si>
  <si>
    <t>016VATP252060025   NIP   Charge   VAT   -   ILH SALARY JUL 2025</t>
  </si>
  <si>
    <t>016NIPO252060026   NIP  -  ILH  SALARY  JUL
2025</t>
  </si>
  <si>
    <t>016NIPC252060026 NIP Charge - ILH SALARY JUL 2025</t>
  </si>
  <si>
    <t>016VATP252060026   NIP   Charge   VAT   -   ILH SALARY JUL 2025</t>
  </si>
  <si>
    <t>016NIPO252060028   NIP  -  ILH  SALARY  JUL
2025</t>
  </si>
  <si>
    <t>016NIPC252060028 NIP Charge - ILH SALARY JUL 2025</t>
  </si>
  <si>
    <t>016VATP252060028   NIP   Charge   VAT   -   ILH SALARY JUL 2025</t>
  </si>
  <si>
    <t>016NIPO252060029   NIP  -  ILH  SALARY  JUL
2025</t>
  </si>
  <si>
    <t>016NIPC252060029 NIP Charge - ILH SALARY JUL 2025</t>
  </si>
  <si>
    <t>016VATP252060029   NIP   Charge   VAT   -   ILH SALARY JUL 2025</t>
  </si>
  <si>
    <t>016NIPO252060030   NIP  -  ILH  SALARY  JUL
2025</t>
  </si>
  <si>
    <t>016NIPC252060030 NIP Charge - ILH SALARY JUL 2025</t>
  </si>
  <si>
    <t>016VATP252060030   NIP   Charge   VAT   -   ILH SALARY JUL 2025</t>
  </si>
  <si>
    <t>016NIPO252060031   NIP  -  ILH  SALARY  JUL
2025</t>
  </si>
  <si>
    <t>016NIPC252060031 NIP Charge - ILH SALARY JUL 2025</t>
  </si>
  <si>
    <t>016VATP252060031   NIP   Charge   VAT   -   ILH SALARY JUL 2025</t>
  </si>
  <si>
    <t>016NIPO252060032   NIP  -  ILH  SALARY  JUL
2025</t>
  </si>
  <si>
    <t>016NIPC252060032 NIP Charge - ILH SALARY JUL 2025</t>
  </si>
  <si>
    <t>016VATP252060032   NIP   Charge   VAT   -   ILH SALARY JUL 2025</t>
  </si>
  <si>
    <t>016NIPO252060033   NIP  -  ILH  SALARY  JUL
2025</t>
  </si>
  <si>
    <t>016NIPC252060033 NIP Charge - ILH SALARY JUL 2025</t>
  </si>
  <si>
    <t>016VATP252060033   NIP   Charge   VAT   -   ILH SALARY JUL 2025</t>
  </si>
  <si>
    <t>016NIPO252060034   NIP  -  ILH  SALARY  JUL
2025</t>
  </si>
  <si>
    <t>016NIPC252060034 NIP Charge - ILH SALARY JUL 2025</t>
  </si>
  <si>
    <t>016VATP252060034   NIP   Charge   VAT   -   ILH SALARY JUL 2025</t>
  </si>
  <si>
    <t>016NIPO252060035   NIP  -  ILH  SALARY  JUL
2025</t>
  </si>
  <si>
    <t>016NIPC252060035 NIP Charge - ILH SALARY JUL 2025</t>
  </si>
  <si>
    <t>016VATP252060035   NIP   Charge   VAT   -   ILH SALARY JUL 2025</t>
  </si>
  <si>
    <t>016NIPO252060036   NIP  -  ILH  SALARY  JUL
2025</t>
  </si>
  <si>
    <t>016NIPC252060036 NIP Charge - ILH SALARY JUL 2025</t>
  </si>
  <si>
    <t>016VATP252060036   NIP   Charge   VAT   -   ILH SALARY JUL 2025</t>
  </si>
  <si>
    <t>016NIPO252060037   NIP  -  ILH  SALARY  JUL
2025</t>
  </si>
  <si>
    <t>016NIPC252060037 NIP Charge - ILH SALARY JUL 2025</t>
  </si>
  <si>
    <t>016VATP252060037   NIP   Charge   VAT   -   ILH SALARY JUL 2025</t>
  </si>
  <si>
    <t>016NIPO252060038   NIP  -  ILH  SALARY  JUL
2025</t>
  </si>
  <si>
    <t>016NIPC252060038 NIP Charge - ILH SALARY JUL 2025</t>
  </si>
  <si>
    <t>016VATP252060038   NIP   Charge   VAT   -   ILH SALARY JUL 2025</t>
  </si>
  <si>
    <t>016NIPO252060039   NIP  -  ILH  SALARY  JUL
2025</t>
  </si>
  <si>
    <t>016NIPC252060039 NIP Charge - ILH SALARY JUL 2025</t>
  </si>
  <si>
    <t>016VATP252060039   NIP   Charge   VAT   -   ILH SALARY JUL 2025</t>
  </si>
  <si>
    <t>016NIPO252060040   NIP  -  ILH  SALARY  JUL
2025</t>
  </si>
  <si>
    <t>016NIPC252060040 NIP Charge - ILH SALARY JUL 2025</t>
  </si>
  <si>
    <t>016VATP252060040   NIP   Charge   VAT   -   ILH SALARY JUL 2025</t>
  </si>
  <si>
    <t>016NIPO252060041   NIP  -  ILH  SALARY  JUL
2025</t>
  </si>
  <si>
    <t>016NIPC252060041 NIP Charge - ILH SALARY JUL 2025</t>
  </si>
  <si>
    <t>016VATP252060041   NIP   Charge   VAT   -   ILH SALARY JUL 2025</t>
  </si>
  <si>
    <t>016NIPO252060042   NIP  -  ILH  SALARY  JUL
2025</t>
  </si>
  <si>
    <t>016NIPC252060042 NIP Charge - ILH SALARY JUL 2025</t>
  </si>
  <si>
    <t>016VATP252060042   NIP   Charge   VAT   -   ILH SALARY JUL 2025</t>
  </si>
  <si>
    <t>016NIPO252060043   NIP  -  ILH  SALARY  JUL
2025</t>
  </si>
  <si>
    <t>016NIPC252060043 NIP Charge - ILH SALARY JUL 2025</t>
  </si>
  <si>
    <t>016VATP252060043   NIP   Charge   VAT   -   ILH SALARY JUL 2025</t>
  </si>
  <si>
    <t>016NIPO252060044   NIP  -  ILH  SALARY  JUL
2025</t>
  </si>
  <si>
    <t>016NIPC252060044 NIP Charge - ILH SALARY JUL 2025</t>
  </si>
  <si>
    <t>016VATP252060044   NIP   Charge   VAT   -   ILH SALARY JUL 2025</t>
  </si>
  <si>
    <t>016NIPO252060045   NIP  -  ILH  SALARY  JUL
2025</t>
  </si>
  <si>
    <t>016NIPC252060045 NIP Charge - ILH SALARY JUL 2025</t>
  </si>
  <si>
    <t>016VATP252060045   NIP   Charge   VAT   -   ILH SALARY JUL 2025</t>
  </si>
  <si>
    <t>28-JUL-
2025</t>
  </si>
  <si>
    <t>000MOBT25209AM38 JULY OFFICE SUPPLIES
NIP  Transfer  from  ILORIN  INNOVATION  HUB LTD to MAUREEN DANIEL OKEY</t>
  </si>
  <si>
    <t>29-JUL-
2025</t>
  </si>
  <si>
    <t>000MOBT252101281  MD  ILORINLAGOS  TRIP
NIP  Transfer  from  ILORIN  INNOVATION  HUB LTD to PAYSTACK CHECKOUT</t>
  </si>
  <si>
    <t>016NIPO252100014   NIP   -   BEING   PAYMENT FOR PURCHASE OF 160A 4 POLE BEAKER</t>
  </si>
  <si>
    <t>016NIPC252100013 NIP Charge - BEING PAYMENT FOR PURCHASE OF 160A 4 POLE BEAKER</t>
  </si>
  <si>
    <t>016VATP252100013 NIP  Charge VAT - BEING PAYMENT FOR PURCHASE OF 160A 4 POLE BEAKER</t>
  </si>
  <si>
    <t>016NIPO252100015 NIP - BNG PYT TO HIRE AND  TRANSPORT  20KVA  DIESEL GENERATOR FOR 7 DAYS</t>
  </si>
  <si>
    <t>016NIPC252100014 NIP Charge - BNG PYT TO HIRE AND TRANSPORT 20KVA DIESEL GENERATOR FOR 7 DAYS</t>
  </si>
  <si>
    <t>016VATP252100014 NIP Charge VAT - BNG PYT TO HIRE AND TRANSPORT 20KVA DIESEL GENERATOR FOR 7 DAYS</t>
  </si>
  <si>
    <t>016NIPT252100475  NIP  TRSF  FROM  ISREAL
ABIODUN     Premium-Refund     of     generator rentage @ ilorin innov</t>
  </si>
  <si>
    <t>000MOBT25210A23U   PAYMENT   FOR   20KVA GEN  RENTAL  AND  TRANSPORT  ELEVATOR
INSTALL NIP Transfer from ILORIN INNOV</t>
  </si>
  <si>
    <t>016EMTL2521000EA     ELECTRONIC     MONEY TRANSFER LEVY</t>
  </si>
  <si>
    <t>30-JUL-
2025</t>
  </si>
  <si>
    <t>000MOBT252115101    PAYMENT   FOR   FOOD
FOR  IHS  GUESTS  NIP  Transfer  from  ILORIN INNOVATION HUB LTD to  BOA FOODS</t>
  </si>
  <si>
    <t>000MOBT252116629   PAYMENT   FOR   STAFF
TRAINING  LUNCH  NIP  Transfer  from  ILORIN INNOVATION HUB LTD to  BOA FOODS</t>
  </si>
  <si>
    <t>000MOBT25211A0YD   REIMBURSEMENT   FOR
GUEST  REFRESHMENTS  NIP  Transfer  from ILORIN INNOVATION HUB LTD to MAUREE</t>
  </si>
  <si>
    <t>000MOBT25211A108   PAYMENT   FOR   STAFF
TRAINING  LUNCH   NIP  Transfer  from  ILORIN INNOVATION HUB LTD to  BOA FOOD</t>
  </si>
  <si>
    <t>000MOBT25211A11L   REIMBURSEMENT   FOR STAFF    BIRTHDAY    CAKE    ADEBOLA    NIP
Transfer from ILORIN INNOVATION HUB LTD</t>
  </si>
  <si>
    <t>31-JUL-
2025</t>
  </si>
  <si>
    <t>000MOBT252127799    PAYMENT    FOR    JULY
WASTE  DISPOSAL  NIP  Transfer  from  ILORIN INNOVATION HUB LTD to EXTREME GLO</t>
  </si>
  <si>
    <t>016NIPO252120019 NIP - BNG PYT FOR JULY
2025 SECURITY SERVICE</t>
  </si>
  <si>
    <t>016NIPC252120019   NIP  Charge  -  BNG  PYT FOR JULY 2025 SECURITY SERVICE</t>
  </si>
  <si>
    <t>016VATP252120019  NIP  Charge  VAT  -  BNG PYT FOR JULY 2025 SECURITY SERVICE</t>
  </si>
  <si>
    <t>016AMFV25212002M  VAT  ON  TRANSACTION CHARGES</t>
  </si>
  <si>
    <t>016AMFC25212003P                             ACCOUNT MAINTENANCE FEE</t>
  </si>
  <si>
    <t>000MOBT25212AB40   PAYMENT   FOR   ZOHO CAMPAIGNS   5000CONTACTS   ANNUAL   NIP
Transfer from ILORIN INNOVATION HUB LTD</t>
  </si>
  <si>
    <t>01-AUG-
2025</t>
  </si>
  <si>
    <t>000MOBT252131560           PAYMENT           FOR
OUTDOOR RING PAINTING NIP Transfer from ILORIN INNOVATION HUB LTD to BENETTON</t>
  </si>
  <si>
    <t>016AMFC25213000D                             ACCOUNT MAINTENANCE FEE</t>
  </si>
  <si>
    <t>016AMFV252130008   VAT   ON  TRANSACTION CHARGES</t>
  </si>
  <si>
    <t>016NIPO252130019 NIP - BNG PYT FOR JULY
2025 JANITORIAL SERVICE</t>
  </si>
  <si>
    <t>016NIPC252130019   NIP  Charge  -  BNG  PYT FOR JULY 2025 JANITORIAL SERVICE</t>
  </si>
  <si>
    <t>016VATP252130019  NIP  Charge  VAT  -  BNG PYT FOR JULY 2025 JANITORIAL SERVICE</t>
  </si>
  <si>
    <t>000MOBT252136754 ILORININNOVATIONHUBCOM                DOMAIN
RENEWAL NIP Transfer from ILORIN</t>
  </si>
  <si>
    <t>016NIPT252130273 NIP TRSF FROM TEMILOLUWA OLUWALEKE KOLAWOLE ABJ BOLT RIDE REFUND</t>
  </si>
  <si>
    <t>016EMTL2521300NZ     ELECTRONIC     MONEY TRANSFER LEVY</t>
  </si>
  <si>
    <t>04-AUG-
2025</t>
  </si>
  <si>
    <t>000MOBT252169336 REIMBURSEMENT FOR SUI EVENT  REFRESHMENTS  NIP  Transfer from ILORIN INNOVATION HUB LTD to M</t>
  </si>
  <si>
    <t>000MOBT25216AAFF   PAYMENT   FOR   STAFF
BIRTHDAY  CAKE  TOSIN  NIP  Transfer  from ILORIN INNOVATION HUB LTD to Infin</t>
  </si>
  <si>
    <t>016NIPO252160001   NIP   -   BNG   PYT   FOR BOOKING ID 2508030403119</t>
  </si>
  <si>
    <t>016NIPC252160001   NIP  Charge  -  BNG  PYT FOR BOOKING ID 2508030403119</t>
  </si>
  <si>
    <t>016VATP252160001  NIP  Charge  VAT  -  BNG PYT FOR BOOKING ID 2508030403119</t>
  </si>
  <si>
    <t>016NIPO252160002   NIP   -   BNG   PYT   FOR BOOKING ID 2508030403119</t>
  </si>
  <si>
    <t>016NIPC252160002   NIP  Charge  -  BNG  PYT FOR BOOKING ID 2508030403119</t>
  </si>
  <si>
    <t>016VATP252160002  NIP  Charge  VAT  -  BNG PYT FOR BOOKING ID 2508030403119</t>
  </si>
  <si>
    <t>000MOBT25216AHDE     SECURITY     DEPOSIT
REDUND   3SU   NIP   Transfer   from   ILORIN INNOVATION HUB LTD to BLAISE MICHAELS</t>
  </si>
  <si>
    <t>000MOBT25216AHJJ            NHF            SALARY
DEDUCTION    REFUND    NIP    Transfer    from ILORIN INNOVATION HUB LTD to AHMAD</t>
  </si>
  <si>
    <t>000MOBT25216AHQL     SECURITY     DEPOSIT
REFUND SUI BLOCKCHAIN NIP Transfer from ILORIN INNOVATION HUB LTD to SAMU</t>
  </si>
  <si>
    <t>000MOBT25216AMLC ADDITIONAL 6 DAY GEN RENTAL    FOR    ELEVATOR    INSTALL    NIP
Transfer from ILORIN INNOVATION HUB L</t>
  </si>
  <si>
    <t>05-AUG-
2025</t>
  </si>
  <si>
    <t>016NIPO252170002  NIP  -  BNG  PYT  FOR  Ai4
2025 START UP PASS APPLICATION</t>
  </si>
  <si>
    <t>016NIPC252170002   NIP  Charge  -  BNG  PYT FOR Ai4 2025 START UP PASS APPLICATION</t>
  </si>
  <si>
    <t>016VATP252170002 NIP Charge VAT - BNG PYT FOR Ai4 2025 START UP PASS APPLICATION</t>
  </si>
  <si>
    <t>000MOBT25217A0IN     PAYMENT     FOR     70L
DIESEL       NIP       Transfer       from       ILORIN INNOVATION HUB LTD to  One Mind Triplet Co</t>
  </si>
  <si>
    <t>06-AUG-
2025</t>
  </si>
  <si>
    <t>000MOBT252189725    PAYMENT   FOR   NSITF
JULY   CONTRIB   NIP   Transfer   from   ILORIN INNOVATION HUB LTD to Remita Check</t>
  </si>
  <si>
    <t>016NIPT252180674 NIP TRSF FROM WAKANOWWORKING CAPITAL/CAPEX 638900946004306974-4 EXCESS FUND RFD</t>
  </si>
  <si>
    <t>000MOBT252182211  MD  ILVABV  TICKET  LBS
AI   WORKSHOP    NIP   Transfer   from   ILORIN INNOVATION HUB LTD to PAYSTACK</t>
  </si>
  <si>
    <t>07-AUG-
2025</t>
  </si>
  <si>
    <t>016NIPO252190009    NIP    -    NIP    TRSF    IFO
PAYOUTSUB     Temiloluwa     Kolawole     B/O ILORIN TECH (BNG PMNT FOR Ai4 2025</t>
  </si>
  <si>
    <t>016NIPC252190009 NIP Charge - NIP TRSF IFO
PAYOUTSUB     Temiloluwa     Kolawole     B/O ILORIN TECH (BNG PMNT FOR Ai4 2025</t>
  </si>
  <si>
    <t>016VATP252190009   NIP   Charge   VAT   -   NIP
TRSF  IFO  PAYOUTSUB  Temiloluwa  Kolawole B/O ILORIN TECH (BNG PMNT FOR Ai4 2025</t>
  </si>
  <si>
    <t>016EMTL25219000H     ELECTRONIC     MONEY TRANSFER LEVY</t>
  </si>
  <si>
    <t>11-AUG-
2025</t>
  </si>
  <si>
    <t>000MOBT25223AC77   REIMBURSEMENT   FOR
LAGOSILORIN  MD  NIP  Transfer  from  ILORIN INNOVATION HUB LTD to TEMILOLUWA</t>
  </si>
  <si>
    <t>000MOBT25223AC78              REIMBURSEMENT
ABUJA LAGOS MD NIP Transfer from ILORIN INNOVATION HUB LTD to TEMILOLUWA OLU</t>
  </si>
  <si>
    <t>12-AUG-
2025</t>
  </si>
  <si>
    <t>000MOBT25224A4DH   REIMBURSEMENT   FOR
FUEL NIP Transfer from ILORIN INNOVATION HUB LTD to OKEY MAUREEN DANIEL</t>
  </si>
  <si>
    <t>13-AUG-
2025</t>
  </si>
  <si>
    <t>000MOBT252250014    REIMBURSEMENT    FOR
FUEL NIP Transfer from ILORIN INNOVATION HUB LTD to TEMILOLUWA OLUWALEKE</t>
  </si>
  <si>
    <t>14-AUG-
2025</t>
  </si>
  <si>
    <t>000MOBT252268507           PAYMENT           FOR ADDITIONAL  GEN  RENTAL  FOF  ELEVETOR
INSTALL NIP Transfer from ILORIN</t>
  </si>
  <si>
    <t>15-AUG-
2025</t>
  </si>
  <si>
    <t>000MOBT252276361   PURCHASE  OF  WATER
20     PACKS     NIP     Transfer     from     ILORIN INNOVATION HUB LTD to OLALUWOYE</t>
  </si>
  <si>
    <t>19-AUG-
2025</t>
  </si>
  <si>
    <t>000MOBT252318387           PAYMENT           FOR PURCHASE   OF   ARTIFICIAL   FLOWERS   NIP
Transfer from ILORIN INNOVATION HUB LTD</t>
  </si>
  <si>
    <t>000MOBT252319830           PAYMENT           FOR
PURCHASE   OF   DIESEL   NIP   Transfer   from ILORIN INNOVATION HUB LTD to  One Mind Tr</t>
  </si>
  <si>
    <t>016NIPO252310009 NIP - BNG PYT FOR JULY
2025 LANDSCAPING SERVICE</t>
  </si>
  <si>
    <t>016NIPC252310009   NIP  Charge  -  BNG  PYT FOR JULY 2025 LANDSCAPING SERVICE</t>
  </si>
  <si>
    <t>016VATP252310009  NIP  Charge  VAT  -  BNG PYT FOR JULY 2025 LANDSCAPING SERVICE</t>
  </si>
  <si>
    <t>000MOBT25231A1NZ   REIMBURSEMENT   FOR
IT SUPPLIES  DATA NIP Transfer from ILORIN INNOVATION HUB LTD to MUHAMME</t>
  </si>
  <si>
    <t>000MOBT25231A2M8 zoholics NIP Transfer from ILORIN INNOVATION HUB LTD to PAYSTACK CHECKOUT</t>
  </si>
  <si>
    <t>25-AUG-
2025</t>
  </si>
  <si>
    <t>000MOBT25237A3XK cake NIP Transfer from ILORIN INNOVATION HUB LTD to  Infinitus Innovations Limited    FOODS</t>
  </si>
  <si>
    <t>016NIPT252370971 NIP TRSF FROM THREE M GLOBAL DESIGNS SERVICES .</t>
  </si>
  <si>
    <t>000MOBT25237AJXD   FLAGS   AND   AC   TAG
STICKERS     NIP     Transfer     from     ILORIN INNOVATION HUB LTD to LET S BRAND IT EN</t>
  </si>
  <si>
    <t>016NEFO252370005  NEFT  CREDIT  -  AUGUST
2025 STAFF ALLOWANCE PAYMENT</t>
  </si>
  <si>
    <t>016NEFC252370005  NEFT  CREDIT  CHARGE  - AUGUST 2025 STAFF ALLOWANCE PAYMENT</t>
  </si>
  <si>
    <t>016VATO252370005 NEFT CREDIT  CHARGE VAT - AUGUST 2025 STAFF ALLOWANCE PAYMENT</t>
  </si>
  <si>
    <t>016NEFO252370006  NEFT  CREDIT  -  AUGUST
2025 STAFF ALLOWANCE PAYMENT</t>
  </si>
  <si>
    <t>016NEFC252370006  NEFT  CREDIT  CHARGE  - AUGUST 2025 STAFF ALLOWANCE PAYMENT</t>
  </si>
  <si>
    <t>016VATO252370006 NEFT CREDIT  CHARGE VAT - AUGUST 2025 STAFF ALLOWANCE PAYMENT</t>
  </si>
  <si>
    <t>016NEFO252370007  NEFT  CREDIT  -  AUGUST
2025 STAFF ALLOWANCE PAYMENT</t>
  </si>
  <si>
    <t>016NEFC252370007  NEFT  CREDIT  CHARGE  - AUGUST 2025 STAFF ALLOWANCE PAYMENT</t>
  </si>
  <si>
    <t>016VATO252370007 NEFT CREDIT  CHARGE VAT - AUGUST 2025 STAFF ALLOWANCE PAYMENT</t>
  </si>
  <si>
    <t>016NEFO252370010  NEFT  CREDIT  -  AUGUST
2025 SALARY PYT</t>
  </si>
  <si>
    <t>016NEFC252370008  NEFT  CREDIT  CHARGE  - AUGUST 2025 SALARY PYT</t>
  </si>
  <si>
    <t>016VATO252370008   NEFT   CREDIT   CHARGE VAT - AUGUST 2025 SALARY PYT</t>
  </si>
  <si>
    <t>016NEFO252370012  NEFT  CREDIT  -  AUGUST
2025 SALARY PYT</t>
  </si>
  <si>
    <t>016NEFC252370009  NEFT  CREDIT  CHARGE  - AUGUST 2025 SALARY PYT</t>
  </si>
  <si>
    <t>016VATO252370009   NEFT   CREDIT   CHARGE VAT - AUGUST 2025 SALARY PYT</t>
  </si>
  <si>
    <t>016NEFO252370013  NEFT  CREDIT  -  AUGUST
2025 SALARY PYT</t>
  </si>
  <si>
    <t>016NEFC252370010  NEFT  CREDIT  CHARGE  - AUGUST 2025 SALARY PYT</t>
  </si>
  <si>
    <t>016VATO252370010   NEFT   CREDIT   CHARGE VAT - AUGUST 2025 SALARY PYT</t>
  </si>
  <si>
    <t>016NEFO252370016  NEFT  CREDIT  -  AUGUST
2025 SALARY PYT</t>
  </si>
  <si>
    <t>016NEFC252370011  NEFT  CREDIT  CHARGE  - AUGUST 2025 SALARY PYT</t>
  </si>
  <si>
    <t>016VATO252370011   NEFT   CREDIT   CHARGE VAT - AUGUST 2025 SALARY PYT</t>
  </si>
  <si>
    <t>016NEFO252370017  NEFT  CREDIT  -  AUGUST
2025 SALARY PYT</t>
  </si>
  <si>
    <t>016NEFC252370012  NEFT  CREDIT  CHARGE  - AUGUST 2025 SALARY PYT</t>
  </si>
  <si>
    <t>016VATO252370012   NEFT   CREDIT   CHARGE VAT - AUGUST 2025 SALARY PYT</t>
  </si>
  <si>
    <t>016NEFO252370018  NEFT  CREDIT  -  AUGUST
2025 SALARY PYT</t>
  </si>
  <si>
    <t>016NEFC252370013  NEFT  CREDIT  CHARGE  - AUGUST 2025 SALARY PYT</t>
  </si>
  <si>
    <t>016VATO252370013   NEFT   CREDIT   CHARGE VAT - AUGUST 2025 SALARY PYT</t>
  </si>
  <si>
    <t>016NEFO252370019  NEFT  CREDIT  -  AUGUST
2025 SALARY PYT</t>
  </si>
  <si>
    <t>016NEFC252370014  NEFT  CREDIT  CHARGE  - AUGUST 2025 SALARY PYT</t>
  </si>
  <si>
    <t>016VATO252370014   NEFT   CREDIT   CHARGE VAT - AUGUST 2025 SALARY PYT</t>
  </si>
  <si>
    <t>016NEFO252370020  NEFT  CREDIT  -  AUGUST
2025 SALARY PYT</t>
  </si>
  <si>
    <t>016NEFC252370015  NEFT  CREDIT  CHARGE  - AUGUST 2025 SALARY PYT</t>
  </si>
  <si>
    <t>016VATO252370015   NEFT   CREDIT   CHARGE VAT - AUGUST 2025 SALARY PYT</t>
  </si>
  <si>
    <t>016NEFO252370021  NEFT  CREDIT  -  AUGUST
2025 SALARY PYT</t>
  </si>
  <si>
    <t>016NEFC252370016  NEFT  CREDIT  CHARGE  - AUGUST 2025 SALARY PYT</t>
  </si>
  <si>
    <t>016VATO252370016   NEFT   CREDIT   CHARGE VAT - AUGUST 2025 SALARY PYT</t>
  </si>
  <si>
    <t>016NEFO252370023  NEFT  CREDIT  -  AUGUST
2025 SALARY PYT</t>
  </si>
  <si>
    <t>016NEFC252370017  NEFT  CREDIT  CHARGE  - AUGUST 2025 SALARY PYT</t>
  </si>
  <si>
    <t>016VATO252370017   NEFT   CREDIT   CHARGE VAT - AUGUST 2025 SALARY PYT</t>
  </si>
  <si>
    <t>016NEFO252370024  NEFT  CREDIT  -  AUGUST
2025 SALARY PYT</t>
  </si>
  <si>
    <t>016NEFC252370018  NEFT  CREDIT  CHARGE  - AUGUST 2025 SALARY PYT</t>
  </si>
  <si>
    <t>016VATO252370018   NEFT   CREDIT   CHARGE VAT - AUGUST 2025 SALARY PYT</t>
  </si>
  <si>
    <t>016NEFO252370025  NEFT  CREDIT  -  AUGUST
2025 SALARY PYT</t>
  </si>
  <si>
    <t>016NEFC252370019  NEFT  CREDIT  CHARGE  - AUGUST 2025 SALARY PYT</t>
  </si>
  <si>
    <t>016VATO252370019   NEFT   CREDIT   CHARGE VAT - AUGUST 2025 SALARY PYT</t>
  </si>
  <si>
    <t>016NEFO252370026  NEFT  CREDIT  -  AUGUST
2025 SALARY PYT</t>
  </si>
  <si>
    <t>016NEFC252370020  NEFT  CREDIT  CHARGE  - AUGUST 2025 SALARY PYT</t>
  </si>
  <si>
    <t>016VATO252370020   NEFT   CREDIT   CHARGE VAT - AUGUST 2025 SALARY PYT</t>
  </si>
  <si>
    <t>016NEFO252370027  NEFT  CREDIT  -  AUGUST
2025 SALARY PYT</t>
  </si>
  <si>
    <t>016NEFC252370021  NEFT  CREDIT  CHARGE  - AUGUST 2025 SALARY PYT</t>
  </si>
  <si>
    <t>016VATO252370021   NEFT   CREDIT   CHARGE VAT - AUGUST 2025 SALARY PYT</t>
  </si>
  <si>
    <t>016NEFO252370031  NEFT  CREDIT  -  AUGUST
2025 SALARY PYT</t>
  </si>
  <si>
    <t>016NEFC252370022  NEFT  CREDIT  CHARGE  - AUGUST 2025 SALARY PYT</t>
  </si>
  <si>
    <t>016VATO252370022   NEFT   CREDIT   CHARGE VAT - AUGUST 2025 SALARY PYT</t>
  </si>
  <si>
    <t>016NEFO252370033  NEFT  CREDIT  -  AUGUST
2025 SALARY PYT</t>
  </si>
  <si>
    <t>016NEFC252370023  NEFT  CREDIT  CHARGE  - AUGUST 2025 SALARY PYT</t>
  </si>
  <si>
    <t>016VATO252370023   NEFT   CREDIT   CHARGE VAT - AUGUST 2025 SALARY PYT</t>
  </si>
  <si>
    <t>016NEFO252370034  NEFT  CREDIT  -  AUGUST
2025 STAFF ALLOWANCE PAYMENT</t>
  </si>
  <si>
    <t>016NEFC252370024  NEFT  CREDIT  CHARGE  - AUGUST 2025 STAFF ALLOWANCE PAYMENT</t>
  </si>
  <si>
    <t>016VATO252370024 NEFT CREDIT  CHARGE VAT - AUGUST 2025 STAFF ALLOWANCE PAYMENT</t>
  </si>
  <si>
    <t>016NEFO252370035  NEFT  CREDIT  -  AUGUST
2025 STAFF ALLOWANCE PAYMENT</t>
  </si>
  <si>
    <t>016NEFC252370025  NEFT  CREDIT  CHARGE  - AUGUST 2025 STAFF ALLOWANCE PAYMENT</t>
  </si>
  <si>
    <t>016VATO252370025 NEFT CREDIT  CHARGE VAT - AUGUST 2025 STAFF ALLOWANCE PAYMENT</t>
  </si>
  <si>
    <t>016NEFO252370036  NEFT  CREDIT  -  AUGUST
2025 STAFF ALLOWANCE PAYMENT</t>
  </si>
  <si>
    <t>016NEFC252370026  NEFT  CREDIT  CHARGE  - AUGUST 2025 STAFF ALLOWANCE PAYMENT</t>
  </si>
  <si>
    <t>016VATO252370026 NEFT CREDIT  CHARGE VAT - AUGUST 2025 STAFF ALLOWANCE PAYMENT</t>
  </si>
  <si>
    <t>016NEFO252370037  NEFT  CREDIT  -  AUGUST
2025 STAFF ALLOWANCE PAYMENT</t>
  </si>
  <si>
    <t>016NEFC252370027  NEFT  CREDIT  CHARGE  - AUGUST 2025 STAFF ALLOWANCE PAYMENT</t>
  </si>
  <si>
    <t>016VATO252370027 NEFT CREDIT  CHARGE VAT - AUGUST 2025 STAFF ALLOWANCE PAYMENT</t>
  </si>
  <si>
    <t>016NEFO252370038  NEFT  CREDIT  -  AUGUST
2025 STAFF ALLOWANCE PAYMENT</t>
  </si>
  <si>
    <t>016NEFC252370028  NEFT  CREDIT  CHARGE  - AUGUST 2025 STAFF ALLOWANCE PAYMENT</t>
  </si>
  <si>
    <t>016VATO252370028 NEFT CREDIT  CHARGE VAT - AUGUST 2025 STAFF ALLOWANCE PAYMENT</t>
  </si>
  <si>
    <t>016NEFO252370039  NEFT  CREDIT  -  AUGUST
2025 STAFF ALLOWANCE PAYMENT</t>
  </si>
  <si>
    <t>016NEFC252370029  NEFT  CREDIT  CHARGE  - AUGUST 2025 STAFF ALLOWANCE PAYMENT</t>
  </si>
  <si>
    <t>016VATO252370029 NEFT CREDIT  CHARGE VAT - AUGUST 2025 STAFF ALLOWANCE PAYMENT</t>
  </si>
  <si>
    <t>016NEFO252370040  NEFT  CREDIT  -  AUGUST
2025 STAFF ALLOWANCE PAYMENT</t>
  </si>
  <si>
    <t>016NEFC252370030  NEFT  CREDIT  CHARGE  - AUGUST 2025 STAFF ALLOWANCE PAYMENT</t>
  </si>
  <si>
    <t>016VATO252370030 NEFT CREDIT  CHARGE VAT - AUGUST 2025 STAFF ALLOWANCE PAYMENT</t>
  </si>
  <si>
    <t>016NEFO252370041  NEFT  CREDIT  -  AUGUST
2025 STAFF ALLOWANCE PAYMENT</t>
  </si>
  <si>
    <t>016NEFC252370031  NEFT  CREDIT  CHARGE  - AUGUST 2025 STAFF ALLOWANCE PAYMENT</t>
  </si>
  <si>
    <t>016VATO252370031 NEFT CREDIT  CHARGE VAT - AUGUST 2025 STAFF ALLOWANCE PAYMENT</t>
  </si>
  <si>
    <t>016NEFO252370042  NEFT  CREDIT  -  AUGUST
2025 STAFF ALLOWANCE PAYMENT</t>
  </si>
  <si>
    <t>016NEFC252370032  NEFT  CREDIT  CHARGE  - AUGUST 2025 STAFF ALLOWANCE PAYMENT</t>
  </si>
  <si>
    <t>016VATO252370032 NEFT CREDIT  CHARGE VAT - AUGUST 2025 STAFF ALLOWANCE PAYMENT</t>
  </si>
  <si>
    <t>016NEFO252370043  NEFT  CREDIT  -  AUGUST
2025 STAFF ALLOWANCE PAYMENT</t>
  </si>
  <si>
    <t>016NEFC252370033  NEFT  CREDIT  CHARGE  - AUGUST 2025 STAFF ALLOWANCE PAYMENT</t>
  </si>
  <si>
    <t>016VATO252370033 NEFT CREDIT  CHARGE VAT - AUGUST 2025 STAFF ALLOWANCE PAYMENT</t>
  </si>
  <si>
    <t>016NEFO252370047  NEFT  CREDIT  -  AUGUST
2025 STAFF ALLOWANCE PAYMENT</t>
  </si>
  <si>
    <t>016NEFC252370034  NEFT  CREDIT  CHARGE  - AUGUST 2025 STAFF ALLOWANCE PAYMENT</t>
  </si>
  <si>
    <t>016VATO252370034 NEFT CREDIT  CHARGE VAT - AUGUST 2025 STAFF ALLOWANCE PAYMENT</t>
  </si>
  <si>
    <t>016NEFO252370051  NEFT  CREDIT  -  AUGUST
2025 STAFF ALLOWANCE PAYMENT</t>
  </si>
  <si>
    <t>016NEFC252370035  NEFT  CREDIT  CHARGE  - AUGUST 2025 STAFF ALLOWANCE PAYMENT</t>
  </si>
  <si>
    <t>016VATO252370035 NEFT CREDIT  CHARGE VAT - AUGUST 2025 STAFF ALLOWANCE PAYMENT</t>
  </si>
  <si>
    <t>016NEFO252370056  NEFT  CREDIT  -  AUGUST
2025 STAFF ALLOWANCE PAYMENT</t>
  </si>
  <si>
    <t>016NEFC252370036  NEFT  CREDIT  CHARGE  - AUGUST 2025 STAFF ALLOWANCE PAYMENT</t>
  </si>
  <si>
    <t>016VATO252370036   NEFT   CREDIT   CHARGE VAT   -   AUGUST   2025   STAFF   ALLOWANCE
PAYMENT</t>
  </si>
  <si>
    <t>016NEFO252370057  NEFT  CREDIT  -  AUGUST
2025 STAFF ALLOWANCE PAYMENT</t>
  </si>
  <si>
    <t>016NEFC252370037  NEFT  CREDIT  CHARGE  - AUGUST 2025 STAFF ALLOWANCE PAYMENT</t>
  </si>
  <si>
    <t>016VATO252370037 NEFT CREDIT  CHARGE VAT - AUGUST 2025 STAFF ALLOWANCE PAYMENT</t>
  </si>
  <si>
    <t>016NEFO252370058  NEFT  CREDIT  -  AUGUST
2025 STAFF ALLOWANCE PAYMENT</t>
  </si>
  <si>
    <t>016NEFC252370038  NEFT  CREDIT  CHARGE  - AUGUST 2025 STAFF ALLOWANCE PAYMENT</t>
  </si>
  <si>
    <t>016VATO252370038 NEFT CREDIT  CHARGE VAT - AUGUST 2025 STAFF ALLOWANCE PAYMENT</t>
  </si>
  <si>
    <t>016NEFO252370059  NEFT  CREDIT  -  AUGUST
2025 STAFF ALLOWANCE PAYMENT</t>
  </si>
  <si>
    <t>016NEFC252370039  NEFT  CREDIT  CHARGE  - AUGUST 2025 STAFF ALLOWANCE PAYMENT</t>
  </si>
  <si>
    <t>016VATO252370039 NEFT CREDIT  CHARGE VAT - AUGUST 2025 STAFF ALLOWANCE PAYMENT</t>
  </si>
  <si>
    <t>016NEFO252370060  NEFT  CREDIT  -  AUGUST
2025 STAFF ALLOWANCE PAYMENT</t>
  </si>
  <si>
    <t>016NEFC252370040  NEFT  CREDIT  CHARGE  - AUGUST 2025 STAFF ALLOWANCE PAYMENT</t>
  </si>
  <si>
    <t>016VATO252370040 NEFT CREDIT  CHARGE VAT - AUGUST 2025 STAFF ALLOWANCE PAYMENT</t>
  </si>
  <si>
    <t>016NEFO252370061  NEFT  CREDIT  -  AUGUST
2025 STAFF ALLOWANCE PAYMENT</t>
  </si>
  <si>
    <t>016NEFC252370041  NEFT  CREDIT  CHARGE  - AUGUST 2025 STAFF ALLOWANCE PAYMENT</t>
  </si>
  <si>
    <t>016VATO252370041 NEFT CREDIT  CHARGE VAT - AUGUST 2025 STAFF ALLOWANCE PAYMENT</t>
  </si>
  <si>
    <t>016NEFO252370062  NEFT  CREDIT  -  AUGUST
2025 STAFF ALLOWANCE PAYMENT</t>
  </si>
  <si>
    <t>016NEFC252370042  NEFT  CREDIT  CHARGE  - AUGUST 2025 STAFF ALLOWANCE PAYMENT</t>
  </si>
  <si>
    <t>016VATO252370042 NEFT CREDIT  CHARGE VAT - AUGUST 2025 STAFF ALLOWANCE PAYMENT</t>
  </si>
  <si>
    <t>016NEFO252370063  NEFT  CREDIT  -  AUGUST
2025 STAFF ALLOWANCE PAYMENT</t>
  </si>
  <si>
    <t>016NEFC252370043  NEFT  CREDIT  CHARGE  - AUGUST 2025 STAFF ALLOWANCE PAYMENT</t>
  </si>
  <si>
    <t>016VATO252370043 NEFT CREDIT  CHARGE VAT - AUGUST 2025 STAFF ALLOWANCE PAYMENT</t>
  </si>
  <si>
    <t>016NEFO252370064  NEFT  CREDIT  -  AUGUST
2025 STAFF ALLOWANCE PAYMENT</t>
  </si>
  <si>
    <t>016NEFC252370045  NEFT  CREDIT  CHARGE  - AUGUST 2025 STAFF ALLOWANCE PAYMENT</t>
  </si>
  <si>
    <t>016NEFO252370066  NEFT  CREDIT  -  AUGUST
2025 STAFF ALLOWANCE PAYMENT</t>
  </si>
  <si>
    <t>016VATO252370044 NEFT CREDIT  CHARGE VAT - AUGUST 2025 STAFF ALLOWANCE PAYMENT</t>
  </si>
  <si>
    <t>016NEFC252370046  NEFT  CREDIT  CHARGE  - AUGUST 2025 STAFF ALLOWANCE PAYMENT</t>
  </si>
  <si>
    <t>016VATO252370045 NEFT CREDIT  CHARGE VAT - AUGUST 2025 STAFF ALLOWANCE PAYMENT</t>
  </si>
  <si>
    <t>016NEFO252370067  NEFT  CREDIT  -  AUGUST
2025 STAFF ALLOWANCE PAYMENT</t>
  </si>
  <si>
    <t>016NEFC252370048  NEFT  CREDIT  CHARGE  - AUGUST 2025 STAFF ALLOWANCE PAYMENT</t>
  </si>
  <si>
    <t>016VATO252370046 NEFT CREDIT  CHARGE VAT - AUGUST 2025 STAFF ALLOWANCE PAYMENT</t>
  </si>
  <si>
    <t>016EMTL2523700O6     ELECTRONIC     MONEY TRANSFER LEVY</t>
  </si>
  <si>
    <t>26-AUG-
2025</t>
  </si>
  <si>
    <t>016NIPO252380002 NIP - NIP TRF IFO OLALEYE KAYODE B/O ILORIN  TECH  PARK LTD (IIH AUG 2025 ALLOWANCE</t>
  </si>
  <si>
    <t>016NIPC252380002 NIP Charge - NIP TRF IFO OLALEYE KAYODE B/O ILORIN  TECH  PARK LTD (IIH AUG 2025 ALLOWANCE</t>
  </si>
  <si>
    <t>016VATP252380002 NIP Charge VAT - NIP TRF IFO OLALEYE KAYODE B/O ILORIN TECH PARK LTD (IIH AUG 2025 ALLOWANCE</t>
  </si>
  <si>
    <t>000MOBT252381475      TRADE      FAIR      TRIP
LAGOS LOGISTICS NIP Transfer from ILORIN INNOVATION HUB LTD to JAMIU ADEBO</t>
  </si>
  <si>
    <t>016NIPO252380010 NIP - NIP TRF IFO ABDULKHALEED EYITAYO ALABI B/O ILORIN TECH PARK LTD (IIH SALARY AUG 2025</t>
  </si>
  <si>
    <t>016NIPC252380010 NIP Charge - NIP TRF IFO ABDULKHALEED EYITAYO ALABI B/O ILORIN TECH PARK LTD (IIH SALARY AUG 2025</t>
  </si>
  <si>
    <t>016VATP252380010 NIP Charge VAT - NIP TRF IFO ABDULKHALEED EYITAYO ALABI B/O ILORIN TECH PARK LTD (IIH SALARY AUG</t>
  </si>
  <si>
    <t>016NIPO252380011 NIP - NIP TRF IFO SAMUEL STEVEN ARISE B/O  ILORIN TECH PARK LTD</t>
  </si>
  <si>
    <t>016NIPC252380011 NIP Charge - NIP TRF IFO SAMUEL STEVEN ARISE B/O ILORIN TECH PARK LTD</t>
  </si>
  <si>
    <t>016VATP252380011 NIP Charge VAT - NIP TRF IFO SAMUEL STEVEN ARISE  B/O  ILORIN TECH PARK LTD</t>
  </si>
  <si>
    <t>016NIPO252380012 NIP - NIPTRF IFO HENRY MGBECHI CHUKWUEBUKA B/O ILORIN TECH PARK LTD</t>
  </si>
  <si>
    <t>016NIPC252380012 NIP Charge - NIPTRF IFO HENRY MGBECHI CHUKWUEBUKA  B/O ILORIN TECH PARK LTD</t>
  </si>
  <si>
    <t>016VATP252380012 NIP Charge VAT - NIPTRF IFO  HENRY  MGBECHI  CHUKWUEBUKA  B/O
ILORIN TECH PARK LTD</t>
  </si>
  <si>
    <t>016NIPO252380013 NIP - NIP TRF IFO OLALEYE KAYODE B/O ILORIN  TECH  PARK LTD</t>
  </si>
  <si>
    <t>016NIPC252380013 NIP Charge - NIP TRF IFO OLALEYE KAYODE B/O ILORIN  TECH  PARK LTD</t>
  </si>
  <si>
    <t>016VATP252380013 NIP Charge VAT - NIP TRF IFO OLALEYE KAYODE B/O ILORIN TECH PARK LTD</t>
  </si>
  <si>
    <t>016NIPO252380014 NIP - NIP TRF IFO OLUWADAMILARE EMMANUEL OLOYEDE B/O ILORIN TECH PARK LTD</t>
  </si>
  <si>
    <t>016NIPC252380014 NIP Charge - NIP TRF IFO OLUWADAMILARE EMMANUEL OLOYEDE B/O ILORIN TECH PARK LTD</t>
  </si>
  <si>
    <t>016VATP252380014 NIP Charge VAT - NIP TRF IFO OLUWADAMILARE EMMANUEL OLOYEDE B/O  ILORIN TECH PARK LTD</t>
  </si>
  <si>
    <t>016NIPO252380015 NIP - NIP TRF IFO YUSUF DOLAPO ABDULRAMAN B/O ILORIN TECH PARK LTD</t>
  </si>
  <si>
    <t>016NIPC252380015 NIP Charge - NIP TRF IFO YUSUF DOLAPO ABDULRAMAN B/O ILORIN TECH PARK LTD</t>
  </si>
  <si>
    <t>016VATP252380015 NIP Charge VAT - NIP TRF IFO YUSUF DOLAPO ABDULRAMAN  B/O ILORIN TECH PARK LTD</t>
  </si>
  <si>
    <t>016NIPO252380016 NIP - NIP TRF IFO SHEIDU AL FAID OSIFOMOFURA B/O ILORIN TECH PARK LTD</t>
  </si>
  <si>
    <t>016NIPC252380016 NIP Charge - NIP TRF IFO SHEIDU AL FAID OSIFOMOFURA B/O ILORIN TECH PARK LTD</t>
  </si>
  <si>
    <t>016VATP252380016 NIP Charge VAT - NIP TRF IFO SHEIDU AL  FAID OSIFOMOFURA B/O ILORIN TECH PARK LTD</t>
  </si>
  <si>
    <t>016NIPO252380017 NIP - NIP TRF IFO DELE OLUKOJU AOFIOLUJUWON MIRI B/O ILORIN TECH PARK LTD</t>
  </si>
  <si>
    <t>016NIPC252380017 NIP Charge - NIP TRF IFO DELE OLUKOJU AOFIOLUJUWON MIRI B/O ILORIN TECH PARK LTD</t>
  </si>
  <si>
    <t>016VATP252380017 NIP Charge VAT - NIP TRF IFO DELE OLUKOJU AOFIOLUJUWON MIRI B/O  ILORIN TECH PARK LTD</t>
  </si>
  <si>
    <t>016NIPO252380018 NIP - NIP TRF IFO OWARE JOAN B/O  ILORIN TECH PARK LTD</t>
  </si>
  <si>
    <t>016NIPC252380018 NIP Charge - NIP TRF IFO OWARE JOAN B/O  ILORIN TECH PARK LTD</t>
  </si>
  <si>
    <t>016VATP252380018 NIP Charge VAT - NIP TRF IFO OWARE JOAN B/O ILORIN TECH  PARK LTD</t>
  </si>
  <si>
    <t>016NIPO252380019 NIP - NIP TRF IFO OKEY MAUREEN DANIEL B/O ILORIN TECH PARK LTD</t>
  </si>
  <si>
    <t>016NIPC252380019 NIP Charge - NIP TRF IFO OKEY MAUREEN DANIEL B/O ILORIN TECH PARK LTD</t>
  </si>
  <si>
    <t>016VATP252380019 NIP Charge VAT - NIP TRF IFO OKEY MAUREEN DANIEL  B/O ILORIN TECH PARK LTD</t>
  </si>
  <si>
    <t>016NIPO252380020 NIP - NIP TRF IFO MUHAMMED NASIRU MAHMOOD B/O ILORIN TECH PARK LTD</t>
  </si>
  <si>
    <t>016NIPC252380020 NIP Charge - NIP TRF IFO MUHAMMED NASIRU MAHMOOD  B/O   ILORIN
TECH PARK LTD</t>
  </si>
  <si>
    <t>016VATP252380020 NIP Charge VAT - NIP TRF IFO MUHAMMED NASIRU MAHMOOD B/O ILORIN TECH PARK LTD</t>
  </si>
  <si>
    <t>016NIPO252380021 NIP - NIP TRF IFO OKOLIE OGOCHUKWUKA BENJAMIN  B/O  ILORIN TECH PARK LTD</t>
  </si>
  <si>
    <t>016NIPC252380021 NIP Charge - NIP TRF IFO OKOLIE OGOCHUKWUKA BENJAMIN B/O ILORIN TECH PARK LTD</t>
  </si>
  <si>
    <t>016VATP252380021 NIP Charge VAT - NIP TRF IFO OKOLIE OGOCHUKWUKA BENJAMIN B/O ILORIN TECH PARK LTD</t>
  </si>
  <si>
    <t>016NIPO252380022 NIP - NIP  TRF  IFO AKANDE  OLUWASAYO  TEMILOLA   B/O ILORIN TECH PARK LTD</t>
  </si>
  <si>
    <t>016NIPC252380022 NIP Charge - NIP TRF IFO AKANDE  OLUWASAYO  TEMILOLA   B/O ILORIN TECH PARK LTD</t>
  </si>
  <si>
    <t>016VATP252380022 NIP Charge VAT - NIP TRF IFO AKANDE OLUWASAYO TEMILOLA B/O ILORIN TECH PARK LTD</t>
  </si>
  <si>
    <t>016NIPO252380023 NIP - NIP TRF IFO ONUCHUKWU SINACHI GOODNESS B/O ILORIN TECH PARK LTD</t>
  </si>
  <si>
    <t>016NIPC252380023 NIP Charge - NIP TRF IFO ONUCHUKWU SINACHI GOODNESS B/O ILORIN TECH PARK LTD</t>
  </si>
  <si>
    <t>016VATP252380023 NIP Charge VAT - NIP TRF IFO ONUCHUKWU SINACHI GOODNESS B/O ILORIN TECH PARK LTD</t>
  </si>
  <si>
    <t>016NIPO252380024 NIP - NIP TRF IFO SULYMAN YUSUF ALAO B/O ILORIN TECH PARK LTD</t>
  </si>
  <si>
    <t>016NIPC252380024 NIP Charge - NIP TRF IFO SULYMAN YUSUF ALAO B/O ILORIN TECH PARK LTD</t>
  </si>
  <si>
    <t>016VATP252380024 NIP Charge VAT - NIP TRF IFO SULYMAN YUSUF ALAO  B/O  ILORIN TECH PARK LTD</t>
  </si>
  <si>
    <t>016NIPO252380025  NIP - NIP TRF IFO KAMIL LANRE AHMED B/O  ILORIN TECH PARK LTD</t>
  </si>
  <si>
    <t>016NIPC252380025 NIP Charge - NIP TRF IFO KAMIL LANRE AHMED B/O  ILORIN  TECH PARK LTD</t>
  </si>
  <si>
    <t>016VATP252380025 NIP Charge VAT - NIP TRF IFO KAMIL LANRE AHMED B/O ILORIN TECH PARK LTD</t>
  </si>
  <si>
    <t>016NIPO252380026 NIP - NIP TRF IFO TEMILOLUWA OLUWALEKE KOLAWOLE B/O ILORIN TECH PARK LTD</t>
  </si>
  <si>
    <t>016NIPC252380026 NIP Charge - NIP TRF IFO TEMILOLUWA OLUWALEKE KOLAWOLE B/O ILORIN TECH PARK LTD</t>
  </si>
  <si>
    <t>016VATP252380026 NIP Charge VAT - NIP TRF IFO TEMILOLUWA OLUWALEKE KOLAWOLE B/O  ILORIN TECH PARK LTD</t>
  </si>
  <si>
    <t>016NIPO252380027 NIP - NIP TRF IFO JAMIU ADEBOLA OLADIPO B/O ILORIN TECH PARK LTD</t>
  </si>
  <si>
    <t>016NIPC252380027 NIP Charge - NIP TRF IFO JAMIU ADEBOLA OLADIPO B/O ILORIN TECH PARK LTD</t>
  </si>
  <si>
    <t>016VATP252380027 NIP Charge VAT - NIP TRF IFO JAMIU ADEBOLA OLADIPO B/O ILORIN TECH PARK LTD</t>
  </si>
  <si>
    <t>016NIPO252380028    NIP    -    NIP    TRF    IFO AYORINDE  OLAMIDE  OPEMIPO  B/O   ILORIN
TECH PARK LTD</t>
  </si>
  <si>
    <t>016NIPC252380028 NIP Charge - NIP TRF IFO AYORINDE OLAMIDE OPEMIPO B/O ILORIN TECH PARK LTD</t>
  </si>
  <si>
    <t>016VATP252380028 NIP Charge VAT - NIP TRF IFO AYORINDE OLAMIDE OPEMIPO  B/O ILORIN TECH PARK LTD</t>
  </si>
  <si>
    <t>016NIPO252380029 NIP - NIP TRF IFO KHADIJAT ZUMAH SULYMAN B/O  ILORIN TECH PARK LTD</t>
  </si>
  <si>
    <t>016NIPC252380029 NIP Charge - NIP TRF IFO KHADIJAT ZUMAH SULYMAN B/O  ILORIN TECH PARK LTD</t>
  </si>
  <si>
    <t>016VATP252380029 NIP Charge VAT - NIP TRF IFO KHADIJAT ZUMAH SULYMAN B/O ILORIN TECH PARK LTD</t>
  </si>
  <si>
    <t>016NIPO252380030 NIP - NIP TRF IFO ABDULHAMEED BOLAJI MUSTAPHA B/O ILORIN TECH PARK LTD</t>
  </si>
  <si>
    <t>016NIPC252380030 NIP Charge - NIP TRF IFO ABDULHAMEED BOLAJI MUSTAPHA B/O ILORIN TECH PARK LTD</t>
  </si>
  <si>
    <t>016VATP252380030 NIP Charge VAT - NIP TRF IFO ABDULHAMEED BOLAJI MUSTAPHA B/O ILORIN TECH PARK LTD</t>
  </si>
  <si>
    <t>016NIPO252380031 NIP - NIP TRF IFO HAPPINESS SAMUEL  B/O  ILORIN  TECH PARK LTD</t>
  </si>
  <si>
    <t>016NIPC252380031 NIP Charge - NIP TRF IFO HAPPINESS SAMUEL  B/O  ILORIN  TECH PARK LTD</t>
  </si>
  <si>
    <t>016VATP252380031 NIP Charge VAT - NIP TRF IFO HAPPINESS SAMUEL B/O ILORIN TECH PARK LTD</t>
  </si>
  <si>
    <t>016NIPO252380032 NIP - NIP TRF IFO MUINAT OYINKANSOLA BELLO B/O ILORIN TECH PARK LTD</t>
  </si>
  <si>
    <t>016NIPC252380032 NIP Charge - NIP TRF IFO MUINAT OYINKANSOLA BELLO B/O ILORIN TECH PARK LTD</t>
  </si>
  <si>
    <t>016VATP252380032 NIP Charge VAT - NIP TRF IFO MUINAT OYINKANSOLA BELLO  B/O ILORIN TECH PARK LTD</t>
  </si>
  <si>
    <t>016NIPO252380033 NIP - NIP TRF IFO ABDULRASAQ ABDULRASAQ B/O  ILORIN TECH PARK LTD</t>
  </si>
  <si>
    <t>016NIPC252380033 NIP Charge - NIP TRF IFO ABDULRASAQ ABDULRASAQ B/O  ILORIN TECH PARK LTD</t>
  </si>
  <si>
    <t>016VATP252380033 NIP Charge VAT - NIP TRF IFO  ABDULRASAQ  ABDULRASAQ  B/O ILORIN TECH PARK LTD</t>
  </si>
  <si>
    <t>016NIPO252380034 NIP - NIP TRF IFO AMIDAT OLUWATOSIN OLALERE B/O ILORIN TECH PARK LTD</t>
  </si>
  <si>
    <t>016NIPC252380034 NIP Charge - NIP TRF IFO AMIDAT OLUWATOSIN OLALERE B/O ILORIN TECH PARK LTD</t>
  </si>
  <si>
    <t>016VATP252380034 NIP Charge VAT - NIP TRF IFO AMIDAT OLUWATOSIN OLALERE B/O ILORIN TECH PARK LTD</t>
  </si>
  <si>
    <t>000MOBT252384664       FACILITY       RUNNING
COSTS    AUG    NIP    Transfer    from    ILORIN INNOVATION HUB LTD to KAMIL LANRE</t>
  </si>
  <si>
    <t>000o752252380016 RVSL OF AUGUST 2025 STAFF ALLOWANCE PAYMENT FOR 16 BENEFICIARIES</t>
  </si>
  <si>
    <t>000o752252380017 FAILED-AUGUST 2025 STAFF ALLOWANCE PAYMENT FOR 2 BENEFICIARIES</t>
  </si>
  <si>
    <t>000MOBT25238A08K TWO NIGHTS ADEBOLA TRADE FAIR TRIP TO LAGOS NIP Transfer from ILORIN INNOVATION HUB LTD to</t>
  </si>
  <si>
    <t>000MOBT25238A0KJ  IIH  SALARY  AUG  2025
NIP  Transfer  from  ILORIN  INNOVATION  HUB LTD to FARAYADE EMMANUEL OLAWA</t>
  </si>
  <si>
    <t>27-AUG-
2025</t>
  </si>
  <si>
    <t>000MOBT252397226   AIRTEL   WIFI   SUB   NIP
Transfer  from  ILORIN  INNOVATION  HUB  LTD to PAYSTACK CHECKOUT</t>
  </si>
  <si>
    <t>000MOBT252397283  IIH  TRADE  FAIR  PRINT
MATERIALS     NIP     Transfer     from     ILORIN INNOVATION HUB LTD to PRINT WORLD</t>
  </si>
  <si>
    <t>000MOBT252399651 TWENTY PACKS OF WATER CCHUB 12 13 14 AUG NIP  Transfer from ILORIN INNOVATION HUB LTD to OL</t>
  </si>
  <si>
    <t>000MOBT252399787  MD  GITEX  TRIP  FLIGHT
TICKET  ILV  LOS  NIP  Transfer  from  ILORIN INNOVATION HUB LTD to PAYSTAC</t>
  </si>
  <si>
    <t>000MOBT25239A01H   REIMBURSEMENT   FOR
AUG   STAFF   HANGOUT   NIP   Transfer   from ILORIN INNOVATION HUB LTD to TEMILOL</t>
  </si>
  <si>
    <t>29-AUG-
2025</t>
  </si>
  <si>
    <t>000MOBT25241ADC5   REIMBURSEMENT   FOR
DRINKS PURCHASE NIP Transfer from ILORIN INNOVATION HUB LTD to OKEY MAUR</t>
  </si>
  <si>
    <t>016AMFV25241002Y  VAT  ON  TRANSACTION CHARGES</t>
  </si>
  <si>
    <t>016AMFC25241003S                             ACCOUNT MAINTENANCE FEE</t>
  </si>
  <si>
    <t>01-SEP-
2025</t>
  </si>
  <si>
    <t>000MOBT25244A6TY PAYMENT FOR PURCHASE OF PLASTIC CHAIRS NIP Transfer from ILORIN INNOVATION HUB LTD to SERI</t>
  </si>
  <si>
    <t>000MOBT25244A6WO  PAYMENT  FOR  WASTE
DISPOSAL  FOR  AUGUST  NIP  Transfer  from ILORIN INNOVATION HUB LTD to EXTRE</t>
  </si>
  <si>
    <t>000MOBT25244A9SS  PAYMENT  FOR  FLIGHT TICKET   MD   GITEX   RETURN   LOS   ILV   NIP
Transfer from ILORIN INNOVATION HUB</t>
  </si>
  <si>
    <t>02-SEP-
2025</t>
  </si>
  <si>
    <t>016NIPO252450052   NIP   -   BEING   PAYMENT FOR AUGUST 2025 SECURITY SERVICE</t>
  </si>
  <si>
    <t>016NIPC252450052 NIP Charge - BEING PAYMENT FOR AUGUST 2025 SECURITY SERVICE</t>
  </si>
  <si>
    <t>016VATP252450052 NIP  Charge VAT - BEING PAYMENT FOR AUGUST 2025 SECURITY SERVICE</t>
  </si>
  <si>
    <t>016NIPO252450053 NIP - BNG PAYMENT TO HIRE AND TRANSPORT 20KVA DIESEL GENERATOR FOR 12 DAYS</t>
  </si>
  <si>
    <t>016NIPC252450053 NIP Charge - BNG PAYMENT TO HIRE AND TRANSPORT 20KVA DIESEL GENERATOR FOR 12 DAYS</t>
  </si>
  <si>
    <t>016VATP252450053 NIP Charge VAT - BNG PAYMENT TO HIRE AND TRANSPORT 20KVA DIESEL GENERATOR FOR 12 DAYS</t>
  </si>
  <si>
    <t>016NIPO252450069 NIP - BNG PAYMENT FOR AUGUST 2025 STAFF PENSION</t>
  </si>
  <si>
    <t>016NIPC252450069 NIP Charge - BNG PAYMENT FOR AUGUST 2025  STAFF PENSION</t>
  </si>
  <si>
    <t>016VATP252450069  NIP  Charge  VAT  -  BNG PAYMENT     FOR     AUGUST     2025     STAFF
PENSION</t>
  </si>
  <si>
    <t>016NIPO252450070 NIP - BNG PAYMENT FOR JULY 2025 STAFF PENSION</t>
  </si>
  <si>
    <t>016NIPC252450070     NIP     Charge     -     BNG PAYMENT FOR JULY 2025 STAFF PENSION</t>
  </si>
  <si>
    <t>016VATP252450070  NIP  Charge  VAT  -  BNG PAYMENT FOR JULY 2025 STAFF PENSION</t>
  </si>
  <si>
    <t>016NIPO252450073 NIP - BNG PAYMENT FOR JUNE 2025 STAFF PENSION</t>
  </si>
  <si>
    <t>016NIPC252450073     NIP     Charge     -     BNG PAYMENT FOR JUNE 2025 STAFF PENSION</t>
  </si>
  <si>
    <t>016VATP252450073  NIP  Charge  VAT  -  BNG PAYMENT FOR JUNE 2025 STAFF PENSION</t>
  </si>
  <si>
    <t>016NIPO252450080 NIP - BNG PAYMENT FOR MAY 2025 STAFF PENSION</t>
  </si>
  <si>
    <t>016NIPC252450080     NIP     Charge     -     BNG PAYMENT FOR MAY 2025 STAFF PENSION</t>
  </si>
  <si>
    <t>016VATP252450080  NIP  Charge  VAT  -  BNG PAYMENT FOR MAY 2025 STAFF PENSION</t>
  </si>
  <si>
    <t>016NIPO252450081 NIP - BNG PAYMENT FOR AUGUST 2025 LANDSCAPING SERVICE</t>
  </si>
  <si>
    <t>016NIPC252450081 NIP Charge - BNG PAYMENT FOR AUGUST 2025 LANDSCAPING SERVICE</t>
  </si>
  <si>
    <t>016VATP252450081 NIP Charge VAT - BNG PAYMENT FOR AUGUST 2025 LANDSCAPING SERVICE</t>
  </si>
  <si>
    <t>000MOBT25245A18Q PAYMENT FOR MD STAY
3  NIGHTS  GITEX  NIP  Transfer  from  ILORIN INNOVATION HUB LTD to T9 HOTEL</t>
  </si>
  <si>
    <t>016NIPO252450087 NIP - BNG PAYMENT FOR MARCH 2025 STAFF PENSION</t>
  </si>
  <si>
    <t>016NIPC252450087     NIP     Charge     -     BNG PAYMENT FOR MARCH 2025 STAFF PENSION</t>
  </si>
  <si>
    <t>016VATP252450087  NIP  Charge  VAT  -  BNG PAYMENT FOR MARCH 2025 STAFF PENSION</t>
  </si>
  <si>
    <t>016NIPO252450088 NIP - BNG PAYMENT FOR APRIL 2025 STAFF PENSION</t>
  </si>
  <si>
    <t>016NIPC252450088     NIP     Charge     -     BNG PAYMENT FOR APRIL 2025 STAFF PENSION</t>
  </si>
  <si>
    <t>016VATP252450088  NIP  Charge  VAT  -  BNG PAYMENT FOR APRIL 2025 STAFF PENSION</t>
  </si>
  <si>
    <t>03-SEP-
2025</t>
  </si>
  <si>
    <t>016NIPO252460004 NIP - NIP TRF IFO ISREAL ABIODUN B/O  ILORIN TECH PARK LTD</t>
  </si>
  <si>
    <t>016NIPC252460004 NIP Charge - NIP TRF IFO ISREAL  ABIODUN  B/O   ILORIN  TECH  PARK
LTD</t>
  </si>
  <si>
    <t>016VATP252460004 NIP Charge VAT - NIP TRF IFO ISREAL ABIODUN B/O  ILORIN  TECH PARK LTD</t>
  </si>
  <si>
    <t>000MOBT252463993 PAYMENT FOR DIESEL PURCHASE 251L ELEVATOR  NIP  Transfer from ILORIN INNOVATION HUB LTD to</t>
  </si>
  <si>
    <t>000MOBT252465110           PAYMENT           FOR BREAKFAST  REFRESHMENTS  TA COMM  NIP
Transfer from ILORIN INNOVATION HUB LTD</t>
  </si>
  <si>
    <t>000MOBT252466909 REIMBURSEMENT FOR STAFF BIRTHDAY CAKE CARDS NIP Transfer from ILORIN INNOVATION HUB LTD t</t>
  </si>
  <si>
    <t>000MOBT252467581   IIH   AUG   ALLOWANCE
NIP  Transfer  from  ILORIN  INNOVATION  HUB LTD to FARAYADE EMMANUEL OLAWALE</t>
  </si>
  <si>
    <t>016NIPO252460039   NIP   -   BNG   PYT   FOR AUGUST 2025 JANITORIAL SERVICES</t>
  </si>
  <si>
    <t>016NIPC252460038   NIP  Charge  -  BNG  PYT FOR AUGUST 2025 JANITORIAL SERVICES</t>
  </si>
  <si>
    <t>016VATP252460038 NIP Charge VAT - BNG PYT FOR AUGUST 2025 JANITORIAL SERVICES</t>
  </si>
  <si>
    <t>0160020252460001 REMITTA PAYMENT FOR STAFF NATIONAL  HOUSING  FUND  B/O ILORIN TECH PARK LTD</t>
  </si>
  <si>
    <t>000MOBT25246A2PV  OFFICE  SUPPLIES  FOR
AUGUST      NIP      Transfer      from      ILORIN INNOVATION HUB LTD to MAUREEN DANIEL</t>
  </si>
  <si>
    <t>04-SEP-
2025</t>
  </si>
  <si>
    <t>000MOBT252474993 PAYMENT FOR TA COMM
EVENT   LUNCH   NIP   Transfer   from   ILORIN INNOVATION HUB LTD to ARIYO VICTO</t>
  </si>
  <si>
    <t>000MOBT25247AC0N   REIMBURSEMENT   FOR
MD   LOGISTICS   GITEX   NIP   Transfer   from ILORIN INNOVATION HUB LTD to TEMILO</t>
  </si>
  <si>
    <t>08-SEP-
2025</t>
  </si>
  <si>
    <t>000MOBT252518586    REIMBURSEMENT    FOR HOSPOTALITY  LOGISTICS  IHS  GUESTS   NIP
Transfer from ILORIN INNOVATION HU</t>
  </si>
  <si>
    <t>000MOBT25251A4JV  PAYMENT  FOR  LAGOS LOGISTICS    IIH    STAFF    ZOHO    TRIP    NIP
Transfer from ILORIN INNOVATION HUB LT</t>
  </si>
  <si>
    <t>000MOBT25251A70Q          PAYMENT          COR ACCOMODATION    FOR    IIH    STAFF    ZOHO
LAGOS TRIP  NIP Transfer from ILORIN</t>
  </si>
  <si>
    <t>000MOBT25251ADGL PAYMENT  FOR BUSINESS CARDS IIH STAFF NIP Transfer from ILORIN INNOVATION HUB LTD to</t>
  </si>
  <si>
    <t>000MOBT25251AGLX          PAYMENT          FOR ADDITIONAL    BUSINESS    CARDS    MD    NIP
Transfer from ILORIN INNOVATION HUB LTD</t>
  </si>
  <si>
    <t>000MOBT25251AIU6           PAYMENT           FOR ACCOMODATION  BALANCE  FOR  IIH  STAFF
ZOHO LAGOS TRIP NIP Transfer from ILORIN</t>
  </si>
  <si>
    <t>Generator Rentals</t>
  </si>
  <si>
    <t>Bank</t>
  </si>
  <si>
    <t>Bank01</t>
  </si>
  <si>
    <t>Bank02</t>
  </si>
  <si>
    <t>31-MAY-
2025</t>
  </si>
  <si>
    <t>Bank transactions in May</t>
  </si>
  <si>
    <t>Bank balance</t>
  </si>
  <si>
    <t>Bank transactions in June</t>
  </si>
  <si>
    <t>Expense</t>
  </si>
  <si>
    <t>Bank transactions in July</t>
  </si>
  <si>
    <t>Bank transactions in August</t>
  </si>
  <si>
    <t>CIP/CR//NIP Transfer to ILORIN TECH PARK LTD. 000260490164/FRM ADEBAYO SAFAU IYABO
000013250702120114000260490164</t>
  </si>
  <si>
    <t>LEGAL SEARCH FEE</t>
  </si>
  <si>
    <t>NIP/PBNL/TUNMISEJOHNSONHOUSEHO LDFOUNDA /To ZENITH BANK ILORIN TECH PARK LTD Payment for refreshment</t>
  </si>
  <si>
    <t>FGN ELECTRONIC MONEY TRANSFER
LEVY</t>
  </si>
  <si>
    <t>TRF FROM TUNMISE JOHNSON//TRF TO
ILORIN TECH PARK LTD//Food and drink</t>
  </si>
  <si>
    <t>NIP/FCMB/ADEBAYO IYABO Bank ILORIN TECH PARK LTD
SAFAU/AppEoDB Refreshments To Zenith</t>
  </si>
  <si>
    <t>TRF FRM TUNMISE JOHNSON HOUSEHOLD FOUNDATION</t>
  </si>
  <si>
    <t>NIP CR// BOA FOODS RESTAURANT LTD
- 2/ROLEZ/payment made for refreshment for event catering</t>
  </si>
  <si>
    <t>NIP CHARGE + VAT</t>
  </si>
  <si>
    <t>NIP CR// BOA FOODS RESTAURANT LTD
- 2/ROLEZ/refreshment and event catering</t>
  </si>
  <si>
    <t>CIP/CR//Transfer from SOLOMON
ILEMONA SAMUEL 100004250718065709137041570691</t>
  </si>
  <si>
    <t>NIP CR//OKEY MAUREEN DANIEL/GTB
/PAYMENT FOR REFRESHMENT REIMBURSEMENT</t>
  </si>
  <si>
    <t>NIP/ROLEZ/NGUTOR MICHAEL AKPEM/Payment for REFRESHMENT BY 3SU MENTORS/AT68</t>
  </si>
  <si>
    <t>TRF FRM TUNMISE JOHNSON HOUSEHOLD FOUNDATION TO ILORIN 
TECH PARK LTD</t>
  </si>
  <si>
    <t>FGN ELECTRONIC MONEY TRANSFER LEVY</t>
  </si>
  <si>
    <t xml:space="preserve">:ETZ INFLOW 09FG250730171527404NEHDLJ:
completion for refreshments </t>
  </si>
  <si>
    <t>ACCOUNT MAINTENANCE FEE</t>
  </si>
  <si>
    <t>VAT ON ACCOUNT MAINTENNACE FEE</t>
  </si>
  <si>
    <t>NIP CR// BOA FOODS RESTAURANT LTD
- 2/ROLEZ/TRF</t>
  </si>
  <si>
    <t>:ETZ INFLOW BOLATITO GANIYAT OLAGUNJU to 09FG250819202702574RJSV9Z:</t>
  </si>
  <si>
    <t>NIP CR// BOA FOODS RESTAURANT LTD
- 2/ROLEZ/trf</t>
  </si>
  <si>
    <t>CIP/CR//Transfer from OLUWASEYI 100004250822145246139533323913
RACHAEL ROTIMI</t>
  </si>
  <si>
    <t>TRF FROM TUNMISE JOHNSON
HOUSEHOLD FOUNDATIO/1756149758657</t>
  </si>
  <si>
    <t>NIP CR//JIMOH SULEIMAN 
OLAWALE/FCMB /REFRESHMENT -BASE 
ONCHAIN SUMMER WORKSHOP</t>
  </si>
  <si>
    <t>NIP/GTB/COCREATION HUB LIMITED/ER_x0002_06213 IHS Ilorin Meals for meet and greet 212086272 GAPS0003691237212086272S</t>
  </si>
  <si>
    <t>Bank transactions in September</t>
  </si>
  <si>
    <t>Landscaping</t>
  </si>
  <si>
    <t>Bidet for toilet</t>
  </si>
  <si>
    <t>ITF contribution</t>
  </si>
  <si>
    <t>souvenirs</t>
  </si>
  <si>
    <t>Description</t>
  </si>
  <si>
    <t>Reimburse expense (breakdown provided in email)</t>
  </si>
  <si>
    <t>refreshement for guests</t>
  </si>
  <si>
    <t>Reimbursement for Abuja trip accommodation</t>
  </si>
  <si>
    <t>Domain renewal of ilorininnovationhub.com - 1 Year/s (23/08/2025 - 22/08/2026)+ ID Protection</t>
  </si>
  <si>
    <t>travel -failed  payment to wakanow for Ai4 2025 conference in vegas, for the booking ID 2508030403119</t>
  </si>
  <si>
    <t>travel - payment to wakanow for Ai4 2025 conference in vegas, the payment was reversed for the booking ID 2508030403119</t>
  </si>
  <si>
    <t>travel - Successful payment to wakanow for Ai4 2025 conference in vegas, for the booking ID 2508030403119</t>
  </si>
  <si>
    <t>Room reservation for Ai4 2025 Conference</t>
  </si>
  <si>
    <t>August 2025 Salary for Intern</t>
  </si>
  <si>
    <t>The refund was as a result of change in the flight route as the booking with ID 2508040401010 cost N4,061,624.00 which is cheaper than the previous hence the refund of N729,742.00</t>
  </si>
  <si>
    <t/>
  </si>
  <si>
    <t>NGN</t>
  </si>
  <si>
    <t>Active</t>
  </si>
  <si>
    <t>0040117676</t>
  </si>
  <si>
    <t>false</t>
  </si>
  <si>
    <t>0.000</t>
  </si>
  <si>
    <t>Ilorin Innovation Hub Ltd</t>
  </si>
  <si>
    <t>6104627000000114013</t>
  </si>
  <si>
    <t>The parking fares you pay while on business trips can be recorded under this expense category.</t>
  </si>
  <si>
    <t>Parking</t>
  </si>
  <si>
    <t>6104627000000091204</t>
  </si>
  <si>
    <t>This category is for tracking all the mileage related expenses.</t>
  </si>
  <si>
    <t>Fuel/Mileage Expenses</t>
  </si>
  <si>
    <t>6104627000000091159</t>
  </si>
  <si>
    <t>Other Current Asset</t>
  </si>
  <si>
    <t>An asset account that reports amounts paid in advance while purchasing goods or services from a vendor.</t>
  </si>
  <si>
    <t>Prepaid Expenses</t>
  </si>
  <si>
    <t>6104627000000091013</t>
  </si>
  <si>
    <t>Tracks any reduction that your vendor offers on your purchases. Some vendors also provide them to encourage quick payment settlement.</t>
  </si>
  <si>
    <t>Purchase Discounts</t>
  </si>
  <si>
    <t>6104627000000072001</t>
  </si>
  <si>
    <t>Equity</t>
  </si>
  <si>
    <t>The money withdrawn from a business by its owner can be tracked with this account.</t>
  </si>
  <si>
    <t>Drawings</t>
  </si>
  <si>
    <t>6104627000000012001</t>
  </si>
  <si>
    <t>Cost Of Goods Sold</t>
  </si>
  <si>
    <t>An expense account which tracks the value of the goods sold.</t>
  </si>
  <si>
    <t>Cost of Goods Sold</t>
  </si>
  <si>
    <t>6104627000000034003</t>
  </si>
  <si>
    <t>Stock</t>
  </si>
  <si>
    <t>An account which tracks the value of goods in your inventory.</t>
  </si>
  <si>
    <t>Inventory Asset</t>
  </si>
  <si>
    <t>6104627000000034001</t>
  </si>
  <si>
    <t>Any minor expense on activities unrelated to primary business operations is recorded under the other expense account.</t>
  </si>
  <si>
    <t>6104627000000000460</t>
  </si>
  <si>
    <t>Other Liability</t>
  </si>
  <si>
    <t>This adjustment account tracks the transfers between different dimensions like tags, branches.</t>
  </si>
  <si>
    <t>Dimension Adjustments</t>
  </si>
  <si>
    <t>6104627000000045001</t>
  </si>
  <si>
    <t>The costs involved in maintenance and repair of assets is recorded under this account.</t>
  </si>
  <si>
    <t>Repairs and Maintenance</t>
  </si>
  <si>
    <t>6104627000000000457</t>
  </si>
  <si>
    <t>Charges for availing the services of a consultant is recorded as a consultant expenses. The fees paid to a soft skills consultant to impart personality development training for your employees is a good example.</t>
  </si>
  <si>
    <t>Consultant Expense</t>
  </si>
  <si>
    <t>6104627000000000454</t>
  </si>
  <si>
    <t>Any depreciation in value of your assets can be captured as a depreciation expense.</t>
  </si>
  <si>
    <t>Depreciation Expense</t>
  </si>
  <si>
    <t>6104627000000000451</t>
  </si>
  <si>
    <t>Expenses on food and entertainment are recorded into this account.</t>
  </si>
  <si>
    <t>Meals and Entertainment</t>
  </si>
  <si>
    <t>6104627000000000448</t>
  </si>
  <si>
    <t>This account can be used to temporarily track expenses that are yet to be identified and classified into a particular category</t>
  </si>
  <si>
    <t>Uncategorized</t>
  </si>
  <si>
    <t>6104627000000035005</t>
  </si>
  <si>
    <t>Salaries for your employees and the wages paid to workers are recorded under the salaries and wages account.</t>
  </si>
  <si>
    <t>Salaries and Employee Wages</t>
  </si>
  <si>
    <t>6104627000000000445</t>
  </si>
  <si>
    <t>Other Current Liability</t>
  </si>
  <si>
    <t>This account can be used to track the reimbursements that are due to be paid out to employees.</t>
  </si>
  <si>
    <t>Employee Reimbursements</t>
  </si>
  <si>
    <t>6104627000000035003</t>
  </si>
  <si>
    <t>Expenses incurred by the organization towards printing and stationery.</t>
  </si>
  <si>
    <t>Printing and Stationery</t>
  </si>
  <si>
    <t>6104627000000000442</t>
  </si>
  <si>
    <t>Money paid out to an employee in advance can be tracked here till it's repaid or shown to be spent for company purposes.</t>
  </si>
  <si>
    <t>Employee Advance</t>
  </si>
  <si>
    <t>6104627000000035001</t>
  </si>
  <si>
    <t>This account will hold the difference in the debits and credits entered during the opening balance.</t>
  </si>
  <si>
    <t>Opening Balance Adjustments</t>
  </si>
  <si>
    <t>6104627000000003001</t>
  </si>
  <si>
    <t>Any amount which is lost and is unrecoverable is recorded into the bad debt account.</t>
  </si>
  <si>
    <t>Bad Debt</t>
  </si>
  <si>
    <t>6104627000000000439</t>
  </si>
  <si>
    <t>Your expenses on ground mails, shipping and air mails can be recorded under the postage account.</t>
  </si>
  <si>
    <t>Postage</t>
  </si>
  <si>
    <t>6104627000000000436</t>
  </si>
  <si>
    <t>Shipping charges made to the invoice will be recorded in this account.</t>
  </si>
  <si>
    <t>Shipping Charge</t>
  </si>
  <si>
    <t>6104627000000014001</t>
  </si>
  <si>
    <t>All your janitorial and cleaning expenses are recorded into the janitorial expenses account.</t>
  </si>
  <si>
    <t>Janitorial Expense</t>
  </si>
  <si>
    <t>6104627000000000433</t>
  </si>
  <si>
    <t>The rent paid for your office or any space related to your business can be recorded as a rental expense.</t>
  </si>
  <si>
    <t>Rent Expense</t>
  </si>
  <si>
    <t>6104627000000000430</t>
  </si>
  <si>
    <t>Money spent on your IT infrastructure and usage like  internet connection, purchasing computer equipment etc is recorded as an IT and Computer Expense.</t>
  </si>
  <si>
    <t>IT and Internet Expenses</t>
  </si>
  <si>
    <t>6104627000000000427</t>
  </si>
  <si>
    <t>Transportation related expenses like fuel charges and maintenance charges for automobiles, are included to the automobile expense account.</t>
  </si>
  <si>
    <t>Automobile Expense</t>
  </si>
  <si>
    <t>6104627000000000424</t>
  </si>
  <si>
    <t>The expenses on your telephone, mobile and fax usage are accounted as telephone expenses.</t>
  </si>
  <si>
    <t>Telephone Expense</t>
  </si>
  <si>
    <t>6104627000000000421</t>
  </si>
  <si>
    <t>Expenses on business travels like hotel bookings, flight charges, etc. are recorded as travel expenses.</t>
  </si>
  <si>
    <t>Air Travel Expense</t>
  </si>
  <si>
    <t>6104627000000000418</t>
  </si>
  <si>
    <t>Other Expense</t>
  </si>
  <si>
    <t>Changing the conversion rate can result in a gain or a loss. You can record this into the exchange gain or loss account.</t>
  </si>
  <si>
    <t>Exchange Gain or Loss</t>
  </si>
  <si>
    <t>6104627000000000415</t>
  </si>
  <si>
    <t>Service fees for transactions , balance transfer fees, annual credit fees and other charges levied on a credit card are recorded into the credit card account.</t>
  </si>
  <si>
    <t>Credit Card Charges</t>
  </si>
  <si>
    <t>6104627000000000412</t>
  </si>
  <si>
    <t>Any bank fees levied is recorded into the bank fees and charges account. A bank account maintenance fee, transaction charges, a late payment fee are some examples.</t>
  </si>
  <si>
    <t>Bank Fees and Charges</t>
  </si>
  <si>
    <t>6104627000000000409</t>
  </si>
  <si>
    <t>Any reduction on your selling price as a discount can be recorded into the discount account.</t>
  </si>
  <si>
    <t>Discount</t>
  </si>
  <si>
    <t>6104627000000000406</t>
  </si>
  <si>
    <t>Your expenses on promotional, marketing and advertising activities like banners, web-adds, trade shows, etc. are recorded in advertising and marketing account.</t>
  </si>
  <si>
    <t>Advertising And Marketing</t>
  </si>
  <si>
    <t>6104627000000000403</t>
  </si>
  <si>
    <t>All expenses on purchasing office supplies like stationery are recorded into the office supplies account.</t>
  </si>
  <si>
    <t>Office Supplies</t>
  </si>
  <si>
    <t>6104627000000000400</t>
  </si>
  <si>
    <t>Any late fee income is recorded into the late fee income account. The late fee is levied when the payment for an invoice is not received by the due date.</t>
  </si>
  <si>
    <t>Late Fee Income</t>
  </si>
  <si>
    <t>6104627000000000397</t>
  </si>
  <si>
    <t>A percentage of your balances and deposits are given as interest to you by your banks and financial institutions. This interest is recorded into the interest income account.</t>
  </si>
  <si>
    <t>Interest Income</t>
  </si>
  <si>
    <t>6104627000000000394</t>
  </si>
  <si>
    <t>A liability account that reports amounts received in advance of providing goods or services. When the goods or services are provided, this account balance is decreased and a revenue account is increased.</t>
  </si>
  <si>
    <t>Unearned Revenue</t>
  </si>
  <si>
    <t>6104627000000005001</t>
  </si>
  <si>
    <t>A general category of account where you can record any income which cannot be recorded into any other category.</t>
  </si>
  <si>
    <t>General Income</t>
  </si>
  <si>
    <t>6104627000000000391</t>
  </si>
  <si>
    <t>The income from the sales in your business is recorded under the sales account.</t>
  </si>
  <si>
    <t>Sales</t>
  </si>
  <si>
    <t>6104627000000000388</t>
  </si>
  <si>
    <t>This is an account where you can record the balance from your previous years earning or the amount set aside for some activities. It is like a buffer account for your funds.</t>
  </si>
  <si>
    <t>Opening Balance Offset</t>
  </si>
  <si>
    <t>6104627000000000385</t>
  </si>
  <si>
    <t>The owners rights to the assets of a company can be quantified in the owner''s equity account.</t>
  </si>
  <si>
    <t>Owner's Equity</t>
  </si>
  <si>
    <t>6104627000000000382</t>
  </si>
  <si>
    <t>The earnings of your company which are not distributed among the share holders is accounted as retained earnings.</t>
  </si>
  <si>
    <t>Retained Earnings</t>
  </si>
  <si>
    <t>6104627000000000379</t>
  </si>
  <si>
    <t>The amount of money which you owe to your tax authority is recorded under the tax payable account. This amount is a sum of your outstanding in taxes and the tax charged on sales.</t>
  </si>
  <si>
    <t>Tax Payable</t>
  </si>
  <si>
    <t>6104627000000000376</t>
  </si>
  <si>
    <t>Accounts Payable</t>
  </si>
  <si>
    <t>This is an account of all the money which you owe to others like a pending bill payment to a vendor,etc.</t>
  </si>
  <si>
    <t>6104627000000000373</t>
  </si>
  <si>
    <t>Any tax which is paid in advance is recorded into the advance tax account. This advance tax payment could be a quarterly, half yearly or yearly payment.</t>
  </si>
  <si>
    <t>Advance Tax</t>
  </si>
  <si>
    <t>6104627000000000370</t>
  </si>
  <si>
    <t>Fixed Asset</t>
  </si>
  <si>
    <t>Purchases of furniture and equipment for your office that can be used for a long period of time usually exceeding one year can be tracked with this account.</t>
  </si>
  <si>
    <t>Furniture and Equipment</t>
  </si>
  <si>
    <t>6104627000000000367</t>
  </si>
  <si>
    <t>Accounts Receivable</t>
  </si>
  <si>
    <t>The money that customers owe you becomes the accounts receivable. A good example of this is a payment expected from an invoice sent to your customer.</t>
  </si>
  <si>
    <t>6104627000000000364</t>
  </si>
  <si>
    <t>Cash</t>
  </si>
  <si>
    <t>It is a small amount of cash that is used to pay your minor or casual expenses rather than writing a check.</t>
  </si>
  <si>
    <t>Petty Cash</t>
  </si>
  <si>
    <t>6104627000000000361</t>
  </si>
  <si>
    <t>Record funds received by your company yet to be deposited in a bank as undeposited funds and group them as a current asset in your balance sheet.</t>
  </si>
  <si>
    <t>Undeposited Funds</t>
  </si>
  <si>
    <t>6104627000000000358</t>
  </si>
  <si>
    <t>Any expense related to putting up at motels etc while on business travel can be entered here.</t>
  </si>
  <si>
    <t>Lodging</t>
  </si>
  <si>
    <t>6104627000000032023</t>
  </si>
  <si>
    <t>Miscellaneous charges like adjustments made to the invoice can be recorded in this account.</t>
  </si>
  <si>
    <t>Other Charges</t>
  </si>
  <si>
    <t>6104627000000010001</t>
  </si>
  <si>
    <t>Parent Account</t>
  </si>
  <si>
    <t>Currency</t>
  </si>
  <si>
    <t>Account Status</t>
  </si>
  <si>
    <t xml:space="preserve">Account # </t>
  </si>
  <si>
    <t>IsMileage</t>
  </si>
  <si>
    <t>Mileage Unit</t>
  </si>
  <si>
    <t>Mileage Rate</t>
  </si>
  <si>
    <t>Account Type</t>
  </si>
  <si>
    <t>Account Code</t>
  </si>
  <si>
    <t>Account Name</t>
  </si>
  <si>
    <t>Account ID</t>
  </si>
  <si>
    <t>Cost of sales</t>
  </si>
  <si>
    <t>Current Asset</t>
  </si>
  <si>
    <t>FSLI</t>
  </si>
  <si>
    <t>Accumulated funds</t>
  </si>
  <si>
    <t>FSLI - Added</t>
  </si>
  <si>
    <t>Non-current asset</t>
  </si>
  <si>
    <t>Current Liabilities</t>
  </si>
  <si>
    <t>Category per Zoho</t>
  </si>
  <si>
    <t>***Added***</t>
  </si>
  <si>
    <t>Zenith bank</t>
  </si>
  <si>
    <t>Premium Trust bank</t>
  </si>
  <si>
    <t>Sterling bank</t>
  </si>
  <si>
    <t>Bank transactions in the stated bank account</t>
  </si>
  <si>
    <t>Telephone and Data expense</t>
  </si>
  <si>
    <t>The expenses on your telephone, data, voice mobile and fax usage</t>
  </si>
  <si>
    <t>Software related expenses from the use of Zoho or other software related expenses</t>
  </si>
  <si>
    <t>Software expense</t>
  </si>
  <si>
    <t>Expenses on food and entertainment for Guests are recorded into this account directly related to income</t>
  </si>
  <si>
    <t>Income from renting facilities to Host</t>
  </si>
  <si>
    <t>Income from providing food and drinks to Host</t>
  </si>
  <si>
    <t>Fuel/Diesel Expenses</t>
  </si>
  <si>
    <t>Relates to all fuel and diesel related expenses</t>
  </si>
  <si>
    <t>Contrubutions relating to employees</t>
  </si>
  <si>
    <t>Employee related costs</t>
  </si>
  <si>
    <t>Description </t>
  </si>
  <si>
    <t>Amount </t>
  </si>
  <si>
    <t>Pebbles sim consult (Cleaning services ) </t>
  </si>
  <si>
    <t>Bubble drinks (drinks and snacks )</t>
  </si>
  <si>
    <t>Star link Invoice </t>
  </si>
  <si>
    <t>Zoho invoice </t>
  </si>
  <si>
    <t>Staff lunch </t>
  </si>
  <si>
    <t>VIP refreshment (Coffee, water)</t>
  </si>
  <si>
    <t>TOTAL</t>
  </si>
  <si>
    <t>Reallocation of MD expenses reimbursement</t>
  </si>
  <si>
    <t>Security expense</t>
  </si>
  <si>
    <t>Payment for security of the facility</t>
  </si>
  <si>
    <t>Travel expense - Local</t>
  </si>
  <si>
    <t>Travel expense - International</t>
  </si>
  <si>
    <t>Expenses on local business travels like hotel bookings, flight charges, etc. are recorded as travel expenses.</t>
  </si>
  <si>
    <t>Expenses on international business travels like hotel bookings, flight charges, etc. are recorded as travel expenses.</t>
  </si>
  <si>
    <t>Staff related trainings expense</t>
  </si>
  <si>
    <t>Staff welfare like HMO</t>
  </si>
  <si>
    <t>Staff allowances</t>
  </si>
  <si>
    <t>Staff allowances to be defined</t>
  </si>
  <si>
    <t>Rental expense</t>
  </si>
  <si>
    <t>Rental of equipments such as generators</t>
  </si>
  <si>
    <t>Refundable security deposit</t>
  </si>
  <si>
    <t>Security deposit charged to the host and refunded after event</t>
  </si>
  <si>
    <t>Amount</t>
  </si>
  <si>
    <t>Balance check</t>
  </si>
  <si>
    <t>zenith bank</t>
  </si>
  <si>
    <t>Clearing account</t>
  </si>
  <si>
    <t>Temporay account to post unclear entries</t>
  </si>
  <si>
    <t>Accumulated depreciation of furniture and equipment can be tracked with this account.</t>
  </si>
  <si>
    <t>Furniture and Equipment (Acc Depr)</t>
  </si>
  <si>
    <t xml:space="preserve">Surplus/Deficit </t>
  </si>
  <si>
    <t>The surplus or deficit from each year</t>
  </si>
  <si>
    <t>Reserves</t>
  </si>
  <si>
    <t>Bank03</t>
  </si>
  <si>
    <t>sterling bank</t>
  </si>
  <si>
    <t>BANKNIP From 000015250826062358000000205483 000015 PAYREF: SP33363963 SENDER: TUNMISE JOHNSON HOUSEHOLD FOUNDATIO REMARK: 1756149559014 ILORIN TECH PARK LTD Ref:
0000152508260623580000002054832</t>
  </si>
  <si>
    <t>09FG2508192006139819TJWVE | BOLATITO GANIYAT OLAGUNJU | BOLATITO GANIYAT OLAGUNJU to ILORIN TECH PARK LTD Ref: 09FG2508192006139819TJWVE2</t>
  </si>
  <si>
    <t>BANKNIP From 000012250827114416629004483368
000012 PAYREF: 9286-2 SENDER: WEBFALA DIGITAL SKILLS FOR ALL INITIATI REMARK: IIH Facility rental
(pitch hall) for WIA ILORIN TECH PARK LTD Ref: 0000122508271144166290044833682</t>
  </si>
  <si>
    <t>Administrative expenses</t>
  </si>
  <si>
    <t>IIH Financial 2025 Report</t>
  </si>
  <si>
    <t>30 xxx 2024</t>
  </si>
  <si>
    <t xml:space="preserve"> N'000 </t>
  </si>
  <si>
    <t xml:space="preserve">Other income </t>
  </si>
  <si>
    <t>Finance income</t>
  </si>
  <si>
    <t>Finance cost</t>
  </si>
  <si>
    <t>Taxation charge</t>
  </si>
  <si>
    <t>ASSETS</t>
  </si>
  <si>
    <t>Non-current assets</t>
  </si>
  <si>
    <t>Property, plant and equipment</t>
  </si>
  <si>
    <t>Intangible assets</t>
  </si>
  <si>
    <t>Investments</t>
  </si>
  <si>
    <t>Current assets</t>
  </si>
  <si>
    <t>Inventories</t>
  </si>
  <si>
    <t>Trade and other receivables</t>
  </si>
  <si>
    <t>Bank and cash balances</t>
  </si>
  <si>
    <t>Total assets</t>
  </si>
  <si>
    <t>LIABILITIES</t>
  </si>
  <si>
    <t>Current liabilities</t>
  </si>
  <si>
    <t>Trade and other payables</t>
  </si>
  <si>
    <t>Borrowings</t>
  </si>
  <si>
    <t>Provision for liabilities and charges</t>
  </si>
  <si>
    <t>Income tax liabilities</t>
  </si>
  <si>
    <t>Non-current liabilities</t>
  </si>
  <si>
    <t>Total liabilities</t>
  </si>
  <si>
    <t>Net Asset/(liabilities)</t>
  </si>
  <si>
    <t>FUNDS/RESERVES</t>
  </si>
  <si>
    <t>Surplus/Deficit</t>
  </si>
  <si>
    <t>Total Accumulated Funds</t>
  </si>
  <si>
    <t>Total liabilities and funds</t>
  </si>
  <si>
    <t>Cash flows from operating activities</t>
  </si>
  <si>
    <t>Cash generated from operations</t>
  </si>
  <si>
    <t>Income taxes paid</t>
  </si>
  <si>
    <t>Net cash flows generated from operating activities</t>
  </si>
  <si>
    <t>Cash flows from investing activities</t>
  </si>
  <si>
    <t>Purchase of property, plant and equipment</t>
  </si>
  <si>
    <t>Purchase of software and licences</t>
  </si>
  <si>
    <t>Proceeds from sale of property, plant and equipment</t>
  </si>
  <si>
    <t>Proceeds from sale of investment</t>
  </si>
  <si>
    <t>Interest received</t>
  </si>
  <si>
    <t>Short term deposits</t>
  </si>
  <si>
    <t>Net cash used in investing activities</t>
  </si>
  <si>
    <t>Cash flows from financing activities</t>
  </si>
  <si>
    <t>Interest paid to third parties</t>
  </si>
  <si>
    <t>Interest paid to related parties</t>
  </si>
  <si>
    <t>Loan receipts from third parties</t>
  </si>
  <si>
    <t>Loan receipts from related parties</t>
  </si>
  <si>
    <t>Principal repayment to third parties</t>
  </si>
  <si>
    <t>Principal repayment to related parties</t>
  </si>
  <si>
    <t>Net cash used in financing activities</t>
  </si>
  <si>
    <t>Increase/(decrease) in cash and cash equivalents</t>
  </si>
  <si>
    <t>Cash and cash equivalents at beginning of the period</t>
  </si>
  <si>
    <t>Cash and cash equivalent at period end</t>
  </si>
  <si>
    <t>Cost</t>
  </si>
  <si>
    <t>Total</t>
  </si>
  <si>
    <t>At beginning of year</t>
  </si>
  <si>
    <t>Additions</t>
  </si>
  <si>
    <t>Disposals</t>
  </si>
  <si>
    <t>At end of year</t>
  </si>
  <si>
    <t>Depreciation and impairment</t>
  </si>
  <si>
    <t>Charge for the year</t>
  </si>
  <si>
    <t>Carrying amount</t>
  </si>
  <si>
    <t>As at 30 xxx 2025</t>
  </si>
  <si>
    <t>As at 30 xxx 2024</t>
  </si>
  <si>
    <t>Other income</t>
  </si>
  <si>
    <t>COGS</t>
  </si>
  <si>
    <t>Other Liabilities</t>
  </si>
  <si>
    <t>Others</t>
  </si>
  <si>
    <t>Staff salaries and allowance</t>
  </si>
  <si>
    <t>Cleaning expense</t>
  </si>
  <si>
    <t>Staff related cost</t>
  </si>
  <si>
    <t>Surplus/(Deficit) for the period</t>
  </si>
  <si>
    <t>Surplus/(Deficit) before taxation</t>
  </si>
  <si>
    <t>Operating Surplus/(Deficit)</t>
  </si>
  <si>
    <t>Gross Surplus/(Deficit)</t>
  </si>
  <si>
    <t>Furniture &amp; Equipment</t>
  </si>
  <si>
    <t>Notes</t>
  </si>
  <si>
    <t>Prepaid expenses</t>
  </si>
  <si>
    <t>Trade receivables</t>
  </si>
  <si>
    <t>Other receivables</t>
  </si>
  <si>
    <t>Balance at beginning</t>
  </si>
  <si>
    <t>Check</t>
  </si>
  <si>
    <t>Transfered to cost of goods sold</t>
  </si>
  <si>
    <t>Add non-cash items:</t>
  </si>
  <si>
    <t>Depreciation expense</t>
  </si>
  <si>
    <t>Changes in working capital:</t>
  </si>
  <si>
    <t>(Increase)/Decrease in receivables</t>
  </si>
  <si>
    <t>Increase/(Decrease) in payables</t>
  </si>
  <si>
    <t>(Increase)/Decrease in inventories</t>
  </si>
  <si>
    <t>Surplus/Deficit for the year</t>
  </si>
  <si>
    <t>Ilorin Innovation Hub</t>
  </si>
  <si>
    <t>Financial Report</t>
  </si>
  <si>
    <t>Column Labels</t>
  </si>
  <si>
    <t>Grand Total</t>
  </si>
  <si>
    <t>Row Labels</t>
  </si>
  <si>
    <t>Sum of Transactions</t>
  </si>
  <si>
    <t>Period</t>
  </si>
  <si>
    <t>FIXED ASSET REGISTER</t>
  </si>
  <si>
    <t>DATE</t>
  </si>
  <si>
    <t>TRANSACTION DETAILS</t>
  </si>
  <si>
    <t>ASSET CATEGORY</t>
  </si>
  <si>
    <t>Generator</t>
  </si>
  <si>
    <t>AC</t>
  </si>
  <si>
    <t>AMOUNT</t>
  </si>
  <si>
    <t>BANKNIP From 000023250704172240002161736596
000023 PAYREF: 20250704172110431 SENDER: TUNMISEJOHNSONHOUSEHOLDFOUNDA. REMARK: To STERLING BANK | ILORIN TECH PARK LTD Payment for
meeting room ILORIN TECH PARK LTD Ref: 0000232507041722400021617365962</t>
  </si>
  <si>
    <t>BANKNIP From 000023250707202613002162301935
000023 PAYREF: 20250707202458121 SENDER: TUNMISEJOHNSONHOUSEHOLDFOUNDA. REMARK: To STERLING BANK | ILORIN TECH PARK LTD Payment for
workspace ILORIN TECH PARK LTD Ref: 0000232507072026130021623019352</t>
  </si>
  <si>
    <t>BANKNIP From 000023250709100931002162553147
000023 PAYREF: 20250709100757642 SENDER: TUNMISEJOHNSONHOUSEHOLDFOUNDA. REMARK: To STERLING BANK | ILORIN TECH PARK LTD Payment for
workspace Illorin Innovation Hub ILORIN TECH PARK LTD Ref: 0000232507091009310021625531472</t>
  </si>
  <si>
    <t>BANKNIP From 090405250714201122339824072848
090405 PAYREF: AT68_TRF2MPT5huqf1944837139734736896 SENDER:
NGUTOR MICHAEL AKPEM REMARK: Payment for use of Ilorin Innovation H/AT68_TRF2MPT5huqf1944837139734736896 ILORIN TECH PARK LTD Ref: 0904052507142011223398240728482</t>
  </si>
  <si>
    <t>BANKNIP From 000015250716074837778350829545
000015 PAYREF: PAY20250716064856822ZLVEE4CT6 SENDER: TUNMISE JOHNSON HOUSEHOLD FOUNDATIO REMARK: TRF ILORIN TECH PARK LTD Ref: 0000152507160748377783508295452</t>
  </si>
  <si>
    <t>BANKNIP From 000004250716114707496107532094
000004 PAYREF: 250716114707 SENDER: SALAU ADETOLA ARIYIKE REMARK: BAS/NIP/SALAU A/ILORIN
T/Funds Transfer ILORIN TECH PARK LTD Ref: 0000042507161147074961075320942</t>
  </si>
  <si>
    <t>BANKNIP From 000015250716131058536351259698
000015 PAYREF: PAY20250716121128322B7J0NEKI1 SENDER: THE PRISTINE CHILDREN FOUNDATION REMARK: NIP ILORIN TECH PARK LTD Ref: 0000152507161310585363512596982</t>
  </si>
  <si>
    <t>BANKNIP From 100004250718075728137046750306
100004 PAYREF: 100004250718075728137046750306 SENDER: SOLOMON ILEMONA SAMUEL REMARK:
payment for Hall ILORIN TECH PARK LTD Ref: 1000042507180757281370467503062</t>
  </si>
  <si>
    <t>BANKNIP From 000013250718132808000292628644
000013 PAYREF: 000292628644 SENDER: IJISESAN
ADEYEYE OLUKAYODE REMARK: From Mayowa Ijisesan to ILORIN TECH PARK LTD.
000013250718132808000292628644 ILORIN TECH PARK LTD Ref: 0000132507181328080002926286442</t>
  </si>
  <si>
    <t>BANKNIP From 000015250723092323712358949558
000015 PAYREF: PAY20250723082358432AQQW1P075 SENDER: TUNMISE JOHNSON HOUSEHOLD FOUNDATIO REMARK: TRF ILORIN TECH PARK LTD Ref: 0000152507230923237123589495582</t>
  </si>
  <si>
    <t>LEGAL SEARCH IFOILORIN TECH PARK LTD ILORIN TECH PARK LTD Ref: BT25071114gTWBqmfI1</t>
  </si>
  <si>
    <t>VAT FEE - 000001250717155508142098272646 | InBranch NIP at 044 BOO ILORIN TECH PARK LTD IFO ASMAU
NINIOLA OLANREWAJU Being Payment made for pro ILORIN TECH PARK LTD Ref: 0000012507171555081420982726462</t>
  </si>
  <si>
    <t>NIP FEE - 000001250717155508142098272646 | InBranch NIP at 044 BOO ILORIN TECH PARK LTD IFO ASMAU
NINIOLA OLANREWAJU Being Payment made for pro ILORIN TECH PARK LTD Ref: 0000012507171555081420982726463</t>
  </si>
  <si>
    <t>VAT FEE - 000001250723174037222117856621 | InBranch NIP at 044 BOO ILORIN TECH PARK LTD IFO BDA
POWER &amp;amp;amp;PROJECT COMPANY purchase of flexible po ILORIN TECH PARK LTD Ref: 0000012507231740372221178566212</t>
  </si>
  <si>
    <t>NIP FEE - 000001250723174037222117856621 | InBranch NIP at 044 BOO ILORIN TECH PARK LTD IFO BDA
POWER &amp;amp;amp;PROJECT COMPANY purchase of flexible po ILORIN TECH PARK LTD Ref: 0000012507231740372221178566213</t>
  </si>
  <si>
    <t>Govt Levy (FIRS) – EMT for 2025-07-23 ILORIN TECH
PARK LTD Ref: b7229d09-f4b2-47f5-b73c-3b8fe08f7e9c1</t>
  </si>
  <si>
    <t>000001250723174037222117856621 | InBranch NIP at 044 BOO ILORIN TECH PARK LTD IFO BDA POWER
&amp;amp;amp;PROJECT COMPANY purchase of flexible po ILORIN TECH PARK LTD Ref: 0000012507231740372221178566211</t>
  </si>
  <si>
    <t>000001250717155508142098272646 | InBranch NIP at 044 BOO ILORIN TECH PARK LTD IFO ASMAU NINIOLA</t>
  </si>
  <si>
    <t>TAX</t>
  </si>
  <si>
    <t>DEPOSIT REFUND</t>
  </si>
  <si>
    <t>SALES</t>
  </si>
  <si>
    <t>AR</t>
  </si>
  <si>
    <t>6104627000000227031</t>
  </si>
  <si>
    <t>6104627000000091085</t>
  </si>
  <si>
    <t>Special Assistant on Students’ Affairs, Kwara State Government.</t>
  </si>
  <si>
    <t>INV-000067</t>
  </si>
  <si>
    <t>2025-09-30</t>
  </si>
  <si>
    <t>2025-09-22</t>
  </si>
  <si>
    <t>paid</t>
  </si>
  <si>
    <t>6104627000000227058</t>
  </si>
  <si>
    <t>6104627000000227001</t>
  </si>
  <si>
    <t>Mr. Kelani Ayodeji</t>
  </si>
  <si>
    <t>INV-000066</t>
  </si>
  <si>
    <t>draft</t>
  </si>
  <si>
    <t>6104627000000227019</t>
  </si>
  <si>
    <t>6104627000000225001</t>
  </si>
  <si>
    <t>Block Dag, Dag Systems ltd</t>
  </si>
  <si>
    <t>INV-000065</t>
  </si>
  <si>
    <t>2025-09-26</t>
  </si>
  <si>
    <t>2025-09-19</t>
  </si>
  <si>
    <t>6104627000000225019</t>
  </si>
  <si>
    <t>6104627000000111019</t>
  </si>
  <si>
    <t>Co-creation Hub</t>
  </si>
  <si>
    <t>INV-000064</t>
  </si>
  <si>
    <t>2025-09-17</t>
  </si>
  <si>
    <t>6104627000000224001</t>
  </si>
  <si>
    <t>6104627000000207001</t>
  </si>
  <si>
    <t>Committee of the Chartered Institute of Taxation of Nigeria CITN</t>
  </si>
  <si>
    <t>INV-000063</t>
  </si>
  <si>
    <t>2025-09-12</t>
  </si>
  <si>
    <t>6104627000000216043</t>
  </si>
  <si>
    <t>6104627000000208001</t>
  </si>
  <si>
    <t>Mrs. Mary Oladimeji-Ajado (Moaj)</t>
  </si>
  <si>
    <t>INV-000062</t>
  </si>
  <si>
    <t>2025-09-11</t>
  </si>
  <si>
    <t>6104627000000215040</t>
  </si>
  <si>
    <t>6104627000000170001</t>
  </si>
  <si>
    <t>Sui Blockchain Developers &amp; Community</t>
  </si>
  <si>
    <t>INV-000061</t>
  </si>
  <si>
    <t>6104627000000215024</t>
  </si>
  <si>
    <t>INV-000060</t>
  </si>
  <si>
    <t>6104627000000215010</t>
  </si>
  <si>
    <t>INV-000042</t>
  </si>
  <si>
    <t>6104627000000174001</t>
  </si>
  <si>
    <t>6104627000000210083</t>
  </si>
  <si>
    <t>Picture Works limited</t>
  </si>
  <si>
    <t>INV-000054</t>
  </si>
  <si>
    <t>2025-09-08</t>
  </si>
  <si>
    <t>6104627000000196067</t>
  </si>
  <si>
    <t>6104627000000210001</t>
  </si>
  <si>
    <t>United Nations Development Programme (UNDP) Nigeria</t>
  </si>
  <si>
    <t>INV-000059</t>
  </si>
  <si>
    <t>2025-09-07</t>
  </si>
  <si>
    <t>6104627000000210031</t>
  </si>
  <si>
    <t>INV-000058</t>
  </si>
  <si>
    <t>2025-09-02</t>
  </si>
  <si>
    <t>6104627000000208019</t>
  </si>
  <si>
    <t>INV-000057</t>
  </si>
  <si>
    <t>2025-10-15</t>
  </si>
  <si>
    <t>2025-09-01</t>
  </si>
  <si>
    <t>6104627000000207019</t>
  </si>
  <si>
    <t>6104627000000094027</t>
  </si>
  <si>
    <t>IHS Nigeria</t>
  </si>
  <si>
    <t>INV-000056</t>
  </si>
  <si>
    <t>6104627000000205001</t>
  </si>
  <si>
    <t>6104627000000196049</t>
  </si>
  <si>
    <t>WDSFAI</t>
  </si>
  <si>
    <t>INV-000055</t>
  </si>
  <si>
    <t>2025-08-26</t>
  </si>
  <si>
    <t>6104627000000201084</t>
  </si>
  <si>
    <t>INV-000048</t>
  </si>
  <si>
    <t>2025-08-28</t>
  </si>
  <si>
    <t>2025-08-25</t>
  </si>
  <si>
    <t>6104627000000188047</t>
  </si>
  <si>
    <t>6104627000000194065</t>
  </si>
  <si>
    <t>PARANTI FILMS PRODUCTION</t>
  </si>
  <si>
    <t>INV-000053</t>
  </si>
  <si>
    <t>2025-08-22</t>
  </si>
  <si>
    <t>2025-08-19</t>
  </si>
  <si>
    <t>6104627000000194083</t>
  </si>
  <si>
    <t>6104627000000194001</t>
  </si>
  <si>
    <t>BASE BRIDGE</t>
  </si>
  <si>
    <t>INV-000052</t>
  </si>
  <si>
    <t>2025-08-20</t>
  </si>
  <si>
    <t>6104627000000194053</t>
  </si>
  <si>
    <t>INV-000051</t>
  </si>
  <si>
    <t>6104627000000194019</t>
  </si>
  <si>
    <t>6104627000000154017</t>
  </si>
  <si>
    <t>TA Community</t>
  </si>
  <si>
    <t>INV-000050</t>
  </si>
  <si>
    <t>2025-08-13</t>
  </si>
  <si>
    <t>6104627000000191011</t>
  </si>
  <si>
    <t>INV-000049</t>
  </si>
  <si>
    <t>6104627000000191001</t>
  </si>
  <si>
    <t>INV-000047</t>
  </si>
  <si>
    <t>2025-08-07</t>
  </si>
  <si>
    <t>6104627000000188031</t>
  </si>
  <si>
    <t>INV-000046</t>
  </si>
  <si>
    <t>2025-08-11</t>
  </si>
  <si>
    <t>6104627000000188015</t>
  </si>
  <si>
    <t>INV-000045</t>
  </si>
  <si>
    <t>6104627000000188001</t>
  </si>
  <si>
    <t>INV-000037</t>
  </si>
  <si>
    <t>2025-07-23</t>
  </si>
  <si>
    <t>6104627000000170019</t>
  </si>
  <si>
    <t>6104627000000167042</t>
  </si>
  <si>
    <t>3SU MENTORSHIP AND FELLOWSHIP PROGRAM</t>
  </si>
  <si>
    <t>INV-000043</t>
  </si>
  <si>
    <t>2025-07-21</t>
  </si>
  <si>
    <t>6104627000000175001</t>
  </si>
  <si>
    <t>INV-000044</t>
  </si>
  <si>
    <t>2025-07-22</t>
  </si>
  <si>
    <t>2025-07-18</t>
  </si>
  <si>
    <t>6104627000000175013</t>
  </si>
  <si>
    <t>INV-000041</t>
  </si>
  <si>
    <t>6104627000000173051</t>
  </si>
  <si>
    <t>INV-000040</t>
  </si>
  <si>
    <t>2025-07-20</t>
  </si>
  <si>
    <t>6104627000000173035</t>
  </si>
  <si>
    <t>INV-000039</t>
  </si>
  <si>
    <t>2025-07-19</t>
  </si>
  <si>
    <t>6104627000000173001</t>
  </si>
  <si>
    <t>INV-000038</t>
  </si>
  <si>
    <t>2025-07-16</t>
  </si>
  <si>
    <t>6104627000000170044</t>
  </si>
  <si>
    <t>6104627000000169001</t>
  </si>
  <si>
    <t>The Pristine Foundation</t>
  </si>
  <si>
    <t>INV-000036</t>
  </si>
  <si>
    <t>overdue</t>
  </si>
  <si>
    <t>6104627000000169015</t>
  </si>
  <si>
    <t>INV-000035</t>
  </si>
  <si>
    <t>2025-07-14</t>
  </si>
  <si>
    <t>6104627000000168033</t>
  </si>
  <si>
    <t>INV-000034</t>
  </si>
  <si>
    <t>6104627000000167196</t>
  </si>
  <si>
    <t>6104627000000167117</t>
  </si>
  <si>
    <t>SILICON VALLEY GIRL FOUNDATION</t>
  </si>
  <si>
    <t>INV-000033</t>
  </si>
  <si>
    <t>2025-07-31</t>
  </si>
  <si>
    <t>6104627000000167135</t>
  </si>
  <si>
    <t>INV-000032</t>
  </si>
  <si>
    <t>2025-07-15</t>
  </si>
  <si>
    <t>6104627000000167101</t>
  </si>
  <si>
    <t>INV-000031</t>
  </si>
  <si>
    <t>6104627000000167058</t>
  </si>
  <si>
    <t>INV-000025</t>
  </si>
  <si>
    <t>2025-07-08</t>
  </si>
  <si>
    <t>6104627000000160011</t>
  </si>
  <si>
    <t>INV-000024</t>
  </si>
  <si>
    <t>6104627000000160001</t>
  </si>
  <si>
    <t>6104627000000150003</t>
  </si>
  <si>
    <t>Kwara State Ease of Doing Business Council</t>
  </si>
  <si>
    <t>INV-000028</t>
  </si>
  <si>
    <t>2025-07-07</t>
  </si>
  <si>
    <t>6104627000000160067</t>
  </si>
  <si>
    <t>INV-000023</t>
  </si>
  <si>
    <t>6104627000000156001</t>
  </si>
  <si>
    <t>INV-000027</t>
  </si>
  <si>
    <t>2025-07-04</t>
  </si>
  <si>
    <t>6104627000000160053</t>
  </si>
  <si>
    <t>INV-000022</t>
  </si>
  <si>
    <t>6104627000000154070</t>
  </si>
  <si>
    <t>INV-000021</t>
  </si>
  <si>
    <t>6104627000000154035</t>
  </si>
  <si>
    <t>INV-000026</t>
  </si>
  <si>
    <t>2025-07-03</t>
  </si>
  <si>
    <t>6104627000000160027</t>
  </si>
  <si>
    <t>INV-000029</t>
  </si>
  <si>
    <t>2025-07-02</t>
  </si>
  <si>
    <t>6104627000000162001</t>
  </si>
  <si>
    <t>INV-000020</t>
  </si>
  <si>
    <t>2025-07-01</t>
  </si>
  <si>
    <t>6104627000000150021</t>
  </si>
  <si>
    <t>6104627000000145001</t>
  </si>
  <si>
    <t>kwara kre8</t>
  </si>
  <si>
    <t>INV-000019</t>
  </si>
  <si>
    <t>2025-06-18</t>
  </si>
  <si>
    <t>6104627000000145015</t>
  </si>
  <si>
    <t>true</t>
  </si>
  <si>
    <t>6104627000000136005</t>
  </si>
  <si>
    <t>Kwara State Internal Revenue Service</t>
  </si>
  <si>
    <t>INV-000018</t>
  </si>
  <si>
    <t>2025-06-16</t>
  </si>
  <si>
    <t>6104627000000136030</t>
  </si>
  <si>
    <t>INV-000017</t>
  </si>
  <si>
    <t>2025-06-12</t>
  </si>
  <si>
    <t>6104627000000133019</t>
  </si>
  <si>
    <t>INV-000016</t>
  </si>
  <si>
    <t>2025-05-30</t>
  </si>
  <si>
    <t>6104627000000111033</t>
  </si>
  <si>
    <t>6104627000000110056</t>
  </si>
  <si>
    <t>Bitkwa Initiatives</t>
  </si>
  <si>
    <t>INV-000015</t>
  </si>
  <si>
    <t>2025-05-21</t>
  </si>
  <si>
    <t>6104627000000110074</t>
  </si>
  <si>
    <t>INV-000014</t>
  </si>
  <si>
    <t>2025-04-23</t>
  </si>
  <si>
    <t>6104627000000100229</t>
  </si>
  <si>
    <t>INV-000013</t>
  </si>
  <si>
    <t>6104627000000094099</t>
  </si>
  <si>
    <t>INV-000011</t>
  </si>
  <si>
    <t>6104627000000094051</t>
  </si>
  <si>
    <t>exchange_rate</t>
  </si>
  <si>
    <t>reminders_sent</t>
  </si>
  <si>
    <t>is_emailed</t>
  </si>
  <si>
    <t>price_precision</t>
  </si>
  <si>
    <t>customer_id</t>
  </si>
  <si>
    <t>currency_id</t>
  </si>
  <si>
    <t>currency_code</t>
  </si>
  <si>
    <t>project_names</t>
  </si>
  <si>
    <t>paid_amount</t>
  </si>
  <si>
    <t>tax_amount</t>
  </si>
  <si>
    <t>salesperson_id</t>
  </si>
  <si>
    <t>bcy_balance</t>
  </si>
  <si>
    <t>bcy_total</t>
  </si>
  <si>
    <t>customer_name</t>
  </si>
  <si>
    <t>reference_number</t>
  </si>
  <si>
    <t>invoice_number</t>
  </si>
  <si>
    <t>due_date</t>
  </si>
  <si>
    <t>txn_posting_date</t>
  </si>
  <si>
    <t>date</t>
  </si>
  <si>
    <t>status</t>
  </si>
  <si>
    <t>invoice_id</t>
  </si>
  <si>
    <t>Ilorin Innovation Hub
Invoice Details
From 01 Mar 2025 To 30 Sep 2025</t>
  </si>
  <si>
    <t>Donations</t>
  </si>
  <si>
    <t>Guest entertainment</t>
  </si>
  <si>
    <t>Guest entertainment (Income)</t>
  </si>
  <si>
    <t>INV-000026, INV-000027, INV-000028</t>
  </si>
  <si>
    <t>INV-000032 - Invoice in draft, payment not captured</t>
  </si>
  <si>
    <t>INV-000034 - Invoice in draft, payment not captured</t>
  </si>
  <si>
    <t>INV-000044 - Invoice in draft, payment not captured</t>
  </si>
  <si>
    <t>INV-000049 - Invoice in draft, payment not captured</t>
  </si>
  <si>
    <t>INV-000050 - Invoice in draft, payment not captured</t>
  </si>
  <si>
    <t>INV-000039, INV-000040, INV-000041  - Invoice in draft, payment not captured</t>
  </si>
  <si>
    <t>INV-000048 - Invoice in draft, payment not captured</t>
  </si>
  <si>
    <t>Pending - No invoice traced</t>
  </si>
  <si>
    <t>INV-000031 - Invoice in draft, payment not captured</t>
  </si>
  <si>
    <t>INV-000043 - Invoice in draft, payment not captured</t>
  </si>
  <si>
    <t>Notes to financial report</t>
  </si>
  <si>
    <t>Statement of cashflows</t>
  </si>
  <si>
    <t>Statement of financial position</t>
  </si>
  <si>
    <t>Statement of comprehensive income</t>
  </si>
  <si>
    <t>₦’000</t>
  </si>
  <si>
    <t>Surplus/(Deficit) for the year</t>
  </si>
  <si>
    <t>000MOBT25244A6TY PAYMENT FOR PURCHASEOFPLASTICCHAIRSNIPTransfer from ILORIN INNOVATION HUB LTD to SERI</t>
  </si>
  <si>
    <t>000MOBT25244A6WOPAYMENTFORWASTE DISPOSAL FORAUGUSTNIPTransfer from ILORIN INNOVATION HUB LTD to EXTRE</t>
  </si>
  <si>
    <t>000MOBT25244A9SSPAYMENTFORFLIGHT TICKET MD GITEX RETURN LOS ILV NIP Transfer from ILORIN INNOVATION HUB</t>
  </si>
  <si>
    <t>016NIPO252450052 NIP-BEING PAYMENT FOR AUGUST 2025 SECURITY SERVICE</t>
  </si>
  <si>
    <t>016NIPO252450053NIP-BNGPAYMENTTO HIRE AND TRANSPORT 20KVA DIESEL GENERATOR FOR 12 DAYS</t>
  </si>
  <si>
    <t>Pension</t>
  </si>
  <si>
    <t>Employee and employer monthly pension contribution</t>
  </si>
  <si>
    <t>016NIPO252450069NIP-BNGPAYMENTFOR AUGUST 2025 STAFF PENSION</t>
  </si>
  <si>
    <t>016NIPC252450069 NIP Charge-BNG PAYMENT FOR AUGUST 2025 STAFF PENSION</t>
  </si>
  <si>
    <t>016VATP252450069 NIPCharge VAT-BNG PAYMENT FOR AUGUST 2025 STAFF PENSION</t>
  </si>
  <si>
    <t>016NIPO252450070NIP-BNGPAYMENTFOR JULY 2025 STAFF PENSION</t>
  </si>
  <si>
    <t>016NIPC252450070 NIP Charge-BNG PAYMENT FOR JULY 2025 STAFF PENSION</t>
  </si>
  <si>
    <t>016VATP252450070 NIPCharge VAT-BNG PAYMENT FOR JULY 2025 STAFF PENSION</t>
  </si>
  <si>
    <t>016NIPO252450073NIP-BNGPAYMENTFOR JUNE 2025 STAFF PENSION</t>
  </si>
  <si>
    <t>016NIPC252450073 NIP Charge-BNG PAYMENT FOR JUNE 2025 STAFF PENSION</t>
  </si>
  <si>
    <t>016VATP252450073 NIPCharge VAT-BNG PAYMENT FOR JUNE 2025 STAFF PENSION</t>
  </si>
  <si>
    <t>016NIPO252450080NIP-BNGPAYMENTFOR MAY 2025 STAFF PENSION</t>
  </si>
  <si>
    <t>016NIPC252450080 NIP Charge-BNG PAYMENT FOR MAY 2025 STAFF PENSION</t>
  </si>
  <si>
    <t>016VATP252450080 NIPCharge VAT-BNG PAYMENT FOR MAY 2025 STAFF PENSION</t>
  </si>
  <si>
    <t>016NIPO252450081NIP-BNGPAYMENTFOR AUGUST 2025 LANDSCAPING SERVICE</t>
  </si>
  <si>
    <t>016NIPC252450081 NIP Charge-BNG PAYMENTFORAUGUST2025LANDSCAPING SERVICE</t>
  </si>
  <si>
    <t>016VATP252450081 NIPCharge VAT-BNG PAYMENTFORAUGUST2025LANDSCAPING SERVICE</t>
  </si>
  <si>
    <t>000MOBT25245A18Q PAYMENT FOR MD STAY 3NIGHTSGITEXNIPTransfer from ILORIN INNOVATION HUB LTD to T9 HOTEL</t>
  </si>
  <si>
    <t>016NIPO252450087NIP-BNGPAYMENTFOR MARCH 2025 STAFF PENSION</t>
  </si>
  <si>
    <t>016NIPC252450087 NIP Charge-BNG PAYMENT FOR MARCH 2025 STAFF PENSION</t>
  </si>
  <si>
    <t>016VATP252450087 NIPCharge VAT-BNG PAYMENT FOR MARCH 2025 STAFF PENSION</t>
  </si>
  <si>
    <t>016NIPO252450088NIP-BNGPAYMENTFOR APRIL 2025 STAFF PENSION</t>
  </si>
  <si>
    <t>16NIPC252450088 NIP Charge-BNG PAYMENT FOR APRIL 2025 STAFF PENSION</t>
  </si>
  <si>
    <t>016VATP252450088 NIPCharge VAT-BNG PAYMENT FOR APRIL 2025 STAFF PENSION</t>
  </si>
  <si>
    <t>016NIPO252460004NIP-NIPTRFIFOISREAL ABIODUN B/O ILORIN TECH PARK LTD</t>
  </si>
  <si>
    <t>016NIPC252460004NIPCharge-NIPTRFIFO ISREALABIODUNB/O ILORINTECHPARK LTD</t>
  </si>
  <si>
    <t>016VATP252460004NIPChargeVAT-NIPTRF IFO ISREAL ABIODUN B/O ILORIN TECH PARK LTD</t>
  </si>
  <si>
    <t>000MOBT252463993 PAYMENT FORDIESEL PURCHASE 251L ELEVATOR NIP Transfer from ILORIN INNOVATION HUB LTD to</t>
  </si>
  <si>
    <t>000MOBT252465110 PAYMENT FOR BREAKFASTREFRESHMENTSTACOMMNIP Transfer from ILORIN INNOVATION HUB LTD</t>
  </si>
  <si>
    <t>000MOBT252466909 REIMBURSEMENT FOR STAFFBIRTHDAYCAKECARDSNIPTransfer from ILORIN INNOVATION HUB LTD t</t>
  </si>
  <si>
    <t>guest entertainment</t>
  </si>
  <si>
    <t>000MOBT252467581 IIH AUG ALLOWANCE NIPTransfer fromILORIN INNOVATIONHUB LTD to FARAYADE EMMANUEL OLAWALE</t>
  </si>
  <si>
    <t>016NIPO252460039 NIP-BNG PYT FOR AUGUST 2025 JANITORIAL SERVICES</t>
  </si>
  <si>
    <t>016NIPC252460038 NIP Charge-BNGPYT FOR AUGUST 2025 JANITORIAL SERVICES</t>
  </si>
  <si>
    <t>016VATP252460038 NIPCharge VAT-BNG PYT FOR AUGUST 2025 JANITORIAL SERVICES</t>
  </si>
  <si>
    <t>National Housing Fund</t>
  </si>
  <si>
    <t>0160020252460001 REMITTAPAYMENT FOR STAFF NATIONAL HOUSING FUND B/O ILORIN TECH PARK LTD</t>
  </si>
  <si>
    <t>000MOBT25246A2PVOFFICESUPPLIESFOR AUGUST NIP Transfer from ILORIN INNOVATION HUB LTD to MAUREEN DANIEL</t>
  </si>
  <si>
    <t>000MOBT252474993PAYMENTFORTACOMM EVENT LUNCH NIP Transfer from ILORIN INNOVATION HUB LTD to ARIYO VICTO</t>
  </si>
  <si>
    <t>000MOBT25247AC0NREIMBURSEMENT FOR MD LOGISTICS GITEX NIP Transfer from ILORIN INNOVATION HUB LTD to TEMILO</t>
  </si>
  <si>
    <t>000MOBT252518586 REIMBURSEMENT FOR HOSPOTALITYLOGISTICS IHSGUESTS NIP Transfer from ILORIN INNOVATION HU</t>
  </si>
  <si>
    <t>000MOBT25251A4JVPAYMENT FORLAGOS LOGISTICS IIH STAFF ZOHO TRIP NIP Transfer from ILORIN INNOVATION HUB LT</t>
  </si>
  <si>
    <t>000MOBT25251A70Q PAYMENT COR ACCOMODATION FOR IIH STAFF ZOHO LAGOS TRIP NIP Transfer from ILORIN</t>
  </si>
  <si>
    <t>000MOBT25251ADGL PAYMENT FOR BUSINESS CARDS IIH STAFF NIP Transfer from ILORIN INNOVATION HUB LTD to</t>
  </si>
  <si>
    <t>000MOBT25251AGLX PAYMENT FOR ADDITIONAL BUSINESS CARDS MD NIP Transfer from ILORIN INNOVATION HUB LTD</t>
  </si>
  <si>
    <t>stationery and Office Supplies</t>
  </si>
  <si>
    <t>000MOBT25251AIU6 PAYMENT FOR ACCOMODATIONBALANCE FOR IIHSTAFF ZOHO LAGOS TRIP NIP Transfer from ILORIN</t>
  </si>
  <si>
    <t>000MOBT252548484 PAYMENT FOR ZOHO CAMPAIGNSUPGRADEFROM5KTO10KNIP Transfer from ILORIN INNOVATION HUB</t>
  </si>
  <si>
    <t>016NIPO252540023NIP-BEINGPAYMENTTO HIRE A FORKLIFT</t>
  </si>
  <si>
    <t>016NIPC252540023 NIP Charge-BEING PAYMENT TO HIRE A FORKLIFT</t>
  </si>
  <si>
    <t>016VATP252540023NIPChargeVAT-BEING PAYMENT TO HIRE A FORKLIFT</t>
  </si>
  <si>
    <t>000MOBT25254A3GVREIMBURSEMENT FOR FLIGHTTICKETABVLOSUSEMBVISITNIP Transfer from ILORIN INNOVATION H</t>
  </si>
  <si>
    <t>000MOBT252552196 PAYMENT FOR FLIGHT TICKETABVILVMDUSEMBASSYVISITNIP Transfer from ILORIN INNOVATION</t>
  </si>
  <si>
    <t>016NIPO252550008NIP-BNGPYTTOHIREA VEHICLE</t>
  </si>
  <si>
    <t>016NIPC252550008NIPCharge-BNGPYTTO HIRE A VEHICLE</t>
  </si>
  <si>
    <t>016VATP252550008 NIPCharge VAT-BNG PYT TO HIRE A VEHICLE</t>
  </si>
  <si>
    <t>016NIPO252550026 NIP-BNG PYT FOR REPAIR OF DAMAGED SCREEN</t>
  </si>
  <si>
    <t>016NIPC252550026 NIP Charge-BNGPYT FOR REPAIR OF DAMAGED SCREEN</t>
  </si>
  <si>
    <t>016VATP252550026 NIPCharge VAT-BNG PYT FOR REPAIR OF DAMAGED SCREEN</t>
  </si>
  <si>
    <t>0160076252550001 BNG COST OF REMITA (STAFF AUGUST 2025 NSITF )B/O ILORIN TECH PARK LTD</t>
  </si>
  <si>
    <t>salaries and Employee Wages</t>
  </si>
  <si>
    <t>000MOBT25258ANOM PAYMENT CAP FOR DRINKSSUIEVENTNIPTransfer fromILORIN INNOVATION HUB LTD to OLALUWOYE</t>
  </si>
  <si>
    <t>000MOBT25258ARSF REIMBURSEMENT FOR MAUREEN LAGOS LOGISTICS ZOHOUNDP TRIP NIP Transfer from ILORIN INNOVAT</t>
  </si>
  <si>
    <t>000MOBT25259A0SL REIMBURSEMENT FOR STAFF LOGISTICS SINACHI LAGOS ZOHO TRIP NIP Transfer from ILORIN INNOVAT</t>
  </si>
  <si>
    <t>000MOBT25259A1U8 REIMBURSEMENT FOR REFRESHMENTSTACOMMNIPTransferfrom ILORIN INNOVATION HUB LTD to MAUR</t>
  </si>
  <si>
    <t>000MOBT25259A1VK REIMBURSEMENT TA COMM REFRESHMENT NIP Transfer from ILORIN INNOVATION HUB LTD to OKEY MAUR</t>
  </si>
  <si>
    <t>000MOBT25259A23GREIMBURSEMENT FOR FUEL MD NIP Transfer from ILORIN INNOVATION HUB LTD to TEMILOLUWA</t>
  </si>
  <si>
    <t>000MOBT25260A7EHREIMBURSEMENT FOR STARLINKAUGSEPTMDNIPTransfer from ILORIN INNOVATION HUB LTD to OLUWA</t>
  </si>
  <si>
    <t>000MOBT25260AADB PURCHASE OF IT EQUIPMENT HDMl PRINTER CABLES NIP Transfer from ILORIN INNOVATION HUB LTD t</t>
  </si>
  <si>
    <t>000MOBT25260AB8N PAYMENT FOR PURCHASE OF EXTENSION BOXES NIP Transfer from ILORIN INNOVATION HUB LTD</t>
  </si>
  <si>
    <t>000MOBT25260AG4S PAYMENT GOR STARLINK SEPT OCT NIP Transfer from ILORIN INNOVATION HUB LTD to</t>
  </si>
  <si>
    <t>016NIPO252650022 NIP-PURCHASE OF NEXUS SHOWCASE FREZEER</t>
  </si>
  <si>
    <t>016NIPC252650022NIPCharge-PURCHASE OF NEXUS SHOWCASE FREZEER</t>
  </si>
  <si>
    <t>016VATP252650022 NIP Charge VAT PURCHASE OF NEXUS SHOWCASE FREZEER</t>
  </si>
  <si>
    <t>000MOBT25265AKYHPAYMENTFORDRINKS WATERDEVBOXNIPTransfer fromILORIN INNOVATION HUB LTD to OLALUWOYE</t>
  </si>
  <si>
    <t>000MOBT25265AORQ REIMBURSEMENT OF CAUTIONFEESOLOEXHIBITIONNIPTransfer from ILORIN INNOVATION HUB LTD t</t>
  </si>
  <si>
    <t>016NIPO252660011 NIP-BNG PYT FOR PURCHASE OF 20UNITS OF 200WSOLAR STREET LIGHT</t>
  </si>
  <si>
    <t>016NIPC252660008 NIP Charge-BNGPYT FOR PURCHASE OF 20UNITS OF 200W SOLAR STREET LIGHT</t>
  </si>
  <si>
    <t>016VATP252660008 NIPCharge VAT-BNG PYTFORPURCHASEOF20UNITSOF200W SOLAR STREET LIGHT</t>
  </si>
  <si>
    <t>016NIPT252660185 NIP TRSF FROMMOAJ MEDIA CONSULT webAppRefund To PREMIUMTRUST BANK ILORIN TECH PARK</t>
  </si>
  <si>
    <t>016EMTL252660072 ELECTRONIC MONEY TRANSFER LEVY</t>
  </si>
  <si>
    <t>016NIPO252670019 NIP-BNG PYT FOR PURCHSE OF 30 UNITS OF CHAIRS</t>
  </si>
  <si>
    <t>016NIPC252670019 NIP Charge-BNGPYT FOR PURCHSE OF 30 UNITS OF CHAIRS</t>
  </si>
  <si>
    <t>016VATP252670019 NIPCharge VAT-BNG PYT FOR PURCHSE OF 30 UNITS OF CHAIRS</t>
  </si>
  <si>
    <t>000MOBT252678487 PAYMENT FOR REPLACEMENT OF DOOR CYLINDERS NIP Transfer from ILORIN INNOVATION HUB LTD</t>
  </si>
  <si>
    <t>016NEFO252680001 NEFT CREDIT-IIH SALARY SEPT 2025</t>
  </si>
  <si>
    <t>016NEFC252680001NEFTCREDITCHARGE IIH SALARY SEPT 2025</t>
  </si>
  <si>
    <t>016VATO252680001 NEFT CREDIT CHARGE VAT - IIH SALARY SEPT 2025</t>
  </si>
  <si>
    <t>016NEFO252680002 NEFT CREDIT-IIH SALARY SEPT 2025</t>
  </si>
  <si>
    <t>016NEFC252680002NEFTCREDITCHARGE IIH SALARY SEPT 2025</t>
  </si>
  <si>
    <t>016VATO252680002 NEFT CREDIT CHARGE VAT - IIH SALARY SEPT 2025</t>
  </si>
  <si>
    <t>016NEFO252680003 NEFT CREDIT-IIH SALARY SEPT 2025</t>
  </si>
  <si>
    <t>016NEFC252680003NEFTCREDITCHARGE IIH SALARY SEPT 2025</t>
  </si>
  <si>
    <t>016VATO252680003 NEFT CREDIT CHARGE VAT - IIH SALARY SEPT 2025</t>
  </si>
  <si>
    <t>016NEFO252680004 NEFT CREDIT-IIH SALARY SEPT 2025</t>
  </si>
  <si>
    <t>016NEFC252680004NEFTCREDITCHARGE IIH SALARY SEPT 2025</t>
  </si>
  <si>
    <t>016VATO252680004 NEFT CREDIT CHARGE VAT - IIH SALARY SEPT 2025</t>
  </si>
  <si>
    <t>016NEFO252680005 NEFT CREDIT-IIH SALARY SEPT 2025</t>
  </si>
  <si>
    <t>016NEFC252680005NEFTCREDITCHARGE IIH SALARY SEPT 2025</t>
  </si>
  <si>
    <t>016VATO252680005 NEFT CREDIT CHARGE VAT - IIH SALARY SEPT 2025</t>
  </si>
  <si>
    <t>016NEFO252680006 NEFT CREDIT-IIH SALARY SEPT 2025</t>
  </si>
  <si>
    <t>016NEFC252680006NEFTCREDITCHARGE IIH SALARY SEPT 2025</t>
  </si>
  <si>
    <t>016VATO252680006 NEFT CREDIT CHARGE VAT - IIH SALARY SEPT 2025</t>
  </si>
  <si>
    <t>016NEFO252680007 NEFT CREDIT-IIH SALARY SEPT 2025</t>
  </si>
  <si>
    <t>016NEFC252680007NEFTCREDITCHARGE IIH SALARY SEPT 2025</t>
  </si>
  <si>
    <t>016VATO252680007 NEFT CREDIT CHARGE VAT - IIH SALARY SEPT 2025</t>
  </si>
  <si>
    <t>016NEFO252680008 NEFT CREDIT-IIH SALARY SEPT 2025</t>
  </si>
  <si>
    <t>016NEFC252680008NEFTCREDITCHARGE IIH SALARY SEPT 2025</t>
  </si>
  <si>
    <t>016VATO252680008 NEFT CREDIT CHARGE VAT - IIH SALARY SEPT 2025</t>
  </si>
  <si>
    <t>016NEFO252680009 NEFT CREDIT-IIH SALARY SEPT 2025</t>
  </si>
  <si>
    <t>016NEFC252680009NEFTCREDITCHARGE IIH SALARY SEPT 2025</t>
  </si>
  <si>
    <t>016VATO252680009 NEFT CREDIT CHARGE VAT - IIH SALARY SEPT 2025</t>
  </si>
  <si>
    <t>016NEFO252680010 NEFT CREDIT-IIH SALARY SEPT 2025</t>
  </si>
  <si>
    <t>016NEFC252680010NEFTCREDITCHARGE IIH SALARY SEPT 2025</t>
  </si>
  <si>
    <t>016VATO252680010 NEFT CREDIT CHARGE VAT - IIH SALARY SEPT 2025</t>
  </si>
  <si>
    <t>016NEFO252680011 NEFT CREDIT-IIH SALARY SEPT 2025</t>
  </si>
  <si>
    <t>016NEFC252680011NEFTCREDITCHARGE IIH SALARY SEPT 2025</t>
  </si>
  <si>
    <t>016VATO252680011 NEFT CREDIT CHARGE VAT - IIH SALARY SEPT 2025</t>
  </si>
  <si>
    <t>016NEFO252680012 NEFT CREDIT-IIH SALARY SEPT 2025</t>
  </si>
  <si>
    <t>016NEFC252680012NEFTCREDITCHARGE IIH SALARY SEPT 2025</t>
  </si>
  <si>
    <t>016VATO252680012 NEFT CREDIT CHARGE VAT - IIH SALARY SEPT 2025</t>
  </si>
  <si>
    <t>016NEFO252680013 NEFT CREDIT-IIH SALARY SEPT 2025</t>
  </si>
  <si>
    <t>016NEFC252680013NEFTCREDITCHARGE IIH SALARY SEPT 2025</t>
  </si>
  <si>
    <t>016VATO252680013 NEFT CREDIT CHARGE VAT - IIH SALARY SEPT 2025</t>
  </si>
  <si>
    <t>016NEFO252680014 NEFT CREDIT-IIH SALARY SEPT 2025</t>
  </si>
  <si>
    <t>016NEFC252680014NEFTCREDITCHARGE IIH SALARY SEPT 2025</t>
  </si>
  <si>
    <t>016VATO252680014 NEFT CREDIT CHARGE VAT - IIH SALARY SEPT 2025</t>
  </si>
  <si>
    <t>016NEFO252680015 NEFT CREDIT-IIH SALARY SEPT 2025</t>
  </si>
  <si>
    <t>016NEFC252680015NEFTCREDITCHARGE IIH SALARY SEPT 2025</t>
  </si>
  <si>
    <t>016VATO252680015 NEFT CREDIT CHARGE VAT - IIH SALARY SEPT 2025</t>
  </si>
  <si>
    <t>016NEFO252680016 NEFT CREDIT-IIH SALARY SEPT 2025</t>
  </si>
  <si>
    <t>016NEFC252680016NEFTCREDITCHARGE IIH SALARY SEPT 2025</t>
  </si>
  <si>
    <t>016VATO252680016 NEFT CREDIT CHARGE VAT - IIH SALARY SEPT 2025</t>
  </si>
  <si>
    <t>016NEFO252680017 NEFT CREDIT-IIH SALARY SEPT 2025</t>
  </si>
  <si>
    <t>016NEFC252680017NEFTCREDITCHARGE IIH SALARY SEPT 2025</t>
  </si>
  <si>
    <t>016VATO252680017 NEFT CREDIT CHARGE VAT - IIH SALARY SEPT 2025</t>
  </si>
  <si>
    <t>016NEFO252680018 NEFT CREDIT-IIH SALARY SEPT 2025</t>
  </si>
  <si>
    <t>016NEFC252680018NEFTCREDITCHARGE IIH SALARY SEPT 2025</t>
  </si>
  <si>
    <t>016VATO252680018 NEFT CREDIT CHARGE VAT - IIH SALARY SEPT 2025</t>
  </si>
  <si>
    <t>016NEFO252680019 NEFT CREDIT-IIH SALARY SEPT 2025</t>
  </si>
  <si>
    <t>016NEFC252680019NEFTCREDITCHARGE IIH SALARY SEPT 2025</t>
  </si>
  <si>
    <t>016VATO252680019 NEFT CREDIT CHARGE VAT - IIH SALARY SEPT 2025</t>
  </si>
  <si>
    <t>016NEFO252680020 NEFT CREDIT-IIH SALARY SEPT 2025</t>
  </si>
  <si>
    <t>016NEFC252680020NEFTCREDITCHARGE IIH SALARY SEPT 2025</t>
  </si>
  <si>
    <t>016VATO252680020 NEFT CREDIT CHARGE VAT - IIH SALARY SEPT 2025</t>
  </si>
  <si>
    <t>016NEFO252680021 NEFT CREDIT-IIH SALARY SEPT 2025</t>
  </si>
  <si>
    <t>016NEFC252680021NEFTCREDITCHARGE IIH SALARY SEPT 2025</t>
  </si>
  <si>
    <t>016VATO252680021 NEFT CREDIT CHARGE VAT - IIH SALARY SEPT 2025</t>
  </si>
  <si>
    <t>016NEFO252680022 NEFT CREDIT-IIH SALARY SEPT 2025</t>
  </si>
  <si>
    <t>016NEFC252680022NEFTCREDITCHARGE IIH SALARY SEPT 2025</t>
  </si>
  <si>
    <t>016VATO252680022 NEFT CREDIT CHARGE VAT - IIH SALARY SEPT 2025</t>
  </si>
  <si>
    <t>016NEFO252680023 NEFT CREDIT-IIH SALARY SEPT 2025</t>
  </si>
  <si>
    <t>016NEFC252680023NEFTCREDITCHARGE IIH SALARY SEPT 2025</t>
  </si>
  <si>
    <t>016VATO252680023 NEFT CREDIT CHARGE VAT - IIH SALARY SEPT 2025</t>
  </si>
  <si>
    <t>016NEFO252680024 NEFT CREDIT-IIH SALARY SEPT 2025</t>
  </si>
  <si>
    <t>016NEFC252680024NEFTCREDITCHARGE IIH SALARY SEPT 2025</t>
  </si>
  <si>
    <t>016VATO252680024 NEFT CREDIT CHARGE VAT - IIH SALARY SEPT 2025</t>
  </si>
  <si>
    <t>016NEFO252680025 NEFT CREDIT-IIH SALARY SEPT 2025</t>
  </si>
  <si>
    <t>016NEFC252680025NEFTCREDITCHARGE IIH SALARY SEPT 2025</t>
  </si>
  <si>
    <t>016VATO252680025 NEFT CREDIT CHARGE VAT - IIH SALARY SEPT 2025</t>
  </si>
  <si>
    <t>016NEFO252680026 NEFT CREDIT-IIH SALARY SEPT 2025</t>
  </si>
  <si>
    <t>016NEFC252680026NEFTCREDITCHARGE IIH SALARY SEPT 2025</t>
  </si>
  <si>
    <t>016VATO252680026 NEFT CREDIT CHARGE VAT - IIH SALARY SEPT 2025</t>
  </si>
  <si>
    <t>016NEFO252680027 NEFT CREDIT-IIH SALARY SEPT 2025</t>
  </si>
  <si>
    <t>016NEFC252680027NEFTCREDITCHARGE IIH SALARY SEPT 2025</t>
  </si>
  <si>
    <t>016VATO252680027 NEFT CREDIT CHARGE VAT - IIH SALARY SEPT 2025</t>
  </si>
  <si>
    <t>016NEFO252680028NEFTCREDIT-IIHSEPT 2025 ALLOWANCE</t>
  </si>
  <si>
    <t>016NEFC252680028NEFTCREDITCHARGE IIH SEPT 2025 ALLOWANCE</t>
  </si>
  <si>
    <t>016VATO252680028 NEFT CREDIT CHARGE VAT - IIH SEPT 2025 ALLOWANCE</t>
  </si>
  <si>
    <t>016NEFO252680029NEFTCREDIT-IIHSEPT 2025 ALLOWANCE</t>
  </si>
  <si>
    <t>016NEFC252680029NEFTCREDITCHARGE IIH SEPT 2025 ALLOWANCE</t>
  </si>
  <si>
    <t>016VATO252680029 NEFT CREDIT CHARGE VAT - IIH SEPT 2025 ALLOWANCE</t>
  </si>
  <si>
    <t>016NEFO252680030NEFTCREDIT-IIHSEPT 2025 ALLOWANCE</t>
  </si>
  <si>
    <t>016NEFC252680030NEFTCREDITCHARGE IIH SEPT 2025 ALLOWANCE</t>
  </si>
  <si>
    <t>016VATO252680030 NEFT CREDIT CHARGE VAT - IIH SEPT 2025 ALLOWANCE</t>
  </si>
  <si>
    <t>016NEFO252680031NEFTCREDIT-IIHSEPT 2025 ALLOWANCE</t>
  </si>
  <si>
    <t>016NEFC252680031NEFTCREDITCHARGE IIH SEPT 2025 ALLOWANCE</t>
  </si>
  <si>
    <t>016VATO252680031 NEFT CREDIT CHARGE VAT - IIH SEPT 2025 ALLOWANCE</t>
  </si>
  <si>
    <t>016NEFO252680032NEFTCREDIT-IIHSEPT 2025 ALLOWANCE</t>
  </si>
  <si>
    <t>016NEFC252680032NEFTCREDITCHARGE IIH SEPT 2025 ALLOWANCE</t>
  </si>
  <si>
    <t>016VATO252680032 NEFT CREDIT CHARGE VAT - IIH SEPT 2025 ALLOWANCE</t>
  </si>
  <si>
    <t>016NEFO252680033NEFTCREDIT-IIHSEPT 2025 ALLOWANCE</t>
  </si>
  <si>
    <t>016NEFC252680033NEFTCREDITCHARGE IIH SEPT 2025 ALLOWANCE</t>
  </si>
  <si>
    <t>016VATO252680033 NEFT CREDIT CHARGE VAT - IIH SEPT 2025 ALLOWANCE</t>
  </si>
  <si>
    <t>016NEFO252680034NEFTCREDIT-IIHSEPT 2025 ALLOWANCE</t>
  </si>
  <si>
    <t>016NEFC252680034NEFTCREDITCHARGE IIH SEPT 2025 ALLOWANCE</t>
  </si>
  <si>
    <t>016VATO252680034 NEFT CREDIT CHARGE VAT - IIH SEPT 2025 ALLOWANCE</t>
  </si>
  <si>
    <t>016NEFO252680035NEFTCREDIT-IIHSEPT 2025 ALLOWANCE</t>
  </si>
  <si>
    <t>016NEFC252680035NEFTCREDITCHARGE IIH SEPT 2025 ALLOWANCE</t>
  </si>
  <si>
    <t>016VATO252680035 NEFT CREDIT CHARGE VAT - IIH SEPT 2025 ALLOWANCE</t>
  </si>
  <si>
    <t>016NEFO252680036NEFTCREDIT-IIHSEPT 2025 ALLOWANCE</t>
  </si>
  <si>
    <t>016NEFC252680036NEFTCREDITCHARGE IIH SEPT 2025 ALLOWANCE</t>
  </si>
  <si>
    <t>016VATO252680036 NEFT CREDIT CHARGE VAT - IIH SEPT 2025 ALLOWANCE</t>
  </si>
  <si>
    <t>016NEFO252680037NEFTCREDIT-IIHSEPT 2025 ALLOWANCE</t>
  </si>
  <si>
    <t>016NEFC252680037NEFTCREDITCHARGE IIH SEPT 2025 ALLOWANCE</t>
  </si>
  <si>
    <t>016VATO252680037 NEFT CREDIT CHARGE VAT - IIH SEPT 2025 ALLOWANCE</t>
  </si>
  <si>
    <t>016NEFO252680038NEFTCREDIT-IIHSEPT 2025 ALLOWANCE</t>
  </si>
  <si>
    <t>016NEFC252680038NEFTCREDITCHARGE IIH SEPT 2025 ALLOWANCE</t>
  </si>
  <si>
    <t>016VATO252680038 NEFT CREDIT CHARGE VAT - IIH SEPT 2025 ALLOWANCE</t>
  </si>
  <si>
    <t>016NEFO252680039NEFTCREDIT-IIHSEPT 2025 ALLOWANCE</t>
  </si>
  <si>
    <t>016NEFC252680039NEFTCREDITCHARGE IIH SEPT 2025 ALLOWANCE</t>
  </si>
  <si>
    <t>016VATO252680039 NEFT CREDIT CHARGE VAT - IIH SEPT 2025 ALLOWANCE</t>
  </si>
  <si>
    <t>016NEFO252680040NEFTCREDIT-IIHSEPT 2025 ALLOWANCE</t>
  </si>
  <si>
    <t>016NEFC252680040NEFTCREDITCHARGE IIH SEPT 2025 ALLOWANCE</t>
  </si>
  <si>
    <t>016VATO252680040 NEFT CREDIT CHARGE VAT - IIH SEPT 2025 ALLOWANCE</t>
  </si>
  <si>
    <t>016NEFO252680041NEFTCREDIT-IIHSEPT 2025 ALLOWANCE</t>
  </si>
  <si>
    <t>016NEFC252680041NEFTCREDITCHARGE IIH SEPT 2025 ALLOWANCE</t>
  </si>
  <si>
    <t>016VATO252680041 NEFT CREDIT CHARGE VAT - IIH SEPT 2025 ALLOWANCE</t>
  </si>
  <si>
    <t>016NEFO252680042NEFTCREDIT-IIHSEPT 2025 ALLOWANCE</t>
  </si>
  <si>
    <t>016NEFC252680042NEFTCREDITCHARGE IIH SEPT 2025 ALLOWANCE</t>
  </si>
  <si>
    <t>016VATO252680042 NEFT CREDIT CHARGE VAT - IIH SEPT 2025 ALLOWANCE</t>
  </si>
  <si>
    <t>016NEFO252680043NEFTCREDIT-IIHSEPT 2025 ALLOWANCE</t>
  </si>
  <si>
    <t>016NEFC252680043NEFTCREDITCHARGE IIH SEPT 2025 ALLOWANCE</t>
  </si>
  <si>
    <t>016VATO252680043 NEFT CREDIT CHARGE VAT - IIH SEPT 2025 ALLOWANCE</t>
  </si>
  <si>
    <t>016NEFO252680044NEFTCREDIT-IIHSEPT 2025 ALLOWANCE</t>
  </si>
  <si>
    <t>016NEFC252680044NEFTCREDITCHARGE IIH SEPT 2025 ALLOWANCE</t>
  </si>
  <si>
    <t>016VATO252680044 NEFT CREDIT CHARGE VAT - IIH SEPT 2025 ALLOWANCE</t>
  </si>
  <si>
    <t>016NEFO252680046NEFTCREDIT-IIHSEPT 2025 ALLOWANCE</t>
  </si>
  <si>
    <t>016NEFO252680045NEFTCREDIT-IIHSEPT 2025 ALLOWANCE</t>
  </si>
  <si>
    <t>016NEFC252680045NEFTCREDITCHARGE IIH SEPT 2025 ALLOWANCE</t>
  </si>
  <si>
    <t>016VATO252680045 NEFT CREDIT CHARGE VAT - IIH SEPT 2025 ALLOWANCE</t>
  </si>
  <si>
    <t>016NEFC252680046NEFTCREDITCHARGE IIH SEPT 2025 ALLOWANCE</t>
  </si>
  <si>
    <t>016VATO252680046 NEFT CREDIT CHARGE VAT - IIH SEPT 2025 ALLOWANCE</t>
  </si>
  <si>
    <t>016NEFO252680047NEFTCREDIT-IIHSEPT 2025 ALLOWANCE</t>
  </si>
  <si>
    <t>016NEFC252680047NEFTCREDITCHARGE IIH SEPT 2025 ALLOWANCE</t>
  </si>
  <si>
    <t>016VATO252680047 NEFT CREDIT CHARGE VAT - IIH SEPT 2025 ALLOWANCE</t>
  </si>
  <si>
    <t>016NEFO252680048NEFTCREDIT-IIHSEPT 2025 ALLOWANCE</t>
  </si>
  <si>
    <t>016NEFC252680048NEFTCREDITCHARGE IIH SEPT 2025 ALLOWANCE</t>
  </si>
  <si>
    <t>016VATO252680048 NEFT CREDIT CHARGE VAT - IIH SEPT 2025 ALLOWANCE</t>
  </si>
  <si>
    <t>016NEFO252680049NEFTCREDIT-IIHSEPT 2025 ALLOWANCE</t>
  </si>
  <si>
    <t>016NEFC252680049NEFTCREDITCHARGE IIH SEPT 2025 ALLOWANCE</t>
  </si>
  <si>
    <t>016VATO252680049 NEFT CREDIT CHARGE VAT - IIH SEPT 2025 ALLOWANCE</t>
  </si>
  <si>
    <t>016NEFO252680050NEFTCREDIT-IIHSEPT 2025 ALLOWANCE</t>
  </si>
  <si>
    <t>016NEFC252680050NEFTCREDITCHARGE IIH SEPT 2025 ALLOWANCE</t>
  </si>
  <si>
    <t>016VATO252680050 NEFT CREDIT CHARGE VAT - IIH SEPT 2025 ALLOWANCE</t>
  </si>
  <si>
    <t>016NEFO252680051NEFTCREDIT-IIHSEPT 2025 ALLOWANCE</t>
  </si>
  <si>
    <t>016NEFC252680051NEFTCREDITCHARGE IIH SEPT 2025 ALLOWANCE</t>
  </si>
  <si>
    <t>016VATO252680051 NEFT CREDIT CHARGE VAT - IIH SEPT 2025 ALLOWANCE</t>
  </si>
  <si>
    <t>016NEFO252680052NEFTCREDIT-IIHSEPT 2025 ALLOWANC</t>
  </si>
  <si>
    <t>016NEFC252680052NEFTCREDITCHARGE IIH SEPT 2025 ALLOWANCE</t>
  </si>
  <si>
    <t>016VATO252680052 NEFT CREDIT CHARGE VAT - IIH SEPT 2025 ALLOWANCE</t>
  </si>
  <si>
    <t>016NEFO252680053NEFTCREDIT-IIHSEPT 2025 ALLOWANCE</t>
  </si>
  <si>
    <t>016NEFC252680053NEFTCREDITCHARGE IIH SEPT 2025 ALLOWANCE</t>
  </si>
  <si>
    <t>016VATO252680053 NEFT CREDIT CHARGE VAT - IIH SEPT 2025 ALLOWANCE</t>
  </si>
  <si>
    <t>016NEFO252680054NEFTCREDIT-IIHSEPT 2025 ALLOWANCE</t>
  </si>
  <si>
    <t>016NEFC252680054NEFTCREDITCHARGE IIH SEPT 2025 ALLOWANCE</t>
  </si>
  <si>
    <t>016VATO252680054 NEFT CREDIT CHARGE VAT - IIH SEPT 2025 ALLOWANCE</t>
  </si>
  <si>
    <t>016NIPO252680016NIP-ILHSALARYSEPT 2025</t>
  </si>
  <si>
    <t>016NIPC252680016NIPCharge-ILHSALARY SEPT 2025</t>
  </si>
  <si>
    <t>016VATP252680016 NIP Charge VAT-ILH SALARY SEPT 2025</t>
  </si>
  <si>
    <t>016NIPO252680017 NIP-ILH SEPT 2025 ALLOWANCE</t>
  </si>
  <si>
    <t>016NIPC252680017 NIP Charge-ILH SEPT 2025 ALLOWANCE</t>
  </si>
  <si>
    <t>016VATP252680017 NIP Charge VAT-ILH SEPT 2025 ALLOWANCE</t>
  </si>
  <si>
    <t>016NIPO252680020 NIP-ILH SEPT 2025 STAFF ALLOWANCE</t>
  </si>
  <si>
    <t>016NIPC252680020 NIP Charge-ILH SEPT 2025 STAFF ALLOWANCE</t>
  </si>
  <si>
    <t>016VATP252680020 NIP Charge VAT-ILH SEPT 2025 STAFF ALLOWANCE</t>
  </si>
  <si>
    <t>016NIPO252680021NIP-ILHSALARYSEPT 2025</t>
  </si>
  <si>
    <t>016NIPC252680021NIPCharge-ILHSALARY SEPT 2025</t>
  </si>
  <si>
    <t>016VATP252680021 NIP Charge VAT-ILH SALARY SEPT 2025</t>
  </si>
  <si>
    <t>000MOBT252696668 REIMBURSEMENT FOR FRIDGEBALANCENIPTransfer fromILORIN INNOVATION HUB LTD to MAUREEN DA</t>
  </si>
  <si>
    <t>000MOBT252696668 REIMBURSEMENT FOR FRIDGE BALANCE NIP Transfer from ILORIN INNOVATION HUB LTD to MAUREEN DA</t>
  </si>
  <si>
    <t>000MOBT252726779 PAYMENT FOR MD HOTEL 2 NIGHTS IHS IMPACT REPORT TRIP NIP Transfer from ILORIN INNOVATION H</t>
  </si>
  <si>
    <t>016NIPO252720022 NIP- BNG PYT FOR SEPT 2025 JANITORIAL SERVICE</t>
  </si>
  <si>
    <t>016NIPC252720022 NIP Charge- BNG PYT FOR SEPT 2025 JANITORIAL SERVICE</t>
  </si>
  <si>
    <t>016VATP252720022 NIP Charge VAT- BNG PYT FOR SEPT 2025 JANITORIAL SERVICE</t>
  </si>
  <si>
    <t>016NIPO252720023 NIP- BNG PYT FOR SEPT 2025 SECURITY SERVICE</t>
  </si>
  <si>
    <t>016NIPC252720023 NIP Charge- BNG PYT FOR SEPT 2025 SECURITY SERVICE</t>
  </si>
  <si>
    <t>016VATP252720023 NIP Charge VAT- BNG PYT FOR SEPT 2025 SECURITY SERVICE</t>
  </si>
  <si>
    <t>016NIPO252730013 NIP- BNG PYT FOR REPAIR OF LED SCREEN</t>
  </si>
  <si>
    <t>016NIPC252730013 NIP Charge- BNG PYT FOR REPAIR OF LED SCREEN</t>
  </si>
  <si>
    <t>016VATP252730013 NIP Charge VAT- BNG PYT FOR REPAIR OF LED SCREEN</t>
  </si>
  <si>
    <t>016AMFV25273002S VAT ON TRANSACTION CHARGES</t>
  </si>
  <si>
    <t>016AMFC25273003M ACCOUNT MAINTENANCE FEE</t>
  </si>
  <si>
    <t>NIP CR//HENRY MGBECHI CHUKWUEBUKA/ABN /TRF</t>
  </si>
  <si>
    <t>Welfare</t>
  </si>
  <si>
    <t>NIP CR//TUNMISEJOHNSONHOUSEHOLDFO UNDA /PBNL /TRF</t>
  </si>
  <si>
    <t>NIP/GTB/COCREATION HUB LIMITED/ER 06072 IHS Towers IIH payment for Beef Rice and bottle water 212345903 GAPS00</t>
  </si>
  <si>
    <t>NIP CR//JIMOH SULEIMAN OLAWALE/FCMB /trf</t>
  </si>
  <si>
    <t>:ETZ INFLOW 09FG250908131640233QKUAYI:NXG : TRFStrategy session IIHFRM ABDULRAH</t>
  </si>
  <si>
    <t>NIP CR//TEMILOLUWA OLUWALEKE KOLAWOLE/STBC /per diem paymen</t>
  </si>
  <si>
    <t>NIP CR//KHADIJAT ZUMAH SULYMAN/STLB /per diem payment</t>
  </si>
  <si>
    <t>NIP CR//MUHAMMED NASIRU MAHMOOD/GTB /per diem payment</t>
  </si>
  <si>
    <t>NIP CR//OKEY MAUREEN DANIEL/GTB /per diem payment</t>
  </si>
  <si>
    <t>NIP CR//OLALEYE KAYODE/ABN /trf</t>
  </si>
  <si>
    <t>NIP CR//JAMIU ADEBOLA OLADIPO/SCB /per diem paymen</t>
  </si>
  <si>
    <t>NIP CR//TEMILOLUWA OLUWALEKE KOLAWOLE/STBC /per diem payment</t>
  </si>
  <si>
    <t>NIP CR//KAMIL LANRE AHMED/SKYE /per diem payment</t>
  </si>
  <si>
    <t>NIP CR//ONUCHUKWU SINACHI GOODNESS/GTB /per diem payment</t>
  </si>
  <si>
    <t>NIP CR//OLALEYE KAYODE/ABN /per diem payment</t>
  </si>
  <si>
    <t>Cash Deposit ABDULRAHMAN YUSUF 129030</t>
  </si>
  <si>
    <t>Sterling</t>
  </si>
  <si>
    <t>:ETZ INFLOW 09FG250911165338460KLBKTQ:Payment for hall</t>
  </si>
  <si>
    <t>:ETZ INFLOW 09FG250911192112590AN713H: Refreshments for 2 days</t>
  </si>
  <si>
    <t>:ETZ INFLOW 09FG250912155227099IQQJ36:Complete payment for hall</t>
  </si>
  <si>
    <t>accountStatementRequest</t>
  </si>
  <si>
    <t>VALUE ADDED TAX</t>
  </si>
  <si>
    <t>NIP/FCMB/MOAJ MEDIA CONSULT/webApprefreshment small chops water and drinks To Zenith Ba</t>
  </si>
  <si>
    <t xml:space="preserve">FGN ELECTRONIC MONEY TRANSFER LEVY </t>
  </si>
  <si>
    <t xml:space="preserve">NIP CR//ADENIRAN KAZEEM/FBN /IIH SECURITY SERVICE </t>
  </si>
  <si>
    <t xml:space="preserve">NIP CHARGE + VAT </t>
  </si>
  <si>
    <t xml:space="preserve">NIP/UBA/MINISTRY OF BUSINESS INNOVATION AND TECH/trf ilorin tech park ilorin in 0.00 </t>
  </si>
  <si>
    <t>Kwara State Government</t>
  </si>
  <si>
    <t>NIP CR//FLUTTERWAVE/WEBFALA DIGITAL SKILLS FOR ALL INITIATIVE/WBP /pyt for security deposit refund to wdsfai</t>
  </si>
  <si>
    <t>NIP CR//JIMOH SULEIMAN OLAWALE/FCMB /refreshment for sui blockchain and solo photo</t>
  </si>
  <si>
    <t>NIP/FBN/KW-IRS IGR RETENTION ACCOUNT 2/18258571 FD/FT/CITN INVESTITURE PROG</t>
  </si>
  <si>
    <t xml:space="preserve">NIP CR//DIGIEQ AFRICA LTD/STLB /TRF </t>
  </si>
  <si>
    <t>Training</t>
  </si>
  <si>
    <t>NIP CR//DIGIEQ AFRICA LTD/STLB /deduction refund ai literacy camp</t>
  </si>
  <si>
    <t xml:space="preserve">NIP CR//SAMUEL SOLOMON ILEMONA/GTB /trf </t>
  </si>
  <si>
    <t xml:space="preserve">NIP CR//MOAJ MEDIA CONSULT/FCMB /trf </t>
  </si>
  <si>
    <t xml:space="preserve">NIP CR//JIMOH SULEIMAN OLAWALE/FCMB /TRF </t>
  </si>
  <si>
    <t xml:space="preserve">NIP CR//OLALUWOYE JUMOKE OLUFUNKE/FBN /TRF </t>
  </si>
  <si>
    <t>NIP/GTB/COCREATION HUB LIMITED/ER 06498 IHS Towers Mix and mingle event at Ilorin Innovation hub 213589632 GAP</t>
  </si>
  <si>
    <t>CIP/CR//NIP Transfer to ILORIN TECH PARK LTD. 000013250926185057000439640729 000439640729/FRM AYINLA OLAMILEKAN ADIGUN</t>
  </si>
  <si>
    <t xml:space="preserve">NIP CR//WAKANOWCOM LIMITED/GTB /PYT FOR BOOKING ID 2509300401464 </t>
  </si>
  <si>
    <t xml:space="preserve">ACCOUNT MAINTENANCE FEE </t>
  </si>
  <si>
    <t xml:space="preserve">VAT ON ACCOUNT MAINTENNACE FEE </t>
  </si>
  <si>
    <t>NIP/JAIZ/WASIU SALAMI/IFO ILORIN TECH PARK LTD Payment Of 400-capa</t>
  </si>
  <si>
    <t>BANKNIP From 000013250901215132000387303638 000013 PAYREF: 000387303638 SENDER: ALABI TAOFIQ TAIWO REMARK: CITN Investiture - part pymt for use of hall to ILORIN TECH PARK LTD. 000013250901215132000387303638 ILORIN TECH PARK LTD Ref: 0000132509012151320003873036382</t>
  </si>
  <si>
    <t>BANKNIP From 000003250903100009004252193541 000003 PAYREF: S8398261 SENDER: MOAJ MEDIA CONSULT REMARK: webAppPitch Hall Rental Security deposit and vat To Sterlin ILORIN TECH PARK LTD Ref: 0000032509031000090042521935412</t>
  </si>
  <si>
    <t>BANKNIP From 110006250907134314088022446701 110006 PAYREF: 0088022446701 SENDER: Paystack REMARK: 2511 Payment of 200k for Corkage feeABEGBR001 ILORIN TECH PARK LTD Ref: 1100062509071343140880224467012</t>
  </si>
  <si>
    <t>Cash Withdrawal ILORIN TECH PARK LTD at MM WAY ILORIN ILORIN TECH PARK LTD Ref: BT25090816x0nJnzmX1</t>
  </si>
  <si>
    <t>Cash withdrawal</t>
  </si>
  <si>
    <t>Cash Withdrawal ILORIN TECH PARK LTD at MM WAY ILORIN ILORIN TECH PARK LTD Ref: BT25090816x0nJnzmX2</t>
  </si>
  <si>
    <t>Cash Withdrawal ILORIN TECH PARK LTD at MM WAY ILORIN ILORIN TECH PARK LTD Ref: BT2509081624w1DlHc1</t>
  </si>
  <si>
    <t>Staff pension</t>
  </si>
  <si>
    <t>Donation received from IHS or Kwara state for day to day running of the business</t>
  </si>
  <si>
    <t>Staff NHF</t>
  </si>
  <si>
    <t>Check with COA</t>
  </si>
  <si>
    <t>Bal as at Aug</t>
  </si>
  <si>
    <t>Variance noted</t>
  </si>
  <si>
    <t>Balance withdrawn</t>
  </si>
  <si>
    <t>Expected bal before closure</t>
  </si>
  <si>
    <t>Inflow</t>
  </si>
  <si>
    <t>outflow</t>
  </si>
  <si>
    <t>For the 7-month period ended 30 September 2025</t>
  </si>
  <si>
    <t>for the 7-month period ended 30th September 2025</t>
  </si>
  <si>
    <t>NIP CR//JIMOH SULEIMAN OLAWALE/FCMB /REFRESHMENT FOR ORBIT ONBOARDING SESION</t>
  </si>
  <si>
    <t>CIP/CR//Hall reservation  100033251003121313010013807517/FRM IBRAHIM SHEHU OLASUPO</t>
  </si>
  <si>
    <t>NIP CR//YAHAYA KHADIJAT ZUMAH/PBNL /TRF</t>
  </si>
  <si>
    <t>NIP/WBP/MAYOWA  ABEJIRIN/ALAT NIP TRANSFER TO ILORIN TECH PARK LTD FROM MAY</t>
  </si>
  <si>
    <t>NIP//Kwara State Government Project Tsa Accou/MANAGINGDIRECTORILORININNOVATIONHUBTOORG</t>
  </si>
  <si>
    <t>NIP CR//WAKANOWCOM LIMITED/GTB  /AAG2025 ID2510070402276 FOR TEMI KOLAWOLE AND TEMILOLA AKANDE</t>
  </si>
  <si>
    <t>NIP CR//PBN SOLUTIONS LIMITED-EVENT SERVICE/STLB /PYT FOR KWARA AI SUMMIT 2025 PH1 INSTALLMENT PYT</t>
  </si>
  <si>
    <t>NIP CR//JIMOH SULEIMAN OLAWALE/FCMB /REFRESHMENT DURING DEMO  DAY  INDEPENDENCE AI BOOT CAMP</t>
  </si>
  <si>
    <t>NIP CR//TEMILOLUWA OLUWALEKE KOLAWOLE/STBC /TRF</t>
  </si>
  <si>
    <t>NIP CR//AFRICAN TECHNOLOGY INNOVATION HUBS INITIATIVE/STBC /IIH 2021,2022,2023,2024,2025 AFRILABS ANNUAL MEMBERSHIP DUES</t>
  </si>
  <si>
    <t>TRF FROM TUNMISE JOHNSON HOUSEHOLD FOUNDATIO/1760444714776</t>
  </si>
  <si>
    <t>CIP/CR//Innovation Hub Hall rental for KAF event to ILORIN TECH PARK LTD. 000013251017114238000484159094 000484159094/F</t>
  </si>
  <si>
    <t>NIP CR// BOA FOODS RESTAURANT LTD - 2/ROLEZ/TRF</t>
  </si>
  <si>
    <t>***RSVL NIP CR// BOA FOODS RESTAURANT LTD - 2/ROLEZ/TRF</t>
  </si>
  <si>
    <t>***RSVL NIP CHARGE + VAT</t>
  </si>
  <si>
    <t>CIP/CR//Transfer from IDRIS OLAYINKA ABDULMUIZ 100004251018150825143367647493</t>
  </si>
  <si>
    <t>NIP/UBA/CHARTERED INST  OF TAXATION OF NIG  ILOR/CIB/UTO/Payment for service /ILORIN TECH PARK LTD</t>
  </si>
  <si>
    <t>CIP/CR//GT20251175 BEING PAYMENT FOR THE HALL TO BE USED FOR THE 4TH QTR STRATEGY  REVIEW 215527950 GAPS0199 0004877725</t>
  </si>
  <si>
    <t>NIP/STBC/ADEYEYE OLUKAYODE IJISESAN/Food Deposit</t>
  </si>
  <si>
    <t>NIP CR//YASCO TECHNICAL COMPANY LTD/ABN  /TRF FRM ILORIN TECH PARK LTD TO YASCO TECHNICAL COMPANY LTD</t>
  </si>
  <si>
    <t>NIP CR//SOLIU YAKUB/ROLEZ/TRF FRM ILORIN TECH PARK LTD TO SOLIU YAKUB</t>
  </si>
  <si>
    <t>CIP/CR//Transfer from FIKUNMI JEDIDIAH OKE 100004251021164101143571714838</t>
  </si>
  <si>
    <t>NIP/KBL/ABDUS-SALAM WURAOLA AMINA/TRF BO ABDUS-SALAM WURAOLA AMINA/Ilorin Innovation Hub</t>
  </si>
  <si>
    <t>TRF FROM HILLCREST AGRO-ALLIED IND.LTD ACC 2/WORK SPACE</t>
  </si>
  <si>
    <t>NIP CR//TOO SCARCE CONCEPTS/STBC /PYT FOR REPAIRS OF BIG HALL DAMAGED SCREEN</t>
  </si>
  <si>
    <t>NIP CR//PBN SOLUTIONS LIMITED-EVENT SERVICE/STLB /PYT FOR KWARA AI SUMMIT 2025 2ND PHASE OF PLANNING PYT</t>
  </si>
  <si>
    <t>CIP/CR//GT20251183 BEING PAYMENT FOR REFRESHMENT DURING THE 2025 TAX QUIZ COMPETIT ION 215766051 GAPS0199648 0004951616</t>
  </si>
  <si>
    <t>CIP/CR//GT20251184 BEING PAYMENT FOR THE HALLTO BE USED FOR THE 2025 TAX QUIZ COMP ETITION 215767475 GAPS019 0004951680</t>
  </si>
  <si>
    <t>NIP/OPAY/CHARLESMARY CHIDI CHUKWUMA/Payment for workspace</t>
  </si>
  <si>
    <t>NIP CR//FRIENDS FAST FOOD LIMITED/FBN  /REFRESHMENT FOR APT SUMMIT</t>
  </si>
  <si>
    <t>NIP CR// BOA FOODS RESTAURANT LTD - 2/ROLEZ/REFRESHMENT TO VOLUNTEERS AT AI PROD &amp;TECH SUMMIT BY BOA FOODS</t>
  </si>
  <si>
    <t>NIP CR// BOA FOODS RESTAURANT LTD - I I H/ROLEZ/REFRSHMENT TO VOLUNTEERS AT AI PROD &amp; TECH SUMMIT BY BOA FOODS REST LTD-</t>
  </si>
  <si>
    <t>NIP CR//MUHAMMAD MUBARAK YUSUF/OPAY /CHAIRS AND SOUNDSYSTEM RENTAL SERV  AT TECH&amp;PROD  SUMMIT</t>
  </si>
  <si>
    <t>NIP CR//OLALUWOYE JUMOKE OLUFUNKE/FBN  /REFRESHMENT TO VOLUNTEERS AT AI PROD &amp; TECH SUMMIT BY NOBLE DRINKS&amp;WINE STORE</t>
  </si>
  <si>
    <t>NIP CR//JIMOH SULEIMAN OLAWALE/FCMB /REFRESHMENT TO VOLUNTEERS t AI PROD &amp; TECH SUMMIT BY CHEF WALE</t>
  </si>
  <si>
    <t>NIP/STBC/ADEYEYE OLUKAYODE IJISESAN/Balance for food and</t>
  </si>
  <si>
    <t>NIP CR//ABSOLUTE POWER ELEC MECH LTD/PBNL /PYT FOR THE PURCHASE ELECTRICAL MATERIALS</t>
  </si>
  <si>
    <t>NIP CR//HAMRAJ LIGHT TECHNOLOGIES/FCMB /TRF</t>
  </si>
  <si>
    <t>NIP CR//MTN NIG COMM PLC POST PAID SUBSC/ABN  /PYT FOR MTN OCT 2025 45MBPS INTERNET SERV SUB</t>
  </si>
  <si>
    <t>:ISW INFLOW CR|MNP|ZIB|301025182800|290482:OMOLOLA ABIS Trf for Customer/AT117_TRF|2MPT44yp1|1983949015414292480</t>
  </si>
  <si>
    <t>NIP CR// CYCLE STORES FURNITURE/ROLEZ/PYT FOR PURCHASE OF 5000VA CENTURY STABILIZER</t>
  </si>
  <si>
    <t>NIP CR//BENETTON CONSULTING LIMITED/TAJ  /PYT FOR SEPTEMBER 2025 LANDSCAPING SERVICE</t>
  </si>
  <si>
    <t>TRF TO ROHI INTERNATIONAL GUARDS LTD FRM ILORIN TECH PARK LTD /PYT FOR OCT 2025 SECURITY SERVICE</t>
  </si>
  <si>
    <t>02/10/2025</t>
  </si>
  <si>
    <t>03/10/2025</t>
  </si>
  <si>
    <t>05/10/2025</t>
  </si>
  <si>
    <t>06/10/2025</t>
  </si>
  <si>
    <t>07/10/2025</t>
  </si>
  <si>
    <t>09/10/2025</t>
  </si>
  <si>
    <t>12/10/2025</t>
  </si>
  <si>
    <t>13/10/2025</t>
  </si>
  <si>
    <t>14/10/2025</t>
  </si>
  <si>
    <t>17/10/2025</t>
  </si>
  <si>
    <t>18/10/2025</t>
  </si>
  <si>
    <t>19/10/2025</t>
  </si>
  <si>
    <t>20/10/2025</t>
  </si>
  <si>
    <t>21/10/2025</t>
  </si>
  <si>
    <t>22/10/2025</t>
  </si>
  <si>
    <t>25/10/2025</t>
  </si>
  <si>
    <t>26/10/2025</t>
  </si>
  <si>
    <t>27/10/2025</t>
  </si>
  <si>
    <t>28/10/2025</t>
  </si>
  <si>
    <t>29/10/2025</t>
  </si>
  <si>
    <t>30/10/2025</t>
  </si>
  <si>
    <t>31/10/2025</t>
  </si>
  <si>
    <t>Bank transactions in October</t>
  </si>
  <si>
    <t>000MOBT25275AB6H  PAYMENT  FOR  DRINKS DEVBOX    MD    NIP    Transfer    from    ILORIN INNOVATION HUB LTD to OLALUWOYE JUMO</t>
  </si>
  <si>
    <t>000MOBT25275AFDT   PAYMENT   FOR   CHAIR RENTAL   EBUN   EVENT   NIP   Transfer   from ILORIN INNOVATION HUB LTD to MUHAMMA</t>
  </si>
  <si>
    <t>000MOBT25275AFEI   PAYMENT   FOR   CHAIR RENTAL   EBUN   EVENT   NIP   Transfer   from ILORIN INNOVATION HUB LTD to MUHAMMA</t>
  </si>
  <si>
    <t>016NIPO252760048    NIP    -    BNG    PYT    FOR REPAIR AND SERVICING OF AC</t>
  </si>
  <si>
    <t>016NIPC252760048   NIP   Charge   -   BNG   PYT FOR REPAIR AND SERVICING OF AC</t>
  </si>
  <si>
    <t>016VATP252760048   NIP  Charge  VAT   -  BNG PYT FOR REPAIR AND SERVICING OF AC</t>
  </si>
  <si>
    <t>000MOBT25276A064  PAYMENT  FOR  DRINKS MIX    MINGLE    NIP    Transfer    from    ILORIN INNOVATION HUB LTD to OLALUWOYE JUM</t>
  </si>
  <si>
    <t>000MOBT25276A07B  PAYMENT   FOR  SMALL CHOPS   ORBIT   LAUNCH   NIP   Transfer   from ILORIN INNOVATION HUB LTD to JIMOH</t>
  </si>
  <si>
    <t>016NIPT252760418        NIP        TRSF       FROM SULEIMAN     OLAWALE    JIMOH    SULEIMAN OLAWALE JIMOH:7086060054</t>
  </si>
  <si>
    <t>016EMTL2527600DW    ELECTRONIC    MONEY TRANSFER LEVY</t>
  </si>
  <si>
    <t>000q049252760145       RVSLPAYMENT       FOR CHAIR  RENTAL  EBUN  EVENT   NIP  Transfer from ILORIN INNOVATION HUB LTD to</t>
  </si>
  <si>
    <t>000MOBT252797673  PAYMENT  FOR  DRINKS ORBIT   EVENT   NIP   Transfer   from   ILORIN INNOVATION HUB LTD to OLALUWOYE JU</t>
  </si>
  <si>
    <t>000MOBT252797673  PAYMENT  FOR  DRINKS ORBIT   EVENT   NIP   Transfer   from   ILORININNOVATION HUB LTD to OLALUWOYE JU</t>
  </si>
  <si>
    <t>000MOBT252798691           PAYMENT           FOR PURCHASE  OF  DRINKS  FOR  IIH  CAFETERIA NIP Transfer from ILORIN INNOVATION HUB L</t>
  </si>
  <si>
    <t>000MOBT25279A8LL   PAYMENT   FOR   CHAIR RENTALS   EBUN   EVENT   NIP   Transfer   from ILORIN INNOVATION HUB LTD to MUHAMM</t>
  </si>
  <si>
    <t>000MOBT25279ASA1     PAYMENT     FOR     AI BOOTCAMP   REFRESHMENTS   NIP   Transfer from ILORIN INNOVATION HUB LTD to POS Tr</t>
  </si>
  <si>
    <t>000MOBT25286A4VA  PAYMENT  FOR  INTERN NCC   TRAINING   ABUJA   NIP   Transfer   from ILORIN INNOVATION HUB LTD to ABDUL</t>
  </si>
  <si>
    <t>000MOBT25286A57N  PAYMENT  FOR  INTERN NCC TRAINING ABUJA TRIP NIP Transfer from ILORIN INNOVATION HUB LTD to</t>
  </si>
  <si>
    <t>000MOBT25286A979         PARTIAL         HOTEL PAYMENT   AFRILABS   KENYA    NIP   Transfer from ILORIN INNOVATION HUB LTD to TEMIL</t>
  </si>
  <si>
    <t>000MOBT25286AERW    BALANCE    PAYMENT FOR  AFRILAB  HOTEL  KENYA  MD  TEMILOLA NIP Transfer from ILORIN INNOVATION HU</t>
  </si>
  <si>
    <t>000MOBT252872338  PAYMENT  FOR  DRINKS FOR   IIH   CAFETERIA   02   NIP   Transfer   from ILORIN INNOVATION HUB LTD to OLA</t>
  </si>
  <si>
    <t>000MOBT25287A37M   BIRTHDAY   CAKE   NIP Transfer  from  ILORIN  INNOVATION  HUB  LTD to Infinitus Innovations Limited</t>
  </si>
  <si>
    <t>0162305252890001 BNG COST OF REMITA  (E-PAYMENT   TILL   –   AJIBOLA   OGUNGBESAN) B/O  ILORIN TECH PARK LTD</t>
  </si>
  <si>
    <t>000MOBT252941398    FLIGHT    ILV    LOS    MD UNDP    ENGAGEMENT    NIP    Transfer    from ILORIN INNOVATION HUB LTD to PAYSTACK</t>
  </si>
  <si>
    <t>000MOBT252941718   PAYMENT   FLIGHT   MD LOS  ILV  UNDP  ENGAGEMENT  NIP  Transfer from ILORIN INNOVATION HUB LTD to P</t>
  </si>
  <si>
    <t>000MOBT252945915           PAYMENT           FOR REFRESHMENTS  AI BOOTCAMP  NIP Transfer from ILORIN INNOVATION HUB LTD to</t>
  </si>
  <si>
    <t>000MOBT25295A03E          PAYMENT          FOR PURCHASE   OF   TRASH   BINS   NIP   Transfer from ILORIN INNOVATION HUB LTD to</t>
  </si>
  <si>
    <t>016NEFO252970001 NEFT CREDIT - OCTOBER 2025 STAFF SALARY</t>
  </si>
  <si>
    <t>016NEFC252970001  NEFT  CREDIT  CHARGE  - OCTOBER 2025 STAFF SALARY</t>
  </si>
  <si>
    <t>016VATO252970001   NEFT   CREDIT   CHARGE VAT - OCTOBER 2025 STAFF SALARY</t>
  </si>
  <si>
    <t>016NEFO252970002 NEFT CREDIT - OCTOBER 2025 STAFF SALARY</t>
  </si>
  <si>
    <t>016NEFC252970002  NEFT  CREDIT  CHARGE  - OCTOBER 2025 STAFF SALARY</t>
  </si>
  <si>
    <t>016VATO252970002   NEFT   CREDIT   CHARGE VAT - OCTOBER 2025 STAFF SALARY</t>
  </si>
  <si>
    <t>016NEFO252970003 NEFT CREDIT - OCTOBER 2025 STAFF SALARY</t>
  </si>
  <si>
    <t>016NEFC252970003  NEFT  CREDIT  CHARGE  - OCTOBER 2025 STAFF SALARY</t>
  </si>
  <si>
    <t>016VATO252970003   NEFT   CREDIT   CHARGE VAT - OCTOBER 2025 STAFF SALARY</t>
  </si>
  <si>
    <t>016NEFO252970004 NEFT CREDIT - OCTOBER 2025 STAFF SALARY</t>
  </si>
  <si>
    <t>016NEFC252970004  NEFT  CREDIT  CHARGE  - OCTOBER 2025 STAFF SALARY</t>
  </si>
  <si>
    <t>016VATO252970004   NEFT   CREDIT   CHARGE VAT - OCTOBER 2025 STAFF SALARY</t>
  </si>
  <si>
    <t>016NEFO252970005 NEFT CREDIT - OCTOBER 2025 STAFF SALARY</t>
  </si>
  <si>
    <t>016NEFC252970005  NEFT  CREDIT  CHARGE  - OCTOBER 2025 STAFF SALARY</t>
  </si>
  <si>
    <t>016VATO252970005   NEFT   CREDIT   CHARGE VAT - OCTOBER 2025 STAFF SALARY</t>
  </si>
  <si>
    <t>016NEFO252970006 NEFT CREDIT - OCTOBER 2025 STAFF SALARY</t>
  </si>
  <si>
    <t>016NEFC252970006  NEFT  CREDIT  CHARGE  - OCTOBER 2025 STAFF SALARY</t>
  </si>
  <si>
    <t>016VATO252970006   NEFT   CREDIT   CHARGE VAT - OCTOBER 2025 STAFF SALARY</t>
  </si>
  <si>
    <t>016NEFO252970007 NEFT CREDIT - OCTOBER
2025 STAFF SALARY</t>
  </si>
  <si>
    <t>016NEFC252970007  NEFT  CREDIT  CHARGE  - OCTOBER 2025 STAFF SALARY</t>
  </si>
  <si>
    <t>016VATO252970007   NEFT   CREDIT   CHARGE VAT - OCTOBER 2025 STAFF SALARY</t>
  </si>
  <si>
    <t>016NEFO252970008 NEFT CREDIT - OCTOBER
2025 STAFF SALARY</t>
  </si>
  <si>
    <t>016NEFC252970008  NEFT  CREDIT  CHARGE  - OCTOBER 2025 STAFF SALARY</t>
  </si>
  <si>
    <t>016VATO252970008   NEFT   CREDIT   CHARGE VAT - OCTOBER 2025 STAFF SALARY</t>
  </si>
  <si>
    <t>016NEFO252970009 NEFT CREDIT - OCTOBER
2025 STAFF SALARY</t>
  </si>
  <si>
    <t>016NEFC252970009  NEFT  CREDIT  CHARGE  - OCTOBER 2025 STAFF SALARY</t>
  </si>
  <si>
    <t>016VATO252970009   NEFT   CREDIT   CHARGE VAT - OCTOBER 2025 STAFF SALARY</t>
  </si>
  <si>
    <t>016NEFO252970010 NEFT CREDIT - OCTOBER
2025 STAFF SALARY</t>
  </si>
  <si>
    <t>016NEFC252970010  NEFT  CREDIT  CHARGE  - OCTOBER 2025 STAFF SALARY</t>
  </si>
  <si>
    <t>016VATO252970010   NEFT   CREDIT   CHARGE VAT - OCTOBER 2025 STAFF SALARY</t>
  </si>
  <si>
    <t>016NEFO252970011 NEFT CREDIT - OCTOBER
2025 STAFF SALARY</t>
  </si>
  <si>
    <t>016NEFC252970011  NEFT  CREDIT  CHARGE  - OCTOBER 2025 STAFF SALARY</t>
  </si>
  <si>
    <t>016VATO252970011   NEFT   CREDIT   CHARGE VAT - OCTOBER 2025 STAFF SALARY</t>
  </si>
  <si>
    <t>016NEFO252970012 NEFT CREDIT - OCTOBER
2025 STAFF SALARY</t>
  </si>
  <si>
    <t>016NEFC252970012  NEFT  CREDIT  CHARGE  - OCTOBER 2025 STAFF SALARY</t>
  </si>
  <si>
    <t>016VATO252970012   NEFT   CREDIT   CHARGE VAT - OCTOBER 2025 STAFF SALARY</t>
  </si>
  <si>
    <t>016NEFO252970013 NEFT CREDIT - OCTOBER
2025 STAFF SALARY</t>
  </si>
  <si>
    <t>016NEFC252970013  NEFT  CREDIT  CHARGE  - OCTOBER 2025 STAFF SALARY</t>
  </si>
  <si>
    <t>016VATO252970013   NEFT   CREDIT   CHARGE VAT - OCTOBER 2025 STAFF SALARY</t>
  </si>
  <si>
    <t>016NEFO252970014 NEFT CREDIT - OCTOBER
2025 STAFF SALARY</t>
  </si>
  <si>
    <t>016NEFC252970014  NEFT  CREDIT  CHARGE  - OCTOBER 2025 STAFF SALARY</t>
  </si>
  <si>
    <t>016VATO252970014   NEFT   CREDIT   CHARGE VAT - OCTOBER 2025 STAFF SALARY</t>
  </si>
  <si>
    <t>016NEFO252970015 NEFT CREDIT - OCTOBER
2025 STAFF SALARY</t>
  </si>
  <si>
    <t>016NEFC252970015  NEFT  CREDIT  CHARGE  - OCTOBER 2025 STAFF SALARY</t>
  </si>
  <si>
    <t>016VATO252970015   NEFT   CREDIT   CHARGE VAT - OCTOBER 2025 STAFF SALARY</t>
  </si>
  <si>
    <t>016NEFO252970016 NEFT CREDIT - OCTOBER
2025 STAFF SALARY</t>
  </si>
  <si>
    <t>016NEFC252970016  NEFT  CREDIT  CHARGE  - OCTOBER 2025 STAFF SALARY</t>
  </si>
  <si>
    <t>016VATO252970016   NEFT   CREDIT   CHARGE VAT - OCTOBER 2025 STAFF SALARY</t>
  </si>
  <si>
    <t>016NEFO252970017 NEFT CREDIT - OCTOBER
2025 STAFF SALARY</t>
  </si>
  <si>
    <t>016NEFC252970017  NEFT  CREDIT  CHARGE  - OCTOBER 2025 STAFF SALARY</t>
  </si>
  <si>
    <t>016VATO252970017   NEFT   CREDIT   CHARGE VAT - OCTOBER 2025 STAFF SALARY</t>
  </si>
  <si>
    <t>016NEFO252970018 NEFT CREDIT - OCTOBER
2025 STAFF SALARY</t>
  </si>
  <si>
    <t>016NEFC252970018  NEFT  CREDIT  CHARGE  - OCTOBER 2025 STAFF SALARY</t>
  </si>
  <si>
    <t>016VATO252970018   NEFT   CREDIT   CHARGE VAT - OCTOBER 2025 STAFF SALARY</t>
  </si>
  <si>
    <t>016NEFO252970019 NEFT CREDIT - OCTOBER
2025 STAFF SALARY</t>
  </si>
  <si>
    <t>016NEFC252970019  NEFT  CREDIT  CHARGE  - OCTOBER 2025 STAFF SALARY</t>
  </si>
  <si>
    <t>016VATO252970019   NEFT   CREDIT   CHARGE VAT - OCTOBER 2025 STAFF SALARY</t>
  </si>
  <si>
    <t>016NEFO252970020 NEFT CREDIT - OCTOBER
2025 STAFF SALARY</t>
  </si>
  <si>
    <t>016NEFC252970020  NEFT  CREDIT  CHARGE  - OCTOBER 2025 STAFF SALARY</t>
  </si>
  <si>
    <t>016VATO252970020   NEFT   CREDIT   CHARGE VAT - OCTOBER 2025 STAFF SALARY</t>
  </si>
  <si>
    <t>016NEFO252970021 NEFT CREDIT - OCTOBER
2025 STAFF SALARY</t>
  </si>
  <si>
    <t>016NEFC252970021  NEFT  CREDIT  CHARGE  - OCTOBER 2025 STAFF SALARY</t>
  </si>
  <si>
    <t>016VATO252970021   NEFT   CREDIT   CHARGE VAT - OCTOBER 2025 STAFF SALARY</t>
  </si>
  <si>
    <t>016NEFO252970022 NEFT CREDIT - OCTOBER
2025 STAFF SALARY</t>
  </si>
  <si>
    <t>016NEFC252970022  NEFT  CREDIT  CHARGE  - OCTOBER 2025 STAFF SALARY</t>
  </si>
  <si>
    <t>016VATO252970022   NEFT   CREDIT   CHARGE VAT - OCTOBER 2025 STAFF SALARY</t>
  </si>
  <si>
    <t>016NEFO252970023 NEFT CREDIT - OCTOBER
2025 STAFF SALARY</t>
  </si>
  <si>
    <t>016NEFC252970023  NEFT  CREDIT  CHARGE  - OCTOBER 2025 STAFF SALARY</t>
  </si>
  <si>
    <t>016VATO252970023   NEFT   CREDIT   CHARGE VAT - OCTOBER 2025 STAFF SALARY</t>
  </si>
  <si>
    <t>016NEFO252970024 NEFT CREDIT - OCTOBER
2025 STAFF SALARY</t>
  </si>
  <si>
    <t>016NEFC252970024  NEFT  CREDIT  CHARGE  - OCTOBER 2025 STAFF SALARY</t>
  </si>
  <si>
    <t>016VATO252970024   NEFT   CREDIT   CHARGE VAT - OCTOBER 2025 STAFF SALARY</t>
  </si>
  <si>
    <t>016NEFO252970025 NEFT CREDIT - OCTOBER
2025 STAFF SALARY</t>
  </si>
  <si>
    <t>016NEFC252970025  NEFT  CREDIT  CHARGE  - OCTOBER 2025 STAFF SALARY</t>
  </si>
  <si>
    <t>016VATO252970025   NEFT   CREDIT   CHARGE VAT - OCTOBER 2025 STAFF SALARY</t>
  </si>
  <si>
    <t>016NEFO252970026 NEFT CREDIT - OCTOBER
2025 STAFF SALARY</t>
  </si>
  <si>
    <t>016NEFC252970026  NEFT  CREDIT  CHARGE  - OCTOBER 2025 STAFF SALARY</t>
  </si>
  <si>
    <t>016VATO252970026   NEFT   CREDIT   CHARGE VAT - OCTOBER 2025 STAFF SALARY</t>
  </si>
  <si>
    <t>016NEFO252970027 NEFT CREDIT - OCTOBER
2025 STAFF SALARY</t>
  </si>
  <si>
    <t>016NEFC252970027  NEFT  CREDIT  CHARGE  - OCTOBER 2025 STAFF SALARY</t>
  </si>
  <si>
    <t>016VATO252970027   NEFT   CREDIT   CHARGE VAT - OCTOBER 2025 STAFF SALARY</t>
  </si>
  <si>
    <t>016NEFO252970028 NEFT CREDIT - OCTOBER
2025 STAFF SALARY</t>
  </si>
  <si>
    <t>016NEFC252970028  NEFT  CREDIT  CHARGE  - OCTOBER 2025 STAFF SALARY</t>
  </si>
  <si>
    <t>016VATO252970028   NEFT   CREDIT   CHARGE VAT - OCTOBER 2025 STAFF SALARY</t>
  </si>
  <si>
    <t>016NEFO252970029 NEFT CREDIT - OCTOBER
2025 STAFF SALARY</t>
  </si>
  <si>
    <t>016NEFC252970029  NEFT  CREDIT  CHARGE  - OCTOBER 2025 STAFF SALARY</t>
  </si>
  <si>
    <t>016VATO252970029   NEFT   CREDIT   CHARGE VAT - OCTOBER 2025 STAFF SALARY</t>
  </si>
  <si>
    <t>016NEFO252970030 NEFT CREDIT - OCTOBER
2025 STAFF SALARY</t>
  </si>
  <si>
    <t>016NEFC252970030  NEFT  CREDIT  CHARGE  - OCTOBER 2025 STAFF SALARY</t>
  </si>
  <si>
    <t>016VATO252970030   NEFT   CREDIT   CHARGE VAT - OCTOBER 2025 STAFF SALARY</t>
  </si>
  <si>
    <t>016NEFO252970031 NEFT CREDIT - OCTOBER
2025 STAFF SALARY</t>
  </si>
  <si>
    <t>016NEFC252970031  NEFT  CREDIT  CHARGE  - OCTOBER 2025 STAFF SALARY</t>
  </si>
  <si>
    <t>016VATO252970031   NEFT   CREDIT   CHARGE VAT - OCTOBER 2025 STAFF SALARY</t>
  </si>
  <si>
    <t>016NEFO252970032 NEFT CREDIT - OCTOBER
2025 STAFF SALARY</t>
  </si>
  <si>
    <t>016NEFC252970032  NEFT  CREDIT  CHARGE  - OCTOBER 2025 STAFF SALARY</t>
  </si>
  <si>
    <t>016VATO252970032   NEFT   CREDIT   CHARGE VAT - OCTOBER 2025 STAFF SALARY</t>
  </si>
  <si>
    <t>016NEFO252970033 NEFT CREDIT - OCTOBER
2025 STAFF SALARY</t>
  </si>
  <si>
    <t>016NEFC252970033  NEFT  CREDIT  CHARGE  - OCTOBER 2025 STAFF SALARY</t>
  </si>
  <si>
    <t>016VATO252970033   NEFT   CREDIT   CHARGE VAT - OCTOBER 2025 STAFF SALARY</t>
  </si>
  <si>
    <t>016NEFO252970034 NEFT CREDIT - OCTOBER
2025 STAFF SALARY</t>
  </si>
  <si>
    <t>016NEFC252970034  NEFT  CREDIT  CHARGE  - OCTOBER 2025 STAFF SALARY</t>
  </si>
  <si>
    <t>016VATO252970034   NEFT   CREDIT   CHARGE VAT - OCTOBER 2025 STAFF SALARY</t>
  </si>
  <si>
    <t>016NEFO252970035 NEFT CREDIT - OCTOBER
2025 STAFF SALARY</t>
  </si>
  <si>
    <t>016NEFC252970035  NEFT  CREDIT  CHARGE  - OCTOBER 2025 STAFF SALARY</t>
  </si>
  <si>
    <t>016VATO252970035   NEFT   CREDIT   CHARGE VAT - OCTOBER 2025 STAFF SALARY</t>
  </si>
  <si>
    <t>016NEFO252970036 NEFT CREDIT - OCTOBER
2025 STAFF SALARY</t>
  </si>
  <si>
    <t>016NEFC252970036  NEFT  CREDIT  CHARGE  - OCTOBER 2025 STAFF SALARY</t>
  </si>
  <si>
    <t>016VATO252970036   NEFT   CREDIT   CHARGE VAT - OCTOBER 2025 STAFF SALARY</t>
  </si>
  <si>
    <t>016NEFO252970037 NEFT CREDIT - OCTOBER
2025 STAFF SALARY</t>
  </si>
  <si>
    <t>016NEFC252970037  NEFT  CREDIT  CHARGE  - OCTOBER 2025 STAFF SALARY</t>
  </si>
  <si>
    <t>016VATO252970037   NEFT   CREDIT   CHARGE VAT - OCTOBER 2025 STAFF SALARY</t>
  </si>
  <si>
    <t>016NEFO252970038 NEFT CREDIT - OCTOBER
2025 STAFF SALARY</t>
  </si>
  <si>
    <t>016NEFC252970038  NEFT  CREDIT  CHARGE  - OCTOBER 2025 STAFF SALARY</t>
  </si>
  <si>
    <t>016VATO252970038   NEFT   CREDIT   CHARGE VAT - OCTOBER 2025 STAFF SALARY</t>
  </si>
  <si>
    <t>016NEFO252970039 NEFT CREDIT - OCTOBER
2025 STAFF SALARY</t>
  </si>
  <si>
    <t>016NEFC252970039  NEFT  CREDIT  CHARGE  - OCTOBER 2025 STAFF SALARY</t>
  </si>
  <si>
    <t>016VATO252970039   NEFT   CREDIT   CHARGE VAT - OCTOBER 2025 STAFF SALARY</t>
  </si>
  <si>
    <t>016NEFO252970040 NEFT CREDIT - OCTOBER
2025 STAFF SALARY</t>
  </si>
  <si>
    <t>016NEFC252970040  NEFT  CREDIT  CHARGE  - OCTOBER 2025 STAFF SALARY</t>
  </si>
  <si>
    <t>016VATO252970040   NEFT   CREDIT   CHARGE VAT - OCTOBER 2025 STAFF SALARY</t>
  </si>
  <si>
    <t>016NEFO252970041 NEFT CREDIT - OCTOBER
2025 STAFF SALARY</t>
  </si>
  <si>
    <t>016NEFC252970041  NEFT  CREDIT  CHARGE  - OCTOBER 2025 STAFF SALARY</t>
  </si>
  <si>
    <t>016VATO252970041   NEFT   CREDIT   CHARGE VAT - OCTOBER 2025 STAFF SALARY</t>
  </si>
  <si>
    <t>016NEFO252970042 NEFT CREDIT - OCTOBER
2025 STAFF SALARY</t>
  </si>
  <si>
    <t>016NEFC252970042  NEFT  CREDIT  CHARGE  - OCTOBER 2025 STAFF SALARY</t>
  </si>
  <si>
    <t>016VATO252970042   NEFT   CREDIT   CHARGE VAT - OCTOBER 2025 STAFF SALARY</t>
  </si>
  <si>
    <t>016NEFO252970043 NEFT CREDIT - OCTOBER
2025 STAFF SALARY</t>
  </si>
  <si>
    <t>016NEFC252970043  NEFT  CREDIT  CHARGE  - OCTOBER 2025 STAFF SALARY</t>
  </si>
  <si>
    <t>016VATO252970043   NEFT   CREDIT   CHARGE VAT - OCTOBER 2025 STAFF SALARY</t>
  </si>
  <si>
    <t>016NEFO252970044 NEFT CREDIT - OCTOBER
2025 STAFF SALARY</t>
  </si>
  <si>
    <t>016NEFC252970044  NEFT  CREDIT  CHARGE  - OCTOBER 2025 STAFF SALARY</t>
  </si>
  <si>
    <t>016VATO252970044   NEFT   CREDIT   CHARGE VAT - OCTOBER 2025 STAFF SALARY</t>
  </si>
  <si>
    <t>016NEFO252970045 NEFT CREDIT - OCTOBER
2025 STAFF SALARY</t>
  </si>
  <si>
    <t>016NEFC252970045  NEFT  CREDIT  CHARGE  - OCTOBER 2025 STAFF SALARY</t>
  </si>
  <si>
    <t>016VATO252970045   NEFT   CREDIT   CHARGE VAT - OCTOBER 2025 STAFF SALARY</t>
  </si>
  <si>
    <t>016NEFO252970046 NEFT CREDIT - OCTOBER
2025 STAFF SALARY</t>
  </si>
  <si>
    <t>016NEFC252970046  NEFT  CREDIT  CHARGE  - OCTOBER 2025 STAFF SALARY</t>
  </si>
  <si>
    <t>016VATO252970046   NEFT   CREDIT   CHARGE VAT - OCTOBER 2025 STAFF SALARY</t>
  </si>
  <si>
    <t>016NEFO252970047 NEFT CREDIT - OCTOBER
2025 STAFF SALARY</t>
  </si>
  <si>
    <t>016NEFC252970047  NEFT  CREDIT  CHARGE  - OCTOBER 2025 STAFF SALARY</t>
  </si>
  <si>
    <t>016VATO252970047   NEFT   CREDIT   CHARGE VAT - OCTOBER 2025 STAFF SALARY</t>
  </si>
  <si>
    <t>016NEFO252970048 NEFT CREDIT - OCTOBER
2025 STAFF SALARY</t>
  </si>
  <si>
    <t>016NEFC252970048  NEFT  CREDIT  CHARGE  - OCTOBER 2025 STAFF SALARY</t>
  </si>
  <si>
    <t>016VATO252970048   NEFT   CREDIT   CHARGE VAT - OCTOBER 2025 STAFF SALARY</t>
  </si>
  <si>
    <t>016NEFO252970049 NEFT CREDIT - OCTOBER
2025 STAFF SALARY</t>
  </si>
  <si>
    <t>016NEFC252970049  NEFT  CREDIT  CHARGE  - OCTOBER 2025 STAFF SALARY</t>
  </si>
  <si>
    <t>016VATO252970049   NEFT   CREDIT   CHARGE VAT - OCTOBER 2025 STAFF SALARY</t>
  </si>
  <si>
    <t>016NEFO252970050 NEFT CREDIT - OCTOBER
2025 STAFF SALARY</t>
  </si>
  <si>
    <t>016NEFC252970050  NEFT  CREDIT  CHARGE  - OCTOBER 2025 STAFF SALARY</t>
  </si>
  <si>
    <t>016VATO252970050   NEFT   CREDIT   CHARGE VAT - OCTOBER 2025 STAFF SALARY</t>
  </si>
  <si>
    <t>016NEFO252970004 NEFT CREDIT - OCTOBER
2025 STAFF SALARY</t>
  </si>
  <si>
    <t>016NIPO253000010    NIP    -    ILH    OCT    2025 ALLOWANCE</t>
  </si>
  <si>
    <t>016NIPC253000010 NIP Charge - ILH OCT 2025 ALLOWANCE</t>
  </si>
  <si>
    <t>016VATP253000010 NIP Charge VAT - ILH OCT
2025 ALLOWANCE</t>
  </si>
  <si>
    <t>016NIPO253000011  NIP  -  IIH  allowance  OCT
2025</t>
  </si>
  <si>
    <t>016NIPC253000011 NIP Charge - IIH allowance OCT  2025</t>
  </si>
  <si>
    <t>016VATP253000011   NIP   Charge   VAT   -   IIH
allowance OCT  2025</t>
  </si>
  <si>
    <t>016NIPO253000012   NIP   -   IIH   SALARY   OCT
2025</t>
  </si>
  <si>
    <t>016NIPC253000012  NIP  Charge  -  IIH  SALARY OCT  2025</t>
  </si>
  <si>
    <t>016VATP253000012   NIP   Charge   VAT   -   IIH SALARY OCT  2025</t>
  </si>
  <si>
    <t>016NIPO253000013   NIP   -  ILH   SALARY  OCT
2025</t>
  </si>
  <si>
    <t>016NIPC253000013  NIP  Charge  -  ILH  SALARY OCT 2025</t>
  </si>
  <si>
    <t>016VATP253000013   NIP   Charge   VAT   -   ILH SALARY OCT 2025</t>
  </si>
  <si>
    <t>016NIPO253010022  NIP  -  BNG  PYT  FOR  OCT
2025 JANITORIAL SERVICES</t>
  </si>
  <si>
    <t>016NIPC253010022   NIP   Charge   -   BNG   PYT FOR OCT 2025 JANITORIAL SERVICES</t>
  </si>
  <si>
    <t>016VATP253010022   NIP  Charge  VAT   -  BNG PYT FOR OCT 2025 JANITORIAL SERVICES</t>
  </si>
  <si>
    <t>016NIPO253010025 NIP - BNG PYT FOR SEPT AND OCT 2025 WASTE DISPOSAL SERVICE</t>
  </si>
  <si>
    <t>016NIPC253010025   NIP   Charge   -   BNG   PYT FOR SEPT  AND OCT 2025  WASTE DISPOSAL
SERVICE</t>
  </si>
  <si>
    <t>016VATP253010025   NIP  Charge  VAT   -  BNG
PYT   FOR   SEPT   AND   OCT    2025   WASTE DISPOSAL SERVICE</t>
  </si>
  <si>
    <t>000MOBT25301A21Z      FACILITY      RUNNING
COSTS  OCT  2025  NIP  Transfer  from  ILORIN INNOVATION HUB LTD to KAMIL LANRE</t>
  </si>
  <si>
    <t>000MOBT253049088  PAYMENT  FOR  DRINKS
FOR IIH CAFETERIA NIP Transfer from ILORIN INNOVATION HUB LTD to OLALUW</t>
  </si>
  <si>
    <t>000MOBT25304A4TX          PAYMENT          FOR REFRESHMENTS      FOR      CAFETERIA      NIP
Transfer from ILORIN INNOVATION HUB LTD</t>
  </si>
  <si>
    <t>016AMFV25304002V   VAT  ON  TRANSACTION CHARGES</t>
  </si>
  <si>
    <t>016AMFC25304003V                            ACCOUNT MAINTENANCE FEE</t>
  </si>
  <si>
    <t>NIP/OPAY/CHARLESMARY CHIDI CHUKWUMA/The balance for the refreshment</t>
  </si>
  <si>
    <t>NIP/TAJ/ROMANSPAGE GLOBAL SERVICES NIGERIA LIMIT/NIP/Payment for Refreshment   INTER BANK TRANSFER</t>
  </si>
  <si>
    <t>NIP/TAJ/ROMANSPAGE GLOBAL SERVICES NIGERIA LIMIT/NIP/Payment for Hall   INTER BANK TRANSFER</t>
  </si>
  <si>
    <t>NIP CR//MUHAMMED NASIRU MAHMOOD/GTB  /trf</t>
  </si>
  <si>
    <t>NIP CR//OKEY MAUREEN DANIEL/GTB  /trf</t>
  </si>
  <si>
    <t>NIP CR//ONUCHUKWU SINACHI GOODNESS/GTB  /trf</t>
  </si>
  <si>
    <t>NIP CR//AKANDE OLUWASAYO TEMILOLA/GTB  /trf</t>
  </si>
  <si>
    <t>NIP CR//HENRY MGBECHI CHUKWUEBUKA/ABN  /trf</t>
  </si>
  <si>
    <t>NIP CR//JAMIU ADEBOLA OLADIPO/SCB  /trf</t>
  </si>
  <si>
    <t>NIP CR//OLUWADAMILARE EMMANUEL OLOYEDE/ABN  /trf</t>
  </si>
  <si>
    <t>NIP CR//SULYMAN YUSUF ALAO/GTB  /trf</t>
  </si>
  <si>
    <t>NIP CR//KAMIL LANRE AHMED/SKYE /trf</t>
  </si>
  <si>
    <t>NIP CR//MUINAT OYINKANSOLA BELLO/UBA  /trf</t>
  </si>
  <si>
    <t>NIP CR//FARAYADE EMMANUEL OLAWALE/WBP  /trf</t>
  </si>
  <si>
    <t>NIP CR//OLALEYE KAYODE/ABN  /trf</t>
  </si>
  <si>
    <t>NIP CR//SHEIDU  AL FAID OSIFOMOFURA/GTB  /trf</t>
  </si>
  <si>
    <t>NIP CR//AYORINDE OLAMIDE OPEMIPO/STLB /trf</t>
  </si>
  <si>
    <t>NIP CR//OKOLIE  OGOCHUKWUKA BENJAMIN/GTB  /trf</t>
  </si>
  <si>
    <t>NIP CR//ABDULKHALEED EYITAYO ALABI/ABN  /trf</t>
  </si>
  <si>
    <t>NIP CR//ANIFOWOSHE KHADIJAH OLUWATOSI/GTB  /trf</t>
  </si>
  <si>
    <t>NIP CR//HAPPINESS  SAMUEL/UBA  /trf</t>
  </si>
  <si>
    <t>Account Transfer frm  ILORIN TECH PARK LTD  to AMIDAT OLUWATOSIN OLALERE</t>
  </si>
  <si>
    <t>Account Transfer frm  ILORIN TECH PARK LTD to ABDULRASAQ   ABDULRASAQ</t>
  </si>
  <si>
    <t>TRF FROM TUNMISE JOHNSON HOUSEHOLD FOUNDATIO/1762326934680</t>
  </si>
  <si>
    <t>NIP CR//JIMOH SULEIMAN OLAWALE/FCMB /TRF FRM ILORIN TECH PARK LTD TO JIMOH SULEIMAN OLAWALE</t>
  </si>
  <si>
    <t>Payment for Refreshment for Ta Com/CIB//NIP TFR TO FRIENDS FAST FOOD LIMITED/FBN</t>
  </si>
  <si>
    <t>Ilorin Innovation Challenge &amp; Hack/CIB//NIP TFR TO FRIENDS FAST FOOD LIMITED/FBN</t>
  </si>
  <si>
    <t>NIP CR//MUHAMMED NASIRU MAHMOOD/GTB  /STAFF WELFARE LOAN</t>
  </si>
  <si>
    <t>chairs and covers rental service/CIB//NIP TFR TO MUHAMMAD MUBARAK YUSUF/OPAY</t>
  </si>
  <si>
    <t>2-day IIH Challenge Photography/CIB//NIP TFR TO SAMUEL DAVID/ROLEZ</t>
  </si>
  <si>
    <t>Foods for Ta Community's workspace/CIB//NIP TFR TO  BOA FOODS RESTAURANT LTD - 2/ROLEZ</t>
  </si>
  <si>
    <t>II C&amp;H Residency Refreshment Day 1/CIB//NIP TFR TO  BOA FOODS RESTAURANT LTD - 2/ROLEZ</t>
  </si>
  <si>
    <t>II C&amp;H Residency Refreshment Day 3/CIB//NIP TFR TO  BOA FOODS RESTAURANT LTD - 2/ROLEZ</t>
  </si>
  <si>
    <t>KWIRS- Tech for Tax event Refreshm/CIB//NIP TFR TO  BOA FOODS RESTAURANT LTD - 2/ROLEZ</t>
  </si>
  <si>
    <t>II C&amp;H Residency Refreshment Day 2/CIB//NIP TFR TO  BOA FOODS RESTAURANT LTD - 2/ROLEZ</t>
  </si>
  <si>
    <t>CIP/CR//ER-07052 IHS Towers 3days Ilorin Innovation Challenge and Hackathon Invoic e 217254477 GAPS000369123 0005464531</t>
  </si>
  <si>
    <t>1763389169715/CIB//NIP TFR TO NIGERIA INST OF ARCHITECTS KW CH/UBA</t>
  </si>
  <si>
    <t>1763389169808/CIB//NIP TFR TO FRIENDS FAST FOOD LIMITED/FBN</t>
  </si>
  <si>
    <t>1763389169902/CIB//NIP TFR TO JIMOH SULEIMAN OLAWALE/FCMB</t>
  </si>
  <si>
    <t>1763389170214/CIB//NIP TFR TO  BOA FOODS RESTAURANT LTD - 2/ROLEZ</t>
  </si>
  <si>
    <t>1763389169980/CIB//NIP TFR TO  BOA FOODS RESTAURANT LTD - 2/ROLEZ</t>
  </si>
  <si>
    <t>1763389170105/CIB//NIP TFR TO  BOA FOODS RESTAURANT LTD - 2/ROLEZ</t>
  </si>
  <si>
    <t>NIP/ROLEZ/BOA FOODS RESTAURANT LTD - I I H/Drinks Sales for October IIH /AT68 TRF2MPTeef251990446551771103232</t>
  </si>
  <si>
    <t>TRF FROM BOA PASTRIES AND COCKTAILS LTD//TRF TO ILORIN TECH PARK LTD//Drinks sales for Sept 25 IiH</t>
  </si>
  <si>
    <t>TRF FROM BOA PASTRIES AND COCKTAILS LTD//TRF TO ILORIN TECH PARK LTD//Sept Profit Sharing IIH</t>
  </si>
  <si>
    <t>TRF FROM BOA PASTRIES AND COCKTAILS LTD//TRF TO ILORIN TECH PARK LTD//Oct. Profit Sharing IIH</t>
  </si>
  <si>
    <t>NIP CR//OLALUWOYE JUMOKE OLUFUNKE/FBN  /for water and soft drinks for the iih cafeteria supply</t>
  </si>
  <si>
    <t>NIP CR//JIMOH SULEIMAN OLAWALE/FCMB /for iih-cchub-kw digital health pre-summit refreshment</t>
  </si>
  <si>
    <t>NIP CR//MARS 92 VENTURES/STBC /for chair rental</t>
  </si>
  <si>
    <t>NIP CR//PBN SOLUTIONS LIMITED-EVENT SERVICE/STLB /kwara AI summit 2025 planning&amp;execution</t>
  </si>
  <si>
    <t>CIP/CR//GT20251345. BEING PAYMENT FOR HALLS DURING HOSTING OF STAKEHOLDER WORKSHOP  ON TAX REFORM FOR KWARA  0005607198</t>
  </si>
  <si>
    <t>Pay - NIGERIA SOCIAL INSURANCE TRUST FUND For - EMPLOYEE COMPENSATION SCHEME-CONTRIBUTION</t>
  </si>
  <si>
    <t>NIP CR//BENETTON CONSULTING LIMITED/TAJ  /landscape maintenance for the month of oct25</t>
  </si>
  <si>
    <t>NIP CR//STRATEGIC SOLNS &amp; CONS CO LTD/PBNL /global entrepreneurship festival full intl spons</t>
  </si>
  <si>
    <t>NIP CR//LOGIC AGE COMPUTER TECHNOLOGY/GTB  /TRF</t>
  </si>
  <si>
    <t>NIP CR//ABDULWAHAB  ABDULRASHEED/OPAY /TRF</t>
  </si>
  <si>
    <t>NIP CR//FEMTECH PHONES AND GADGETS ENT/GTB  /TRF</t>
  </si>
  <si>
    <t>NIP CR//MMADUABUCHI NESTOR  EZIM/PALM /TRF</t>
  </si>
  <si>
    <t>NIP CR//MUHAMMED NASIRU MAHMOOD/GTB  /TRF</t>
  </si>
  <si>
    <t>NIP CR//OLALUWOYE JUMOKE OLUFUNKE/FBN  /TRF</t>
  </si>
  <si>
    <t>NIP CR//POS TRANSFER - BOLANLE OKUNRINBOYE/ROLEZ/TRF</t>
  </si>
  <si>
    <t>NIP CR//FIFTH SOUND ENTERPRISE/FBN  /PURCHASE OF KW AI SUMMIT SOUND EQUIPMENT</t>
  </si>
  <si>
    <t>IIHNOV2025PYTALLOWANCE001/CIB//NIP TFR TO HENRY MGBECHI CHUKWUEBUKA/ABN</t>
  </si>
  <si>
    <t>TRF TO AMIDAT OLUWATOSIN OLALERE/IIHSALARYNOV2025/026</t>
  </si>
  <si>
    <t>IIHNOV2025PYTALLOWANCE005/CIB//NIP TFR TO OTARO SAMUEL IYANUOLUWA/FCMB</t>
  </si>
  <si>
    <t>IIHNOV2025PYTALLOWANCE017/CIB//NIP TFR TO TEMILOLUWA OLUWALEKE KOLAWOLE/STBC</t>
  </si>
  <si>
    <t>IIHNOV2025PYTALLOWANCE003/CIB//NIP TFR TO YUSUF DOLAPO ABDULRAMAN/ABN</t>
  </si>
  <si>
    <t>IIHSALARYNOV2025002/CIB//NIP TFR TO OLUWADAMILARE EMMANUEL OLOYEDE/ABN</t>
  </si>
  <si>
    <t>IIHNOV2025PYTALLOWANCE004/CIB//NIP TFR TO OLALEYE KAYODE/ABN</t>
  </si>
  <si>
    <t>IIHSALARYNOV2025003/CIB//NIP TFR TO YUSUF DOLAPO ABDULRAMAN/ABN</t>
  </si>
  <si>
    <t>TRF TO AMIDAT OLUWATOSIN OLALERE/IIHNOV2025PYTALLOWANCE/026</t>
  </si>
  <si>
    <t>IIHSALARYNOV2025017/CIB//NIP TFR TO TEMILOLUWA OLUWALEKE KOLAWOLE/STBC</t>
  </si>
  <si>
    <t>IIHSALARYNOV2025005/CIB//NIP TFR TO OTARO SAMUEL IYANUOLUWA/FCMB</t>
  </si>
  <si>
    <t>IIHSALARYNOV2025004/CIB//NIP TFR TO OLALEYE KAYODE/ABN</t>
  </si>
  <si>
    <t>IIHNOV2025PYTALLOWANCE019/CIB//NIP TFR TO KHADIJAT ZUMAH SULYMAN/STLB</t>
  </si>
  <si>
    <t>IIHNOV2025PYTALLOWANCE025/CIB//NIP TFR TO FARAYADE EMMANUEL OLAWALE/WBP</t>
  </si>
  <si>
    <t>IIHNOV2025PYTALLOWANCE020/CIB//NIP TFR TO AYORINDE OLAMIDE OPEMIPO/STLB</t>
  </si>
  <si>
    <t>IIHNOV2025PYTALLOWANCE002/CIB//NIP TFR TO OLUWADAMILARE EMMANUEL OLOYEDE/ABN</t>
  </si>
  <si>
    <t>IIHSALARYNOV2025020/CIB//NIP TFR TO AYORINDE OLAMIDE OPEMIPO/STLB</t>
  </si>
  <si>
    <t>IIHSALARYNOV2025018/CIB//NIP TFR TO JAMIU ADEBOLA OLADIPO/SCB</t>
  </si>
  <si>
    <t>IIHSALARYNOV2025016/CIB//NIP TFR TO KAMIL LANRE AHMED/SKYE</t>
  </si>
  <si>
    <t>IIHSALARYNOV2025022/CIB//NIP TFR TO SULYMAN KAOWTHAR BOLUWATIFE/UBA</t>
  </si>
  <si>
    <t>IIHNOV2025PYTALLOWANCE023/CIB//NIP TFR TO AHMED HABEEB ALABI/UBA</t>
  </si>
  <si>
    <t>IIHSALARYNOV2025001/CIB//NIP TFR TO HENRY MGBECHI CHUKWUEBUKA/ABN</t>
  </si>
  <si>
    <t>IIHSALARYNOV2025025/CIB//NIP TFR TO FARAYADE EMMANUEL OLAWALE/WBP</t>
  </si>
  <si>
    <t>IIHNOV2025PYTALLOWANCE016/CIB//NIP TFR TO KAMIL LANRE AHMED/SKYE</t>
  </si>
  <si>
    <t>IIHNOV2025PYTALLOWANCE018/CIB//NIP TFR TO JAMIU ADEBOLA OLADIPO/SCB</t>
  </si>
  <si>
    <t>IIHSALARYNOV2025019/CIB//NIP TFR TO KHADIJAT ZUMAH SULYMAN/STLB</t>
  </si>
  <si>
    <t>IIHNOV2025PYTALLOWANCE022/CIB//NIP TFR TO SULYMAN KAOWTHAR BOLUWATIFE/UBA</t>
  </si>
  <si>
    <t>IIHSALARYNOV2025024/CIB//NIP TFR TO HAPPINESS  SAMUEL/UBA</t>
  </si>
  <si>
    <t>IIHNOV2025PYTALLOWANCE024/CIB//NIP TFR TO HAPPINESS  SAMUEL/UBA</t>
  </si>
  <si>
    <t>IIHSALARYNOV2025023/CIB//NIP TFR TO AHMED HABEEB ALABI/UBA</t>
  </si>
  <si>
    <t>IIHNOV2025PYTALLOWANCE021/CIB//NIP TFR TO MUINAT OYINKANSOLA BELLO/UBA</t>
  </si>
  <si>
    <t>IIHSALARYNOV2025021/CIB//NIP TFR TO MUINAT OYINKANSOLA BELLO/UBA</t>
  </si>
  <si>
    <t>IIHNOV2025PYTALLOWANCE011/CIB//NIP TFR TO SULYMAN YUSUF ALAO/GTB</t>
  </si>
  <si>
    <t>IIHSALARYNOV2025011/CIB//NIP TFR TO SULYMAN YUSUF ALAO/GTB</t>
  </si>
  <si>
    <t>IIHNOV2025PYTALLOWANCE006/CIB//NIP TFR TO MUHAMMED NASIRU MAHMOOD/GTB</t>
  </si>
  <si>
    <t>IIHNOV2025PYTALLOWANCE012/CIB//NIP TFR TO OKOLIE  OGOCHUKWUKA BENJAMIN/GTB</t>
  </si>
  <si>
    <t>IIHSALARYNOV2025009/CIB//NIP TFR TO AKANDE OLUWASAYO TEMILOLA/GTB</t>
  </si>
  <si>
    <t>IIHSALARYNOV2025006/CIB//NIP TFR TO MUHAMMED NASIRU MAHMOOD/GTB</t>
  </si>
  <si>
    <t>IIHSALARYNOV2025008/CIB//NIP TFR TO ONUCHUKWU SINACHI GOODNESS/GTB</t>
  </si>
  <si>
    <t>IIHNOV2025PYTALLOWANCE013/CIB//NIP TFR TO OWARE JOAN/GTB</t>
  </si>
  <si>
    <t>IIHSALARYNOV2025013/CIB//NIP TFR TO OWARE JOAN/GTB</t>
  </si>
  <si>
    <t>IIHSALARYNOV2025010/CIB//NIP TFR TO UTHMAN BELLO KHADIJAT/GTB</t>
  </si>
  <si>
    <t>IIHNOV2025PYTALLOWANCE008/CIB//NIP TFR TO ONUCHUKWU SINACHI GOODNESS/GTB</t>
  </si>
  <si>
    <t>IIHNOV2025PYTALLOWANCE010/CIB//NIP TFR TO UTHMAN BELLO KHADIJAT/GTB</t>
  </si>
  <si>
    <t>IIHSALARYNOV2025007/CIB//NIP TFR TO OKEY MAUREEN DANIEL/GTB</t>
  </si>
  <si>
    <t>IIHNOV2025PYTALLOWANCE007/CIB//NIP TFR TO OKEY MAUREEN DANIEL/GTB</t>
  </si>
  <si>
    <t>IIHSALARYNOV2025012/CIB//NIP TFR TO OKOLIE  OGOCHUKWUKA BENJAMIN/GTB</t>
  </si>
  <si>
    <t>IIHNOV2025PYTALLOWANCE009/CIB//NIP TFR TO AKANDE OLUWASAYO TEMILOLA/GTB</t>
  </si>
  <si>
    <t>NIP CR//OLANREWAJU BASHIR YUSUF/PALM /SECURITY PERSONNEL FOR KW AI SUMMIT 4 3DAYS</t>
  </si>
  <si>
    <t>***RSVL NIP CR//OLANREWAJU BASHIR YUSUF/PALM /SECURITY PERSONNEL FOR KW AI SUMMIT 4 3DAYS</t>
  </si>
  <si>
    <t>NIP CR//ALLIZSTA VENTURES/WBP  /RENTAGE OF 500KVA GEN AND TFARE TONFRO IBADAN</t>
  </si>
  <si>
    <t>NIP CR//KAYDEEN INTEGRATED SERVICES LTD/WBP  /AIR CONDITIONER CORRECTIVE MAINTENANCE ITEMS NOV25</t>
  </si>
  <si>
    <t>NIP CR//OLANREWAJU BASHIR YUSUF/PALM /trf</t>
  </si>
  <si>
    <t>***RSVL NIP CR//OLANREWAJU BASHIR YUSUF/PALM /trf</t>
  </si>
  <si>
    <t>CIP CR/ COCREATION HUB LIMITED/ER-07090_1 IHS Tower Residency lunch and design for health gift pack and b anners 217735</t>
  </si>
  <si>
    <t>KAIS Phase 4 Installment Payment/CIB//NIP TFR TO PBN SOLUTIONS LIMITED-EVENT SERVICE/STLB</t>
  </si>
  <si>
    <t>NIP CR//OLANREWAJU BASHIR YUSUF/PALM /TRF</t>
  </si>
  <si>
    <t>***RSVL NIP CR//OLANREWAJU BASHIR YUSUF/PALM /TRF</t>
  </si>
  <si>
    <t>NIP CR//OLANREWAJU BASHIR YUSUF/STBC /TRF</t>
  </si>
  <si>
    <t>NIP CR//HABEEBLLAH AJIBOLA USMAN/UBA  /November 2025 Staff Allowance</t>
  </si>
  <si>
    <t>NIP CR//HABEEBLLAH AJIBOLA USMAN/UBA  /November 2025 Staff Salary</t>
  </si>
  <si>
    <t>NIP CR//SIII MULTIPURPOSE VENTURES/FDP  /PYT FOR ADDITIONAL JANITORIAL SERV KWARA AI SUMMIT</t>
  </si>
  <si>
    <t>NIP CR//EXTREME GLOBAL ENTERPRISES/ECO  /PYT FOR ADDITIONAL WASTE DISPOSAL SERV KWARA AI SUMMIT</t>
  </si>
  <si>
    <t>NIP CR//OMOTAYO TAOFIQ O/GTB  /PYT FOR ENGAGEMENT OF KWARTMA SERV KWARA AI SUMMIT</t>
  </si>
  <si>
    <t>000MOBT25307AIF8 PAYMENT OF SEPT OFFICE SUPPLIES NIP
Transfer from ILORIN INNOVATION HUB LTD to MAUREEN DAN</t>
  </si>
  <si>
    <t>000MOBT25307AIF8    Charge    PAYMENT    OF    SEPT    OFFICE SUPPLIES  NIP  Transfer  from  ILORIN  INNOVATION  HUB  LTD  to MAUREEN DAN</t>
  </si>
  <si>
    <t>000MOBT25307AJVZ PAYMENT FOR STARLINK INTERNET OCT NOV NIP Transfer from ILORIN INNOVATION HUB LTD to OLUWA</t>
  </si>
  <si>
    <t>000MOBT25307AJVZ     Charge     PAYMENT     FOR     STARLINK
INTERNET  OCT  NOV  NIP  Transfer  from  ILORIN  INNOVATION HUB LTD to OLUWA</t>
  </si>
  <si>
    <t>000MOBT253092710      PAYMENT      FOR      DRINKS      INNOV
CHALLENGE     HACKATHON     NIP     Transfer     from     ILORIN INNOVATION HUB LTD t</t>
  </si>
  <si>
    <t>000MOBT253092710  Charge  PAYMENT  FOR  DRINKS  INNOV CHALLENGE     HACKATHON     NIP     Transfer     from     ILORIN INNOVATION HUB LTD t</t>
  </si>
  <si>
    <t>000MOBT253092749      PAYMENT      FOR      DRINKS      INNOV CHALLENGE  HACKATHON  DAY  2  NIP  Transfer  from  ILORIN INNOVATION HUB</t>
  </si>
  <si>
    <t>000MOBT253092749  Charge  PAYMENT  FOR  DRINKS  INNOV
CHALLENGE  HACKATHON  DAY  2  NIP  Transfer  from  ILORIN INNOVATION HUB</t>
  </si>
  <si>
    <t>000MOBT253115640     PAYMENT     FOR     DRINKS     FOR     TA COMMJNITY  EVENT  NIP  Transfer  from  ILORIN  INNOVATION HUB LTD to O</t>
  </si>
  <si>
    <t>000MOBT253115640  Charge  PAYMENT  FOR  DRINKS  FOR  TA COMMJNITY  EVENT  NIP  Transfer  from  ILORIN  INNOVATION HUB LTD to O</t>
  </si>
  <si>
    <t>000MOBT253115640     PAYMENT     FOR     DRINKS     FOR     TA
COMMJNITY  EVENT  NIP  Transfer  from  ILORIN  INNOVATION HUB LTD to O</t>
  </si>
  <si>
    <t>000MOBT253115677 PAYMENT FOR BREAKFAST FOR CCHUB RESIDENCY EVENT NIP Transfer from ILORIN INNOVATION HUB LT</t>
  </si>
  <si>
    <t>000MOBT253115677  Charge  PAYMENT  FOR  BREAKFAST  FOR
CCHUB    RESIDENCY    EVENT    NIP    Transfer    from    ILORIN INNOVATION HUB LT</t>
  </si>
  <si>
    <t>000MOBT253150120    PAYMENT    FOR    FLIGHT    TICKET    MD
DIGITAL  NIGERIA  ABV  NIP  Transfer  from  ILORIN  INNOVATION HUB L</t>
  </si>
  <si>
    <t>000MOBT253150120 Charge PAYMENT FOR FLIGHT TICKET MD DIGITAL  NIGERIA  ABV  NIP  Transfer  from  ILORIN  INNOVATION HUB L</t>
  </si>
  <si>
    <t>000MOBT253154875    PAYMENT    FOR    CCHUB    RESIDENCY SNACKS FRIENDS NIP Transfer from ILORIN INNOVATION HUB
LTD to</t>
  </si>
  <si>
    <t>000MOBT253154875      Charge      PAYMENT      FOR      CCHUB
RESIDENCY   SNACKS   FRIENDS   NIP   Transfer   from   ILORIN INNOVATION HUB LTD to</t>
  </si>
  <si>
    <t>000MOBT253157586      PAYMENT      FOR      DRINKS      CCHUB
RESIDENCY EVENT NIP Transfer from ILORIN INNOVATION HUB LTD to OL</t>
  </si>
  <si>
    <t>000MOBT253157586  Charge  PAYMENT  FOR  DRINKS  CCHUB RESIDENCY EVENT NIP Transfer from ILORIN INNOVATION HUB LTD to OL</t>
  </si>
  <si>
    <t>000MOBT25315A104   PAYMENT   FOR   3   ADDITIONAL   STAFF EMAILS  NIP  Transfer  from  ILORIN  INNOVATION  HUB  LTD  to PAYST</t>
  </si>
  <si>
    <t>000MOBT25315A104   Charge   PAYMENT   FOR   3   ADDITIONAL
STAFF EMAILS NIP Transfer from ILORIN INNOVATION HUB LTD to PAYST</t>
  </si>
  <si>
    <t>000MOBT25315A104   PAYMENT   FOR   3   ADDITIONAL   STAFF</t>
  </si>
  <si>
    <t>000MOBT253176125     PAYMENT     FOR     SNACKS     CCHUB
RESIDENCY NIP Transfer from ILORIN INNOVATION HUB LTD to FRIENDS</t>
  </si>
  <si>
    <t>000MOBT253176125  Charge  PAYMENT  FOR  SNACKS  CCHUB RESIDENCY NIP Transfer from ILORIN INNOVATION HUB LTD to FRIENDS</t>
  </si>
  <si>
    <t>000MOBT25321AJZL  PAYMENT  FOR  DRINKS  CCHUB  MEET MINGLE  NIP  Transfer  from  ILORIN  INNOVATION  HUB  LTD  to OLALUW</t>
  </si>
  <si>
    <t>000MOBT25321AJZL  Charge  PAYMENT  FOR  DRINKS  CCHUB
MEET MINGLE NIP Transfer from ILORIN INNOVATION HUB LTD to OLALUW</t>
  </si>
  <si>
    <t>000MOBT25321AM1G  PAYMENT  FOR  DRINKS  CCHUB  INNOV
CHAL  HACKT  DAY  1  NIP  Transfer  from  ILORIN  INNOVATION HUB LT</t>
  </si>
  <si>
    <t>000MOBT25321AM1G  Charge  PAYMENT  FOR  DRINKS  CCHUB INNOV   CHAL   HACKT   DAY   1   NIP   Transfer   from   ILORIN INNOVATION HUB LT</t>
  </si>
  <si>
    <t>000MOBT25321AMIH  PAYMENT  FOR  DRINKS  CCHUB  INNOV CHAL HACKT NIP Transfer from ILORIN INNOVATION HUB LTD
to O</t>
  </si>
  <si>
    <t>000MOBT25321AMIH  Charge  PAYMENT  FOR  DRINKS  CCHUB
INNOV  CHAL  HACKT  NIP  Transfer  from  ILORIN  INNOVATION HUB LTD to O</t>
  </si>
  <si>
    <t>000MOBT253225821 PAYMENT FOR DRINKS DIGITAL HEALTH
SUMMIT NIP Transfer from ILORIN INNOVATION HUB LTD to OL</t>
  </si>
  <si>
    <t>000MOBT253225821  Charge  PAYMENT  FOR  DRINKS  DIGITAL HEALTH  SUMMIT  NIP  Transfer  from  ILORIN  INNOVATION  HUB LTD to OL</t>
  </si>
  <si>
    <t>000MOBT25323A04C IIH GHANA TRIP NIP Transfer from ILORIN
INNOVATION HUB LTD to Kamolideen Olakunle Okelola</t>
  </si>
  <si>
    <t>000MOBT25323A04C Charge IIH GHANA TRIP NIP Transfer from
ILORIN INNOVATION HUB LTD to Kamolideen Olakunle Okelola</t>
  </si>
  <si>
    <t>000MOBT25323A04C IIH GHANA TRIP NIP Transfer from ILORIN</t>
  </si>
  <si>
    <t>000MOBT25323A04T IIH GHANA TRIP NIP Transfer from ILORIN
INNOVATION HUB LTD to IDRIS ADEWALE OYINLOLA</t>
  </si>
  <si>
    <t>000MOBT25323A04T Charge IIH GHANA TRIP NIP Transfer from ILORIN INNOVATION HUB LTD to IDRIS ADEWALE OYINLOLA</t>
  </si>
  <si>
    <t>000MOBT25323A05B IIH GHANA TRIP NIP Transfer from ILORIN INNOVATION       HUB       LTD       to       AJALA       MARVELLOUS OLUWAMAYOWA</t>
  </si>
  <si>
    <t>000MOBT25323A05B Charge IIH GHANA TRIP NIP Transfer from
ILORIN    INNOVATION    HUB    LTD    to    AJALA    MARVELLOUS OLUWAMAYOWA</t>
  </si>
  <si>
    <t>000MOBT25323A05N IIH GHANA TRIP NIP Transfer from ILORIN
INNOVATION HUB LTD to ABUBAKAR KEHINDE H</t>
  </si>
  <si>
    <t>000MOBT25323A05N Charge IIH GHANA TRIP NIP Transfer from ILORIN INNOVATION HUB LTD to ABUBAKAR KEHINDE H</t>
  </si>
  <si>
    <t>000MOBT25325A0G4  PAYMENT  FOR  LUNCH  IHS  GUEST  NIP Transfer  from  ILORIN  INNOVATION  HUB  LTD  to   BOA  FOODS REST</t>
  </si>
  <si>
    <t>000MOBT25325A0G4    Charge    PAYMENT    FOR    LUNCH    IHS
GUEST NIP Transfer from ILORIN INNOVATION HUB LTD to  BOA FOODS REST</t>
  </si>
  <si>
    <t>000MOBT25329A0FC  PAYMENT  FOR  DRINKS  IIH  CAFETERIA
NIP    Transfer    from    ILORIN    INNOVATION    HUB    LTD    to OLALUWOYE</t>
  </si>
  <si>
    <t>000MOBT25329A0FC    Charge    PAYMENT    FOR    DRINKS    IIH CAFETERIA NIP Transfer from ILORIN INNOVATION HUB LTD to OLALUWOYE</t>
  </si>
  <si>
    <t>000MOBT25330A6S8 PAYMENT FOR 2 ZOHO USER UPGRADE NIP Transfer from ILORIN INNOVATION HUB LTD to PAYSTACK CH</t>
  </si>
  <si>
    <t>000MOBT25330A6S8  Charge  PAYMENT  FOR  2  ZOHO  USER
UPGRADE  NIP  Transfer  from  ILORIN  INNOVATION  HUB  LTD  to PAYSTACK CH</t>
  </si>
  <si>
    <t>000048r253310001   BNG   RTGS   INFLOW    BOO   IHS   NIGERIA LIMITED   IRO  Q3  OPERATING  EXPENSES  FOR  ILORIN  INNOV HUB  - STANBIC IBTC BANK</t>
  </si>
  <si>
    <t>000048s253310001   BNG   RTGS   INFLOW    BOO   IHS   NIGERIA LIMITED   IRO  Q4  OPERATING  EXPENSES  FOR  ILORIN  INNOV HUB  - STANBIC IBTC BANK</t>
  </si>
  <si>
    <t>016EMTL2533100GJ ELECTRONIC MONEY TRANSFER LEVY</t>
  </si>
  <si>
    <t>016EMTL2533100GK ELECTRONIC MONEY TRANSFER LEVY</t>
  </si>
  <si>
    <t>016AMFV25332003D VAT ON TRANSACTION CHARGES</t>
  </si>
  <si>
    <t>016AMFC253320042 ACCOUNT MAINTENANCE FEE</t>
  </si>
  <si>
    <t>Bank transactions in November</t>
  </si>
  <si>
    <t>Staff Welfare</t>
  </si>
  <si>
    <t>Photography and Videography</t>
  </si>
  <si>
    <t xml:space="preserve">Corporate Comms and PR </t>
  </si>
  <si>
    <t>Photography</t>
  </si>
  <si>
    <t>Training &amp; Mentorship</t>
  </si>
  <si>
    <t>Innovation and Support</t>
  </si>
  <si>
    <t>Mentorship Support</t>
  </si>
  <si>
    <t>IT Equipment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</si>
</sst>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 #,##0.00_);_(* \(#,##0.00\);_(* &quot;-&quot;??_);_(@_)"/>
    <numFmt numFmtId="165" formatCode="_(* #,##0_);_(* \(#,##0\);_(* &quot;-&quot;??_);_(@_)"/>
  </numFmts>
  <fonts count="28">
    <font>
      <sz val="10"/>
      <color rgb="FF000000"/>
      <name val="Times New Roman"/>
      <charset val="204"/>
    </font>
    <font>
      <sz val="11"/>
      <color theme="1"/>
      <name val="Calibri"/>
      <family val="2"/>
    </font>
    <font>
      <sz val="11"/>
      <color theme="1"/>
      <name val="Calibri"/>
      <family val="2"/>
    </font>
    <font>
      <sz val="10"/>
      <color rgb="FF000000"/>
      <name val="Times New Roman"/>
      <family val="1"/>
    </font>
    <font>
      <sz val="10"/>
      <color rgb="FFFF0000"/>
      <name val="Times New Roman"/>
      <family val="1"/>
    </font>
    <font>
      <sz val="10"/>
      <color rgb="FFFF0000"/>
      <name val="Times New Roman"/>
      <family val="1"/>
    </font>
    <font>
      <sz val="10"/>
      <color rgb="FFFF0000"/>
      <name val="Times New Roman"/>
      <family val="1"/>
      <charset val="204"/>
    </font>
    <font>
      <b/>
      <sz val="11"/>
      <color theme="1"/>
      <name val="Calibri"/>
      <family val="2"/>
    </font>
    <font>
      <sz val="10"/>
      <color rgb="FFFF0000"/>
      <name val="Times New Roman"/>
      <family val="1"/>
    </font>
    <font>
      <sz val="10"/>
      <name val="Arial"/>
      <family val="2"/>
    </font>
    <font>
      <b/>
      <sz val="10"/>
      <name val="timesnewroman"/>
    </font>
    <font>
      <b/>
      <sz val="10"/>
      <color rgb="FF000000"/>
      <name val="Times New Roman"/>
      <family val="1"/>
    </font>
    <font>
      <i/>
      <sz val="10"/>
      <color rgb="FFFF0000"/>
      <name val="Arial"/>
      <family val="2"/>
    </font>
    <font>
      <i/>
      <sz val="10"/>
      <color rgb="FFFF0000"/>
      <name val="Times New Roman"/>
      <family val="1"/>
    </font>
    <font>
      <sz val="8"/>
      <name val="Times New Roman"/>
      <family val="1"/>
    </font>
    <font>
      <sz val="10"/>
      <name val="Times New Roman"/>
      <family val="1"/>
    </font>
    <font>
      <b/>
      <sz val="11"/>
      <name val="Calibri"/>
      <family val="2"/>
      <scheme val="minor"/>
    </font>
    <font>
      <sz val="11"/>
      <name val="Calibri"/>
      <family val="2"/>
      <scheme val="minor"/>
    </font>
    <font>
      <sz val="11"/>
      <color theme="1"/>
      <name val="Calibri"/>
      <family val="2"/>
      <scheme val="minor"/>
    </font>
    <font>
      <b/>
      <sz val="11"/>
      <color rgb="FF000000"/>
      <name val="Calibri"/>
      <family val="2"/>
      <scheme val="minor"/>
    </font>
    <font>
      <sz val="11"/>
      <color rgb="FF000000"/>
      <name val="Calibri"/>
      <family val="2"/>
      <scheme val="minor"/>
    </font>
    <font>
      <i/>
      <sz val="11"/>
      <color rgb="FFFF0000"/>
      <name val="Calibri"/>
      <family val="2"/>
    </font>
    <font>
      <b/>
      <sz val="11"/>
      <color theme="1"/>
      <name val="Calibri"/>
      <family val="2"/>
      <scheme val="minor"/>
    </font>
    <font>
      <b/>
      <sz val="14"/>
      <color rgb="FF000000"/>
      <name val="Times New Roman"/>
      <family val="1"/>
    </font>
    <font>
      <sz val="10"/>
      <name val="Times New Roman"/>
      <family val="1"/>
      <charset val="204"/>
    </font>
    <font>
      <sz val="11"/>
      <color indexed="61"/>
      <name val="Arial"/>
      <family val="2"/>
    </font>
    <font>
      <sz val="10"/>
      <color theme="1"/>
      <name val="Times New Roman"/>
      <family val="1"/>
    </font>
    <font>
      <sz val="10"/>
      <color theme="1"/>
      <name val="Times New Roman"/>
      <family val="1"/>
      <charset val="204"/>
    </font>
  </fonts>
  <fills count="9">
    <fill>
      <patternFill patternType="none"/>
    </fill>
    <fill>
      <patternFill patternType="gray125"/>
    </fill>
    <fill>
      <patternFill patternType="solid">
        <fgColor rgb="FFFFFF00"/>
        <bgColor indexed="64"/>
      </patternFill>
    </fill>
    <fill>
      <patternFill patternType="solid">
        <fgColor indexed="12"/>
        <bgColor indexed="64"/>
      </patternFill>
    </fill>
    <fill>
      <patternFill patternType="solid">
        <fgColor rgb="FF92D050"/>
        <bgColor indexed="64"/>
      </patternFill>
    </fill>
    <fill>
      <patternFill patternType="solid">
        <fgColor indexed="62"/>
        <bgColor indexed="64"/>
      </patternFill>
    </fill>
    <fill>
      <patternFill patternType="solid">
        <fgColor rgb="FFFF0000"/>
        <bgColor indexed="64"/>
      </patternFill>
    </fill>
    <fill>
      <patternFill patternType="solid">
        <fgColor rgb="FF0070C0"/>
        <bgColor indexed="64"/>
      </patternFill>
    </fill>
    <fill>
      <patternFill patternType="solid">
        <fgColor rgb="FFFFC000"/>
        <bgColor indexed="64"/>
      </patternFill>
    </fill>
  </fills>
  <borders count="7">
    <border>
      <left/>
      <right/>
      <top/>
      <bottom/>
      <diagonal/>
    </border>
    <border>
      <left/>
      <right/>
      <top/>
      <bottom style="medium">
        <color auto="1"/>
      </bottom>
      <diagonal/>
    </border>
    <border>
      <left/>
      <right/>
      <top style="thin">
        <color indexed="64"/>
      </top>
      <bottom/>
      <diagonal/>
    </border>
    <border>
      <left/>
      <right/>
      <top style="thin">
        <color indexed="64"/>
      </top>
      <bottom style="double">
        <color indexed="64"/>
      </bottom>
      <diagonal/>
    </border>
    <border>
      <left/>
      <right/>
      <top style="thin">
        <color auto="1"/>
      </top>
      <bottom style="thin">
        <color auto="1"/>
      </bottom>
      <diagonal/>
    </border>
    <border>
      <left/>
      <right/>
      <top/>
      <bottom style="double">
        <color indexed="64"/>
      </bottom>
      <diagonal/>
    </border>
    <border>
      <left style="thin">
        <color indexed="51"/>
      </left>
      <right style="thin">
        <color indexed="51"/>
      </right>
      <top style="thin">
        <color indexed="51"/>
      </top>
      <bottom style="thin">
        <color indexed="51"/>
      </bottom>
      <diagonal/>
    </border>
  </borders>
  <cellStyleXfs count="6">
    <xf numFmtId="0" fontId="0" fillId="0" borderId="0"/>
    <xf numFmtId="164" fontId="3" fillId="0" borderId="0" applyFont="0" applyFill="0" applyBorder="0" applyAlignment="0" applyProtection="0"/>
    <xf numFmtId="0" fontId="9" fillId="0" borderId="0"/>
    <xf numFmtId="0" fontId="2" fillId="0" borderId="0"/>
    <xf numFmtId="164" fontId="2" fillId="0" borderId="0" applyFont="0" applyFill="0" applyBorder="0" applyAlignment="0" applyProtection="0"/>
    <xf numFmtId="164" fontId="9" fillId="0" borderId="0" applyFont="0" applyFill="0" applyBorder="0" applyAlignment="0" applyProtection="0"/>
  </cellStyleXfs>
  <cellXfs count="136">
    <xf numFmtId="0" fontId="0" fillId="0" borderId="0" xfId="0"/>
    <xf numFmtId="14" fontId="0" fillId="0" borderId="0" xfId="0" applyNumberFormat="1"/>
    <xf numFmtId="164" fontId="0" fillId="0" borderId="0" xfId="1" applyFont="1"/>
    <xf numFmtId="164" fontId="4" fillId="0" borderId="0" xfId="1" applyFont="1"/>
    <xf numFmtId="14" fontId="5" fillId="0" borderId="0" xfId="0" applyNumberFormat="1" applyFont="1"/>
    <xf numFmtId="0" fontId="5" fillId="0" borderId="0" xfId="0" applyFont="1"/>
    <xf numFmtId="164" fontId="5" fillId="0" borderId="0" xfId="1" applyFont="1"/>
    <xf numFmtId="0" fontId="0" fillId="2" borderId="0" xfId="0" applyFill="1"/>
    <xf numFmtId="14" fontId="6" fillId="0" borderId="0" xfId="0" applyNumberFormat="1" applyFont="1"/>
    <xf numFmtId="0" fontId="6" fillId="2" borderId="0" xfId="0" applyFont="1" applyFill="1"/>
    <xf numFmtId="0" fontId="6" fillId="0" borderId="0" xfId="0" applyFont="1"/>
    <xf numFmtId="164" fontId="6" fillId="0" borderId="0" xfId="1" applyFont="1"/>
    <xf numFmtId="0" fontId="0" fillId="0" borderId="0" xfId="0" applyAlignment="1">
      <alignment wrapText="1"/>
    </xf>
    <xf numFmtId="0" fontId="9" fillId="0" borderId="0" xfId="2"/>
    <xf numFmtId="0" fontId="8" fillId="0" borderId="0" xfId="0" applyFont="1"/>
    <xf numFmtId="0" fontId="10" fillId="3" borderId="0" xfId="2" applyFont="1" applyFill="1"/>
    <xf numFmtId="0" fontId="9" fillId="4" borderId="0" xfId="2" applyFill="1"/>
    <xf numFmtId="3" fontId="0" fillId="0" borderId="0" xfId="0" applyNumberFormat="1"/>
    <xf numFmtId="3" fontId="11" fillId="0" borderId="0" xfId="0" applyNumberFormat="1" applyFont="1"/>
    <xf numFmtId="14" fontId="11" fillId="0" borderId="0" xfId="0" applyNumberFormat="1" applyFont="1"/>
    <xf numFmtId="0" fontId="11" fillId="2" borderId="0" xfId="0" applyFont="1" applyFill="1"/>
    <xf numFmtId="0" fontId="11" fillId="0" borderId="0" xfId="0" applyFont="1"/>
    <xf numFmtId="164" fontId="11" fillId="0" borderId="0" xfId="1" applyFont="1"/>
    <xf numFmtId="0" fontId="12" fillId="0" borderId="0" xfId="2" applyFont="1"/>
    <xf numFmtId="164" fontId="13" fillId="0" borderId="0" xfId="0" applyNumberFormat="1" applyFont="1"/>
    <xf numFmtId="14" fontId="15" fillId="0" borderId="0" xfId="0" applyNumberFormat="1" applyFont="1"/>
    <xf numFmtId="0" fontId="15" fillId="0" borderId="0" xfId="0" applyFont="1"/>
    <xf numFmtId="164" fontId="15" fillId="0" borderId="0" xfId="1" applyFont="1"/>
    <xf numFmtId="0" fontId="3" fillId="0" borderId="0" xfId="0" applyFont="1"/>
    <xf numFmtId="0" fontId="7" fillId="0" borderId="0" xfId="3" applyFont="1"/>
    <xf numFmtId="0" fontId="2" fillId="0" borderId="0" xfId="3"/>
    <xf numFmtId="0" fontId="7" fillId="0" borderId="1" xfId="3" applyFont="1" applyBorder="1"/>
    <xf numFmtId="0" fontId="2" fillId="0" borderId="1" xfId="3" applyBorder="1"/>
    <xf numFmtId="15" fontId="16" fillId="0" borderId="0" xfId="3" applyNumberFormat="1" applyFont="1" applyAlignment="1">
      <alignment horizontal="right" vertical="center"/>
    </xf>
    <xf numFmtId="165" fontId="17" fillId="0" borderId="0" xfId="3" applyNumberFormat="1" applyFont="1" applyAlignment="1">
      <alignment horizontal="right" vertical="center"/>
    </xf>
    <xf numFmtId="165" fontId="16" fillId="0" borderId="0" xfId="3" applyNumberFormat="1" applyFont="1" applyAlignment="1">
      <alignment horizontal="right" vertical="center"/>
    </xf>
    <xf numFmtId="0" fontId="18" fillId="0" borderId="0" xfId="3" applyFont="1"/>
    <xf numFmtId="165" fontId="18" fillId="0" borderId="2" xfId="3" applyNumberFormat="1" applyFont="1" applyBorder="1"/>
    <xf numFmtId="165" fontId="18" fillId="0" borderId="3" xfId="3" applyNumberFormat="1" applyFont="1" applyBorder="1"/>
    <xf numFmtId="0" fontId="2" fillId="0" borderId="3" xfId="3" applyBorder="1"/>
    <xf numFmtId="164" fontId="0" fillId="0" borderId="3" xfId="4" applyFont="1" applyBorder="1"/>
    <xf numFmtId="164" fontId="0" fillId="0" borderId="0" xfId="4" applyFont="1"/>
    <xf numFmtId="15" fontId="17" fillId="0" borderId="0" xfId="3" applyNumberFormat="1" applyFont="1" applyAlignment="1">
      <alignment horizontal="left" vertical="center"/>
    </xf>
    <xf numFmtId="164" fontId="0" fillId="0" borderId="5" xfId="4" applyFont="1" applyBorder="1"/>
    <xf numFmtId="164" fontId="2" fillId="0" borderId="0" xfId="1" applyFont="1"/>
    <xf numFmtId="164" fontId="2" fillId="0" borderId="3" xfId="1" applyFont="1" applyBorder="1"/>
    <xf numFmtId="165" fontId="2" fillId="0" borderId="0" xfId="1" applyNumberFormat="1" applyFont="1"/>
    <xf numFmtId="165" fontId="2" fillId="0" borderId="3" xfId="1" applyNumberFormat="1" applyFont="1" applyBorder="1"/>
    <xf numFmtId="165" fontId="2" fillId="0" borderId="3" xfId="3" applyNumberFormat="1" applyBorder="1"/>
    <xf numFmtId="165" fontId="18" fillId="0" borderId="0" xfId="1" applyNumberFormat="1" applyFont="1"/>
    <xf numFmtId="165" fontId="7" fillId="0" borderId="3" xfId="3" applyNumberFormat="1" applyFont="1" applyBorder="1"/>
    <xf numFmtId="165" fontId="7" fillId="0" borderId="3" xfId="1" applyNumberFormat="1" applyFont="1" applyBorder="1"/>
    <xf numFmtId="165" fontId="19" fillId="0" borderId="5" xfId="4" applyNumberFormat="1" applyFont="1" applyBorder="1"/>
    <xf numFmtId="165" fontId="20" fillId="0" borderId="0" xfId="4" applyNumberFormat="1" applyFont="1"/>
    <xf numFmtId="165" fontId="20" fillId="0" borderId="4" xfId="4" applyNumberFormat="1" applyFont="1" applyBorder="1"/>
    <xf numFmtId="165" fontId="20" fillId="0" borderId="1" xfId="4" applyNumberFormat="1" applyFont="1" applyBorder="1"/>
    <xf numFmtId="0" fontId="2" fillId="0" borderId="0" xfId="3" applyAlignment="1">
      <alignment horizontal="center"/>
    </xf>
    <xf numFmtId="0" fontId="7" fillId="0" borderId="0" xfId="3" applyFont="1" applyAlignment="1">
      <alignment horizontal="center"/>
    </xf>
    <xf numFmtId="165" fontId="2" fillId="0" borderId="0" xfId="3" applyNumberFormat="1"/>
    <xf numFmtId="15" fontId="16" fillId="0" borderId="0" xfId="3" applyNumberFormat="1" applyFont="1" applyAlignment="1">
      <alignment horizontal="right" vertical="center" wrapText="1"/>
    </xf>
    <xf numFmtId="0" fontId="21" fillId="0" borderId="0" xfId="3" applyFont="1"/>
    <xf numFmtId="165" fontId="21" fillId="0" borderId="0" xfId="3" applyNumberFormat="1" applyFont="1"/>
    <xf numFmtId="164" fontId="2" fillId="0" borderId="0" xfId="1" applyFont="1" applyBorder="1"/>
    <xf numFmtId="0" fontId="7" fillId="0" borderId="1" xfId="3" applyFont="1" applyBorder="1" applyAlignment="1">
      <alignment horizontal="center"/>
    </xf>
    <xf numFmtId="0" fontId="21" fillId="0" borderId="0" xfId="3" applyFont="1" applyAlignment="1">
      <alignment horizontal="center"/>
    </xf>
    <xf numFmtId="15" fontId="16" fillId="0" borderId="2" xfId="3" applyNumberFormat="1" applyFont="1" applyBorder="1" applyAlignment="1">
      <alignment horizontal="right" vertical="center"/>
    </xf>
    <xf numFmtId="165" fontId="17" fillId="0" borderId="0" xfId="1" applyNumberFormat="1" applyFont="1" applyAlignment="1">
      <alignment horizontal="right" vertical="center"/>
    </xf>
    <xf numFmtId="164" fontId="17" fillId="0" borderId="0" xfId="3" applyNumberFormat="1" applyFont="1" applyAlignment="1">
      <alignment horizontal="right" vertical="center"/>
    </xf>
    <xf numFmtId="165" fontId="17" fillId="0" borderId="2" xfId="3" applyNumberFormat="1" applyFont="1" applyBorder="1" applyAlignment="1">
      <alignment horizontal="right" vertical="center"/>
    </xf>
    <xf numFmtId="165" fontId="21" fillId="0" borderId="0" xfId="1" applyNumberFormat="1" applyFont="1"/>
    <xf numFmtId="165" fontId="22" fillId="0" borderId="3" xfId="3" applyNumberFormat="1" applyFont="1" applyBorder="1"/>
    <xf numFmtId="165" fontId="22" fillId="0" borderId="2" xfId="3" applyNumberFormat="1" applyFont="1" applyBorder="1"/>
    <xf numFmtId="165" fontId="19" fillId="0" borderId="4" xfId="4" applyNumberFormat="1" applyFont="1" applyBorder="1"/>
    <xf numFmtId="165" fontId="19" fillId="0" borderId="1" xfId="4" applyNumberFormat="1" applyFont="1" applyBorder="1"/>
    <xf numFmtId="0" fontId="23" fillId="0" borderId="0" xfId="0" applyFont="1" applyAlignment="1">
      <alignment horizontal="center"/>
    </xf>
    <xf numFmtId="0" fontId="0" fillId="0" borderId="0" xfId="0" pivotButton="1"/>
    <xf numFmtId="0" fontId="0" fillId="0" borderId="0" xfId="0" applyAlignment="1">
      <alignment horizontal="left"/>
    </xf>
    <xf numFmtId="164" fontId="0" fillId="0" borderId="0" xfId="0" applyNumberFormat="1"/>
    <xf numFmtId="17" fontId="0" fillId="0" borderId="0" xfId="0" applyNumberFormat="1"/>
    <xf numFmtId="164" fontId="7" fillId="0" borderId="3" xfId="1" applyFont="1" applyBorder="1"/>
    <xf numFmtId="17" fontId="15" fillId="0" borderId="0" xfId="0" applyNumberFormat="1" applyFont="1"/>
    <xf numFmtId="164" fontId="15" fillId="2" borderId="0" xfId="1" applyFont="1" applyFill="1"/>
    <xf numFmtId="0" fontId="24" fillId="0" borderId="0" xfId="0" applyFont="1"/>
    <xf numFmtId="14" fontId="24" fillId="0" borderId="0" xfId="0" applyNumberFormat="1" applyFont="1"/>
    <xf numFmtId="17" fontId="24" fillId="0" borderId="0" xfId="0" applyNumberFormat="1" applyFont="1"/>
    <xf numFmtId="164" fontId="24" fillId="0" borderId="0" xfId="1" applyFont="1"/>
    <xf numFmtId="0" fontId="4" fillId="0" borderId="0" xfId="0" applyFont="1"/>
    <xf numFmtId="164" fontId="0" fillId="0" borderId="0" xfId="5" applyFont="1"/>
    <xf numFmtId="164" fontId="9" fillId="0" borderId="0" xfId="5" applyFont="1"/>
    <xf numFmtId="0" fontId="10" fillId="3" borderId="6" xfId="2" applyFont="1" applyFill="1" applyBorder="1"/>
    <xf numFmtId="164" fontId="10" fillId="3" borderId="6" xfId="5" applyFont="1" applyFill="1" applyBorder="1"/>
    <xf numFmtId="0" fontId="1" fillId="0" borderId="0" xfId="3" applyFont="1"/>
    <xf numFmtId="164" fontId="0" fillId="2" borderId="0" xfId="5" applyFont="1" applyFill="1"/>
    <xf numFmtId="164" fontId="15" fillId="2" borderId="0" xfId="5" applyFont="1" applyFill="1"/>
    <xf numFmtId="0" fontId="9" fillId="6" borderId="0" xfId="2" applyFill="1"/>
    <xf numFmtId="164" fontId="0" fillId="6" borderId="0" xfId="5" applyFont="1" applyFill="1"/>
    <xf numFmtId="0" fontId="9" fillId="0" borderId="0" xfId="2" applyFill="1"/>
    <xf numFmtId="164" fontId="0" fillId="0" borderId="0" xfId="5" applyFont="1" applyFill="1"/>
    <xf numFmtId="0" fontId="7" fillId="0" borderId="0" xfId="3" applyFont="1" applyAlignment="1">
      <alignment horizontal="right" wrapText="1"/>
    </xf>
    <xf numFmtId="0" fontId="7" fillId="0" borderId="0" xfId="3" applyFont="1" applyAlignment="1">
      <alignment horizontal="right"/>
    </xf>
    <xf numFmtId="15" fontId="7" fillId="0" borderId="0" xfId="3" applyNumberFormat="1" applyFont="1" applyAlignment="1">
      <alignment horizontal="right" wrapText="1"/>
    </xf>
    <xf numFmtId="15" fontId="7" fillId="0" borderId="0" xfId="3" applyNumberFormat="1" applyFont="1" applyAlignment="1">
      <alignment horizontal="right"/>
    </xf>
    <xf numFmtId="0" fontId="11" fillId="7" borderId="0" xfId="0" applyFont="1" applyFill="1"/>
    <xf numFmtId="164" fontId="18" fillId="0" borderId="0" xfId="1" applyFont="1"/>
    <xf numFmtId="0" fontId="11" fillId="4" borderId="0" xfId="0" applyFont="1" applyFill="1"/>
    <xf numFmtId="0" fontId="9" fillId="0" borderId="0" xfId="2"/>
    <xf numFmtId="4" fontId="3" fillId="0" borderId="0" xfId="0" applyNumberFormat="1" applyFont="1"/>
    <xf numFmtId="2" fontId="3" fillId="0" borderId="0" xfId="0" applyNumberFormat="1" applyFont="1"/>
    <xf numFmtId="164" fontId="3" fillId="0" borderId="0" xfId="1" applyFont="1"/>
    <xf numFmtId="14" fontId="3" fillId="0" borderId="0" xfId="0" applyNumberFormat="1" applyFont="1"/>
    <xf numFmtId="0" fontId="3" fillId="8" borderId="0" xfId="0" applyFont="1" applyFill="1"/>
    <xf numFmtId="4" fontId="0" fillId="8" borderId="0" xfId="0" applyNumberFormat="1" applyFill="1"/>
    <xf numFmtId="164" fontId="0" fillId="8" borderId="0" xfId="1" applyFont="1" applyFill="1"/>
    <xf numFmtId="2" fontId="0" fillId="8" borderId="0" xfId="0" applyNumberFormat="1" applyFill="1"/>
    <xf numFmtId="0" fontId="0" fillId="8" borderId="0" xfId="0" applyFill="1"/>
    <xf numFmtId="4" fontId="3" fillId="8" borderId="0" xfId="0" applyNumberFormat="1" applyFont="1" applyFill="1"/>
    <xf numFmtId="0" fontId="0" fillId="0" borderId="0" xfId="0" applyNumberFormat="1"/>
    <xf numFmtId="164" fontId="6" fillId="8" borderId="0" xfId="1" applyFont="1" applyFill="1"/>
    <xf numFmtId="0" fontId="9" fillId="8" borderId="0" xfId="2" applyFill="1"/>
    <xf numFmtId="164" fontId="11" fillId="0" borderId="0" xfId="0" applyNumberFormat="1" applyFont="1"/>
    <xf numFmtId="164" fontId="4" fillId="0" borderId="3" xfId="0" applyNumberFormat="1" applyFont="1" applyBorder="1"/>
    <xf numFmtId="164" fontId="4" fillId="8" borderId="0" xfId="1" applyFont="1" applyFill="1"/>
    <xf numFmtId="0" fontId="0" fillId="0" borderId="0" xfId="0" applyAlignment="1">
      <alignment horizontal="right"/>
    </xf>
    <xf numFmtId="4" fontId="0" fillId="0" borderId="0" xfId="0" applyNumberFormat="1"/>
    <xf numFmtId="4" fontId="0" fillId="0" borderId="0" xfId="0" applyNumberFormat="1" applyAlignment="1">
      <alignment horizontal="right"/>
    </xf>
    <xf numFmtId="0" fontId="0" fillId="0" borderId="0" xfId="0" applyNumberFormat="1" applyAlignment="1">
      <alignment horizontal="right"/>
    </xf>
    <xf numFmtId="17" fontId="4" fillId="0" borderId="0" xfId="0" applyNumberFormat="1" applyFont="1"/>
    <xf numFmtId="0" fontId="26" fillId="0" borderId="0" xfId="0" applyFont="1"/>
    <xf numFmtId="164" fontId="26" fillId="0" borderId="0" xfId="1" applyFont="1"/>
    <xf numFmtId="14" fontId="0" fillId="0" borderId="0" xfId="0" applyNumberFormat="1" applyAlignment="1">
      <alignment horizontal="right"/>
    </xf>
    <xf numFmtId="164" fontId="27" fillId="0" borderId="0" xfId="1" applyFont="1"/>
    <xf numFmtId="164" fontId="0" fillId="0" borderId="0" xfId="1" applyFont="1" applyFill="1"/>
    <xf numFmtId="164" fontId="4" fillId="0" borderId="0" xfId="0" applyNumberFormat="1" applyFont="1"/>
    <xf numFmtId="0" fontId="4" fillId="0" borderId="0" xfId="0" applyFont="1" applyAlignment="1">
      <alignment horizontal="left"/>
    </xf>
    <xf numFmtId="0" fontId="25" fillId="5" borderId="6" xfId="2" applyFont="1" applyFill="1" applyBorder="1" applyAlignment="1">
      <alignment horizontal="center" vertical="center"/>
    </xf>
    <xf numFmtId="0" fontId="9" fillId="0" borderId="0" xfId="2"/>
  </cellXfs>
  <cellStyles count="6">
    <cellStyle name="Comma" xfId="1" builtinId="3"/>
    <cellStyle name="Comma 2" xfId="4"/>
    <cellStyle name="Comma 3" xfId="5"/>
    <cellStyle name="Normal" xfId="0" builtinId="0"/>
    <cellStyle name="Normal 2" xfId="2"/>
    <cellStyle name="Normal 3" xfId="3"/>
  </cellStyles>
  <dxfs count="16">
    <dxf>
      <fill>
        <patternFill patternType="solid">
          <bgColor rgb="FFFFFF00"/>
        </patternFill>
      </fill>
    </dxf>
    <dxf>
      <font>
        <color rgb="FFFF0000"/>
      </font>
    </dxf>
    <dxf>
      <numFmt numFmtId="164" formatCode="_(* #,##0.00_);_(* \(#,##0.00\);_(* &quot;-&quot;??_);_(@_)"/>
    </dxf>
    <dxf>
      <numFmt numFmtId="164" formatCode="_(* #,##0.00_);_(* \(#,##0.00\);_(* &quot;-&quot;??_);_(@_)"/>
    </dxf>
    <dxf>
      <numFmt numFmtId="164" formatCode="_(* #,##0.00_);_(* \(#,##0.00\);_(* &quot;-&quot;??_);_(@_)"/>
    </dxf>
    <dxf>
      <font>
        <color rgb="FFFF0000"/>
      </font>
    </dxf>
    <dxf>
      <font>
        <color rgb="FFFF0000"/>
      </font>
    </dxf>
    <dxf>
      <font>
        <color rgb="FFFF0000"/>
      </font>
    </dxf>
    <dxf>
      <font>
        <color rgb="FFFF0000"/>
      </font>
    </dxf>
    <dxf>
      <font>
        <color rgb="FFFF0000"/>
      </font>
    </dxf>
    <dxf>
      <font>
        <color rgb="FFFF0000"/>
      </font>
    </dxf>
    <dxf>
      <numFmt numFmtId="164" formatCode="_(* #,##0.00_);_(* \(#,##0.00\);_(* &quot;-&quot;??_);_(@_)"/>
    </dxf>
    <dxf>
      <alignment horizontal="general" vertical="bottom" textRotation="0" wrapText="1" indent="0" justifyLastLine="0" shrinkToFit="0" readingOrder="0"/>
    </dxf>
    <dxf>
      <numFmt numFmtId="166" formatCode="m/d/yyyy"/>
    </dxf>
    <dxf>
      <numFmt numFmtId="166" formatCode="m/d/yyyy"/>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Oluwakemi Ogunnaike" id="{ADD27EF9-E332-42ED-9301-B6ADC24999FA}" userId="S::oluwakemi.ajayi@ihstowers.com::fa6ccbf2-e189-4091-a0df-7ebb3708ca5b"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IIH" refreshedDate="45995.732946412034" createdVersion="6" refreshedVersion="5" minRefreshableVersion="3" recordCount="2002">
  <cacheSource type="worksheet">
    <worksheetSource ref="A1:F2003" sheet="GL_Transactions"/>
  </cacheSource>
  <cacheFields count="6">
    <cacheField name="Trans Date" numFmtId="0">
      <sharedItems containsDate="1" containsMixedTypes="1" minDate="2025-05-21T00:00:00" maxDate="2025-11-26T00:00:00"/>
    </cacheField>
    <cacheField name="Period" numFmtId="17">
      <sharedItems containsSemiMixedTypes="0" containsNonDate="0" containsDate="1" containsString="0" minDate="2025-05-31T00:00:00" maxDate="2025-11-02T00:00:00" count="7">
        <d v="2025-05-31T00:00:00"/>
        <d v="2025-06-30T00:00:00"/>
        <d v="2025-07-31T00:00:00"/>
        <d v="2025-08-31T00:00:00"/>
        <d v="2025-09-01T00:00:00"/>
        <d v="2025-10-01T00:00:00"/>
        <d v="2025-11-01T00:00:00"/>
      </sharedItems>
    </cacheField>
    <cacheField name="Transaction Details" numFmtId="0">
      <sharedItems longText="1"/>
    </cacheField>
    <cacheField name="Category" numFmtId="0">
      <sharedItems containsBlank="1"/>
    </cacheField>
    <cacheField name="Category per Zoho" numFmtId="0">
      <sharedItems containsBlank="1" count="35">
        <s v="Facility rentals"/>
        <s v="Bank Fees and Charges"/>
        <s v="Office Supplies"/>
        <s v="Janitorial Expense"/>
        <s v="Other Expenses"/>
        <s v="Premium Trust bank"/>
        <s v="Donations"/>
        <s v="Salaries and Employee Wages"/>
        <s v="Refundable security deposit"/>
        <s v="Software expense"/>
        <s v="Telephone and Data expense"/>
        <s v="Guest entertainment (Income)"/>
        <s v="Repairs and Maintenance"/>
        <s v="Guest entertainment"/>
        <s v="Security expense"/>
        <s v="Meals and Entertainment"/>
        <s v="Furniture and Equipment"/>
        <s v="Employee related costs"/>
        <s v="Travel expense - Local"/>
        <s v="Advertising And Marketing"/>
        <s v="IT and Internet Expenses"/>
        <s v="Staff welfare"/>
        <s v="Fuel/Diesel Expenses"/>
        <s v="Rental expense"/>
        <s v="Travel expense - International"/>
        <s v="Staff training"/>
        <s v="Clearing account"/>
        <s v="Staff allowances"/>
        <s v="zenith bank"/>
        <s v="sterling bank"/>
        <s v="Staff pension"/>
        <s v="Staff NHF"/>
        <s v="Photography and Videography"/>
        <s v="Training &amp; Mentorship"/>
        <m u="1"/>
      </sharedItems>
    </cacheField>
    <cacheField name="Transactions" numFmtId="0">
      <sharedItems containsSemiMixedTypes="0" containsString="0" containsNumber="1" minValue="-212820000.19" maxValue="101330337.1999999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002">
  <r>
    <d v="2025-05-21T00:00:00"/>
    <x v="0"/>
    <s v="016NIPT251410435 NIP TRSF FROM AYOBAMI JOEL ATOLAGBE IIH HALL BOOKING by"/>
    <s v="Facility rentals"/>
    <x v="0"/>
    <n v="-444000"/>
  </r>
  <r>
    <d v="2025-05-21T00:00:00"/>
    <x v="0"/>
    <s v="016EMTL251410057     ELECTRONIC     MONEY TRANSFER LEVY"/>
    <s v="Bank charges"/>
    <x v="1"/>
    <n v="50"/>
  </r>
  <r>
    <d v="2025-05-30T00:00:00"/>
    <x v="0"/>
    <s v="000MOBT25150A0VX Payment for 4 flags US EU UNDP NG NIP Transfer from ILORIN INNOVATION HUB LTD to LET S BR"/>
    <s v="Stationery and Office Supplies"/>
    <x v="2"/>
    <n v="40000"/>
  </r>
  <r>
    <d v="2025-05-30T00:00:00"/>
    <x v="0"/>
    <s v="000MOBT25150A0VX Payment for 4 flags US EU UNDP NG NIP Transfer from ILORIN INNOVATION HUB LTD to LET S BR"/>
    <s v="Bank charges"/>
    <x v="1"/>
    <n v="25"/>
  </r>
  <r>
    <d v="2025-05-30T00:00:00"/>
    <x v="0"/>
    <s v="000MOBT25150A0VX Payment for 4 flags US EU UNDP NG NIP Transfer from ILORIN INNOVATION HUB LTD to LET S BR"/>
    <s v="Bank charges"/>
    <x v="1"/>
    <n v="1.8800000000046566"/>
  </r>
  <r>
    <d v="2025-05-30T00:00:00"/>
    <x v="0"/>
    <s v="0168840251500001 BNG LEGAL SEARCH FEE FOR ILORIN INNOVATION  HUB LTD0040117676"/>
    <s v="Bank charges"/>
    <x v="1"/>
    <n v="10750"/>
  </r>
  <r>
    <d v="2025-05-30T00:00:00"/>
    <x v="0"/>
    <s v="000MOBT25150A5H9 Purchase of cleaning supplies NIP Transfer from ILORIN INNOVATION HUB LTD to MAUREEN DANIE"/>
    <s v="Cleaning expenses"/>
    <x v="3"/>
    <n v="12000"/>
  </r>
  <r>
    <d v="2025-05-30T00:00:00"/>
    <x v="0"/>
    <s v="000MOBT25150A5H9 Purchase of cleaning supplies NIP Transfer from ILORIN INNOVATION HUB LTD to MAUREEN DANIE"/>
    <s v="Bank charges"/>
    <x v="1"/>
    <n v="25"/>
  </r>
  <r>
    <d v="2025-05-30T00:00:00"/>
    <x v="0"/>
    <s v="000MOBT25150A5H9 Purchase of cleaning supplies NIP Transfer from ILORIN INNOVATION HUB LTD to MAUREEN DANIE"/>
    <s v="Bank charges"/>
    <x v="1"/>
    <n v="1.8800000000046566"/>
  </r>
  <r>
    <d v="2025-05-30T00:00:00"/>
    <x v="0"/>
    <s v="000MOBT25150AA0U      NIP     Transfer     from ILORIN  INNOVATION  HUB  LTD  to  MAUREEN_x000a_DANIEL OKEY"/>
    <s v="Other Expenses"/>
    <x v="4"/>
    <n v="15300"/>
  </r>
  <r>
    <d v="2025-05-30T00:00:00"/>
    <x v="0"/>
    <s v="000MOBT25150AA0U NIP  Transfer  from ILORIN INNOVATION HUB LTD to MAUREEN DANIEL OKEY"/>
    <s v="Bank charges"/>
    <x v="1"/>
    <n v="25"/>
  </r>
  <r>
    <d v="2025-05-30T00:00:00"/>
    <x v="0"/>
    <s v="000MOBT25150AA0U NIP  Transfer  from ILORIN INNOVATION HUB LTD to MAUREEN DANIEL OKEY"/>
    <s v="Bank charges"/>
    <x v="1"/>
    <n v="1.8800000000046566"/>
  </r>
  <r>
    <d v="2025-05-30T00:00:00"/>
    <x v="0"/>
    <s v="016AMFC251500023                             ACCOUNT MAINTENANCE FEE"/>
    <s v="Bank charges"/>
    <x v="1"/>
    <n v="67.299999999988358"/>
  </r>
  <r>
    <d v="2025-05-30T00:00:00"/>
    <x v="0"/>
    <s v="016AMFV251500021   VAT   ON  TRANSACTION CHARGES"/>
    <s v="Bank charges"/>
    <x v="1"/>
    <n v="5.0499999999883585"/>
  </r>
  <r>
    <d v="2025-05-31T00:00:00"/>
    <x v="0"/>
    <s v="Bank transactions in May"/>
    <s v="Bank balance"/>
    <x v="5"/>
    <n v="365747.01"/>
  </r>
  <r>
    <d v="2025-06-02T00:00:00"/>
    <x v="1"/>
    <s v="000MOBT25150AJEP           REFUND           FOR PURCHASE    OF    SPEAKER    SYSTEM    NIP_x000a_Transfer from ILORIN INNOVATION HUB LTD"/>
    <s v="Stationery and Office Supplies"/>
    <x v="2"/>
    <n v="200000"/>
  </r>
  <r>
    <d v="2025-06-02T00:00:00"/>
    <x v="1"/>
    <s v="000MOBT25150AJEP           REFUND           FOR PURCHASE    OF    SPEAKER    SYSTEM    NIP_x000a_Transfer from ILORIN INNOVATION HUB LTD"/>
    <s v="Bank charges"/>
    <x v="1"/>
    <n v="50"/>
  </r>
  <r>
    <d v="2025-06-02T00:00:00"/>
    <x v="1"/>
    <s v="000MOBT25150AJEP           REFUND           FOR PURCHASE    OF    SPEAKER    SYSTEM    NIP_x000a_Transfer from ILORIN INNOVATION HUB LTD"/>
    <s v="Bank charges"/>
    <x v="1"/>
    <n v="3.75"/>
  </r>
  <r>
    <d v="2025-06-02T00:00:00"/>
    <x v="1"/>
    <s v="000NEFI251530339 NEFT INWARD STP CR - ILORIN INNOVATION HUB (Q2 ONE-OFF I B/O IHS (NIGERIA) LIMITED"/>
    <s v="IHS Payment"/>
    <x v="6"/>
    <n v="-44499369.340000004"/>
  </r>
  <r>
    <d v="2025-06-02T00:00:00"/>
    <x v="1"/>
    <s v="000MOBT25153A588  IIH  SALARY  MAY  2025_x000a_NIP  Transfer  from  ILORIN  INNOVATION  HUB LTD to ONUCHUKWU  SINACHI GOOD"/>
    <s v="Salaries and Wages"/>
    <x v="7"/>
    <n v="249491.56000000238"/>
  </r>
  <r>
    <d v="2025-06-02T00:00:00"/>
    <x v="1"/>
    <s v="000MOBT25153A588  IIH  SALARY  MAY  2025_x000a_NIP  Transfer  from  ILORIN  INNOVATION  HUB LTD to ONUCHUKWU  SINACHI GOOD"/>
    <s v="Bank charges"/>
    <x v="1"/>
    <n v="50"/>
  </r>
  <r>
    <d v="2025-06-02T00:00:00"/>
    <x v="1"/>
    <s v="000MOBT25153A588  IIH  SALARY  MAY  2025_x000a_NIP  Transfer  from  ILORIN  INNOVATION  HUB LTD to ONUCHUKWU  SINACHI GOOD"/>
    <s v="Bank charges"/>
    <x v="1"/>
    <n v="3.75"/>
  </r>
  <r>
    <d v="2025-06-02T00:00:00"/>
    <x v="1"/>
    <s v="000MOBT25153A5CB  IIH  SALARY  MAY  2025_x000a_ALLOWANCES   NIP   Transfer    from   ILORIN INNOVATION HUB LTD to ONUCHUKWU  S"/>
    <s v="Salaries and Wages"/>
    <x v="7"/>
    <n v="35000"/>
  </r>
  <r>
    <d v="2025-06-02T00:00:00"/>
    <x v="1"/>
    <s v="000MOBT25153A5CB  IIH  SALARY  MAY  2025_x000a_ALLOWANCES   NIP   Transfer    from   ILORIN INNOVATION HUB LTD to ONUCHUKWU  S"/>
    <s v="Bank charges"/>
    <x v="1"/>
    <n v="25"/>
  </r>
  <r>
    <d v="2025-06-02T00:00:00"/>
    <x v="1"/>
    <s v="000MOBT25153A5CB  IIH  SALARY  MAY  2025_x000a_ALLOWANCES   NIP   Transfer    from   ILORIN INNOVATION HUB LTD to ONUCHUKWU  S"/>
    <s v="Bank charges"/>
    <x v="1"/>
    <n v="1.880000002682209"/>
  </r>
  <r>
    <d v="2025-06-02T00:00:00"/>
    <x v="1"/>
    <s v="000MOBT25153A5D4  IIH  MAY  2025  SALARY_x000a_ALLOWANCES   NIP   Transfer    from   ILORIN INNOVATION HUB LTD to OLUWADAMILA"/>
    <s v="Salaries and Wages"/>
    <x v="7"/>
    <n v="284491.55999999493"/>
  </r>
  <r>
    <d v="2025-06-02T00:00:00"/>
    <x v="1"/>
    <s v="000MOBT25153A5D4  IIH  MAY  2025  SALARY_x000a_ALLOWANCES   NIP   Transfer    from   ILORIN INNOVATION HUB LTD to OLUWADAMILA"/>
    <s v="Bank charges"/>
    <x v="1"/>
    <n v="50"/>
  </r>
  <r>
    <d v="2025-06-02T00:00:00"/>
    <x v="1"/>
    <s v="000MOBT25153A5D4  IIH  MAY  2025  SALARY_x000a_ALLOWANCES   NIP   Transfer    from   ILORIN INNOVATION HUB LTD to OLUWADAMILA"/>
    <s v="Bank charges"/>
    <x v="1"/>
    <n v="3.75"/>
  </r>
  <r>
    <d v="2025-06-02T00:00:00"/>
    <x v="1"/>
    <s v="000MOBT25153A5G3  IIH  SALARY  MAY  2025_x000a_ALLOWANCES   NIP   Transfer    from   ILORIN INNOVATION HUB LTD to TEMILOLUWA"/>
    <s v="Salaries and Wages"/>
    <x v="7"/>
    <n v="3570659.4400000051"/>
  </r>
  <r>
    <d v="2025-06-02T00:00:00"/>
    <x v="1"/>
    <s v="000MOBT25153A5G3  IIH  SALARY  MAY  2025_x000a_ALLOWANCES   NIP   Transfer    from   ILORIN INNOVATION HUB LTD to TEMILOLUWA"/>
    <s v="Bank charges"/>
    <x v="1"/>
    <n v="50"/>
  </r>
  <r>
    <d v="2025-06-02T00:00:00"/>
    <x v="1"/>
    <s v="000MOBT25153A5G3  IIH  SALARY  MAY  2025_x000a_ALLOWANCES   NIP   Transfer    from   ILORIN INNOVATION HUB LTD to TEMILOLUWA"/>
    <s v="Bank charges"/>
    <x v="1"/>
    <n v="3.75"/>
  </r>
  <r>
    <d v="2025-06-02T00:00:00"/>
    <x v="1"/>
    <s v="000MOBT25153A5H1  IIH  SALARY  MAY  2025_x000a_ALLOWANCES   NIP   Transfer    from   ILORIN INNOVATION HUB LTD to KHADIJAT ZU"/>
    <s v="Salaries and Wages"/>
    <x v="7"/>
    <n v="2070487.4699999988"/>
  </r>
  <r>
    <d v="2025-06-02T00:00:00"/>
    <x v="1"/>
    <s v="000MOBT25153A5H1  IIH  SALARY  MAY  2025_x000a_ALLOWANCES   NIP   Transfer    from   ILORIN INNOVATION HUB LTD to KHADIJAT ZU"/>
    <s v="Bank charges"/>
    <x v="1"/>
    <n v="50"/>
  </r>
  <r>
    <d v="2025-06-02T00:00:00"/>
    <x v="1"/>
    <s v="000MOBT25153A5H1  IIH  SALARY  MAY  2025_x000a_ALLOWANCES   NIP   Transfer    from   ILORIN INNOVATION HUB LTD to KHADIJAT ZU"/>
    <s v="Bank charges"/>
    <x v="1"/>
    <n v="3.75"/>
  </r>
  <r>
    <d v="2025-06-02T00:00:00"/>
    <x v="1"/>
    <s v="000MOBT25153A5JT  IIH  SALARY  MAY  2025_x000a_ALLOWANCES   NIP   Transfer    from   ILORIN INNOVATION HUB LTD to OLALEYE KAY"/>
    <s v="Salaries and Wages"/>
    <x v="7"/>
    <n v="152194.91999999434"/>
  </r>
  <r>
    <d v="2025-06-02T00:00:00"/>
    <x v="1"/>
    <s v="000MOBT25153A5JT  IIH  SALARY  MAY  2025_x000a_ALLOWANCES   NIP   Transfer    from   ILORIN INNOVATION HUB LTD to OLALEYE KAY"/>
    <s v="Bank charges"/>
    <x v="1"/>
    <n v="50"/>
  </r>
  <r>
    <d v="2025-06-02T00:00:00"/>
    <x v="1"/>
    <s v="000MOBT25153A5JT  IIH  SALARY  MAY  2025_x000a_ALLOWANCES   NIP   Transfer    from   ILORIN INNOVATION HUB LTD to OLALEYE KAY"/>
    <s v="Bank charges"/>
    <x v="1"/>
    <n v="3.75"/>
  </r>
  <r>
    <d v="2025-06-02T00:00:00"/>
    <x v="1"/>
    <s v="016EMTL2515300B9     ELECTRONIC     MONEY TRANSFER LEVY"/>
    <s v="Bank charges"/>
    <x v="1"/>
    <n v="50"/>
  </r>
  <r>
    <d v="2025-06-03T00:00:00"/>
    <x v="1"/>
    <s v="000MOBT251540405      IIH      MAY      SALARY_x000a_ALLOWANCES   NIP   Transfer    from   ILORIN INNOVATION HUB LTD to MUHAMMED"/>
    <s v="Salaries and Wages"/>
    <x v="7"/>
    <n v="252957.21000000089"/>
  </r>
  <r>
    <d v="2025-06-03T00:00:00"/>
    <x v="1"/>
    <s v="000MOBT251540405      IIH      MAY      SALARY_x000a_ALLOWANCES   NIP   Transfer    from   ILORIN INNOVATION HUB LTD to MUHAMMED"/>
    <s v="Bank charges"/>
    <x v="1"/>
    <n v="50"/>
  </r>
  <r>
    <d v="2025-06-03T00:00:00"/>
    <x v="1"/>
    <s v="000MOBT251540405      IIH      MAY      SALARY_x000a_ALLOWANCES   NIP   Transfer    from   ILORIN INNOVATION HUB LTD to MUHAMMED"/>
    <s v="Bank charges"/>
    <x v="1"/>
    <n v="3.75"/>
  </r>
  <r>
    <d v="2025-06-03T00:00:00"/>
    <x v="1"/>
    <s v="000MOBT251540515      IIH      MAY      SALARY_x000a_ALLOWANCES   NIP   Transfer    from   ILORIN INNOVATION HUB LTD to OKEY MAUREEN"/>
    <s v="Salaries and Wages"/>
    <x v="7"/>
    <n v="156011.73000000417"/>
  </r>
  <r>
    <d v="2025-06-03T00:00:00"/>
    <x v="1"/>
    <s v="000MOBT251540515      IIH      MAY      SALARY_x000a_ALLOWANCES   NIP   Transfer    from   ILORIN INNOVATION HUB LTD to OKEY MAUREEN"/>
    <s v="Bank charges"/>
    <x v="1"/>
    <n v="50"/>
  </r>
  <r>
    <d v="2025-06-03T00:00:00"/>
    <x v="1"/>
    <s v="000MOBT251540515      IIH      MAY      SALARY_x000a_ALLOWANCES   NIP   Transfer    from   ILORIN INNOVATION HUB LTD to OKEY MAUREEN"/>
    <s v="Bank charges"/>
    <x v="1"/>
    <n v="3.75"/>
  </r>
  <r>
    <d v="2025-06-03T00:00:00"/>
    <x v="1"/>
    <s v="000MOBT251540536            MAY            SALARY_x000a_ALLOWANCES   NIP   Transfer    from   ILORIN INNOVATION HUB LTD to HENRY MGBECHI"/>
    <s v="Salaries and Wages"/>
    <x v="7"/>
    <n v="156011.72999999672"/>
  </r>
  <r>
    <d v="2025-06-03T00:00:00"/>
    <x v="1"/>
    <s v="000MOBT251540536            MAY            SALARY_x000a_ALLOWANCES   NIP   Transfer    from   ILORIN INNOVATION HUB LTD to HENRY MGBECHI"/>
    <s v="Bank charges"/>
    <x v="1"/>
    <n v="50"/>
  </r>
  <r>
    <d v="2025-06-03T00:00:00"/>
    <x v="1"/>
    <s v="000MOBT251540536            MAY            SALARY_x000a_ALLOWANCES   NIP   Transfer    from   ILORIN INNOVATION HUB LTD to HENRY MGBECHI"/>
    <s v="Bank charges"/>
    <x v="1"/>
    <n v="3.75"/>
  </r>
  <r>
    <d v="2025-06-03T00:00:00"/>
    <x v="1"/>
    <s v="000MOBT251541459            MAY            SALARY_x000a_ALLOWANCES   NIP   Transfer    from   ILORIN INNOVATION HUB LTD to AKANDE"/>
    <s v="Salaries and Wages"/>
    <x v="7"/>
    <n v="156011.73000000417"/>
  </r>
  <r>
    <d v="2025-06-03T00:00:00"/>
    <x v="1"/>
    <s v="000MOBT251541459            MAY            SALARY_x000a_ALLOWANCES   NIP   Transfer    from   ILORIN INNOVATION HUB LTD to AKANDE"/>
    <s v="Bank charges"/>
    <x v="1"/>
    <n v="50"/>
  </r>
  <r>
    <d v="2025-06-03T00:00:00"/>
    <x v="1"/>
    <s v="000MOBT251541459            MAY            SALARY_x000a_ALLOWANCES   NIP   Transfer    from   ILORIN INNOVATION HUB LTD to AKANDE"/>
    <s v="Bank charges"/>
    <x v="1"/>
    <n v="3.75"/>
  </r>
  <r>
    <d v="2025-06-03T00:00:00"/>
    <x v="1"/>
    <s v="000NEFI251540263 NEFT INWARD STP CR - ILORIN INNOVATION HUB OPERATIONAL C B/O IHS (NIGERIA) LIMITED"/>
    <s v="IHS Payment"/>
    <x v="6"/>
    <n v="-6935800"/>
  </r>
  <r>
    <d v="2025-06-03T00:00:00"/>
    <x v="1"/>
    <s v="000NEFI251540264 NEFT INWARD STP CR - ILORIN INNOVATION HUB (Q2 RECURRENT B/O IHS (NIGERIA) LIMITED"/>
    <s v="IHS Payment"/>
    <x v="6"/>
    <n v="-94692772.219999999"/>
  </r>
  <r>
    <d v="2025-06-03T00:00:00"/>
    <x v="1"/>
    <s v="000MOBT25154A0ED   IIH   DEPOSIT   REFUND_x000a_FOR   BITKWA   EVENT    NIP    Transfer   from ILORIN INNOVATION HUB LTD to AYOBAMI"/>
    <s v="Deposit refund"/>
    <x v="8"/>
    <n v="100000"/>
  </r>
  <r>
    <d v="2025-06-03T00:00:00"/>
    <x v="1"/>
    <s v="000MOBT25154A0ED   IIH   DEPOSIT   REFUND_x000a_FOR   BITKWA   EVENT    NIP    Transfer   from ILORIN INNOVATION HUB LTD to AYOBAMI"/>
    <s v="Bank charges"/>
    <x v="1"/>
    <n v="50"/>
  </r>
  <r>
    <d v="2025-06-03T00:00:00"/>
    <x v="1"/>
    <s v="000MOBT25154A0ED   IIH   DEPOSIT   REFUND_x000a_FOR   BITKWA   EVENT    NIP    Transfer   from ILORIN INNOVATION HUB LTD to AYOBAMI"/>
    <s v="Bank charges"/>
    <x v="1"/>
    <n v="3.75"/>
  </r>
  <r>
    <d v="2025-06-03T00:00:00"/>
    <x v="1"/>
    <s v="000MOBT25154A0F7  JUNE  OFFICE SUPPLIES_x000a_NIP  Transfer  from  ILORIN  INNOVATION  HUB LTD to MAUREEN DANIEL OKEY"/>
    <s v="Stationery and Office Supplies"/>
    <x v="2"/>
    <n v="150000"/>
  </r>
  <r>
    <d v="2025-06-03T00:00:00"/>
    <x v="1"/>
    <s v="000MOBT25154A0F7  JUNE  OFFICE SUPPLIES_x000a_NIP  Transfer  from  ILORIN  INNOVATION  HUB LTD to MAUREEN DANIEL OKEY"/>
    <s v="Bank charges"/>
    <x v="1"/>
    <n v="50"/>
  </r>
  <r>
    <d v="2025-06-03T00:00:00"/>
    <x v="1"/>
    <s v="000MOBT25154A0F7  JUNE  OFFICE SUPPLIES_x000a_NIP  Transfer  from  ILORIN  INNOVATION  HUB LTD to MAUREEN DANIEL OKEY"/>
    <s v="Bank charges"/>
    <x v="1"/>
    <n v="3.75"/>
  </r>
  <r>
    <d v="2025-06-03T00:00:00"/>
    <x v="1"/>
    <s v="000MOBT25154A15G          50          JANITORIAL_x000a_CLEANING     NIP     Transfer     from     ILORIN INNOVATION HUB LTD to SIII MULTIPURPOSE"/>
    <s v="Cleaning expenses"/>
    <x v="3"/>
    <n v="650000"/>
  </r>
  <r>
    <d v="2025-06-03T00:00:00"/>
    <x v="1"/>
    <s v="000MOBT25154A15G          50          JANITORIAL_x000a_CLEANING     NIP     Transfer     from     ILORIN INNOVATION HUB LTD to SIII MULTIPURPOSE"/>
    <s v="Bank charges"/>
    <x v="1"/>
    <n v="50"/>
  </r>
  <r>
    <d v="2025-06-03T00:00:00"/>
    <x v="1"/>
    <s v="000MOBT25154A15G          50          JANITORIAL_x000a_CLEANING     NIP     Transfer     from     ILORIN INNOVATION HUB LTD to SIII MULTIPURPOSE"/>
    <s v="Bank charges"/>
    <x v="1"/>
    <n v="3.75"/>
  </r>
  <r>
    <d v="2025-06-03T00:00:00"/>
    <x v="1"/>
    <s v="016EMTL2515400BW    ELECTRONIC    MONEY TRANSFER LEVY"/>
    <s v="Bank charges"/>
    <x v="1"/>
    <n v="50"/>
  </r>
  <r>
    <d v="2025-06-03T00:00:00"/>
    <x v="1"/>
    <s v="016EMTL2515400CD     ELECTRONIC     MONEY TRANSFER LEVY"/>
    <s v="Bank charges"/>
    <x v="1"/>
    <n v="50"/>
  </r>
  <r>
    <d v="2025-06-04T00:00:00"/>
    <x v="1"/>
    <s v="000MOBT25154A3ZU         MARCH         SALARY_x000a_ALLOWANCES   NIP   Transfer    from   ILORIN INNOVATION HUB LTD to TEMILOLUWA"/>
    <s v="Salaries and Wages"/>
    <x v="7"/>
    <n v="3570659.4300000072"/>
  </r>
  <r>
    <d v="2025-06-04T00:00:00"/>
    <x v="1"/>
    <s v="000MOBT25154A3ZU         MARCH         SALARY_x000a_ALLOWANCES   NIP   Transfer    from   ILORIN INNOVATION HUB LTD to TEMILOLUWA"/>
    <s v="Bank charges"/>
    <x v="1"/>
    <n v="50"/>
  </r>
  <r>
    <d v="2025-06-04T00:00:00"/>
    <x v="1"/>
    <s v="000MOBT25154A3ZU         MARCH         SALARY_x000a_ALLOWANCES   NIP   Transfer    from   ILORIN INNOVATION HUB LTD to TEMILOLUWA"/>
    <s v="Bank charges"/>
    <x v="1"/>
    <n v="3.75"/>
  </r>
  <r>
    <d v="2025-06-04T00:00:00"/>
    <x v="1"/>
    <s v="000MOBT25154A401         MARCH         SALARY_x000a_ALLOWANCES   NIP   Transfer    from   ILORIN INNOVATION HUB LTD to OLALEYE KAYODE"/>
    <s v="Salaries and Wages"/>
    <x v="7"/>
    <n v="152194.91999998689"/>
  </r>
  <r>
    <d v="2025-06-04T00:00:00"/>
    <x v="1"/>
    <s v="000MOBT25154A401         MARCH         SALARY_x000a_ALLOWANCES   NIP   Transfer    from   ILORIN INNOVATION HUB LTD to OLALEYE KAYODE"/>
    <s v="Bank charges"/>
    <x v="1"/>
    <n v="50"/>
  </r>
  <r>
    <d v="2025-06-04T00:00:00"/>
    <x v="1"/>
    <s v="000MOBT25154A401         MARCH         SALARY_x000a_ALLOWANCES   NIP   Transfer    from   ILORIN INNOVATION HUB LTD to OLALEYE KAYODE"/>
    <s v="Bank charges"/>
    <x v="1"/>
    <n v="3.75"/>
  </r>
  <r>
    <d v="2025-06-04T00:00:00"/>
    <x v="1"/>
    <s v="000MOBT25154A405          APRIL          SALARY_x000a_ALLOWANCES   NIP   Transfer    from   ILORIN INNOVATION HUB LTD to TEMILOLUWA"/>
    <s v="Salaries and Wages"/>
    <x v="7"/>
    <n v="3570659.4300000072"/>
  </r>
  <r>
    <d v="2025-06-04T00:00:00"/>
    <x v="1"/>
    <s v="000MOBT25154A405          APRIL          SALARY_x000a_ALLOWANCES   NIP   Transfer    from   ILORIN INNOVATION HUB LTD to TEMILOLUWA"/>
    <s v="Bank charges"/>
    <x v="1"/>
    <n v="50"/>
  </r>
  <r>
    <d v="2025-06-04T00:00:00"/>
    <x v="1"/>
    <s v="000MOBT25154A405          APRIL          SALARY_x000a_ALLOWANCES   NIP   Transfer    from   ILORIN INNOVATION HUB LTD to TEMILOLUWA"/>
    <s v="Bank charges"/>
    <x v="1"/>
    <n v="3.75"/>
  </r>
  <r>
    <d v="2025-06-04T00:00:00"/>
    <x v="1"/>
    <s v="000MOBT25154A408          APRIL          SALARY_x000a_ALLOWANCES   NIP   Transfer    from   ILORIN INNOVATION HUB LTD to OLALEYE KAYODE"/>
    <s v="Salaries and Wages"/>
    <x v="7"/>
    <n v="152194.92000000179"/>
  </r>
  <r>
    <d v="2025-06-04T00:00:00"/>
    <x v="1"/>
    <s v="000MOBT25154A408          APRIL          SALARY_x000a_ALLOWANCES   NIP   Transfer    from   ILORIN INNOVATION HUB LTD to OLALEYE KAYODE"/>
    <s v="Bank charges"/>
    <x v="1"/>
    <n v="50"/>
  </r>
  <r>
    <d v="2025-06-04T00:00:00"/>
    <x v="1"/>
    <s v="000MOBT25154A408          APRIL          SALARY_x000a_ALLOWANCES   NIP   Transfer    from   ILORIN INNOVATION HUB LTD to OLALEYE KAYODE"/>
    <s v="Bank charges"/>
    <x v="1"/>
    <n v="3.75"/>
  </r>
  <r>
    <d v="2025-06-04T00:00:00"/>
    <x v="1"/>
    <s v="000MOBT251557167            ZOHO           BOOKS_x000a_STANDARD PLAN 3 USERS NIP Transfer from ILORIN INNOVATION HUB LTD to PAYSTACK"/>
    <s v="Software expense - Zoho"/>
    <x v="9"/>
    <n v="46440"/>
  </r>
  <r>
    <d v="2025-06-04T00:00:00"/>
    <x v="1"/>
    <s v="000MOBT251557167            ZOHO           BOOKS_x000a_STANDARD PLAN 3 USERS NIP Transfer from ILORIN INNOVATION HUB LTD to PAYSTACK"/>
    <s v="Bank charges"/>
    <x v="1"/>
    <n v="25"/>
  </r>
  <r>
    <d v="2025-06-04T00:00:00"/>
    <x v="1"/>
    <s v="000MOBT251557167            ZOHO           BOOKS_x000a_STANDARD PLAN 3 USERS NIP Transfer from ILORIN INNOVATION HUB LTD to PAYSTACK"/>
    <s v="Bank charges"/>
    <x v="1"/>
    <n v="1.8799999952316284"/>
  </r>
  <r>
    <d v="2025-06-04T00:00:00"/>
    <x v="1"/>
    <s v="000MOBT251557289      ZOHO      WORKPLACE_x000a_UPGRADE 5 USERS NIP Transfer from ILORIN INNOVATION HUB LTD to PAYSTACK CHE"/>
    <s v="Software expense - Zoho"/>
    <x v="9"/>
    <n v="49392.859999999404"/>
  </r>
  <r>
    <d v="2025-06-04T00:00:00"/>
    <x v="1"/>
    <s v="000MOBT251557289      ZOHO      WORKPLACE_x000a_UPGRADE 5 USERS NIP Transfer from ILORIN INNOVATION HUB LTD to PAYSTACK CHE"/>
    <s v="Bank charges"/>
    <x v="1"/>
    <n v="25"/>
  </r>
  <r>
    <d v="2025-06-04T00:00:00"/>
    <x v="1"/>
    <s v="000MOBT251557289      ZOHO      WORKPLACE_x000a_UPGRADE 5 USERS NIP Transfer from ILORIN INNOVATION HUB LTD to PAYSTACK CHE"/>
    <s v="Bank charges"/>
    <x v="1"/>
    <n v="1.8800000101327896"/>
  </r>
  <r>
    <d v="2025-06-05T00:00:00"/>
    <x v="1"/>
    <s v="0165522251560001 BNG LEGAL SEARCH FEE FOR ILORIN INNOVATION HUB LTD"/>
    <s v="Bank charges"/>
    <x v="1"/>
    <n v="10750"/>
  </r>
  <r>
    <d v="2025-06-05T00:00:00"/>
    <x v="1"/>
    <s v="000MOBT251567774    STARLINK    PURCHASE_x000a_INSTALLATION   NIP   Transfer   from   ILORIN INNOVATION HUB LTD to FEMTECH INF"/>
    <s v="Data and telephone expenses"/>
    <x v="10"/>
    <n v="725000"/>
  </r>
  <r>
    <d v="2025-06-05T00:00:00"/>
    <x v="1"/>
    <s v="000MOBT251567774    STARLINK    PURCHASE_x000a_INSTALLATION   NIP   Transfer   from   ILORIN INNOVATION HUB LTD to FEMTECH INF"/>
    <s v="Bank charges"/>
    <x v="1"/>
    <n v="50"/>
  </r>
  <r>
    <d v="2025-06-05T00:00:00"/>
    <x v="1"/>
    <s v="000MOBT251567774    STARLINK    PURCHASE_x000a_INSTALLATION   NIP   Transfer   from   ILORIN INNOVATION HUB LTD to FEMTECH INF"/>
    <s v="Bank charges"/>
    <x v="1"/>
    <n v="3.75"/>
  </r>
  <r>
    <d v="2025-06-10T00:00:00"/>
    <x v="1"/>
    <s v="016NIPT251560778 NIP TRSF FROM COCREATION HUB LIMITED ER-05417 IHS ILORIN INNOVATION REFUND TO"/>
    <s v="Income"/>
    <x v="11"/>
    <n v="-135300"/>
  </r>
  <r>
    <d v="2025-06-10T00:00:00"/>
    <x v="1"/>
    <s v="000MOBT25161B18D  Reimbursement    for Office Equipment purchase NIP Transfer from ILORIN INNOVATION HUB LTD t"/>
    <s v="Stationery and Office Supplies"/>
    <x v="2"/>
    <n v="36000"/>
  </r>
  <r>
    <d v="2025-06-10T00:00:00"/>
    <x v="1"/>
    <s v="000MOBT25161B18D  Reimbursement    for Office Equipment purchase NIP Transfer from ILORIN INNOVATION HUB LTD t"/>
    <s v="Bank charges"/>
    <x v="1"/>
    <n v="25"/>
  </r>
  <r>
    <d v="2025-06-10T00:00:00"/>
    <x v="1"/>
    <s v="000MOBT25161B18D  Reimbursement    for Office Equipment purchase NIP Transfer from ILORIN INNOVATION HUB LTD t"/>
    <s v="Bank charges"/>
    <x v="1"/>
    <n v="1.8799999952316284"/>
  </r>
  <r>
    <d v="2025-06-10T00:00:00"/>
    <x v="1"/>
    <s v="000MOBT25161B1AA DSTV Compact Xtraview Subscription NIP Transfer from ILORIN INNOVATION HUB LTD to ISAIAH"/>
    <s v="Other Expenses"/>
    <x v="4"/>
    <n v="25000"/>
  </r>
  <r>
    <d v="2025-06-10T00:00:00"/>
    <x v="1"/>
    <s v="000MOBT25161B1AA DSTV Compact Xtraview Subscription NIP Transfer from ILORIN INNOVATION HUB LTD to ISAIAH"/>
    <s v="Bank charges"/>
    <x v="1"/>
    <n v="25"/>
  </r>
  <r>
    <d v="2025-06-10T00:00:00"/>
    <x v="1"/>
    <s v="000MOBT25161B1AA DSTV Compact Xtraview Subscription NIP Transfer from ILORIN INNOVATION HUB LTD to ISAIAH"/>
    <s v="Bank charges"/>
    <x v="1"/>
    <n v="1.8799999952316284"/>
  </r>
  <r>
    <d v="2025-06-10T00:00:00"/>
    <x v="1"/>
    <s v="000MOBT25161B2CT Electrical security light repair NIP Transfer from ILORIN INNOVATION HUB LTD to ELIJAH OD"/>
    <s v="Repairs and maintenance"/>
    <x v="12"/>
    <n v="13000"/>
  </r>
  <r>
    <d v="2025-06-10T00:00:00"/>
    <x v="1"/>
    <s v="000MOBT25161B2CT Electrical security light repair NIP Transfer from ILORIN INNOVATION HUB LTD to ELIJAH OD"/>
    <s v="Bank charges"/>
    <x v="1"/>
    <n v="25"/>
  </r>
  <r>
    <d v="2025-06-10T00:00:00"/>
    <x v="1"/>
    <s v="000MOBT25161B2CT Electrical security light repair NIP Transfer from ILORIN INNOVATION HUB LTD to ELIJAH OD"/>
    <s v="Bank charges"/>
    <x v="1"/>
    <n v="1.8800000101327896"/>
  </r>
  <r>
    <d v="2025-06-10T00:00:00"/>
    <x v="1"/>
    <s v="000MOBT25161B2EN  Reimbursement  for waste disposal payment NIP Transfer from ILORIN INNOVATION HUB LTD to HE"/>
    <s v="Other Expenses"/>
    <x v="4"/>
    <n v="25000"/>
  </r>
  <r>
    <d v="2025-06-10T00:00:00"/>
    <x v="1"/>
    <s v="000MOBT25161B2EN  Reimbursement  for waste disposal payment NIP Transfer from ILORIN INNOVATION HUB LTD to HE"/>
    <s v="Bank charges"/>
    <x v="1"/>
    <n v="25"/>
  </r>
  <r>
    <d v="2025-06-10T00:00:00"/>
    <x v="1"/>
    <s v="000MOBT25161B2EN  Reimbursement  for waste disposal payment NIP Transfer from ILORIN INNOVATION HUB LTD to HE"/>
    <s v="Bank charges"/>
    <x v="1"/>
    <n v="1.8799999952316284"/>
  </r>
  <r>
    <d v="2025-06-10T00:00:00"/>
    <x v="1"/>
    <s v="000MOBT25161B2FU MTN FIBER Installation 45MBPS Monthly NIP Transfer from ILORIN INNOVATION HUB LTD to MTN"/>
    <s v="Data and telephone expenses"/>
    <x v="10"/>
    <n v="2969175.799999997"/>
  </r>
  <r>
    <d v="2025-06-10T00:00:00"/>
    <x v="1"/>
    <s v="000MOBT25161B2FU MTN FIBER Installation 45MBPS Monthly NIP Transfer from ILORIN INNOVATION HUB LTD to MTN"/>
    <s v="Bank charges"/>
    <x v="1"/>
    <n v="50"/>
  </r>
  <r>
    <d v="2025-06-10T00:00:00"/>
    <x v="1"/>
    <s v="000MOBT25161B2FU MTN FIBER Installation 45MBPS Monthly NIP Transfer from ILORIN INNOVATION HUB LTD to MTN"/>
    <s v="Bank charges"/>
    <x v="1"/>
    <n v="3.75"/>
  </r>
  <r>
    <d v="2025-06-10T00:00:00"/>
    <x v="1"/>
    <s v="000MOBT25161B2JT  LANDPHONE PURCHASE_x000a_HUAWEI      NIP      Transfer      from      ILORIN INNOVATION HUB LTD to FEMTECH PHONES"/>
    <s v="Stationery and Office Supplies"/>
    <x v="2"/>
    <n v="22000"/>
  </r>
  <r>
    <d v="2025-06-10T00:00:00"/>
    <x v="1"/>
    <s v="000MOBT25161B2JT  LANDPHONE PURCHASE_x000a_HUAWEI      NIP      Transfer      from      ILORIN INNOVATION HUB LTD to FEMTECH PHONES"/>
    <s v="Bank charges"/>
    <x v="1"/>
    <n v="25"/>
  </r>
  <r>
    <d v="2025-06-10T00:00:00"/>
    <x v="1"/>
    <s v="000MOBT25161B2JT  LANDPHONE PURCHASE_x000a_HUAWEI      NIP      Transfer      from      ILORIN INNOVATION HUB LTD to FEMTECH PHONES"/>
    <s v="Bank charges"/>
    <x v="1"/>
    <n v="1.8800000101327896"/>
  </r>
  <r>
    <d v="2025-06-10T00:00:00"/>
    <x v="1"/>
    <s v="000MOBT25161B3P2         STAFF         PHONES_x000a_PURCHASE     NIP     Transfer     from     ILORIN INNOVATION HUB LTD to TOO SCARCE"/>
    <s v="Purchase of phones"/>
    <x v="10"/>
    <n v="2230000"/>
  </r>
  <r>
    <d v="2025-06-10T00:00:00"/>
    <x v="1"/>
    <s v="000MOBT25161B3P2         STAFF         PHONES_x000a_PURCHASE     NIP     Transfer     from     ILORIN INNOVATION HUB LTD to TOO SCARCE"/>
    <s v="Bank charges"/>
    <x v="1"/>
    <n v="50"/>
  </r>
  <r>
    <d v="2025-06-10T00:00:00"/>
    <x v="1"/>
    <s v="000MOBT25161B3P2         STAFF         PHONES_x000a_PURCHASE     NIP     Transfer     from     ILORIN INNOVATION HUB LTD to TOO SCARCE"/>
    <s v="Bank charges"/>
    <x v="1"/>
    <n v="3.75"/>
  </r>
  <r>
    <d v="2025-06-10T00:00:00"/>
    <x v="1"/>
    <s v="000MOBT25161B5H1   LED   SCREEN   REPAIR_x000a_NIP  Transfer  from  ILORIN  INNOVATION  HUB LTD to CORPORATE SWAGGZ   CSI ME"/>
    <s v="Repairs and maintenance"/>
    <x v="12"/>
    <n v="1581325"/>
  </r>
  <r>
    <d v="2025-06-10T00:00:00"/>
    <x v="1"/>
    <s v="000MOBT25161B5H1   LED   SCREEN   REPAIR_x000a_NIP  Transfer  from  ILORIN  INNOVATION  HUB LTD to CORPORATE SWAGGZ   CSI ME"/>
    <s v="Bank charges"/>
    <x v="1"/>
    <n v="50"/>
  </r>
  <r>
    <d v="2025-06-10T00:00:00"/>
    <x v="1"/>
    <s v="000MOBT25161B5H1   LED   SCREEN   REPAIR_x000a_NIP  Transfer  from  ILORIN  INNOVATION  HUB LTD to CORPORATE SWAGGZ   CSI ME"/>
    <s v="Bank charges"/>
    <x v="1"/>
    <n v="3.75"/>
  </r>
  <r>
    <d v="2025-06-10T00:00:00"/>
    <x v="1"/>
    <s v="016EMTL2516100GH     ELECTRONIC     MONEY TRANSFER LEVY"/>
    <s v="Bank charges"/>
    <x v="1"/>
    <n v="50"/>
  </r>
  <r>
    <d v="2025-06-11T00:00:00"/>
    <x v="1"/>
    <s v="000MOBT25161BB6Q    SMALL    CHOPS    FOR_x000a_FIRESIDE CHAT WITH IYIN NIP Transfer from ILORIN INNOVATION HUB LTD to JIM"/>
    <s v="Guest and entertainment"/>
    <x v="13"/>
    <n v="120000"/>
  </r>
  <r>
    <d v="2025-06-11T00:00:00"/>
    <x v="1"/>
    <s v="000MOBT25161BB6Q    SMALL    CHOPS    FOR_x000a_FIRESIDE CHAT WITH IYIN NIP Transfer from ILORIN INNOVATION HUB LTD to JIM"/>
    <s v="Bank charges"/>
    <x v="1"/>
    <n v="50"/>
  </r>
  <r>
    <d v="2025-06-11T00:00:00"/>
    <x v="1"/>
    <s v="000MOBT25161BB6Q    SMALL    CHOPS    FOR_x000a_FIRESIDE CHAT WITH IYIN NIP Transfer from ILORIN INNOVATION HUB LTD to JIM"/>
    <s v="Bank charges"/>
    <x v="1"/>
    <n v="3.75"/>
  </r>
  <r>
    <d v="2025-06-11T00:00:00"/>
    <x v="1"/>
    <s v="000MOBT251621922           ZOHO           PEOPLE_x000a_ENTERPRISE  16  USERS  NIP  Transfer  from ILORIN INNOVATION HUB LTD to PAYSTACK"/>
    <s v="Software expense - Zoho"/>
    <x v="9"/>
    <n v="715176"/>
  </r>
  <r>
    <d v="2025-06-11T00:00:00"/>
    <x v="1"/>
    <s v="000MOBT251621922           ZOHO           PEOPLE_x000a_ENTERPRISE  16  USERS  NIP  Transfer  from ILORIN INNOVATION HUB LTD to PAYSTACK"/>
    <s v="Bank charges"/>
    <x v="1"/>
    <n v="50"/>
  </r>
  <r>
    <d v="2025-06-11T00:00:00"/>
    <x v="1"/>
    <s v="000MOBT251621922           ZOHO           PEOPLE_x000a_ENTERPRISE  16  USERS  NIP  Transfer  from ILORIN INNOVATION HUB LTD to PAYSTACK"/>
    <s v="Bank charges"/>
    <x v="1"/>
    <n v="3.75"/>
  </r>
  <r>
    <d v="2025-06-13T00:00:00"/>
    <x v="1"/>
    <s v="000MOBT251646244      SECURITY      SERVICE_x000a_HALF   PAYMENT   JUNE   NIP   Transfer   from ILORIN INNOVATION HUB LTD to ROHI INT"/>
    <s v="security"/>
    <x v="14"/>
    <n v="475000"/>
  </r>
  <r>
    <d v="2025-06-13T00:00:00"/>
    <x v="1"/>
    <s v="000MOBT251646244      SECURITY      SERVICE_x000a_HALF   PAYMENT   JUNE   NIP   Transfer   from ILORIN INNOVATION HUB LTD to ROHI INT"/>
    <s v="Bank charges"/>
    <x v="1"/>
    <n v="50"/>
  </r>
  <r>
    <d v="2025-06-13T00:00:00"/>
    <x v="1"/>
    <s v="000MOBT251646244      SECURITY      SERVICE_x000a_HALF   PAYMENT   JUNE   NIP   Transfer   from ILORIN INNOVATION HUB LTD to ROHI INT"/>
    <s v="Bank charges"/>
    <x v="1"/>
    <n v="3.75"/>
  </r>
  <r>
    <d v="2025-06-16T00:00:00"/>
    <x v="1"/>
    <s v="000MOBT251675348     STAFF     LUNCH     NIP_x000a_Transfer  from  ILORIN  INNOVATION  HUB  LTD to BOA FOODS RESTAURANT LTD"/>
    <s v="Guest and entertainment"/>
    <x v="15"/>
    <n v="153400"/>
  </r>
  <r>
    <d v="2025-06-16T00:00:00"/>
    <x v="1"/>
    <s v="000MOBT251675348     STAFF     LUNCH     NIP_x000a_Transfer  from  ILORIN  INNOVATION  HUB  LTD to BOA FOODS RESTAURANT LTD"/>
    <s v="Bank charges"/>
    <x v="1"/>
    <n v="50"/>
  </r>
  <r>
    <d v="2025-06-16T00:00:00"/>
    <x v="1"/>
    <s v="000MOBT251675348     STAFF     LUNCH     NIP_x000a_Transfer  from  ILORIN  INNOVATION  HUB  LTD to BOA FOODS RESTAURANT LTD"/>
    <s v="Bank charges"/>
    <x v="1"/>
    <n v="3.75"/>
  </r>
  <r>
    <d v="2025-06-16T00:00:00"/>
    <x v="1"/>
    <s v="000MOBT251676319      MAY      SALARY      NIP_x000a_Transfer  from  ILORIN  INNOVATION  HUB  LTD to AYORINDE OLAMIDE OPEMIPO"/>
    <s v="Salaries and Wages"/>
    <x v="7"/>
    <n v="72993.329999998212"/>
  </r>
  <r>
    <d v="2025-06-16T00:00:00"/>
    <x v="1"/>
    <s v="000MOBT251676319      MAY      SALARY      NIP_x000a_Transfer  from  ILORIN  INNOVATION  HUB  LTD to AYORINDE OLAMIDE OPEMIPO"/>
    <s v="Bank charges"/>
    <x v="1"/>
    <n v="50"/>
  </r>
  <r>
    <d v="2025-06-16T00:00:00"/>
    <x v="1"/>
    <s v="000MOBT251676319      MAY      SALARY      NIP_x000a_Transfer  from  ILORIN  INNOVATION  HUB  LTD to AYORINDE OLAMIDE OPEMIPO"/>
    <s v="Bank charges"/>
    <x v="1"/>
    <n v="3.75"/>
  </r>
  <r>
    <d v="2025-06-16T00:00:00"/>
    <x v="1"/>
    <s v="000MOBT25167AD55 FIRMAN GENERATOR PURCHASE 3 ITEL EXTENSIONS NIP Transfer from ILORIN INNOVATION HUB LTD t"/>
    <s v="Generator purchase"/>
    <x v="16"/>
    <n v="902000"/>
  </r>
  <r>
    <d v="2025-06-16T00:00:00"/>
    <x v="1"/>
    <s v="000MOBT25167AD55 FIRMAN GENERATOR PURCHASE 3 ITEL EXTENSIONS NIP Transfer from ILORIN INNOVATION HUB LTD t"/>
    <s v="Bank charges"/>
    <x v="1"/>
    <n v="50"/>
  </r>
  <r>
    <d v="2025-06-16T00:00:00"/>
    <x v="1"/>
    <s v="000MOBT25167AD55 FIRMAN GENERATOR PURCHASE 3 ITEL EXTENSIONS NIP Transfer from ILORIN INNOVATION HUB LTD t"/>
    <s v="Bank charges"/>
    <x v="1"/>
    <n v="3.75"/>
  </r>
  <r>
    <d v="2025-06-16T00:00:00"/>
    <x v="1"/>
    <s v="000MOBT25167AHII  PURCHASE  OF  DRILLING_x000a_MACHINE      NIP      Transfer      from      ILORIN INNOVATION HUB LTD to ONYEAGBA EMEKA"/>
    <s v="Stationery and Office Supplies"/>
    <x v="2"/>
    <n v="40000"/>
  </r>
  <r>
    <d v="2025-06-16T00:00:00"/>
    <x v="1"/>
    <s v="000MOBT25167AHII  PURCHASE  OF  DRILLING_x000a_MACHINE      NIP      Transfer      from      ILORIN INNOVATION HUB LTD to ONYEAGBA EMEKA"/>
    <s v="Bank charges"/>
    <x v="1"/>
    <n v="25"/>
  </r>
  <r>
    <d v="2025-06-16T00:00:00"/>
    <x v="1"/>
    <s v="000MOBT25167AHII  PURCHASE  OF  DRILLING_x000a_MACHINE      NIP      Transfer      from      ILORIN INNOVATION HUB LTD to ONYEAGBA EMEKA"/>
    <s v="Bank charges"/>
    <x v="1"/>
    <n v="1.8799999952316284"/>
  </r>
  <r>
    <d v="2025-06-16T00:00:00"/>
    <x v="1"/>
    <s v="000MOBT25167AHX5          PURCHASE          OF MAINTENANCE   AND   SECURITY   ITEMS   NIP_x000a_Transfer from ILORIN INNOVATION HUB LTD"/>
    <s v="Repairs and maintenance"/>
    <x v="12"/>
    <n v="14700"/>
  </r>
  <r>
    <d v="2025-06-16T00:00:00"/>
    <x v="1"/>
    <s v="000MOBT25167AHX5          PURCHASE          OF MAINTENANCE   AND   SECURITY   ITEMS   NIP_x000a_Transfer from ILORIN INNOVATION HUB LTD"/>
    <s v="Bank charges"/>
    <x v="1"/>
    <n v="25"/>
  </r>
  <r>
    <d v="2025-06-16T00:00:00"/>
    <x v="1"/>
    <s v="000MOBT25167AHX5          PURCHASE          OF MAINTENANCE   AND   SECURITY   ITEMS   NIP_x000a_Transfer from ILORIN INNOVATION HUB LTD"/>
    <s v="Bank charges"/>
    <x v="1"/>
    <n v="1.8799999952316284"/>
  </r>
  <r>
    <d v="2025-06-16T00:00:00"/>
    <x v="1"/>
    <s v="000MOBT25167AHYM   COST   OF   ALUMINIUM_x000a_DOOR  REPAIRS   NIP  Transfer  from  ILORIN INNOVATION HUB LTD to ABDULRAHEEM"/>
    <s v="Repairs and maintenance"/>
    <x v="12"/>
    <n v="20000"/>
  </r>
  <r>
    <d v="2025-06-16T00:00:00"/>
    <x v="1"/>
    <s v="000MOBT25167AHYM   COST   OF   ALUMINIUM_x000a_DOOR  REPAIRS   NIP  Transfer  from  ILORIN INNOVATION HUB LTD to ABDULRAHEEM"/>
    <s v="Bank charges"/>
    <x v="1"/>
    <n v="25"/>
  </r>
  <r>
    <d v="2025-06-16T00:00:00"/>
    <x v="1"/>
    <s v="000MOBT25167AHYM   COST   OF   ALUMINIUM_x000a_DOOR  REPAIRS   NIP  Transfer  from  ILORIN INNOVATION HUB LTD to ABDULRAHEEM"/>
    <s v="Bank charges"/>
    <x v="1"/>
    <n v="1.8800000101327896"/>
  </r>
  <r>
    <d v="2025-06-17T00:00:00"/>
    <x v="1"/>
    <s v="000MOBT251684004 20 STAFF CUG LINES NIP_x000a_Transfer  from  ILORIN  INNOVATION  HUB  LTD to MUHAMMED NASIRU MAHMOOD"/>
    <s v="Data and telephone expenses"/>
    <x v="10"/>
    <n v="100000"/>
  </r>
  <r>
    <d v="2025-06-17T00:00:00"/>
    <x v="1"/>
    <s v="000MOBT251684004 20 STAFF CUG LINES NIP_x000a_Transfer  from  ILORIN  INNOVATION  HUB  LTD to MUHAMMED NASIRU MAHMOOD"/>
    <s v="Bank charges"/>
    <x v="1"/>
    <n v="50"/>
  </r>
  <r>
    <d v="2025-06-17T00:00:00"/>
    <x v="1"/>
    <s v="000MOBT251684004 20 STAFF CUG LINES NIP_x000a_Transfer  from  ILORIN  INNOVATION  HUB  LTD to MUHAMMED NASIRU MAHMOOD"/>
    <s v="Bank charges"/>
    <x v="1"/>
    <n v="3.75"/>
  </r>
  <r>
    <d v="2025-06-17T00:00:00"/>
    <x v="1"/>
    <s v="000MOBT251686079  NIP  Transfer  from ILORIN INNOVATION HUB LTD to PRECIOUS UCHECHUKWU OSELE"/>
    <s v="Unallocated expense"/>
    <x v="4"/>
    <n v="162100"/>
  </r>
  <r>
    <d v="2025-06-17T00:00:00"/>
    <x v="1"/>
    <s v="000MOBT251686079  NIP  Transfer  from ILORIN INNOVATION HUB LTD to PRECIOUS UCHECHUKWU OSELE"/>
    <s v="Bank charges"/>
    <x v="1"/>
    <n v="50"/>
  </r>
  <r>
    <d v="2025-06-17T00:00:00"/>
    <x v="1"/>
    <s v="000MOBT251686079  NIP  Transfer  from ILORIN INNOVATION HUB LTD to PRECIOUS UCHECHUKWU OSELE"/>
    <s v="Bank charges"/>
    <x v="1"/>
    <n v="3.75"/>
  </r>
  <r>
    <d v="2025-06-17T00:00:00"/>
    <x v="1"/>
    <s v="000MOBT251688231 PURCHASE OF 2 WASTE_x000a_BINS  NIP  Transfer  from  ILORIN  INNOVATION HUB LTD to Halimat Damilola A"/>
    <s v="Stationery and Office Supplies"/>
    <x v="2"/>
    <n v="164000"/>
  </r>
  <r>
    <d v="2025-06-17T00:00:00"/>
    <x v="1"/>
    <s v="000MOBT251688231 PURCHASE OF 2 WASTE_x000a_BINS  NIP  Transfer  from  ILORIN  INNOVATION HUB LTD to Halimat Damilola A"/>
    <s v="Bank charges"/>
    <x v="1"/>
    <n v="50"/>
  </r>
  <r>
    <d v="2025-06-17T00:00:00"/>
    <x v="1"/>
    <s v="000MOBT251688231 PURCHASE OF 2 WASTE_x000a_BINS  NIP  Transfer  from  ILORIN  INNOVATION HUB LTD to Halimat Damilola A"/>
    <s v="Bank charges"/>
    <x v="1"/>
    <n v="3.75"/>
  </r>
  <r>
    <d v="2025-06-18T00:00:00"/>
    <x v="1"/>
    <s v="000MOBT251690018 ZOHO CREATOR 1 USER_x000a_ANNUAL      NIP      Transfer      from      ILORIN INNOVATION HUB LTD to PAYSTACK"/>
    <s v="Software expense - Zoho"/>
    <x v="9"/>
    <n v="198660"/>
  </r>
  <r>
    <d v="2025-06-18T00:00:00"/>
    <x v="1"/>
    <s v="000MOBT251690018 ZOHO CREATOR 1 USER_x000a_ANNUAL      NIP      Transfer      from      ILORIN INNOVATION HUB LTD to PAYSTACK"/>
    <s v="Bank charges"/>
    <x v="1"/>
    <n v="50"/>
  </r>
  <r>
    <d v="2025-06-18T00:00:00"/>
    <x v="1"/>
    <s v="000MOBT251690018 ZOHO CREATOR 1 USER_x000a_ANNUAL      NIP      Transfer      from      ILORIN INNOVATION HUB LTD to PAYSTACK"/>
    <s v="Bank charges"/>
    <x v="1"/>
    <n v="3.75"/>
  </r>
  <r>
    <d v="2025-06-18T00:00:00"/>
    <x v="1"/>
    <s v="016NIPT251690179  NIP  TRSF  FROM  KWSG INT REV SERV EXP ACCT GT20250649 BEING PAYMENT TO RENT INNOVATION HUB TO"/>
    <s v="Income"/>
    <x v="0"/>
    <n v="-420000"/>
  </r>
  <r>
    <d v="2025-06-18T00:00:00"/>
    <x v="1"/>
    <s v="016EMTL2516900BW    ELECTRONIC    MONEY TRANSFER LEVY"/>
    <s v="Bank charges"/>
    <x v="1"/>
    <n v="50"/>
  </r>
  <r>
    <d v="2025-06-19T00:00:00"/>
    <x v="1"/>
    <s v="016NIPT251700200 NIP TRSF FROM DADZIE OMOTOLA VANESSA NIP Transfer to ILORIN INNOVATION HUB LTD."/>
    <s v="Income"/>
    <x v="11"/>
    <n v="-18000"/>
  </r>
  <r>
    <d v="2025-06-19T00:00:00"/>
    <x v="1"/>
    <s v="000MOBT251709749  MTN  CUG  16  LINES  NIP_x000a_Transfer  from  ILORIN  INNOVATION  HUB  LTD to POSTPAID CUSTOMERSCOLLECTI"/>
    <s v="Data and telephone expenses"/>
    <x v="10"/>
    <n v="12000"/>
  </r>
  <r>
    <d v="2025-06-19T00:00:00"/>
    <x v="1"/>
    <s v="000MOBT251709749  MTN  CUG  16  LINES  NIP_x000a_Transfer  from  ILORIN  INNOVATION  HUB  LTD to POSTPAID CUSTOMERSCOLLECTI"/>
    <s v="Bank charges"/>
    <x v="1"/>
    <n v="25"/>
  </r>
  <r>
    <d v="2025-06-19T00:00:00"/>
    <x v="1"/>
    <s v="000MOBT251709749  MTN  CUG  16  LINES  NIP_x000a_Transfer  from  ILORIN  INNOVATION  HUB  LTD to POSTPAID CUSTOMERSCOLLECTI"/>
    <s v="Bank charges"/>
    <x v="1"/>
    <n v="1.8799999952316284"/>
  </r>
  <r>
    <d v="2025-06-19T00:00:00"/>
    <x v="1"/>
    <s v="000MOBT25170A05E  PURCHASE  OF  POWER_x000a_BANKS       NIP       Transfer       from       ILORIN INNOVATION HUB LTD to FEMTECH PHONES"/>
    <s v="Stationery and Office Supplies"/>
    <x v="2"/>
    <n v="304000"/>
  </r>
  <r>
    <d v="2025-06-19T00:00:00"/>
    <x v="1"/>
    <s v="000MOBT25170A05E  PURCHASE  OF  POWER_x000a_BANKS       NIP       Transfer       from       ILORIN INNOVATION HUB LTD to FEMTECH PHONES"/>
    <s v="Bank charges"/>
    <x v="1"/>
    <n v="50"/>
  </r>
  <r>
    <d v="2025-06-19T00:00:00"/>
    <x v="1"/>
    <s v="000MOBT25170A05E  PURCHASE  OF  POWER_x000a_BANKS       NIP       Transfer       from       ILORIN INNOVATION HUB LTD to FEMTECH PHONES"/>
    <s v="Bank charges"/>
    <x v="1"/>
    <n v="3.75"/>
  </r>
  <r>
    <d v="2025-06-19T00:00:00"/>
    <x v="1"/>
    <s v="000MOBT25170A07Q    ZOZO    MAIL    1    ONE_x000a_ADDITIONAL USER NIP Transfer from ILORIN INNOVATION HUB LTD to PAYSTACK CH"/>
    <s v="Software expense - Zoho"/>
    <x v="9"/>
    <n v="9470.359999999404"/>
  </r>
  <r>
    <d v="2025-06-19T00:00:00"/>
    <x v="1"/>
    <s v="000MOBT25170A07Q    ZOZO    MAIL    1    ONE_x000a_ADDITIONAL USER NIP Transfer from ILORIN INNOVATION HUB LTD to PAYSTACK CH"/>
    <s v="Bank charges"/>
    <x v="1"/>
    <n v="25"/>
  </r>
  <r>
    <d v="2025-06-19T00:00:00"/>
    <x v="1"/>
    <s v="000MOBT25170A07Q    ZOZO    MAIL    1    ONE_x000a_ADDITIONAL USER NIP Transfer from ILORIN INNOVATION HUB LTD to PAYSTACK CH"/>
    <s v="Bank charges"/>
    <x v="1"/>
    <n v="1.8799999952316284"/>
  </r>
  <r>
    <d v="2025-06-19T00:00:00"/>
    <x v="1"/>
    <s v="000MOBT25170A0C0          PURCHASE          OF SAMSUNG GALAXY A06 FOR COMM MGR NIP_x000a_Transfer from ILORIN INNOVATION HUB LTD"/>
    <s v="Stationery and Office Supplies"/>
    <x v="2"/>
    <n v="150000"/>
  </r>
  <r>
    <d v="2025-06-19T00:00:00"/>
    <x v="1"/>
    <s v="000MOBT25170A0C0          PURCHASE          OF SAMSUNG GALAXY A06 FOR COMM MGR NIP_x000a_Transfer from ILORIN INNOVATION HUB LTD"/>
    <s v="Bank charges"/>
    <x v="1"/>
    <n v="50"/>
  </r>
  <r>
    <d v="2025-06-19T00:00:00"/>
    <x v="1"/>
    <s v="000MOBT25170A0C0          PURCHASE          OF SAMSUNG GALAXY A06 FOR COMM MGR NIP_x000a_Transfer from ILORIN INNOVATION HUB LTD"/>
    <s v="Bank charges"/>
    <x v="1"/>
    <n v="3.75"/>
  </r>
  <r>
    <d v="2025-06-19T00:00:00"/>
    <x v="1"/>
    <s v="000MOBT25170A15P NIP  Transfer  from ILORIN INNOVATION HUB LTD to BENETTON CONSULTING LIMITED"/>
    <s v="Unallocated expense"/>
    <x v="12"/>
    <n v="720000"/>
  </r>
  <r>
    <d v="2025-06-19T00:00:00"/>
    <x v="1"/>
    <s v="000MOBT25170A15P NIP  Transfer  from ILORIN INNOVATION HUB LTD to BENETTON CONSULTING LIMITED"/>
    <s v="Bank charges"/>
    <x v="1"/>
    <n v="50"/>
  </r>
  <r>
    <d v="2025-06-19T00:00:00"/>
    <x v="1"/>
    <s v="000MOBT25170A15P NIP  Transfer  from ILORIN INNOVATION HUB LTD to BENETTON CONSULTING LIMITED"/>
    <s v="Bank charges"/>
    <x v="1"/>
    <n v="3.75"/>
  </r>
  <r>
    <d v="2025-06-19T00:00:00"/>
    <x v="1"/>
    <s v="016EMTL25170006K     ELECTRONIC     MONEY TRANSFER LEVY"/>
    <s v="Bank charges"/>
    <x v="1"/>
    <n v="50"/>
  </r>
  <r>
    <d v="2025-06-20T00:00:00"/>
    <x v="1"/>
    <s v="0166678251710001 REMITTA PAYMENT IFO E-_x000a_payment   till   –Olaoluwa   Ishola   B/O   ILORIN INNOVATION HUB LTD"/>
    <s v="Unallocated expense"/>
    <x v="17"/>
    <n v="320161.25"/>
  </r>
  <r>
    <d v="2025-06-20T00:00:00"/>
    <x v="1"/>
    <s v="016NIPT251710467        NIP       TRSF       FROM_x000a_MICHELLE   CHIDINMA   UBA   Transfer   from MICHELLE CHIDINMA UBA"/>
    <s v="Income"/>
    <x v="11"/>
    <n v="-48000"/>
  </r>
  <r>
    <d v="2025-06-20T00:00:00"/>
    <x v="1"/>
    <s v="000MOBT25171A1LE  PURCHASE  OF SNACKS FOR  ILORIN  DEV  BOX  EVENT  NIP  Transfer_x000a_from ILORIN INNOVATION HUB LTD to"/>
    <s v="Guest and entertainment"/>
    <x v="13"/>
    <n v="48000"/>
  </r>
  <r>
    <d v="2025-06-20T00:00:00"/>
    <x v="1"/>
    <s v="000MOBT25171A1LE PURCHASE OF SNACKS FOR ILORIN DEV BOX EVENT NIP Transfer from ILORIN INNOVATION HUB LTD to"/>
    <s v="Bank charges"/>
    <x v="1"/>
    <n v="25"/>
  </r>
  <r>
    <d v="2025-06-20T00:00:00"/>
    <x v="1"/>
    <s v="000MOBT25171A1LE PURCHASE OF SNACKS FOR ILORIN DEV BOX EVENT NIP Transfer from ILORIN INNOVATION HUB LTD to"/>
    <s v="Bank charges"/>
    <x v="1"/>
    <n v="1.8800000101327896"/>
  </r>
  <r>
    <d v="2025-06-20T00:00:00"/>
    <x v="1"/>
    <s v="016EMTL251710057     ELECTRONIC     MONEY TRANSFER LEVY"/>
    <s v="Bank charges"/>
    <x v="1"/>
    <n v="50"/>
  </r>
  <r>
    <d v="2025-06-23T00:00:00"/>
    <x v="1"/>
    <s v="000MOBT251740051        BREAKFAST        FOR MASTERCLASS       WITH       PRINCE       DAPO_x000a_ADELEGAN NIP Transfer from ILORIN"/>
    <s v="Guest and entertainment"/>
    <x v="13"/>
    <n v="142500"/>
  </r>
  <r>
    <d v="2025-06-23T00:00:00"/>
    <x v="1"/>
    <s v="000MOBT251740051        BREAKFAST        FOR MASTERCLASS       WITH       PRINCE       DAPO_x000a_ADELEGAN NIP Transfer from ILORIN"/>
    <s v="Bank charges"/>
    <x v="1"/>
    <n v="50"/>
  </r>
  <r>
    <d v="2025-06-23T00:00:00"/>
    <x v="1"/>
    <s v="000MOBT251740051        BREAKFAST        FOR MASTERCLASS       WITH       PRINCE       DAPO_x000a_ADELEGAN NIP Transfer from ILORIN"/>
    <s v="Bank charges"/>
    <x v="1"/>
    <n v="3.75"/>
  </r>
  <r>
    <d v="2025-06-23T00:00:00"/>
    <x v="1"/>
    <s v="000MOBT251743898   AIRTEL  WIFI  MONTHLY_x000a_RENEWAL      NIP     Transfer     from     ILORIN INNOVATION HUB LTD to PAYSTACK CHECK"/>
    <s v="Data and telephone expenses"/>
    <x v="10"/>
    <n v="30000"/>
  </r>
  <r>
    <d v="2025-06-23T00:00:00"/>
    <x v="1"/>
    <s v="000MOBT251743898   AIRTEL  WIFI  MONTHLY_x000a_RENEWAL      NIP     Transfer     from     ILORIN INNOVATION HUB LTD to PAYSTACK CHECK"/>
    <s v="Bank charges"/>
    <x v="1"/>
    <n v="25"/>
  </r>
  <r>
    <d v="2025-06-23T00:00:00"/>
    <x v="1"/>
    <s v="000MOBT251743898   AIRTEL  WIFI  MONTHLY_x000a_RENEWAL      NIP     Transfer     from     ILORIN INNOVATION HUB LTD to PAYSTACK CHECK"/>
    <s v="Bank charges"/>
    <x v="1"/>
    <n v="1.8799999952316284"/>
  </r>
  <r>
    <d v="2025-06-23T00:00:00"/>
    <x v="1"/>
    <s v="000MOBT25174AIVI PURCHASE OF UTENCILS MICROWAVE FOR VIP  LOUNGE NIP  Transfer from ILORIN INNOVATION HUB LTD"/>
    <s v="Stationery and Office Supplies"/>
    <x v="2"/>
    <n v="149000"/>
  </r>
  <r>
    <d v="2025-06-23T00:00:00"/>
    <x v="1"/>
    <s v="000MOBT25174AIVI PURCHASE OF UTENCILS MICROWAVE FOR VIP  LOUNGE NIP  Transfer from ILORIN INNOVATION HUB LTD"/>
    <s v="Bank charges"/>
    <x v="1"/>
    <n v="50"/>
  </r>
  <r>
    <d v="2025-06-23T00:00:00"/>
    <x v="1"/>
    <s v="000MOBT25174AIVI PURCHASE OF UTENCILS MICROWAVE FOR VIP  LOUNGE NIP  Transfer from ILORIN INNOVATION HUB LTD"/>
    <s v="Bank charges"/>
    <x v="1"/>
    <n v="3.75"/>
  </r>
  <r>
    <d v="2025-06-23T00:00:00"/>
    <x v="1"/>
    <s v="000MOBT25174AIX6           PURCHASE           OF_x000a_SOUVENIR  MUGS  NIP  Transfer  from  ILORIN INNOVATION HUB LTD to SQUAD KITCHEN"/>
    <s v="Stationery and Office Supplies"/>
    <x v="2"/>
    <n v="50000"/>
  </r>
  <r>
    <d v="2025-06-23T00:00:00"/>
    <x v="1"/>
    <s v="000MOBT25174AIX6           PURCHASE           OF_x000a_SOUVENIR  MUGS  NIP  Transfer  from  ILORIN INNOVATION HUB LTD to SQUAD KITCHEN"/>
    <s v="Bank charges"/>
    <x v="1"/>
    <n v="25"/>
  </r>
  <r>
    <d v="2025-06-23T00:00:00"/>
    <x v="1"/>
    <s v="000MOBT25174AIX6           PURCHASE           OF_x000a_SOUVENIR  MUGS  NIP  Transfer  from  ILORIN INNOVATION HUB LTD to SQUAD KITCHEN"/>
    <s v="Bank charges"/>
    <x v="1"/>
    <n v="1.8799999952316284"/>
  </r>
  <r>
    <d v="2025-06-23T00:00:00"/>
    <x v="1"/>
    <s v="000MOBT25174ALEW    PURCHASE    OF   ONE_x000a_YEAR ZOHO FORMS NIP Transfer from ILORIN INNOVATION HUB LTD to PAYSTACK CH"/>
    <s v="Software expense - Zoho"/>
    <x v="9"/>
    <n v="99330"/>
  </r>
  <r>
    <d v="2025-06-23T00:00:00"/>
    <x v="1"/>
    <s v="000MOBT25174ALEW    PURCHASE    OF   ONE_x000a_YEAR ZOHO FORMS NIP Transfer from ILORIN INNOVATION HUB LTD to PAYSTACK CH"/>
    <s v="Bank charges"/>
    <x v="1"/>
    <n v="50"/>
  </r>
  <r>
    <d v="2025-06-23T00:00:00"/>
    <x v="1"/>
    <s v="000MOBT25174ALEW    PURCHASE    OF   ONE_x000a_YEAR ZOHO FORMS NIP Transfer from ILORIN INNOVATION HUB LTD to PAYSTACK CH"/>
    <s v="Bank charges"/>
    <x v="1"/>
    <n v="3.75"/>
  </r>
  <r>
    <d v="2025-06-23T00:00:00"/>
    <x v="1"/>
    <s v="000MOBT25174ALSD          PURCHASE          OF WASHROOM          HANDTAP          ADDITIONAL_x000a_INSTALLATION MATERIALS NIP Transfer from"/>
    <s v="Stationery and Office Supplies"/>
    <x v="2"/>
    <n v="10400"/>
  </r>
  <r>
    <d v="2025-06-23T00:00:00"/>
    <x v="1"/>
    <s v="000MOBT25174ALSD          PURCHASE          OF WASHROOM          HANDTAP          ADDITIONAL_x000a_INSTALLATION MATERIALS NIP Transfer from"/>
    <s v="Bank charges"/>
    <x v="1"/>
    <n v="25"/>
  </r>
  <r>
    <d v="2025-06-23T00:00:00"/>
    <x v="1"/>
    <s v="000MOBT25174ALSD          PURCHASE          OF WASHROOM          HANDTAP          ADDITIONAL_x000a_INSTALLATION MATERIALS NIP Transfer from"/>
    <s v="Bank charges"/>
    <x v="1"/>
    <n v="1.8800000101327896"/>
  </r>
  <r>
    <d v="2025-06-23T00:00:00"/>
    <x v="1"/>
    <s v="000MOBT25174ALT1         1HP        AC        FOR_x000a_MAINTENANCE   OFFICE   NIP   Transfer   from ILORIN INNOVATION HUB LTD to CYCLE"/>
    <s v="Purchase of AC"/>
    <x v="16"/>
    <n v="465000"/>
  </r>
  <r>
    <d v="2025-06-23T00:00:00"/>
    <x v="1"/>
    <s v="000MOBT25174ALT1         1HP        AC        FOR_x000a_MAINTENANCE   OFFICE   NIP   Transfer   from ILORIN INNOVATION HUB LTD to CYCLE"/>
    <s v="Bank charges"/>
    <x v="1"/>
    <n v="50"/>
  </r>
  <r>
    <d v="2025-06-23T00:00:00"/>
    <x v="1"/>
    <s v="000MOBT25174ALT1         1HP        AC        FOR_x000a_MAINTENANCE   OFFICE   NIP   Transfer   from ILORIN INNOVATION HUB LTD to CYCLE"/>
    <s v="Bank charges"/>
    <x v="1"/>
    <n v="3.75"/>
  </r>
  <r>
    <d v="2025-06-24T00:00:00"/>
    <x v="1"/>
    <s v="000MOBT251750725  NIP  Transfer  from ILORIN INNOVATION HUB LTD to  Infinitus Innovations Limited    FOODSTER"/>
    <s v="Guest and entertainment"/>
    <x v="13"/>
    <n v="8000"/>
  </r>
  <r>
    <d v="2025-06-24T00:00:00"/>
    <x v="1"/>
    <s v="000MOBT251750725  NIP  Transfer  from ILORIN INNOVATION HUB LTD to  Infinitus Innovations Limited    FOODSTER"/>
    <s v="Bank charges"/>
    <x v="1"/>
    <n v="25"/>
  </r>
  <r>
    <d v="2025-06-24T00:00:00"/>
    <x v="1"/>
    <s v="000MOBT251750725  NIP  Transfer  from ILORIN INNOVATION HUB LTD to  Infinitus Innovations Limited    FOODSTER"/>
    <s v="Bank charges"/>
    <x v="1"/>
    <n v="1.8799999952316284"/>
  </r>
  <r>
    <d v="2025-06-24T00:00:00"/>
    <x v="1"/>
    <s v="000MOBT251751920       SECURITY       SALARY_x000a_OFFSET      NIP      Transfer      from      ILORIN INNOVATION HUB LTD to OKPE EDWIN"/>
    <s v="Salaries and Wages"/>
    <x v="7"/>
    <n v="39000"/>
  </r>
  <r>
    <d v="2025-06-24T00:00:00"/>
    <x v="1"/>
    <s v="000MOBT251751920       SECURITY       SALARY_x000a_OFFSET      NIP      Transfer      from      ILORIN INNOVATION HUB LTD to OKPE EDWIN"/>
    <s v="Bank charges"/>
    <x v="1"/>
    <n v="25"/>
  </r>
  <r>
    <d v="2025-06-24T00:00:00"/>
    <x v="1"/>
    <s v="000MOBT251751920       SECURITY       SALARY_x000a_OFFSET      NIP      Transfer      from      ILORIN INNOVATION HUB LTD to OKPE EDWIN"/>
    <s v="Bank charges"/>
    <x v="1"/>
    <n v="1.8799999952316284"/>
  </r>
  <r>
    <d v="2025-06-24T00:00:00"/>
    <x v="1"/>
    <s v="000MOBT251753537 IHS VISITOR LUNCH  NIP_x000a_Transfer  from  ILORIN  INNOVATION  HUB  LTD to BOA FOODS RESTAURANT LTD"/>
    <s v="Guest and entertainment"/>
    <x v="15"/>
    <n v="15200"/>
  </r>
  <r>
    <d v="2025-06-24T00:00:00"/>
    <x v="1"/>
    <s v="000MOBT251753537 IHS VISITOR LUNCH  NIP_x000a_Transfer  from  ILORIN  INNOVATION  HUB  LTD to BOA FOODS RESTAURANT LTD"/>
    <s v="Bank charges"/>
    <x v="1"/>
    <n v="25"/>
  </r>
  <r>
    <d v="2025-06-24T00:00:00"/>
    <x v="1"/>
    <s v="000MOBT251753537 IHS VISITOR LUNCH  NIP_x000a_Transfer  from  ILORIN  INNOVATION  HUB  LTD to BOA FOODS RESTAURANT LTD"/>
    <s v="Bank charges"/>
    <x v="1"/>
    <n v="1.8800000101327896"/>
  </r>
  <r>
    <d v="2025-06-24T00:00:00"/>
    <x v="1"/>
    <s v="000MOBT251758433  REIMB  FOR  PURCHASE OF  WATER  FOR  MASTERCLASS  ADELEGAN_x000a_NIP Transfer from ILORIN INNOVATION H"/>
    <s v="Guest and entertainment"/>
    <x v="13"/>
    <n v="18900"/>
  </r>
  <r>
    <d v="2025-06-24T00:00:00"/>
    <x v="1"/>
    <s v="000MOBT251758433  REIMB  FOR  PURCHASE OF  WATER  FOR  MASTERCLASS  ADELEGAN_x000a_NIP Transfer from ILORIN INNOVATION H"/>
    <s v="Bank charges"/>
    <x v="1"/>
    <n v="25"/>
  </r>
  <r>
    <d v="2025-06-24T00:00:00"/>
    <x v="1"/>
    <s v="000MOBT251758433  REIMB  FOR  PURCHASE OF  WATER  FOR  MASTERCLASS  ADELEGAN_x000a_NIP Transfer from ILORIN INNOVATION H"/>
    <s v="Bank charges"/>
    <x v="1"/>
    <n v="1.8799999952316284"/>
  </r>
  <r>
    <d v="2025-06-24T00:00:00"/>
    <x v="1"/>
    <s v="000MOBT251759864    REIMBURSEMENT    FOR_x000a_RIDE  NIP  Transfer  from  ILORIN  INNOVATION HUB LTD to ONUCHUKWU  SINACHI G"/>
    <s v="Transport and Travel"/>
    <x v="18"/>
    <n v="3600"/>
  </r>
  <r>
    <d v="2025-06-24T00:00:00"/>
    <x v="1"/>
    <s v="000MOBT251759864    REIMBURSEMENT    FOR_x000a_RIDE  NIP  Transfer  from  ILORIN  INNOVATION HUB LTD to ONUCHUKWU  SINACHI G"/>
    <s v="Bank charges"/>
    <x v="1"/>
    <n v="10"/>
  </r>
  <r>
    <d v="2025-06-24T00:00:00"/>
    <x v="1"/>
    <s v="000MOBT251759864    REIMBURSEMENT    FOR_x000a_RIDE  NIP  Transfer  from  ILORIN  INNOVATION HUB LTD to ONUCHUKWU  SINACHI G"/>
    <s v="Bank charges"/>
    <x v="1"/>
    <n v="0.75"/>
  </r>
  <r>
    <d v="2025-06-24T00:00:00"/>
    <x v="1"/>
    <s v="000MOBT251759905           PAYMENT           FOR_x000a_FURNITURE MAINTENANCE NIP Transfer from ILORIN INNOVATION HUB LTD to IBRAHIM A"/>
    <s v="Repairs and maintenance"/>
    <x v="12"/>
    <n v="15000"/>
  </r>
  <r>
    <d v="2025-06-24T00:00:00"/>
    <x v="1"/>
    <s v="000MOBT251759905           PAYMENT           FOR_x000a_FURNITURE MAINTENANCE NIP Transfer from ILORIN INNOVATION HUB LTD to IBRAHIM A"/>
    <s v="Bank charges"/>
    <x v="1"/>
    <n v="25"/>
  </r>
  <r>
    <d v="2025-06-24T00:00:00"/>
    <x v="1"/>
    <s v="000MOBT251759905           PAYMENT           FOR_x000a_FURNITURE MAINTENANCE NIP Transfer from ILORIN INNOVATION HUB LTD to IBRAHIM A"/>
    <s v="Bank charges"/>
    <x v="1"/>
    <n v="1.8799999952316284"/>
  </r>
  <r>
    <d v="2025-06-24T00:00:00"/>
    <x v="1"/>
    <s v="000MOBT25175A0AB   REIMBURSEMENT   FOR_x000a_TOILETRIES   PURCHASE   NIP   Transfer   from ILORIN INNOVATION HUB LTD to ONUCH"/>
    <s v="Stationery and Office Supplies"/>
    <x v="2"/>
    <n v="13600"/>
  </r>
  <r>
    <d v="2025-06-24T00:00:00"/>
    <x v="1"/>
    <s v="000MOBT25175A0AB   REIMBURSEMENT   FOR_x000a_TOILETRIES   PURCHASE   NIP   Transfer   from ILORIN INNOVATION HUB LTD to ONUCH"/>
    <s v="Bank charges"/>
    <x v="1"/>
    <n v="25"/>
  </r>
  <r>
    <d v="2025-06-24T00:00:00"/>
    <x v="1"/>
    <s v="000MOBT25175A0AB   REIMBURSEMENT   FOR_x000a_TOILETRIES   PURCHASE   NIP   Transfer   from ILORIN INNOVATION HUB LTD to ONUCH"/>
    <s v="Bank charges"/>
    <x v="1"/>
    <n v="1.8799999952316284"/>
  </r>
  <r>
    <d v="2025-06-24T00:00:00"/>
    <x v="1"/>
    <s v="000MOBT25175A0FU          PAYMENT          FOR_x000a_PLUMBING  MAINTENANCE  NIP  Transfer from ILORIN INNOVATION HUB LTD to"/>
    <s v="Repairs and maintenance"/>
    <x v="12"/>
    <n v="40000"/>
  </r>
  <r>
    <d v="2025-06-24T00:00:00"/>
    <x v="1"/>
    <s v="000MOBT25175A0FU          PAYMENT          FOR_x000a_PLUMBING  MAINTENANCE  NIP  Transfer from ILORIN INNOVATION HUB LTD to"/>
    <s v="Bank charges"/>
    <x v="1"/>
    <n v="25"/>
  </r>
  <r>
    <d v="2025-06-24T00:00:00"/>
    <x v="1"/>
    <s v="000MOBT25175A0FU          PAYMENT          FOR_x000a_PLUMBING  MAINTENANCE  NIP  Transfer from ILORIN INNOVATION HUB LTD to"/>
    <s v="Bank charges"/>
    <x v="1"/>
    <n v="1.8800000101327896"/>
  </r>
  <r>
    <d v="2025-06-24T00:00:00"/>
    <x v="1"/>
    <s v="000MOBT25175A0HI IHS ADDITIONAL VISITOR_x000a_LUNCH       NIP       Transfer       from       ILORIN INNOVATION HUB LTD to HENRY MGBECHI"/>
    <s v="Guest and entertainment"/>
    <x v="15"/>
    <n v="5800"/>
  </r>
  <r>
    <d v="2025-06-24T00:00:00"/>
    <x v="1"/>
    <s v="000MOBT25175A0HI IHS ADDITIONAL VISITOR_x000a_LUNCH       NIP       Transfer       from       ILORIN INNOVATION HUB LTD to HENRY MGBECHI"/>
    <s v="Bank charges"/>
    <x v="1"/>
    <n v="25"/>
  </r>
  <r>
    <d v="2025-06-24T00:00:00"/>
    <x v="1"/>
    <s v="000MOBT25175A0HI IHS ADDITIONAL VISITOR_x000a_LUNCH       NIP       Transfer       from       ILORIN INNOVATION HUB LTD to HENRY MGBECHI"/>
    <s v="Bank charges"/>
    <x v="1"/>
    <n v="1.8799999952316284"/>
  </r>
  <r>
    <d v="2025-06-25T00:00:00"/>
    <x v="1"/>
    <s v="000MOBT251766406   INITIAL   DEPOSIT   FOR PURCHASE   OF   SOUVENIRS   FOR   CCHUB_x000a_ROADSHOW  NIP Transfer from ILORIN INN"/>
    <s v="Souvenirs"/>
    <x v="19"/>
    <n v="1770000"/>
  </r>
  <r>
    <d v="2025-06-25T00:00:00"/>
    <x v="1"/>
    <s v="000MOBT251766406   INITIAL   DEPOSIT   FOR PURCHASE   OF   SOUVENIRS   FOR   CCHUB_x000a_ROADSHOW  NIP Transfer from ILORIN INN"/>
    <s v="Bank charges"/>
    <x v="1"/>
    <n v="50"/>
  </r>
  <r>
    <d v="2025-06-25T00:00:00"/>
    <x v="1"/>
    <s v="000MOBT251766406   INITIAL   DEPOSIT   FOR PURCHASE   OF   SOUVENIRS   FOR   CCHUB_x000a_ROADSHOW  NIP Transfer from ILORIN INN"/>
    <s v="Bank charges"/>
    <x v="1"/>
    <n v="3.75"/>
  </r>
  <r>
    <d v="2025-06-25T00:00:00"/>
    <x v="1"/>
    <s v="000MOBT251769386     PURCHASE     OF     VIP LOUNGE      HOSPITALITY      SUPPLIES      NIP_x000a_Transfer from ILORIN INNOVATION HUB LTD"/>
    <s v="Stationery and Office Supplies"/>
    <x v="2"/>
    <n v="169000"/>
  </r>
  <r>
    <d v="2025-06-25T00:00:00"/>
    <x v="1"/>
    <s v="000MOBT251769386     PURCHASE     OF     VIP LOUNGE      HOSPITALITY      SUPPLIES      NIP_x000a_Transfer from ILORIN INNOVATION HUB LTD"/>
    <s v="Bank charges"/>
    <x v="1"/>
    <n v="50"/>
  </r>
  <r>
    <d v="2025-06-25T00:00:00"/>
    <x v="1"/>
    <s v="000MOBT251769386     PURCHASE     OF     VIP LOUNGE      HOSPITALITY      SUPPLIES      NIP_x000a_Transfer from ILORIN INNOVATION HUB LTD"/>
    <s v="Bank charges"/>
    <x v="1"/>
    <n v="3.75"/>
  </r>
  <r>
    <d v="2025-06-25T00:00:00"/>
    <x v="1"/>
    <s v="000MOBT251769514 IIH SALARY JUN 2025 NIP_x000a_Transfer  from  ILORIN  INNOVATION  HUB  LTD to TEMILOLUWA OLUWALEKE KO"/>
    <s v="Salaries and Wages"/>
    <x v="7"/>
    <n v="3570659.4399999976"/>
  </r>
  <r>
    <d v="2025-06-25T00:00:00"/>
    <x v="1"/>
    <s v="000MOBT251769514 IIH SALARY JUN 2025 NIP_x000a_Transfer  from  ILORIN  INNOVATION  HUB  LTD to TEMILOLUWA OLUWALEKE KO"/>
    <s v="Bank charges"/>
    <x v="1"/>
    <n v="50"/>
  </r>
  <r>
    <d v="2025-06-25T00:00:00"/>
    <x v="1"/>
    <s v="000MOBT251769514 IIH SALARY JUN 2025 NIP_x000a_Transfer  from  ILORIN  INNOVATION  HUB  LTD to TEMILOLUWA OLUWALEKE KO"/>
    <s v="Bank charges"/>
    <x v="1"/>
    <n v="3.75"/>
  </r>
  <r>
    <d v="2025-06-25T00:00:00"/>
    <x v="1"/>
    <s v="000MOBT251769516 IIH SALARY JUN 2025 NIP_x000a_Transfer  from  ILORIN  INNOVATION  HUB  LTD to KHADIJAT ZUMAH SULYMAN"/>
    <s v="Salaries and Wages"/>
    <x v="7"/>
    <n v="2070487.4800000042"/>
  </r>
  <r>
    <d v="2025-06-25T00:00:00"/>
    <x v="1"/>
    <s v="000MOBT251769516 IIH SALARY JUN 2025 NIP_x000a_Transfer  from  ILORIN  INNOVATION  HUB  LTD to KHADIJAT ZUMAH SULYMAN"/>
    <s v="Bank charges"/>
    <x v="1"/>
    <n v="50"/>
  </r>
  <r>
    <d v="2025-06-25T00:00:00"/>
    <x v="1"/>
    <s v="000MOBT251769516 IIH SALARY JUN 2025 NIP_x000a_Transfer  from  ILORIN  INNOVATION  HUB  LTD to KHADIJAT ZUMAH SULYMAN"/>
    <s v="Bank charges"/>
    <x v="1"/>
    <n v="3.75"/>
  </r>
  <r>
    <d v="2025-06-25T00:00:00"/>
    <x v="1"/>
    <s v="000MOBT251769518 IIH SALARY JUN 2025 NIP_x000a_Transfer  from  ILORIN  INNOVATION  HUB  LTD to MUHAMMED NASIRU MAHMOOD"/>
    <s v="Salaries and Wages"/>
    <x v="7"/>
    <n v="476225"/>
  </r>
  <r>
    <d v="2025-06-25T00:00:00"/>
    <x v="1"/>
    <s v="000MOBT251769518 IIH SALARY JUN 2025 NIP_x000a_Transfer  from  ILORIN  INNOVATION  HUB  LTD to MUHAMMED NASIRU MAHMOOD"/>
    <s v="Bank charges"/>
    <x v="1"/>
    <n v="50"/>
  </r>
  <r>
    <d v="2025-06-25T00:00:00"/>
    <x v="1"/>
    <s v="000MOBT251769518 IIH SALARY JUN 2025 NIP_x000a_Transfer  from  ILORIN  INNOVATION  HUB  LTD to MUHAMMED NASIRU MAHMOOD"/>
    <s v="Bank charges"/>
    <x v="1"/>
    <n v="3.75"/>
  </r>
  <r>
    <d v="2025-06-25T00:00:00"/>
    <x v="1"/>
    <s v="000MOBT251769520 IIH SALARY JUN 2025 NIP_x000a_Transfer  from  ILORIN  INNOVATION  HUB  LTD to OKEY MAUREEN DANIEL"/>
    <s v="Salaries and Wages"/>
    <x v="7"/>
    <n v="284491.56999999285"/>
  </r>
  <r>
    <d v="2025-06-25T00:00:00"/>
    <x v="1"/>
    <s v="000MOBT251769520 IIH SALARY JUN 2025 NIP_x000a_Transfer  from  ILORIN  INNOVATION  HUB  LTD to OKEY MAUREEN DANIEL"/>
    <s v="Bank charges"/>
    <x v="1"/>
    <n v="50"/>
  </r>
  <r>
    <d v="2025-06-25T00:00:00"/>
    <x v="1"/>
    <s v="000MOBT251769520 IIH SALARY JUN 2025 NIP_x000a_Transfer  from  ILORIN  INNOVATION  HUB  LTD to OKEY MAUREEN DANIEL"/>
    <s v="Bank charges"/>
    <x v="1"/>
    <n v="3.75"/>
  </r>
  <r>
    <d v="2025-06-25T00:00:00"/>
    <x v="1"/>
    <s v="000MOBT251769522 IIH SALARY JUN 2025 NIP_x000a_Transfer  from  ILORIN  INNOVATION  HUB  LTD to ONUCHUKWU  SINACHI GOOD"/>
    <s v="Salaries and Wages"/>
    <x v="7"/>
    <n v="284491.57000000775"/>
  </r>
  <r>
    <d v="2025-06-25T00:00:00"/>
    <x v="1"/>
    <s v="000MOBT251769522 IIH SALARY JUN 2025 NIP_x000a_Transfer  from  ILORIN  INNOVATION  HUB  LTD to ONUCHUKWU  SINACHI GOOD"/>
    <s v="Bank charges"/>
    <x v="1"/>
    <n v="50"/>
  </r>
  <r>
    <d v="2025-06-25T00:00:00"/>
    <x v="1"/>
    <s v="000MOBT251769522 IIH SALARY JUN 2025 NIP_x000a_Transfer  from  ILORIN  INNOVATION  HUB  LTD to ONUCHUKWU  SINACHI GOOD"/>
    <s v="Bank charges"/>
    <x v="1"/>
    <n v="3.75"/>
  </r>
  <r>
    <d v="2025-06-25T00:00:00"/>
    <x v="1"/>
    <s v="000MOBT251769525 IIH SALARY JUN 2025 NIP_x000a_Transfer  from  ILORIN  INNOVATION  HUB  LTD to AKANDE OLUWASAYO TEMILO"/>
    <s v="Salaries and Wages"/>
    <x v="7"/>
    <n v="284491.56999999285"/>
  </r>
  <r>
    <d v="2025-06-25T00:00:00"/>
    <x v="1"/>
    <s v="000MOBT251769525 IIH SALARY JUN 2025 NIP_x000a_Transfer  from  ILORIN  INNOVATION  HUB  LTD to AKANDE OLUWASAYO TEMILO"/>
    <s v="Bank charges"/>
    <x v="1"/>
    <n v="50"/>
  </r>
  <r>
    <d v="2025-06-25T00:00:00"/>
    <x v="1"/>
    <s v="000MOBT251769525 IIH SALARY JUN 2025 NIP_x000a_Transfer  from  ILORIN  INNOVATION  HUB  LTD to AKANDE OLUWASAYO TEMILO"/>
    <s v="Bank charges"/>
    <x v="1"/>
    <n v="3.75"/>
  </r>
  <r>
    <d v="2025-06-25T00:00:00"/>
    <x v="1"/>
    <s v="000MOBT251769526 IIH SALARY JUN 2025 NIP_x000a_Transfer  from  ILORIN  INNOVATION  HUB  LTD to HENRY MGBECHI CHUKWUEBU"/>
    <s v="Salaries and Wages"/>
    <x v="7"/>
    <n v="284491.57000000775"/>
  </r>
  <r>
    <d v="2025-06-25T00:00:00"/>
    <x v="1"/>
    <s v="000MOBT251769526 IIH SALARY JUN 2025 NIP_x000a_Transfer  from  ILORIN  INNOVATION  HUB  LTD to HENRY MGBECHI CHUKWUEBU"/>
    <s v="Bank charges"/>
    <x v="1"/>
    <n v="50"/>
  </r>
  <r>
    <d v="2025-06-25T00:00:00"/>
    <x v="1"/>
    <s v="000MOBT251769526 IIH SALARY JUN 2025 NIP_x000a_Transfer  from  ILORIN  INNOVATION  HUB  LTD to HENRY MGBECHI CHUKWUEBU"/>
    <s v="Bank charges"/>
    <x v="1"/>
    <n v="3.75"/>
  </r>
  <r>
    <d v="2025-06-25T00:00:00"/>
    <x v="1"/>
    <s v="000MOBT251769531 IIH SALARY JUN 2025 NIP_x000a_Transfer  from  ILORIN  INNOVATION  HUB  LTD to OLUWADAMILARE EMMANUEL"/>
    <s v="Salaries and Wages"/>
    <x v="7"/>
    <n v="284491.56999999285"/>
  </r>
  <r>
    <d v="2025-06-25T00:00:00"/>
    <x v="1"/>
    <s v="000MOBT251769531 IIH SALARY JUN 2025 NIP_x000a_Transfer  from  ILORIN  INNOVATION  HUB  LTD to OLUWADAMILARE EMMANUEL"/>
    <s v="Bank charges"/>
    <x v="1"/>
    <n v="50"/>
  </r>
  <r>
    <d v="2025-06-25T00:00:00"/>
    <x v="1"/>
    <s v="000MOBT251769531 IIH SALARY JUN 2025 NIP_x000a_Transfer  from  ILORIN  INNOVATION  HUB  LTD to OLUWADAMILARE EMMANUEL"/>
    <s v="Bank charges"/>
    <x v="1"/>
    <n v="3.75"/>
  </r>
  <r>
    <d v="2025-06-25T00:00:00"/>
    <x v="1"/>
    <s v="000MOBT251769535 IIH SALARY JUN 2025 NIP_x000a_Transfer  from  ILORIN  INNOVATION  HUB  LTD to AHMAD FARIDAT OLUWATOSI"/>
    <s v="Salaries and Wages"/>
    <x v="7"/>
    <n v="284491.57000000775"/>
  </r>
  <r>
    <d v="2025-06-25T00:00:00"/>
    <x v="1"/>
    <s v="000MOBT251769535 IIH SALARY JUN 2025 NIP_x000a_Transfer  from  ILORIN  INNOVATION  HUB  LTD to AHMAD FARIDAT OLUWATOSI"/>
    <s v="Bank charges"/>
    <x v="1"/>
    <n v="50"/>
  </r>
  <r>
    <d v="2025-06-25T00:00:00"/>
    <x v="1"/>
    <s v="000MOBT251769535 IIH SALARY JUN 2025 NIP_x000a_Transfer  from  ILORIN  INNOVATION  HUB  LTD to AHMAD FARIDAT OLUWATOSI"/>
    <s v="Bank charges"/>
    <x v="1"/>
    <n v="3.75"/>
  </r>
  <r>
    <d v="2025-06-25T00:00:00"/>
    <x v="1"/>
    <s v="000MOBT251769537 IIH SALARY JUN 2025 NIP_x000a_Transfer  from  ILORIN  INNOVATION  HUB  LTD to YUSUF DOLAPO ABDULRAMAN"/>
    <s v="Salaries and Wages"/>
    <x v="7"/>
    <n v="284491.56999999285"/>
  </r>
  <r>
    <d v="2025-06-25T00:00:00"/>
    <x v="1"/>
    <s v="000MOBT251769537 IIH SALARY JUN 2025 NIP_x000a_Transfer  from  ILORIN  INNOVATION  HUB  LTD to YUSUF DOLAPO ABDULRAMAN"/>
    <s v="Bank charges"/>
    <x v="1"/>
    <n v="50"/>
  </r>
  <r>
    <d v="2025-06-25T00:00:00"/>
    <x v="1"/>
    <s v="000MOBT251769537 IIH SALARY JUN 2025 NIP_x000a_Transfer  from  ILORIN  INNOVATION  HUB  LTD to YUSUF DOLAPO ABDULRAMAN"/>
    <s v="Bank charges"/>
    <x v="1"/>
    <n v="3.75"/>
  </r>
  <r>
    <d v="2025-06-25T00:00:00"/>
    <x v="1"/>
    <s v="000MOBT251769543 IIH SALARY JUN 2025 NIP_x000a_Transfer  from  ILORIN  INNOVATION  HUB  LTD to JAMIU ADEBOLA OLADIPO"/>
    <s v="Salaries and Wages"/>
    <x v="7"/>
    <n v="152226.67000000179"/>
  </r>
  <r>
    <d v="2025-06-25T00:00:00"/>
    <x v="1"/>
    <s v="000MOBT251769543 IIH SALARY JUN 2025 NIP_x000a_Transfer  from  ILORIN  INNOVATION  HUB  LTD to JAMIU ADEBOLA OLADIPO"/>
    <s v="Bank charges"/>
    <x v="1"/>
    <n v="50"/>
  </r>
  <r>
    <d v="2025-06-25T00:00:00"/>
    <x v="1"/>
    <s v="000MOBT251769543 IIH SALARY JUN 2025 NIP_x000a_Transfer  from  ILORIN  INNOVATION  HUB  LTD to JAMIU ADEBOLA OLADIPO"/>
    <s v="Bank charges"/>
    <x v="1"/>
    <n v="3.75"/>
  </r>
  <r>
    <d v="2025-06-25T00:00:00"/>
    <x v="1"/>
    <s v="000MOBT251769544 IIH SALARY JUN 2025 NIP_x000a_Transfer  from  ILORIN  INNOVATION  HUB  LTD to AMIDAT OLUWATOSIN OLALE"/>
    <s v="Salaries and Wages"/>
    <x v="7"/>
    <n v="284491.57000000775"/>
  </r>
  <r>
    <d v="2025-06-25T00:00:00"/>
    <x v="1"/>
    <s v="000MOBT251769544 IIH SALARY JUN 2025 NIP_x000a_Transfer  from  ILORIN  INNOVATION  HUB  LTD to AMIDAT OLUWATOSIN OLALE"/>
    <s v="Bank charges"/>
    <x v="1"/>
    <n v="50"/>
  </r>
  <r>
    <d v="2025-06-25T00:00:00"/>
    <x v="1"/>
    <s v="000MOBT251769544 IIH SALARY JUN 2025 NIP_x000a_Transfer  from  ILORIN  INNOVATION  HUB  LTD to AMIDAT OLUWATOSIN OLALE"/>
    <s v="Bank charges"/>
    <x v="1"/>
    <n v="3.75"/>
  </r>
  <r>
    <d v="2025-06-25T00:00:00"/>
    <x v="1"/>
    <s v="000MOBT251769545 IIH SALARY JUN 2025 NIP_x000a_Transfer  from  ILORIN  INNOVATION  HUB  LTD to MUINAT OYINKANSOLA BELL"/>
    <s v="Salaries and Wages"/>
    <x v="7"/>
    <n v="152194.92999999225"/>
  </r>
  <r>
    <d v="2025-06-25T00:00:00"/>
    <x v="1"/>
    <s v="000MOBT251769545 IIH SALARY JUN 2025 NIP_x000a_Transfer  from  ILORIN  INNOVATION  HUB  LTD to MUINAT OYINKANSOLA BELL"/>
    <s v="Bank charges"/>
    <x v="1"/>
    <n v="50"/>
  </r>
  <r>
    <d v="2025-06-25T00:00:00"/>
    <x v="1"/>
    <s v="000MOBT251769545 IIH SALARY JUN 2025 NIP_x000a_Transfer  from  ILORIN  INNOVATION  HUB  LTD to MUINAT OYINKANSOLA BELL"/>
    <s v="Bank charges"/>
    <x v="1"/>
    <n v="3.75"/>
  </r>
  <r>
    <d v="2025-06-25T00:00:00"/>
    <x v="1"/>
    <s v="000MOBT251769547 IIH SALARY JUN 2025 NIP_x000a_Transfer  from  ILORIN  INNOVATION  HUB  LTD to KAMIL LANRE AHMED"/>
    <s v="Salaries and Wages"/>
    <x v="7"/>
    <n v="284491.57000000775"/>
  </r>
  <r>
    <d v="2025-06-25T00:00:00"/>
    <x v="1"/>
    <s v="000MOBT251769547 IIH SALARY JUN 2025 NIP_x000a_Transfer  from  ILORIN  INNOVATION  HUB  LTD to KAMIL LANRE AHMED"/>
    <s v="Bank charges"/>
    <x v="1"/>
    <n v="50"/>
  </r>
  <r>
    <d v="2025-06-25T00:00:00"/>
    <x v="1"/>
    <s v="000MOBT251769547 IIH SALARY JUN 2025 NIP_x000a_Transfer  from  ILORIN  INNOVATION  HUB  LTD to KAMIL LANRE AHMED"/>
    <s v="Bank charges"/>
    <x v="1"/>
    <n v="3.75"/>
  </r>
  <r>
    <d v="2025-06-25T00:00:00"/>
    <x v="1"/>
    <s v="000MOBT251769553 IIH SALARY JUN 2025 NIP_x000a_Transfer  from  ILORIN  INNOVATION  HUB  LTD to SULYMAN YUSUF ALAO"/>
    <s v="Salaries and Wages"/>
    <x v="7"/>
    <n v="152194.92999999225"/>
  </r>
  <r>
    <d v="2025-06-25T00:00:00"/>
    <x v="1"/>
    <s v="000MOBT251769553 IIH SALARY JUN 2025 NIP_x000a_Transfer  from  ILORIN  INNOVATION  HUB  LTD to SULYMAN YUSUF ALAO"/>
    <s v="Bank charges"/>
    <x v="1"/>
    <n v="50"/>
  </r>
  <r>
    <d v="2025-06-25T00:00:00"/>
    <x v="1"/>
    <s v="000MOBT251769553 IIH SALARY JUN 2025 NIP_x000a_Transfer  from  ILORIN  INNOVATION  HUB  LTD to SULYMAN YUSUF ALAO"/>
    <s v="Bank charges"/>
    <x v="1"/>
    <n v="3.75"/>
  </r>
  <r>
    <d v="2025-06-25T00:00:00"/>
    <x v="1"/>
    <s v="000MOBT251769555 IIH SALARY JUN 2025 NIP_x000a_Transfer  from  ILORIN  INNOVATION  HUB  LTD to OLALEYE KAYODE"/>
    <s v="Salaries and Wages"/>
    <x v="7"/>
    <n v="152194.93000000715"/>
  </r>
  <r>
    <d v="2025-06-25T00:00:00"/>
    <x v="1"/>
    <s v="000MOBT251769555 IIH SALARY JUN 2025 NIP_x000a_Transfer  from  ILORIN  INNOVATION  HUB  LTD to OLALEYE KAYODE"/>
    <s v="Bank charges"/>
    <x v="1"/>
    <n v="50"/>
  </r>
  <r>
    <d v="2025-06-25T00:00:00"/>
    <x v="1"/>
    <s v="000MOBT251769555 IIH SALARY JUN 2025 NIP_x000a_Transfer  from  ILORIN  INNOVATION  HUB  LTD to OLALEYE KAYODE"/>
    <s v="Bank charges"/>
    <x v="1"/>
    <n v="3.75"/>
  </r>
  <r>
    <d v="2025-06-25T00:00:00"/>
    <x v="1"/>
    <s v="000MOBT251769557 IIH SALARY JUN 2025 NIP_x000a_Transfer  from  ILORIN  INNOVATION  HUB  LTD to AYORINDE OLAMIDE OPEMIP"/>
    <s v="Salaries and Wages"/>
    <x v="7"/>
    <n v="75000"/>
  </r>
  <r>
    <d v="2025-06-25T00:00:00"/>
    <x v="1"/>
    <s v="000MOBT251769557 IIH SALARY JUN 2025 NIP_x000a_Transfer  from  ILORIN  INNOVATION  HUB  LTD to AYORINDE OLAMIDE OPEMIP"/>
    <s v="Bank charges"/>
    <x v="1"/>
    <n v="50"/>
  </r>
  <r>
    <d v="2025-06-25T00:00:00"/>
    <x v="1"/>
    <s v="000MOBT251769557 IIH SALARY JUN 2025 NIP_x000a_Transfer  from  ILORIN  INNOVATION  HUB  LTD to AYORINDE OLAMIDE OPEMIP"/>
    <s v="Bank charges"/>
    <x v="1"/>
    <n v="3.75"/>
  </r>
  <r>
    <d v="2025-06-25T00:00:00"/>
    <x v="1"/>
    <s v="000MOBT251769563 IIH SALARY JUN 2025 NIP_x000a_Transfer  from  ILORIN  INNOVATION  HUB  LTD to OKOLIE  OGOCHUKWUKA BEN"/>
    <s v="Salaries and Wages"/>
    <x v="7"/>
    <n v="75000"/>
  </r>
  <r>
    <d v="2025-06-25T00:00:00"/>
    <x v="1"/>
    <s v="000MOBT251769563 IIH SALARY JUN 2025 NIP_x000a_Transfer  from  ILORIN  INNOVATION  HUB  LTD to OKOLIE  OGOCHUKWUKA BEN"/>
    <s v="Bank charges"/>
    <x v="1"/>
    <n v="50"/>
  </r>
  <r>
    <d v="2025-06-25T00:00:00"/>
    <x v="1"/>
    <s v="000MOBT251769563 IIH SALARY JUN 2025 NIP_x000a_Transfer  from  ILORIN  INNOVATION  HUB  LTD to OKOLIE  OGOCHUKWUKA BEN"/>
    <s v="Bank charges"/>
    <x v="1"/>
    <n v="3.75"/>
  </r>
  <r>
    <d v="2025-06-25T00:00:00"/>
    <x v="1"/>
    <s v="000MOBT251769568 IIH SALARY JUN 2025 NIP_x000a_Transfer  from  ILORIN  INNOVATION  HUB  LTD to OWARE JOAN"/>
    <s v="Salaries and Wages"/>
    <x v="7"/>
    <n v="75000"/>
  </r>
  <r>
    <d v="2025-06-25T00:00:00"/>
    <x v="1"/>
    <s v="000MOBT251769568 IIH SALARY JUN 2025 NIP_x000a_Transfer  from  ILORIN  INNOVATION  HUB  LTD to OWARE JOAN"/>
    <s v="Bank charges"/>
    <x v="1"/>
    <n v="50"/>
  </r>
  <r>
    <d v="2025-06-25T00:00:00"/>
    <x v="1"/>
    <s v="000MOBT251769568 IIH SALARY JUN 2025 NIP_x000a_Transfer  from  ILORIN  INNOVATION  HUB  LTD to OWARE JOAN"/>
    <s v="Bank charges"/>
    <x v="1"/>
    <n v="3.75"/>
  </r>
  <r>
    <d v="2025-06-25T00:00:00"/>
    <x v="1"/>
    <s v="000MOBT251769576 IIH SALARY JUN 2025 NIP_x000a_Transfer  from  ILORIN  INNOVATION  HUB  LTD to ABDULHAMEED BOLAJI MUST"/>
    <s v="Salaries and Wages"/>
    <x v="7"/>
    <n v="66000"/>
  </r>
  <r>
    <d v="2025-06-25T00:00:00"/>
    <x v="1"/>
    <s v="000MOBT251769576 IIH SALARY JUN 2025 NIP_x000a_Transfer  from  ILORIN  INNOVATION  HUB  LTD to ABDULHAMEED BOLAJI MUST"/>
    <s v="Bank charges"/>
    <x v="1"/>
    <n v="50"/>
  </r>
  <r>
    <d v="2025-06-25T00:00:00"/>
    <x v="1"/>
    <s v="000MOBT251769576 IIH SALARY JUN 2025 NIP_x000a_Transfer  from  ILORIN  INNOVATION  HUB  LTD to ABDULHAMEED BOLAJI MUST"/>
    <s v="Bank charges"/>
    <x v="1"/>
    <n v="3.75"/>
  </r>
  <r>
    <d v="2025-06-25T00:00:00"/>
    <x v="1"/>
    <s v="000MOBT251769581 IIH SALARY JUN 2025 NIP_x000a_Transfer  from  ILORIN  INNOVATION  HUB  LTD to ABDULRASAQ   ABDULRASAQ"/>
    <s v="Salaries and Wages"/>
    <x v="7"/>
    <n v="66000"/>
  </r>
  <r>
    <d v="2025-06-25T00:00:00"/>
    <x v="1"/>
    <s v="000MOBT251769581 IIH SALARY JUN 2025 NIP_x000a_Transfer  from  ILORIN  INNOVATION  HUB  LTD to ABDULRASAQ   ABDULRASAQ"/>
    <s v="Bank charges"/>
    <x v="1"/>
    <n v="50"/>
  </r>
  <r>
    <d v="2025-06-25T00:00:00"/>
    <x v="1"/>
    <s v="000MOBT251769581 IIH SALARY JUN 2025 NIP_x000a_Transfer  from  ILORIN  INNOVATION  HUB  LTD to ABDULRASAQ   ABDULRASAQ"/>
    <s v="Bank charges"/>
    <x v="1"/>
    <n v="3.75"/>
  </r>
  <r>
    <d v="2025-06-25T00:00:00"/>
    <x v="1"/>
    <s v="000MOBT251769584 IIH SALARY JUN 2025 NIP_x000a_Transfer  from  ILORIN  INNOVATION  HUB  LTD to SAMUEL STEVEN ARISE"/>
    <s v="Salaries and Wages"/>
    <x v="7"/>
    <n v="66000"/>
  </r>
  <r>
    <d v="2025-06-25T00:00:00"/>
    <x v="1"/>
    <s v="000MOBT251769584 IIH SALARY JUN 2025 NIP_x000a_Transfer  from  ILORIN  INNOVATION  HUB  LTD to SAMUEL STEVEN ARISE"/>
    <s v="Bank charges"/>
    <x v="1"/>
    <n v="50"/>
  </r>
  <r>
    <d v="2025-06-25T00:00:00"/>
    <x v="1"/>
    <s v="000MOBT251769584 IIH SALARY JUN 2025 NIP_x000a_Transfer  from  ILORIN  INNOVATION  HUB  LTD to SAMUEL STEVEN ARISE"/>
    <s v="Bank charges"/>
    <x v="1"/>
    <n v="3.75"/>
  </r>
  <r>
    <d v="2025-06-25T00:00:00"/>
    <x v="1"/>
    <s v="000MOBT251769586 IIH SALARY JUN 2025 NIP_x000a_Transfer  from  ILORIN  INNOVATION  HUB  LTD to ABDULKHALEED EYITAYO AL"/>
    <s v="Salaries and Wages"/>
    <x v="7"/>
    <n v="66000"/>
  </r>
  <r>
    <d v="2025-06-25T00:00:00"/>
    <x v="1"/>
    <s v="000MOBT251769586 IIH SALARY JUN 2025 NIP_x000a_Transfer  from  ILORIN  INNOVATION  HUB  LTD to ABDULKHALEED EYITAYO AL"/>
    <s v="Bank charges"/>
    <x v="1"/>
    <n v="50"/>
  </r>
  <r>
    <d v="2025-06-25T00:00:00"/>
    <x v="1"/>
    <s v="000MOBT251769586 IIH SALARY JUN 2025 NIP_x000a_Transfer  from  ILORIN  INNOVATION  HUB  LTD to ABDULKHALEED EYITAYO AL"/>
    <s v="Bank charges"/>
    <x v="1"/>
    <n v="3.75"/>
  </r>
  <r>
    <d v="2025-06-25T00:00:00"/>
    <x v="1"/>
    <s v="000MOBT251769587 IIH SALARY JUN 2025 NIP_x000a_Transfer  from  ILORIN  INNOVATION  HUB  LTD to SHEIDU  AL FAID OSIFOMO"/>
    <s v="Salaries and Wages"/>
    <x v="7"/>
    <n v="66000"/>
  </r>
  <r>
    <d v="2025-06-25T00:00:00"/>
    <x v="1"/>
    <s v="000MOBT251769587 IIH SALARY JUN 2025 NIP_x000a_Transfer  from  ILORIN  INNOVATION  HUB  LTD to SHEIDU  AL FAID OSIFOMO"/>
    <s v="Bank charges"/>
    <x v="1"/>
    <n v="50"/>
  </r>
  <r>
    <d v="2025-06-25T00:00:00"/>
    <x v="1"/>
    <s v="000MOBT251769587 IIH SALARY JUN 2025 NIP_x000a_Transfer  from  ILORIN  INNOVATION  HUB  LTD to SHEIDU  AL FAID OSIFOMO"/>
    <s v="Bank charges"/>
    <x v="1"/>
    <n v="3.75"/>
  </r>
  <r>
    <d v="2025-06-25T00:00:00"/>
    <x v="1"/>
    <s v="000MOBT251769595 IIH SALARY JUN 2025 NIP_x000a_Transfer  from  ILORIN  INNOVATION  HUB  LTD to HAPPINESS  SAMUEL"/>
    <s v="Salaries and Wages"/>
    <x v="7"/>
    <n v="66000"/>
  </r>
  <r>
    <d v="2025-06-25T00:00:00"/>
    <x v="1"/>
    <s v="000MOBT251769595 IIH SALARY JUN 2025 NIP_x000a_Transfer  from  ILORIN  INNOVATION  HUB  LTD to HAPPINESS  SAMUEL"/>
    <s v="Bank charges"/>
    <x v="1"/>
    <n v="50"/>
  </r>
  <r>
    <d v="2025-06-25T00:00:00"/>
    <x v="1"/>
    <s v="000MOBT251769595 IIH SALARY JUN 2025 NIP_x000a_Transfer  from  ILORIN  INNOVATION  HUB  LTD to HAPPINESS  SAMUEL"/>
    <s v="Bank charges"/>
    <x v="1"/>
    <n v="3.75"/>
  </r>
  <r>
    <d v="2025-06-25T00:00:00"/>
    <x v="1"/>
    <s v="000MOBT251769595 IIH SALARY JUN 2025 NIP_x000a_Transfer  from  ILORIN  INNOVATION  HUB  LTD to HAPPINESS  SAMUEL"/>
    <s v="Salaries and Wages"/>
    <x v="7"/>
    <n v="-66000"/>
  </r>
  <r>
    <d v="2025-06-25T00:00:00"/>
    <x v="1"/>
    <s v="000MOBT251769595 IIH SALARY JUN 2025 NIP_x000a_Transfer  from  ILORIN  INNOVATION  HUB  LTD to HAPPINESS  SAMUEL"/>
    <s v="Bank charges"/>
    <x v="1"/>
    <n v="-50"/>
  </r>
  <r>
    <d v="2025-06-25T00:00:00"/>
    <x v="1"/>
    <s v="000MOBT251769595 IIH SALARY JUN 2025 NIP_x000a_Transfer  from  ILORIN  INNOVATION  HUB  LTD to HAPPINESS  SAMUEL"/>
    <s v="Bank charges"/>
    <x v="1"/>
    <n v="-3.75"/>
  </r>
  <r>
    <d v="2025-06-27T00:00:00"/>
    <x v="1"/>
    <s v="000MOBT251788098    NSITF    REGISTRATION_x000a_FEE    REMITA    NIP    Transfer    from    ILORIN INNOVATION HUB LTD to Remita Checko"/>
    <s v="Other Expenses"/>
    <x v="4"/>
    <n v="20161.25"/>
  </r>
  <r>
    <d v="2025-06-27T00:00:00"/>
    <x v="1"/>
    <s v="000MOBT251788098    NSITF    REGISTRATION_x000a_FEE    REMITA    NIP    Transfer    from    ILORIN INNOVATION HUB LTD to Remita Checko"/>
    <s v="Bank charges"/>
    <x v="1"/>
    <n v="25"/>
  </r>
  <r>
    <d v="2025-06-27T00:00:00"/>
    <x v="1"/>
    <s v="000MOBT251788098    NSITF    REGISTRATION_x000a_FEE    REMITA    NIP    Transfer    from    ILORIN INNOVATION HUB LTD to Remita Checko"/>
    <s v="Bank charges"/>
    <x v="1"/>
    <n v="1.8799999952316284"/>
  </r>
  <r>
    <d v="2025-06-27T00:00:00"/>
    <x v="1"/>
    <s v="000MOBT251789399  IIH  STIPEND  JUNE  2025_x000a_NIP  Transfer  from  ILORIN  INNOVATION  HUB LTD to HAPPINESS  SAMUEL"/>
    <s v="Stationery and Office Supplies"/>
    <x v="2"/>
    <n v="66000"/>
  </r>
  <r>
    <d v="2025-06-27T00:00:00"/>
    <x v="1"/>
    <s v="000MOBT251789399  IIH  STIPEND  JUNE  2025_x000a_NIP  Transfer  from  ILORIN  INNOVATION  HUB LTD to HAPPINESS  SAMUEL"/>
    <s v="Bank charges"/>
    <x v="1"/>
    <n v="50"/>
  </r>
  <r>
    <d v="2025-06-27T00:00:00"/>
    <x v="1"/>
    <s v="000MOBT251789399  IIH  STIPEND  JUNE  2025_x000a_NIP  Transfer  from  ILORIN  INNOVATION  HUB LTD to HAPPINESS  SAMUEL"/>
    <s v="Bank charges"/>
    <x v="1"/>
    <n v="3.75"/>
  </r>
  <r>
    <d v="2025-06-27T00:00:00"/>
    <x v="1"/>
    <s v="000MOBT251789463  IIH  STIPEND  JUNE  2025_x000a_NIP  Transfer  from  ILORIN  INNOVATION  HUB LTD to AOFIOLUJUWON MIRIAM D"/>
    <s v="Stationery and Office Supplies"/>
    <x v="2"/>
    <n v="66000"/>
  </r>
  <r>
    <d v="2025-06-27T00:00:00"/>
    <x v="1"/>
    <s v="000MOBT251789463  IIH  STIPEND  JUNE  2025_x000a_NIP  Transfer  from  ILORIN  INNOVATION  HUB LTD to AOFIOLUJUWON MIRIAM D"/>
    <s v="Bank charges"/>
    <x v="1"/>
    <n v="50"/>
  </r>
  <r>
    <d v="2025-06-27T00:00:00"/>
    <x v="1"/>
    <s v="000MOBT251789463  IIH  STIPEND  JUNE  2025_x000a_NIP  Transfer  from  ILORIN  INNOVATION  HUB LTD to AOFIOLUJUWON MIRIAM D"/>
    <s v="Bank charges"/>
    <x v="1"/>
    <n v="3.75"/>
  </r>
  <r>
    <d v="2025-06-27T00:00:00"/>
    <x v="1"/>
    <s v="000MOBT251789530  PURCHASE  OF  WALKIE_x000a_TALKIE   GAMING  ITEMS  NIP  Transfer  from ILORIN INNOVATION HUB LTD to Kon"/>
    <s v="security"/>
    <x v="14"/>
    <n v="619300"/>
  </r>
  <r>
    <d v="2025-06-27T00:00:00"/>
    <x v="1"/>
    <s v="000MOBT251789530  PURCHASE  OF  WALKIE_x000a_TALKIE   GAMING  ITEMS  NIP  Transfer  from ILORIN INNOVATION HUB LTD to Kon"/>
    <s v="Bank charges"/>
    <x v="1"/>
    <n v="50"/>
  </r>
  <r>
    <d v="2025-06-27T00:00:00"/>
    <x v="1"/>
    <s v="000MOBT251789530  PURCHASE  OF  WALKIE_x000a_TALKIE   GAMING  ITEMS  NIP  Transfer  from ILORIN INNOVATION HUB LTD to Kon"/>
    <s v="Bank charges"/>
    <x v="1"/>
    <n v="3.75"/>
  </r>
  <r>
    <d v="2025-06-27T00:00:00"/>
    <x v="1"/>
    <s v="000MOBT25178A04Q   LUNCH   FOR   INTERNS_x000a_NIP  Transfer  from  ILORIN  INNOVATION  HUB LTD to AKINVEST INTEGRATED ENTER"/>
    <s v="Guest and entertainment"/>
    <x v="13"/>
    <n v="17000"/>
  </r>
  <r>
    <d v="2025-06-27T00:00:00"/>
    <x v="1"/>
    <s v="000MOBT25178A04Q   LUNCH   FOR   INTERNS_x000a_NIP  Transfer  from  ILORIN  INNOVATION  HUB LTD to AKINVEST INTEGRATED ENTER"/>
    <s v="Bank charges"/>
    <x v="1"/>
    <n v="25"/>
  </r>
  <r>
    <d v="2025-06-27T00:00:00"/>
    <x v="1"/>
    <s v="000MOBT25178A04Q   LUNCH   FOR   INTERNS_x000a_NIP  Transfer  from  ILORIN  INNOVATION  HUB LTD to AKINVEST INTEGRATED ENTER"/>
    <s v="Bank charges"/>
    <x v="1"/>
    <n v="1.8799999952316284"/>
  </r>
  <r>
    <d v="2025-06-27T00:00:00"/>
    <x v="1"/>
    <s v="000MOBT25178A0G1   SPILLOVER   SECURITY_x000a_SERVICES     NIP     Transfer     from     ILORIN INNOVATION HUB LTD to SHCM INTEGRATED"/>
    <s v="security"/>
    <x v="14"/>
    <n v="250000"/>
  </r>
  <r>
    <d v="2025-06-27T00:00:00"/>
    <x v="1"/>
    <s v="000MOBT25178A0G1   SPILLOVER   SECURITY_x000a_SERVICES     NIP     Transfer     from     ILORIN INNOVATION HUB LTD to SHCM INTEGRATED"/>
    <s v="Bank charges"/>
    <x v="1"/>
    <n v="50"/>
  </r>
  <r>
    <d v="2025-06-27T00:00:00"/>
    <x v="1"/>
    <s v="000MOBT25178A0G1   SPILLOVER   SECURITY_x000a_SERVICES     NIP     Transfer     from     ILORIN INNOVATION HUB LTD to SHCM INTEGRATED"/>
    <s v="Bank charges"/>
    <x v="1"/>
    <n v="3.75"/>
  </r>
  <r>
    <d v="2025-06-27T00:00:00"/>
    <x v="1"/>
    <s v="000MOBT25178A0PD   PURCHASE   OF   GATE_x000a_PADLOCK   AND   KEYS   NIP   Transfer   from ILORIN INNOVATION HUB LTD to POS Trans"/>
    <s v="Stationery and Office Supplies"/>
    <x v="2"/>
    <n v="32500"/>
  </r>
  <r>
    <d v="2025-06-27T00:00:00"/>
    <x v="1"/>
    <s v="000MOBT25178A0PD   PURCHASE   OF   GATE_x000a_PADLOCK   AND   KEYS   NIP   Transfer   from ILORIN INNOVATION HUB LTD to POS Trans"/>
    <s v="Bank charges"/>
    <x v="1"/>
    <n v="25"/>
  </r>
  <r>
    <d v="2025-06-27T00:00:00"/>
    <x v="1"/>
    <s v="000MOBT25178A0PD   PURCHASE   OF   GATE_x000a_PADLOCK   AND   KEYS   NIP   Transfer   from ILORIN INNOVATION HUB LTD to POS Trans"/>
    <s v="Bank charges"/>
    <x v="1"/>
    <n v="1.8800000101327896"/>
  </r>
  <r>
    <d v="2025-06-30T00:00:00"/>
    <x v="1"/>
    <s v="000MOBT25181A04I  INDOOR  AND  OUTDOOR_x000a_FUMIGATION   SERVICE   NIP   Transfer   from ILORIN INNOVATION HUB LTD to BENET"/>
    <s v="Repairs and maintenance"/>
    <x v="12"/>
    <n v="550000"/>
  </r>
  <r>
    <d v="2025-06-30T00:00:00"/>
    <x v="1"/>
    <s v="000MOBT25181A04I  INDOOR  AND  OUTDOOR_x000a_FUMIGATION   SERVICE   NIP   Transfer   from ILORIN INNOVATION HUB LTD to BENET"/>
    <s v="Bank charges"/>
    <x v="1"/>
    <n v="50"/>
  </r>
  <r>
    <d v="2025-06-30T00:00:00"/>
    <x v="1"/>
    <s v="000MOBT25181A04I  INDOOR  AND  OUTDOOR_x000a_FUMIGATION   SERVICE   NIP   Transfer   from ILORIN INNOVATION HUB LTD to BENET"/>
    <s v="Bank charges"/>
    <x v="1"/>
    <n v="3.75"/>
  </r>
  <r>
    <d v="2025-06-30T00:00:00"/>
    <x v="1"/>
    <s v="000MOBT25181A08C          PAYMENT          FOR_x000a_PLUMBING    SERVICES    NIP    Transfer    from ILORIN INNOVATION HUB LTD to"/>
    <s v="Repairs and maintenance"/>
    <x v="12"/>
    <n v="15000"/>
  </r>
  <r>
    <d v="2025-06-30T00:00:00"/>
    <x v="1"/>
    <s v="000MOBT25181A08C          PAYMENT          FOR_x000a_PLUMBING    SERVICES    NIP    Transfer    from ILORIN INNOVATION HUB LTD to"/>
    <s v="Bank charges"/>
    <x v="1"/>
    <n v="25"/>
  </r>
  <r>
    <d v="2025-06-30T00:00:00"/>
    <x v="1"/>
    <s v="000MOBT25181A08C          PAYMENT          FOR_x000a_PLUMBING    SERVICES    NIP    Transfer    from ILORIN INNOVATION HUB LTD to"/>
    <s v="Bank charges"/>
    <x v="1"/>
    <n v="1.8799999952316284"/>
  </r>
  <r>
    <d v="2025-06-30T00:00:00"/>
    <x v="1"/>
    <s v="000MOBT25181ABR4          PURCHASE          OF ADDITIONAL      SOUND      EQUIPMENT      NIP_x000a_Transfer from ILORIN INNOVATION HUB LTD"/>
    <s v="Purchase of equipment"/>
    <x v="20"/>
    <n v="370000"/>
  </r>
  <r>
    <d v="2025-06-30T00:00:00"/>
    <x v="1"/>
    <s v="000MOBT25181ABR4          PURCHASE          OF ADDITIONAL      SOUND      EQUIPMENT      NIP_x000a_Transfer from ILORIN INNOVATION HUB LTD"/>
    <s v="Bank charges"/>
    <x v="1"/>
    <n v="50"/>
  </r>
  <r>
    <d v="2025-06-30T00:00:00"/>
    <x v="1"/>
    <s v="000MOBT25181ABR4          PURCHASE          OF ADDITIONAL      SOUND      EQUIPMENT      NIP_x000a_Transfer from ILORIN INNOVATION HUB LTD"/>
    <s v="Bank charges"/>
    <x v="1"/>
    <n v="3.75"/>
  </r>
  <r>
    <d v="2025-06-30T00:00:00"/>
    <x v="1"/>
    <s v="000MOBT25181ACFR     NSITF     JUNE     2025_x000a_CONTRIB      NIP      Transfer      from      ILORIN INNOVATION HUB LTD to Remita Checkout"/>
    <s v="Salaries and Wages"/>
    <x v="7"/>
    <n v="119811.25"/>
  </r>
  <r>
    <d v="2025-06-30T00:00:00"/>
    <x v="1"/>
    <s v="000MOBT25181ACFR     NSITF     JUNE     2025_x000a_CONTRIB      NIP      Transfer      from      ILORIN INNOVATION HUB LTD to Remita Checkout"/>
    <s v="Bank charges"/>
    <x v="1"/>
    <n v="50"/>
  </r>
  <r>
    <d v="2025-06-30T00:00:00"/>
    <x v="1"/>
    <s v="000MOBT25181ACFR     NSITF     JUNE     2025_x000a_CONTRIB      NIP      Transfer      from      ILORIN INNOVATION HUB LTD to Remita Checkout"/>
    <s v="Bank charges"/>
    <x v="1"/>
    <n v="3.75"/>
  </r>
  <r>
    <d v="2025-06-30T00:00:00"/>
    <x v="1"/>
    <s v="016AMFC251810009                             ACCOUNT MAINTENANCE FEE"/>
    <s v="Bank charges"/>
    <x v="1"/>
    <n v="200"/>
  </r>
  <r>
    <d v="2025-06-30T00:00:00"/>
    <x v="1"/>
    <s v="016AMFV251810009   VAT   ON  TRANSACTION CHARGES"/>
    <s v="Bank charges"/>
    <x v="1"/>
    <n v="15"/>
  </r>
  <r>
    <d v="2025-06-30T00:00:00"/>
    <x v="1"/>
    <s v="000MOBT25181ADCP       FACILITY       RENTAL_x000a_REFUND      NIP      Transfer      from      ILORIN INNOVATION HUB LTD to KWSG INT  REV"/>
    <s v="Refund"/>
    <x v="8"/>
    <n v="100000"/>
  </r>
  <r>
    <d v="2025-06-30T00:00:00"/>
    <x v="1"/>
    <s v="000MOBT25181ADCP       FACILITY       RENTAL_x000a_REFUND      NIP      Transfer      from      ILORIN INNOVATION HUB LTD to KWSG INT  REV"/>
    <s v="Bank charges"/>
    <x v="1"/>
    <n v="50"/>
  </r>
  <r>
    <d v="2025-06-30T00:00:00"/>
    <x v="1"/>
    <s v="000MOBT25181ADCP       FACILITY       RENTAL_x000a_REFUND      NIP      Transfer      from      ILORIN INNOVATION HUB LTD to KWSG INT  REV"/>
    <s v="Bank charges"/>
    <x v="1"/>
    <n v="3.75"/>
  </r>
  <r>
    <d v="2025-06-30T00:00:00"/>
    <x v="1"/>
    <s v="000MOBT25181ADF2 MD EXPENSE REIMBURSEMENT MAR TO JUN NIP Transfer from ILORIN INNOVATION HUB LTD to"/>
    <s v="Unallocated expense"/>
    <x v="3"/>
    <n v="1357550"/>
  </r>
  <r>
    <d v="2025-06-30T00:00:00"/>
    <x v="1"/>
    <s v="Reallocation of MD expenses reimbursement"/>
    <m/>
    <x v="3"/>
    <n v="-1357550"/>
  </r>
  <r>
    <d v="2025-06-30T00:00:00"/>
    <x v="1"/>
    <s v="000MOBT25181ADF2 MD EXPENSE REIMBURSEMENT MAR TO JUN NIP Transfer from ILORIN INNOVATION HUB LTD to"/>
    <m/>
    <x v="9"/>
    <n v="122550"/>
  </r>
  <r>
    <d v="2025-06-30T00:00:00"/>
    <x v="1"/>
    <s v="000MOBT25181ADF2 MD EXPENSE REIMBURSEMENT MAR TO JUN NIP Transfer from ILORIN INNOVATION HUB LTD to"/>
    <m/>
    <x v="15"/>
    <n v="70000"/>
  </r>
  <r>
    <d v="2025-06-30T00:00:00"/>
    <x v="1"/>
    <s v="000MOBT25181ADF2 MD EXPENSE REIMBURSEMENT MAR TO JUN NIP Transfer from ILORIN INNOVATION HUB LTD to"/>
    <m/>
    <x v="3"/>
    <n v="1040000"/>
  </r>
  <r>
    <d v="2025-06-30T00:00:00"/>
    <x v="1"/>
    <s v="000MOBT25181ADF2 MD EXPENSE REIMBURSEMENT MAR TO JUN NIP Transfer from ILORIN INNOVATION HUB LTD to"/>
    <m/>
    <x v="13"/>
    <n v="68000"/>
  </r>
  <r>
    <d v="2025-06-30T00:00:00"/>
    <x v="1"/>
    <s v="000MOBT25181ADF2 MD EXPENSE REIMBURSEMENT MAR TO JUN NIP Transfer from ILORIN INNOVATION HUB LTD to"/>
    <m/>
    <x v="10"/>
    <n v="57000"/>
  </r>
  <r>
    <d v="2025-06-30T00:00:00"/>
    <x v="1"/>
    <s v="000MOBT25181ADF2 MD EXPENSE REIMBURSEMENT MAR TO JUN NIP Transfer from ILORIN INNOVATION HUB LTD to"/>
    <s v="Bank charges"/>
    <x v="1"/>
    <n v="50"/>
  </r>
  <r>
    <d v="2025-06-30T00:00:00"/>
    <x v="1"/>
    <s v="000MOBT25181ADF2 MD EXPENSE REIMBURSEMENT MAR TO JUN NIP Transfer from ILORIN INNOVATION HUB LTD to"/>
    <s v="Bank charges"/>
    <x v="1"/>
    <n v="3.75"/>
  </r>
  <r>
    <d v="2025-06-30T00:00:00"/>
    <x v="1"/>
    <s v="000MOBT25181ADMK      TKT      ABUJA      US_x000a_EMBASSY  VISIT   NIP  Transfer  from  ILORIN INNOVATION HUB LTD to PAYSTACK"/>
    <s v="Transport and Travel"/>
    <x v="18"/>
    <n v="832000"/>
  </r>
  <r>
    <d v="2025-06-30T00:00:00"/>
    <x v="1"/>
    <s v="000MOBT25181ADMK      TKT      ABUJA      US_x000a_EMBASSY  VISIT   NIP  Transfer  from  ILORIN INNOVATION HUB LTD to PAYSTACK"/>
    <s v="Bank charges"/>
    <x v="1"/>
    <n v="50"/>
  </r>
  <r>
    <d v="2025-06-30T00:00:00"/>
    <x v="1"/>
    <s v="000MOBT25181ADMK      TKT      ABUJA      US_x000a_EMBASSY  VISIT   NIP  Transfer  from  ILORIN INNOVATION HUB LTD to PAYSTACK"/>
    <s v="Bank charges"/>
    <x v="1"/>
    <n v="3.75"/>
  </r>
  <r>
    <d v="2025-06-30T00:00:00"/>
    <x v="1"/>
    <s v="016AMFC25181003N                             ACCOUNT MAINTENANCE FEE"/>
    <s v="Bank charges"/>
    <x v="1"/>
    <n v="45154.25"/>
  </r>
  <r>
    <d v="2025-06-30T00:00:00"/>
    <x v="1"/>
    <s v="016AMFV25181003E  VAT  ON  TRANSACTION CHARGES"/>
    <s v="Bank charges"/>
    <x v="1"/>
    <n v="3386.6800000071526"/>
  </r>
  <r>
    <d v="2025-06-30T00:00:00"/>
    <x v="1"/>
    <s v="Bank transactions in June"/>
    <s v="Bank balance"/>
    <x v="5"/>
    <n v="101330337.19999997"/>
  </r>
  <r>
    <d v="2025-07-01T00:00:00"/>
    <x v="2"/>
    <s v="000MOBT25182AT02     MONTHLY     CLEANING_x000a_BALANCE      NIP      Transfer      from      ILORIN INNOVATION HUB LTD to SIII MULTIPURPOSE"/>
    <s v="Cleaning expenses"/>
    <x v="3"/>
    <n v="650000"/>
  </r>
  <r>
    <d v="2025-07-01T00:00:00"/>
    <x v="2"/>
    <s v="000MOBT25182AT02     MONTHLY     CLEANING_x000a_BALANCE      NIP      Transfer      from      ILORIN INNOVATION HUB LTD to SIII MULTIPURPOSE"/>
    <s v="Bank charges"/>
    <x v="1"/>
    <n v="50"/>
  </r>
  <r>
    <d v="2025-07-01T00:00:00"/>
    <x v="2"/>
    <s v="000MOBT25182AT02     MONTHLY     CLEANING_x000a_BALANCE      NIP      Transfer      from      ILORIN INNOVATION HUB LTD to SIII MULTIPURPOSE"/>
    <s v="Bank charges"/>
    <x v="1"/>
    <n v="3.75"/>
  </r>
  <r>
    <d v="2025-07-02T00:00:00"/>
    <x v="2"/>
    <s v="000MOBT251834063      EODB      LUNCH      NIP_x000a_Transfer  from  ILORIN  INNOVATION  HUB  LTD to  BOA FOODS RESTAURANT LTD   1"/>
    <s v="Guest and entertainment"/>
    <x v="13"/>
    <n v="190200"/>
  </r>
  <r>
    <d v="2025-07-02T00:00:00"/>
    <x v="2"/>
    <s v="000MOBT251834063      EODB      LUNCH      NIP_x000a_Transfer  from  ILORIN  INNOVATION  HUB  LTD to  BOA FOODS RESTAURANT LTD   1"/>
    <s v="Bank charges"/>
    <x v="1"/>
    <n v="50"/>
  </r>
  <r>
    <d v="2025-07-02T00:00:00"/>
    <x v="2"/>
    <s v="000MOBT251834063      EODB      LUNCH      NIP_x000a_Transfer  from  ILORIN  INNOVATION  HUB  LTD to  BOA FOODS RESTAURANT LTD   1"/>
    <s v="Bank charges"/>
    <x v="1"/>
    <n v="3.75"/>
  </r>
  <r>
    <d v="2025-07-03T00:00:00"/>
    <x v="2"/>
    <s v="000MOBT251841910   EODB  BREAKFAST  NIP_x000a_Transfer  from  ILORIN  INNOVATION  HUB  LTD to Infinitus Innovations Limite"/>
    <s v="Guest and entertainment"/>
    <x v="13"/>
    <n v="37500"/>
  </r>
  <r>
    <d v="2025-07-03T00:00:00"/>
    <x v="2"/>
    <s v="000MOBT251841910   EODB  BREAKFAST  NIP_x000a_Transfer  from  ILORIN  INNOVATION  HUB  LTD to Infinitus Innovations Limite"/>
    <s v="Bank charges"/>
    <x v="1"/>
    <n v="25"/>
  </r>
  <r>
    <d v="2025-07-03T00:00:00"/>
    <x v="2"/>
    <s v="000MOBT251841910   EODB  BREAKFAST  NIP_x000a_Transfer  from  ILORIN  INNOVATION  HUB  LTD to Infinitus Innovations Limite"/>
    <s v="Bank charges"/>
    <x v="1"/>
    <n v="1.8799999952316284"/>
  </r>
  <r>
    <d v="2025-07-03T00:00:00"/>
    <x v="2"/>
    <s v="000MOBT251846895      EODB      Lunch      NIP_x000a_Transfer  from  ILORIN  INNOVATION  HUB  LTD to  BOA FOODS RESTAURANT LTD   1"/>
    <s v="Guest and entertainment"/>
    <x v="13"/>
    <n v="100200"/>
  </r>
  <r>
    <d v="2025-07-03T00:00:00"/>
    <x v="2"/>
    <s v="000MOBT251846895      EODB      Lunch      NIP_x000a_Transfer  from  ILORIN  INNOVATION  HUB  LTD to  BOA FOODS RESTAURANT LTD   1"/>
    <s v="Bank charges"/>
    <x v="1"/>
    <n v="50"/>
  </r>
  <r>
    <d v="2025-07-03T00:00:00"/>
    <x v="2"/>
    <s v="000MOBT251846895      EODB      Lunch      NIP_x000a_Transfer  from  ILORIN  INNOVATION  HUB  LTD to  BOA FOODS RESTAURANT LTD   1"/>
    <s v="Bank charges"/>
    <x v="1"/>
    <n v="3.75"/>
  </r>
  <r>
    <d v="2025-07-03T00:00:00"/>
    <x v="2"/>
    <s v="000MOBT251847829  MD  100 BIZ  CARDS   NIP_x000a_Transfer  from  ILORIN  INNOVATION  HUB  LTD to DOCULAND BUSINESS SOL LTD"/>
    <s v="Stationery and Office Supplies"/>
    <x v="2"/>
    <n v="23414"/>
  </r>
  <r>
    <d v="2025-07-03T00:00:00"/>
    <x v="2"/>
    <s v="000MOBT251847829  MD  100 BIZ  CARDS   NIP_x000a_Transfer  from  ILORIN  INNOVATION  HUB  LTD to DOCULAND BUSINESS SOL LTD"/>
    <s v="Bank charges"/>
    <x v="1"/>
    <n v="25"/>
  </r>
  <r>
    <d v="2025-07-03T00:00:00"/>
    <x v="2"/>
    <s v="000MOBT251847829  MD  100 BIZ  CARDS   NIP_x000a_Transfer  from  ILORIN  INNOVATION  HUB  LTD to DOCULAND BUSINESS SOL LTD"/>
    <s v="Bank charges"/>
    <x v="1"/>
    <n v="1.8799999952316284"/>
  </r>
  <r>
    <d v="2025-07-03T00:00:00"/>
    <x v="2"/>
    <s v="000MOBT25184A2YX  LOS  ABV  LOS  TRAVEL_x000a_ZUMAH       NIP       Transfer       from       ILORIN INNOVATION HUB LTD to PAYSTACK"/>
    <s v="Transport and Travel"/>
    <x v="18"/>
    <n v="362000"/>
  </r>
  <r>
    <d v="2025-07-03T00:00:00"/>
    <x v="2"/>
    <s v="000MOBT25184A2YX  LOS  ABV  LOS  TRAVEL_x000a_ZUMAH       NIP       Transfer       from       ILORIN INNOVATION HUB LTD to PAYSTACK"/>
    <s v="Bank charges"/>
    <x v="1"/>
    <n v="50"/>
  </r>
  <r>
    <d v="2025-07-03T00:00:00"/>
    <x v="2"/>
    <s v="000MOBT25184A2YX  LOS  ABV  LOS  TRAVEL_x000a_ZUMAH       NIP       Transfer       from       ILORIN INNOVATION HUB LTD to PAYSTACK"/>
    <s v="Bank charges"/>
    <x v="1"/>
    <n v="3.75"/>
  </r>
  <r>
    <d v="2025-07-04T00:00:00"/>
    <x v="2"/>
    <s v="000MOBT251851068    REIMBURSEMENT    FOR_x000a_REFRESHMENTS  NIP  Transfer  from  ILORIN INNOVATION HUB LTD to ONUCHUKWU  S"/>
    <s v="Guest and entertainment"/>
    <x v="13"/>
    <n v="54350"/>
  </r>
  <r>
    <d v="2025-07-04T00:00:00"/>
    <x v="2"/>
    <s v="000MOBT251851068    REIMBURSEMENT    FOR_x000a_REFRESHMENTS  NIP  Transfer  from  ILORIN INNOVATION HUB LTD to ONUCHUKWU  S"/>
    <s v="Bank charges"/>
    <x v="1"/>
    <n v="50"/>
  </r>
  <r>
    <d v="2025-07-04T00:00:00"/>
    <x v="2"/>
    <s v="000MOBT251851068    REIMBURSEMENT    FOR_x000a_REFRESHMENTS  NIP  Transfer  from  ILORIN INNOVATION HUB LTD to ONUCHUKWU  S"/>
    <s v="Bank charges"/>
    <x v="1"/>
    <n v="3.75"/>
  </r>
  <r>
    <d v="2025-07-04T00:00:00"/>
    <x v="2"/>
    <s v="000MOBT251851121   EODB   REFRESHMENTS_x000a_NIP  Transfer  from  ILORIN  INNOVATION  HUB LTD to JIMOH SULEIMAN OLAWALE"/>
    <s v="Guest and entertainment"/>
    <x v="13"/>
    <n v="32500"/>
  </r>
  <r>
    <d v="2025-07-04T00:00:00"/>
    <x v="2"/>
    <s v="000MOBT251851121   EODB   REFRESHMENTS_x000a_NIP  Transfer  from  ILORIN  INNOVATION  HUB LTD to JIMOH SULEIMAN OLAWALE"/>
    <s v="Bank charges"/>
    <x v="1"/>
    <n v="25"/>
  </r>
  <r>
    <d v="2025-07-04T00:00:00"/>
    <x v="2"/>
    <s v="000MOBT251851121   EODB   REFRESHMENTS_x000a_NIP  Transfer  from  ILORIN  INNOVATION  HUB LTD to JIMOH SULEIMAN OLAWALE"/>
    <s v="Bank charges"/>
    <x v="1"/>
    <n v="1.8800000101327896"/>
  </r>
  <r>
    <d v="2025-07-04T00:00:00"/>
    <x v="2"/>
    <s v="000MOBT251854607    BALANCE    OF   CCHUB_x000a_ROADSHOW  SOUVENIRS  NIP  Transfer  from ILORIN INNOVATION HUB LTD to LET S B"/>
    <s v="Souvenirs"/>
    <x v="19"/>
    <n v="1000000"/>
  </r>
  <r>
    <d v="2025-07-04T00:00:00"/>
    <x v="2"/>
    <s v="000MOBT251854607    BALANCE    OF   CCHUB_x000a_ROADSHOW  SOUVENIRS  NIP  Transfer  from ILORIN INNOVATION HUB LTD to LET S B"/>
    <s v="Bank charges"/>
    <x v="1"/>
    <n v="50"/>
  </r>
  <r>
    <d v="2025-07-04T00:00:00"/>
    <x v="2"/>
    <s v="000MOBT251854607    BALANCE    OF   CCHUB_x000a_ROADSHOW  SOUVENIRS  NIP  Transfer  from ILORIN INNOVATION HUB LTD to LET S B"/>
    <s v="Bank charges"/>
    <x v="1"/>
    <n v="3.75"/>
  </r>
  <r>
    <d v="2025-07-04T00:00:00"/>
    <x v="2"/>
    <s v="000MOBT251859338  TA  COMMUNITY  LUNCH_x000a_NIP  Transfer  from  ILORIN  INNOVATION  HUB LTD to  BOA FOODS RESTAURANT LT"/>
    <s v="Guest and entertainment"/>
    <x v="13"/>
    <n v="28000"/>
  </r>
  <r>
    <d v="2025-07-04T00:00:00"/>
    <x v="2"/>
    <s v="000MOBT251859338  TA  COMMUNITY  LUNCH_x000a_NIP  Transfer  from  ILORIN  INNOVATION  HUB LTD to  BOA FOODS RESTAURANT LT"/>
    <s v="Bank charges"/>
    <x v="1"/>
    <n v="25"/>
  </r>
  <r>
    <d v="2025-07-04T00:00:00"/>
    <x v="2"/>
    <s v="000MOBT251859338  TA  COMMUNITY  LUNCH_x000a_NIP  Transfer  from  ILORIN  INNOVATION  HUB LTD to  BOA FOODS RESTAURANT LT"/>
    <s v="Bank charges"/>
    <x v="1"/>
    <n v="1.8799999952316284"/>
  </r>
  <r>
    <d v="2025-07-04T00:00:00"/>
    <x v="2"/>
    <s v="000MOBT25185A03Q      HMO      ONE      YEAR_x000a_LEADWAY HEALTH NIP Transfer from ILORIN INNOVATION HUB LTD to LEADWAY HEALTH"/>
    <s v="Staff welfare"/>
    <x v="21"/>
    <n v="2174811"/>
  </r>
  <r>
    <d v="2025-07-04T00:00:00"/>
    <x v="2"/>
    <s v="000MOBT25185A03Q      HMO      ONE      YEAR_x000a_LEADWAY HEALTH NIP Transfer from ILORIN INNOVATION HUB LTD to LEADWAY HEALTH"/>
    <s v="Bank charges"/>
    <x v="1"/>
    <n v="50"/>
  </r>
  <r>
    <d v="2025-07-04T00:00:00"/>
    <x v="2"/>
    <s v="000MOBT25185A03Q      HMO      ONE      YEAR_x000a_LEADWAY HEALTH NIP Transfer from ILORIN INNOVATION HUB LTD to LEADWAY HEALTH"/>
    <s v="Bank charges"/>
    <x v="1"/>
    <n v="3.75"/>
  </r>
  <r>
    <d v="2025-07-07T00:00:00"/>
    <x v="2"/>
    <s v="000MOBT25188A8LT   EODB   REFRESHMENTS_x000a_NIP  Transfer  from  ILORIN  INNOVATION  HUB LTD to POS Transfer   BOLANLE OK"/>
    <s v="Guest and entertainment"/>
    <x v="13"/>
    <n v="36000"/>
  </r>
  <r>
    <d v="2025-07-07T00:00:00"/>
    <x v="2"/>
    <s v="000MOBT25188A8LT   EODB   REFRESHMENTS_x000a_NIP  Transfer  from  ILORIN  INNOVATION  HUB LTD to POS Transfer   BOLANLE OK"/>
    <s v="Bank charges"/>
    <x v="1"/>
    <n v="25"/>
  </r>
  <r>
    <d v="2025-07-07T00:00:00"/>
    <x v="2"/>
    <s v="000MOBT25188A8LT   EODB   REFRESHMENTS_x000a_NIP  Transfer  from  ILORIN  INNOVATION  HUB LTD to POS Transfer   BOLANLE OK"/>
    <s v="Bank charges"/>
    <x v="1"/>
    <n v="1.8799999952316284"/>
  </r>
  <r>
    <d v="2025-07-07T00:00:00"/>
    <x v="2"/>
    <s v="000MOBT25188A8MI   EODB   REFRESHMENTS_x000a_NIP  Transfer  from  ILORIN  INNOVATION  HUB LTD to Infinitus Innovations Lim"/>
    <s v="Guest and entertainment"/>
    <x v="13"/>
    <n v="103000"/>
  </r>
  <r>
    <d v="2025-07-07T00:00:00"/>
    <x v="2"/>
    <s v="000MOBT25188A8MI   EODB   REFRESHMENTS_x000a_NIP  Transfer  from  ILORIN  INNOVATION  HUB LTD to Infinitus Innovations Lim"/>
    <s v="Bank charges"/>
    <x v="1"/>
    <n v="50"/>
  </r>
  <r>
    <d v="2025-07-07T00:00:00"/>
    <x v="2"/>
    <s v="000MOBT25188A8MI   EODB   REFRESHMENTS_x000a_NIP  Transfer  from  ILORIN  INNOVATION  HUB LTD to Infinitus Innovations Lim"/>
    <s v="Bank charges"/>
    <x v="1"/>
    <n v="3.75"/>
  </r>
  <r>
    <d v="2025-07-07T00:00:00"/>
    <x v="2"/>
    <s v="000MOBT25188ABX7  EODB  REFRESHMENTS_x000a_NIP  Transfer  from  ILORIN  INNOVATION  HUB LTD to BANKOLE RICHARD OGUNDILE"/>
    <s v="Guest and entertainment"/>
    <x v="13"/>
    <n v="16000"/>
  </r>
  <r>
    <d v="2025-07-07T00:00:00"/>
    <x v="2"/>
    <s v="000MOBT25188ABX7  EODB  REFRESHMENTS_x000a_NIP  Transfer  from  ILORIN  INNOVATION  HUB LTD to BANKOLE RICHARD OGUNDILE"/>
    <s v="Bank charges"/>
    <x v="1"/>
    <n v="25"/>
  </r>
  <r>
    <d v="2025-07-07T00:00:00"/>
    <x v="2"/>
    <s v="000MOBT25188ABX7  EODB  REFRESHMENTS_x000a_NIP  Transfer  from  ILORIN  INNOVATION  HUB LTD to BANKOLE RICHARD OGUNDILE"/>
    <s v="Bank charges"/>
    <x v="1"/>
    <n v="1.8799999952316284"/>
  </r>
  <r>
    <d v="2025-07-07T00:00:00"/>
    <x v="2"/>
    <s v="000MOBT25188ABZ7  PAYMENT  FOR MONTHLY WASTE DISPOSAL  NIP  Transfer from ILORIN INNOVATION HUB LTD to"/>
    <s v="Stationery and Office Supplies"/>
    <x v="2"/>
    <n v="50000"/>
  </r>
  <r>
    <d v="2025-07-07T00:00:00"/>
    <x v="2"/>
    <s v="000MOBT25188ABZ7  PAYMENT  FOR MONTHLY WASTE DISPOSAL  NIP  Transfer from ILORIN INNOVATION HUB LTD to"/>
    <s v="Bank charges"/>
    <x v="1"/>
    <n v="25"/>
  </r>
  <r>
    <d v="2025-07-07T00:00:00"/>
    <x v="2"/>
    <s v="000MOBT25188ABZ7  PAYMENT  FOR MONTHLY WASTE DISPOSAL  NIP  Transfer from ILORIN INNOVATION HUB LTD to"/>
    <s v="Bank charges"/>
    <x v="1"/>
    <n v="1.8800000101327896"/>
  </r>
  <r>
    <d v="2025-07-09T00:00:00"/>
    <x v="2"/>
    <s v="000MOBT251904319    ABJ   BOLT    RIDE   NIP_x000a_Transfer  from  ILORIN  INNOVATION  HUB  LTD to BOLANLE MONICA MAKINWA"/>
    <s v="Transport and Travel"/>
    <x v="18"/>
    <n v="20700"/>
  </r>
  <r>
    <d v="2025-07-09T00:00:00"/>
    <x v="2"/>
    <s v="000MOBT251904319    ABJ   BOLT    RIDE   NIP_x000a_Transfer  from  ILORIN  INNOVATION  HUB  LTD to BOLANLE MONICA MAKINWA"/>
    <s v="Bank charges"/>
    <x v="1"/>
    <n v="25"/>
  </r>
  <r>
    <d v="2025-07-09T00:00:00"/>
    <x v="2"/>
    <s v="000MOBT251904319    ABJ   BOLT    RIDE   NIP_x000a_Transfer  from  ILORIN  INNOVATION  HUB  LTD to BOLANLE MONICA MAKINWA"/>
    <s v="Bank charges"/>
    <x v="1"/>
    <n v="1.8799999952316284"/>
  </r>
  <r>
    <d v="2025-07-10T00:00:00"/>
    <x v="2"/>
    <s v="016NIPO251910009 NIP - NIP TRF IFO ALPHA TECHNOLOGIES  LIMITED  B/O   ILORIN  TECH_x000a_PARK LTD"/>
    <s v="Stationery and Office Supplies"/>
    <x v="2"/>
    <n v="53750"/>
  </r>
  <r>
    <d v="2025-07-10T00:00:00"/>
    <x v="2"/>
    <s v="016NIPC251910009 NIP Charge - NIP TRF IFO ALPHA TECHNOLOGIES LIMITED B/O ILORIN TECH PARK LTD"/>
    <s v="Bank charges"/>
    <x v="1"/>
    <n v="50"/>
  </r>
  <r>
    <d v="2025-07-10T00:00:00"/>
    <x v="2"/>
    <s v="016VATP251910009 NIP Charge VAT - NIP TRF IFO ALPHA TECHNOLOGIES LIMITED B/O ILORIN TECH PARK LTD"/>
    <s v="Bank charges"/>
    <x v="1"/>
    <n v="3.75"/>
  </r>
  <r>
    <d v="2025-07-10T00:00:00"/>
    <x v="2"/>
    <s v="0167022251910001 BNG ISSUANCE OF 1 TOKENS (37-6477779-9 KOLAWOLE ( IFO ILORIN TECH PARK LTD)"/>
    <s v="Other Expenses"/>
    <x v="4"/>
    <n v="2687.5"/>
  </r>
  <r>
    <d v="2025-07-10T00:00:00"/>
    <x v="2"/>
    <s v="0167022251910001 BNG ISSUANCE OF 1 TOKENS (37-6477780-5 YAHAYA ( IFO ILORIN TECH PARK LTD)"/>
    <s v="Other Expenses"/>
    <x v="4"/>
    <n v="2687.5"/>
  </r>
  <r>
    <d v="2025-07-10T00:00:00"/>
    <x v="2"/>
    <s v="0167022251910001 BNG ISSUANCE OF 1 TOKENS (37-6477781-2 AHMAD ( IFO ILORIN TECH PARK LTD)"/>
    <s v="Other Expenses"/>
    <x v="4"/>
    <n v="2687.5"/>
  </r>
  <r>
    <d v="2025-07-10T00:00:00"/>
    <x v="2"/>
    <s v="016NIPO251910018 NIP - NIP TRF IFO JIMOH SULEIMAN OLAWALE B/O  ILORIN  TECH PARK LTD"/>
    <s v="Unallocated expense"/>
    <x v="13"/>
    <n v="65000"/>
  </r>
  <r>
    <d v="2025-07-10T00:00:00"/>
    <x v="2"/>
    <s v="016NIPC251910018 NIP Charge - NIP TRF IFO JIMOH SULEIMAN OLAWALE B/O  ILORIN TECH PARK LTD"/>
    <s v="Bank charges"/>
    <x v="1"/>
    <n v="50"/>
  </r>
  <r>
    <d v="2025-07-10T00:00:00"/>
    <x v="2"/>
    <s v="016VATP251910018 NIP Charge VAT - NIP TRF IFO JIMOH SULEIMAN OLAWALE B/O ILORIN TECH PARK LTD"/>
    <s v="Bank charges"/>
    <x v="1"/>
    <n v="3.75"/>
  </r>
  <r>
    <d v="2025-07-11T00:00:00"/>
    <x v="2"/>
    <s v="016NIPO251920002 NIP - NIP TRF IFO LET'S BRAND IT ENTERPRISES B/O ILORIN TECH PARK LTD"/>
    <s v="Unallocated expense"/>
    <x v="19"/>
    <n v="1250000"/>
  </r>
  <r>
    <d v="2025-07-11T00:00:00"/>
    <x v="2"/>
    <s v="016NIPC251920002 NIP Charge - NIP TRF IFO LET'S BRAND IT ENTERPRISES B/O ILORIN TECH PARK LTD"/>
    <s v="Bank charges"/>
    <x v="1"/>
    <n v="50"/>
  </r>
  <r>
    <d v="2025-07-11T00:00:00"/>
    <x v="2"/>
    <s v="016VATP251920002 NIP Charge VAT - NIP TRF IFO LET'S BRAND IT ENTERPRISES B/O ILORIN TECH PARK LTD"/>
    <s v="Bank charges"/>
    <x v="1"/>
    <n v="3.75"/>
  </r>
  <r>
    <d v="2025-07-17T00:00:00"/>
    <x v="2"/>
    <s v="016NIPO251980008 NIP - NIP TRF IFO TEMILOLUWA OLUWALEKE KOLAWOLE B/O ILORIN TECH PARK LTD"/>
    <s v="Unallocated expense"/>
    <x v="18"/>
    <n v="240000"/>
  </r>
  <r>
    <d v="2025-07-17T00:00:00"/>
    <x v="2"/>
    <s v="016NIPC251980008 NIP Charge - NIP TRF IFO TEMILOLUWA OLUWALEKE KOLAWOLE B/O ILORIN TECH PARK LTD"/>
    <s v="Bank charges"/>
    <x v="1"/>
    <n v="50"/>
  </r>
  <r>
    <d v="2025-07-17T00:00:00"/>
    <x v="2"/>
    <s v="016VATP251980008 NIP Charge VAT - NIP TRF IFO TEMILOLUWA OLUWALEKE KOLAWOLE B/O  ILORIN TECH PARK LTD"/>
    <s v="Bank charges"/>
    <x v="1"/>
    <n v="3.75"/>
  </r>
  <r>
    <d v="2025-07-17T00:00:00"/>
    <x v="2"/>
    <s v="016NIPO251980009 NIP  -  BNG  PAYMENT MADE FOR LAGOS HOTEL ACCOMODATION REIMBURSEMENT"/>
    <s v="Accomodation"/>
    <x v="18"/>
    <n v="420180"/>
  </r>
  <r>
    <d v="2025-07-17T00:00:00"/>
    <x v="2"/>
    <s v="016NIPC251980009 NIP Charge - BNG PAYMENT MADE FOR LAGOS HOTEL ACCOMODATION  REIMBURSEMENT"/>
    <s v="Bank charges"/>
    <x v="1"/>
    <n v="50"/>
  </r>
  <r>
    <d v="2025-07-17T00:00:00"/>
    <x v="2"/>
    <s v="016VATP251980009 NIP Charge VAT - BNG PAYMENT MADE FOR LAGOS HOTEL ACCOMODATION  REIMBURSEMENT"/>
    <s v="Bank charges"/>
    <x v="1"/>
    <n v="3.75"/>
  </r>
  <r>
    <d v="2025-07-17T00:00:00"/>
    <x v="2"/>
    <s v="016NIPO251980015    NIP    -    BNG    PAYMENT MADE FOR PURCHASE OF SCAFFOLD"/>
    <s v="Repairs and maintenance"/>
    <x v="12"/>
    <n v="785000"/>
  </r>
  <r>
    <d v="2025-07-17T00:00:00"/>
    <x v="2"/>
    <s v="016NIPC251980015 NIP Charge - BNG PAYMENT MADE FOR PURCHASE OF SCAFFOLD"/>
    <s v="Bank charges"/>
    <x v="1"/>
    <n v="50"/>
  </r>
  <r>
    <d v="2025-07-17T00:00:00"/>
    <x v="2"/>
    <s v="016VATP251980015 NIP Charge VAT - BNG PAYMENT MADE FOR PURCHASE OF SCAFFOLD"/>
    <s v="Bank charges"/>
    <x v="1"/>
    <n v="3.75"/>
  </r>
  <r>
    <d v="2025-07-18T00:00:00"/>
    <x v="2"/>
    <s v="016NIPO251990009 NIP - NIP TRF IFO ISREAL ABIODUN B/O  ILORIN TECH PARK LTD"/>
    <s v="Stationery and Office Supplies"/>
    <x v="2"/>
    <n v="260000"/>
  </r>
  <r>
    <d v="2025-07-18T00:00:00"/>
    <x v="2"/>
    <s v="016NIPC251990009 NIP Charge - NIP TRF IFO ISREAL ABIODUN B/O ILORIN TECH PARK LTD"/>
    <s v="Bank charges"/>
    <x v="1"/>
    <n v="50"/>
  </r>
  <r>
    <d v="2025-07-18T00:00:00"/>
    <x v="2"/>
    <s v="016VATP251990009 NIP Charge VAT - NIP TRF IFO   ISREAL   ABIODUN   B/O    ILORIN   TECH_x000a_PARK LTD"/>
    <s v="Bank charges"/>
    <x v="1"/>
    <n v="3.75"/>
  </r>
  <r>
    <d v="2025-07-18T00:00:00"/>
    <x v="2"/>
    <s v="000MOBT25199A0ME REIMBURSEMENT FOR STAFF BIRTHDAY FAREEDAH NIP Transfer from ILORIN INNOVATION HUB LTD to O"/>
    <s v="Staff welfare"/>
    <x v="21"/>
    <n v="31500"/>
  </r>
  <r>
    <d v="2025-07-18T00:00:00"/>
    <x v="2"/>
    <s v="000MOBT25199A0ME REIMBURSEMENT FOR STAFF BIRTHDAY FAREEDAH NIP Transfer from ILORIN INNOVATION HUB LTD to O"/>
    <s v="Bank charges"/>
    <x v="1"/>
    <n v="25"/>
  </r>
  <r>
    <d v="2025-07-18T00:00:00"/>
    <x v="2"/>
    <s v="000MOBT25199A0ME REIMBURSEMENT FOR STAFF BIRTHDAY FAREEDAH NIP Transfer from ILORIN INNOVATION HUB LTD to O"/>
    <s v="Bank charges"/>
    <x v="1"/>
    <n v="1.8799999952316284"/>
  </r>
  <r>
    <d v="2025-07-18T00:00:00"/>
    <x v="2"/>
    <s v="000MOBT25199A0U0              REIMBURSEMENT_x000a_STAFF   BIRTHDAY   NAS   NIP   Transfer   from ILORIN INNOVATION HUB LTD to"/>
    <s v="Staff welfare"/>
    <x v="21"/>
    <n v="14540"/>
  </r>
  <r>
    <d v="2025-07-18T00:00:00"/>
    <x v="2"/>
    <s v="000MOBT25199A0U0              REIMBURSEMENT_x000a_STAFF   BIRTHDAY   NAS   NIP   Transfer   from ILORIN INNOVATION HUB LTD to"/>
    <s v="Bank charges"/>
    <x v="1"/>
    <n v="25"/>
  </r>
  <r>
    <d v="2025-07-18T00:00:00"/>
    <x v="2"/>
    <s v="000MOBT25199A0U0              REIMBURSEMENT_x000a_STAFF   BIRTHDAY   NAS   NIP   Transfer   from ILORIN INNOVATION HUB LTD to"/>
    <s v="Bank charges"/>
    <x v="1"/>
    <n v="1.8800000101327896"/>
  </r>
  <r>
    <d v="2025-07-18T00:00:00"/>
    <x v="2"/>
    <s v="000MOBT25199A0W7                               TRAVEL REIMBURSEMENT   ABUJA  HOTEL  TAXI  NIP_x000a_Transfer from ILORIN INNOVATION HUB LTD"/>
    <s v="Transport and Travel"/>
    <x v="18"/>
    <n v="263078"/>
  </r>
  <r>
    <d v="2025-07-18T00:00:00"/>
    <x v="2"/>
    <s v="000MOBT25199A0W7                               TRAVEL REIMBURSEMENT   ABUJA  HOTEL  TAXI  NIP_x000a_Transfer from ILORIN INNOVATION HUB LTD"/>
    <s v="Bank charges"/>
    <x v="1"/>
    <n v="50"/>
  </r>
  <r>
    <d v="2025-07-18T00:00:00"/>
    <x v="2"/>
    <s v="000MOBT25199A0W7                               TRAVEL REIMBURSEMENT   ABUJA  HOTEL  TAXI  NIP_x000a_Transfer from ILORIN INNOVATION HUB LTD"/>
    <s v="Bank charges"/>
    <x v="1"/>
    <n v="3.75"/>
  </r>
  <r>
    <d v="2025-07-18T00:00:00"/>
    <x v="2"/>
    <s v="000MOBT25199A0YV              REIMBURSEMENT_x000a_STARLINK  JUL10  AUG10  NIP  Transfer  from ILORIN INNOVATION HUB LTD to TEMILOLU"/>
    <s v="Data and telephone expenses"/>
    <x v="10"/>
    <n v="57000"/>
  </r>
  <r>
    <d v="2025-07-18T00:00:00"/>
    <x v="2"/>
    <s v="000MOBT25199A0YV              REIMBURSEMENT_x000a_STARLINK  JUL10  AUG10  NIP  Transfer  from ILORIN INNOVATION HUB LTD to TEMILOLU"/>
    <s v="Bank charges"/>
    <x v="1"/>
    <n v="50"/>
  </r>
  <r>
    <d v="2025-07-18T00:00:00"/>
    <x v="2"/>
    <s v="000MOBT25199A0YV              REIMBURSEMENT_x000a_STARLINK  JUL10  AUG10  NIP  Transfer  from ILORIN INNOVATION HUB LTD to TEMILOLU"/>
    <s v="Bank charges"/>
    <x v="1"/>
    <n v="3.75"/>
  </r>
  <r>
    <d v="2025-07-21T00:00:00"/>
    <x v="2"/>
    <s v="000MOBT25202A2F1     REFRESHMENTS    3SU_x000a_MENTORSHIP    EVENT    NIP    Transfer    from ILORIN INNOVATION HUB LTD to  BOA FOOD"/>
    <s v="Guest and entertainment"/>
    <x v="13"/>
    <n v="250400"/>
  </r>
  <r>
    <d v="2025-07-21T00:00:00"/>
    <x v="2"/>
    <s v="000MOBT25202A2F1     REFRESHMENTS    3SU_x000a_MENTORSHIP    EVENT    NIP    Transfer    from ILORIN INNOVATION HUB LTD to  BOA FOOD"/>
    <s v="Bank charges"/>
    <x v="1"/>
    <n v="50"/>
  </r>
  <r>
    <d v="2025-07-21T00:00:00"/>
    <x v="2"/>
    <s v="000MOBT25202A2F1     REFRESHMENTS    3SU_x000a_MENTORSHIP    EVENT    NIP    Transfer    from ILORIN INNOVATION HUB LTD to  BOA FOOD"/>
    <s v="Bank charges"/>
    <x v="1"/>
    <n v="3.75"/>
  </r>
  <r>
    <d v="2025-07-21T00:00:00"/>
    <x v="2"/>
    <s v="000MOBT25202ADQO PAYMENT FOR AIRTEL MONTHLY INTERNET BACKUP NIP Transfer from ILORIN INNOVATION HUB LTD to"/>
    <s v="Data and telephone expenses"/>
    <x v="10"/>
    <n v="30000"/>
  </r>
  <r>
    <d v="2025-07-21T00:00:00"/>
    <x v="2"/>
    <s v="000MOBT25202ADQO PAYMENT FOR AIRTEL MONTHLY INTERNET BACKUP NIP Transfer from ILORIN INNOVATION HUB LTD to"/>
    <s v="Bank charges"/>
    <x v="1"/>
    <n v="25"/>
  </r>
  <r>
    <d v="2025-07-21T00:00:00"/>
    <x v="2"/>
    <s v="000MOBT25202ADQO PAYMENT FOR AIRTEL MONTHLY INTERNET BACKUP NIP Transfer from ILORIN INNOVATION HUB LTD to"/>
    <s v="Bank charges"/>
    <x v="1"/>
    <n v="1.8799999952316284"/>
  </r>
  <r>
    <d v="2025-07-22T00:00:00"/>
    <x v="2"/>
    <s v="000MOBT252030888  AC  MAINTENANCE  GAS_x000a_NIP  Transfer  from  ILORIN  INNOVATION  HUB LTD to KAYDEEN INTEGRATED SERVI"/>
    <s v="Repairs and maintenance"/>
    <x v="12"/>
    <n v="370000"/>
  </r>
  <r>
    <d v="2025-07-22T00:00:00"/>
    <x v="2"/>
    <s v="000MOBT252030888  AC  MAINTENANCE  GAS_x000a_NIP  Transfer  from  ILORIN  INNOVATION  HUB LTD to KAYDEEN INTEGRATED SERVI"/>
    <s v="Bank charges"/>
    <x v="1"/>
    <n v="50"/>
  </r>
  <r>
    <d v="2025-07-22T00:00:00"/>
    <x v="2"/>
    <s v="000MOBT252030888  AC  MAINTENANCE  GAS_x000a_NIP  Transfer  from  ILORIN  INNOVATION  HUB LTD to KAYDEEN INTEGRATED SERVI"/>
    <s v="Bank charges"/>
    <x v="1"/>
    <n v="3.75"/>
  </r>
  <r>
    <d v="2025-07-22T00:00:00"/>
    <x v="2"/>
    <s v="000MOBT252037206    REIMBURSEMENT    FOR_x000a_FUEL NIP Transfer from ILORIN INNOVATION HUB LTD to TEMILOLUWA OLUWALEKE"/>
    <s v="Diesel and Fuel"/>
    <x v="22"/>
    <n v="120000"/>
  </r>
  <r>
    <d v="2025-07-22T00:00:00"/>
    <x v="2"/>
    <s v="000MOBT252037206    REIMBURSEMENT    FOR_x000a_FUEL NIP Transfer from ILORIN INNOVATION HUB LTD to TEMILOLUWA OLUWALEKE"/>
    <s v="Bank charges"/>
    <x v="1"/>
    <n v="50"/>
  </r>
  <r>
    <d v="2025-07-22T00:00:00"/>
    <x v="2"/>
    <s v="000MOBT252037206    REIMBURSEMENT    FOR_x000a_FUEL NIP Transfer from ILORIN INNOVATION HUB LTD to TEMILOLUWA OLUWALEKE"/>
    <s v="Bank charges"/>
    <x v="1"/>
    <n v="3.75"/>
  </r>
  <r>
    <d v="2025-07-23T00:00:00"/>
    <x v="2"/>
    <s v="000MOBT25204A0WG  PAYMENT  FOR  STAFF_x000a_ID CARD PRINTING NIP Transfer from ILORIN INNOVATION HUB LTD to PRINT WO"/>
    <s v="Stationery and Office Supplies"/>
    <x v="2"/>
    <n v="48000"/>
  </r>
  <r>
    <d v="2025-07-23T00:00:00"/>
    <x v="2"/>
    <s v="000MOBT25204A0WG  PAYMENT  FOR  STAFF_x000a_ID CARD PRINTING NIP Transfer from ILORIN INNOVATION HUB LTD to PRINT WO"/>
    <s v="Bank charges"/>
    <x v="1"/>
    <n v="25"/>
  </r>
  <r>
    <d v="2025-07-23T00:00:00"/>
    <x v="2"/>
    <s v="000MOBT25204A0WG  PAYMENT  FOR  STAFF_x000a_ID CARD PRINTING NIP Transfer from ILORIN INNOVATION HUB LTD to PRINT WO"/>
    <s v="Bank charges"/>
    <x v="1"/>
    <n v="1.8799999952316284"/>
  </r>
  <r>
    <d v="2025-07-23T00:00:00"/>
    <x v="2"/>
    <s v="000MOBT25204A0XM PAYMENT FOR ID CARD_x000a_LANYARDS  AND  CASES  NIP  Transfer  from ILORIN INNOVATION HUB LTD to LET"/>
    <s v="Stationery and Office Supplies"/>
    <x v="2"/>
    <n v="90000"/>
  </r>
  <r>
    <d v="2025-07-23T00:00:00"/>
    <x v="2"/>
    <s v="000MOBT25204A0XM PAYMENT FOR ID CARD_x000a_LANYARDS  AND  CASES  NIP  Transfer  from ILORIN INNOVATION HUB LTD to LET"/>
    <s v="Bank charges"/>
    <x v="1"/>
    <n v="50"/>
  </r>
  <r>
    <d v="2025-07-23T00:00:00"/>
    <x v="2"/>
    <s v="000MOBT25204A0XM PAYMENT FOR ID CARD_x000a_LANYARDS  AND  CASES  NIP  Transfer  from ILORIN INNOVATION HUB LTD to LET"/>
    <s v="Bank charges"/>
    <x v="1"/>
    <n v="3.75"/>
  </r>
  <r>
    <d v="2025-07-23T00:00:00"/>
    <x v="2"/>
    <s v="000MOBT25204A197    PAYMENT    FOR    3SU_x000a_REFRESHMENTS  WATER  NIP  Transfer  from ILORIN INNOVATION HUB LTD to OLALUWOY"/>
    <s v="Stationery and Office Supplies"/>
    <x v="2"/>
    <n v="40000"/>
  </r>
  <r>
    <d v="2025-07-23T00:00:00"/>
    <x v="2"/>
    <s v="000MOBT25204A197    PAYMENT    FOR    3SU_x000a_REFRESHMENTS  WATER  NIP  Transfer  from ILORIN INNOVATION HUB LTD to OLALUWOY"/>
    <s v="Bank charges"/>
    <x v="1"/>
    <n v="25"/>
  </r>
  <r>
    <d v="2025-07-23T00:00:00"/>
    <x v="2"/>
    <s v="000MOBT25204A197    PAYMENT    FOR    3SU_x000a_REFRESHMENTS  WATER  NIP  Transfer  from ILORIN INNOVATION HUB LTD to OLALUWOY"/>
    <s v="Bank charges"/>
    <x v="1"/>
    <n v="1.8800000101327896"/>
  </r>
  <r>
    <d v="2025-07-24T00:00:00"/>
    <x v="2"/>
    <s v="000MOBT252054108     PAYMENT     FOR     3SU_x000a_REFRESHMENTS  NIP  Transfer  from  ILORIN INNOVATION HUB LTD to  BOA FOODS RES"/>
    <s v="Guest and entertainment"/>
    <x v="13"/>
    <n v="223400"/>
  </r>
  <r>
    <d v="2025-07-24T00:00:00"/>
    <x v="2"/>
    <s v="000MOBT252054108     PAYMENT     FOR     3SU_x000a_REFRESHMENTS  NIP  Transfer  from  ILORIN INNOVATION HUB LTD to  BOA FOODS RES"/>
    <s v="Bank charges"/>
    <x v="1"/>
    <n v="50"/>
  </r>
  <r>
    <d v="2025-07-24T00:00:00"/>
    <x v="2"/>
    <s v="000MOBT252054108     PAYMENT     FOR     3SU_x000a_REFRESHMENTS  NIP  Transfer  from  ILORIN INNOVATION HUB LTD to  BOA FOODS RES"/>
    <s v="Bank charges"/>
    <x v="1"/>
    <n v="3.75"/>
  </r>
  <r>
    <d v="2025-07-24T00:00:00"/>
    <x v="2"/>
    <s v="000MOBT252055681 LUNCH FOR IHS GUESTS_x000a_NIP  Transfer  from  ILORIN  INNOVATION  HUB LTD to THE GREEN DOOR FOOD LA"/>
    <s v="Guest and entertainment"/>
    <x v="15"/>
    <n v="34938"/>
  </r>
  <r>
    <d v="2025-07-24T00:00:00"/>
    <x v="2"/>
    <s v="000MOBT252055681 LUNCH FOR IHS GUESTS_x000a_NIP  Transfer  from  ILORIN  INNOVATION  HUB LTD to THE GREEN DOOR FOOD LA"/>
    <s v="Bank charges"/>
    <x v="1"/>
    <n v="25"/>
  </r>
  <r>
    <d v="2025-07-24T00:00:00"/>
    <x v="2"/>
    <s v="000MOBT252055681 LUNCH FOR IHS GUESTS_x000a_NIP  Transfer  from  ILORIN  INNOVATION  HUB LTD to THE GREEN DOOR FOOD LA"/>
    <s v="Bank charges"/>
    <x v="1"/>
    <n v="1.8799999952316284"/>
  </r>
  <r>
    <d v="2025-07-24T00:00:00"/>
    <x v="2"/>
    <s v="000MOBT252056033 LUNCH FOR IHS GUESTS_x000a_NIP  Transfer  from  ILORIN  INNOVATION  HUB LTD to  BOA FOODS RESTAURANT"/>
    <s v="Guest and entertainment"/>
    <x v="15"/>
    <n v="10000"/>
  </r>
  <r>
    <d v="2025-07-24T00:00:00"/>
    <x v="2"/>
    <s v="000MOBT252056033 LUNCH FOR IHS GUESTS_x000a_NIP  Transfer  from  ILORIN  INNOVATION  HUB LTD to  BOA FOODS RESTAURANT"/>
    <s v="Bank charges"/>
    <x v="1"/>
    <n v="25"/>
  </r>
  <r>
    <d v="2025-07-24T00:00:00"/>
    <x v="2"/>
    <s v="000MOBT252056033 LUNCH FOR IHS GUESTS_x000a_NIP  Transfer  from  ILORIN  INNOVATION  HUB LTD to  BOA FOODS RESTAURANT"/>
    <s v="Bank charges"/>
    <x v="1"/>
    <n v="1.8799999952316284"/>
  </r>
  <r>
    <d v="2025-07-24T00:00:00"/>
    <x v="2"/>
    <s v="000MOBT252057480 LUNCH FOR IHS GUESTS_x000a_NIP  Transfer  from  ILORIN  INNOVATION  HUB LTD to DAVID ABIDEMI OWOJAIYE"/>
    <s v="Guest and entertainment"/>
    <x v="15"/>
    <n v="12138"/>
  </r>
  <r>
    <d v="2025-07-24T00:00:00"/>
    <x v="2"/>
    <s v="000MOBT252057480 LUNCH FOR IHS GUESTS_x000a_NIP  Transfer  from  ILORIN  INNOVATION  HUB LTD to DAVID ABIDEMI OWOJAIYE"/>
    <s v="Bank charges"/>
    <x v="1"/>
    <n v="25"/>
  </r>
  <r>
    <d v="2025-07-24T00:00:00"/>
    <x v="2"/>
    <s v="000MOBT252057480 LUNCH FOR IHS GUESTS_x000a_NIP  Transfer  from  ILORIN  INNOVATION  HUB LTD to DAVID ABIDEMI OWOJAIYE"/>
    <s v="Bank charges"/>
    <x v="1"/>
    <n v="1.8800000101327896"/>
  </r>
  <r>
    <d v="2025-07-24T00:00:00"/>
    <x v="2"/>
    <s v="000MOBT25205A11V   REIMBURSEMENT   FOR_x000a_REFRESHMENTS TA COMM NIP Transfer from ILORIN INNOVATION HUB LTD to HENR"/>
    <s v="Guest and entertainment"/>
    <x v="13"/>
    <n v="25900"/>
  </r>
  <r>
    <d v="2025-07-24T00:00:00"/>
    <x v="2"/>
    <s v="000MOBT25205A11V   REIMBURSEMENT   FOR_x000a_REFRESHMENTS TA COMM NIP Transfer from ILORIN INNOVATION HUB LTD to HENR"/>
    <s v="Bank charges"/>
    <x v="1"/>
    <n v="25"/>
  </r>
  <r>
    <d v="2025-07-24T00:00:00"/>
    <x v="2"/>
    <s v="000MOBT25205A11V   REIMBURSEMENT   FOR_x000a_REFRESHMENTS TA COMM NIP Transfer from ILORIN INNOVATION HUB LTD to HENR"/>
    <s v="Bank charges"/>
    <x v="1"/>
    <n v="1.8799999952316284"/>
  </r>
  <r>
    <d v="2025-07-24T00:00:00"/>
    <x v="2"/>
    <s v="000MOBT25205A12X   REIMBURSEMENT   FOR_x000a_REFRESHMENTS   EODB   NIP   Transfer   from ILORIN INNOVATION HUB LTD to ONUCHUK"/>
    <s v="Guest and entertainment"/>
    <x v="13"/>
    <n v="13200"/>
  </r>
  <r>
    <d v="2025-07-24T00:00:00"/>
    <x v="2"/>
    <s v="000MOBT25205A12X   REIMBURSEMENT   FOR_x000a_REFRESHMENTS   EODB   NIP   Transfer   from ILORIN INNOVATION HUB LTD to ONUCHUK"/>
    <s v="Bank charges"/>
    <x v="1"/>
    <n v="25"/>
  </r>
  <r>
    <d v="2025-07-24T00:00:00"/>
    <x v="2"/>
    <s v="000MOBT25205A12X   REIMBURSEMENT   FOR_x000a_REFRESHMENTS   EODB   NIP   Transfer   from ILORIN INNOVATION HUB LTD to ONUCHUK"/>
    <s v="Bank charges"/>
    <x v="1"/>
    <n v="1.8799999952316284"/>
  </r>
  <r>
    <d v="2025-07-25T00:00:00"/>
    <x v="2"/>
    <s v="000MOBT252067575     PAYMENT     FOR     3SU_x000a_REFRESHMENTS  NIP  Transfer  from  ILORIN INNOVATION HUB LTD to  BOA FOODS RES"/>
    <s v="Guest and entertainment"/>
    <x v="13"/>
    <n v="250400"/>
  </r>
  <r>
    <d v="2025-07-25T00:00:00"/>
    <x v="2"/>
    <s v="000MOBT252067575     PAYMENT     FOR     3SU_x000a_REFRESHMENTS  NIP  Transfer  from  ILORIN INNOVATION HUB LTD to  BOA FOODS RES"/>
    <s v="Bank charges"/>
    <x v="1"/>
    <n v="50"/>
  </r>
  <r>
    <d v="2025-07-25T00:00:00"/>
    <x v="2"/>
    <s v="000MOBT252067575     PAYMENT     FOR     3SU_x000a_REFRESHMENTS  NIP  Transfer  from  ILORIN INNOVATION HUB LTD to  BOA FOODS RES"/>
    <s v="Bank charges"/>
    <x v="1"/>
    <n v="3.75"/>
  </r>
  <r>
    <d v="2025-07-25T00:00:00"/>
    <x v="2"/>
    <s v="016NIPO252060019   NIP  -  ILH  SALARY  JUL_x000a_2025"/>
    <s v="Salaries and Wages"/>
    <x v="7"/>
    <n v="3570659.4399999976"/>
  </r>
  <r>
    <d v="2025-07-25T00:00:00"/>
    <x v="2"/>
    <s v="016NIPC252060019 NIP Charge - ILH SALARY JUL 2025"/>
    <s v="Bank charges"/>
    <x v="1"/>
    <n v="50"/>
  </r>
  <r>
    <d v="2025-07-25T00:00:00"/>
    <x v="2"/>
    <s v="016VATP252060019   NIP   Charge   VAT   -   ILH SALARY JUL 2025"/>
    <s v="Bank charges"/>
    <x v="1"/>
    <n v="3.75"/>
  </r>
  <r>
    <d v="2025-07-25T00:00:00"/>
    <x v="2"/>
    <s v="016NIPO252060020   NIP  -  ILH  SALARY  JUL_x000a_2025"/>
    <s v="Salaries and Wages"/>
    <x v="7"/>
    <n v="2070487.4800000042"/>
  </r>
  <r>
    <d v="2025-07-25T00:00:00"/>
    <x v="2"/>
    <s v="016NIPC252060020 NIP Charge - ILH SALARY JUL 2025"/>
    <s v="Bank charges"/>
    <x v="1"/>
    <n v="50"/>
  </r>
  <r>
    <d v="2025-07-25T00:00:00"/>
    <x v="2"/>
    <s v="016VATP252060020   NIP   Charge   VAT   -   ILH SALARY JUL 2025"/>
    <s v="Bank charges"/>
    <x v="1"/>
    <n v="3.75"/>
  </r>
  <r>
    <d v="2025-07-25T00:00:00"/>
    <x v="2"/>
    <s v="016NIPO252060021   NIP  -  ILH  SALARY  JUL_x000a_2025"/>
    <s v="Salaries and Wages"/>
    <x v="7"/>
    <n v="476225"/>
  </r>
  <r>
    <d v="2025-07-25T00:00:00"/>
    <x v="2"/>
    <s v="016NIPC252060021 NIP Charge - ILH SALARY JUL 2025"/>
    <s v="Bank charges"/>
    <x v="1"/>
    <n v="50"/>
  </r>
  <r>
    <d v="2025-07-25T00:00:00"/>
    <x v="2"/>
    <s v="016VATP252060021   NIP   Charge   VAT   -   ILH SALARY JUL 2025"/>
    <s v="Bank charges"/>
    <x v="1"/>
    <n v="3.75"/>
  </r>
  <r>
    <d v="2025-07-25T00:00:00"/>
    <x v="2"/>
    <s v="016NIPO252060022   NIP  -  ILH  SALARY  JUL_x000a_2025"/>
    <s v="Salaries and Wages"/>
    <x v="7"/>
    <n v="284491.57000000775"/>
  </r>
  <r>
    <d v="2025-07-25T00:00:00"/>
    <x v="2"/>
    <s v="016NIPC252060022 NIP Charge - ILH SALARY JUL 2025"/>
    <s v="Bank charges"/>
    <x v="1"/>
    <n v="50"/>
  </r>
  <r>
    <d v="2025-07-25T00:00:00"/>
    <x v="2"/>
    <s v="016VATP252060022   NIP   Charge   VAT   -   ILH SALARY JUL 2025"/>
    <s v="Bank charges"/>
    <x v="1"/>
    <n v="3.75"/>
  </r>
  <r>
    <d v="2025-07-25T00:00:00"/>
    <x v="2"/>
    <s v="016NIPO252060023   NIP  -  ILH  SALARY  JUL_x000a_2025"/>
    <s v="Salaries and Wages"/>
    <x v="7"/>
    <n v="284491.56999999285"/>
  </r>
  <r>
    <d v="2025-07-25T00:00:00"/>
    <x v="2"/>
    <s v="016NIPC252060023 NIP Charge - ILH SALARY JUL 2025"/>
    <s v="Bank charges"/>
    <x v="1"/>
    <n v="50"/>
  </r>
  <r>
    <d v="2025-07-25T00:00:00"/>
    <x v="2"/>
    <s v="016VATP252060023   NIP   Charge   VAT   -   ILH SALARY JUL 2025"/>
    <s v="Bank charges"/>
    <x v="1"/>
    <n v="3.75"/>
  </r>
  <r>
    <d v="2025-07-25T00:00:00"/>
    <x v="2"/>
    <s v="016NIPO252060024   NIP  -  ILH  SALARY  JUL_x000a_2025"/>
    <s v="Salaries and Wages"/>
    <x v="7"/>
    <n v="284491.57000000775"/>
  </r>
  <r>
    <d v="2025-07-25T00:00:00"/>
    <x v="2"/>
    <s v="016NIPC252060024 NIP Charge - ILH SALARY JUL 2025"/>
    <s v="Bank charges"/>
    <x v="1"/>
    <n v="50"/>
  </r>
  <r>
    <d v="2025-07-25T00:00:00"/>
    <x v="2"/>
    <s v="016VATP252060024   NIP   Charge   VAT   -   ILH SALARY JUL 2025"/>
    <s v="Bank charges"/>
    <x v="1"/>
    <n v="3.75"/>
  </r>
  <r>
    <d v="2025-07-25T00:00:00"/>
    <x v="2"/>
    <s v="016NIPO252060025   NIP  -  ILH  SALARY  JUL_x000a_2025"/>
    <s v="Salaries and Wages"/>
    <x v="7"/>
    <n v="284491.56999999285"/>
  </r>
  <r>
    <d v="2025-07-25T00:00:00"/>
    <x v="2"/>
    <s v="016NIPC252060025 NIP Charge - ILH SALARY JUL 2025"/>
    <s v="Bank charges"/>
    <x v="1"/>
    <n v="50"/>
  </r>
  <r>
    <d v="2025-07-25T00:00:00"/>
    <x v="2"/>
    <s v="016VATP252060025   NIP   Charge   VAT   -   ILH SALARY JUL 2025"/>
    <s v="Bank charges"/>
    <x v="1"/>
    <n v="3.75"/>
  </r>
  <r>
    <d v="2025-07-25T00:00:00"/>
    <x v="2"/>
    <s v="016NIPO252060026   NIP  -  ILH  SALARY  JUL_x000a_2025"/>
    <s v="Salaries and Wages"/>
    <x v="7"/>
    <n v="284491.57000000775"/>
  </r>
  <r>
    <d v="2025-07-25T00:00:00"/>
    <x v="2"/>
    <s v="016NIPC252060026 NIP Charge - ILH SALARY JUL 2025"/>
    <s v="Bank charges"/>
    <x v="1"/>
    <n v="50"/>
  </r>
  <r>
    <d v="2025-07-25T00:00:00"/>
    <x v="2"/>
    <s v="016VATP252060026   NIP   Charge   VAT   -   ILH SALARY JUL 2025"/>
    <s v="Bank charges"/>
    <x v="1"/>
    <n v="3.75"/>
  </r>
  <r>
    <d v="2025-07-25T00:00:00"/>
    <x v="2"/>
    <s v="016NIPO252060028   NIP  -  ILH  SALARY  JUL_x000a_2025"/>
    <s v="Salaries and Wages"/>
    <x v="7"/>
    <n v="284491.56999999285"/>
  </r>
  <r>
    <d v="2025-07-25T00:00:00"/>
    <x v="2"/>
    <s v="016NIPC252060028 NIP Charge - ILH SALARY JUL 2025"/>
    <s v="Bank charges"/>
    <x v="1"/>
    <n v="50"/>
  </r>
  <r>
    <d v="2025-07-25T00:00:00"/>
    <x v="2"/>
    <s v="016VATP252060028   NIP   Charge   VAT   -   ILH SALARY JUL 2025"/>
    <s v="Bank charges"/>
    <x v="1"/>
    <n v="3.75"/>
  </r>
  <r>
    <d v="2025-07-25T00:00:00"/>
    <x v="2"/>
    <s v="016NIPO252060029   NIP  -  ILH  SALARY  JUL_x000a_2025"/>
    <s v="Salaries and Wages"/>
    <x v="7"/>
    <n v="284491.57000000775"/>
  </r>
  <r>
    <d v="2025-07-25T00:00:00"/>
    <x v="2"/>
    <s v="016NIPC252060029 NIP Charge - ILH SALARY JUL 2025"/>
    <s v="Bank charges"/>
    <x v="1"/>
    <n v="50"/>
  </r>
  <r>
    <d v="2025-07-25T00:00:00"/>
    <x v="2"/>
    <s v="016VATP252060029   NIP   Charge   VAT   -   ILH SALARY JUL 2025"/>
    <s v="Bank charges"/>
    <x v="1"/>
    <n v="3.75"/>
  </r>
  <r>
    <d v="2025-07-25T00:00:00"/>
    <x v="2"/>
    <s v="016NIPO252060030   NIP  -  ILH  SALARY  JUL_x000a_2025"/>
    <s v="Salaries and Wages"/>
    <x v="7"/>
    <n v="284491.56999999285"/>
  </r>
  <r>
    <d v="2025-07-25T00:00:00"/>
    <x v="2"/>
    <s v="016NIPC252060030 NIP Charge - ILH SALARY JUL 2025"/>
    <s v="Bank charges"/>
    <x v="1"/>
    <n v="50"/>
  </r>
  <r>
    <d v="2025-07-25T00:00:00"/>
    <x v="2"/>
    <s v="016VATP252060030   NIP   Charge   VAT   -   ILH SALARY JUL 2025"/>
    <s v="Bank charges"/>
    <x v="1"/>
    <n v="3.75"/>
  </r>
  <r>
    <d v="2025-07-25T00:00:00"/>
    <x v="2"/>
    <s v="016NIPO252060031   NIP  -  ILH  SALARY  JUL_x000a_2025"/>
    <s v="Salaries and Wages"/>
    <x v="7"/>
    <n v="284491.57000000775"/>
  </r>
  <r>
    <d v="2025-07-25T00:00:00"/>
    <x v="2"/>
    <s v="016NIPC252060031 NIP Charge - ILH SALARY JUL 2025"/>
    <s v="Bank charges"/>
    <x v="1"/>
    <n v="50"/>
  </r>
  <r>
    <d v="2025-07-25T00:00:00"/>
    <x v="2"/>
    <s v="016VATP252060031   NIP   Charge   VAT   -   ILH SALARY JUL 2025"/>
    <s v="Bank charges"/>
    <x v="1"/>
    <n v="3.75"/>
  </r>
  <r>
    <d v="2025-07-25T00:00:00"/>
    <x v="2"/>
    <s v="016NIPO252060032   NIP  -  ILH  SALARY  JUL_x000a_2025"/>
    <s v="Salaries and Wages"/>
    <x v="7"/>
    <n v="152194.92999999225"/>
  </r>
  <r>
    <d v="2025-07-25T00:00:00"/>
    <x v="2"/>
    <s v="016NIPC252060032 NIP Charge - ILH SALARY JUL 2025"/>
    <s v="Bank charges"/>
    <x v="1"/>
    <n v="50"/>
  </r>
  <r>
    <d v="2025-07-25T00:00:00"/>
    <x v="2"/>
    <s v="016VATP252060032   NIP   Charge   VAT   -   ILH SALARY JUL 2025"/>
    <s v="Bank charges"/>
    <x v="1"/>
    <n v="3.75"/>
  </r>
  <r>
    <d v="2025-07-25T00:00:00"/>
    <x v="2"/>
    <s v="016NIPO252060033   NIP  -  ILH  SALARY  JUL_x000a_2025"/>
    <s v="Salaries and Wages"/>
    <x v="7"/>
    <n v="284491.57000000775"/>
  </r>
  <r>
    <d v="2025-07-25T00:00:00"/>
    <x v="2"/>
    <s v="016NIPC252060033 NIP Charge - ILH SALARY JUL 2025"/>
    <s v="Bank charges"/>
    <x v="1"/>
    <n v="50"/>
  </r>
  <r>
    <d v="2025-07-25T00:00:00"/>
    <x v="2"/>
    <s v="016VATP252060033   NIP   Charge   VAT   -   ILH SALARY JUL 2025"/>
    <s v="Bank charges"/>
    <x v="1"/>
    <n v="3.75"/>
  </r>
  <r>
    <d v="2025-07-25T00:00:00"/>
    <x v="2"/>
    <s v="016NIPO252060034   NIP  -  ILH  SALARY  JUL_x000a_2025"/>
    <s v="Salaries and Wages"/>
    <x v="7"/>
    <n v="152194.92999999225"/>
  </r>
  <r>
    <d v="2025-07-25T00:00:00"/>
    <x v="2"/>
    <s v="016NIPC252060034 NIP Charge - ILH SALARY JUL 2025"/>
    <s v="Bank charges"/>
    <x v="1"/>
    <n v="50"/>
  </r>
  <r>
    <d v="2025-07-25T00:00:00"/>
    <x v="2"/>
    <s v="016VATP252060034   NIP   Charge   VAT   -   ILH SALARY JUL 2025"/>
    <s v="Bank charges"/>
    <x v="1"/>
    <n v="3.75"/>
  </r>
  <r>
    <d v="2025-07-25T00:00:00"/>
    <x v="2"/>
    <s v="016NIPO252060035   NIP  -  ILH  SALARY  JUL_x000a_2025"/>
    <s v="Salaries and Wages"/>
    <x v="7"/>
    <n v="75000"/>
  </r>
  <r>
    <d v="2025-07-25T00:00:00"/>
    <x v="2"/>
    <s v="016NIPC252060035 NIP Charge - ILH SALARY JUL 2025"/>
    <s v="Bank charges"/>
    <x v="1"/>
    <n v="50"/>
  </r>
  <r>
    <d v="2025-07-25T00:00:00"/>
    <x v="2"/>
    <s v="016VATP252060035   NIP   Charge   VAT   -   ILH SALARY JUL 2025"/>
    <s v="Bank charges"/>
    <x v="1"/>
    <n v="3.75"/>
  </r>
  <r>
    <d v="2025-07-25T00:00:00"/>
    <x v="2"/>
    <s v="016NIPO252060036   NIP  -  ILH  SALARY  JUL_x000a_2025"/>
    <s v="Salaries and Wages"/>
    <x v="7"/>
    <n v="75000"/>
  </r>
  <r>
    <d v="2025-07-25T00:00:00"/>
    <x v="2"/>
    <s v="016NIPC252060036 NIP Charge - ILH SALARY JUL 2025"/>
    <s v="Bank charges"/>
    <x v="1"/>
    <n v="50"/>
  </r>
  <r>
    <d v="2025-07-25T00:00:00"/>
    <x v="2"/>
    <s v="016VATP252060036   NIP   Charge   VAT   -   ILH SALARY JUL 2025"/>
    <s v="Bank charges"/>
    <x v="1"/>
    <n v="3.75"/>
  </r>
  <r>
    <d v="2025-07-25T00:00:00"/>
    <x v="2"/>
    <s v="016NIPO252060037   NIP  -  ILH  SALARY  JUL_x000a_2025"/>
    <s v="Salaries and Wages"/>
    <x v="7"/>
    <n v="75000"/>
  </r>
  <r>
    <d v="2025-07-25T00:00:00"/>
    <x v="2"/>
    <s v="016NIPC252060037 NIP Charge - ILH SALARY JUL 2025"/>
    <s v="Bank charges"/>
    <x v="1"/>
    <n v="50"/>
  </r>
  <r>
    <d v="2025-07-25T00:00:00"/>
    <x v="2"/>
    <s v="016VATP252060037   NIP   Charge   VAT   -   ILH SALARY JUL 2025"/>
    <s v="Bank charges"/>
    <x v="1"/>
    <n v="3.75"/>
  </r>
  <r>
    <d v="2025-07-25T00:00:00"/>
    <x v="2"/>
    <s v="016NIPO252060038   NIP  -  ILH  SALARY  JUL_x000a_2025"/>
    <s v="Salaries and Wages"/>
    <x v="7"/>
    <n v="66000"/>
  </r>
  <r>
    <d v="2025-07-25T00:00:00"/>
    <x v="2"/>
    <s v="016NIPC252060038 NIP Charge - ILH SALARY JUL 2025"/>
    <s v="Bank charges"/>
    <x v="1"/>
    <n v="50"/>
  </r>
  <r>
    <d v="2025-07-25T00:00:00"/>
    <x v="2"/>
    <s v="016VATP252060038   NIP   Charge   VAT   -   ILH SALARY JUL 2025"/>
    <s v="Bank charges"/>
    <x v="1"/>
    <n v="3.75"/>
  </r>
  <r>
    <d v="2025-07-25T00:00:00"/>
    <x v="2"/>
    <s v="016NIPO252060039   NIP  -  ILH  SALARY  JUL_x000a_2025"/>
    <s v="Salaries and Wages"/>
    <x v="7"/>
    <n v="66000"/>
  </r>
  <r>
    <d v="2025-07-25T00:00:00"/>
    <x v="2"/>
    <s v="016NIPC252060039 NIP Charge - ILH SALARY JUL 2025"/>
    <s v="Bank charges"/>
    <x v="1"/>
    <n v="50"/>
  </r>
  <r>
    <d v="2025-07-25T00:00:00"/>
    <x v="2"/>
    <s v="016VATP252060039   NIP   Charge   VAT   -   ILH SALARY JUL 2025"/>
    <s v="Bank charges"/>
    <x v="1"/>
    <n v="3.75"/>
  </r>
  <r>
    <d v="2025-07-25T00:00:00"/>
    <x v="2"/>
    <s v="016NIPO252060040   NIP  -  ILH  SALARY  JUL_x000a_2025"/>
    <s v="Salaries and Wages"/>
    <x v="7"/>
    <n v="66000"/>
  </r>
  <r>
    <d v="2025-07-25T00:00:00"/>
    <x v="2"/>
    <s v="016NIPC252060040 NIP Charge - ILH SALARY JUL 2025"/>
    <s v="Bank charges"/>
    <x v="1"/>
    <n v="50"/>
  </r>
  <r>
    <d v="2025-07-25T00:00:00"/>
    <x v="2"/>
    <s v="016VATP252060040   NIP   Charge   VAT   -   ILH SALARY JUL 2025"/>
    <s v="Bank charges"/>
    <x v="1"/>
    <n v="3.75"/>
  </r>
  <r>
    <d v="2025-07-25T00:00:00"/>
    <x v="2"/>
    <s v="016NIPO252060041   NIP  -  ILH  SALARY  JUL_x000a_2025"/>
    <s v="Salaries and Wages"/>
    <x v="7"/>
    <n v="66000"/>
  </r>
  <r>
    <d v="2025-07-25T00:00:00"/>
    <x v="2"/>
    <s v="016NIPC252060041 NIP Charge - ILH SALARY JUL 2025"/>
    <s v="Bank charges"/>
    <x v="1"/>
    <n v="50"/>
  </r>
  <r>
    <d v="2025-07-25T00:00:00"/>
    <x v="2"/>
    <s v="016VATP252060041   NIP   Charge   VAT   -   ILH SALARY JUL 2025"/>
    <s v="Bank charges"/>
    <x v="1"/>
    <n v="3.75"/>
  </r>
  <r>
    <d v="2025-07-25T00:00:00"/>
    <x v="2"/>
    <s v="016NIPO252060042   NIP  -  ILH  SALARY  JUL_x000a_2025"/>
    <s v="Salaries and Wages"/>
    <x v="7"/>
    <n v="66000"/>
  </r>
  <r>
    <d v="2025-07-25T00:00:00"/>
    <x v="2"/>
    <s v="016NIPC252060042 NIP Charge - ILH SALARY JUL 2025"/>
    <s v="Bank charges"/>
    <x v="1"/>
    <n v="50"/>
  </r>
  <r>
    <d v="2025-07-25T00:00:00"/>
    <x v="2"/>
    <s v="016VATP252060042   NIP   Charge   VAT   -   ILH SALARY JUL 2025"/>
    <s v="Bank charges"/>
    <x v="1"/>
    <n v="3.75"/>
  </r>
  <r>
    <d v="2025-07-25T00:00:00"/>
    <x v="2"/>
    <s v="016NIPO252060043   NIP  -  ILH  SALARY  JUL_x000a_2025"/>
    <s v="Salaries and Wages"/>
    <x v="7"/>
    <n v="66000"/>
  </r>
  <r>
    <d v="2025-07-25T00:00:00"/>
    <x v="2"/>
    <s v="016NIPC252060043 NIP Charge - ILH SALARY JUL 2025"/>
    <s v="Bank charges"/>
    <x v="1"/>
    <n v="50"/>
  </r>
  <r>
    <d v="2025-07-25T00:00:00"/>
    <x v="2"/>
    <s v="016VATP252060043   NIP   Charge   VAT   -   ILH SALARY JUL 2025"/>
    <s v="Bank charges"/>
    <x v="1"/>
    <n v="3.75"/>
  </r>
  <r>
    <d v="2025-07-25T00:00:00"/>
    <x v="2"/>
    <s v="016NIPO252060044   NIP  -  ILH  SALARY  JUL_x000a_2025"/>
    <s v="Salaries and Wages"/>
    <x v="7"/>
    <n v="66000"/>
  </r>
  <r>
    <d v="2025-07-25T00:00:00"/>
    <x v="2"/>
    <s v="016NIPC252060044 NIP Charge - ILH SALARY JUL 2025"/>
    <s v="Bank charges"/>
    <x v="1"/>
    <n v="50"/>
  </r>
  <r>
    <d v="2025-07-25T00:00:00"/>
    <x v="2"/>
    <s v="016VATP252060044   NIP   Charge   VAT   -   ILH SALARY JUL 2025"/>
    <s v="Bank charges"/>
    <x v="1"/>
    <n v="3.75"/>
  </r>
  <r>
    <d v="2025-07-25T00:00:00"/>
    <x v="2"/>
    <s v="016NIPO252060045   NIP  -  ILH  SALARY  JUL_x000a_2025"/>
    <s v="Salaries and Wages"/>
    <x v="7"/>
    <n v="152194.93000000715"/>
  </r>
  <r>
    <d v="2025-07-25T00:00:00"/>
    <x v="2"/>
    <s v="016NIPC252060045 NIP Charge - ILH SALARY JUL 2025"/>
    <s v="Bank charges"/>
    <x v="1"/>
    <n v="50"/>
  </r>
  <r>
    <d v="2025-07-25T00:00:00"/>
    <x v="2"/>
    <s v="016VATP252060045   NIP   Charge   VAT   -   ILH SALARY JUL 2025"/>
    <s v="Bank charges"/>
    <x v="1"/>
    <n v="3.75"/>
  </r>
  <r>
    <d v="2025-07-28T00:00:00"/>
    <x v="2"/>
    <s v="000MOBT25209AM38 JULY OFFICE SUPPLIES_x000a_NIP  Transfer  from  ILORIN  INNOVATION  HUB LTD to MAUREEN DANIEL OKEY"/>
    <s v="Stationery and Office Supplies"/>
    <x v="2"/>
    <n v="150000"/>
  </r>
  <r>
    <d v="2025-07-28T00:00:00"/>
    <x v="2"/>
    <s v="000MOBT25209AM38 JULY OFFICE SUPPLIES_x000a_NIP  Transfer  from  ILORIN  INNOVATION  HUB LTD to MAUREEN DANIEL OKEY"/>
    <s v="Bank charges"/>
    <x v="1"/>
    <n v="50"/>
  </r>
  <r>
    <d v="2025-07-28T00:00:00"/>
    <x v="2"/>
    <s v="000MOBT25209AM38 JULY OFFICE SUPPLIES_x000a_NIP  Transfer  from  ILORIN  INNOVATION  HUB LTD to MAUREEN DANIEL OKEY"/>
    <s v="Bank charges"/>
    <x v="1"/>
    <n v="3.75"/>
  </r>
  <r>
    <d v="2025-07-29T00:00:00"/>
    <x v="2"/>
    <s v="000MOBT252101281  MD  ILORINLAGOS  TRIP_x000a_NIP  Transfer  from  ILORIN  INNOVATION  HUB LTD to PAYSTACK CHECKOUT"/>
    <s v="Transport and Travel"/>
    <x v="18"/>
    <n v="302000"/>
  </r>
  <r>
    <d v="2025-07-29T00:00:00"/>
    <x v="2"/>
    <s v="000MOBT252101281  MD  ILORINLAGOS  TRIP_x000a_NIP  Transfer  from  ILORIN  INNOVATION  HUB LTD to PAYSTACK CHECKOUT"/>
    <s v="Bank charges"/>
    <x v="1"/>
    <n v="50"/>
  </r>
  <r>
    <d v="2025-07-29T00:00:00"/>
    <x v="2"/>
    <s v="000MOBT252101281  MD  ILORINLAGOS  TRIP_x000a_NIP  Transfer  from  ILORIN  INNOVATION  HUB LTD to PAYSTACK CHECKOUT"/>
    <s v="Bank charges"/>
    <x v="1"/>
    <n v="3.75"/>
  </r>
  <r>
    <d v="2025-07-29T00:00:00"/>
    <x v="2"/>
    <s v="016NIPO252100014   NIP   -   BEING   PAYMENT FOR PURCHASE OF 160A 4 POLE BEAKER"/>
    <s v="Repairs and maintenance"/>
    <x v="12"/>
    <n v="44000"/>
  </r>
  <r>
    <d v="2025-07-29T00:00:00"/>
    <x v="2"/>
    <s v="016NIPC252100013 NIP Charge - BEING PAYMENT FOR PURCHASE OF 160A 4 POLE BEAKER"/>
    <s v="Bank charges"/>
    <x v="1"/>
    <n v="25"/>
  </r>
  <r>
    <d v="2025-07-29T00:00:00"/>
    <x v="2"/>
    <s v="016VATP252100013 NIP  Charge VAT - BEING PAYMENT FOR PURCHASE OF 160A 4 POLE BEAKER"/>
    <s v="Bank charges"/>
    <x v="1"/>
    <n v="1.8799999952316284"/>
  </r>
  <r>
    <d v="2025-07-29T00:00:00"/>
    <x v="2"/>
    <s v="016NIPO252100015 NIP - BNG PYT TO HIRE AND  TRANSPORT  20KVA  DIESEL GENERATOR FOR 7 DAYS"/>
    <s v="Rentals"/>
    <x v="23"/>
    <n v="380000"/>
  </r>
  <r>
    <d v="2025-07-29T00:00:00"/>
    <x v="2"/>
    <s v="016NIPC252100014 NIP Charge - BNG PYT TO HIRE AND TRANSPORT 20KVA DIESEL GENERATOR FOR 7 DAYS"/>
    <s v="Bank charges"/>
    <x v="1"/>
    <n v="50"/>
  </r>
  <r>
    <d v="2025-07-29T00:00:00"/>
    <x v="2"/>
    <s v="016VATP252100014 NIP Charge VAT - BNG PYT TO HIRE AND TRANSPORT 20KVA DIESEL GENERATOR FOR 7 DAYS"/>
    <s v="Bank charges"/>
    <x v="1"/>
    <n v="3.75"/>
  </r>
  <r>
    <d v="2025-07-29T00:00:00"/>
    <x v="2"/>
    <s v="016NIPT252100475  NIP  TRSF  FROM  ISREAL_x000a_ABIODUN     Premium-Refund     of     generator rentage @ ilorin innov"/>
    <s v="Rentals"/>
    <x v="23"/>
    <n v="-380000"/>
  </r>
  <r>
    <d v="2025-07-29T00:00:00"/>
    <x v="2"/>
    <s v="000MOBT25210A23U   PAYMENT   FOR   20KVA GEN  RENTAL  AND  TRANSPORT  ELEVATOR_x000a_INSTALL NIP Transfer from ILORIN INNOV"/>
    <s v="Rentals"/>
    <x v="23"/>
    <n v="120000"/>
  </r>
  <r>
    <d v="2025-07-29T00:00:00"/>
    <x v="2"/>
    <s v="000MOBT25210A23U   PAYMENT   FOR   20KVA GEN  RENTAL  AND  TRANSPORT  ELEVATOR_x000a_INSTALL NIP Transfer from ILORIN INNOV"/>
    <s v="Bank charges"/>
    <x v="1"/>
    <n v="50"/>
  </r>
  <r>
    <d v="2025-07-29T00:00:00"/>
    <x v="2"/>
    <s v="000MOBT25210A23U   PAYMENT   FOR   20KVA GEN  RENTAL  AND  TRANSPORT  ELEVATOR_x000a_INSTALL NIP Transfer from ILORIN INNOV"/>
    <s v="Bank charges"/>
    <x v="1"/>
    <n v="3.75"/>
  </r>
  <r>
    <d v="2025-07-29T00:00:00"/>
    <x v="2"/>
    <s v="016EMTL2521000EA     ELECTRONIC     MONEY TRANSFER LEVY"/>
    <s v="Bank charges"/>
    <x v="1"/>
    <n v="50"/>
  </r>
  <r>
    <d v="2025-07-30T00:00:00"/>
    <x v="2"/>
    <s v="000MOBT252115101    PAYMENT   FOR   FOOD_x000a_FOR  IHS  GUESTS  NIP  Transfer  from  ILORIN INNOVATION HUB LTD to  BOA FOODS"/>
    <s v="Guest and entertainment"/>
    <x v="15"/>
    <n v="32000"/>
  </r>
  <r>
    <d v="2025-07-30T00:00:00"/>
    <x v="2"/>
    <s v="000MOBT252115101    PAYMENT   FOR   FOOD_x000a_FOR  IHS  GUESTS  NIP  Transfer  from  ILORIN INNOVATION HUB LTD to  BOA FOODS"/>
    <s v="Bank charges"/>
    <x v="1"/>
    <n v="25"/>
  </r>
  <r>
    <d v="2025-07-30T00:00:00"/>
    <x v="2"/>
    <s v="000MOBT252115101    PAYMENT   FOR   FOOD_x000a_FOR  IHS  GUESTS  NIP  Transfer  from  ILORIN INNOVATION HUB LTD to  BOA FOODS"/>
    <s v="Bank charges"/>
    <x v="1"/>
    <n v="1.8799999952316284"/>
  </r>
  <r>
    <d v="2025-07-30T00:00:00"/>
    <x v="2"/>
    <s v="000MOBT252116629   PAYMENT   FOR   STAFF_x000a_TRAINING  LUNCH  NIP  Transfer  from  ILORIN INNOVATION HUB LTD to  BOA FOODS"/>
    <s v="Guest and entertainment"/>
    <x v="15"/>
    <n v="136400"/>
  </r>
  <r>
    <d v="2025-07-30T00:00:00"/>
    <x v="2"/>
    <s v="000MOBT252116629   PAYMENT   FOR   STAFF_x000a_TRAINING  LUNCH  NIP  Transfer  from  ILORIN INNOVATION HUB LTD to  BOA FOODS"/>
    <s v="Bank charges"/>
    <x v="1"/>
    <n v="50"/>
  </r>
  <r>
    <d v="2025-07-30T00:00:00"/>
    <x v="2"/>
    <s v="000MOBT252116629   PAYMENT   FOR   STAFF_x000a_TRAINING  LUNCH  NIP  Transfer  from  ILORIN INNOVATION HUB LTD to  BOA FOODS"/>
    <s v="Bank charges"/>
    <x v="1"/>
    <n v="3.75"/>
  </r>
  <r>
    <d v="2025-07-30T00:00:00"/>
    <x v="2"/>
    <s v="000MOBT25211A0YD   REIMBURSEMENT   FOR_x000a_GUEST  REFRESHMENTS  NIP  Transfer  from ILORIN INNOVATION HUB LTD to MAUREE"/>
    <s v="Guest and entertainment"/>
    <x v="13"/>
    <n v="13300"/>
  </r>
  <r>
    <d v="2025-07-30T00:00:00"/>
    <x v="2"/>
    <s v="000MOBT25211A0YD   REIMBURSEMENT   FOR_x000a_GUEST  REFRESHMENTS  NIP  Transfer  from ILORIN INNOVATION HUB LTD to MAUREE"/>
    <s v="Bank charges"/>
    <x v="1"/>
    <n v="25"/>
  </r>
  <r>
    <d v="2025-07-30T00:00:00"/>
    <x v="2"/>
    <s v="000MOBT25211A0YD   REIMBURSEMENT   FOR_x000a_GUEST  REFRESHMENTS  NIP  Transfer  from ILORIN INNOVATION HUB LTD to MAUREE"/>
    <s v="Bank charges"/>
    <x v="1"/>
    <n v="1.8800000101327896"/>
  </r>
  <r>
    <d v="2025-07-30T00:00:00"/>
    <x v="2"/>
    <s v="000MOBT25211A108   PAYMENT   FOR   STAFF_x000a_TRAINING  LUNCH   NIP  Transfer  from  ILORIN INNOVATION HUB LTD to  BOA FOOD"/>
    <s v="Guest and entertainment"/>
    <x v="15"/>
    <n v="136400"/>
  </r>
  <r>
    <d v="2025-07-30T00:00:00"/>
    <x v="2"/>
    <s v="000MOBT25211A108   PAYMENT   FOR   STAFF_x000a_TRAINING  LUNCH   NIP  Transfer  from  ILORIN INNOVATION HUB LTD to  BOA FOOD"/>
    <s v="Bank charges"/>
    <x v="1"/>
    <n v="50"/>
  </r>
  <r>
    <d v="2025-07-30T00:00:00"/>
    <x v="2"/>
    <s v="000MOBT25211A108   PAYMENT   FOR   STAFF_x000a_TRAINING  LUNCH   NIP  Transfer  from  ILORIN INNOVATION HUB LTD to  BOA FOOD"/>
    <s v="Bank charges"/>
    <x v="1"/>
    <n v="3.75"/>
  </r>
  <r>
    <d v="2025-07-30T00:00:00"/>
    <x v="2"/>
    <s v="000MOBT25211A11L   REIMBURSEMENT   FOR STAFF    BIRTHDAY    CAKE    ADEBOLA    NIP_x000a_Transfer from ILORIN INNOVATION HUB LTD"/>
    <s v="Guest and entertainment"/>
    <x v="15"/>
    <n v="20000"/>
  </r>
  <r>
    <d v="2025-07-30T00:00:00"/>
    <x v="2"/>
    <s v="000MOBT25211A11L   REIMBURSEMENT   FOR STAFF    BIRTHDAY    CAKE    ADEBOLA    NIP_x000a_Transfer from ILORIN INNOVATION HUB LTD"/>
    <s v="Bank charges"/>
    <x v="1"/>
    <n v="25"/>
  </r>
  <r>
    <d v="2025-07-30T00:00:00"/>
    <x v="2"/>
    <s v="000MOBT25211A11L   REIMBURSEMENT   FOR STAFF    BIRTHDAY    CAKE    ADEBOLA    NIP_x000a_Transfer from ILORIN INNOVATION HUB LTD"/>
    <s v="Bank charges"/>
    <x v="1"/>
    <n v="1.8799999952316284"/>
  </r>
  <r>
    <d v="2025-07-31T00:00:00"/>
    <x v="2"/>
    <s v="000MOBT252127799    PAYMENT    FOR    JULY_x000a_WASTE  DISPOSAL  NIP  Transfer  from  ILORIN INNOVATION HUB LTD to EXTREME GLO"/>
    <s v="Stationery and Office Supplies"/>
    <x v="2"/>
    <n v="40000"/>
  </r>
  <r>
    <d v="2025-07-31T00:00:00"/>
    <x v="2"/>
    <s v="000MOBT252127799    PAYMENT    FOR    JULY_x000a_WASTE  DISPOSAL  NIP  Transfer  from  ILORIN INNOVATION HUB LTD to EXTREME GLO"/>
    <s v="Bank charges"/>
    <x v="1"/>
    <n v="25"/>
  </r>
  <r>
    <d v="2025-07-31T00:00:00"/>
    <x v="2"/>
    <s v="000MOBT252127799    PAYMENT    FOR    JULY_x000a_WASTE  DISPOSAL  NIP  Transfer  from  ILORIN INNOVATION HUB LTD to EXTREME GLO"/>
    <s v="Bank charges"/>
    <x v="1"/>
    <n v="1.8799999952316284"/>
  </r>
  <r>
    <d v="2025-07-31T00:00:00"/>
    <x v="2"/>
    <s v="016NIPO252120019 NIP - BNG PYT FOR JULY_x000a_2025 SECURITY SERVICE"/>
    <s v="security"/>
    <x v="14"/>
    <n v="950000"/>
  </r>
  <r>
    <d v="2025-07-31T00:00:00"/>
    <x v="2"/>
    <s v="016NIPC252120019   NIP  Charge  -  BNG  PYT FOR JULY 2025 SECURITY SERVICE"/>
    <s v="Bank charges"/>
    <x v="1"/>
    <n v="50"/>
  </r>
  <r>
    <d v="2025-07-31T00:00:00"/>
    <x v="2"/>
    <s v="016VATP252120019  NIP  Charge  VAT  -  BNG PYT FOR JULY 2025 SECURITY SERVICE"/>
    <s v="Bank charges"/>
    <x v="1"/>
    <n v="3.75"/>
  </r>
  <r>
    <d v="2025-07-31T00:00:00"/>
    <x v="2"/>
    <s v="016AMFV25212002M  VAT  ON  TRANSACTION CHARGES"/>
    <s v="Bank charges"/>
    <x v="1"/>
    <n v="1670.1000000089407"/>
  </r>
  <r>
    <d v="2025-07-31T00:00:00"/>
    <x v="2"/>
    <s v="016AMFC25212003P                             ACCOUNT MAINTENANCE FEE"/>
    <s v="Bank charges"/>
    <x v="1"/>
    <n v="22267.04999999702"/>
  </r>
  <r>
    <d v="2025-08-01T00:00:00"/>
    <x v="3"/>
    <s v="000MOBT25212AB40   PAYMENT   FOR   ZOHO CAMPAIGNS   5000CONTACTS   ANNUAL   NIP_x000a_Transfer from ILORIN INNOVATION HUB LTD"/>
    <s v="Software expense - Zoho"/>
    <x v="9"/>
    <n v="230942.25"/>
  </r>
  <r>
    <d v="2025-08-01T00:00:00"/>
    <x v="3"/>
    <s v="000MOBT25212AB40   PAYMENT   FOR   ZOHO CAMPAIGNS   5000CONTACTS   ANNUAL   NIP_x000a_Transfer from ILORIN INNOVATION HUB LTD"/>
    <s v="Bank charges"/>
    <x v="1"/>
    <n v="50"/>
  </r>
  <r>
    <d v="2025-08-01T00:00:00"/>
    <x v="3"/>
    <s v="000MOBT25212AB40   PAYMENT   FOR   ZOHO CAMPAIGNS   5000CONTACTS   ANNUAL   NIP_x000a_Transfer from ILORIN INNOVATION HUB LTD"/>
    <s v="Bank charges"/>
    <x v="1"/>
    <n v="3.75"/>
  </r>
  <r>
    <d v="2025-07-31T00:00:00"/>
    <x v="2"/>
    <s v="Bank transactions in July"/>
    <s v="Bank balance"/>
    <x v="5"/>
    <n v="-22153745.299999997"/>
  </r>
  <r>
    <d v="2025-08-01T00:00:00"/>
    <x v="3"/>
    <s v="000MOBT252131560           PAYMENT           FOR_x000a_OUTDOOR RING PAINTING NIP Transfer from ILORIN INNOVATION HUB LTD to BENETTON"/>
    <s v="Repairs and maintenance"/>
    <x v="12"/>
    <n v="170000"/>
  </r>
  <r>
    <d v="2025-08-01T00:00:00"/>
    <x v="3"/>
    <s v="000MOBT252131560           PAYMENT           FOR_x000a_OUTDOOR RING PAINTING NIP Transfer from ILORIN INNOVATION HUB LTD to BENETTON"/>
    <s v="Bank charges"/>
    <x v="1"/>
    <n v="50"/>
  </r>
  <r>
    <d v="2025-08-01T00:00:00"/>
    <x v="3"/>
    <s v="000MOBT252131560           PAYMENT           FOR_x000a_OUTDOOR RING PAINTING NIP Transfer from ILORIN INNOVATION HUB LTD to BENETTON"/>
    <s v="Bank charges"/>
    <x v="1"/>
    <n v="3.75"/>
  </r>
  <r>
    <d v="2025-08-01T00:00:00"/>
    <x v="3"/>
    <s v="016AMFC25213000D                             ACCOUNT MAINTENANCE FEE"/>
    <s v="Bank charges"/>
    <x v="1"/>
    <n v="230.93999999761581"/>
  </r>
  <r>
    <d v="2025-08-01T00:00:00"/>
    <x v="3"/>
    <s v="016AMFV252130008   VAT   ON  TRANSACTION CHARGES"/>
    <s v="Bank charges"/>
    <x v="1"/>
    <n v="17.319999992847443"/>
  </r>
  <r>
    <d v="2025-08-01T00:00:00"/>
    <x v="3"/>
    <s v="016NIPO252130019 NIP - BNG PYT FOR JULY_x000a_2025 JANITORIAL SERVICE"/>
    <s v="Cleaning expenses"/>
    <x v="3"/>
    <n v="1300000"/>
  </r>
  <r>
    <d v="2025-08-01T00:00:00"/>
    <x v="3"/>
    <s v="016NIPC252130019   NIP  Charge  -  BNG  PYT FOR JULY 2025 JANITORIAL SERVICE"/>
    <s v="Bank charges"/>
    <x v="1"/>
    <n v="50"/>
  </r>
  <r>
    <d v="2025-08-01T00:00:00"/>
    <x v="3"/>
    <s v="016VATP252130019  NIP  Charge  VAT  -  BNG PYT FOR JULY 2025 JANITORIAL SERVICE"/>
    <s v="Bank charges"/>
    <x v="1"/>
    <n v="3.75"/>
  </r>
  <r>
    <d v="2025-08-01T00:00:00"/>
    <x v="3"/>
    <s v="000MOBT252136754 ILORININNOVATIONHUBCOM                DOMAIN_x000a_RENEWAL NIP Transfer from ILORIN"/>
    <s v="Unallocated expense"/>
    <x v="20"/>
    <n v="36116.760000005364"/>
  </r>
  <r>
    <d v="2025-08-01T00:00:00"/>
    <x v="3"/>
    <s v="000MOBT252136754 ILORININNOVATIONHUBCOM                DOMAIN_x000a_RENEWAL NIP Transfer from ILORIN"/>
    <s v="Bank charges"/>
    <x v="1"/>
    <n v="25"/>
  </r>
  <r>
    <d v="2025-08-01T00:00:00"/>
    <x v="3"/>
    <s v="000MOBT252136754 ILORININNOVATIONHUBCOM                DOMAIN_x000a_RENEWAL NIP Transfer from ILORIN"/>
    <s v="Bank charges"/>
    <x v="1"/>
    <n v="1.8799999952316284"/>
  </r>
  <r>
    <d v="2025-08-01T00:00:00"/>
    <x v="3"/>
    <s v="016NIPT252130273 NIP TRSF FROM TEMILOLUWA OLUWALEKE KOLAWOLE ABJ BOLT RIDE REFUND"/>
    <s v="Transport and Travel"/>
    <x v="18"/>
    <n v="-20700"/>
  </r>
  <r>
    <d v="2025-08-01T00:00:00"/>
    <x v="3"/>
    <s v="016EMTL2521300NZ     ELECTRONIC     MONEY TRANSFER LEVY"/>
    <s v="Bank charges"/>
    <x v="1"/>
    <n v="50"/>
  </r>
  <r>
    <d v="2025-08-04T00:00:00"/>
    <x v="3"/>
    <s v="000MOBT252169336 REIMBURSEMENT FOR SUI EVENT  REFRESHMENTS  NIP  Transfer from ILORIN INNOVATION HUB LTD to M"/>
    <s v="Guest and entertainment"/>
    <x v="13"/>
    <n v="146000"/>
  </r>
  <r>
    <d v="2025-08-04T00:00:00"/>
    <x v="3"/>
    <s v="000MOBT252169336 REIMBURSEMENT FOR SUI EVENT  REFRESHMENTS  NIP  Transfer from ILORIN INNOVATION HUB LTD to M"/>
    <s v="Bank charges"/>
    <x v="1"/>
    <n v="50"/>
  </r>
  <r>
    <d v="2025-08-04T00:00:00"/>
    <x v="3"/>
    <s v="000MOBT252169336 REIMBURSEMENT FOR SUI EVENT  REFRESHMENTS  NIP  Transfer from ILORIN INNOVATION HUB LTD to M"/>
    <s v="Bank charges"/>
    <x v="1"/>
    <n v="3.75"/>
  </r>
  <r>
    <d v="2025-08-04T00:00:00"/>
    <x v="3"/>
    <s v="000MOBT25216AAFF   PAYMENT   FOR   STAFF_x000a_BIRTHDAY  CAKE  TOSIN  NIP  Transfer  from ILORIN INNOVATION HUB LTD to Infin"/>
    <s v="Guest and entertainment"/>
    <x v="15"/>
    <n v="25000"/>
  </r>
  <r>
    <d v="2025-08-04T00:00:00"/>
    <x v="3"/>
    <s v="000MOBT25216AAFF   PAYMENT   FOR   STAFF_x000a_BIRTHDAY  CAKE  TOSIN  NIP  Transfer  from ILORIN INNOVATION HUB LTD to Infin"/>
    <s v="Bank charges"/>
    <x v="1"/>
    <n v="25"/>
  </r>
  <r>
    <d v="2025-08-04T00:00:00"/>
    <x v="3"/>
    <s v="000MOBT25216AAFF   PAYMENT   FOR   STAFF_x000a_BIRTHDAY  CAKE  TOSIN  NIP  Transfer  from ILORIN INNOVATION HUB LTD to Infin"/>
    <s v="Bank charges"/>
    <x v="1"/>
    <n v="1.8800000101327896"/>
  </r>
  <r>
    <d v="2025-08-04T00:00:00"/>
    <x v="3"/>
    <s v="016NIPO252160001   NIP   -   BNG   PYT   FOR BOOKING ID 2508030403119"/>
    <s v="Unallocated expense"/>
    <x v="24"/>
    <n v="4791366"/>
  </r>
  <r>
    <d v="2025-08-04T00:00:00"/>
    <x v="3"/>
    <s v="016NIPC252160001   NIP  Charge  -  BNG  PYT FOR BOOKING ID 2508030403119"/>
    <s v="Bank charges"/>
    <x v="1"/>
    <n v="50"/>
  </r>
  <r>
    <d v="2025-08-04T00:00:00"/>
    <x v="3"/>
    <s v="016VATP252160001  NIP  Charge  VAT  -  BNG PYT FOR BOOKING ID 2508030403119"/>
    <s v="Bank charges"/>
    <x v="1"/>
    <n v="3.75"/>
  </r>
  <r>
    <d v="2025-08-04T00:00:00"/>
    <x v="3"/>
    <s v="016NIPO252160001   NIP   -   BNG   PYT   FOR BOOKING ID 2508030403119"/>
    <s v="Unallocated expense"/>
    <x v="24"/>
    <n v="-4791366"/>
  </r>
  <r>
    <d v="2025-08-04T00:00:00"/>
    <x v="3"/>
    <s v="016NIPC252160001   NIP  Charge  -  BNG  PYT FOR BOOKING ID 2508030403119"/>
    <s v="Bank charges"/>
    <x v="1"/>
    <n v="-50"/>
  </r>
  <r>
    <d v="2025-08-04T00:00:00"/>
    <x v="3"/>
    <s v="016VATP252160001  NIP  Charge  VAT  -  BNG PYT FOR BOOKING ID 2508030403119"/>
    <s v="Bank charges"/>
    <x v="1"/>
    <n v="-3.75"/>
  </r>
  <r>
    <d v="2025-08-04T00:00:00"/>
    <x v="3"/>
    <s v="016NIPO252160002   NIP   -   BNG   PYT   FOR BOOKING ID 2508030403119"/>
    <s v="Unallocated expense"/>
    <x v="24"/>
    <n v="4791366"/>
  </r>
  <r>
    <d v="2025-08-04T00:00:00"/>
    <x v="3"/>
    <s v="016NIPC252160002   NIP  Charge  -  BNG  PYT FOR BOOKING ID 2508030403119"/>
    <s v="Bank charges"/>
    <x v="1"/>
    <n v="50"/>
  </r>
  <r>
    <d v="2025-08-04T00:00:00"/>
    <x v="3"/>
    <s v="016VATP252160002  NIP  Charge  VAT  -  BNG PYT FOR BOOKING ID 2508030403119"/>
    <s v="Bank charges"/>
    <x v="1"/>
    <n v="3.75"/>
  </r>
  <r>
    <d v="2025-08-04T00:00:00"/>
    <x v="3"/>
    <s v="000MOBT25216AHDE     SECURITY     DEPOSIT_x000a_REDUND   3SU   NIP   Transfer   from   ILORIN INNOVATION HUB LTD to BLAISE MICHAELS"/>
    <s v="Security deposit"/>
    <x v="8"/>
    <n v="100000"/>
  </r>
  <r>
    <d v="2025-08-04T00:00:00"/>
    <x v="3"/>
    <s v="000MOBT25216AHDE     SECURITY     DEPOSIT_x000a_REDUND   3SU   NIP   Transfer   from   ILORIN INNOVATION HUB LTD to BLAISE MICHAELS"/>
    <s v="Bank charges"/>
    <x v="1"/>
    <n v="50"/>
  </r>
  <r>
    <d v="2025-08-04T00:00:00"/>
    <x v="3"/>
    <s v="000MOBT25216AHDE     SECURITY     DEPOSIT_x000a_REDUND   3SU   NIP   Transfer   from   ILORIN INNOVATION HUB LTD to BLAISE MICHAELS"/>
    <s v="Bank charges"/>
    <x v="1"/>
    <n v="3.75"/>
  </r>
  <r>
    <d v="2025-08-04T00:00:00"/>
    <x v="3"/>
    <s v="000MOBT25216AHJJ            NHF            SALARY_x000a_DEDUCTION    REFUND    NIP    Transfer    from ILORIN INNOVATION HUB LTD to AHMAD"/>
    <s v="Salaries and Wages"/>
    <x v="7"/>
    <n v="15750"/>
  </r>
  <r>
    <d v="2025-08-04T00:00:00"/>
    <x v="3"/>
    <s v="000MOBT25216AHJJ            NHF            SALARY_x000a_DEDUCTION    REFUND    NIP    Transfer    from ILORIN INNOVATION HUB LTD to AHMAD"/>
    <s v="Bank charges"/>
    <x v="1"/>
    <n v="25"/>
  </r>
  <r>
    <d v="2025-08-04T00:00:00"/>
    <x v="3"/>
    <s v="000MOBT25216AHJJ            NHF            SALARY_x000a_DEDUCTION    REFUND    NIP    Transfer    from ILORIN INNOVATION HUB LTD to AHMAD"/>
    <s v="Bank charges"/>
    <x v="1"/>
    <n v="1.8799999952316284"/>
  </r>
  <r>
    <d v="2025-08-04T00:00:00"/>
    <x v="3"/>
    <s v="000MOBT25216AHQL     SECURITY     DEPOSIT_x000a_REFUND SUI BLOCKCHAIN NIP Transfer from ILORIN INNOVATION HUB LTD to SAMU"/>
    <s v="Security deposit"/>
    <x v="8"/>
    <n v="80000"/>
  </r>
  <r>
    <d v="2025-08-04T00:00:00"/>
    <x v="3"/>
    <s v="000MOBT25216AHQL     SECURITY     DEPOSIT_x000a_REFUND SUI BLOCKCHAIN NIP Transfer from ILORIN INNOVATION HUB LTD to SAMU"/>
    <s v="Bank charges"/>
    <x v="1"/>
    <n v="50"/>
  </r>
  <r>
    <d v="2025-08-04T00:00:00"/>
    <x v="3"/>
    <s v="000MOBT25216AHQL     SECURITY     DEPOSIT_x000a_REFUND SUI BLOCKCHAIN NIP Transfer from ILORIN INNOVATION HUB LTD to SAMU"/>
    <s v="Bank charges"/>
    <x v="1"/>
    <n v="3.75"/>
  </r>
  <r>
    <d v="2025-08-04T00:00:00"/>
    <x v="3"/>
    <s v="000MOBT25216AMLC ADDITIONAL 6 DAY GEN RENTAL    FOR    ELEVATOR    INSTALL    NIP_x000a_Transfer from ILORIN INNOVATION HUB L"/>
    <s v="Generator Rentals"/>
    <x v="23"/>
    <n v="240000"/>
  </r>
  <r>
    <d v="2025-08-04T00:00:00"/>
    <x v="3"/>
    <s v="000MOBT25216AMLC ADDITIONAL 6 DAY GEN RENTAL    FOR    ELEVATOR    INSTALL    NIP_x000a_Transfer from ILORIN INNOVATION HUB L"/>
    <s v="Bank charges"/>
    <x v="1"/>
    <n v="50"/>
  </r>
  <r>
    <d v="2025-08-04T00:00:00"/>
    <x v="3"/>
    <s v="000MOBT25216AMLC ADDITIONAL 6 DAY GEN RENTAL    FOR    ELEVATOR    INSTALL    NIP_x000a_Transfer from ILORIN INNOVATION HUB L"/>
    <s v="Bank charges"/>
    <x v="1"/>
    <n v="3.75"/>
  </r>
  <r>
    <d v="2025-08-05T00:00:00"/>
    <x v="3"/>
    <s v="016NIPO252170002  NIP  -  BNG  PYT  FOR  Ai4_x000a_2025 START UP PASS APPLICATION"/>
    <s v="Staff training"/>
    <x v="25"/>
    <n v="2218342"/>
  </r>
  <r>
    <d v="2025-08-05T00:00:00"/>
    <x v="3"/>
    <s v="016NIPC252170002   NIP  Charge  -  BNG  PYT FOR Ai4 2025 START UP PASS APPLICATION"/>
    <s v="Bank charges"/>
    <x v="1"/>
    <n v="50"/>
  </r>
  <r>
    <d v="2025-08-05T00:00:00"/>
    <x v="3"/>
    <s v="016VATP252170002 NIP Charge VAT - BNG PYT FOR Ai4 2025 START UP PASS APPLICATION"/>
    <s v="Bank charges"/>
    <x v="1"/>
    <n v="3.75"/>
  </r>
  <r>
    <d v="2025-08-05T00:00:00"/>
    <x v="3"/>
    <s v="000MOBT25217A0IN     PAYMENT     FOR     70L_x000a_DIESEL       NIP       Transfer       from       ILORIN INNOVATION HUB LTD to  One Mind Triplet Co"/>
    <s v="Diesel and Fuel"/>
    <x v="22"/>
    <n v="75600"/>
  </r>
  <r>
    <d v="2025-08-05T00:00:00"/>
    <x v="3"/>
    <s v="000MOBT25217A0IN     PAYMENT     FOR     70L_x000a_DIESEL       NIP       Transfer       from       ILORIN INNOVATION HUB LTD to  One Mind Triplet Co"/>
    <s v="Bank charges"/>
    <x v="1"/>
    <n v="50"/>
  </r>
  <r>
    <d v="2025-08-05T00:00:00"/>
    <x v="3"/>
    <s v="000MOBT25217A0IN     PAYMENT     FOR     70L_x000a_DIESEL       NIP       Transfer       from       ILORIN INNOVATION HUB LTD to  One Mind Triplet Co"/>
    <s v="Bank charges"/>
    <x v="1"/>
    <n v="3.75"/>
  </r>
  <r>
    <d v="2025-08-06T00:00:00"/>
    <x v="3"/>
    <s v="000MOBT252189725    PAYMENT   FOR   NSITF_x000a_JULY   CONTRIB   NIP   Transfer   from   ILORIN INNOVATION HUB LTD to Remita Check"/>
    <s v="Salaries and Wages"/>
    <x v="7"/>
    <n v="121281.25"/>
  </r>
  <r>
    <d v="2025-08-06T00:00:00"/>
    <x v="3"/>
    <s v="000MOBT252189725    PAYMENT   FOR   NSITF_x000a_JULY   CONTRIB   NIP   Transfer   from   ILORIN INNOVATION HUB LTD to Remita Check"/>
    <s v="Bank charges"/>
    <x v="1"/>
    <n v="50"/>
  </r>
  <r>
    <d v="2025-08-06T00:00:00"/>
    <x v="3"/>
    <s v="000MOBT252189725    PAYMENT   FOR   NSITF_x000a_JULY   CONTRIB   NIP   Transfer   from   ILORIN INNOVATION HUB LTD to Remita Check"/>
    <s v="Bank charges"/>
    <x v="1"/>
    <n v="3.75"/>
  </r>
  <r>
    <d v="2025-08-06T00:00:00"/>
    <x v="3"/>
    <s v="016NIPT252180674 NIP TRSF FROM WAKANOWWORKING CAPITAL/CAPEX 638900946004306974-4 EXCESS FUND RFD"/>
    <s v="Unallocated expense"/>
    <x v="24"/>
    <n v="-729742"/>
  </r>
  <r>
    <d v="2025-08-07T00:00:00"/>
    <x v="3"/>
    <s v="000MOBT252182211  MD  ILVABV  TICKET  LBS_x000a_AI   WORKSHOP    NIP   Transfer   from   ILORIN INNOVATION HUB LTD to PAYSTACK"/>
    <s v="Transport and Travel"/>
    <x v="18"/>
    <n v="322000"/>
  </r>
  <r>
    <d v="2025-08-07T00:00:00"/>
    <x v="3"/>
    <s v="000MOBT252182211  MD  ILVABV  TICKET  LBS_x000a_AI   WORKSHOP    NIP   Transfer   from   ILORIN INNOVATION HUB LTD to PAYSTACK"/>
    <s v="Bank charges"/>
    <x v="1"/>
    <n v="50"/>
  </r>
  <r>
    <d v="2025-08-07T00:00:00"/>
    <x v="3"/>
    <s v="000MOBT252182211  MD  ILVABV  TICKET  LBS_x000a_AI   WORKSHOP    NIP   Transfer   from   ILORIN INNOVATION HUB LTD to PAYSTACK"/>
    <s v="Bank charges"/>
    <x v="1"/>
    <n v="3.75"/>
  </r>
  <r>
    <d v="2025-08-07T00:00:00"/>
    <x v="3"/>
    <s v="016NIPO252190009    NIP    -    NIP    TRSF    IFO_x000a_PAYOUTSUB     Temiloluwa     Kolawole     B/O ILORIN TECH (BNG PMNT FOR Ai4 2025"/>
    <s v="Unallocated expense"/>
    <x v="24"/>
    <n v="1085847.8400000036"/>
  </r>
  <r>
    <d v="2025-08-07T00:00:00"/>
    <x v="3"/>
    <s v="016NIPC252190009 NIP Charge - NIP TRSF IFO_x000a_PAYOUTSUB     Temiloluwa     Kolawole     B/O ILORIN TECH (BNG PMNT FOR Ai4 2025"/>
    <s v="Bank charges"/>
    <x v="1"/>
    <n v="50"/>
  </r>
  <r>
    <d v="2025-08-07T00:00:00"/>
    <x v="3"/>
    <s v="016VATP252190009   NIP   Charge   VAT   -   NIP_x000a_TRSF  IFO  PAYOUTSUB  Temiloluwa  Kolawole B/O ILORIN TECH (BNG PMNT FOR Ai4 2025"/>
    <s v="Bank charges"/>
    <x v="1"/>
    <n v="3.75"/>
  </r>
  <r>
    <d v="2025-08-07T00:00:00"/>
    <x v="3"/>
    <s v="016EMTL25219000H     ELECTRONIC     MONEY TRANSFER LEVY"/>
    <s v="Bank charges"/>
    <x v="1"/>
    <n v="50"/>
  </r>
  <r>
    <d v="2025-08-11T00:00:00"/>
    <x v="3"/>
    <s v="000MOBT25223AC77   REIMBURSEMENT   FOR_x000a_LAGOSILORIN  MD  NIP  Transfer  from  ILORIN INNOVATION HUB LTD to TEMILOLUWA"/>
    <s v="Transport and Travel"/>
    <x v="18"/>
    <n v="217000"/>
  </r>
  <r>
    <d v="2025-08-11T00:00:00"/>
    <x v="3"/>
    <s v="000MOBT25223AC77   REIMBURSEMENT   FOR_x000a_LAGOSILORIN  MD  NIP  Transfer  from  ILORIN INNOVATION HUB LTD to TEMILOLUWA"/>
    <s v="Bank charges"/>
    <x v="1"/>
    <n v="50"/>
  </r>
  <r>
    <d v="2025-08-11T00:00:00"/>
    <x v="3"/>
    <s v="000MOBT25223AC77   REIMBURSEMENT   FOR_x000a_LAGOSILORIN  MD  NIP  Transfer  from  ILORIN INNOVATION HUB LTD to TEMILOLUWA"/>
    <s v="Bank charges"/>
    <x v="1"/>
    <n v="3.75"/>
  </r>
  <r>
    <d v="2025-08-11T00:00:00"/>
    <x v="3"/>
    <s v="000MOBT25223AC78              REIMBURSEMENT_x000a_ABUJA LAGOS MD NIP Transfer from ILORIN INNOVATION HUB LTD to TEMILOLUWA OLU"/>
    <s v="Transport and Travel"/>
    <x v="18"/>
    <n v="203000"/>
  </r>
  <r>
    <d v="2025-08-11T00:00:00"/>
    <x v="3"/>
    <s v="000MOBT25223AC78              REIMBURSEMENT_x000a_ABUJA LAGOS MD NIP Transfer from ILORIN INNOVATION HUB LTD to TEMILOLUWA OLU"/>
    <s v="Bank charges"/>
    <x v="1"/>
    <n v="50"/>
  </r>
  <r>
    <d v="2025-08-11T00:00:00"/>
    <x v="3"/>
    <s v="000MOBT25223AC78              REIMBURSEMENT_x000a_ABUJA LAGOS MD NIP Transfer from ILORIN INNOVATION HUB LTD to TEMILOLUWA OLU"/>
    <s v="Bank charges"/>
    <x v="1"/>
    <n v="3.75"/>
  </r>
  <r>
    <d v="2025-08-13T00:00:00"/>
    <x v="3"/>
    <s v="000MOBT25224A4DH   REIMBURSEMENT   FOR_x000a_FUEL NIP Transfer from ILORIN INNOVATION HUB LTD to OKEY MAUREEN DANIEL"/>
    <s v="Diesel and Fuel"/>
    <x v="22"/>
    <n v="20000"/>
  </r>
  <r>
    <d v="2025-08-13T00:00:00"/>
    <x v="3"/>
    <s v="000MOBT25224A4DH   REIMBURSEMENT   FOR_x000a_FUEL NIP Transfer from ILORIN INNOVATION HUB LTD to OKEY MAUREEN DANIEL"/>
    <s v="Bank charges"/>
    <x v="1"/>
    <n v="25"/>
  </r>
  <r>
    <d v="2025-08-13T00:00:00"/>
    <x v="3"/>
    <s v="000MOBT25224A4DH   REIMBURSEMENT   FOR_x000a_FUEL NIP Transfer from ILORIN INNOVATION HUB LTD to OKEY MAUREEN DANIEL"/>
    <s v="Bank charges"/>
    <x v="1"/>
    <n v="1.8799999952316284"/>
  </r>
  <r>
    <d v="2025-08-13T00:00:00"/>
    <x v="3"/>
    <s v="000MOBT252250014    REIMBURSEMENT    FOR_x000a_FUEL NIP Transfer from ILORIN INNOVATION HUB LTD to TEMILOLUWA OLUWALEKE"/>
    <s v="Diesel and Fuel"/>
    <x v="22"/>
    <n v="110000"/>
  </r>
  <r>
    <d v="2025-08-13T00:00:00"/>
    <x v="3"/>
    <s v="000MOBT252250014    REIMBURSEMENT    FOR_x000a_FUEL NIP Transfer from ILORIN INNOVATION HUB LTD to TEMILOLUWA OLUWALEKE"/>
    <s v="Bank charges"/>
    <x v="1"/>
    <n v="50"/>
  </r>
  <r>
    <d v="2025-08-13T00:00:00"/>
    <x v="3"/>
    <s v="000MOBT252250014    REIMBURSEMENT    FOR_x000a_FUEL NIP Transfer from ILORIN INNOVATION HUB LTD to TEMILOLUWA OLUWALEKE"/>
    <s v="Bank charges"/>
    <x v="1"/>
    <n v="3.75"/>
  </r>
  <r>
    <d v="2025-08-14T00:00:00"/>
    <x v="3"/>
    <s v="000MOBT252268507           PAYMENT           FOR ADDITIONAL  GEN  RENTAL  FOF  ELEVETOR_x000a_INSTALL NIP Transfer from ILORIN"/>
    <s v="Generator Rentals"/>
    <x v="23"/>
    <n v="320000"/>
  </r>
  <r>
    <d v="2025-08-14T00:00:00"/>
    <x v="3"/>
    <s v="000MOBT252268507           PAYMENT           FOR ADDITIONAL  GEN  RENTAL  FOF  ELEVETOR_x000a_INSTALL NIP Transfer from ILORIN"/>
    <s v="Bank charges"/>
    <x v="1"/>
    <n v="50"/>
  </r>
  <r>
    <d v="2025-08-14T00:00:00"/>
    <x v="3"/>
    <s v="000MOBT252268507           PAYMENT           FOR ADDITIONAL  GEN  RENTAL  FOF  ELEVETOR_x000a_INSTALL NIP Transfer from ILORIN"/>
    <s v="Bank charges"/>
    <x v="1"/>
    <n v="3.75"/>
  </r>
  <r>
    <d v="2025-08-15T00:00:00"/>
    <x v="3"/>
    <s v="000MOBT252276361   PURCHASE  OF  WATER_x000a_20     PACKS     NIP     Transfer     from     ILORIN INNOVATION HUB LTD to OLALUWOYE"/>
    <s v="Stationery and Office Supplies"/>
    <x v="2"/>
    <n v="32000"/>
  </r>
  <r>
    <d v="2025-08-15T00:00:00"/>
    <x v="3"/>
    <s v="000MOBT252276361   PURCHASE  OF  WATER_x000a_20     PACKS     NIP     Transfer     from     ILORIN INNOVATION HUB LTD to OLALUWOYE"/>
    <s v="Bank charges"/>
    <x v="1"/>
    <n v="25"/>
  </r>
  <r>
    <d v="2025-08-15T00:00:00"/>
    <x v="3"/>
    <s v="000MOBT252276361   PURCHASE  OF  WATER_x000a_20     PACKS     NIP     Transfer     from     ILORIN INNOVATION HUB LTD to OLALUWOYE"/>
    <s v="Bank charges"/>
    <x v="1"/>
    <n v="1.8799999952316284"/>
  </r>
  <r>
    <d v="2025-08-19T00:00:00"/>
    <x v="3"/>
    <s v="000MOBT252318387           PAYMENT           FOR PURCHASE   OF   ARTIFICIAL   FLOWERS   NIP_x000a_Transfer from ILORIN INNOVATION HUB LTD"/>
    <s v="Stationery and Office Supplies"/>
    <x v="2"/>
    <n v="295000"/>
  </r>
  <r>
    <d v="2025-08-19T00:00:00"/>
    <x v="3"/>
    <s v="000MOBT252318387           PAYMENT           FOR PURCHASE   OF   ARTIFICIAL   FLOWERS   NIP_x000a_Transfer from ILORIN INNOVATION HUB LTD"/>
    <s v="Bank charges"/>
    <x v="1"/>
    <n v="50"/>
  </r>
  <r>
    <d v="2025-08-19T00:00:00"/>
    <x v="3"/>
    <s v="000MOBT252318387           PAYMENT           FOR PURCHASE   OF   ARTIFICIAL   FLOWERS   NIP_x000a_Transfer from ILORIN INNOVATION HUB LTD"/>
    <s v="Bank charges"/>
    <x v="1"/>
    <n v="3.75"/>
  </r>
  <r>
    <d v="2025-08-19T00:00:00"/>
    <x v="3"/>
    <s v="000MOBT252319830           PAYMENT           FOR_x000a_PURCHASE   OF   DIESEL   NIP   Transfer   from ILORIN INNOVATION HUB LTD to  One Mind Tr"/>
    <s v="Diesel and Fuel"/>
    <x v="22"/>
    <n v="34500"/>
  </r>
  <r>
    <d v="2025-08-19T00:00:00"/>
    <x v="3"/>
    <s v="000MOBT252319830           PAYMENT           FOR_x000a_PURCHASE   OF   DIESEL   NIP   Transfer   from ILORIN INNOVATION HUB LTD to  One Mind Tr"/>
    <s v="Bank charges"/>
    <x v="1"/>
    <n v="25"/>
  </r>
  <r>
    <d v="2025-08-19T00:00:00"/>
    <x v="3"/>
    <s v="000MOBT252319830           PAYMENT           FOR_x000a_PURCHASE   OF   DIESEL   NIP   Transfer   from ILORIN INNOVATION HUB LTD to  One Mind Tr"/>
    <s v="Bank charges"/>
    <x v="1"/>
    <n v="1.8800000101327896"/>
  </r>
  <r>
    <d v="2025-08-19T00:00:00"/>
    <x v="3"/>
    <s v="016NIPO252310009 NIP - BNG PYT FOR JULY_x000a_2025 LANDSCAPING SERVICE"/>
    <s v="Repairs and maintenance"/>
    <x v="12"/>
    <n v="400000"/>
  </r>
  <r>
    <d v="2025-08-19T00:00:00"/>
    <x v="3"/>
    <s v="016NIPC252310009   NIP  Charge  -  BNG  PYT FOR JULY 2025 LANDSCAPING SERVICE"/>
    <s v="Bank charges"/>
    <x v="1"/>
    <n v="50"/>
  </r>
  <r>
    <d v="2025-08-19T00:00:00"/>
    <x v="3"/>
    <s v="016VATP252310009  NIP  Charge  VAT  -  BNG PYT FOR JULY 2025 LANDSCAPING SERVICE"/>
    <s v="Bank charges"/>
    <x v="1"/>
    <n v="3.75"/>
  </r>
  <r>
    <d v="2025-08-19T00:00:00"/>
    <x v="3"/>
    <s v="000MOBT25231A1NZ   REIMBURSEMENT   FOR_x000a_IT SUPPLIES  DATA NIP Transfer from ILORIN INNOVATION HUB LTD to MUHAMME"/>
    <s v="Stationery and Office Supplies"/>
    <x v="2"/>
    <n v="27000"/>
  </r>
  <r>
    <d v="2025-08-19T00:00:00"/>
    <x v="3"/>
    <s v="000MOBT25231A1NZ   REIMBURSEMENT   FOR_x000a_IT SUPPLIES  DATA NIP Transfer from ILORIN INNOVATION HUB LTD to MUHAMME"/>
    <s v="Bank charges"/>
    <x v="1"/>
    <n v="25"/>
  </r>
  <r>
    <d v="2025-08-19T00:00:00"/>
    <x v="3"/>
    <s v="000MOBT25231A1NZ   REIMBURSEMENT   FOR_x000a_IT SUPPLIES  DATA NIP Transfer from ILORIN INNOVATION HUB LTD to MUHAMME"/>
    <s v="Bank charges"/>
    <x v="1"/>
    <n v="1.8799999952316284"/>
  </r>
  <r>
    <d v="2025-08-19T00:00:00"/>
    <x v="3"/>
    <s v="000MOBT25231A2M8 zoholics NIP Transfer from ILORIN INNOVATION HUB LTD to PAYSTACK CHECKOUT"/>
    <s v="Software expense - Zoho"/>
    <x v="9"/>
    <n v="5394"/>
  </r>
  <r>
    <d v="2025-08-19T00:00:00"/>
    <x v="3"/>
    <s v="000MOBT25231A2M8 zoholics NIP Transfer from ILORIN INNOVATION HUB LTD to PAYSTACK CHECKOUT"/>
    <s v="Bank charges"/>
    <x v="1"/>
    <n v="25"/>
  </r>
  <r>
    <d v="2025-08-19T00:00:00"/>
    <x v="3"/>
    <s v="000MOBT25231A2M8 zoholics NIP Transfer from ILORIN INNOVATION HUB LTD to PAYSTACK CHECKOUT"/>
    <s v="Bank charges"/>
    <x v="1"/>
    <n v="1.8799999952316284"/>
  </r>
  <r>
    <d v="2025-08-25T00:00:00"/>
    <x v="3"/>
    <s v="000MOBT25237A3XK cake NIP Transfer from ILORIN INNOVATION HUB LTD to  Infinitus Innovations Limited    FOODS"/>
    <s v="Guest and entertainment"/>
    <x v="13"/>
    <n v="25000"/>
  </r>
  <r>
    <d v="2025-08-25T00:00:00"/>
    <x v="3"/>
    <s v="000MOBT25237A3XK cake NIP Transfer from ILORIN INNOVATION HUB LTD to  Infinitus Innovations Limited    FOODS"/>
    <s v="Bank charges"/>
    <x v="1"/>
    <n v="25"/>
  </r>
  <r>
    <d v="2025-08-25T00:00:00"/>
    <x v="3"/>
    <s v="000MOBT25237A3XK cake NIP Transfer from ILORIN INNOVATION HUB LTD to  Infinitus Innovations Limited    FOODS"/>
    <s v="Bank charges"/>
    <x v="1"/>
    <n v="1.8800000101327896"/>
  </r>
  <r>
    <d v="2025-08-25T00:00:00"/>
    <x v="3"/>
    <s v="016NIPT252370971 NIP TRSF FROM THREE M GLOBAL DESIGNS SERVICES ."/>
    <s v="Unallocated expense"/>
    <x v="26"/>
    <n v="-450000"/>
  </r>
  <r>
    <d v="2025-08-25T00:00:00"/>
    <x v="3"/>
    <s v="000MOBT25237AJXD   FLAGS   AND   AC   TAG_x000a_STICKERS     NIP     Transfer     from     ILORIN INNOVATION HUB LTD to LET S BRAND IT EN"/>
    <s v="Stationery and Office Supplies"/>
    <x v="2"/>
    <n v="140000"/>
  </r>
  <r>
    <d v="2025-08-25T00:00:00"/>
    <x v="3"/>
    <s v="000MOBT25237AJXD   FLAGS   AND   AC   TAG_x000a_STICKERS     NIP     Transfer     from     ILORIN INNOVATION HUB LTD to LET S BRAND IT EN"/>
    <s v="Bank charges"/>
    <x v="1"/>
    <n v="50"/>
  </r>
  <r>
    <d v="2025-08-25T00:00:00"/>
    <x v="3"/>
    <s v="000MOBT25237AJXD   FLAGS   AND   AC   TAG_x000a_STICKERS     NIP     Transfer     from     ILORIN INNOVATION HUB LTD to LET S BRAND IT EN"/>
    <s v="Bank charges"/>
    <x v="1"/>
    <n v="3.75"/>
  </r>
  <r>
    <d v="2025-08-25T00:00:00"/>
    <x v="3"/>
    <s v="016NEFO252370005  NEFT  CREDIT  -  AUGUST_x000a_2025 STAFF ALLOWANCE PAYMENT"/>
    <s v="Staff allowance"/>
    <x v="27"/>
    <n v="20000"/>
  </r>
  <r>
    <d v="2025-08-25T00:00:00"/>
    <x v="3"/>
    <s v="016NEFC252370005  NEFT  CREDIT  CHARGE  - AUGUST 2025 STAFF ALLOWANCE PAYMENT"/>
    <s v="Bank charges"/>
    <x v="1"/>
    <n v="25"/>
  </r>
  <r>
    <d v="2025-08-25T00:00:00"/>
    <x v="3"/>
    <s v="016VATO252370005 NEFT CREDIT  CHARGE VAT - AUGUST 2025 STAFF ALLOWANCE PAYMENT"/>
    <s v="Bank charges"/>
    <x v="1"/>
    <n v="1.8799999952316284"/>
  </r>
  <r>
    <d v="2025-08-25T00:00:00"/>
    <x v="3"/>
    <s v="016NEFO252370006  NEFT  CREDIT  -  AUGUST_x000a_2025 STAFF ALLOWANCE PAYMENT"/>
    <s v="Staff allowance"/>
    <x v="27"/>
    <n v="20000"/>
  </r>
  <r>
    <d v="2025-08-25T00:00:00"/>
    <x v="3"/>
    <s v="016NEFC252370006  NEFT  CREDIT  CHARGE  - AUGUST 2025 STAFF ALLOWANCE PAYMENT"/>
    <s v="Bank charges"/>
    <x v="1"/>
    <n v="25"/>
  </r>
  <r>
    <d v="2025-08-25T00:00:00"/>
    <x v="3"/>
    <s v="016VATO252370006 NEFT CREDIT  CHARGE VAT - AUGUST 2025 STAFF ALLOWANCE PAYMENT"/>
    <s v="Bank charges"/>
    <x v="1"/>
    <n v="1.8799999952316284"/>
  </r>
  <r>
    <d v="2025-08-25T00:00:00"/>
    <x v="3"/>
    <s v="016NEFO252370007  NEFT  CREDIT  -  AUGUST_x000a_2025 STAFF ALLOWANCE PAYMENT"/>
    <s v="Staff allowance"/>
    <x v="27"/>
    <n v="35000"/>
  </r>
  <r>
    <d v="2025-08-25T00:00:00"/>
    <x v="3"/>
    <s v="016NEFC252370007  NEFT  CREDIT  CHARGE  - AUGUST 2025 STAFF ALLOWANCE PAYMENT"/>
    <s v="Bank charges"/>
    <x v="1"/>
    <n v="25"/>
  </r>
  <r>
    <d v="2025-08-25T00:00:00"/>
    <x v="3"/>
    <s v="016VATO252370007 NEFT CREDIT  CHARGE VAT - AUGUST 2025 STAFF ALLOWANCE PAYMENT"/>
    <s v="Bank charges"/>
    <x v="1"/>
    <n v="1.8800000101327896"/>
  </r>
  <r>
    <d v="2025-08-25T00:00:00"/>
    <x v="3"/>
    <s v="016NEFO252370010  NEFT  CREDIT  -  AUGUST_x000a_2025 SALARY PYT"/>
    <s v="Salaries and Wages"/>
    <x v="7"/>
    <n v="283172.19999998808"/>
  </r>
  <r>
    <d v="2025-08-25T00:00:00"/>
    <x v="3"/>
    <s v="016NEFC252370008  NEFT  CREDIT  CHARGE  - AUGUST 2025 SALARY PYT"/>
    <s v="Bank charges"/>
    <x v="1"/>
    <n v="50"/>
  </r>
  <r>
    <d v="2025-08-25T00:00:00"/>
    <x v="3"/>
    <s v="016VATO252370008   NEFT   CREDIT   CHARGE VAT - AUGUST 2025 SALARY PYT"/>
    <s v="Bank charges"/>
    <x v="1"/>
    <n v="3.75"/>
  </r>
  <r>
    <d v="2025-08-25T00:00:00"/>
    <x v="3"/>
    <s v="016NEFO252370012  NEFT  CREDIT  -  AUGUST_x000a_2025 SALARY PYT"/>
    <s v="Salaries and Wages"/>
    <x v="7"/>
    <n v="283172.20000000298"/>
  </r>
  <r>
    <d v="2025-08-25T00:00:00"/>
    <x v="3"/>
    <s v="016NEFC252370009  NEFT  CREDIT  CHARGE  - AUGUST 2025 SALARY PYT"/>
    <s v="Bank charges"/>
    <x v="1"/>
    <n v="50"/>
  </r>
  <r>
    <d v="2025-08-25T00:00:00"/>
    <x v="3"/>
    <s v="016VATO252370009   NEFT   CREDIT   CHARGE VAT - AUGUST 2025 SALARY PYT"/>
    <s v="Bank charges"/>
    <x v="1"/>
    <n v="3.75"/>
  </r>
  <r>
    <d v="2025-08-25T00:00:00"/>
    <x v="3"/>
    <s v="016NEFO252370013  NEFT  CREDIT  -  AUGUST_x000a_2025 SALARY PYT"/>
    <s v="Salaries and Wages"/>
    <x v="7"/>
    <n v="283172.20000000298"/>
  </r>
  <r>
    <d v="2025-08-25T00:00:00"/>
    <x v="3"/>
    <s v="016NEFC252370010  NEFT  CREDIT  CHARGE  - AUGUST 2025 SALARY PYT"/>
    <s v="Bank charges"/>
    <x v="1"/>
    <n v="50"/>
  </r>
  <r>
    <d v="2025-08-25T00:00:00"/>
    <x v="3"/>
    <s v="016VATO252370010   NEFT   CREDIT   CHARGE VAT - AUGUST 2025 SALARY PYT"/>
    <s v="Bank charges"/>
    <x v="1"/>
    <n v="3.75"/>
  </r>
  <r>
    <d v="2025-08-25T00:00:00"/>
    <x v="3"/>
    <s v="016NEFO252370016  NEFT  CREDIT  -  AUGUST_x000a_2025 SALARY PYT"/>
    <s v="Salaries and Wages"/>
    <x v="7"/>
    <n v="52835"/>
  </r>
  <r>
    <d v="2025-08-25T00:00:00"/>
    <x v="3"/>
    <s v="016NEFC252370011  NEFT  CREDIT  CHARGE  - AUGUST 2025 SALARY PYT"/>
    <s v="Bank charges"/>
    <x v="1"/>
    <n v="50"/>
  </r>
  <r>
    <d v="2025-08-25T00:00:00"/>
    <x v="3"/>
    <s v="016VATO252370011   NEFT   CREDIT   CHARGE VAT - AUGUST 2025 SALARY PYT"/>
    <s v="Bank charges"/>
    <x v="1"/>
    <n v="3.75"/>
  </r>
  <r>
    <d v="2025-08-25T00:00:00"/>
    <x v="3"/>
    <s v="016NEFO252370017  NEFT  CREDIT  -  AUGUST_x000a_2025 SALARY PYT"/>
    <s v="Salaries and Wages"/>
    <x v="7"/>
    <n v="283172.20000000298"/>
  </r>
  <r>
    <d v="2025-08-25T00:00:00"/>
    <x v="3"/>
    <s v="016NEFC252370012  NEFT  CREDIT  CHARGE  - AUGUST 2025 SALARY PYT"/>
    <s v="Bank charges"/>
    <x v="1"/>
    <n v="50"/>
  </r>
  <r>
    <d v="2025-08-25T00:00:00"/>
    <x v="3"/>
    <s v="016VATO252370012   NEFT   CREDIT   CHARGE VAT - AUGUST 2025 SALARY PYT"/>
    <s v="Bank charges"/>
    <x v="1"/>
    <n v="3.75"/>
  </r>
  <r>
    <d v="2025-08-25T00:00:00"/>
    <x v="3"/>
    <s v="016NEFO252370018  NEFT  CREDIT  -  AUGUST_x000a_2025 SALARY PYT"/>
    <s v="Salaries and Wages"/>
    <x v="7"/>
    <n v="486614.59999999404"/>
  </r>
  <r>
    <d v="2025-08-25T00:00:00"/>
    <x v="3"/>
    <s v="016NEFC252370013  NEFT  CREDIT  CHARGE  - AUGUST 2025 SALARY PYT"/>
    <s v="Bank charges"/>
    <x v="1"/>
    <n v="50"/>
  </r>
  <r>
    <d v="2025-08-25T00:00:00"/>
    <x v="3"/>
    <s v="016VATO252370013   NEFT   CREDIT   CHARGE VAT - AUGUST 2025 SALARY PYT"/>
    <s v="Bank charges"/>
    <x v="1"/>
    <n v="3.75"/>
  </r>
  <r>
    <d v="2025-08-25T00:00:00"/>
    <x v="3"/>
    <s v="016NEFO252370019  NEFT  CREDIT  -  AUGUST_x000a_2025 SALARY PYT"/>
    <s v="Salaries and Wages"/>
    <x v="7"/>
    <n v="52835"/>
  </r>
  <r>
    <d v="2025-08-25T00:00:00"/>
    <x v="3"/>
    <s v="016NEFC252370014  NEFT  CREDIT  CHARGE  - AUGUST 2025 SALARY PYT"/>
    <s v="Bank charges"/>
    <x v="1"/>
    <n v="50"/>
  </r>
  <r>
    <d v="2025-08-25T00:00:00"/>
    <x v="3"/>
    <s v="016VATO252370014   NEFT   CREDIT   CHARGE VAT - AUGUST 2025 SALARY PYT"/>
    <s v="Bank charges"/>
    <x v="1"/>
    <n v="3.75"/>
  </r>
  <r>
    <d v="2025-08-25T00:00:00"/>
    <x v="3"/>
    <s v="016NEFO252370020  NEFT  CREDIT  -  AUGUST_x000a_2025 SALARY PYT"/>
    <s v="Salaries and Wages"/>
    <x v="7"/>
    <n v="283172.20000000298"/>
  </r>
  <r>
    <d v="2025-08-25T00:00:00"/>
    <x v="3"/>
    <s v="016NEFC252370015  NEFT  CREDIT  CHARGE  - AUGUST 2025 SALARY PYT"/>
    <s v="Bank charges"/>
    <x v="1"/>
    <n v="50"/>
  </r>
  <r>
    <d v="2025-08-25T00:00:00"/>
    <x v="3"/>
    <s v="016VATO252370015   NEFT   CREDIT   CHARGE VAT - AUGUST 2025 SALARY PYT"/>
    <s v="Bank charges"/>
    <x v="1"/>
    <n v="3.75"/>
  </r>
  <r>
    <d v="2025-08-25T00:00:00"/>
    <x v="3"/>
    <s v="016NEFO252370021  NEFT  CREDIT  -  AUGUST_x000a_2025 SALARY PYT"/>
    <s v="Salaries and Wages"/>
    <x v="7"/>
    <n v="283172.20000000298"/>
  </r>
  <r>
    <d v="2025-08-25T00:00:00"/>
    <x v="3"/>
    <s v="016NEFC252370016  NEFT  CREDIT  CHARGE  - AUGUST 2025 SALARY PYT"/>
    <s v="Bank charges"/>
    <x v="1"/>
    <n v="50"/>
  </r>
  <r>
    <d v="2025-08-25T00:00:00"/>
    <x v="3"/>
    <s v="016VATO252370016   NEFT   CREDIT   CHARGE VAT - AUGUST 2025 SALARY PYT"/>
    <s v="Bank charges"/>
    <x v="1"/>
    <n v="3.75"/>
  </r>
  <r>
    <d v="2025-08-25T00:00:00"/>
    <x v="3"/>
    <s v="016NEFO252370023  NEFT  CREDIT  -  AUGUST_x000a_2025 SALARY PYT"/>
    <s v="Salaries and Wages"/>
    <x v="7"/>
    <n v="283172.19999999553"/>
  </r>
  <r>
    <d v="2025-08-25T00:00:00"/>
    <x v="3"/>
    <s v="016NEFC252370017  NEFT  CREDIT  CHARGE  - AUGUST 2025 SALARY PYT"/>
    <s v="Bank charges"/>
    <x v="1"/>
    <n v="50"/>
  </r>
  <r>
    <d v="2025-08-25T00:00:00"/>
    <x v="3"/>
    <s v="016VATO252370017   NEFT   CREDIT   CHARGE VAT - AUGUST 2025 SALARY PYT"/>
    <s v="Bank charges"/>
    <x v="1"/>
    <n v="3.75"/>
  </r>
  <r>
    <d v="2025-08-25T00:00:00"/>
    <x v="3"/>
    <s v="016NEFO252370024  NEFT  CREDIT  -  AUGUST_x000a_2025 SALARY PYT"/>
    <s v="Salaries and Wages"/>
    <x v="7"/>
    <n v="4019028.3599999994"/>
  </r>
  <r>
    <d v="2025-08-25T00:00:00"/>
    <x v="3"/>
    <s v="016NEFC252370018  NEFT  CREDIT  CHARGE  - AUGUST 2025 SALARY PYT"/>
    <s v="Bank charges"/>
    <x v="1"/>
    <n v="50"/>
  </r>
  <r>
    <d v="2025-08-25T00:00:00"/>
    <x v="3"/>
    <s v="016VATO252370018   NEFT   CREDIT   CHARGE VAT - AUGUST 2025 SALARY PYT"/>
    <s v="Bank charges"/>
    <x v="1"/>
    <n v="3.75"/>
  </r>
  <r>
    <d v="2025-08-25T00:00:00"/>
    <x v="3"/>
    <s v="016NEFO252370025  NEFT  CREDIT  -  AUGUST_x000a_2025 SALARY PYT"/>
    <s v="Salaries and Wages"/>
    <x v="7"/>
    <n v="283172.20000000298"/>
  </r>
  <r>
    <d v="2025-08-25T00:00:00"/>
    <x v="3"/>
    <s v="016NEFC252370019  NEFT  CREDIT  CHARGE  - AUGUST 2025 SALARY PYT"/>
    <s v="Bank charges"/>
    <x v="1"/>
    <n v="50"/>
  </r>
  <r>
    <d v="2025-08-25T00:00:00"/>
    <x v="3"/>
    <s v="016VATO252370019   NEFT   CREDIT   CHARGE VAT - AUGUST 2025 SALARY PYT"/>
    <s v="Bank charges"/>
    <x v="1"/>
    <n v="3.75"/>
  </r>
  <r>
    <d v="2025-08-25T00:00:00"/>
    <x v="3"/>
    <s v="016NEFO252370026  NEFT  CREDIT  -  AUGUST_x000a_2025 SALARY PYT"/>
    <s v="Salaries and Wages"/>
    <x v="7"/>
    <n v="52835"/>
  </r>
  <r>
    <d v="2025-08-25T00:00:00"/>
    <x v="3"/>
    <s v="016NEFC252370020  NEFT  CREDIT  CHARGE  - AUGUST 2025 SALARY PYT"/>
    <s v="Bank charges"/>
    <x v="1"/>
    <n v="50"/>
  </r>
  <r>
    <d v="2025-08-25T00:00:00"/>
    <x v="3"/>
    <s v="016VATO252370020   NEFT   CREDIT   CHARGE VAT - AUGUST 2025 SALARY PYT"/>
    <s v="Bank charges"/>
    <x v="1"/>
    <n v="3.75"/>
  </r>
  <r>
    <d v="2025-08-25T00:00:00"/>
    <x v="3"/>
    <s v="016NEFO252370027  NEFT  CREDIT  -  AUGUST_x000a_2025 SALARY PYT"/>
    <s v="Salaries and Wages"/>
    <x v="7"/>
    <n v="2295519.5600000024"/>
  </r>
  <r>
    <d v="2025-08-25T00:00:00"/>
    <x v="3"/>
    <s v="016NEFC252370021  NEFT  CREDIT  CHARGE  - AUGUST 2025 SALARY PYT"/>
    <s v="Bank charges"/>
    <x v="1"/>
    <n v="50"/>
  </r>
  <r>
    <d v="2025-08-25T00:00:00"/>
    <x v="3"/>
    <s v="016VATO252370021   NEFT   CREDIT   CHARGE VAT - AUGUST 2025 SALARY PYT"/>
    <s v="Bank charges"/>
    <x v="1"/>
    <n v="3.75"/>
  </r>
  <r>
    <d v="2025-08-25T00:00:00"/>
    <x v="3"/>
    <s v="016NEFO252370031  NEFT  CREDIT  -  AUGUST_x000a_2025 SALARY PYT"/>
    <s v="Salaries and Wages"/>
    <x v="7"/>
    <n v="71025"/>
  </r>
  <r>
    <d v="2025-08-25T00:00:00"/>
    <x v="3"/>
    <s v="016NEFC252370022  NEFT  CREDIT  CHARGE  - AUGUST 2025 SALARY PYT"/>
    <s v="Bank charges"/>
    <x v="1"/>
    <n v="50"/>
  </r>
  <r>
    <d v="2025-08-25T00:00:00"/>
    <x v="3"/>
    <s v="016VATO252370022   NEFT   CREDIT   CHARGE VAT - AUGUST 2025 SALARY PYT"/>
    <s v="Bank charges"/>
    <x v="1"/>
    <n v="3.75"/>
  </r>
  <r>
    <d v="2025-08-25T00:00:00"/>
    <x v="3"/>
    <s v="016NEFO252370033  NEFT  CREDIT  -  AUGUST_x000a_2025 SALARY PYT"/>
    <s v="Salaries and Wages"/>
    <x v="7"/>
    <n v="283172.19999999553"/>
  </r>
  <r>
    <d v="2025-08-25T00:00:00"/>
    <x v="3"/>
    <s v="016NEFC252370023  NEFT  CREDIT  CHARGE  - AUGUST 2025 SALARY PYT"/>
    <s v="Bank charges"/>
    <x v="1"/>
    <n v="50"/>
  </r>
  <r>
    <d v="2025-08-25T00:00:00"/>
    <x v="3"/>
    <s v="016VATO252370023   NEFT   CREDIT   CHARGE VAT - AUGUST 2025 SALARY PYT"/>
    <s v="Bank charges"/>
    <x v="1"/>
    <n v="3.75"/>
  </r>
  <r>
    <d v="2025-08-25T00:00:00"/>
    <x v="3"/>
    <s v="016NEFO252370034  NEFT  CREDIT  -  AUGUST_x000a_2025 STAFF ALLOWANCE PAYMENT"/>
    <s v="Staff allowance"/>
    <x v="27"/>
    <n v="35000"/>
  </r>
  <r>
    <d v="2025-08-25T00:00:00"/>
    <x v="3"/>
    <s v="016NEFC252370024  NEFT  CREDIT  CHARGE  - AUGUST 2025 STAFF ALLOWANCE PAYMENT"/>
    <s v="Bank charges"/>
    <x v="1"/>
    <n v="25"/>
  </r>
  <r>
    <d v="2025-08-25T00:00:00"/>
    <x v="3"/>
    <s v="016VATO252370024 NEFT CREDIT  CHARGE VAT - AUGUST 2025 STAFF ALLOWANCE PAYMENT"/>
    <s v="Bank charges"/>
    <x v="1"/>
    <n v="1.880000002682209"/>
  </r>
  <r>
    <d v="2025-08-25T00:00:00"/>
    <x v="3"/>
    <s v="016NEFO252370035  NEFT  CREDIT  -  AUGUST_x000a_2025 STAFF ALLOWANCE PAYMENT"/>
    <s v="Staff allowance"/>
    <x v="27"/>
    <n v="20000"/>
  </r>
  <r>
    <d v="2025-08-25T00:00:00"/>
    <x v="3"/>
    <s v="016NEFC252370025  NEFT  CREDIT  CHARGE  - AUGUST 2025 STAFF ALLOWANCE PAYMENT"/>
    <s v="Bank charges"/>
    <x v="1"/>
    <n v="25"/>
  </r>
  <r>
    <d v="2025-08-25T00:00:00"/>
    <x v="3"/>
    <s v="016VATO252370025 NEFT CREDIT  CHARGE VAT - AUGUST 2025 STAFF ALLOWANCE PAYMENT"/>
    <s v="Bank charges"/>
    <x v="1"/>
    <n v="1.880000002682209"/>
  </r>
  <r>
    <d v="2025-08-25T00:00:00"/>
    <x v="3"/>
    <s v="016NEFO252370036  NEFT  CREDIT  -  AUGUST_x000a_2025 STAFF ALLOWANCE PAYMENT"/>
    <s v="Staff allowance"/>
    <x v="27"/>
    <n v="20000"/>
  </r>
  <r>
    <d v="2025-08-25T00:00:00"/>
    <x v="3"/>
    <s v="016NEFC252370026  NEFT  CREDIT  CHARGE  - AUGUST 2025 STAFF ALLOWANCE PAYMENT"/>
    <s v="Bank charges"/>
    <x v="1"/>
    <n v="25"/>
  </r>
  <r>
    <d v="2025-08-25T00:00:00"/>
    <x v="3"/>
    <s v="016VATO252370026 NEFT CREDIT  CHARGE VAT - AUGUST 2025 STAFF ALLOWANCE PAYMENT"/>
    <s v="Bank charges"/>
    <x v="1"/>
    <n v="1.8799999952316284"/>
  </r>
  <r>
    <d v="2025-08-25T00:00:00"/>
    <x v="3"/>
    <s v="016NEFO252370037  NEFT  CREDIT  -  AUGUST_x000a_2025 STAFF ALLOWANCE PAYMENT"/>
    <s v="Staff allowance"/>
    <x v="27"/>
    <n v="27500"/>
  </r>
  <r>
    <d v="2025-08-25T00:00:00"/>
    <x v="3"/>
    <s v="016NEFC252370027  NEFT  CREDIT  CHARGE  - AUGUST 2025 STAFF ALLOWANCE PAYMENT"/>
    <s v="Bank charges"/>
    <x v="1"/>
    <n v="25"/>
  </r>
  <r>
    <d v="2025-08-25T00:00:00"/>
    <x v="3"/>
    <s v="016VATO252370027 NEFT CREDIT  CHARGE VAT - AUGUST 2025 STAFF ALLOWANCE PAYMENT"/>
    <s v="Bank charges"/>
    <x v="1"/>
    <n v="1.880000002682209"/>
  </r>
  <r>
    <d v="2025-08-25T00:00:00"/>
    <x v="3"/>
    <s v="016NEFO252370038  NEFT  CREDIT  -  AUGUST_x000a_2025 STAFF ALLOWANCE PAYMENT"/>
    <s v="Staff allowance"/>
    <x v="27"/>
    <n v="35000"/>
  </r>
  <r>
    <d v="2025-08-25T00:00:00"/>
    <x v="3"/>
    <s v="016NEFC252370028  NEFT  CREDIT  CHARGE  - AUGUST 2025 STAFF ALLOWANCE PAYMENT"/>
    <s v="Bank charges"/>
    <x v="1"/>
    <n v="25"/>
  </r>
  <r>
    <d v="2025-08-25T00:00:00"/>
    <x v="3"/>
    <s v="016VATO252370028 NEFT CREDIT  CHARGE VAT - AUGUST 2025 STAFF ALLOWANCE PAYMENT"/>
    <s v="Bank charges"/>
    <x v="1"/>
    <n v="1.8799999952316284"/>
  </r>
  <r>
    <d v="2025-08-25T00:00:00"/>
    <x v="3"/>
    <s v="016NEFO252370039  NEFT  CREDIT  -  AUGUST_x000a_2025 STAFF ALLOWANCE PAYMENT"/>
    <s v="Staff allowance"/>
    <x v="27"/>
    <n v="35000"/>
  </r>
  <r>
    <d v="2025-08-25T00:00:00"/>
    <x v="3"/>
    <s v="016NEFC252370029  NEFT  CREDIT  CHARGE  - AUGUST 2025 STAFF ALLOWANCE PAYMENT"/>
    <s v="Bank charges"/>
    <x v="1"/>
    <n v="25"/>
  </r>
  <r>
    <d v="2025-08-25T00:00:00"/>
    <x v="3"/>
    <s v="016VATO252370029 NEFT CREDIT  CHARGE VAT - AUGUST 2025 STAFF ALLOWANCE PAYMENT"/>
    <s v="Bank charges"/>
    <x v="1"/>
    <n v="1.880000002682209"/>
  </r>
  <r>
    <d v="2025-08-25T00:00:00"/>
    <x v="3"/>
    <s v="016NEFO252370040  NEFT  CREDIT  -  AUGUST_x000a_2025 STAFF ALLOWANCE PAYMENT"/>
    <s v="Staff allowance"/>
    <x v="27"/>
    <n v="20000"/>
  </r>
  <r>
    <d v="2025-08-25T00:00:00"/>
    <x v="3"/>
    <s v="016NEFC252370030  NEFT  CREDIT  CHARGE  - AUGUST 2025 STAFF ALLOWANCE PAYMENT"/>
    <s v="Bank charges"/>
    <x v="1"/>
    <n v="25"/>
  </r>
  <r>
    <d v="2025-08-25T00:00:00"/>
    <x v="3"/>
    <s v="016VATO252370030 NEFT CREDIT  CHARGE VAT - AUGUST 2025 STAFF ALLOWANCE PAYMENT"/>
    <s v="Bank charges"/>
    <x v="1"/>
    <n v="1.880000002682209"/>
  </r>
  <r>
    <d v="2025-08-25T00:00:00"/>
    <x v="3"/>
    <s v="016NEFO252370041  NEFT  CREDIT  -  AUGUST_x000a_2025 STAFF ALLOWANCE PAYMENT"/>
    <s v="Staff allowance"/>
    <x v="27"/>
    <n v="20000"/>
  </r>
  <r>
    <d v="2025-08-25T00:00:00"/>
    <x v="3"/>
    <s v="016NEFC252370031  NEFT  CREDIT  CHARGE  - AUGUST 2025 STAFF ALLOWANCE PAYMENT"/>
    <s v="Bank charges"/>
    <x v="1"/>
    <n v="25"/>
  </r>
  <r>
    <d v="2025-08-25T00:00:00"/>
    <x v="3"/>
    <s v="016VATO252370031 NEFT CREDIT  CHARGE VAT - AUGUST 2025 STAFF ALLOWANCE PAYMENT"/>
    <s v="Bank charges"/>
    <x v="1"/>
    <n v="1.8799999952316284"/>
  </r>
  <r>
    <d v="2025-08-25T00:00:00"/>
    <x v="3"/>
    <s v="016NEFO252370042  NEFT  CREDIT  -  AUGUST_x000a_2025 STAFF ALLOWANCE PAYMENT"/>
    <s v="Staff allowance"/>
    <x v="27"/>
    <n v="20000"/>
  </r>
  <r>
    <d v="2025-08-25T00:00:00"/>
    <x v="3"/>
    <s v="016NEFC252370032  NEFT  CREDIT  CHARGE  - AUGUST 2025 STAFF ALLOWANCE PAYMENT"/>
    <s v="Bank charges"/>
    <x v="1"/>
    <n v="25"/>
  </r>
  <r>
    <d v="2025-08-25T00:00:00"/>
    <x v="3"/>
    <s v="016VATO252370032 NEFT CREDIT  CHARGE VAT - AUGUST 2025 STAFF ALLOWANCE PAYMENT"/>
    <s v="Bank charges"/>
    <x v="1"/>
    <n v="1.880000002682209"/>
  </r>
  <r>
    <d v="2025-08-25T00:00:00"/>
    <x v="3"/>
    <s v="016NEFO252370043  NEFT  CREDIT  -  AUGUST_x000a_2025 STAFF ALLOWANCE PAYMENT"/>
    <s v="Staff allowance"/>
    <x v="27"/>
    <n v="35000"/>
  </r>
  <r>
    <d v="2025-08-25T00:00:00"/>
    <x v="3"/>
    <s v="016NEFC252370033  NEFT  CREDIT  CHARGE  - AUGUST 2025 STAFF ALLOWANCE PAYMENT"/>
    <s v="Bank charges"/>
    <x v="1"/>
    <n v="25"/>
  </r>
  <r>
    <d v="2025-08-25T00:00:00"/>
    <x v="3"/>
    <s v="016VATO252370033 NEFT CREDIT  CHARGE VAT - AUGUST 2025 STAFF ALLOWANCE PAYMENT"/>
    <s v="Bank charges"/>
    <x v="1"/>
    <n v="1.880000002682209"/>
  </r>
  <r>
    <d v="2025-08-25T00:00:00"/>
    <x v="3"/>
    <s v="016NEFO252370047  NEFT  CREDIT  -  AUGUST_x000a_2025 STAFF ALLOWANCE PAYMENT"/>
    <s v="Staff allowance"/>
    <x v="27"/>
    <n v="35000"/>
  </r>
  <r>
    <d v="2025-08-25T00:00:00"/>
    <x v="3"/>
    <s v="016NEFC252370034  NEFT  CREDIT  CHARGE  - AUGUST 2025 STAFF ALLOWANCE PAYMENT"/>
    <s v="Bank charges"/>
    <x v="1"/>
    <n v="25"/>
  </r>
  <r>
    <d v="2025-08-25T00:00:00"/>
    <x v="3"/>
    <s v="016VATO252370034 NEFT CREDIT  CHARGE VAT - AUGUST 2025 STAFF ALLOWANCE PAYMENT"/>
    <s v="Bank charges"/>
    <x v="1"/>
    <n v="1.8799999952316284"/>
  </r>
  <r>
    <d v="2025-08-25T00:00:00"/>
    <x v="3"/>
    <s v="016NEFO252370051  NEFT  CREDIT  -  AUGUST_x000a_2025 STAFF ALLOWANCE PAYMENT"/>
    <s v="Staff allowance"/>
    <x v="27"/>
    <n v="20000"/>
  </r>
  <r>
    <d v="2025-08-25T00:00:00"/>
    <x v="3"/>
    <s v="016NEFC252370035  NEFT  CREDIT  CHARGE  - AUGUST 2025 STAFF ALLOWANCE PAYMENT"/>
    <s v="Bank charges"/>
    <x v="1"/>
    <n v="25"/>
  </r>
  <r>
    <d v="2025-08-25T00:00:00"/>
    <x v="3"/>
    <s v="016VATO252370035 NEFT CREDIT  CHARGE VAT - AUGUST 2025 STAFF ALLOWANCE PAYMENT"/>
    <s v="Bank charges"/>
    <x v="1"/>
    <n v="1.880000002682209"/>
  </r>
  <r>
    <d v="2025-08-25T00:00:00"/>
    <x v="3"/>
    <s v="016NEFO252370056  NEFT  CREDIT  -  AUGUST_x000a_2025 STAFF ALLOWANCE PAYMENT"/>
    <s v="Staff allowance"/>
    <x v="27"/>
    <n v="35000"/>
  </r>
  <r>
    <d v="2025-08-25T00:00:00"/>
    <x v="3"/>
    <s v="016NEFC252370036  NEFT  CREDIT  CHARGE  - AUGUST 2025 STAFF ALLOWANCE PAYMENT"/>
    <s v="Bank charges"/>
    <x v="1"/>
    <n v="25"/>
  </r>
  <r>
    <d v="2025-08-25T00:00:00"/>
    <x v="3"/>
    <s v="016VATO252370036   NEFT   CREDIT   CHARGE VAT   -   AUGUST   2025   STAFF   ALLOWANCE_x000a_PAYMENT"/>
    <s v="Bank charges"/>
    <x v="1"/>
    <n v="1.880000002682209"/>
  </r>
  <r>
    <d v="2025-08-25T00:00:00"/>
    <x v="3"/>
    <s v="016NEFO252370057  NEFT  CREDIT  -  AUGUST_x000a_2025 STAFF ALLOWANCE PAYMENT"/>
    <s v="Staff allowance"/>
    <x v="27"/>
    <n v="35000"/>
  </r>
  <r>
    <d v="2025-08-25T00:00:00"/>
    <x v="3"/>
    <s v="016NEFC252370037  NEFT  CREDIT  CHARGE  - AUGUST 2025 STAFF ALLOWANCE PAYMENT"/>
    <s v="Bank charges"/>
    <x v="1"/>
    <n v="25"/>
  </r>
  <r>
    <d v="2025-08-25T00:00:00"/>
    <x v="3"/>
    <s v="016VATO252370037 NEFT CREDIT  CHARGE VAT - AUGUST 2025 STAFF ALLOWANCE PAYMENT"/>
    <s v="Bank charges"/>
    <x v="1"/>
    <n v="1.8799999952316284"/>
  </r>
  <r>
    <d v="2025-08-25T00:00:00"/>
    <x v="3"/>
    <s v="016NEFO252370058  NEFT  CREDIT  -  AUGUST_x000a_2025 STAFF ALLOWANCE PAYMENT"/>
    <s v="Staff allowance"/>
    <x v="27"/>
    <n v="27500"/>
  </r>
  <r>
    <d v="2025-08-25T00:00:00"/>
    <x v="3"/>
    <s v="016NEFC252370038  NEFT  CREDIT  CHARGE  - AUGUST 2025 STAFF ALLOWANCE PAYMENT"/>
    <s v="Bank charges"/>
    <x v="1"/>
    <n v="25"/>
  </r>
  <r>
    <d v="2025-08-25T00:00:00"/>
    <x v="3"/>
    <s v="016VATO252370038 NEFT CREDIT  CHARGE VAT - AUGUST 2025 STAFF ALLOWANCE PAYMENT"/>
    <s v="Bank charges"/>
    <x v="1"/>
    <n v="1.880000002682209"/>
  </r>
  <r>
    <d v="2025-08-25T00:00:00"/>
    <x v="3"/>
    <s v="016NEFO252370059  NEFT  CREDIT  -  AUGUST_x000a_2025 STAFF ALLOWANCE PAYMENT"/>
    <s v="Staff allowance"/>
    <x v="27"/>
    <n v="35000"/>
  </r>
  <r>
    <d v="2025-08-25T00:00:00"/>
    <x v="3"/>
    <s v="016NEFC252370039  NEFT  CREDIT  CHARGE  - AUGUST 2025 STAFF ALLOWANCE PAYMENT"/>
    <s v="Bank charges"/>
    <x v="1"/>
    <n v="25"/>
  </r>
  <r>
    <d v="2025-08-25T00:00:00"/>
    <x v="3"/>
    <s v="016VATO252370039 NEFT CREDIT  CHARGE VAT - AUGUST 2025 STAFF ALLOWANCE PAYMENT"/>
    <s v="Bank charges"/>
    <x v="1"/>
    <n v="1.8799999952316284"/>
  </r>
  <r>
    <d v="2025-08-25T00:00:00"/>
    <x v="3"/>
    <s v="016NEFO252370060  NEFT  CREDIT  -  AUGUST_x000a_2025 STAFF ALLOWANCE PAYMENT"/>
    <s v="Staff allowance"/>
    <x v="27"/>
    <n v="70000"/>
  </r>
  <r>
    <d v="2025-08-25T00:00:00"/>
    <x v="3"/>
    <s v="016NEFC252370040  NEFT  CREDIT  CHARGE  - AUGUST 2025 STAFF ALLOWANCE PAYMENT"/>
    <s v="Bank charges"/>
    <x v="1"/>
    <n v="50"/>
  </r>
  <r>
    <d v="2025-08-25T00:00:00"/>
    <x v="3"/>
    <s v="016VATO252370040 NEFT CREDIT  CHARGE VAT - AUGUST 2025 STAFF ALLOWANCE PAYMENT"/>
    <s v="Bank charges"/>
    <x v="1"/>
    <n v="3.75"/>
  </r>
  <r>
    <d v="2025-08-25T00:00:00"/>
    <x v="3"/>
    <s v="016NEFO252370061  NEFT  CREDIT  -  AUGUST_x000a_2025 STAFF ALLOWANCE PAYMENT"/>
    <s v="Staff allowance"/>
    <x v="27"/>
    <n v="35000"/>
  </r>
  <r>
    <d v="2025-08-25T00:00:00"/>
    <x v="3"/>
    <s v="016NEFC252370041  NEFT  CREDIT  CHARGE  - AUGUST 2025 STAFF ALLOWANCE PAYMENT"/>
    <s v="Bank charges"/>
    <x v="1"/>
    <n v="25"/>
  </r>
  <r>
    <d v="2025-08-25T00:00:00"/>
    <x v="3"/>
    <s v="016VATO252370041 NEFT CREDIT  CHARGE VAT - AUGUST 2025 STAFF ALLOWANCE PAYMENT"/>
    <s v="Bank charges"/>
    <x v="1"/>
    <n v="1.880000002682209"/>
  </r>
  <r>
    <d v="2025-08-25T00:00:00"/>
    <x v="3"/>
    <s v="016NEFO252370062  NEFT  CREDIT  -  AUGUST_x000a_2025 STAFF ALLOWANCE PAYMENT"/>
    <s v="Staff allowance"/>
    <x v="27"/>
    <n v="20000"/>
  </r>
  <r>
    <d v="2025-08-25T00:00:00"/>
    <x v="3"/>
    <s v="016NEFC252370042  NEFT  CREDIT  CHARGE  - AUGUST 2025 STAFF ALLOWANCE PAYMENT"/>
    <s v="Bank charges"/>
    <x v="1"/>
    <n v="25"/>
  </r>
  <r>
    <d v="2025-08-25T00:00:00"/>
    <x v="3"/>
    <s v="016VATO252370042 NEFT CREDIT  CHARGE VAT - AUGUST 2025 STAFF ALLOWANCE PAYMENT"/>
    <s v="Bank charges"/>
    <x v="1"/>
    <n v="1.880000002682209"/>
  </r>
  <r>
    <d v="2025-08-25T00:00:00"/>
    <x v="3"/>
    <s v="016NEFO252370063  NEFT  CREDIT  -  AUGUST_x000a_2025 STAFF ALLOWANCE PAYMENT"/>
    <s v="Staff allowance"/>
    <x v="27"/>
    <n v="70000"/>
  </r>
  <r>
    <d v="2025-08-25T00:00:00"/>
    <x v="3"/>
    <s v="016NEFC252370043  NEFT  CREDIT  CHARGE  - AUGUST 2025 STAFF ALLOWANCE PAYMENT"/>
    <s v="Bank charges"/>
    <x v="1"/>
    <n v="50"/>
  </r>
  <r>
    <d v="2025-08-25T00:00:00"/>
    <x v="3"/>
    <s v="016VATO252370043 NEFT CREDIT  CHARGE VAT - AUGUST 2025 STAFF ALLOWANCE PAYMENT"/>
    <s v="Bank charges"/>
    <x v="1"/>
    <n v="3.75"/>
  </r>
  <r>
    <d v="2025-08-25T00:00:00"/>
    <x v="3"/>
    <s v="016NEFO252370064  NEFT  CREDIT  -  AUGUST_x000a_2025 STAFF ALLOWANCE PAYMENT"/>
    <s v="Staff allowance"/>
    <x v="27"/>
    <n v="20000"/>
  </r>
  <r>
    <d v="2025-08-25T00:00:00"/>
    <x v="3"/>
    <s v="016NEFC252370045  NEFT  CREDIT  CHARGE  - AUGUST 2025 STAFF ALLOWANCE PAYMENT"/>
    <s v="Bank charges"/>
    <x v="1"/>
    <n v="25"/>
  </r>
  <r>
    <d v="2025-08-25T00:00:00"/>
    <x v="3"/>
    <s v="016NEFO252370066  NEFT  CREDIT  -  AUGUST_x000a_2025 STAFF ALLOWANCE PAYMENT"/>
    <s v="Staff allowance"/>
    <x v="27"/>
    <n v="20000"/>
  </r>
  <r>
    <d v="2025-08-25T00:00:00"/>
    <x v="3"/>
    <s v="016VATO252370044 NEFT CREDIT  CHARGE VAT - AUGUST 2025 STAFF ALLOWANCE PAYMENT"/>
    <s v="Bank charges"/>
    <x v="1"/>
    <n v="1.8799999952316284"/>
  </r>
  <r>
    <d v="2025-08-25T00:00:00"/>
    <x v="3"/>
    <s v="016NEFC252370046  NEFT  CREDIT  CHARGE  - AUGUST 2025 STAFF ALLOWANCE PAYMENT"/>
    <s v="Bank charges"/>
    <x v="1"/>
    <n v="25"/>
  </r>
  <r>
    <d v="2025-08-25T00:00:00"/>
    <x v="3"/>
    <s v="016VATO252370045 NEFT CREDIT  CHARGE VAT - AUGUST 2025 STAFF ALLOWANCE PAYMENT"/>
    <s v="Bank charges"/>
    <x v="1"/>
    <n v="1.880000002682209"/>
  </r>
  <r>
    <d v="2025-08-25T00:00:00"/>
    <x v="3"/>
    <s v="016NEFO252370067  NEFT  CREDIT  -  AUGUST_x000a_2025 STAFF ALLOWANCE PAYMENT"/>
    <s v="Staff allowance"/>
    <x v="27"/>
    <n v="27500"/>
  </r>
  <r>
    <d v="2025-08-25T00:00:00"/>
    <x v="3"/>
    <s v="016NEFC252370048  NEFT  CREDIT  CHARGE  - AUGUST 2025 STAFF ALLOWANCE PAYMENT"/>
    <s v="Bank charges"/>
    <x v="1"/>
    <n v="25"/>
  </r>
  <r>
    <d v="2025-08-25T00:00:00"/>
    <x v="3"/>
    <s v="016VATO252370046 NEFT CREDIT  CHARGE VAT - AUGUST 2025 STAFF ALLOWANCE PAYMENT"/>
    <s v="Bank charges"/>
    <x v="1"/>
    <n v="1.880000002682209"/>
  </r>
  <r>
    <d v="2025-08-25T00:00:00"/>
    <x v="3"/>
    <s v="016EMTL2523700O6     ELECTRONIC     MONEY TRANSFER LEVY"/>
    <s v="Bank charges"/>
    <x v="1"/>
    <n v="50"/>
  </r>
  <r>
    <d v="2025-08-26T00:00:00"/>
    <x v="3"/>
    <s v="016NIPO252380002 NIP - NIP TRF IFO OLALEYE KAYODE B/O ILORIN  TECH  PARK LTD (IIH AUG 2025 ALLOWANCE"/>
    <s v="Staff allowance"/>
    <x v="27"/>
    <n v="27500"/>
  </r>
  <r>
    <d v="2025-08-26T00:00:00"/>
    <x v="3"/>
    <s v="016NIPC252380002 NIP Charge - NIP TRF IFO OLALEYE KAYODE B/O ILORIN  TECH  PARK LTD (IIH AUG 2025 ALLOWANCE"/>
    <s v="Bank charges"/>
    <x v="1"/>
    <n v="25"/>
  </r>
  <r>
    <d v="2025-08-26T00:00:00"/>
    <x v="3"/>
    <s v="016VATP252380002 NIP Charge VAT - NIP TRF IFO OLALEYE KAYODE B/O ILORIN TECH PARK LTD (IIH AUG 2025 ALLOWANCE"/>
    <s v="Bank charges"/>
    <x v="1"/>
    <n v="1.8799999952316284"/>
  </r>
  <r>
    <d v="2025-08-26T00:00:00"/>
    <x v="3"/>
    <s v="000MOBT252381475      TRADE      FAIR      TRIP_x000a_LAGOS LOGISTICS NIP Transfer from ILORIN INNOVATION HUB LTD to JAMIU ADEBO"/>
    <s v="Transport and Travel"/>
    <x v="18"/>
    <n v="100000"/>
  </r>
  <r>
    <d v="2025-08-26T00:00:00"/>
    <x v="3"/>
    <s v="000MOBT252381475      TRADE      FAIR      TRIP_x000a_LAGOS LOGISTICS NIP Transfer from ILORIN INNOVATION HUB LTD to JAMIU ADEBO"/>
    <s v="Bank charges"/>
    <x v="1"/>
    <n v="50"/>
  </r>
  <r>
    <d v="2025-08-26T00:00:00"/>
    <x v="3"/>
    <s v="000MOBT252381475      TRADE      FAIR      TRIP_x000a_LAGOS LOGISTICS NIP Transfer from ILORIN INNOVATION HUB LTD to JAMIU ADEBO"/>
    <s v="Bank charges"/>
    <x v="1"/>
    <n v="3.75"/>
  </r>
  <r>
    <d v="2025-08-26T00:00:00"/>
    <x v="3"/>
    <s v="016NIPO252380010 NIP - NIP TRF IFO ABDULKHALEED EYITAYO ALABI B/O ILORIN TECH PARK LTD (IIH SALARY AUG 2025"/>
    <s v="Salaries and Wages"/>
    <x v="7"/>
    <n v="44432.330000005662"/>
  </r>
  <r>
    <d v="2025-08-26T00:00:00"/>
    <x v="3"/>
    <s v="016NIPC252380010 NIP Charge - NIP TRF IFO ABDULKHALEED EYITAYO ALABI B/O ILORIN TECH PARK LTD (IIH SALARY AUG 2025"/>
    <s v="Bank charges"/>
    <x v="1"/>
    <n v="25"/>
  </r>
  <r>
    <d v="2025-08-26T00:00:00"/>
    <x v="3"/>
    <s v="016VATP252380010 NIP Charge VAT - NIP TRF IFO ABDULKHALEED EYITAYO ALABI B/O ILORIN TECH PARK LTD (IIH SALARY AUG"/>
    <s v="Bank charges"/>
    <x v="1"/>
    <n v="1.8799999952316284"/>
  </r>
  <r>
    <d v="2025-08-26T00:00:00"/>
    <x v="3"/>
    <s v="016NIPO252380011 NIP - NIP TRF IFO SAMUEL STEVEN ARISE B/O  ILORIN TECH PARK LTD"/>
    <s v="Salaries and Wages"/>
    <x v="7"/>
    <n v="44432.329999998212"/>
  </r>
  <r>
    <d v="2025-08-26T00:00:00"/>
    <x v="3"/>
    <s v="016NIPC252380011 NIP Charge - NIP TRF IFO SAMUEL STEVEN ARISE B/O ILORIN TECH PARK LTD"/>
    <s v="Bank charges"/>
    <x v="1"/>
    <n v="25"/>
  </r>
  <r>
    <d v="2025-08-26T00:00:00"/>
    <x v="3"/>
    <s v="016VATP252380011 NIP Charge VAT - NIP TRF IFO SAMUEL STEVEN ARISE  B/O  ILORIN TECH PARK LTD"/>
    <s v="Bank charges"/>
    <x v="1"/>
    <n v="1.880000002682209"/>
  </r>
  <r>
    <d v="2025-08-26T00:00:00"/>
    <x v="3"/>
    <s v="016NIPO252380012 NIP - NIPTRF IFO HENRY MGBECHI CHUKWUEBUKA B/O ILORIN TECH PARK LTD"/>
    <s v="Salaries and Wages"/>
    <x v="7"/>
    <n v="283172.20000000298"/>
  </r>
  <r>
    <d v="2025-08-26T00:00:00"/>
    <x v="3"/>
    <s v="016NIPC252380012 NIP Charge - NIPTRF IFO HENRY MGBECHI CHUKWUEBUKA  B/O ILORIN TECH PARK LTD"/>
    <s v="Bank charges"/>
    <x v="1"/>
    <n v="50"/>
  </r>
  <r>
    <d v="2025-08-26T00:00:00"/>
    <x v="3"/>
    <s v="016VATP252380012 NIP Charge VAT - NIPTRF IFO  HENRY  MGBECHI  CHUKWUEBUKA  B/O_x000a_ILORIN TECH PARK LTD"/>
    <s v="Bank charges"/>
    <x v="1"/>
    <n v="3.75"/>
  </r>
  <r>
    <d v="2025-08-26T00:00:00"/>
    <x v="3"/>
    <s v="016NIPO252380013 NIP - NIP TRF IFO OLALEYE KAYODE B/O ILORIN  TECH  PARK LTD"/>
    <s v="Salaries and Wages"/>
    <x v="7"/>
    <n v="140171.66999999434"/>
  </r>
  <r>
    <d v="2025-08-26T00:00:00"/>
    <x v="3"/>
    <s v="016NIPC252380013 NIP Charge - NIP TRF IFO OLALEYE KAYODE B/O ILORIN  TECH  PARK LTD"/>
    <s v="Bank charges"/>
    <x v="1"/>
    <n v="50"/>
  </r>
  <r>
    <d v="2025-08-26T00:00:00"/>
    <x v="3"/>
    <s v="016VATP252380013 NIP Charge VAT - NIP TRF IFO OLALEYE KAYODE B/O ILORIN TECH PARK LTD"/>
    <s v="Bank charges"/>
    <x v="1"/>
    <n v="3.75"/>
  </r>
  <r>
    <d v="2025-08-26T00:00:00"/>
    <x v="3"/>
    <s v="016NIPO252380014 NIP - NIP TRF IFO OLUWADAMILARE EMMANUEL OLOYEDE B/O ILORIN TECH PARK LTD"/>
    <s v="Salaries and Wages"/>
    <x v="7"/>
    <n v="283172.20000000298"/>
  </r>
  <r>
    <d v="2025-08-26T00:00:00"/>
    <x v="3"/>
    <s v="016NIPC252380014 NIP Charge - NIP TRF IFO OLUWADAMILARE EMMANUEL OLOYEDE B/O ILORIN TECH PARK LTD"/>
    <s v="Bank charges"/>
    <x v="1"/>
    <n v="50"/>
  </r>
  <r>
    <d v="2025-08-26T00:00:00"/>
    <x v="3"/>
    <s v="016VATP252380014 NIP Charge VAT - NIP TRF IFO OLUWADAMILARE EMMANUEL OLOYEDE B/O  ILORIN TECH PARK LTD"/>
    <s v="Bank charges"/>
    <x v="1"/>
    <n v="3.75"/>
  </r>
  <r>
    <d v="2025-08-26T00:00:00"/>
    <x v="3"/>
    <s v="016NIPO252380015 NIP - NIP TRF IFO YUSUF DOLAPO ABDULRAMAN B/O ILORIN TECH PARK LTD"/>
    <s v="Salaries and Wages"/>
    <x v="7"/>
    <n v="283172.20000000298"/>
  </r>
  <r>
    <d v="2025-08-26T00:00:00"/>
    <x v="3"/>
    <s v="016NIPC252380015 NIP Charge - NIP TRF IFO YUSUF DOLAPO ABDULRAMAN B/O ILORIN TECH PARK LTD"/>
    <s v="Bank charges"/>
    <x v="1"/>
    <n v="50"/>
  </r>
  <r>
    <d v="2025-08-26T00:00:00"/>
    <x v="3"/>
    <s v="016VATP252380015 NIP Charge VAT - NIP TRF IFO YUSUF DOLAPO ABDULRAMAN  B/O ILORIN TECH PARK LTD"/>
    <s v="Bank charges"/>
    <x v="1"/>
    <n v="3.75"/>
  </r>
  <r>
    <d v="2025-08-26T00:00:00"/>
    <x v="3"/>
    <s v="016NIPO252380016 NIP - NIP TRF IFO SHEIDU AL FAID OSIFOMOFURA B/O ILORIN TECH PARK LTD"/>
    <s v="Salaries and Wages"/>
    <x v="7"/>
    <n v="44432.329999998212"/>
  </r>
  <r>
    <d v="2025-08-26T00:00:00"/>
    <x v="3"/>
    <s v="016NIPC252380016 NIP Charge - NIP TRF IFO SHEIDU AL FAID OSIFOMOFURA B/O ILORIN TECH PARK LTD"/>
    <s v="Bank charges"/>
    <x v="1"/>
    <n v="25"/>
  </r>
  <r>
    <d v="2025-08-26T00:00:00"/>
    <x v="3"/>
    <s v="016VATP252380016 NIP Charge VAT - NIP TRF IFO SHEIDU AL  FAID OSIFOMOFURA B/O ILORIN TECH PARK LTD"/>
    <s v="Bank charges"/>
    <x v="1"/>
    <n v="1.880000002682209"/>
  </r>
  <r>
    <d v="2025-08-26T00:00:00"/>
    <x v="3"/>
    <s v="016NIPO252380017 NIP - NIP TRF IFO DELE OLUKOJU AOFIOLUJUWON MIRI B/O ILORIN TECH PARK LTD"/>
    <s v="Salaries and Wages"/>
    <x v="7"/>
    <n v="44432.329999998212"/>
  </r>
  <r>
    <d v="2025-08-26T00:00:00"/>
    <x v="3"/>
    <s v="016NIPC252380017 NIP Charge - NIP TRF IFO DELE OLUKOJU AOFIOLUJUWON MIRI B/O ILORIN TECH PARK LTD"/>
    <s v="Bank charges"/>
    <x v="1"/>
    <n v="25"/>
  </r>
  <r>
    <d v="2025-08-26T00:00:00"/>
    <x v="3"/>
    <s v="016VATP252380017 NIP Charge VAT - NIP TRF IFO DELE OLUKOJU AOFIOLUJUWON MIRI B/O  ILORIN TECH PARK LTD"/>
    <s v="Bank charges"/>
    <x v="1"/>
    <n v="1.8799999952316284"/>
  </r>
  <r>
    <d v="2025-08-26T00:00:00"/>
    <x v="3"/>
    <s v="016NIPO252380018 NIP - NIP TRF IFO OWARE JOAN B/O  ILORIN TECH PARK LTD"/>
    <s v="Salaries and Wages"/>
    <x v="7"/>
    <n v="52835"/>
  </r>
  <r>
    <d v="2025-08-26T00:00:00"/>
    <x v="3"/>
    <s v="016NIPC252380018 NIP Charge - NIP TRF IFO OWARE JOAN B/O  ILORIN TECH PARK LTD"/>
    <s v="Bank charges"/>
    <x v="1"/>
    <n v="50"/>
  </r>
  <r>
    <d v="2025-08-26T00:00:00"/>
    <x v="3"/>
    <s v="016VATP252380018 NIP Charge VAT - NIP TRF IFO OWARE JOAN B/O ILORIN TECH  PARK LTD"/>
    <s v="Bank charges"/>
    <x v="1"/>
    <n v="3.75"/>
  </r>
  <r>
    <d v="2025-08-26T00:00:00"/>
    <x v="3"/>
    <s v="016NIPO252380019 NIP - NIP TRF IFO OKEY MAUREEN DANIEL B/O ILORIN TECH PARK LTD"/>
    <s v="Salaries and Wages"/>
    <x v="7"/>
    <n v="283172.20000000298"/>
  </r>
  <r>
    <d v="2025-08-26T00:00:00"/>
    <x v="3"/>
    <s v="016NIPC252380019 NIP Charge - NIP TRF IFO OKEY MAUREEN DANIEL B/O ILORIN TECH PARK LTD"/>
    <s v="Bank charges"/>
    <x v="1"/>
    <n v="50"/>
  </r>
  <r>
    <d v="2025-08-26T00:00:00"/>
    <x v="3"/>
    <s v="016VATP252380019 NIP Charge VAT - NIP TRF IFO OKEY MAUREEN DANIEL  B/O ILORIN TECH PARK LTD"/>
    <s v="Bank charges"/>
    <x v="1"/>
    <n v="3.75"/>
  </r>
  <r>
    <d v="2025-08-26T00:00:00"/>
    <x v="3"/>
    <s v="016NIPO252380020 NIP - NIP TRF IFO MUHAMMED NASIRU MAHMOOD B/O ILORIN TECH PARK LTD"/>
    <s v="Salaries and Wages"/>
    <x v="7"/>
    <n v="486614.60000000149"/>
  </r>
  <r>
    <d v="2025-08-26T00:00:00"/>
    <x v="3"/>
    <s v="016NIPC252380020 NIP Charge - NIP TRF IFO MUHAMMED NASIRU MAHMOOD  B/O   ILORIN_x000a_TECH PARK LTD"/>
    <s v="Bank charges"/>
    <x v="1"/>
    <n v="50"/>
  </r>
  <r>
    <d v="2025-08-26T00:00:00"/>
    <x v="3"/>
    <s v="016VATP252380020 NIP Charge VAT - NIP TRF IFO MUHAMMED NASIRU MAHMOOD B/O ILORIN TECH PARK LTD"/>
    <s v="Bank charges"/>
    <x v="1"/>
    <n v="3.75"/>
  </r>
  <r>
    <d v="2025-08-26T00:00:00"/>
    <x v="3"/>
    <s v="016NIPO252380021 NIP - NIP TRF IFO OKOLIE OGOCHUKWUKA BENJAMIN  B/O  ILORIN TECH PARK LTD"/>
    <s v="Salaries and Wages"/>
    <x v="7"/>
    <n v="52835"/>
  </r>
  <r>
    <d v="2025-08-26T00:00:00"/>
    <x v="3"/>
    <s v="016NIPC252380021 NIP Charge - NIP TRF IFO OKOLIE OGOCHUKWUKA BENJAMIN B/O ILORIN TECH PARK LTD"/>
    <s v="Bank charges"/>
    <x v="1"/>
    <n v="50"/>
  </r>
  <r>
    <d v="2025-08-26T00:00:00"/>
    <x v="3"/>
    <s v="016VATP252380021 NIP Charge VAT - NIP TRF IFO OKOLIE OGOCHUKWUKA BENJAMIN B/O ILORIN TECH PARK LTD"/>
    <s v="Bank charges"/>
    <x v="1"/>
    <n v="3.75"/>
  </r>
  <r>
    <d v="2025-08-26T00:00:00"/>
    <x v="3"/>
    <s v="016NIPO252380022 NIP - NIP  TRF  IFO AKANDE  OLUWASAYO  TEMILOLA   B/O ILORIN TECH PARK LTD"/>
    <s v="Salaries and Wages"/>
    <x v="7"/>
    <n v="283172.19999999553"/>
  </r>
  <r>
    <d v="2025-08-26T00:00:00"/>
    <x v="3"/>
    <s v="016NIPC252380022 NIP Charge - NIP TRF IFO AKANDE  OLUWASAYO  TEMILOLA   B/O ILORIN TECH PARK LTD"/>
    <s v="Bank charges"/>
    <x v="1"/>
    <n v="50"/>
  </r>
  <r>
    <d v="2025-08-26T00:00:00"/>
    <x v="3"/>
    <s v="016VATP252380022 NIP Charge VAT - NIP TRF IFO AKANDE OLUWASAYO TEMILOLA B/O ILORIN TECH PARK LTD"/>
    <s v="Bank charges"/>
    <x v="1"/>
    <n v="3.75"/>
  </r>
  <r>
    <d v="2025-08-26T00:00:00"/>
    <x v="3"/>
    <s v="016NIPO252380023 NIP - NIP TRF IFO ONUCHUKWU SINACHI GOODNESS B/O ILORIN TECH PARK LTD"/>
    <s v="Salaries and Wages"/>
    <x v="7"/>
    <n v="283172.20000000298"/>
  </r>
  <r>
    <d v="2025-08-26T00:00:00"/>
    <x v="3"/>
    <s v="016NIPC252380023 NIP Charge - NIP TRF IFO ONUCHUKWU SINACHI GOODNESS B/O ILORIN TECH PARK LTD"/>
    <s v="Bank charges"/>
    <x v="1"/>
    <n v="50"/>
  </r>
  <r>
    <d v="2025-08-26T00:00:00"/>
    <x v="3"/>
    <s v="016VATP252380023 NIP Charge VAT - NIP TRF IFO ONUCHUKWU SINACHI GOODNESS B/O ILORIN TECH PARK LTD"/>
    <s v="Bank charges"/>
    <x v="1"/>
    <n v="3.75"/>
  </r>
  <r>
    <d v="2025-08-26T00:00:00"/>
    <x v="3"/>
    <s v="016NIPO252380024 NIP - NIP TRF IFO SULYMAN YUSUF ALAO B/O ILORIN TECH PARK LTD"/>
    <s v="Salaries and Wages"/>
    <x v="7"/>
    <n v="140171.67000000179"/>
  </r>
  <r>
    <d v="2025-08-26T00:00:00"/>
    <x v="3"/>
    <s v="016NIPC252380024 NIP Charge - NIP TRF IFO SULYMAN YUSUF ALAO B/O ILORIN TECH PARK LTD"/>
    <s v="Bank charges"/>
    <x v="1"/>
    <n v="50"/>
  </r>
  <r>
    <d v="2025-08-26T00:00:00"/>
    <x v="3"/>
    <s v="016VATP252380024 NIP Charge VAT - NIP TRF IFO SULYMAN YUSUF ALAO  B/O  ILORIN TECH PARK LTD"/>
    <s v="Bank charges"/>
    <x v="1"/>
    <n v="3.75"/>
  </r>
  <r>
    <d v="2025-08-26T00:00:00"/>
    <x v="3"/>
    <s v="016NIPO252380025  NIP - NIP TRF IFO KAMIL LANRE AHMED B/O  ILORIN TECH PARK LTD"/>
    <s v="Salaries and Wages"/>
    <x v="7"/>
    <n v="283172.19999999553"/>
  </r>
  <r>
    <d v="2025-08-26T00:00:00"/>
    <x v="3"/>
    <s v="016NIPC252380025 NIP Charge - NIP TRF IFO KAMIL LANRE AHMED B/O  ILORIN  TECH PARK LTD"/>
    <s v="Bank charges"/>
    <x v="1"/>
    <n v="50"/>
  </r>
  <r>
    <d v="2025-08-26T00:00:00"/>
    <x v="3"/>
    <s v="016VATP252380025 NIP Charge VAT - NIP TRF IFO KAMIL LANRE AHMED B/O ILORIN TECH PARK LTD"/>
    <s v="Bank charges"/>
    <x v="1"/>
    <n v="3.75"/>
  </r>
  <r>
    <d v="2025-08-26T00:00:00"/>
    <x v="3"/>
    <s v="016NIPO252380026 NIP - NIP TRF IFO TEMILOLUWA OLUWALEKE KOLAWOLE B/O ILORIN TECH PARK LTD"/>
    <s v="Salaries and Wages"/>
    <x v="7"/>
    <n v="4019028.3599999994"/>
  </r>
  <r>
    <d v="2025-08-26T00:00:00"/>
    <x v="3"/>
    <s v="016NIPC252380026 NIP Charge - NIP TRF IFO TEMILOLUWA OLUWALEKE KOLAWOLE B/O ILORIN TECH PARK LTD"/>
    <s v="Bank charges"/>
    <x v="1"/>
    <n v="50"/>
  </r>
  <r>
    <d v="2025-08-26T00:00:00"/>
    <x v="3"/>
    <s v="016VATP252380026 NIP Charge VAT - NIP TRF IFO TEMILOLUWA OLUWALEKE KOLAWOLE B/O  ILORIN TECH PARK LTD"/>
    <s v="Bank charges"/>
    <x v="1"/>
    <n v="3.75"/>
  </r>
  <r>
    <d v="2025-08-26T00:00:00"/>
    <x v="3"/>
    <s v="016NIPO252380027 NIP - NIP TRF IFO JAMIU ADEBOLA OLADIPO B/O ILORIN TECH PARK LTD"/>
    <s v="Salaries and Wages"/>
    <x v="7"/>
    <n v="283172.20000000298"/>
  </r>
  <r>
    <d v="2025-08-26T00:00:00"/>
    <x v="3"/>
    <s v="016NIPC252380027 NIP Charge - NIP TRF IFO JAMIU ADEBOLA OLADIPO B/O ILORIN TECH PARK LTD"/>
    <s v="Bank charges"/>
    <x v="1"/>
    <n v="50"/>
  </r>
  <r>
    <d v="2025-08-26T00:00:00"/>
    <x v="3"/>
    <s v="016VATP252380027 NIP Charge VAT - NIP TRF IFO JAMIU ADEBOLA OLADIPO B/O ILORIN TECH PARK LTD"/>
    <s v="Bank charges"/>
    <x v="1"/>
    <n v="3.75"/>
  </r>
  <r>
    <d v="2025-08-26T00:00:00"/>
    <x v="3"/>
    <s v="016NIPO252380028    NIP    -    NIP    TRF    IFO AYORINDE  OLAMIDE  OPEMIPO  B/O   ILORIN_x000a_TECH PARK LTD"/>
    <s v="Salaries and Wages"/>
    <x v="7"/>
    <n v="52835"/>
  </r>
  <r>
    <d v="2025-08-26T00:00:00"/>
    <x v="3"/>
    <s v="016NIPC252380028 NIP Charge - NIP TRF IFO AYORINDE OLAMIDE OPEMIPO B/O ILORIN TECH PARK LTD"/>
    <s v="Bank charges"/>
    <x v="1"/>
    <n v="50"/>
  </r>
  <r>
    <d v="2025-08-26T00:00:00"/>
    <x v="3"/>
    <s v="016VATP252380028 NIP Charge VAT - NIP TRF IFO AYORINDE OLAMIDE OPEMIPO  B/O ILORIN TECH PARK LTD"/>
    <s v="Bank charges"/>
    <x v="1"/>
    <n v="3.75"/>
  </r>
  <r>
    <d v="2025-08-26T00:00:00"/>
    <x v="3"/>
    <s v="016NIPO252380029 NIP - NIP TRF IFO KHADIJAT ZUMAH SULYMAN B/O  ILORIN TECH PARK LTD"/>
    <s v="Salaries and Wages"/>
    <x v="7"/>
    <n v="2295519.5600000024"/>
  </r>
  <r>
    <d v="2025-08-26T00:00:00"/>
    <x v="3"/>
    <s v="016NIPC252380029 NIP Charge - NIP TRF IFO KHADIJAT ZUMAH SULYMAN B/O  ILORIN TECH PARK LTD"/>
    <s v="Bank charges"/>
    <x v="1"/>
    <n v="50"/>
  </r>
  <r>
    <d v="2025-08-26T00:00:00"/>
    <x v="3"/>
    <s v="016VATP252380029 NIP Charge VAT - NIP TRF IFO KHADIJAT ZUMAH SULYMAN B/O ILORIN TECH PARK LTD"/>
    <s v="Bank charges"/>
    <x v="1"/>
    <n v="3.75"/>
  </r>
  <r>
    <d v="2025-08-26T00:00:00"/>
    <x v="3"/>
    <s v="016NIPO252380030 NIP - NIP TRF IFO ABDULHAMEED BOLAJI MUSTAPHA B/O ILORIN TECH PARK LTD"/>
    <s v="Salaries and Wages"/>
    <x v="7"/>
    <n v="44432.329999998212"/>
  </r>
  <r>
    <d v="2025-08-26T00:00:00"/>
    <x v="3"/>
    <s v="016NIPC252380030 NIP Charge - NIP TRF IFO ABDULHAMEED BOLAJI MUSTAPHA B/O ILORIN TECH PARK LTD"/>
    <s v="Bank charges"/>
    <x v="1"/>
    <n v="25"/>
  </r>
  <r>
    <d v="2025-08-26T00:00:00"/>
    <x v="3"/>
    <s v="016VATP252380030 NIP Charge VAT - NIP TRF IFO ABDULHAMEED BOLAJI MUSTAPHA B/O ILORIN TECH PARK LTD"/>
    <s v="Bank charges"/>
    <x v="1"/>
    <n v="1.880000002682209"/>
  </r>
  <r>
    <d v="2025-08-26T00:00:00"/>
    <x v="3"/>
    <s v="016NIPO252380031 NIP - NIP TRF IFO HAPPINESS SAMUEL  B/O  ILORIN  TECH PARK LTD"/>
    <s v="Unallocated expense"/>
    <x v="7"/>
    <n v="44432.329999998212"/>
  </r>
  <r>
    <d v="2025-08-26T00:00:00"/>
    <x v="3"/>
    <s v="016NIPC252380031 NIP Charge - NIP TRF IFO HAPPINESS SAMUEL  B/O  ILORIN  TECH PARK LTD"/>
    <s v="Bank charges"/>
    <x v="1"/>
    <n v="25"/>
  </r>
  <r>
    <d v="2025-08-26T00:00:00"/>
    <x v="3"/>
    <s v="016VATP252380031 NIP Charge VAT - NIP TRF IFO HAPPINESS SAMUEL B/O ILORIN TECH PARK LTD"/>
    <s v="Bank charges"/>
    <x v="1"/>
    <n v="1.8799999952316284"/>
  </r>
  <r>
    <d v="2025-08-26T00:00:00"/>
    <x v="3"/>
    <s v="016NIPO252380032 NIP - NIP TRF IFO MUINAT OYINKANSOLA BELLO B/O ILORIN TECH PARK LTD"/>
    <s v="Salaries and Wages"/>
    <x v="7"/>
    <n v="140171.67000000179"/>
  </r>
  <r>
    <d v="2025-08-26T00:00:00"/>
    <x v="3"/>
    <s v="016NIPC252380032 NIP Charge - NIP TRF IFO MUINAT OYINKANSOLA BELLO B/O ILORIN TECH PARK LTD"/>
    <s v="Bank charges"/>
    <x v="1"/>
    <n v="50"/>
  </r>
  <r>
    <d v="2025-08-26T00:00:00"/>
    <x v="3"/>
    <s v="016VATP252380032 NIP Charge VAT - NIP TRF IFO MUINAT OYINKANSOLA BELLO  B/O ILORIN TECH PARK LTD"/>
    <s v="Bank charges"/>
    <x v="1"/>
    <n v="3.75"/>
  </r>
  <r>
    <d v="2025-08-26T00:00:00"/>
    <x v="3"/>
    <s v="016NIPO252380033 NIP - NIP TRF IFO ABDULRASAQ ABDULRASAQ B/O  ILORIN TECH PARK LTD"/>
    <s v="Salaries and Wages"/>
    <x v="7"/>
    <n v="44432.329999998212"/>
  </r>
  <r>
    <d v="2025-08-26T00:00:00"/>
    <x v="3"/>
    <s v="016NIPC252380033 NIP Charge - NIP TRF IFO ABDULRASAQ ABDULRASAQ B/O  ILORIN TECH PARK LTD"/>
    <s v="Bank charges"/>
    <x v="1"/>
    <n v="25"/>
  </r>
  <r>
    <d v="2025-08-26T00:00:00"/>
    <x v="3"/>
    <s v="016VATP252380033 NIP Charge VAT - NIP TRF IFO  ABDULRASAQ  ABDULRASAQ  B/O ILORIN TECH PARK LTD"/>
    <s v="Bank charges"/>
    <x v="1"/>
    <n v="1.880000002682209"/>
  </r>
  <r>
    <d v="2025-08-26T00:00:00"/>
    <x v="3"/>
    <s v="016NIPO252380034 NIP - NIP TRF IFO AMIDAT OLUWATOSIN OLALERE B/O ILORIN TECH PARK LTD"/>
    <s v="Salaries and Wages"/>
    <x v="7"/>
    <n v="283172.20000000298"/>
  </r>
  <r>
    <d v="2025-08-26T00:00:00"/>
    <x v="3"/>
    <s v="016NIPC252380034 NIP Charge - NIP TRF IFO AMIDAT OLUWATOSIN OLALERE B/O ILORIN TECH PARK LTD"/>
    <s v="Bank charges"/>
    <x v="1"/>
    <n v="50"/>
  </r>
  <r>
    <d v="2025-08-26T00:00:00"/>
    <x v="3"/>
    <s v="016VATP252380034 NIP Charge VAT - NIP TRF IFO AMIDAT OLUWATOSIN OLALERE B/O ILORIN TECH PARK LTD"/>
    <s v="Bank charges"/>
    <x v="1"/>
    <n v="3.75"/>
  </r>
  <r>
    <d v="2025-08-26T00:00:00"/>
    <x v="3"/>
    <s v="000MOBT252384664       FACILITY       RUNNING_x000a_COSTS    AUG    NIP    Transfer    from    ILORIN INNOVATION HUB LTD to KAMIL LANRE"/>
    <s v="Repairs and maintenance"/>
    <x v="12"/>
    <n v="150000"/>
  </r>
  <r>
    <d v="2025-08-26T00:00:00"/>
    <x v="3"/>
    <s v="000MOBT252384664       FACILITY       RUNNING_x000a_COSTS    AUG    NIP    Transfer    from    ILORIN INNOVATION HUB LTD to KAMIL LANRE"/>
    <s v="Bank charges"/>
    <x v="1"/>
    <n v="50"/>
  </r>
  <r>
    <d v="2025-08-26T00:00:00"/>
    <x v="3"/>
    <s v="000MOBT252384664       FACILITY       RUNNING_x000a_COSTS    AUG    NIP    Transfer    from    ILORIN INNOVATION HUB LTD to KAMIL LANRE"/>
    <s v="Bank charges"/>
    <x v="1"/>
    <n v="3.75"/>
  </r>
  <r>
    <d v="2025-08-26T00:00:00"/>
    <x v="3"/>
    <s v="000o752252380016 RVSL OF AUGUST 2025 STAFF ALLOWANCE PAYMENT FOR 16 BENEFICIARIES"/>
    <s v="Staff allowance"/>
    <x v="7"/>
    <n v="-9579242.3200000003"/>
  </r>
  <r>
    <d v="2025-08-26T00:00:00"/>
    <x v="3"/>
    <s v="000o752252380017 FAILED-AUGUST 2025 STAFF ALLOWANCE PAYMENT FOR 2 BENEFICIARIES"/>
    <s v="Staff allowance"/>
    <x v="27"/>
    <n v="-47500"/>
  </r>
  <r>
    <d v="2025-08-26T00:00:00"/>
    <x v="3"/>
    <s v="000MOBT25238A08K TWO NIGHTS ADEBOLA TRADE FAIR TRIP TO LAGOS NIP Transfer from ILORIN INNOVATION HUB LTD to"/>
    <s v="Transport and Travel"/>
    <x v="18"/>
    <n v="120000"/>
  </r>
  <r>
    <d v="2025-08-26T00:00:00"/>
    <x v="3"/>
    <s v="000MOBT25238A08K TWO NIGHTS ADEBOLA TRADE FAIR TRIP TO LAGOS NIP Transfer from ILORIN INNOVATION HUB LTD to"/>
    <s v="Bank charges"/>
    <x v="1"/>
    <n v="50"/>
  </r>
  <r>
    <d v="2025-08-26T00:00:00"/>
    <x v="3"/>
    <s v="000MOBT25238A08K TWO NIGHTS ADEBOLA TRADE FAIR TRIP TO LAGOS NIP Transfer from ILORIN INNOVATION HUB LTD to"/>
    <s v="Bank charges"/>
    <x v="1"/>
    <n v="3.75"/>
  </r>
  <r>
    <d v="2025-08-26T00:00:00"/>
    <x v="3"/>
    <s v="000MOBT25238A0KJ  IIH  SALARY  AUG  2025_x000a_NIP  Transfer  from  ILORIN  INNOVATION  HUB LTD to FARAYADE EMMANUEL OLAWA"/>
    <s v="Salaries and Wages"/>
    <x v="7"/>
    <n v="71025"/>
  </r>
  <r>
    <d v="2025-08-26T00:00:00"/>
    <x v="3"/>
    <s v="000MOBT25238A0KJ  IIH  SALARY  AUG  2025_x000a_NIP  Transfer  from  ILORIN  INNOVATION  HUB LTD to FARAYADE EMMANUEL OLAWA"/>
    <s v="Bank charges"/>
    <x v="1"/>
    <n v="50"/>
  </r>
  <r>
    <d v="2025-08-26T00:00:00"/>
    <x v="3"/>
    <s v="000MOBT25238A0KJ  IIH  SALARY  AUG  2025_x000a_NIP  Transfer  from  ILORIN  INNOVATION  HUB LTD to FARAYADE EMMANUEL OLAWA"/>
    <s v="Bank charges"/>
    <x v="1"/>
    <n v="3.75"/>
  </r>
  <r>
    <d v="2025-08-27T00:00:00"/>
    <x v="3"/>
    <s v="000MOBT252397226   AIRTEL   WIFI   SUB   NIP_x000a_Transfer  from  ILORIN  INNOVATION  HUB  LTD to PAYSTACK CHECKOUT"/>
    <s v="Data and telephone expenses"/>
    <x v="10"/>
    <n v="30000"/>
  </r>
  <r>
    <d v="2025-08-27T00:00:00"/>
    <x v="3"/>
    <s v="000MOBT252397226   AIRTEL   WIFI   SUB   NIP_x000a_Transfer  from  ILORIN  INNOVATION  HUB  LTD to PAYSTACK CHECKOUT"/>
    <s v="Bank charges"/>
    <x v="1"/>
    <n v="25"/>
  </r>
  <r>
    <d v="2025-08-27T00:00:00"/>
    <x v="3"/>
    <s v="000MOBT252397226   AIRTEL   WIFI   SUB   NIP_x000a_Transfer  from  ILORIN  INNOVATION  HUB  LTD to PAYSTACK CHECKOUT"/>
    <s v="Bank charges"/>
    <x v="1"/>
    <n v="1.8799999952316284"/>
  </r>
  <r>
    <d v="2025-08-27T00:00:00"/>
    <x v="3"/>
    <s v="000MOBT252397283  IIH  TRADE  FAIR  PRINT_x000a_MATERIALS     NIP     Transfer     from     ILORIN INNOVATION HUB LTD to PRINT WORLD"/>
    <s v="Stationery and Office Supplies"/>
    <x v="2"/>
    <n v="167500"/>
  </r>
  <r>
    <d v="2025-08-27T00:00:00"/>
    <x v="3"/>
    <s v="000MOBT252397283  IIH  TRADE  FAIR  PRINT_x000a_MATERIALS     NIP     Transfer     from     ILORIN INNOVATION HUB LTD to PRINT WORLD"/>
    <s v="Bank charges"/>
    <x v="1"/>
    <n v="50"/>
  </r>
  <r>
    <d v="2025-08-27T00:00:00"/>
    <x v="3"/>
    <s v="000MOBT252397283  IIH  TRADE  FAIR  PRINT_x000a_MATERIALS     NIP     Transfer     from     ILORIN INNOVATION HUB LTD to PRINT WORLD"/>
    <s v="Bank charges"/>
    <x v="1"/>
    <n v="3.75"/>
  </r>
  <r>
    <d v="2025-08-27T00:00:00"/>
    <x v="3"/>
    <s v="000MOBT252399651 TWENTY PACKS OF WATER CCHUB 12 13 14 AUG NIP  Transfer from ILORIN INNOVATION HUB LTD to OL"/>
    <s v="Stationery and Office Supplies"/>
    <x v="2"/>
    <n v="32000"/>
  </r>
  <r>
    <d v="2025-08-27T00:00:00"/>
    <x v="3"/>
    <s v="000MOBT252399651 TWENTY PACKS OF WATER CCHUB 12 13 14 AUG NIP  Transfer from ILORIN INNOVATION HUB LTD to OL"/>
    <s v="Bank charges"/>
    <x v="1"/>
    <n v="25"/>
  </r>
  <r>
    <d v="2025-08-27T00:00:00"/>
    <x v="3"/>
    <s v="000MOBT252399651 TWENTY PACKS OF WATER CCHUB 12 13 14 AUG NIP  Transfer from ILORIN INNOVATION HUB LTD to OL"/>
    <s v="Bank charges"/>
    <x v="1"/>
    <n v="1.880000002682209"/>
  </r>
  <r>
    <d v="2025-08-27T00:00:00"/>
    <x v="3"/>
    <s v="000MOBT252399787  MD  GITEX  TRIP  FLIGHT_x000a_TICKET  ILV  LOS  NIP  Transfer  from  ILORIN INNOVATION HUB LTD to PAYSTAC"/>
    <s v="Transport and Travel"/>
    <x v="18"/>
    <n v="202000"/>
  </r>
  <r>
    <d v="2025-08-27T00:00:00"/>
    <x v="3"/>
    <s v="000MOBT252399787  MD  GITEX  TRIP  FLIGHT_x000a_TICKET  ILV  LOS  NIP  Transfer  from  ILORIN INNOVATION HUB LTD to PAYSTAC"/>
    <s v="Bank charges"/>
    <x v="1"/>
    <n v="50"/>
  </r>
  <r>
    <d v="2025-08-27T00:00:00"/>
    <x v="3"/>
    <s v="000MOBT252399787  MD  GITEX  TRIP  FLIGHT_x000a_TICKET  ILV  LOS  NIP  Transfer  from  ILORIN INNOVATION HUB LTD to PAYSTAC"/>
    <s v="Bank charges"/>
    <x v="1"/>
    <n v="3.75"/>
  </r>
  <r>
    <d v="2025-08-27T00:00:00"/>
    <x v="3"/>
    <s v="000MOBT25239A01H   REIMBURSEMENT   FOR_x000a_AUG   STAFF   HANGOUT   NIP   Transfer   from ILORIN INNOVATION HUB LTD to TEMILOL"/>
    <s v="Guest and entertainment"/>
    <x v="15"/>
    <n v="63500"/>
  </r>
  <r>
    <d v="2025-08-27T00:00:00"/>
    <x v="3"/>
    <s v="000MOBT25239A01H   REIMBURSEMENT   FOR_x000a_AUG   STAFF   HANGOUT   NIP   Transfer   from ILORIN INNOVATION HUB LTD to TEMILOL"/>
    <s v="Bank charges"/>
    <x v="1"/>
    <n v="50"/>
  </r>
  <r>
    <d v="2025-08-27T00:00:00"/>
    <x v="3"/>
    <s v="000MOBT25239A01H   REIMBURSEMENT   FOR_x000a_AUG   STAFF   HANGOUT   NIP   Transfer   from ILORIN INNOVATION HUB LTD to TEMILOL"/>
    <s v="Bank charges"/>
    <x v="1"/>
    <n v="3.75"/>
  </r>
  <r>
    <d v="2025-08-29T00:00:00"/>
    <x v="3"/>
    <s v="000MOBT25241ADC5   REIMBURSEMENT   FOR_x000a_DRINKS PURCHASE NIP Transfer from ILORIN INNOVATION HUB LTD to OKEY MAUR"/>
    <s v="Guest and entertainment"/>
    <x v="13"/>
    <n v="70500"/>
  </r>
  <r>
    <d v="2025-08-29T00:00:00"/>
    <x v="3"/>
    <s v="000MOBT25241ADC5   REIMBURSEMENT   FOR_x000a_DRINKS PURCHASE NIP Transfer from ILORIN INNOVATION HUB LTD to OKEY MAUR"/>
    <s v="Bank charges"/>
    <x v="1"/>
    <n v="50"/>
  </r>
  <r>
    <d v="2025-08-29T00:00:00"/>
    <x v="3"/>
    <s v="000MOBT25241ADC5   REIMBURSEMENT   FOR_x000a_DRINKS PURCHASE NIP Transfer from ILORIN INNOVATION HUB LTD to OKEY MAUR"/>
    <s v="Bank charges"/>
    <x v="1"/>
    <n v="3.75"/>
  </r>
  <r>
    <d v="2025-08-29T00:00:00"/>
    <x v="3"/>
    <s v="016AMFV25241002Y  VAT  ON  TRANSACTION CHARGES"/>
    <s v="Bank charges"/>
    <x v="1"/>
    <n v="2565.2100000008941"/>
  </r>
  <r>
    <d v="2025-08-29T00:00:00"/>
    <x v="3"/>
    <s v="016AMFC25241003S                             ACCOUNT MAINTENANCE FEE"/>
    <s v="bank charges"/>
    <x v="1"/>
    <n v="34201.70000000298"/>
  </r>
  <r>
    <d v="2025-08-31T00:00:00"/>
    <x v="3"/>
    <s v="Bank transactions in August"/>
    <s v="Bank balance"/>
    <x v="5"/>
    <n v="-23416246.75"/>
  </r>
  <r>
    <d v="2025-07-02T00:00:00"/>
    <x v="2"/>
    <s v="CIP/CR//NIP Transfer to ILORIN TECH PARK LTD. 000260490164/FRM ADEBAYO SAFAU IYABO_x000a_000013250702120114000260490164"/>
    <s v="Income"/>
    <x v="0"/>
    <n v="-334200"/>
  </r>
  <r>
    <d v="2025-07-03T00:00:00"/>
    <x v="2"/>
    <s v="LEGAL SEARCH FEE"/>
    <s v="Bank charges"/>
    <x v="1"/>
    <n v="9000"/>
  </r>
  <r>
    <d v="2025-07-04T00:00:00"/>
    <x v="2"/>
    <s v="NIP/PBNL/TUNMISEJOHNSONHOUSEHO LDFOUNDA /To ZENITH BANK ILORIN TECH PARK LTD Payment for refreshment"/>
    <s v="Income"/>
    <x v="11"/>
    <n v="-32250"/>
  </r>
  <r>
    <d v="2025-07-06T00:00:00"/>
    <x v="2"/>
    <s v="FGN ELECTRONIC MONEY TRANSFER_x000a_LEVY"/>
    <s v="Bank charges"/>
    <x v="1"/>
    <n v="100"/>
  </r>
  <r>
    <d v="2025-07-09T00:00:00"/>
    <x v="2"/>
    <s v="TRF FROM TUNMISE JOHNSON//TRF TO_x000a_ILORIN TECH PARK LTD//Food and drink"/>
    <s v="Income"/>
    <x v="11"/>
    <n v="-8300"/>
  </r>
  <r>
    <d v="2025-07-10T00:00:00"/>
    <x v="2"/>
    <s v="NIP/FCMB/ADEBAYO IYABO Bank ILORIN TECH PARK LTD_x000a_SAFAU/AppEoDB Refreshments To Zenith"/>
    <s v="Income"/>
    <x v="11"/>
    <n v="-506700"/>
  </r>
  <r>
    <d v="2025-07-13T00:00:00"/>
    <x v="2"/>
    <s v="FGN ELECTRONIC MONEY TRANSFER_x000a_LEVY"/>
    <s v="Bank charges"/>
    <x v="1"/>
    <n v="50"/>
  </r>
  <r>
    <d v="2025-07-16T00:00:00"/>
    <x v="2"/>
    <s v="TRF FRM TUNMISE JOHNSON HOUSEHOLD FOUNDATION"/>
    <s v="Income"/>
    <x v="0"/>
    <n v="-500000"/>
  </r>
  <r>
    <d v="2025-07-16T00:00:00"/>
    <x v="2"/>
    <s v="NIP CR// BOA FOODS RESTAURANT LTD_x000a_- 2/ROLEZ/payment made for refreshment for event catering"/>
    <s v="Guest and entertainment"/>
    <x v="13"/>
    <n v="263150"/>
  </r>
  <r>
    <d v="2025-07-16T00:00:00"/>
    <x v="2"/>
    <s v="NIP CHARGE + VAT"/>
    <s v="Bank charges"/>
    <x v="1"/>
    <n v="53.75"/>
  </r>
  <r>
    <d v="2025-07-17T00:00:00"/>
    <x v="2"/>
    <s v="NIP CR// BOA FOODS RESTAURANT LTD_x000a_- 2/ROLEZ/refreshment and event catering"/>
    <s v="Guest and entertainment"/>
    <x v="13"/>
    <n v="65500"/>
  </r>
  <r>
    <d v="2025-07-17T00:00:00"/>
    <x v="2"/>
    <s v="NIP CHARGE + VAT"/>
    <s v="Bank charges"/>
    <x v="1"/>
    <n v="53.75"/>
  </r>
  <r>
    <d v="2025-07-18T00:00:00"/>
    <x v="2"/>
    <s v="CIP/CR//Transfer from SOLOMON_x000a_ILEMONA SAMUEL 100004250718065709137041570691"/>
    <s v="Guest and entertainment"/>
    <x v="11"/>
    <n v="-136000"/>
  </r>
  <r>
    <d v="2025-07-18T00:00:00"/>
    <x v="2"/>
    <s v="NIP CR//OKEY MAUREEN DANIEL/GTB_x000a_/PAYMENT FOR REFRESHMENT REIMBURSEMENT"/>
    <s v="Guest and entertainment"/>
    <x v="13"/>
    <n v="84600"/>
  </r>
  <r>
    <d v="2025-07-18T00:00:00"/>
    <x v="2"/>
    <s v="NIP CHARGE + VAT"/>
    <s v="Bank charges"/>
    <x v="1"/>
    <n v="53.75"/>
  </r>
  <r>
    <d v="2025-07-18T00:00:00"/>
    <x v="2"/>
    <s v="NIP/ROLEZ/NGUTOR MICHAEL AKPEM/Payment for REFRESHMENT BY 3SU MENTORS/AT68"/>
    <s v="Income"/>
    <x v="11"/>
    <n v="-1097000"/>
  </r>
  <r>
    <d v="2025-07-20T00:00:00"/>
    <x v="2"/>
    <s v="FGN ELECTRONIC MONEY TRANSFER_x000a_LEVY"/>
    <s v="Bank charges"/>
    <x v="1"/>
    <n v="150"/>
  </r>
  <r>
    <d v="2025-07-20T00:00:00"/>
    <x v="2"/>
    <s v="TRF FRM TUNMISE JOHNSON HOUSEHOLD FOUNDATION TO ILORIN _x000a_TECH PARK LTD"/>
    <s v="Guest and entertainment"/>
    <x v="11"/>
    <n v="-51000"/>
  </r>
  <r>
    <d v="2025-07-27T00:00:00"/>
    <x v="2"/>
    <s v="FGN ELECTRONIC MONEY TRANSFER LEVY"/>
    <s v="Bank charges"/>
    <x v="1"/>
    <n v="50"/>
  </r>
  <r>
    <d v="2025-07-30T00:00:00"/>
    <x v="2"/>
    <s v=":ETZ INFLOW 09FG250730171527404NEHDLJ:_x000a_completion for refreshments "/>
    <s v="Income"/>
    <x v="11"/>
    <n v="-34000"/>
  </r>
  <r>
    <d v="2025-07-31T00:00:00"/>
    <x v="2"/>
    <s v="Bank transactions in September"/>
    <s v="Bank balance"/>
    <x v="28"/>
    <n v="2276688.75"/>
  </r>
  <r>
    <d v="2025-07-31T00:00:00"/>
    <x v="2"/>
    <s v="ACCOUNT MAINTENANCE FEE"/>
    <s v="Bank charges"/>
    <x v="1"/>
    <n v="413.25"/>
  </r>
  <r>
    <d v="2025-07-31T00:00:00"/>
    <x v="2"/>
    <s v="VAT ON ACCOUNT MAINTENNACE FEE"/>
    <s v="Bank charges"/>
    <x v="1"/>
    <n v="30.990000000223517"/>
  </r>
  <r>
    <d v="2025-08-03T00:00:00"/>
    <x v="3"/>
    <s v="FGN ELECTRONIC MONEY TRANSFER_x000a_LEVY"/>
    <s v="Bank charges"/>
    <x v="1"/>
    <n v="50"/>
  </r>
  <r>
    <d v="2025-08-19T00:00:00"/>
    <x v="3"/>
    <s v="NIP CR// BOA FOODS RESTAURANT LTD_x000a_- 2/ROLEZ/TRF"/>
    <s v="Guest and entertainment"/>
    <x v="13"/>
    <n v="49800"/>
  </r>
  <r>
    <d v="2025-08-19T00:00:00"/>
    <x v="3"/>
    <s v="NIP CHARGE + VAT"/>
    <s v="Bank charges"/>
    <x v="1"/>
    <n v="26.879999999888241"/>
  </r>
  <r>
    <d v="2025-08-19T00:00:00"/>
    <x v="3"/>
    <s v="NIP CR// BOA FOODS RESTAURANT LTD_x000a_- 2/ROLEZ/TRF"/>
    <s v="Guest and entertainment"/>
    <x v="13"/>
    <n v="140000"/>
  </r>
  <r>
    <d v="2025-08-19T00:00:00"/>
    <x v="3"/>
    <s v="NIP CHARGE + VAT"/>
    <s v="Bank charges"/>
    <x v="1"/>
    <n v="53.75"/>
  </r>
  <r>
    <d v="2025-08-19T00:00:00"/>
    <x v="3"/>
    <s v=":ETZ INFLOW BOLATITO GANIYAT OLAGUNJU to 09FG250819202702574RJSV9Z:"/>
    <s v="Income"/>
    <x v="11"/>
    <n v="-85000"/>
  </r>
  <r>
    <d v="2025-08-22T00:00:00"/>
    <x v="3"/>
    <s v="NIP CR// BOA FOODS RESTAURANT LTD_x000a_- 2/ROLEZ/trf"/>
    <s v="Guest and entertainment"/>
    <x v="13"/>
    <n v="180000"/>
  </r>
  <r>
    <d v="2025-08-22T00:00:00"/>
    <x v="3"/>
    <s v="NIP CHARGE + VAT"/>
    <s v="Bank charges"/>
    <x v="1"/>
    <n v="53.75"/>
  </r>
  <r>
    <d v="2025-08-22T00:00:00"/>
    <x v="3"/>
    <s v="NIP CR// BOA FOODS RESTAURANT LTD_x000a_- 2/ROLEZ/trf"/>
    <s v="Guest and entertainment"/>
    <x v="13"/>
    <n v="4000"/>
  </r>
  <r>
    <d v="2025-08-22T00:00:00"/>
    <x v="3"/>
    <s v="NIP CHARGE + VAT"/>
    <s v="Bank charges"/>
    <x v="1"/>
    <n v="10.75"/>
  </r>
  <r>
    <d v="2025-08-22T00:00:00"/>
    <x v="3"/>
    <s v="NIP CR// BOA FOODS RESTAURANT LTD_x000a_- 2/ROLEZ/trf"/>
    <s v="Guest and entertainment"/>
    <x v="13"/>
    <n v="146500"/>
  </r>
  <r>
    <d v="2025-08-22T00:00:00"/>
    <x v="3"/>
    <s v="NIP CHARGE + VAT"/>
    <s v="Bank charges"/>
    <x v="1"/>
    <n v="53.75"/>
  </r>
  <r>
    <d v="2025-08-22T00:00:00"/>
    <x v="3"/>
    <s v="CIP/CR//Transfer from OLUWASEYI 100004250822145246139533323913_x000a_RACHAEL ROTIMI"/>
    <s v="Guest and entertainment"/>
    <x v="11"/>
    <n v="-11000"/>
  </r>
  <r>
    <d v="2025-08-24T00:00:00"/>
    <x v="3"/>
    <s v="FGN ELECTRONIC MONEY TRANSFER LEVY"/>
    <s v="Bank charges"/>
    <x v="1"/>
    <n v="50"/>
  </r>
  <r>
    <d v="2025-08-26T00:00:00"/>
    <x v="3"/>
    <s v="TRF FROM TUNMISE JOHNSON_x000a_HOUSEHOLD FOUNDATIO/1756149758657"/>
    <s v="Guest and entertainment"/>
    <x v="11"/>
    <n v="-54000"/>
  </r>
  <r>
    <d v="2025-08-27T00:00:00"/>
    <x v="3"/>
    <s v="NIP CR//JIMOH SULEIMAN _x000a_OLAWALE/FCMB /REFRESHMENT -BASE _x000a_ONCHAIN SUMMER WORKSHOP"/>
    <s v="Guest and entertainment"/>
    <x v="13"/>
    <n v="65000"/>
  </r>
  <r>
    <d v="2025-08-27T00:00:00"/>
    <x v="3"/>
    <s v="NIP CHARGE + VAT"/>
    <s v="Bank charges"/>
    <x v="1"/>
    <n v="53.75"/>
  </r>
  <r>
    <d v="2025-08-30T00:00:00"/>
    <x v="3"/>
    <s v="NIP/GTB/COCREATION HUB LIMITED/ER_x0002_06213 IHS Ilorin Meals for meet and greet 212086272 GAPS0003691237212086272S"/>
    <s v="Income"/>
    <x v="11"/>
    <n v="-168000"/>
  </r>
  <r>
    <d v="2025-08-31T00:00:00"/>
    <x v="3"/>
    <s v="FGN ELECTRONIC MONEY TRANSFER LEVY"/>
    <s v="Bank charges"/>
    <x v="1"/>
    <n v="100"/>
  </r>
  <r>
    <d v="2025-08-31T00:00:00"/>
    <x v="3"/>
    <s v="ACCOUNT MAINTENANCE FEE"/>
    <s v="Bank charges"/>
    <x v="1"/>
    <n v="585.29999999981374"/>
  </r>
  <r>
    <d v="2025-08-31T00:00:00"/>
    <x v="3"/>
    <s v="VAT ON ACCOUNT MAINTENNACE FEE"/>
    <s v="Bank charges"/>
    <x v="1"/>
    <n v="43.900000000139698"/>
  </r>
  <r>
    <d v="2025-08-31T00:00:00"/>
    <x v="3"/>
    <s v="Bank transactions in August"/>
    <s v="Bank balance"/>
    <x v="28"/>
    <n v="-268826.07000000007"/>
  </r>
  <r>
    <d v="2025-07-04T00:00:00"/>
    <x v="2"/>
    <s v="BANKNIP From 000023250704172240002161736596_x000a_000023 PAYREF: 20250704172110431 SENDER: TUNMISEJOHNSONHOUSEHOLDFOUNDA. REMARK: To STERLING BANK | ILORIN TECH PARK LTD Payment for_x000a_meeting room ILORIN TECH PARK LTD Ref: 0000232507041722400021617365962"/>
    <m/>
    <x v="0"/>
    <n v="-43000"/>
  </r>
  <r>
    <d v="2025-07-08T00:00:00"/>
    <x v="2"/>
    <s v="BANKNIP From 000023250707202613002162301935_x000a_000023 PAYREF: 20250707202458121 SENDER: TUNMISEJOHNSONHOUSEHOLDFOUNDA. REMARK: To STERLING BANK | ILORIN TECH PARK LTD Payment for_x000a_workspace ILORIN TECH PARK LTD Ref: 0000232507072026130021623019352"/>
    <m/>
    <x v="0"/>
    <n v="-25000"/>
  </r>
  <r>
    <d v="2025-07-09T00:00:00"/>
    <x v="2"/>
    <s v="BANKNIP From 000023250709100931002162553147_x000a_000023 PAYREF: 20250709100757642 SENDER: TUNMISEJOHNSONHOUSEHOLDFOUNDA. REMARK: To STERLING BANK | ILORIN TECH PARK LTD Payment for_x000a_workspace Illorin Innovation Hub ILORIN TECH PARK LTD Ref: 0000232507091009310021625531472"/>
    <m/>
    <x v="0"/>
    <n v="-25000"/>
  </r>
  <r>
    <d v="2025-07-16T00:00:00"/>
    <x v="2"/>
    <s v="BANKNIP From 090405250714201122339824072848_x000a_090405 PAYREF: AT68_TRF2MPT5huqf1944837139734736896 SENDER:_x000a_NGUTOR MICHAEL AKPEM REMARK: Payment for use of Ilorin Innovation H/AT68_TRF2MPT5huqf1944837139734736896 ILORIN TECH PARK LTD Ref: 0904052507142011223398240728482"/>
    <m/>
    <x v="0"/>
    <n v="-1228750"/>
  </r>
  <r>
    <d v="2025-07-16T00:00:00"/>
    <x v="2"/>
    <s v="BANKNIP From 000015250716074837778350829545_x000a_000015 PAYREF: PAY20250716064856822ZLVEE4CT6 SENDER: TUNMISE JOHNSON HOUSEHOLD FOUNDATIO REMARK: TRF ILORIN TECH PARK LTD Ref: 0000152507160748377783508295452"/>
    <m/>
    <x v="0"/>
    <n v="-500000"/>
  </r>
  <r>
    <d v="2025-07-16T00:00:00"/>
    <x v="2"/>
    <s v="BANKNIP From 000004250716114707496107532094_x000a_000004 PAYREF: 250716114707 SENDER: SALAU ADETOLA ARIYIKE REMARK: BAS/NIP/SALAU A/ILORIN_x000a_T/Funds Transfer ILORIN TECH PARK LTD Ref: 0000042507161147074961075320942"/>
    <m/>
    <x v="0"/>
    <n v="-220000"/>
  </r>
  <r>
    <d v="2025-07-16T00:00:00"/>
    <x v="2"/>
    <s v="BANKNIP From 000015250716131058536351259698_x000a_000015 PAYREF: PAY20250716121128322B7J0NEKI1 SENDER: THE PRISTINE CHILDREN FOUNDATION REMARK: NIP ILORIN TECH PARK LTD Ref: 0000152507161310585363512596982"/>
    <m/>
    <x v="0"/>
    <n v="-100000"/>
  </r>
  <r>
    <d v="2025-07-18T00:00:00"/>
    <x v="2"/>
    <s v="BANKNIP From 100004250718075728137046750306_x000a_100004 PAYREF: 100004250718075728137046750306 SENDER: SOLOMON ILEMONA SAMUEL REMARK:_x000a_payment for Hall ILORIN TECH PARK LTD Ref: 1000042507180757281370467503062"/>
    <m/>
    <x v="0"/>
    <n v="-400000"/>
  </r>
  <r>
    <d v="2025-07-18T00:00:00"/>
    <x v="2"/>
    <s v="BANKNIP From 000013250718132808000292628644_x000a_000013 PAYREF: 000292628644 SENDER: IJISESAN_x000a_ADEYEYE OLUKAYODE REMARK: From Mayowa Ijisesan to ILORIN TECH PARK LTD._x000a_000013250718132808000292628644 ILORIN TECH PARK LTD Ref: 0000132507181328080002926286442"/>
    <m/>
    <x v="0"/>
    <n v="-150000"/>
  </r>
  <r>
    <d v="2025-07-23T00:00:00"/>
    <x v="2"/>
    <s v="BANKNIP From 000015250723092323712358949558_x000a_000015 PAYREF: PAY20250723082358432AQQW1P075 SENDER: TUNMISE JOHNSON HOUSEHOLD FOUNDATIO REMARK: TRF ILORIN TECH PARK LTD Ref: 0000152507230923237123589495582"/>
    <m/>
    <x v="0"/>
    <n v="-32000"/>
  </r>
  <r>
    <d v="2025-07-11T00:00:00"/>
    <x v="2"/>
    <s v="LEGAL SEARCH IFOILORIN TECH PARK LTD ILORIN TECH PARK LTD Ref: BT25071114gTWBqmfI1"/>
    <m/>
    <x v="1"/>
    <n v="10000"/>
  </r>
  <r>
    <d v="2025-07-17T00:00:00"/>
    <x v="2"/>
    <s v="VAT FEE - 000001250717155508142098272646 | InBranch NIP at 044 BOO ILORIN TECH PARK LTD IFO ASMAU_x000a_NINIOLA OLANREWAJU Being Payment made for pro ILORIN TECH PARK LTD Ref: 0000012507171555081420982726462"/>
    <m/>
    <x v="1"/>
    <n v="3.75"/>
  </r>
  <r>
    <d v="2025-07-17T00:00:00"/>
    <x v="2"/>
    <s v="NIP FEE - 000001250717155508142098272646 | InBranch NIP at 044 BOO ILORIN TECH PARK LTD IFO ASMAU_x000a_NINIOLA OLANREWAJU Being Payment made for pro ILORIN TECH PARK LTD Ref: 0000012507171555081420982726463"/>
    <m/>
    <x v="1"/>
    <n v="50"/>
  </r>
  <r>
    <d v="2025-07-23T00:00:00"/>
    <x v="2"/>
    <s v="VAT FEE - 000001250723174037222117856621 | InBranch NIP at 044 BOO ILORIN TECH PARK LTD IFO BDA_x000a_POWER &amp;amp;amp;PROJECT COMPANY purchase of flexible po ILORIN TECH PARK LTD Ref: 0000012507231740372221178566212"/>
    <m/>
    <x v="1"/>
    <n v="3.75"/>
  </r>
  <r>
    <d v="2025-07-23T00:00:00"/>
    <x v="2"/>
    <s v="NIP FEE - 000001250723174037222117856621 | InBranch NIP at 044 BOO ILORIN TECH PARK LTD IFO BDA_x000a_POWER &amp;amp;amp;PROJECT COMPANY purchase of flexible po ILORIN TECH PARK LTD Ref: 0000012507231740372221178566213"/>
    <m/>
    <x v="1"/>
    <n v="50"/>
  </r>
  <r>
    <d v="2025-07-24T00:00:00"/>
    <x v="2"/>
    <s v="Govt Levy (FIRS) – EMT for 2025-07-23 ILORIN TECH_x000a_PARK LTD Ref: b7229d09-f4b2-47f5-b73c-3b8fe08f7e9c1"/>
    <m/>
    <x v="1"/>
    <n v="50"/>
  </r>
  <r>
    <d v="2025-07-23T00:00:00"/>
    <x v="2"/>
    <s v="000001250723174037222117856621 | InBranch NIP at 044 BOO ILORIN TECH PARK LTD IFO BDA POWER_x000a_&amp;amp;amp;PROJECT COMPANY purchase of flexible po ILORIN TECH PARK LTD Ref: 0000012507231740372221178566211"/>
    <m/>
    <x v="12"/>
    <n v="520000"/>
  </r>
  <r>
    <d v="2025-07-17T00:00:00"/>
    <x v="2"/>
    <s v="000001250717155508142098272646 | InBranch NIP at 044 BOO ILORIN TECH PARK LTD IFO ASMAU NINIOLA"/>
    <m/>
    <x v="25"/>
    <n v="500000"/>
  </r>
  <r>
    <d v="2025-07-31T00:00:00"/>
    <x v="2"/>
    <s v="Bank transactions in July"/>
    <m/>
    <x v="29"/>
    <n v="1693592.5"/>
  </r>
  <r>
    <d v="2025-08-19T00:00:00"/>
    <x v="3"/>
    <s v="09FG2508192006139819TJWVE | BOLATITO GANIYAT OLAGUNJU | BOLATITO GANIYAT OLAGUNJU to ILORIN TECH PARK LTD Ref: 09FG2508192006139819TJWVE2"/>
    <m/>
    <x v="0"/>
    <n v="-250000"/>
  </r>
  <r>
    <d v="2025-08-26T00:00:00"/>
    <x v="3"/>
    <s v="BANKNIP From 000015250826062358000000205483 000015 PAYREF: SP33363963 SENDER: TUNMISE JOHNSON HOUSEHOLD FOUNDATIO REMARK: 1756149559014 ILORIN TECH PARK LTD Ref:_x000a_0000152508260623580000002054832"/>
    <s v="Guest and entertainment"/>
    <x v="0"/>
    <n v="-40000"/>
  </r>
  <r>
    <d v="2025-08-27T00:00:00"/>
    <x v="3"/>
    <s v="BANKNIP From 000012250827114416629004483368_x000a_000012 PAYREF: 9286-2 SENDER: WEBFALA DIGITAL SKILLS FOR ALL INITIATI REMARK: IIH Facility rental_x000a_(pitch hall) for WIA ILORIN TECH PARK LTD Ref: 0000122508271144166290044833682"/>
    <m/>
    <x v="0"/>
    <n v="-444000"/>
  </r>
  <r>
    <d v="2025-08-31T00:00:00"/>
    <x v="3"/>
    <s v="Bank transactions in August"/>
    <s v="Bank balance"/>
    <x v="29"/>
    <n v="734000"/>
  </r>
  <r>
    <d v="2025-09-01T00:00:00"/>
    <x v="4"/>
    <s v="000MOBT25244A6TY PAYMENT FOR PURCHASEOFPLASTICCHAIRSNIPTransfer from ILORIN INNOVATION HUB LTD to SERI"/>
    <s v="Stationery and Office Supplies"/>
    <x v="2"/>
    <n v="108000"/>
  </r>
  <r>
    <d v="2025-09-01T00:00:00"/>
    <x v="4"/>
    <s v="000MOBT25244A6TY PAYMENT FOR PURCHASEOFPLASTICCHAIRSNIPTransfer from ILORIN INNOVATION HUB LTD to SERI"/>
    <s v="Bank charges"/>
    <x v="1"/>
    <n v="50"/>
  </r>
  <r>
    <d v="2025-09-01T00:00:00"/>
    <x v="4"/>
    <s v="000MOBT25244A6TY PAYMENT FOR PURCHASEOFPLASTICCHAIRSNIPTransfer from ILORIN INNOVATION HUB LTD to SERI"/>
    <s v="Bank charges"/>
    <x v="1"/>
    <n v="3.75"/>
  </r>
  <r>
    <d v="2025-09-01T00:00:00"/>
    <x v="4"/>
    <s v="000MOBT25244A6WOPAYMENTFORWASTE DISPOSAL FORAUGUSTNIPTransfer from ILORIN INNOVATION HUB LTD to EXTRE"/>
    <s v="Cleaning expenses"/>
    <x v="3"/>
    <n v="40000"/>
  </r>
  <r>
    <d v="2025-09-01T00:00:00"/>
    <x v="4"/>
    <s v="000MOBT25244A6WOPAYMENTFORWASTE DISPOSAL FORAUGUSTNIPTransfer from ILORIN INNOVATION HUB LTD to EXTRE"/>
    <s v="Bank charges"/>
    <x v="1"/>
    <n v="25"/>
  </r>
  <r>
    <d v="2025-09-01T00:00:00"/>
    <x v="4"/>
    <s v="000MOBT25244A6WOPAYMENTFORWASTE DISPOSAL FORAUGUSTNIPTransfer from ILORIN INNOVATION HUB LTD to EXTRE"/>
    <s v="Bank charges"/>
    <x v="1"/>
    <n v="1.88"/>
  </r>
  <r>
    <d v="2025-09-01T00:00:00"/>
    <x v="4"/>
    <s v="000MOBT25244A9SSPAYMENTFORFLIGHT TICKET MD GITEX RETURN LOS ILV NIP Transfer from ILORIN INNOVATION HUB"/>
    <s v="Transport and Travel"/>
    <x v="18"/>
    <n v="242000"/>
  </r>
  <r>
    <d v="2025-09-01T00:00:00"/>
    <x v="4"/>
    <s v="000MOBT25244A9SSPAYMENTFORFLIGHT TICKET MD GITEX RETURN LOS ILV NIP Transfer from ILORIN INNOVATION HUB"/>
    <s v="Bank charges"/>
    <x v="1"/>
    <n v="50"/>
  </r>
  <r>
    <d v="2025-09-01T00:00:00"/>
    <x v="4"/>
    <s v="000MOBT25244A9SSPAYMENTFORFLIGHT TICKET MD GITEX RETURN LOS ILV NIP Transfer from ILORIN INNOVATION HUB"/>
    <s v="Bank charges"/>
    <x v="1"/>
    <n v="3.75"/>
  </r>
  <r>
    <d v="2025-09-02T00:00:00"/>
    <x v="4"/>
    <s v="016NIPO252450052 NIP-BEING PAYMENT FOR AUGUST 2025 SECURITY SERVICE"/>
    <s v="Security"/>
    <x v="14"/>
    <n v="950000"/>
  </r>
  <r>
    <d v="2025-09-02T00:00:00"/>
    <x v="4"/>
    <s v="016NIPO252450052 NIP-BEING PAYMENT FOR AUGUST 2025 SECURITY SERVICE"/>
    <s v="Bank charges"/>
    <x v="1"/>
    <n v="50"/>
  </r>
  <r>
    <d v="2025-09-02T00:00:00"/>
    <x v="4"/>
    <s v="016NIPO252450052 NIP-BEING PAYMENT FOR AUGUST 2025 SECURITY SERVICE"/>
    <s v="Bank charges"/>
    <x v="1"/>
    <n v="3.75"/>
  </r>
  <r>
    <d v="2025-09-02T00:00:00"/>
    <x v="4"/>
    <s v="016NIPO252450053NIP-BNGPAYMENTTO HIRE AND TRANSPORT 20KVA DIESEL GENERATOR FOR 12 DAYS"/>
    <s v="Generator Rentals"/>
    <x v="23"/>
    <n v="470000"/>
  </r>
  <r>
    <d v="2025-09-02T00:00:00"/>
    <x v="4"/>
    <s v="016NIPO252450053NIP-BNGPAYMENTTO HIRE AND TRANSPORT 20KVA DIESEL GENERATOR FOR 12 DAYS"/>
    <s v="Bank charges"/>
    <x v="1"/>
    <n v="50"/>
  </r>
  <r>
    <d v="2025-09-02T00:00:00"/>
    <x v="4"/>
    <s v="016NIPO252450053NIP-BNGPAYMENTTO HIRE AND TRANSPORT 20KVA DIESEL GENERATOR FOR 12 DAYS"/>
    <s v="Bank charges"/>
    <x v="1"/>
    <n v="3.75"/>
  </r>
  <r>
    <d v="2025-09-02T00:00:00"/>
    <x v="4"/>
    <s v="016NIPO252450069NIP-BNGPAYMENTFOR AUGUST 2025 STAFF PENSION"/>
    <s v="Pension"/>
    <x v="30"/>
    <n v="2035800"/>
  </r>
  <r>
    <d v="2025-09-02T00:00:00"/>
    <x v="4"/>
    <s v="016NIPC252450069 NIP Charge-BNG PAYMENT FOR AUGUST 2025 STAFF PENSION"/>
    <s v="Bank charges"/>
    <x v="1"/>
    <n v="50"/>
  </r>
  <r>
    <d v="2025-09-02T00:00:00"/>
    <x v="4"/>
    <s v="016VATP252450069 NIPCharge VAT-BNG PAYMENT FOR AUGUST 2025 STAFF PENSION"/>
    <s v="Bank charges"/>
    <x v="1"/>
    <n v="3.75"/>
  </r>
  <r>
    <d v="2025-09-02T00:00:00"/>
    <x v="4"/>
    <s v="016NIPO252450070NIP-BNGPAYMENTFOR JULY 2025 STAFF PENSION"/>
    <s v="Pension"/>
    <x v="30"/>
    <n v="2092500"/>
  </r>
  <r>
    <d v="2025-09-02T00:00:00"/>
    <x v="4"/>
    <s v="016NIPC252450070 NIP Charge-BNG PAYMENT FOR JULY 2025 STAFF PENSION"/>
    <s v="Bank charges"/>
    <x v="1"/>
    <n v="50"/>
  </r>
  <r>
    <d v="2025-09-02T00:00:00"/>
    <x v="4"/>
    <s v="016VATP252450070 NIPCharge VAT-BNG PAYMENT FOR JULY 2025 STAFF PENSION"/>
    <s v="Bank charges"/>
    <x v="1"/>
    <n v="3.75"/>
  </r>
  <r>
    <d v="2025-09-02T00:00:00"/>
    <x v="4"/>
    <s v="016NIPO252450073NIP-BNGPAYMENTFOR JUNE 2025 STAFF PENSION"/>
    <s v="Pension"/>
    <x v="30"/>
    <n v="2066040"/>
  </r>
  <r>
    <d v="2025-09-02T00:00:00"/>
    <x v="4"/>
    <s v="016NIPC252450073 NIP Charge-BNG PAYMENT FOR JUNE 2025 STAFF PENSION"/>
    <s v="Bank charges"/>
    <x v="1"/>
    <n v="50"/>
  </r>
  <r>
    <d v="2025-09-02T00:00:00"/>
    <x v="4"/>
    <s v="016VATP252450073 NIPCharge VAT-BNG PAYMENT FOR JUNE 2025 STAFF PENSION"/>
    <s v="Bank charges"/>
    <x v="1"/>
    <n v="3.75"/>
  </r>
  <r>
    <d v="2025-09-02T00:00:00"/>
    <x v="4"/>
    <s v="016NIPO252450080NIP-BNGPAYMENTFOR MAY 2025 STAFF PENSION"/>
    <s v="Pension"/>
    <x v="30"/>
    <n v="1633064.48"/>
  </r>
  <r>
    <d v="2025-09-02T00:00:00"/>
    <x v="4"/>
    <s v="016NIPC252450080 NIP Charge-BNG PAYMENT FOR MAY 2025 STAFF PENSION"/>
    <s v="Bank charges"/>
    <x v="1"/>
    <n v="50"/>
  </r>
  <r>
    <d v="2025-09-02T00:00:00"/>
    <x v="4"/>
    <s v="016VATP252450080 NIPCharge VAT-BNG PAYMENT FOR MAY 2025 STAFF PENSION"/>
    <s v="Bank charges"/>
    <x v="1"/>
    <n v="3.75"/>
  </r>
  <r>
    <d v="2025-09-02T00:00:00"/>
    <x v="4"/>
    <s v="016NIPO252450081NIP-BNGPAYMENTFOR AUGUST 2025 LANDSCAPING SERVICE"/>
    <s v="Repairs and maintenance"/>
    <x v="12"/>
    <n v="400000"/>
  </r>
  <r>
    <d v="2025-09-02T00:00:00"/>
    <x v="4"/>
    <s v="016NIPC252450081 NIP Charge-BNG PAYMENTFORAUGUST2025LANDSCAPING SERVICE"/>
    <s v="Bank charges"/>
    <x v="1"/>
    <n v="50"/>
  </r>
  <r>
    <d v="2025-09-02T00:00:00"/>
    <x v="4"/>
    <s v="016VATP252450081 NIPCharge VAT-BNG PAYMENTFORAUGUST2025LANDSCAPING SERVICE"/>
    <s v="Bank charges"/>
    <x v="1"/>
    <n v="3.75"/>
  </r>
  <r>
    <d v="2025-09-02T00:00:00"/>
    <x v="4"/>
    <s v="000MOBT25245A18Q PAYMENT FOR MD STAY 3NIGHTSGITEXNIPTransfer from ILORIN INNOVATION HUB LTD to T9 HOTEL"/>
    <s v="Transport and Travel"/>
    <x v="18"/>
    <n v="300000"/>
  </r>
  <r>
    <d v="2025-09-02T00:00:00"/>
    <x v="4"/>
    <s v="000MOBT25245A18Q PAYMENT FOR MD STAY 3NIGHTSGITEXNIPTransfer from ILORIN INNOVATION HUB LTD to T9 HOTEL"/>
    <s v="Bank charges"/>
    <x v="1"/>
    <n v="50"/>
  </r>
  <r>
    <d v="2025-09-02T00:00:00"/>
    <x v="4"/>
    <s v="000MOBT25245A18Q PAYMENT FOR MD STAY 3NIGHTSGITEXNIPTransfer from ILORIN INNOVATION HUB LTD to T9 HOTEL"/>
    <s v="Bank charges"/>
    <x v="1"/>
    <n v="3.75"/>
  </r>
  <r>
    <d v="2025-09-02T00:00:00"/>
    <x v="4"/>
    <s v="016NIPO252450087NIP-BNGPAYMENTFOR MARCH 2025 STAFF PENSION"/>
    <s v="Pension"/>
    <x v="30"/>
    <n v="883800"/>
  </r>
  <r>
    <d v="2025-09-02T00:00:00"/>
    <x v="4"/>
    <s v="016NIPC252450087 NIP Charge-BNG PAYMENT FOR MARCH 2025 STAFF PENSION"/>
    <s v="Bank charges"/>
    <x v="1"/>
    <n v="50"/>
  </r>
  <r>
    <d v="2025-09-02T00:00:00"/>
    <x v="4"/>
    <s v="016VATP252450087 NIPCharge VAT-BNG PAYMENT FOR MARCH 2025 STAFF PENSION"/>
    <s v="Bank charges"/>
    <x v="1"/>
    <n v="3.75"/>
  </r>
  <r>
    <d v="2025-09-02T00:00:00"/>
    <x v="4"/>
    <s v="016NIPO252450088NIP-BNGPAYMENTFOR APRIL 2025 STAFF PENSION"/>
    <s v="Pension"/>
    <x v="30"/>
    <n v="883800"/>
  </r>
  <r>
    <d v="2025-09-02T00:00:00"/>
    <x v="4"/>
    <s v="16NIPC252450088 NIP Charge-BNG PAYMENT FOR APRIL 2025 STAFF PENSION"/>
    <s v="Bank charges"/>
    <x v="1"/>
    <n v="50"/>
  </r>
  <r>
    <d v="2025-09-02T00:00:00"/>
    <x v="4"/>
    <s v="016VATP252450088 NIPCharge VAT-BNG PAYMENT FOR APRIL 2025 STAFF PENSION"/>
    <s v="Bank charges"/>
    <x v="1"/>
    <n v="3.75"/>
  </r>
  <r>
    <d v="2025-09-03T00:00:00"/>
    <x v="4"/>
    <s v="016NIPO252460004NIP-NIPTRFIFOISREAL ABIODUN B/O ILORIN TECH PARK LTD"/>
    <s v="Rentals"/>
    <x v="23"/>
    <n v="450000"/>
  </r>
  <r>
    <d v="2025-09-03T00:00:00"/>
    <x v="4"/>
    <s v="016NIPC252460004NIPCharge-NIPTRFIFO ISREALABIODUNB/O ILORINTECHPARK LTD"/>
    <s v="Bank charges"/>
    <x v="1"/>
    <n v="50"/>
  </r>
  <r>
    <d v="2025-09-03T00:00:00"/>
    <x v="4"/>
    <s v="016VATP252460004NIPChargeVAT-NIPTRF IFO ISREAL ABIODUN B/O ILORIN TECH PARK LTD"/>
    <s v="Bank charges"/>
    <x v="1"/>
    <n v="3.75"/>
  </r>
  <r>
    <d v="2025-09-03T00:00:00"/>
    <x v="4"/>
    <s v="000MOBT252463993 PAYMENT FORDIESEL PURCHASE 251L ELEVATOR NIP Transfer from ILORIN INNOVATION HUB LTD to"/>
    <s v="Diesel and Fuel"/>
    <x v="22"/>
    <n v="27610"/>
  </r>
  <r>
    <d v="2025-09-03T00:00:00"/>
    <x v="4"/>
    <s v="000MOBT252463993 PAYMENT FORDIESEL PURCHASE 251L ELEVATOR NIP Transfer from ILORIN INNOVATION HUB LTD to"/>
    <s v="Bank charges"/>
    <x v="1"/>
    <n v="25"/>
  </r>
  <r>
    <d v="2025-09-03T00:00:00"/>
    <x v="4"/>
    <s v="000MOBT252463993 PAYMENT FORDIESEL PURCHASE 251L ELEVATOR NIP Transfer from ILORIN INNOVATION HUB LTD to"/>
    <s v="Bank charges"/>
    <x v="1"/>
    <n v="1.8800000000046566"/>
  </r>
  <r>
    <d v="2025-09-03T00:00:00"/>
    <x v="4"/>
    <s v="000MOBT252465110 PAYMENT FOR BREAKFASTREFRESHMENTSTACOMMNIP Transfer from ILORIN INNOVATION HUB LTD"/>
    <s v="Guest and entertainment"/>
    <x v="13"/>
    <n v="54000"/>
  </r>
  <r>
    <d v="2025-09-03T00:00:00"/>
    <x v="4"/>
    <s v="000MOBT252465110 PAYMENT FOR BREAKFASTREFRESHMENTSTACOMMNIP Transfer from ILORIN INNOVATION HUB LTD"/>
    <s v="Bank charges"/>
    <x v="1"/>
    <n v="50"/>
  </r>
  <r>
    <d v="2025-09-03T00:00:00"/>
    <x v="4"/>
    <s v="000MOBT252465110 PAYMENT FOR BREAKFASTREFRESHMENTSTACOMMNIP Transfer from ILORIN INNOVATION HUB LTD"/>
    <s v="Bank charges"/>
    <x v="1"/>
    <n v="3.75"/>
  </r>
  <r>
    <d v="2025-09-03T00:00:00"/>
    <x v="4"/>
    <s v="000MOBT252466909 REIMBURSEMENT FOR STAFFBIRTHDAYCAKECARDSNIPTransfer from ILORIN INNOVATION HUB LTD t"/>
    <s v="Guest and entertainment"/>
    <x v="13"/>
    <n v="28000"/>
  </r>
  <r>
    <d v="2025-09-03T00:00:00"/>
    <x v="4"/>
    <s v="000MOBT252466909 REIMBURSEMENT FOR STAFFBIRTHDAYCAKECARDSNIPTransfer from ILORIN INNOVATION HUB LTD t"/>
    <s v="Bank charges"/>
    <x v="1"/>
    <n v="25"/>
  </r>
  <r>
    <d v="2025-09-03T00:00:00"/>
    <x v="4"/>
    <s v="000MOBT252466909 REIMBURSEMENT FOR STAFFBIRTHDAYCAKECARDSNIPTransfer from ILORIN INNOVATION HUB LTD t"/>
    <s v="Bank charges"/>
    <x v="1"/>
    <n v="1.8800000000046566"/>
  </r>
  <r>
    <d v="2025-09-03T00:00:00"/>
    <x v="4"/>
    <s v="000MOBT252467581 IIH AUG ALLOWANCE NIPTransfer fromILORIN INNOVATIONHUB LTD to FARAYADE EMMANUEL OLAWALE"/>
    <s v="Salaries and Wages"/>
    <x v="7"/>
    <n v="20000"/>
  </r>
  <r>
    <d v="2025-09-03T00:00:00"/>
    <x v="4"/>
    <s v="000MOBT252467581 IIH AUG ALLOWANCE NIPTransfer fromILORIN INNOVATIONHUB LTD to FARAYADE EMMANUEL OLAWALE"/>
    <s v="Bank charges"/>
    <x v="1"/>
    <n v="25"/>
  </r>
  <r>
    <d v="2025-09-03T00:00:00"/>
    <x v="4"/>
    <s v="000MOBT252467581 IIH AUG ALLOWANCE NIPTransfer fromILORIN INNOVATIONHUB LTD to FARAYADE EMMANUEL OLAWALE"/>
    <s v="Bank charges"/>
    <x v="1"/>
    <n v="1.8800000000046566"/>
  </r>
  <r>
    <d v="2025-09-03T00:00:00"/>
    <x v="4"/>
    <s v="016NIPO252460039 NIP-BNG PYT FOR AUGUST 2025 JANITORIAL SERVICES"/>
    <s v="Cleaning expenses"/>
    <x v="3"/>
    <n v="1300000"/>
  </r>
  <r>
    <d v="2025-09-03T00:00:00"/>
    <x v="4"/>
    <s v="016NIPC252460038 NIP Charge-BNGPYT FOR AUGUST 2025 JANITORIAL SERVICES"/>
    <s v="Bank charges"/>
    <x v="1"/>
    <n v="50"/>
  </r>
  <r>
    <d v="2025-09-03T00:00:00"/>
    <x v="4"/>
    <s v="016VATP252460038 NIPCharge VAT-BNG PYT FOR AUGUST 2025 JANITORIAL SERVICES"/>
    <s v="Bank charges"/>
    <x v="1"/>
    <n v="3.75"/>
  </r>
  <r>
    <d v="2025-09-03T00:00:00"/>
    <x v="4"/>
    <s v="0160020252460001 REMITTAPAYMENT FOR STAFF NATIONAL HOUSING FUND B/O ILORIN TECH PARK LTD"/>
    <s v="National Housing Fund"/>
    <x v="31"/>
    <n v="1317857.02"/>
  </r>
  <r>
    <d v="2025-09-03T00:00:00"/>
    <x v="4"/>
    <s v="000MOBT25246A2PVOFFICESUPPLIESFOR AUGUST NIP Transfer from ILORIN INNOVATION HUB LTD to MAUREEN DANIEL"/>
    <s v="Stationery and Office Supplies"/>
    <x v="2"/>
    <n v="150000"/>
  </r>
  <r>
    <d v="2025-09-03T00:00:00"/>
    <x v="4"/>
    <s v="000MOBT25246A2PVOFFICESUPPLIESFOR AUGUST NIP Transfer from ILORIN INNOVATION HUB LTD to MAUREEN DANIEL"/>
    <s v="Bank charges"/>
    <x v="1"/>
    <n v="50"/>
  </r>
  <r>
    <d v="2025-09-03T00:00:00"/>
    <x v="4"/>
    <s v="000MOBT25246A2PVOFFICESUPPLIESFOR AUGUST NIP Transfer from ILORIN INNOVATION HUB LTD to MAUREEN DANIEL"/>
    <s v="Bank charges"/>
    <x v="1"/>
    <n v="3.75"/>
  </r>
  <r>
    <d v="2025-09-04T00:00:00"/>
    <x v="4"/>
    <s v="000MOBT252474993PAYMENTFORTACOMM EVENT LUNCH NIP Transfer from ILORIN INNOVATION HUB LTD to ARIYO VICTO"/>
    <s v="Guest and entertainment"/>
    <x v="13"/>
    <n v="180000"/>
  </r>
  <r>
    <d v="2025-09-04T00:00:00"/>
    <x v="4"/>
    <s v="000MOBT252474993PAYMENTFORTACOMM EVENT LUNCH NIP Transfer from ILORIN INNOVATION HUB LTD to ARIYO VICTO"/>
    <s v="Bank charges"/>
    <x v="1"/>
    <n v="50"/>
  </r>
  <r>
    <d v="2025-09-04T00:00:00"/>
    <x v="4"/>
    <s v="000MOBT252474993PAYMENTFORTACOMM EVENT LUNCH NIP Transfer from ILORIN INNOVATION HUB LTD to ARIYO VICTO"/>
    <s v="Bank charges"/>
    <x v="1"/>
    <n v="3.75"/>
  </r>
  <r>
    <d v="2025-09-05T00:00:00"/>
    <x v="4"/>
    <s v="000MOBT25247AC0NREIMBURSEMENT FOR MD LOGISTICS GITEX NIP Transfer from ILORIN INNOVATION HUB LTD to TEMILO"/>
    <s v="Transport and Travel"/>
    <x v="18"/>
    <n v="200000"/>
  </r>
  <r>
    <d v="2025-09-05T00:00:00"/>
    <x v="4"/>
    <s v="000MOBT25247AC0NREIMBURSEMENT FOR MD LOGISTICS GITEX NIP Transfer from ILORIN INNOVATION HUB LTD to TEMILO"/>
    <s v="Bank charges"/>
    <x v="1"/>
    <n v="50"/>
  </r>
  <r>
    <d v="2025-09-05T00:00:00"/>
    <x v="4"/>
    <s v="000MOBT25247AC0NREIMBURSEMENT FOR MD LOGISTICS GITEX NIP Transfer from ILORIN INNOVATION HUB LTD to TEMILO"/>
    <s v="Bank charges"/>
    <x v="1"/>
    <n v="3.75"/>
  </r>
  <r>
    <d v="2025-09-08T00:00:00"/>
    <x v="4"/>
    <s v="000MOBT252518586 REIMBURSEMENT FOR HOSPOTALITYLOGISTICS IHSGUESTS NIP Transfer from ILORIN INNOVATION HU"/>
    <s v="Guest and entertainment"/>
    <x v="13"/>
    <n v="50000"/>
  </r>
  <r>
    <d v="2025-09-08T00:00:00"/>
    <x v="4"/>
    <s v="000MOBT252518586 REIMBURSEMENT FOR HOSPOTALITYLOGISTICS IHSGUESTS NIP Transfer from ILORIN INNOVATION HU"/>
    <s v="Bank charges"/>
    <x v="1"/>
    <n v="25"/>
  </r>
  <r>
    <d v="2025-09-08T00:00:00"/>
    <x v="4"/>
    <s v="000MOBT252518586 REIMBURSEMENT FOR HOSPOTALITYLOGISTICS IHSGUESTS NIP Transfer from ILORIN INNOVATION HU"/>
    <s v="Bank charges"/>
    <x v="1"/>
    <n v="1.8800000000046566"/>
  </r>
  <r>
    <d v="2025-09-08T00:00:00"/>
    <x v="4"/>
    <s v="000MOBT25251A4JVPAYMENT FORLAGOS LOGISTICS IIH STAFF ZOHO TRIP NIP Transfer from ILORIN INNOVATION HUB LT"/>
    <s v="Transport and Travel"/>
    <x v="18"/>
    <n v="200000"/>
  </r>
  <r>
    <d v="2025-09-08T00:00:00"/>
    <x v="4"/>
    <s v="000MOBT25251A4JVPAYMENT FORLAGOS LOGISTICS IIH STAFF ZOHO TRIP NIP Transfer from ILORIN INNOVATION HUB LT"/>
    <s v="Bank charges"/>
    <x v="1"/>
    <n v="50"/>
  </r>
  <r>
    <d v="2025-09-08T00:00:00"/>
    <x v="4"/>
    <s v="000MOBT25251A4JVPAYMENT FORLAGOS LOGISTICS IIH STAFF ZOHO TRIP NIP Transfer from ILORIN INNOVATION HUB LT"/>
    <s v="Bank charges"/>
    <x v="1"/>
    <n v="3.75"/>
  </r>
  <r>
    <d v="2025-09-08T00:00:00"/>
    <x v="4"/>
    <s v="000MOBT25251A70Q PAYMENT COR ACCOMODATION FOR IIH STAFF ZOHO LAGOS TRIP NIP Transfer from ILORIN"/>
    <s v="Transport and Travel"/>
    <x v="18"/>
    <n v="220000"/>
  </r>
  <r>
    <d v="2025-09-08T00:00:00"/>
    <x v="4"/>
    <s v="000MOBT25251A70Q PAYMENT COR ACCOMODATION FOR IIH STAFF ZOHO LAGOS TRIP NIP Transfer from ILORIN"/>
    <s v="Bank charges"/>
    <x v="1"/>
    <n v="50"/>
  </r>
  <r>
    <d v="2025-09-08T00:00:00"/>
    <x v="4"/>
    <s v="000MOBT25251A70Q PAYMENT COR ACCOMODATION FOR IIH STAFF ZOHO LAGOS TRIP NIP Transfer from ILORIN"/>
    <s v="Bank charges"/>
    <x v="1"/>
    <n v="3.75"/>
  </r>
  <r>
    <d v="2025-09-08T00:00:00"/>
    <x v="4"/>
    <s v="000MOBT25251ADGL PAYMENT FOR BUSINESS CARDS IIH STAFF NIP Transfer from ILORIN INNOVATION HUB LTD to"/>
    <s v="Stationery and Office Supplies"/>
    <x v="2"/>
    <n v="78846.75"/>
  </r>
  <r>
    <d v="2025-09-08T00:00:00"/>
    <x v="4"/>
    <s v="000MOBT25251ADGL PAYMENT FOR BUSINESS CARDS IIH STAFF NIP Transfer from ILORIN INNOVATION HUB LTD to"/>
    <s v="Bank charges"/>
    <x v="1"/>
    <n v="50"/>
  </r>
  <r>
    <d v="2025-09-08T00:00:00"/>
    <x v="4"/>
    <s v="000MOBT25251ADGL PAYMENT FOR BUSINESS CARDS IIH STAFF NIP Transfer from ILORIN INNOVATION HUB LTD to"/>
    <s v="Bank charges"/>
    <x v="1"/>
    <n v="3.75"/>
  </r>
  <r>
    <d v="2025-09-08T00:00:00"/>
    <x v="4"/>
    <s v="000MOBT25251AGLX PAYMENT FOR ADDITIONAL BUSINESS CARDS MD NIP Transfer from ILORIN INNOVATION HUB LTD"/>
    <s v="stationery and Office Supplies"/>
    <x v="2"/>
    <n v="23414"/>
  </r>
  <r>
    <d v="2025-09-08T00:00:00"/>
    <x v="4"/>
    <s v="000MOBT25251AGLX PAYMENT FOR ADDITIONAL BUSINESS CARDS MD NIP Transfer from ILORIN INNOVATION HUB LTD"/>
    <s v="Bank charges"/>
    <x v="1"/>
    <n v="25"/>
  </r>
  <r>
    <d v="2025-09-08T00:00:00"/>
    <x v="4"/>
    <s v="000MOBT25251AGLX PAYMENT FOR ADDITIONAL BUSINESS CARDS MD NIP Transfer from ILORIN INNOVATION HUB LTD"/>
    <s v="Bank charges"/>
    <x v="1"/>
    <n v="1.8800000000046566"/>
  </r>
  <r>
    <d v="2025-09-08T00:00:00"/>
    <x v="4"/>
    <s v="000MOBT25251AIU6 PAYMENT FOR ACCOMODATIONBALANCE FOR IIHSTAFF ZOHO LAGOS TRIP NIP Transfer from ILORIN"/>
    <s v="Transport and Travel"/>
    <x v="18"/>
    <n v="320000"/>
  </r>
  <r>
    <d v="2025-09-08T00:00:00"/>
    <x v="4"/>
    <s v="000MOBT25251AIU6 PAYMENT FOR ACCOMODATIONBALANCE FOR IIHSTAFF ZOHO LAGOS TRIP NIP Transfer from ILORIN"/>
    <s v="Bank charges"/>
    <x v="1"/>
    <n v="50"/>
  </r>
  <r>
    <d v="2025-09-08T00:00:00"/>
    <x v="4"/>
    <s v="000MOBT25251AIU6 PAYMENT FOR ACCOMODATIONBALANCE FOR IIHSTAFF ZOHO LAGOS TRIP NIP Transfer from ILORIN"/>
    <s v="Bank charges"/>
    <x v="1"/>
    <n v="3.75"/>
  </r>
  <r>
    <d v="2025-09-11T00:00:00"/>
    <x v="4"/>
    <s v="000MOBT252548484 PAYMENT FOR ZOHO CAMPAIGNSUPGRADEFROM5KTO10KNIP Transfer from ILORIN INNOVATION HUB"/>
    <s v="Software expense - Zoho"/>
    <x v="9"/>
    <n v="119032.72"/>
  </r>
  <r>
    <d v="2025-09-11T00:00:00"/>
    <x v="4"/>
    <s v="000MOBT252548484 PAYMENT FOR ZOHO CAMPAIGNSUPGRADEFROM5KTO10KNIP Transfer from ILORIN INNOVATION HUB"/>
    <s v="Bank charges"/>
    <x v="1"/>
    <n v="50"/>
  </r>
  <r>
    <d v="2025-09-11T00:00:00"/>
    <x v="4"/>
    <s v="000MOBT252548484 PAYMENT FOR ZOHO CAMPAIGNSUPGRADEFROM5KTO10KNIP Transfer from ILORIN INNOVATION HUB"/>
    <s v="Bank charges"/>
    <x v="1"/>
    <n v="3.75"/>
  </r>
  <r>
    <d v="2025-09-11T00:00:00"/>
    <x v="4"/>
    <s v="016NIPO252540023NIP-BEINGPAYMENTTO HIRE A FORKLIFT"/>
    <s v="Repairs and maintenance"/>
    <x v="12"/>
    <n v="450000"/>
  </r>
  <r>
    <d v="2025-09-11T00:00:00"/>
    <x v="4"/>
    <s v="016NIPC252540023 NIP Charge-BEING PAYMENT TO HIRE A FORKLIFT"/>
    <s v="Bank charges"/>
    <x v="1"/>
    <n v="50"/>
  </r>
  <r>
    <d v="2025-09-11T00:00:00"/>
    <x v="4"/>
    <s v="016VATP252540023NIPChargeVAT-BEING PAYMENT TO HIRE A FORKLIFT"/>
    <s v="Bank charges"/>
    <x v="1"/>
    <n v="3.75"/>
  </r>
  <r>
    <d v="2025-09-11T00:00:00"/>
    <x v="4"/>
    <s v="000MOBT25254A3GVREIMBURSEMENT FOR FLIGHTTICKETABVLOSUSEMBVISITNIP Transfer from ILORIN INNOVATION H"/>
    <s v="Transport and Travel"/>
    <x v="18"/>
    <n v="162000"/>
  </r>
  <r>
    <d v="2025-09-11T00:00:00"/>
    <x v="4"/>
    <s v="000MOBT25254A3GVREIMBURSEMENT FOR FLIGHTTICKETABVLOSUSEMBVISITNIP Transfer from ILORIN INNOVATION H"/>
    <s v="Bank charges"/>
    <x v="1"/>
    <n v="50"/>
  </r>
  <r>
    <d v="2025-09-11T00:00:00"/>
    <x v="4"/>
    <s v="000MOBT25254A3GVREIMBURSEMENT FOR FLIGHTTICKETABVLOSUSEMBVISITNIP Transfer from ILORIN INNOVATION H"/>
    <s v="Bank charges"/>
    <x v="1"/>
    <n v="3.75"/>
  </r>
  <r>
    <d v="2025-09-12T00:00:00"/>
    <x v="4"/>
    <s v="000MOBT252552196 PAYMENT FOR FLIGHT TICKETABVILVMDUSEMBASSYVISITNIP Transfer from ILORIN INNOVATION"/>
    <s v="Transport and Travel"/>
    <x v="18"/>
    <n v="262000"/>
  </r>
  <r>
    <d v="2025-09-12T00:00:00"/>
    <x v="4"/>
    <s v="000MOBT252552196 PAYMENT FOR FLIGHT TICKETABVILVMDUSEMBASSYVISITNIP Transfer from ILORIN INNOVATION"/>
    <s v="Bank charges"/>
    <x v="1"/>
    <n v="50"/>
  </r>
  <r>
    <d v="2025-09-12T00:00:00"/>
    <x v="4"/>
    <s v="000MOBT252552196 PAYMENT FOR FLIGHT TICKETABVILVMDUSEMBASSYVISITNIP Transfer from ILORIN INNOVATION"/>
    <s v="Bank charges"/>
    <x v="1"/>
    <n v="3.75"/>
  </r>
  <r>
    <d v="2025-09-12T00:00:00"/>
    <x v="4"/>
    <s v="016NIPO252550008NIP-BNGPYTTOHIREA VEHICLE"/>
    <s v="Transport and Travel"/>
    <x v="18"/>
    <n v="250000"/>
  </r>
  <r>
    <d v="2025-09-12T00:00:00"/>
    <x v="4"/>
    <s v="016NIPC252550008NIPCharge-BNGPYTTO HIRE A VEHICLE"/>
    <s v="Bank charges"/>
    <x v="1"/>
    <n v="50"/>
  </r>
  <r>
    <d v="2025-09-12T00:00:00"/>
    <x v="4"/>
    <s v="016VATP252550008 NIPCharge VAT-BNG PYT TO HIRE A VEHICLE"/>
    <s v="Bank charges"/>
    <x v="1"/>
    <n v="3.75"/>
  </r>
  <r>
    <d v="2025-09-12T00:00:00"/>
    <x v="4"/>
    <s v="016NIPO252550026 NIP-BNG PYT FOR REPAIR OF DAMAGED SCREEN"/>
    <s v="Repairs and maintenance"/>
    <x v="12"/>
    <n v="500000"/>
  </r>
  <r>
    <d v="2025-09-12T00:00:00"/>
    <x v="4"/>
    <s v="016NIPC252550026 NIP Charge-BNGPYT FOR REPAIR OF DAMAGED SCREEN"/>
    <s v="Bank charges"/>
    <x v="1"/>
    <n v="50"/>
  </r>
  <r>
    <d v="2025-09-12T00:00:00"/>
    <x v="4"/>
    <s v="016VATP252550026 NIPCharge VAT-BNG PYT FOR REPAIR OF DAMAGED SCREEN"/>
    <s v="Bank charges"/>
    <x v="1"/>
    <n v="3.75"/>
  </r>
  <r>
    <d v="2025-09-12T00:00:00"/>
    <x v="4"/>
    <s v="0160076252550001 BNG COST OF REMITA (STAFF AUGUST 2025 NSITF )B/O ILORIN TECH PARK LTD"/>
    <s v="Salaries and Wages"/>
    <x v="7"/>
    <n v="118881.25"/>
  </r>
  <r>
    <d v="2025-09-15T00:00:00"/>
    <x v="4"/>
    <s v="000MOBT25258ANOM PAYMENT CAP FOR DRINKSSUIEVENTNIPTransfer fromILORIN INNOVATION HUB LTD to OLALUWOYE"/>
    <s v="Guest and entertainment"/>
    <x v="13"/>
    <n v="67800"/>
  </r>
  <r>
    <d v="2025-09-15T00:00:00"/>
    <x v="4"/>
    <s v="000MOBT25258ANOM PAYMENT CAP FOR DRINKSSUIEVENTNIPTransfer fromILORIN INNOVATION HUB LTD to OLALUWOYE"/>
    <s v="Bank charges"/>
    <x v="1"/>
    <n v="50"/>
  </r>
  <r>
    <d v="2025-09-15T00:00:00"/>
    <x v="4"/>
    <s v="000MOBT25258ANOM PAYMENT CAP FOR DRINKSSUIEVENTNIPTransfer fromILORIN INNOVATION HUB LTD to OLALUWOYE"/>
    <s v="Bank charges"/>
    <x v="1"/>
    <n v="3.75"/>
  </r>
  <r>
    <d v="2025-09-15T00:00:00"/>
    <x v="4"/>
    <s v="000MOBT25258ARSF REIMBURSEMENT FOR MAUREEN LAGOS LOGISTICS ZOHOUNDP TRIP NIP Transfer from ILORIN INNOVAT"/>
    <s v="Transport and Travel"/>
    <x v="18"/>
    <n v="18400"/>
  </r>
  <r>
    <d v="2025-09-15T00:00:00"/>
    <x v="4"/>
    <s v="000MOBT25258ARSF REIMBURSEMENT FOR MAUREEN LAGOS LOGISTICS ZOHOUNDP TRIP NIP Transfer from ILORIN INNOVAT"/>
    <s v="Bank charges"/>
    <x v="1"/>
    <n v="25"/>
  </r>
  <r>
    <d v="2025-09-15T00:00:00"/>
    <x v="4"/>
    <s v="000MOBT25258ARSF REIMBURSEMENT FOR MAUREEN LAGOS LOGISTICS ZOHOUNDP TRIP NIP Transfer from ILORIN INNOVAT"/>
    <s v="Bank charges"/>
    <x v="1"/>
    <n v="1.8800000000046566"/>
  </r>
  <r>
    <d v="2025-09-16T00:00:00"/>
    <x v="4"/>
    <s v="000MOBT25259A0SL REIMBURSEMENT FOR STAFF LOGISTICS SINACHI LAGOS ZOHO TRIP NIP Transfer from ILORIN INNOVAT"/>
    <s v="Transport and Travel"/>
    <x v="18"/>
    <n v="74200"/>
  </r>
  <r>
    <d v="2025-09-16T00:00:00"/>
    <x v="4"/>
    <s v="000MOBT25259A0SL REIMBURSEMENT FOR STAFF LOGISTICS SINACHI LAGOS ZOHO TRIP NIP Transfer from ILORIN INNOVAT"/>
    <s v="Bank charges"/>
    <x v="1"/>
    <n v="50"/>
  </r>
  <r>
    <d v="2025-09-16T00:00:00"/>
    <x v="4"/>
    <s v="000MOBT25259A0SL REIMBURSEMENT FOR STAFF LOGISTICS SINACHI LAGOS ZOHO TRIP NIP Transfer from ILORIN INNOVAT"/>
    <s v="Bank charges"/>
    <x v="1"/>
    <n v="3.75"/>
  </r>
  <r>
    <d v="2025-09-16T00:00:00"/>
    <x v="4"/>
    <s v="000MOBT25259A1U8 REIMBURSEMENT FOR REFRESHMENTSTACOMMNIPTransferfrom ILORIN INNOVATION HUB LTD to MAUR"/>
    <s v="Guest and entertainment"/>
    <x v="13"/>
    <n v="41000"/>
  </r>
  <r>
    <d v="2025-09-16T00:00:00"/>
    <x v="4"/>
    <s v="000MOBT25259A1U8 REIMBURSEMENT FOR REFRESHMENTSTACOMMNIPTransferfrom ILORIN INNOVATION HUB LTD to MAUR"/>
    <s v="Bank charges"/>
    <x v="1"/>
    <n v="25"/>
  </r>
  <r>
    <d v="2025-09-16T00:00:00"/>
    <x v="4"/>
    <s v="000MOBT25259A1U8 REIMBURSEMENT FOR REFRESHMENTSTACOMMNIPTransferfrom ILORIN INNOVATION HUB LTD to MAUR"/>
    <s v="Bank charges"/>
    <x v="1"/>
    <n v="1.8800000000046566"/>
  </r>
  <r>
    <d v="2025-09-16T00:00:00"/>
    <x v="4"/>
    <s v="000MOBT25259A1VK REIMBURSEMENT TA COMM REFRESHMENT NIP Transfer from ILORIN INNOVATION HUB LTD to OKEY MAUR"/>
    <s v="Guest and entertainment"/>
    <x v="13"/>
    <n v="6900"/>
  </r>
  <r>
    <d v="2025-09-16T00:00:00"/>
    <x v="4"/>
    <s v="000MOBT25259A1VK REIMBURSEMENT TA COMM REFRESHMENT NIP Transfer from ILORIN INNOVATION HUB LTD to OKEY MAUR"/>
    <s v="Bank charges"/>
    <x v="1"/>
    <n v="25"/>
  </r>
  <r>
    <d v="2025-09-16T00:00:00"/>
    <x v="4"/>
    <s v="000MOBT25259A1VK REIMBURSEMENT TA COMM REFRESHMENT NIP Transfer from ILORIN INNOVATION HUB LTD to OKEY MAUR"/>
    <s v="Bank charges"/>
    <x v="1"/>
    <n v="1.8800000000046566"/>
  </r>
  <r>
    <d v="2025-09-16T00:00:00"/>
    <x v="4"/>
    <s v="000MOBT25259A23GREIMBURSEMENT FOR FUEL MD NIP Transfer from ILORIN INNOVATION HUB LTD to TEMILOLUWA"/>
    <s v="Diesel and Fuel"/>
    <x v="22"/>
    <n v="120000"/>
  </r>
  <r>
    <d v="2025-09-16T00:00:00"/>
    <x v="4"/>
    <s v="000MOBT25259A23GREIMBURSEMENT FOR FUEL MD NIP Transfer from ILORIN INNOVATION HUB LTD to TEMILOLUWA"/>
    <s v="Bank charges"/>
    <x v="1"/>
    <n v="50"/>
  </r>
  <r>
    <d v="2025-09-16T00:00:00"/>
    <x v="4"/>
    <s v="000MOBT25259A23GREIMBURSEMENT FOR FUEL MD NIP Transfer from ILORIN INNOVATION HUB LTD to TEMILOLUWA"/>
    <s v="Bank charges"/>
    <x v="1"/>
    <n v="3.75"/>
  </r>
  <r>
    <d v="2025-09-18T00:00:00"/>
    <x v="4"/>
    <s v="000MOBT25260A7EHREIMBURSEMENT FOR STARLINKAUGSEPTMDNIPTransfer from ILORIN INNOVATION HUB LTD to OLUWA"/>
    <s v="Data and telephone expenses"/>
    <x v="10"/>
    <n v="57000"/>
  </r>
  <r>
    <d v="2025-09-18T00:00:00"/>
    <x v="4"/>
    <s v="000MOBT25260A7EHREIMBURSEMENT FOR STARLINKAUGSEPTMDNIPTransfer from ILORIN INNOVATION HUB LTD to OLUWA"/>
    <s v="Bank charges"/>
    <x v="1"/>
    <n v="50"/>
  </r>
  <r>
    <d v="2025-09-18T00:00:00"/>
    <x v="4"/>
    <s v="000MOBT25260A7EHREIMBURSEMENT FOR STARLINKAUGSEPTMDNIPTransfer from ILORIN INNOVATION HUB LTD to OLUWA"/>
    <s v="Bank charges"/>
    <x v="1"/>
    <n v="3.75"/>
  </r>
  <r>
    <d v="2025-09-18T00:00:00"/>
    <x v="4"/>
    <s v="000MOBT25260AADB PURCHASE OF IT EQUIPMENT HDMl PRINTER CABLES NIP Transfer from ILORIN INNOVATION HUB LTD t"/>
    <s v="Purchase of equipment"/>
    <x v="20"/>
    <n v="215000"/>
  </r>
  <r>
    <d v="2025-09-18T00:00:00"/>
    <x v="4"/>
    <s v="000MOBT25260AADB PURCHASE OF IT EQUIPMENT HDMl PRINTER CABLES NIP Transfer from ILORIN INNOVATION HUB LTD t"/>
    <s v="Bank charges"/>
    <x v="1"/>
    <n v="50"/>
  </r>
  <r>
    <d v="2025-09-18T00:00:00"/>
    <x v="4"/>
    <s v="000MOBT25260AADB PURCHASE OF IT EQUIPMENT HDMl PRINTER CABLES NIP Transfer from ILORIN INNOVATION HUB LTD t"/>
    <s v="Bank charges"/>
    <x v="1"/>
    <n v="3.75"/>
  </r>
  <r>
    <d v="2025-09-18T00:00:00"/>
    <x v="4"/>
    <s v="000MOBT25260AB8N PAYMENT FOR PURCHASE OF EXTENSION BOXES NIP Transfer from ILORIN INNOVATION HUB LTD"/>
    <s v="stationery and Office Supplies"/>
    <x v="2"/>
    <n v="169000"/>
  </r>
  <r>
    <d v="2025-09-18T00:00:00"/>
    <x v="4"/>
    <s v="000MOBT25260AB8N PAYMENT FOR PURCHASE OF EXTENSION BOXES NIP Transfer from ILORIN INNOVATION HUB LTD"/>
    <s v="Bank charges"/>
    <x v="1"/>
    <n v="50"/>
  </r>
  <r>
    <d v="2025-09-18T00:00:00"/>
    <x v="4"/>
    <s v="000MOBT25260AB8N PAYMENT FOR PURCHASE OF EXTENSION BOXES NIP Transfer from ILORIN INNOVATION HUB LTD"/>
    <s v="Bank charges"/>
    <x v="1"/>
    <n v="3.75"/>
  </r>
  <r>
    <d v="2025-09-18T00:00:00"/>
    <x v="4"/>
    <s v="000MOBT25260AG4S PAYMENT GOR STARLINK SEPT OCT NIP Transfer from ILORIN INNOVATION HUB LTD to"/>
    <s v="Data and telephone expenses"/>
    <x v="10"/>
    <n v="57000"/>
  </r>
  <r>
    <d v="2025-09-18T00:00:00"/>
    <x v="4"/>
    <s v="000MOBT25260AG4S PAYMENT GOR STARLINK SEPT OCT NIP Transfer from ILORIN INNOVATION HUB LTD to"/>
    <s v="Bank charges"/>
    <x v="1"/>
    <n v="50"/>
  </r>
  <r>
    <d v="2025-09-18T00:00:00"/>
    <x v="4"/>
    <s v="000MOBT25260AG4S PAYMENT GOR STARLINK SEPT OCT NIP Transfer from ILORIN INNOVATION HUB LTD to"/>
    <s v="Bank charges"/>
    <x v="1"/>
    <n v="3.75"/>
  </r>
  <r>
    <d v="2025-09-22T00:00:00"/>
    <x v="4"/>
    <s v="016NIPO252650022 NIP-PURCHASE OF NEXUS SHOWCASE FREZEER"/>
    <s v="Stationery and Office Supplies"/>
    <x v="2"/>
    <n v="540000"/>
  </r>
  <r>
    <d v="2025-09-22T00:00:00"/>
    <x v="4"/>
    <s v="016NIPC252650022NIPCharge-PURCHASE OF NEXUS SHOWCASE FREZEER"/>
    <s v="Bank charges"/>
    <x v="1"/>
    <n v="50"/>
  </r>
  <r>
    <d v="2025-09-22T00:00:00"/>
    <x v="4"/>
    <s v="016VATP252650022 NIP Charge VAT PURCHASE OF NEXUS SHOWCASE FREZEER"/>
    <s v="Bank charges"/>
    <x v="1"/>
    <n v="3.75"/>
  </r>
  <r>
    <d v="2025-09-22T00:00:00"/>
    <x v="4"/>
    <s v="000MOBT25265AKYHPAYMENTFORDRINKS WATERDEVBOXNIPTransfer fromILORIN INNOVATION HUB LTD to OLALUWOYE"/>
    <s v="Guest and entertainment"/>
    <x v="13"/>
    <n v="17000"/>
  </r>
  <r>
    <d v="2025-09-22T00:00:00"/>
    <x v="4"/>
    <s v="000MOBT25265AKYHPAYMENTFORDRINKS WATERDEVBOXNIPTransfer fromILORIN INNOVATION HUB LTD to OLALUWOYE"/>
    <s v="Bank charges"/>
    <x v="1"/>
    <n v="25"/>
  </r>
  <r>
    <d v="2025-09-22T00:00:00"/>
    <x v="4"/>
    <s v="000MOBT25265AKYHPAYMENTFORDRINKS WATERDEVBOXNIPTransfer fromILORIN INNOVATION HUB LTD to OLALUWOYE"/>
    <s v="Bank charges"/>
    <x v="1"/>
    <n v="1.8800000000046566"/>
  </r>
  <r>
    <d v="2025-09-22T00:00:00"/>
    <x v="4"/>
    <s v="000MOBT25265AORQ REIMBURSEMENT OF CAUTIONFEESOLOEXHIBITIONNIPTransfer from ILORIN INNOVATION HUB LTD t"/>
    <s v="Security deposit"/>
    <x v="8"/>
    <n v="100000"/>
  </r>
  <r>
    <d v="2025-09-22T00:00:00"/>
    <x v="4"/>
    <s v="000MOBT25265AORQ REIMBURSEMENT OF CAUTIONFEESOLOEXHIBITIONNIPTransfer from ILORIN INNOVATION HUB LTD t"/>
    <s v="Bank charges"/>
    <x v="1"/>
    <n v="50"/>
  </r>
  <r>
    <d v="2025-09-22T00:00:00"/>
    <x v="4"/>
    <s v="000MOBT25265AORQ REIMBURSEMENT OF CAUTIONFEESOLOEXHIBITIONNIPTransfer from ILORIN INNOVATION HUB LTD t"/>
    <s v="Bank charges"/>
    <x v="1"/>
    <n v="3.75"/>
  </r>
  <r>
    <d v="2025-09-23T00:00:00"/>
    <x v="4"/>
    <s v="016NIPO252660011 NIP-BNG PYT FOR PURCHASE OF 20UNITS OF 200WSOLAR STREET LIGHT"/>
    <s v="Repairs and maintenance"/>
    <x v="12"/>
    <n v="1548000"/>
  </r>
  <r>
    <d v="2025-09-23T00:00:00"/>
    <x v="4"/>
    <s v="016NIPC252660008 NIP Charge-BNGPYT FOR PURCHASE OF 20UNITS OF 200W SOLAR STREET LIGHT"/>
    <s v="Bank charges"/>
    <x v="13"/>
    <n v="50"/>
  </r>
  <r>
    <d v="2025-09-23T00:00:00"/>
    <x v="4"/>
    <s v="016VATP252660008 NIPCharge VAT-BNG PYTFORPURCHASEOF20UNITSOF200W SOLAR STREET LIGHT"/>
    <s v="Bank charges"/>
    <x v="13"/>
    <n v="3.75"/>
  </r>
  <r>
    <d v="2025-09-23T00:00:00"/>
    <x v="4"/>
    <s v="016NIPT252660185 NIP TRSF FROMMOAJ MEDIA CONSULT webAppRefund To PREMIUMTRUST BANK ILORIN TECH PARK"/>
    <s v="Refund"/>
    <x v="8"/>
    <n v="-100000"/>
  </r>
  <r>
    <d v="2025-09-23T00:00:00"/>
    <x v="4"/>
    <s v="016EMTL252660072 ELECTRONIC MONEY TRANSFER LEVY"/>
    <s v="Bank charges"/>
    <x v="1"/>
    <n v="50"/>
  </r>
  <r>
    <d v="2025-09-24T00:00:00"/>
    <x v="4"/>
    <s v="016NIPO252670019 NIP-BNG PYT FOR PURCHSE OF 30 UNITS OF CHAIRS"/>
    <s v="Stationery and Office Supplies"/>
    <x v="2"/>
    <n v="2350000"/>
  </r>
  <r>
    <d v="2025-09-24T00:00:00"/>
    <x v="4"/>
    <s v="016NIPC252670019 NIP Charge-BNGPYT FOR PURCHSE OF 30 UNITS OF CHAIRS"/>
    <s v="Bank charges"/>
    <x v="1"/>
    <n v="50"/>
  </r>
  <r>
    <d v="2025-09-24T00:00:00"/>
    <x v="4"/>
    <s v="016VATP252670019 NIPCharge VAT-BNG PYT FOR PURCHSE OF 30 UNITS OF CHAIRS"/>
    <s v="Bank charges"/>
    <x v="1"/>
    <n v="3.75"/>
  </r>
  <r>
    <d v="2025-09-24T00:00:00"/>
    <x v="4"/>
    <s v="000MOBT252678487 PAYMENT FOR REPLACEMENT OF DOOR CYLINDERS NIP Transfer from ILORIN INNOVATION HUB LTD"/>
    <s v="Repairs and maintenance"/>
    <x v="12"/>
    <n v="52000"/>
  </r>
  <r>
    <d v="2025-09-24T00:00:00"/>
    <x v="4"/>
    <s v="000MOBT252678487 PAYMENT FOR REPLACEMENT OF DOOR CYLINDERS NIP Transfer from ILORIN INNOVATION HUB LTD"/>
    <s v="Bank charges"/>
    <x v="1"/>
    <n v="50"/>
  </r>
  <r>
    <d v="2025-09-24T00:00:00"/>
    <x v="4"/>
    <s v="000MOBT252678487 PAYMENT FOR REPLACEMENT OF DOOR CYLINDERS NIP Transfer from ILORIN INNOVATION HUB LTD"/>
    <s v="Bank charges"/>
    <x v="1"/>
    <n v="3.75"/>
  </r>
  <r>
    <d v="2025-09-25T00:00:00"/>
    <x v="4"/>
    <s v="016NEFO252680001 NEFT CREDIT-IIH SALARY SEPT 2025"/>
    <s v="Salaries and Wages"/>
    <x v="7"/>
    <n v="158172.20000000001"/>
  </r>
  <r>
    <d v="2025-09-25T00:00:00"/>
    <x v="4"/>
    <s v="016NEFC252680001NEFTCREDITCHARGE IIH SALARY SEPT 2025"/>
    <s v="Bank charges"/>
    <x v="1"/>
    <n v="50"/>
  </r>
  <r>
    <d v="2025-09-25T00:00:00"/>
    <x v="4"/>
    <s v="016VATO252680001 NEFT CREDIT CHARGE VAT - IIH SALARY SEPT 2025"/>
    <s v="Bank charges"/>
    <x v="1"/>
    <n v="3.75"/>
  </r>
  <r>
    <d v="2025-09-25T00:00:00"/>
    <x v="4"/>
    <s v="016NEFO252680002 NEFT CREDIT-IIH SALARY SEPT 2025"/>
    <s v="Salaries and Wages"/>
    <x v="7"/>
    <n v="283172.2"/>
  </r>
  <r>
    <d v="2025-09-25T00:00:00"/>
    <x v="4"/>
    <s v="016NEFC252680002NEFTCREDITCHARGE IIH SALARY SEPT 2025"/>
    <s v="Bank charges"/>
    <x v="1"/>
    <n v="50"/>
  </r>
  <r>
    <d v="2025-09-25T00:00:00"/>
    <x v="4"/>
    <s v="016VATO252680002 NEFT CREDIT CHARGE VAT - IIH SALARY SEPT 2025"/>
    <s v="Bank charges"/>
    <x v="1"/>
    <n v="3.75"/>
  </r>
  <r>
    <d v="2025-09-25T00:00:00"/>
    <x v="4"/>
    <s v="016NEFO252680003 NEFT CREDIT-IIH SALARY SEPT 2025"/>
    <s v="Salaries and Wages"/>
    <x v="7"/>
    <n v="283172.2"/>
  </r>
  <r>
    <d v="2025-09-25T00:00:00"/>
    <x v="4"/>
    <s v="016NEFC252680003NEFTCREDITCHARGE IIH SALARY SEPT 2025"/>
    <s v="Bank charges"/>
    <x v="1"/>
    <n v="50"/>
  </r>
  <r>
    <d v="2025-09-25T00:00:00"/>
    <x v="4"/>
    <s v="016VATO252680003 NEFT CREDIT CHARGE VAT - IIH SALARY SEPT 2025"/>
    <s v="Bank charges"/>
    <x v="1"/>
    <n v="3.75"/>
  </r>
  <r>
    <d v="2025-09-25T00:00:00"/>
    <x v="4"/>
    <s v="016NEFO252680004 NEFT CREDIT-IIH SALARY SEPT 2025"/>
    <s v="Salaries and Wages"/>
    <x v="7"/>
    <n v="140171.67000000001"/>
  </r>
  <r>
    <d v="2025-09-25T00:00:00"/>
    <x v="4"/>
    <s v="016NEFC252680004NEFTCREDITCHARGE IIH SALARY SEPT 2025"/>
    <s v="Bank charges"/>
    <x v="1"/>
    <n v="50"/>
  </r>
  <r>
    <d v="2025-09-25T00:00:00"/>
    <x v="4"/>
    <s v="016VATO252680004 NEFT CREDIT CHARGE VAT - IIH SALARY SEPT 2025"/>
    <s v="Bank charges"/>
    <x v="1"/>
    <n v="3.75"/>
  </r>
  <r>
    <d v="2025-09-25T00:00:00"/>
    <x v="4"/>
    <s v="016NEFO252680005 NEFT CREDIT-IIH SALARY SEPT 2025"/>
    <s v="Salaries and Wages"/>
    <x v="7"/>
    <n v="44432.33"/>
  </r>
  <r>
    <d v="2025-09-25T00:00:00"/>
    <x v="4"/>
    <s v="016NEFC252680005NEFTCREDITCHARGE IIH SALARY SEPT 2025"/>
    <s v="Bank charges"/>
    <x v="1"/>
    <n v="25"/>
  </r>
  <r>
    <d v="2025-09-25T00:00:00"/>
    <x v="4"/>
    <s v="016VATO252680005 NEFT CREDIT CHARGE VAT - IIH SALARY SEPT 2025"/>
    <s v="Bank charges"/>
    <x v="1"/>
    <n v="1.8800000000046566"/>
  </r>
  <r>
    <d v="2025-09-25T00:00:00"/>
    <x v="4"/>
    <s v="016NEFO252680006 NEFT CREDIT-IIH SALARY SEPT 2025"/>
    <s v="Salaries and Wages"/>
    <x v="7"/>
    <n v="44432.33"/>
  </r>
  <r>
    <d v="2025-09-25T00:00:00"/>
    <x v="4"/>
    <s v="016NEFC252680006NEFTCREDITCHARGE IIH SALARY SEPT 2025"/>
    <s v="Bank charges"/>
    <x v="1"/>
    <n v="25"/>
  </r>
  <r>
    <d v="2025-09-25T00:00:00"/>
    <x v="4"/>
    <s v="016VATO252680006 NEFT CREDIT CHARGE VAT - IIH SALARY SEPT 2025"/>
    <s v="Bank charges"/>
    <x v="1"/>
    <n v="1.8800000000046566"/>
  </r>
  <r>
    <d v="2025-09-25T00:00:00"/>
    <x v="4"/>
    <s v="016NEFO252680007 NEFT CREDIT-IIH SALARY SEPT 2025"/>
    <s v="Salaries and Wages"/>
    <x v="7"/>
    <n v="44432.33"/>
  </r>
  <r>
    <d v="2025-09-25T00:00:00"/>
    <x v="4"/>
    <s v="016NEFC252680007NEFTCREDITCHARGE IIH SALARY SEPT 2025"/>
    <s v="Bank charges"/>
    <x v="1"/>
    <n v="25"/>
  </r>
  <r>
    <d v="2025-09-25T00:00:00"/>
    <x v="4"/>
    <s v="016VATO252680007 NEFT CREDIT CHARGE VAT - IIH SALARY SEPT 2025"/>
    <s v="Bank charges"/>
    <x v="1"/>
    <n v="1.8800000000046566"/>
  </r>
  <r>
    <d v="2025-09-25T00:00:00"/>
    <x v="4"/>
    <s v="016NEFO252680008 NEFT CREDIT-IIH SALARY SEPT 2025"/>
    <s v="Salaries and Wages"/>
    <x v="7"/>
    <n v="486614.6"/>
  </r>
  <r>
    <d v="2025-09-25T00:00:00"/>
    <x v="4"/>
    <s v="016NEFC252680008NEFTCREDITCHARGE IIH SALARY SEPT 2025"/>
    <s v="Bank charges"/>
    <x v="1"/>
    <n v="50"/>
  </r>
  <r>
    <d v="2025-09-25T00:00:00"/>
    <x v="4"/>
    <s v="016VATO252680008 NEFT CREDIT CHARGE VAT - IIH SALARY SEPT 2025"/>
    <s v="Bank charges"/>
    <x v="1"/>
    <n v="3.75"/>
  </r>
  <r>
    <d v="2025-09-25T00:00:00"/>
    <x v="4"/>
    <s v="016NEFO252680009 NEFT CREDIT-IIH SALARY SEPT 2025"/>
    <s v="Salaries and Wages"/>
    <x v="7"/>
    <n v="283172.2"/>
  </r>
  <r>
    <d v="2025-09-25T00:00:00"/>
    <x v="4"/>
    <s v="016NEFC252680009NEFTCREDITCHARGE IIH SALARY SEPT 2025"/>
    <s v="Bank charges"/>
    <x v="1"/>
    <n v="50"/>
  </r>
  <r>
    <d v="2025-09-25T00:00:00"/>
    <x v="4"/>
    <s v="016VATO252680009 NEFT CREDIT CHARGE VAT - IIH SALARY SEPT 2025"/>
    <s v="Bank charges"/>
    <x v="1"/>
    <n v="3.75"/>
  </r>
  <r>
    <d v="2025-09-25T00:00:00"/>
    <x v="4"/>
    <s v="016NEFO252680010 NEFT CREDIT-IIH SALARY SEPT 2025"/>
    <s v="Salaries and Wages"/>
    <x v="7"/>
    <n v="283172.2"/>
  </r>
  <r>
    <d v="2025-09-25T00:00:00"/>
    <x v="4"/>
    <s v="016NEFC252680010NEFTCREDITCHARGE IIH SALARY SEPT 2025"/>
    <s v="Bank charges"/>
    <x v="1"/>
    <n v="50"/>
  </r>
  <r>
    <d v="2025-09-25T00:00:00"/>
    <x v="4"/>
    <s v="016VATO252680010 NEFT CREDIT CHARGE VAT - IIH SALARY SEPT 2025"/>
    <s v="Bank charges"/>
    <x v="1"/>
    <n v="3.75"/>
  </r>
  <r>
    <d v="2025-09-25T00:00:00"/>
    <x v="4"/>
    <s v="016NEFO252680011 NEFT CREDIT-IIH SALARY SEPT 2025"/>
    <s v="Salaries and Wages"/>
    <x v="7"/>
    <n v="283172.2"/>
  </r>
  <r>
    <d v="2025-09-25T00:00:00"/>
    <x v="4"/>
    <s v="016NEFC252680011NEFTCREDITCHARGE IIH SALARY SEPT 2025"/>
    <s v="Bank charges"/>
    <x v="1"/>
    <n v="50"/>
  </r>
  <r>
    <d v="2025-09-25T00:00:00"/>
    <x v="4"/>
    <s v="016VATO252680011 NEFT CREDIT CHARGE VAT - IIH SALARY SEPT 2025"/>
    <s v="Bank charges"/>
    <x v="1"/>
    <n v="3.75"/>
  </r>
  <r>
    <d v="2025-09-25T00:00:00"/>
    <x v="4"/>
    <s v="016NEFO252680012 NEFT CREDIT-IIH SALARY SEPT 2025"/>
    <s v="Salaries and Wages"/>
    <x v="7"/>
    <n v="140171.67000000001"/>
  </r>
  <r>
    <d v="2025-09-25T00:00:00"/>
    <x v="4"/>
    <s v="016NEFC252680012NEFTCREDITCHARGE IIH SALARY SEPT 2025"/>
    <s v="Bank charges"/>
    <x v="1"/>
    <n v="50"/>
  </r>
  <r>
    <d v="2025-09-25T00:00:00"/>
    <x v="4"/>
    <s v="016VATO252680012 NEFT CREDIT CHARGE VAT - IIH SALARY SEPT 2025"/>
    <s v="Bank charges"/>
    <x v="1"/>
    <n v="3.75"/>
  </r>
  <r>
    <d v="2025-09-25T00:00:00"/>
    <x v="4"/>
    <s v="016NEFO252680013 NEFT CREDIT-IIH SALARY SEPT 2025"/>
    <s v="Salaries and Wages"/>
    <x v="7"/>
    <n v="52835"/>
  </r>
  <r>
    <d v="2025-09-25T00:00:00"/>
    <x v="4"/>
    <s v="016NEFC252680013NEFTCREDITCHARGE IIH SALARY SEPT 2025"/>
    <s v="Bank charges"/>
    <x v="1"/>
    <n v="50"/>
  </r>
  <r>
    <d v="2025-09-25T00:00:00"/>
    <x v="4"/>
    <s v="016VATO252680013 NEFT CREDIT CHARGE VAT - IIH SALARY SEPT 2025"/>
    <s v="Bank charges"/>
    <x v="1"/>
    <n v="3.75"/>
  </r>
  <r>
    <d v="2025-09-25T00:00:00"/>
    <x v="4"/>
    <s v="016NEFO252680014 NEFT CREDIT-IIH SALARY SEPT 2025"/>
    <s v="Salaries and Wages"/>
    <x v="7"/>
    <n v="52835"/>
  </r>
  <r>
    <d v="2025-09-25T00:00:00"/>
    <x v="4"/>
    <s v="016NEFC252680014NEFTCREDITCHARGE IIH SALARY SEPT 2025"/>
    <s v="Bank charges"/>
    <x v="1"/>
    <n v="50"/>
  </r>
  <r>
    <d v="2025-09-25T00:00:00"/>
    <x v="4"/>
    <s v="016VATO252680014 NEFT CREDIT CHARGE VAT - IIH SALARY SEPT 2025"/>
    <s v="Bank charges"/>
    <x v="1"/>
    <n v="3.75"/>
  </r>
  <r>
    <d v="2025-09-25T00:00:00"/>
    <x v="4"/>
    <s v="016NEFO252680015 NEFT CREDIT-IIH SALARY SEPT 2025"/>
    <s v="Salaries and Wages"/>
    <x v="7"/>
    <n v="44432.33"/>
  </r>
  <r>
    <d v="2025-09-25T00:00:00"/>
    <x v="4"/>
    <s v="016NEFC252680015NEFTCREDITCHARGE IIH SALARY SEPT 2025"/>
    <s v="Bank charges"/>
    <x v="1"/>
    <n v="25"/>
  </r>
  <r>
    <d v="2025-09-25T00:00:00"/>
    <x v="4"/>
    <s v="016VATO252680015 NEFT CREDIT CHARGE VAT - IIH SALARY SEPT 2025"/>
    <s v="Bank charges"/>
    <x v="1"/>
    <n v="1.8800000000046566"/>
  </r>
  <r>
    <d v="2025-09-25T00:00:00"/>
    <x v="4"/>
    <s v="016NEFO252680016 NEFT CREDIT-IIH SALARY SEPT 2025"/>
    <s v="Salaries and Wages"/>
    <x v="7"/>
    <n v="283172.2"/>
  </r>
  <r>
    <d v="2025-09-25T00:00:00"/>
    <x v="4"/>
    <s v="016NEFC252680016NEFTCREDITCHARGE IIH SALARY SEPT 2025"/>
    <s v="Bank charges"/>
    <x v="1"/>
    <n v="50"/>
  </r>
  <r>
    <d v="2025-09-25T00:00:00"/>
    <x v="4"/>
    <s v="016VATO252680016 NEFT CREDIT CHARGE VAT - IIH SALARY SEPT 2025"/>
    <s v="Bank charges"/>
    <x v="1"/>
    <n v="3.75"/>
  </r>
  <r>
    <d v="2025-09-25T00:00:00"/>
    <x v="4"/>
    <s v="016NEFO252680017 NEFT CREDIT-IIH SALARY SEPT 2025"/>
    <s v="Salaries and Wages"/>
    <x v="7"/>
    <n v="4019028.36"/>
  </r>
  <r>
    <d v="2025-09-25T00:00:00"/>
    <x v="4"/>
    <s v="016NEFC252680017NEFTCREDITCHARGE IIH SALARY SEPT 2025"/>
    <s v="Bank charges"/>
    <x v="1"/>
    <n v="50"/>
  </r>
  <r>
    <d v="2025-09-25T00:00:00"/>
    <x v="4"/>
    <s v="016VATO252680017 NEFT CREDIT CHARGE VAT - IIH SALARY SEPT 2025"/>
    <s v="Bank charges"/>
    <x v="1"/>
    <n v="3.75"/>
  </r>
  <r>
    <d v="2025-09-25T00:00:00"/>
    <x v="4"/>
    <s v="016NEFO252680018 NEFT CREDIT-IIH SALARY SEPT 2025"/>
    <s v="Salaries and Wages"/>
    <x v="7"/>
    <n v="283172.2"/>
  </r>
  <r>
    <d v="2025-09-25T00:00:00"/>
    <x v="4"/>
    <s v="016NEFC252680018NEFTCREDITCHARGE IIH SALARY SEPT 2025"/>
    <s v="Bank charges"/>
    <x v="1"/>
    <n v="50"/>
  </r>
  <r>
    <d v="2025-09-25T00:00:00"/>
    <x v="4"/>
    <s v="016VATO252680018 NEFT CREDIT CHARGE VAT - IIH SALARY SEPT 2025"/>
    <s v="Bank charges"/>
    <x v="1"/>
    <n v="3.75"/>
  </r>
  <r>
    <d v="2025-09-25T00:00:00"/>
    <x v="4"/>
    <s v="016NEFO252680019 NEFT CREDIT-IIH SALARY SEPT 2025"/>
    <s v="Salaries and Wages"/>
    <x v="7"/>
    <n v="2295519.56"/>
  </r>
  <r>
    <d v="2025-09-25T00:00:00"/>
    <x v="4"/>
    <s v="016NEFC252680019NEFTCREDITCHARGE IIH SALARY SEPT 2025"/>
    <s v="Bank charges"/>
    <x v="1"/>
    <n v="50"/>
  </r>
  <r>
    <d v="2025-09-25T00:00:00"/>
    <x v="4"/>
    <s v="016VATO252680019 NEFT CREDIT CHARGE VAT - IIH SALARY SEPT 2025"/>
    <s v="Bank charges"/>
    <x v="1"/>
    <n v="3.75"/>
  </r>
  <r>
    <d v="2025-09-25T00:00:00"/>
    <x v="4"/>
    <s v="016NEFO252680020 NEFT CREDIT-IIH SALARY SEPT 2025"/>
    <s v="Salaries and Wages"/>
    <x v="7"/>
    <n v="52835"/>
  </r>
  <r>
    <d v="2025-09-25T00:00:00"/>
    <x v="4"/>
    <s v="016NEFC252680020NEFTCREDITCHARGE IIH SALARY SEPT 2025"/>
    <s v="Bank charges"/>
    <x v="1"/>
    <n v="50"/>
  </r>
  <r>
    <d v="2025-09-25T00:00:00"/>
    <x v="4"/>
    <s v="016VATO252680020 NEFT CREDIT CHARGE VAT - IIH SALARY SEPT 2025"/>
    <s v="Bank charges"/>
    <x v="1"/>
    <n v="3.75"/>
  </r>
  <r>
    <d v="2025-09-25T00:00:00"/>
    <x v="4"/>
    <s v="016NEFO252680021 NEFT CREDIT-IIH SALARY SEPT 2025"/>
    <s v="Salaries and Wages"/>
    <x v="7"/>
    <n v="140171.67000000001"/>
  </r>
  <r>
    <d v="2025-09-25T00:00:00"/>
    <x v="4"/>
    <s v="016NEFC252680021NEFTCREDITCHARGE IIH SALARY SEPT 2025"/>
    <s v="Bank charges"/>
    <x v="1"/>
    <n v="50"/>
  </r>
  <r>
    <d v="2025-09-25T00:00:00"/>
    <x v="4"/>
    <s v="016VATO252680021 NEFT CREDIT CHARGE VAT - IIH SALARY SEPT 2025"/>
    <s v="Bank charges"/>
    <x v="1"/>
    <n v="3.75"/>
  </r>
  <r>
    <d v="2025-09-25T00:00:00"/>
    <x v="4"/>
    <s v="016NEFO252680022 NEFT CREDIT-IIH SALARY SEPT 2025"/>
    <s v="Salaries and Wages"/>
    <x v="7"/>
    <n v="44432.33"/>
  </r>
  <r>
    <d v="2025-09-25T00:00:00"/>
    <x v="4"/>
    <s v="016NEFC252680022NEFTCREDITCHARGE IIH SALARY SEPT 2025"/>
    <s v="Bank charges"/>
    <x v="1"/>
    <n v="25"/>
  </r>
  <r>
    <d v="2025-09-25T00:00:00"/>
    <x v="4"/>
    <s v="016VATO252680022 NEFT CREDIT CHARGE VAT - IIH SALARY SEPT 2025"/>
    <s v="Bank charges"/>
    <x v="1"/>
    <n v="1.8800000000046566"/>
  </r>
  <r>
    <d v="2025-09-25T00:00:00"/>
    <x v="4"/>
    <s v="016NEFO252680023 NEFT CREDIT-IIH SALARY SEPT 2025"/>
    <s v="Salaries and Wages"/>
    <x v="7"/>
    <n v="44432.33"/>
  </r>
  <r>
    <d v="2025-09-25T00:00:00"/>
    <x v="4"/>
    <s v="016NEFC252680023NEFTCREDITCHARGE IIH SALARY SEPT 2025"/>
    <s v="Bank charges"/>
    <x v="1"/>
    <n v="25"/>
  </r>
  <r>
    <d v="2025-09-25T00:00:00"/>
    <x v="4"/>
    <s v="016VATO252680023 NEFT CREDIT CHARGE VAT - IIH SALARY SEPT 2025"/>
    <s v="Bank charges"/>
    <x v="1"/>
    <n v="1.8800000000046566"/>
  </r>
  <r>
    <d v="2025-09-25T00:00:00"/>
    <x v="4"/>
    <s v="016NEFO252680024 NEFT CREDIT-IIH SALARY SEPT 2025"/>
    <s v="Salaries and Wages"/>
    <x v="7"/>
    <n v="71025"/>
  </r>
  <r>
    <d v="2025-09-25T00:00:00"/>
    <x v="4"/>
    <s v="016NEFC252680024NEFTCREDITCHARGE IIH SALARY SEPT 2025"/>
    <s v="Bank charges"/>
    <x v="1"/>
    <n v="50"/>
  </r>
  <r>
    <d v="2025-09-25T00:00:00"/>
    <x v="4"/>
    <s v="016VATO252680024 NEFT CREDIT CHARGE VAT - IIH SALARY SEPT 2025"/>
    <s v="Bank charges"/>
    <x v="1"/>
    <n v="3.75"/>
  </r>
  <r>
    <d v="2025-09-25T00:00:00"/>
    <x v="4"/>
    <s v="016NEFO252680025 NEFT CREDIT-IIH SALARY SEPT 2025"/>
    <s v="Salaries and Wages"/>
    <x v="7"/>
    <n v="283172.2"/>
  </r>
  <r>
    <d v="2025-09-25T00:00:00"/>
    <x v="4"/>
    <s v="016NEFC252680025NEFTCREDITCHARGE IIH SALARY SEPT 2025"/>
    <s v="Bank charges"/>
    <x v="1"/>
    <n v="50"/>
  </r>
  <r>
    <d v="2025-09-25T00:00:00"/>
    <x v="4"/>
    <s v="016VATO252680025 NEFT CREDIT CHARGE VAT - IIH SALARY SEPT 2025"/>
    <s v="Bank charges"/>
    <x v="1"/>
    <n v="3.75"/>
  </r>
  <r>
    <d v="2025-09-25T00:00:00"/>
    <x v="4"/>
    <s v="016NEFO252680026 NEFT CREDIT-IIH SALARY SEPT 2025"/>
    <s v="Salaries and Wages"/>
    <x v="7"/>
    <n v="44432.33"/>
  </r>
  <r>
    <d v="2025-09-25T00:00:00"/>
    <x v="4"/>
    <s v="016NEFC252680026NEFTCREDITCHARGE IIH SALARY SEPT 2025"/>
    <s v="Bank charges"/>
    <x v="1"/>
    <n v="25"/>
  </r>
  <r>
    <d v="2025-09-25T00:00:00"/>
    <x v="4"/>
    <s v="016VATO252680026 NEFT CREDIT CHARGE VAT - IIH SALARY SEPT 2025"/>
    <s v="Bank charges"/>
    <x v="1"/>
    <n v="1.8800000000046566"/>
  </r>
  <r>
    <d v="2025-09-25T00:00:00"/>
    <x v="4"/>
    <s v="016NEFO252680027 NEFT CREDIT-IIH SALARY SEPT 2025"/>
    <s v="Salaries and Wages"/>
    <x v="7"/>
    <n v="44432.33"/>
  </r>
  <r>
    <d v="2025-09-25T00:00:00"/>
    <x v="4"/>
    <s v="016NEFC252680027NEFTCREDITCHARGE IIH SALARY SEPT 2025"/>
    <s v="Bank charges"/>
    <x v="1"/>
    <n v="25"/>
  </r>
  <r>
    <d v="2025-09-25T00:00:00"/>
    <x v="4"/>
    <s v="016VATO252680027 NEFT CREDIT CHARGE VAT - IIH SALARY SEPT 2025"/>
    <s v="Bank charges"/>
    <x v="1"/>
    <n v="1.8800000000046566"/>
  </r>
  <r>
    <d v="2025-09-25T00:00:00"/>
    <x v="4"/>
    <s v="016NEFO252680028NEFTCREDIT-IIHSEPT 2025 ALLOWANCE"/>
    <s v="Salaries and Wages"/>
    <x v="7"/>
    <n v="35000"/>
  </r>
  <r>
    <d v="2025-09-25T00:00:00"/>
    <x v="4"/>
    <s v="016NEFC252680028NEFTCREDITCHARGE IIH SEPT 2025 ALLOWANCE"/>
    <s v="Bank charges"/>
    <x v="1"/>
    <n v="25"/>
  </r>
  <r>
    <d v="2025-09-25T00:00:00"/>
    <x v="4"/>
    <s v="016VATO252680028 NEFT CREDIT CHARGE VAT - IIH SEPT 2025 ALLOWANCE"/>
    <s v="Bank charges"/>
    <x v="1"/>
    <n v="1.8800000000046566"/>
  </r>
  <r>
    <d v="2025-09-25T00:00:00"/>
    <x v="4"/>
    <s v="016NEFO252680029NEFTCREDIT-IIHSEPT 2025 ALLOWANCE"/>
    <s v="Salaries and Wages"/>
    <x v="7"/>
    <n v="35000"/>
  </r>
  <r>
    <d v="2025-09-25T00:00:00"/>
    <x v="4"/>
    <s v="016NEFC252680029NEFTCREDITCHARGE IIH SEPT 2025 ALLOWANCE"/>
    <s v="Bank charges"/>
    <x v="1"/>
    <n v="25"/>
  </r>
  <r>
    <d v="2025-09-25T00:00:00"/>
    <x v="4"/>
    <s v="016VATO252680029 NEFT CREDIT CHARGE VAT - IIH SEPT 2025 ALLOWANCE"/>
    <s v="Bank charges"/>
    <x v="1"/>
    <n v="1.8800000000046566"/>
  </r>
  <r>
    <d v="2025-09-25T00:00:00"/>
    <x v="4"/>
    <s v="016NEFO252680030NEFTCREDIT-IIHSEPT 2025 ALLOWANCE"/>
    <s v="Salaries and Wages"/>
    <x v="7"/>
    <n v="35000"/>
  </r>
  <r>
    <d v="2025-09-25T00:00:00"/>
    <x v="4"/>
    <s v="016NEFC252680030NEFTCREDITCHARGE IIH SEPT 2025 ALLOWANCE"/>
    <s v="Bank charges"/>
    <x v="1"/>
    <n v="25"/>
  </r>
  <r>
    <d v="2025-09-25T00:00:00"/>
    <x v="4"/>
    <s v="016VATO252680030 NEFT CREDIT CHARGE VAT - IIH SEPT 2025 ALLOWANCE"/>
    <s v="Bank charges"/>
    <x v="1"/>
    <n v="1.8800000000046566"/>
  </r>
  <r>
    <d v="2025-09-25T00:00:00"/>
    <x v="4"/>
    <s v="016NEFO252680031NEFTCREDIT-IIHSEPT 2025 ALLOWANCE"/>
    <s v="Salaries and Wages"/>
    <x v="7"/>
    <n v="27500"/>
  </r>
  <r>
    <d v="2025-09-25T00:00:00"/>
    <x v="4"/>
    <s v="016NEFC252680031NEFTCREDITCHARGE IIH SEPT 2025 ALLOWANCE"/>
    <s v="Bank charges"/>
    <x v="1"/>
    <n v="25"/>
  </r>
  <r>
    <d v="2025-09-25T00:00:00"/>
    <x v="4"/>
    <s v="016VATO252680031 NEFT CREDIT CHARGE VAT - IIH SEPT 2025 ALLOWANCE"/>
    <s v="Bank charges"/>
    <x v="1"/>
    <n v="1.8800000000046566"/>
  </r>
  <r>
    <d v="2025-09-25T00:00:00"/>
    <x v="4"/>
    <s v="016NEFO252680032NEFTCREDIT-IIHSEPT 2025 ALLOWANCE"/>
    <s v="Salaries and Wages"/>
    <x v="7"/>
    <n v="20000"/>
  </r>
  <r>
    <d v="2025-09-25T00:00:00"/>
    <x v="4"/>
    <s v="016NEFC252680032NEFTCREDITCHARGE IIH SEPT 2025 ALLOWANCE"/>
    <s v="Bank charges"/>
    <x v="1"/>
    <n v="25"/>
  </r>
  <r>
    <d v="2025-09-25T00:00:00"/>
    <x v="4"/>
    <s v="016VATO252680032 NEFT CREDIT CHARGE VAT - IIH SEPT 2025 ALLOWANCE"/>
    <s v="Bank charges"/>
    <x v="1"/>
    <n v="1.8800000000046566"/>
  </r>
  <r>
    <d v="2025-09-25T00:00:00"/>
    <x v="4"/>
    <s v="016NEFO252680033NEFTCREDIT-IIHSEPT 2025 ALLOWANCE"/>
    <s v="Salaries and Wages"/>
    <x v="7"/>
    <n v="20000"/>
  </r>
  <r>
    <d v="2025-09-25T00:00:00"/>
    <x v="4"/>
    <s v="016NEFC252680033NEFTCREDITCHARGE IIH SEPT 2025 ALLOWANCE"/>
    <s v="Bank charges"/>
    <x v="1"/>
    <n v="25"/>
  </r>
  <r>
    <d v="2025-09-25T00:00:00"/>
    <x v="4"/>
    <s v="016VATO252680033 NEFT CREDIT CHARGE VAT - IIH SEPT 2025 ALLOWANCE"/>
    <s v="Bank charges"/>
    <x v="1"/>
    <n v="1.8800000000046566"/>
  </r>
  <r>
    <d v="2025-09-25T00:00:00"/>
    <x v="4"/>
    <s v="016NEFO252680034NEFTCREDIT-IIHSEPT 2025 ALLOWANCE"/>
    <s v="Salaries and Wages"/>
    <x v="7"/>
    <n v="20000"/>
  </r>
  <r>
    <d v="2025-09-25T00:00:00"/>
    <x v="4"/>
    <s v="016NEFC252680034NEFTCREDITCHARGE IIH SEPT 2025 ALLOWANCE"/>
    <s v="Bank charges"/>
    <x v="1"/>
    <n v="25"/>
  </r>
  <r>
    <d v="2025-09-25T00:00:00"/>
    <x v="4"/>
    <s v="016VATO252680034 NEFT CREDIT CHARGE VAT - IIH SEPT 2025 ALLOWANCE"/>
    <s v="Bank charges"/>
    <x v="1"/>
    <n v="1.8800000000046566"/>
  </r>
  <r>
    <d v="2025-09-25T00:00:00"/>
    <x v="4"/>
    <s v="016NEFO252680035NEFTCREDIT-IIHSEPT 2025 ALLOWANCE"/>
    <s v="Salaries and Wages"/>
    <x v="7"/>
    <n v="35000"/>
  </r>
  <r>
    <d v="2025-09-25T00:00:00"/>
    <x v="4"/>
    <s v="016NEFC252680035NEFTCREDITCHARGE IIH SEPT 2025 ALLOWANCE"/>
    <s v="Bank charges"/>
    <x v="1"/>
    <n v="25"/>
  </r>
  <r>
    <d v="2025-09-25T00:00:00"/>
    <x v="4"/>
    <s v="016VATO252680035 NEFT CREDIT CHARGE VAT - IIH SEPT 2025 ALLOWANCE"/>
    <s v="Bank charges"/>
    <x v="1"/>
    <n v="1.8800000000046566"/>
  </r>
  <r>
    <d v="2025-09-25T00:00:00"/>
    <x v="4"/>
    <s v="016NEFO252680036NEFTCREDIT-IIHSEPT 2025 ALLOWANCE"/>
    <s v="Salaries and Wages"/>
    <x v="7"/>
    <n v="35000"/>
  </r>
  <r>
    <d v="2025-09-25T00:00:00"/>
    <x v="4"/>
    <s v="016NEFC252680036NEFTCREDITCHARGE IIH SEPT 2025 ALLOWANCE"/>
    <s v="Bank charges"/>
    <x v="1"/>
    <n v="25"/>
  </r>
  <r>
    <d v="2025-09-25T00:00:00"/>
    <x v="4"/>
    <s v="016VATO252680036 NEFT CREDIT CHARGE VAT - IIH SEPT 2025 ALLOWANCE"/>
    <s v="Bank charges"/>
    <x v="1"/>
    <n v="1.8800000000046566"/>
  </r>
  <r>
    <d v="2025-09-25T00:00:00"/>
    <x v="4"/>
    <s v="016NEFO252680037NEFTCREDIT-IIHSEPT 2025 ALLOWANCE"/>
    <s v="Salaries and Wages"/>
    <x v="7"/>
    <n v="35000"/>
  </r>
  <r>
    <d v="2025-09-25T00:00:00"/>
    <x v="4"/>
    <s v="016NEFC252680037NEFTCREDITCHARGE IIH SEPT 2025 ALLOWANCE"/>
    <s v="Bank charges"/>
    <x v="1"/>
    <n v="25"/>
  </r>
  <r>
    <d v="2025-09-25T00:00:00"/>
    <x v="4"/>
    <s v="016VATO252680037 NEFT CREDIT CHARGE VAT - IIH SEPT 2025 ALLOWANCE"/>
    <s v="Bank charges"/>
    <x v="1"/>
    <n v="1.8800000000046566"/>
  </r>
  <r>
    <d v="2025-09-25T00:00:00"/>
    <x v="4"/>
    <s v="016NEFO252680038NEFTCREDIT-IIHSEPT 2025 ALLOWANCE"/>
    <s v="Salaries and Wages"/>
    <x v="7"/>
    <n v="35000"/>
  </r>
  <r>
    <d v="2025-09-25T00:00:00"/>
    <x v="4"/>
    <s v="016NEFC252680038NEFTCREDITCHARGE IIH SEPT 2025 ALLOWANCE"/>
    <s v="Bank charges"/>
    <x v="1"/>
    <n v="25"/>
  </r>
  <r>
    <d v="2025-09-25T00:00:00"/>
    <x v="4"/>
    <s v="016VATO252680038 NEFT CREDIT CHARGE VAT - IIH SEPT 2025 ALLOWANCE"/>
    <s v="Bank charges"/>
    <x v="1"/>
    <n v="1.8800000000046566"/>
  </r>
  <r>
    <d v="2025-09-25T00:00:00"/>
    <x v="4"/>
    <s v="016NEFO252680039NEFTCREDIT-IIHSEPT 2025 ALLOWANCE"/>
    <s v="Salaries and Wages"/>
    <x v="7"/>
    <n v="27500"/>
  </r>
  <r>
    <d v="2025-09-25T00:00:00"/>
    <x v="4"/>
    <s v="016NEFC252680039NEFTCREDITCHARGE IIH SEPT 2025 ALLOWANCE"/>
    <s v="Bank charges"/>
    <x v="1"/>
    <n v="25"/>
  </r>
  <r>
    <d v="2025-09-25T00:00:00"/>
    <x v="4"/>
    <s v="016VATO252680039 NEFT CREDIT CHARGE VAT - IIH SEPT 2025 ALLOWANCE"/>
    <s v="Bank charges"/>
    <x v="1"/>
    <n v="1.8800000000046566"/>
  </r>
  <r>
    <d v="2025-09-25T00:00:00"/>
    <x v="4"/>
    <s v="016NEFO252680040NEFTCREDIT-IIHSEPT 2025 ALLOWANCE"/>
    <s v="Salaries and Wages"/>
    <x v="7"/>
    <n v="20000"/>
  </r>
  <r>
    <d v="2025-09-25T00:00:00"/>
    <x v="4"/>
    <s v="016NEFC252680040NEFTCREDITCHARGE IIH SEPT 2025 ALLOWANCE"/>
    <s v="Bank charges"/>
    <x v="1"/>
    <n v="25"/>
  </r>
  <r>
    <d v="2025-09-25T00:00:00"/>
    <x v="4"/>
    <s v="016VATO252680040 NEFT CREDIT CHARGE VAT - IIH SEPT 2025 ALLOWANCE"/>
    <s v="Bank charges"/>
    <x v="1"/>
    <n v="1.8800000000046566"/>
  </r>
  <r>
    <d v="2025-09-25T00:00:00"/>
    <x v="4"/>
    <s v="016NEFO252680041NEFTCREDIT-IIHSEPT 2025 ALLOWANCE"/>
    <s v="Salaries and Wages"/>
    <x v="7"/>
    <n v="20000"/>
  </r>
  <r>
    <d v="2025-09-25T00:00:00"/>
    <x v="4"/>
    <s v="016NEFC252680041NEFTCREDITCHARGE IIH SEPT 2025 ALLOWANCE"/>
    <s v="Bank charges"/>
    <x v="1"/>
    <n v="25"/>
  </r>
  <r>
    <d v="2025-09-25T00:00:00"/>
    <x v="4"/>
    <s v="016VATO252680041 NEFT CREDIT CHARGE VAT - IIH SEPT 2025 ALLOWANCE"/>
    <s v="Bank charges"/>
    <x v="1"/>
    <n v="1.8800000000046566"/>
  </r>
  <r>
    <d v="2025-09-25T00:00:00"/>
    <x v="4"/>
    <s v="016NEFO252680042NEFTCREDIT-IIHSEPT 2025 ALLOWANCE"/>
    <s v="Salaries and Wages"/>
    <x v="7"/>
    <n v="20000"/>
  </r>
  <r>
    <d v="2025-09-25T00:00:00"/>
    <x v="4"/>
    <s v="016NEFC252680042NEFTCREDITCHARGE IIH SEPT 2025 ALLOWANCE"/>
    <s v="Bank charges"/>
    <x v="1"/>
    <n v="25"/>
  </r>
  <r>
    <d v="2025-09-25T00:00:00"/>
    <x v="4"/>
    <s v="016VATO252680042 NEFT CREDIT CHARGE VAT - IIH SEPT 2025 ALLOWANCE"/>
    <s v="Bank charges"/>
    <x v="1"/>
    <n v="1.8800000000046566"/>
  </r>
  <r>
    <d v="2025-09-25T00:00:00"/>
    <x v="4"/>
    <s v="016NEFO252680043NEFTCREDIT-IIHSEPT 2025 ALLOWANCE"/>
    <s v="Salaries and Wages"/>
    <x v="7"/>
    <n v="35000"/>
  </r>
  <r>
    <d v="2025-09-25T00:00:00"/>
    <x v="4"/>
    <s v="016NEFC252680043NEFTCREDITCHARGE IIH SEPT 2025 ALLOWANCE"/>
    <s v="Bank charges"/>
    <x v="1"/>
    <n v="25"/>
  </r>
  <r>
    <d v="2025-09-25T00:00:00"/>
    <x v="4"/>
    <s v="016VATO252680043 NEFT CREDIT CHARGE VAT - IIH SEPT 2025 ALLOWANCE"/>
    <s v="Bank charges"/>
    <x v="1"/>
    <n v="1.8800000000046566"/>
  </r>
  <r>
    <d v="2025-09-25T00:00:00"/>
    <x v="4"/>
    <s v="016NEFO252680044NEFTCREDIT-IIHSEPT 2025 ALLOWANCE"/>
    <s v="Salaries and Wages"/>
    <x v="7"/>
    <n v="70000"/>
  </r>
  <r>
    <d v="2025-09-25T00:00:00"/>
    <x v="4"/>
    <s v="016NEFC252680044NEFTCREDITCHARGE IIH SEPT 2025 ALLOWANCE"/>
    <s v="Bank charges"/>
    <x v="1"/>
    <n v="50"/>
  </r>
  <r>
    <d v="2025-09-25T00:00:00"/>
    <x v="4"/>
    <s v="016VATO252680044 NEFT CREDIT CHARGE VAT - IIH SEPT 2025 ALLOWANCE"/>
    <s v="Bank charges"/>
    <x v="1"/>
    <n v="3.75"/>
  </r>
  <r>
    <d v="2025-09-25T00:00:00"/>
    <x v="4"/>
    <s v="016NEFO252680045NEFTCREDIT-IIHSEPT 2025 ALLOWANCE"/>
    <s v="Salaries and Wages"/>
    <x v="7"/>
    <n v="35000"/>
  </r>
  <r>
    <d v="2025-09-25T00:00:00"/>
    <x v="4"/>
    <s v="016NEFC252680045NEFTCREDITCHARGE IIH SEPT 2025 ALLOWANCE"/>
    <s v="Bank charges"/>
    <x v="1"/>
    <n v="25"/>
  </r>
  <r>
    <d v="2025-09-25T00:00:00"/>
    <x v="4"/>
    <s v="016VATO252680045 NEFT CREDIT CHARGE VAT - IIH SEPT 2025 ALLOWANCE"/>
    <s v="Bank charges"/>
    <x v="1"/>
    <n v="1.8800000000046566"/>
  </r>
  <r>
    <d v="2025-09-25T00:00:00"/>
    <x v="4"/>
    <s v="016NEFO252680046NEFTCREDIT-IIHSEPT 2025 ALLOWANCE"/>
    <s v="Salaries and Wages"/>
    <x v="7"/>
    <n v="70000"/>
  </r>
  <r>
    <d v="2025-09-25T00:00:00"/>
    <x v="4"/>
    <s v="016NEFC252680046NEFTCREDITCHARGE IIH SEPT 2025 ALLOWANCE"/>
    <s v="Bank charges"/>
    <x v="1"/>
    <n v="50"/>
  </r>
  <r>
    <d v="2025-09-25T00:00:00"/>
    <x v="4"/>
    <s v="016VATO252680046 NEFT CREDIT CHARGE VAT - IIH SEPT 2025 ALLOWANCE"/>
    <s v="Bank charges"/>
    <x v="1"/>
    <n v="3.75"/>
  </r>
  <r>
    <d v="2025-09-25T00:00:00"/>
    <x v="4"/>
    <s v="016NEFO252680047NEFTCREDIT-IIHSEPT 2025 ALLOWANCE"/>
    <s v="Salaries and Wages"/>
    <x v="7"/>
    <n v="20000"/>
  </r>
  <r>
    <d v="2025-09-25T00:00:00"/>
    <x v="4"/>
    <s v="016NEFC252680047NEFTCREDITCHARGE IIH SEPT 2025 ALLOWANCE"/>
    <s v="Bank charges"/>
    <x v="1"/>
    <n v="25"/>
  </r>
  <r>
    <d v="2025-09-25T00:00:00"/>
    <x v="4"/>
    <s v="016VATO252680047 NEFT CREDIT CHARGE VAT - IIH SEPT 2025 ALLOWANCE"/>
    <s v="Bank charges"/>
    <x v="1"/>
    <n v="1.8800000000046566"/>
  </r>
  <r>
    <d v="2025-09-25T00:00:00"/>
    <x v="4"/>
    <s v="016NEFO252680048NEFTCREDIT-IIHSEPT 2025 ALLOWANCE"/>
    <s v="Salaries and Wages"/>
    <x v="7"/>
    <n v="27500"/>
  </r>
  <r>
    <d v="2025-09-25T00:00:00"/>
    <x v="4"/>
    <s v="016NEFC252680048NEFTCREDITCHARGE IIH SEPT 2025 ALLOWANCE"/>
    <s v="Bank charges"/>
    <x v="1"/>
    <n v="25"/>
  </r>
  <r>
    <d v="2025-09-25T00:00:00"/>
    <x v="4"/>
    <s v="016VATO252680048 NEFT CREDIT CHARGE VAT - IIH SEPT 2025 ALLOWANCE"/>
    <s v="Bank charges"/>
    <x v="1"/>
    <n v="1.8800000000046566"/>
  </r>
  <r>
    <d v="2025-09-25T00:00:00"/>
    <x v="4"/>
    <s v="016NEFO252680049NEFTCREDIT-IIHSEPT 2025 ALLOWANCE"/>
    <s v="Salaries and Wages"/>
    <x v="7"/>
    <n v="20000"/>
  </r>
  <r>
    <d v="2025-09-25T00:00:00"/>
    <x v="4"/>
    <s v="016NEFC252680049NEFTCREDITCHARGE IIH SEPT 2025 ALLOWANCE"/>
    <s v="Bank charges"/>
    <x v="1"/>
    <n v="25"/>
  </r>
  <r>
    <d v="2025-09-25T00:00:00"/>
    <x v="4"/>
    <s v="016VATO252680049 NEFT CREDIT CHARGE VAT - IIH SEPT 2025 ALLOWANCE"/>
    <s v="Bank charges"/>
    <x v="1"/>
    <n v="1.8800000000046566"/>
  </r>
  <r>
    <d v="2025-09-25T00:00:00"/>
    <x v="4"/>
    <s v="016NEFO252680050NEFTCREDIT-IIHSEPT 2025 ALLOWANCE"/>
    <s v="Salaries and Wages"/>
    <x v="7"/>
    <n v="20000"/>
  </r>
  <r>
    <d v="2025-09-25T00:00:00"/>
    <x v="4"/>
    <s v="016NEFC252680050NEFTCREDITCHARGE IIH SEPT 2025 ALLOWANCE"/>
    <s v="Bank charges"/>
    <x v="1"/>
    <n v="25"/>
  </r>
  <r>
    <d v="2025-09-25T00:00:00"/>
    <x v="4"/>
    <s v="016VATO252680050 NEFT CREDIT CHARGE VAT - IIH SEPT 2025 ALLOWANCE"/>
    <s v="Bank charges"/>
    <x v="1"/>
    <n v="1.8800000000046566"/>
  </r>
  <r>
    <d v="2025-09-25T00:00:00"/>
    <x v="4"/>
    <s v="016NEFO252680051NEFTCREDIT-IIHSEPT 2025 ALLOWANCE"/>
    <s v="Salaries and Wages"/>
    <x v="7"/>
    <n v="20000"/>
  </r>
  <r>
    <d v="2025-09-25T00:00:00"/>
    <x v="4"/>
    <s v="016NEFC252680051NEFTCREDITCHARGE IIH SEPT 2025 ALLOWANCE"/>
    <s v="Bank charges"/>
    <x v="1"/>
    <n v="25"/>
  </r>
  <r>
    <d v="2025-09-25T00:00:00"/>
    <x v="4"/>
    <s v="016VATO252680051 NEFT CREDIT CHARGE VAT - IIH SEPT 2025 ALLOWANCE"/>
    <s v="Bank charges"/>
    <x v="1"/>
    <n v="1.8800000000046566"/>
  </r>
  <r>
    <d v="2025-09-25T00:00:00"/>
    <x v="4"/>
    <s v="016NEFO252680052NEFTCREDIT-IIHSEPT 2025 ALLOWANC"/>
    <s v="Salaries and Wages"/>
    <x v="7"/>
    <n v="35000"/>
  </r>
  <r>
    <d v="2025-09-25T00:00:00"/>
    <x v="4"/>
    <s v="016NEFC252680052NEFTCREDITCHARGE IIH SEPT 2025 ALLOWANCE"/>
    <s v="Bank charges"/>
    <x v="1"/>
    <n v="25"/>
  </r>
  <r>
    <d v="2025-09-25T00:00:00"/>
    <x v="4"/>
    <s v="016VATO252680052 NEFT CREDIT CHARGE VAT - IIH SEPT 2025 ALLOWANCE"/>
    <s v="Bank charges"/>
    <x v="1"/>
    <n v="1.8800000000046566"/>
  </r>
  <r>
    <d v="2025-09-25T00:00:00"/>
    <x v="4"/>
    <s v="016NEFO252680053NEFTCREDIT-IIHSEPT 2025 ALLOWANCE"/>
    <s v="Salaries and Wages"/>
    <x v="7"/>
    <n v="20000"/>
  </r>
  <r>
    <d v="2025-09-25T00:00:00"/>
    <x v="4"/>
    <s v="016NEFC252680053NEFTCREDITCHARGE IIH SEPT 2025 ALLOWANCE"/>
    <s v="Bank charges"/>
    <x v="1"/>
    <n v="25"/>
  </r>
  <r>
    <d v="2025-09-25T00:00:00"/>
    <x v="4"/>
    <s v="016VATO252680053 NEFT CREDIT CHARGE VAT - IIH SEPT 2025 ALLOWANCE"/>
    <s v="Bank charges"/>
    <x v="1"/>
    <n v="1.8800000000046566"/>
  </r>
  <r>
    <d v="2025-09-25T00:00:00"/>
    <x v="4"/>
    <s v="016NEFO252680054NEFTCREDIT-IIHSEPT 2025 ALLOWANCE"/>
    <s v="Salaries and Wages"/>
    <x v="7"/>
    <n v="20000"/>
  </r>
  <r>
    <d v="2025-09-25T00:00:00"/>
    <x v="4"/>
    <s v="016NEFC252680054NEFTCREDITCHARGE IIH SEPT 2025 ALLOWANCE"/>
    <s v="Bank charges"/>
    <x v="1"/>
    <n v="25"/>
  </r>
  <r>
    <d v="2025-09-25T00:00:00"/>
    <x v="4"/>
    <s v="016VATO252680054 NEFT CREDIT CHARGE VAT - IIH SEPT 2025 ALLOWANCE"/>
    <s v="Bank charges"/>
    <x v="1"/>
    <n v="1.8800000000046566"/>
  </r>
  <r>
    <d v="2025-09-25T00:00:00"/>
    <x v="4"/>
    <s v="016NIPO252680016NIP-ILHSALARYSEPT 2025"/>
    <s v="Salaries and Wages"/>
    <x v="7"/>
    <n v="44432.33"/>
  </r>
  <r>
    <d v="2025-09-25T00:00:00"/>
    <x v="4"/>
    <s v="016NIPC252680016NIPCharge-ILHSALARY SEPT 2025"/>
    <s v="Bank charges"/>
    <x v="1"/>
    <n v="25"/>
  </r>
  <r>
    <d v="2025-09-25T00:00:00"/>
    <x v="4"/>
    <s v="016VATP252680016 NIP Charge VAT-ILH SALARY SEPT 2025"/>
    <s v="Bank charges"/>
    <x v="1"/>
    <n v="1.8800000000046566"/>
  </r>
  <r>
    <d v="2025-09-25T00:00:00"/>
    <x v="4"/>
    <s v="016NIPO252680017 NIP-ILH SEPT 2025 ALLOWANCE"/>
    <s v="Salaries and Wages"/>
    <x v="7"/>
    <n v="20000"/>
  </r>
  <r>
    <d v="2025-09-25T00:00:00"/>
    <x v="4"/>
    <s v="016NIPC252680017 NIP Charge-ILH SEPT 2025 ALLOWANCE"/>
    <s v="Bank charges"/>
    <x v="1"/>
    <n v="25"/>
  </r>
  <r>
    <d v="2025-09-25T00:00:00"/>
    <x v="4"/>
    <s v="016VATP252680017 NIP Charge VAT-ILH SEPT 2025 ALLOWANCE"/>
    <s v="Bank charges"/>
    <x v="1"/>
    <n v="1.8800000000046566"/>
  </r>
  <r>
    <d v="2025-09-25T00:00:00"/>
    <x v="4"/>
    <s v="016NEFO252680004 NEFT CREDIT-IIH SALARY SEPT 2025"/>
    <s v="Salaries and Wages"/>
    <x v="7"/>
    <n v="-140171.67000000001"/>
  </r>
  <r>
    <d v="2025-09-25T00:00:00"/>
    <x v="4"/>
    <s v="016NEFC252680004NEFTCREDITCHARGE IIH SALARY SEPT 2025"/>
    <s v="Bank charges"/>
    <x v="1"/>
    <n v="-50"/>
  </r>
  <r>
    <d v="2025-09-25T00:00:00"/>
    <x v="4"/>
    <s v="016VATO252680004 NEFT CREDIT CHARGE VAT - IIH SALARY SEPT 2025"/>
    <s v="Bank charges"/>
    <x v="1"/>
    <n v="-3.75"/>
  </r>
  <r>
    <d v="2025-09-25T00:00:00"/>
    <x v="4"/>
    <s v="016NEFO252680031NEFTCREDIT-IIHSEPT 2025 ALLOWANCE"/>
    <s v="Salaries and Wages"/>
    <x v="7"/>
    <n v="-27500"/>
  </r>
  <r>
    <d v="2025-09-25T00:00:00"/>
    <x v="4"/>
    <s v="016NEFC252680031NEFTCREDITCHARGE IIH SEPT 2025 ALLOWANCE"/>
    <s v="Bank charges"/>
    <x v="1"/>
    <n v="-25"/>
  </r>
  <r>
    <d v="2025-09-25T00:00:00"/>
    <x v="4"/>
    <s v="016VATO252680031 NEFT CREDIT CHARGE VAT - IIH SEPT 2025 ALLOWANCE"/>
    <s v="Bank charges"/>
    <x v="1"/>
    <n v="-1.88"/>
  </r>
  <r>
    <d v="2025-09-25T00:00:00"/>
    <x v="4"/>
    <s v="016NIPO252680020 NIP-ILH SEPT 2025 STAFF ALLOWANCE"/>
    <s v="Salaries and Wages"/>
    <x v="7"/>
    <n v="27500"/>
  </r>
  <r>
    <d v="2025-09-25T00:00:00"/>
    <x v="4"/>
    <s v="016NIPC252680020 NIP Charge-ILH SEPT 2025 STAFF ALLOWANCE"/>
    <s v="Bank charges"/>
    <x v="1"/>
    <n v="25"/>
  </r>
  <r>
    <d v="2025-09-25T00:00:00"/>
    <x v="4"/>
    <s v="016VATP252680020 NIP Charge VAT-ILH SEPT 2025 STAFF ALLOWANCE"/>
    <s v="Bank charges"/>
    <x v="1"/>
    <n v="1.8800000000046566"/>
  </r>
  <r>
    <d v="2025-09-25T00:00:00"/>
    <x v="4"/>
    <s v="016NIPO252680021NIP-ILHSALARYSEPT 2025"/>
    <s v="Salaries and Wages"/>
    <x v="7"/>
    <n v="140171.67000000001"/>
  </r>
  <r>
    <d v="2025-09-25T00:00:00"/>
    <x v="4"/>
    <s v="016NIPC252680021NIPCharge-ILHSALARY SEPT 2025"/>
    <s v="Bank charges"/>
    <x v="1"/>
    <n v="50"/>
  </r>
  <r>
    <d v="2025-09-25T00:00:00"/>
    <x v="4"/>
    <s v="016VATP252680021 NIP Charge VAT-ILH SALARY SEPT 2025"/>
    <s v="Bank charges"/>
    <x v="1"/>
    <n v="3.75"/>
  </r>
  <r>
    <d v="2025-09-26T00:00:00"/>
    <x v="4"/>
    <s v="000MOBT252696668 REIMBURSEMENT FOR FRIDGEBALANCENIPTransfer fromILORIN INNOVATION HUB LTD to MAUREEN DA"/>
    <s v="Stationery and Office Supplies"/>
    <x v="2"/>
    <n v="43500"/>
  </r>
  <r>
    <d v="2025-09-26T00:00:00"/>
    <x v="4"/>
    <s v="000MOBT252696668 REIMBURSEMENT FOR FRIDGE BALANCE NIP Transfer from ILORIN INNOVATION HUB LTD to MAUREEN DA"/>
    <s v="Bank charges"/>
    <x v="1"/>
    <n v="25"/>
  </r>
  <r>
    <d v="2025-09-26T00:00:00"/>
    <x v="4"/>
    <s v="000MOBT252696668 REIMBURSEMENT FOR FRIDGE BALANCE NIP Transfer from ILORIN INNOVATION HUB LTD to MAUREEN DA"/>
    <s v="Bank charges"/>
    <x v="1"/>
    <n v="1.8800000000046566"/>
  </r>
  <r>
    <d v="2025-09-29T00:00:00"/>
    <x v="4"/>
    <s v="000MOBT252726779 PAYMENT FOR MD HOTEL 2 NIGHTS IHS IMPACT REPORT TRIP NIP Transfer from ILORIN INNOVATION H"/>
    <s v="Transport and Travel"/>
    <x v="18"/>
    <n v="200000"/>
  </r>
  <r>
    <d v="2025-09-29T00:00:00"/>
    <x v="4"/>
    <s v="000MOBT252726779 PAYMENT FOR MD HOTEL 2 NIGHTS IHS IMPACT REPORT TRIP NIP Transfer from ILORIN INNOVATION H"/>
    <s v="Bank charges"/>
    <x v="1"/>
    <n v="50"/>
  </r>
  <r>
    <d v="2025-09-29T00:00:00"/>
    <x v="4"/>
    <s v="000MOBT252726779 PAYMENT FOR MD HOTEL 2 NIGHTS IHS IMPACT REPORT TRIP NIP Transfer from ILORIN INNOVATION H"/>
    <s v="Bank charges"/>
    <x v="1"/>
    <n v="3.75"/>
  </r>
  <r>
    <d v="2025-09-29T00:00:00"/>
    <x v="4"/>
    <s v="016NIPO252720022 NIP- BNG PYT FOR SEPT 2025 JANITORIAL SERVICE"/>
    <s v="Cleaning expenses"/>
    <x v="3"/>
    <n v="1300000"/>
  </r>
  <r>
    <d v="2025-09-29T00:00:00"/>
    <x v="4"/>
    <s v="016NIPC252720022 NIP Charge- BNG PYT FOR SEPT 2025 JANITORIAL SERVICE"/>
    <s v="Bank charges"/>
    <x v="1"/>
    <n v="50"/>
  </r>
  <r>
    <d v="2025-09-29T00:00:00"/>
    <x v="4"/>
    <s v="016VATP252720022 NIP Charge VAT- BNG PYT FOR SEPT 2025 JANITORIAL SERVICE"/>
    <s v="Bank charges"/>
    <x v="1"/>
    <n v="3.75"/>
  </r>
  <r>
    <d v="2025-09-29T00:00:00"/>
    <x v="4"/>
    <s v="016NIPO252720023 NIP- BNG PYT FOR SEPT 2025 SECURITY SERVICE"/>
    <s v="security"/>
    <x v="14"/>
    <n v="950000"/>
  </r>
  <r>
    <d v="2025-09-29T00:00:00"/>
    <x v="4"/>
    <s v="016NIPC252720023 NIP Charge- BNG PYT FOR SEPT 2025 SECURITY SERVICE"/>
    <s v="Bank charges"/>
    <x v="1"/>
    <n v="50"/>
  </r>
  <r>
    <d v="2025-09-29T00:00:00"/>
    <x v="4"/>
    <s v="016VATP252720023 NIP Charge VAT- BNG PYT FOR SEPT 2025 SECURITY SERVICE"/>
    <s v="Bank charges"/>
    <x v="1"/>
    <n v="3.75"/>
  </r>
  <r>
    <d v="2025-09-30T00:00:00"/>
    <x v="4"/>
    <s v="016NIPO252730013 NIP- BNG PYT FOR REPAIR OF LED SCREEN"/>
    <s v="Repairs and maintenance"/>
    <x v="12"/>
    <n v="100000"/>
  </r>
  <r>
    <d v="2025-09-30T00:00:00"/>
    <x v="4"/>
    <s v="016NIPC252730013 NIP Charge- BNG PYT FOR REPAIR OF LED SCREEN"/>
    <s v="Bank charges"/>
    <x v="1"/>
    <n v="50"/>
  </r>
  <r>
    <d v="2025-09-30T00:00:00"/>
    <x v="4"/>
    <s v="016VATP252730013 NIP Charge VAT- BNG PYT FOR REPAIR OF LED SCREEN"/>
    <s v="Bank charges"/>
    <x v="1"/>
    <n v="3.75"/>
  </r>
  <r>
    <d v="2025-09-30T00:00:00"/>
    <x v="4"/>
    <s v="016AMFV25273002S VAT ON TRANSACTION CHARGES"/>
    <s v="Bank charges"/>
    <x v="1"/>
    <n v="2829.13"/>
  </r>
  <r>
    <d v="2025-09-30T00:00:00"/>
    <x v="4"/>
    <s v="016AMFC25273003M ACCOUNT MAINTENANCE FEE"/>
    <s v="Bank charges"/>
    <x v="1"/>
    <n v="37720.559999999998"/>
  </r>
  <r>
    <d v="2025-09-30T00:00:00"/>
    <x v="4"/>
    <s v="Bank transactions in September"/>
    <s v="Bank balance"/>
    <x v="5"/>
    <n v="-37665924.440000072"/>
  </r>
  <r>
    <d v="2025-09-01T00:00:00"/>
    <x v="4"/>
    <s v="NIP CR//HENRY MGBECHI CHUKWUEBUKA/ABN /TRF"/>
    <s v="Welfare"/>
    <x v="21"/>
    <n v="500000"/>
  </r>
  <r>
    <d v="2025-09-01T00:00:00"/>
    <x v="4"/>
    <s v="NIP CHARGE + VAT"/>
    <s v="Bank charges"/>
    <x v="1"/>
    <n v="53.75"/>
  </r>
  <r>
    <d v="2025-09-01T00:00:00"/>
    <x v="4"/>
    <s v="NIP CR//TUNMISEJOHNSONHOUSEHOLDFO UNDA /PBNL /TRF"/>
    <s v="Security deposit"/>
    <x v="8"/>
    <n v="100000"/>
  </r>
  <r>
    <d v="2025-09-01T00:00:00"/>
    <x v="4"/>
    <s v="NIP CHARGE + VAT"/>
    <s v="Bank charges"/>
    <x v="1"/>
    <n v="53.75"/>
  </r>
  <r>
    <d v="2025-09-02T00:00:00"/>
    <x v="4"/>
    <s v="NIP/GTB/COCREATION HUB LIMITED/ER 06072 IHS Towers IIH payment for Beef Rice and bottle water 212345903 GAPS00"/>
    <s v="Guest and entertainment"/>
    <x v="13"/>
    <n v="-676000"/>
  </r>
  <r>
    <d v="2025-09-07T00:00:00"/>
    <x v="4"/>
    <s v="FGN ELECTRONIC MONEY TRANSFER LEVY"/>
    <s v="Bank charges"/>
    <x v="1"/>
    <n v="50"/>
  </r>
  <r>
    <d v="2025-09-08T00:00:00"/>
    <x v="4"/>
    <s v="NIP CR//JIMOH SULEIMAN OLAWALE/FCMB /trf"/>
    <s v="Guest and entertainment"/>
    <x v="13"/>
    <n v="104000"/>
  </r>
  <r>
    <d v="2025-09-08T00:00:00"/>
    <x v="4"/>
    <s v="NIP CHARGE + VAT"/>
    <s v="Bank charges"/>
    <x v="1"/>
    <n v="53.75"/>
  </r>
  <r>
    <d v="2025-09-08T00:00:00"/>
    <x v="4"/>
    <s v=":ETZ INFLOW 09FG250908131640233QKUAYI:NXG : TRFStrategy session IIHFRM ABDULRAH"/>
    <s v="Guest and entertainment"/>
    <x v="13"/>
    <n v="-149962.5"/>
  </r>
  <r>
    <d v="2025-09-08T00:00:00"/>
    <x v="4"/>
    <s v="NIP CR//TEMILOLUWA OLUWALEKE KOLAWOLE/STBC /per diem paymen"/>
    <s v="Staff allowance"/>
    <x v="27"/>
    <n v="200000"/>
  </r>
  <r>
    <d v="2025-09-08T00:00:00"/>
    <x v="4"/>
    <s v="NIP CHARGE + VAT"/>
    <s v="Bank charges"/>
    <x v="1"/>
    <n v="53.75"/>
  </r>
  <r>
    <d v="2025-09-08T00:00:00"/>
    <x v="4"/>
    <s v="NIP CR//TEMILOLUWA OLUWALEKE KOLAWOLE/STBC /per diem paymen"/>
    <s v="Staff allowance"/>
    <x v="27"/>
    <n v="150000"/>
  </r>
  <r>
    <d v="2025-09-08T00:00:00"/>
    <x v="4"/>
    <s v="NIP CHARGE + VAT"/>
    <s v="Bank charges"/>
    <x v="1"/>
    <n v="53.75"/>
  </r>
  <r>
    <d v="2025-09-08T00:00:00"/>
    <x v="4"/>
    <s v="NIP CR//KHADIJAT ZUMAH SULYMAN/STLB /per diem payment"/>
    <s v="Staff allowance"/>
    <x v="27"/>
    <n v="120000"/>
  </r>
  <r>
    <d v="2025-09-08T00:00:00"/>
    <x v="4"/>
    <s v="NIP CHARGE + VAT"/>
    <s v="Bank charges"/>
    <x v="1"/>
    <n v="53.75"/>
  </r>
  <r>
    <d v="2025-09-08T00:00:00"/>
    <x v="4"/>
    <s v="NIP CR//MUHAMMED NASIRU MAHMOOD/GTB /per diem payment"/>
    <s v="Staff allowance"/>
    <x v="27"/>
    <n v="84000"/>
  </r>
  <r>
    <d v="2025-09-08T00:00:00"/>
    <x v="4"/>
    <s v="NIP CHARGE + VAT"/>
    <s v="Bank charges"/>
    <x v="1"/>
    <n v="53.75"/>
  </r>
  <r>
    <d v="2025-09-08T00:00:00"/>
    <x v="4"/>
    <s v="NIP CR//OKEY MAUREEN DANIEL/GTB /per diem payment"/>
    <s v="Staff allowance"/>
    <x v="27"/>
    <n v="60000"/>
  </r>
  <r>
    <d v="2025-09-08T00:00:00"/>
    <x v="4"/>
    <s v="NIP CHARGE + VAT"/>
    <s v="Bank charges"/>
    <x v="1"/>
    <n v="53.75"/>
  </r>
  <r>
    <d v="2025-09-08T00:00:00"/>
    <x v="4"/>
    <s v="NIP CR//OLALEYE KAYODE/ABN /trf"/>
    <s v="Staff allowance"/>
    <x v="27"/>
    <n v="60000"/>
  </r>
  <r>
    <d v="2025-09-08T00:00:00"/>
    <x v="4"/>
    <s v="NIP CHARGE + VAT"/>
    <s v="Bank charges"/>
    <x v="1"/>
    <n v="53.75"/>
  </r>
  <r>
    <d v="2025-09-09T00:00:00"/>
    <x v="4"/>
    <s v="NIP CR//JAMIU ADEBOLA OLADIPO/SCB /per diem paymen"/>
    <s v="Staff allowance"/>
    <x v="27"/>
    <n v="40000"/>
  </r>
  <r>
    <d v="2025-09-09T00:00:00"/>
    <x v="4"/>
    <s v="NIP CHARGE + VAT"/>
    <s v="Bank charges"/>
    <x v="1"/>
    <n v="26.88"/>
  </r>
  <r>
    <d v="2025-09-09T00:00:00"/>
    <x v="4"/>
    <s v="NIP CR//TEMILOLUWA OLUWALEKE KOLAWOLE/STBC /per diem payment"/>
    <s v="Staff allowance"/>
    <x v="27"/>
    <n v="150000"/>
  </r>
  <r>
    <d v="2025-09-09T00:00:00"/>
    <x v="4"/>
    <s v="NIP CHARGE + VAT"/>
    <s v="Bank charges"/>
    <x v="1"/>
    <n v="53.75"/>
  </r>
  <r>
    <d v="2025-09-09T00:00:00"/>
    <x v="4"/>
    <s v="NIP CR//TEMILOLUWA OLUWALEKE KOLAWOLE/STBC /per diem payment"/>
    <s v="Staff allowance"/>
    <x v="27"/>
    <n v="100000"/>
  </r>
  <r>
    <d v="2025-09-09T00:00:00"/>
    <x v="4"/>
    <s v="NIP CHARGE + VAT"/>
    <s v="Bank charges"/>
    <x v="1"/>
    <n v="53.75"/>
  </r>
  <r>
    <d v="2025-09-09T00:00:00"/>
    <x v="4"/>
    <s v="NIP CR//KAMIL LANRE AHMED/SKYE /per diem payment"/>
    <s v="Staff allowance"/>
    <x v="27"/>
    <n v="40000"/>
  </r>
  <r>
    <d v="2025-09-09T00:00:00"/>
    <x v="4"/>
    <s v="NIP CHARGE + VAT"/>
    <s v="Bank charges"/>
    <x v="1"/>
    <n v="26.88"/>
  </r>
  <r>
    <d v="2025-09-09T00:00:00"/>
    <x v="4"/>
    <s v="NIP CR//MUHAMMED NASIRU MAHMOOD/GTB /per diem payment"/>
    <s v="Staff allowance"/>
    <x v="27"/>
    <n v="56000"/>
  </r>
  <r>
    <d v="2025-09-09T00:00:00"/>
    <x v="4"/>
    <s v="NIP CHARGE + VAT"/>
    <s v="Bank charges"/>
    <x v="1"/>
    <n v="53.75"/>
  </r>
  <r>
    <d v="2025-09-09T00:00:00"/>
    <x v="4"/>
    <s v="NIP CR//JAMIU ADEBOLA OLADIPO/SCB /per diem paymen"/>
    <s v="Staff allowance"/>
    <x v="27"/>
    <n v="40000"/>
  </r>
  <r>
    <d v="2025-09-09T00:00:00"/>
    <x v="4"/>
    <s v="NIP CHARGE + VAT"/>
    <s v="Bank charges"/>
    <x v="1"/>
    <n v="26.88"/>
  </r>
  <r>
    <d v="2025-09-09T00:00:00"/>
    <x v="4"/>
    <s v="NIP CR//OKEY MAUREEN DANIEL/GTB /per diem payment"/>
    <s v="Staff allowance"/>
    <x v="27"/>
    <n v="40000"/>
  </r>
  <r>
    <d v="2025-09-09T00:00:00"/>
    <x v="4"/>
    <s v="NIP CHARGE + VAT"/>
    <s v="Bank charges"/>
    <x v="1"/>
    <n v="26.88"/>
  </r>
  <r>
    <d v="2025-09-09T00:00:00"/>
    <x v="4"/>
    <s v="NIP CR//ONUCHUKWU SINACHI GOODNESS/GTB /per diem payment"/>
    <s v="Staff allowance"/>
    <x v="27"/>
    <n v="40000"/>
  </r>
  <r>
    <d v="2025-09-09T00:00:00"/>
    <x v="4"/>
    <s v="NIP CHARGE + VAT"/>
    <s v="Bank charges"/>
    <x v="1"/>
    <n v="26.88"/>
  </r>
  <r>
    <d v="2025-09-09T00:00:00"/>
    <x v="4"/>
    <s v="NIP CR//OLALEYE KAYODE/ABN /per diem payment"/>
    <s v="Staff allowance"/>
    <x v="27"/>
    <n v="30000"/>
  </r>
  <r>
    <d v="2025-09-09T00:00:00"/>
    <x v="4"/>
    <s v="NIP CHARGE + VAT"/>
    <s v="Bank charges"/>
    <x v="1"/>
    <n v="26.88"/>
  </r>
  <r>
    <d v="2025-09-09T00:00:00"/>
    <x v="4"/>
    <s v="Cash Deposit ABDULRAHMAN YUSUF 129030"/>
    <s v="Sterling"/>
    <x v="28"/>
    <n v="-3422590"/>
  </r>
  <r>
    <d v="2025-09-09T00:00:00"/>
    <x v="4"/>
    <s v=":ETZ INFLOW 09FG250911165338460KLBKTQ:Payment for hall"/>
    <s v="Rentals"/>
    <x v="0"/>
    <n v="-430000"/>
  </r>
  <r>
    <d v="2025-09-11T00:00:00"/>
    <x v="4"/>
    <s v=":ETZ INFLOW 09FG250911192112590AN713H: Refreshments for 2 days"/>
    <s v="Guest and entertainment"/>
    <x v="13"/>
    <n v="-204000"/>
  </r>
  <r>
    <d v="2025-09-11T00:00:00"/>
    <x v="4"/>
    <s v=":ETZ INFLOW 09FG250912155227099IQQJ36:Complete payment for hall"/>
    <s v="Rentals"/>
    <x v="0"/>
    <n v="-100000"/>
  </r>
  <r>
    <d v="2025-09-12T00:00:00"/>
    <x v="4"/>
    <s v="accountStatementRequest"/>
    <s v="Bank charges"/>
    <x v="1"/>
    <n v="80"/>
  </r>
  <r>
    <d v="2025-09-12T00:00:00"/>
    <x v="4"/>
    <s v="VALUE ADDED TAX"/>
    <s v="Bank charges"/>
    <x v="1"/>
    <n v="6"/>
  </r>
  <r>
    <d v="2025-09-12T00:00:00"/>
    <x v="4"/>
    <s v="NIP/FCMB/MOAJ MEDIA CONSULT/webApprefreshment small chops water and drinks To Zenith Ba"/>
    <s v="Guest and entertainment"/>
    <x v="13"/>
    <n v="-220000"/>
  </r>
  <r>
    <d v="2025-09-14T00:00:00"/>
    <x v="4"/>
    <s v="FGN ELECTRONIC MONEY TRANSFER LEVY "/>
    <s v="Bank charges"/>
    <x v="1"/>
    <n v="100"/>
  </r>
  <r>
    <d v="2025-09-15T00:00:00"/>
    <x v="4"/>
    <s v="NIP CR//ADENIRAN KAZEEM/FBN /IIH SECURITY SERVICE "/>
    <s v="Security"/>
    <x v="14"/>
    <n v="218000"/>
  </r>
  <r>
    <d v="2025-09-15T00:00:00"/>
    <x v="4"/>
    <s v="NIP CHARGE + VAT "/>
    <s v="Bank charges"/>
    <x v="1"/>
    <n v="53.75"/>
  </r>
  <r>
    <d v="2025-09-16T00:00:00"/>
    <x v="4"/>
    <s v="NIP/UBA/MINISTRY OF BUSINESS INNOVATION AND TECH/trf ilorin tech park ilorin in 0.00 "/>
    <s v="Kwara State Government"/>
    <x v="6"/>
    <n v="-20220000"/>
  </r>
  <r>
    <d v="2025-09-16T00:00:00"/>
    <x v="4"/>
    <s v="NIP CR//FLUTTERWAVE/WEBFALA DIGITAL SKILLS FOR ALL INITIATIVE/WBP /pyt for security deposit refund to wdsfai"/>
    <s v="Refund"/>
    <x v="8"/>
    <n v="100000"/>
  </r>
  <r>
    <d v="2025-09-16T00:00:00"/>
    <x v="4"/>
    <s v="NIP CHARGE + VAT "/>
    <s v="Bank charges"/>
    <x v="1"/>
    <n v="53.75"/>
  </r>
  <r>
    <d v="2025-09-16T00:00:00"/>
    <x v="4"/>
    <s v="NIP CR//JIMOH SULEIMAN OLAWALE/FCMB /refreshment for sui blockchain and solo photo"/>
    <s v="Guest and entertainment"/>
    <x v="13"/>
    <n v="286000"/>
  </r>
  <r>
    <d v="2025-09-16T00:00:00"/>
    <x v="4"/>
    <s v="NIP CHARGE + VAT "/>
    <s v="Bank charges"/>
    <x v="1"/>
    <n v="53.75"/>
  </r>
  <r>
    <d v="2025-09-16T00:00:00"/>
    <x v="4"/>
    <s v="NIP/FBN/KW-IRS IGR RETENTION ACCOUNT 2/18258571 FD/FT/CITN INVESTITURE PROG"/>
    <s v="Rentals"/>
    <x v="0"/>
    <n v="-552000"/>
  </r>
  <r>
    <d v="2025-09-19T00:00:00"/>
    <x v="4"/>
    <s v="NIP CR//DIGIEQ AFRICA LTD/STLB /TRF "/>
    <s v="Training"/>
    <x v="25"/>
    <n v="15409000"/>
  </r>
  <r>
    <d v="2025-09-19T00:00:00"/>
    <x v="4"/>
    <s v="NIP CHARGE + VAT "/>
    <s v="Bank charges"/>
    <x v="1"/>
    <n v="53.75"/>
  </r>
  <r>
    <d v="2025-09-21T00:00:00"/>
    <x v="4"/>
    <s v="FGN ELECTRONIC MONEY TRANSFER LEVY "/>
    <s v="Bank charges"/>
    <x v="1"/>
    <n v="100"/>
  </r>
  <r>
    <d v="2025-09-22T00:00:00"/>
    <x v="4"/>
    <s v="NIP CR//DIGIEQ AFRICA LTD/STLB /deduction refund ai literacy camp"/>
    <s v="Training"/>
    <x v="25"/>
    <n v="811000"/>
  </r>
  <r>
    <d v="2025-09-22T00:00:00"/>
    <x v="4"/>
    <s v="NIP CHARGE + VAT "/>
    <s v="Bank charges"/>
    <x v="1"/>
    <n v="53.75"/>
  </r>
  <r>
    <d v="2025-09-23T00:00:00"/>
    <x v="4"/>
    <s v="NIP CR//SAMUEL SOLOMON ILEMONA/GTB /trf "/>
    <s v="Refund"/>
    <x v="8"/>
    <n v="100000"/>
  </r>
  <r>
    <d v="2025-09-23T00:00:00"/>
    <x v="4"/>
    <s v="NIP CHARGE + VAT "/>
    <s v="Bank charges"/>
    <x v="1"/>
    <n v="53.75"/>
  </r>
  <r>
    <d v="2025-09-23T00:00:00"/>
    <x v="4"/>
    <s v="NIP CR//MOAJ MEDIA CONSULT/FCMB /trf "/>
    <s v="Refund"/>
    <x v="8"/>
    <n v="100000"/>
  </r>
  <r>
    <d v="2025-09-23T00:00:00"/>
    <x v="4"/>
    <s v="NIP CHARGE + VAT "/>
    <s v="Bank charges"/>
    <x v="1"/>
    <n v="53.75"/>
  </r>
  <r>
    <d v="2025-09-23T00:00:00"/>
    <x v="4"/>
    <s v="NIP CR//JIMOH SULEIMAN OLAWALE/FCMB /TRF "/>
    <s v="Guest and entertainment"/>
    <x v="13"/>
    <n v="130000"/>
  </r>
  <r>
    <d v="2025-09-26T00:00:00"/>
    <x v="4"/>
    <s v="NIP CHARGE + VAT "/>
    <s v="Bank charges"/>
    <x v="1"/>
    <n v="53.75"/>
  </r>
  <r>
    <d v="2025-09-26T00:00:00"/>
    <x v="4"/>
    <s v="NIP CR//OLALUWOYE JUMOKE OLUFUNKE/FBN /TRF "/>
    <s v="Guest and entertainment"/>
    <x v="13"/>
    <n v="153500"/>
  </r>
  <r>
    <d v="2025-09-26T00:00:00"/>
    <x v="4"/>
    <s v="NIP CHARGE + VAT "/>
    <s v="Bank charges"/>
    <x v="1"/>
    <n v="53.75"/>
  </r>
  <r>
    <d v="2025-09-26T00:00:00"/>
    <x v="4"/>
    <s v="NIP/GTB/COCREATION HUB LIMITED/ER 06498 IHS Towers Mix and mingle event at Ilorin Innovation hub 213589632 GAP"/>
    <s v="Guest and entertainment"/>
    <x v="13"/>
    <n v="-170000"/>
  </r>
  <r>
    <d v="2025-09-26T00:00:00"/>
    <x v="4"/>
    <s v="CIP/CR//NIP Transfer to ILORIN TECH PARK LTD. 000013250926185057000439640729 000439640729/FRM AYINLA OLAMILEKAN ADIGUN"/>
    <s v="Rentals"/>
    <x v="0"/>
    <n v="-600000"/>
  </r>
  <r>
    <d v="2025-09-28T00:00:00"/>
    <x v="4"/>
    <s v="FGN ELECTRONIC MONEY TRANSFER LEVY "/>
    <s v="Bank charges"/>
    <x v="1"/>
    <n v="100"/>
  </r>
  <r>
    <d v="2025-09-30T00:00:00"/>
    <x v="4"/>
    <s v="NIP/JAIZ/WASIU SALAMI/IFO ILORIN TECH PARK LTD Payment Of 400-capa"/>
    <s v="Rentals"/>
    <x v="0"/>
    <n v="-700000"/>
  </r>
  <r>
    <d v="2025-09-30T00:00:00"/>
    <x v="4"/>
    <s v="NIP CR//WAKANOWCOM LIMITED/GTB /PYT FOR BOOKING ID 2509300401464 "/>
    <s v="Transport and Travel"/>
    <x v="24"/>
    <n v="2295088"/>
  </r>
  <r>
    <d v="2025-09-30T00:00:00"/>
    <x v="4"/>
    <s v="NIP CHARGE + VAT "/>
    <s v="Bank charges"/>
    <x v="1"/>
    <n v="53.75"/>
  </r>
  <r>
    <d v="2025-09-30T00:00:00"/>
    <x v="4"/>
    <s v="ACCOUNT MAINTENANCE FEE "/>
    <s v="Bank charges"/>
    <x v="1"/>
    <n v="21516.59"/>
  </r>
  <r>
    <d v="2025-09-30T00:00:00"/>
    <x v="4"/>
    <s v="VAT ON ACCOUNT MAINTENNACE FEE "/>
    <s v="Bank charges"/>
    <x v="1"/>
    <n v="1613.74"/>
  </r>
  <r>
    <d v="2025-09-30T00:00:00"/>
    <x v="4"/>
    <s v="Bank transactions in September"/>
    <s v="Bank balance"/>
    <x v="28"/>
    <n v="5903054.3899999987"/>
  </r>
  <r>
    <d v="2025-09-02T00:00:00"/>
    <x v="4"/>
    <s v="BANKNIP From 000013250901215132000387303638 000013 PAYREF: 000387303638 SENDER: ALABI TAOFIQ TAIWO REMARK: CITN Investiture - part pymt for use of hall to ILORIN TECH PARK LTD. 000013250901215132000387303638 ILORIN TECH PARK LTD Ref: 0000132509012151320003873036382"/>
    <s v="Rentals"/>
    <x v="0"/>
    <n v="-372500"/>
  </r>
  <r>
    <d v="2025-09-03T00:00:00"/>
    <x v="4"/>
    <s v="BANKNIP From 000003250903100009004252193541 000003 PAYREF: S8398261 SENDER: MOAJ MEDIA CONSULT REMARK: webAppPitch Hall Rental Security deposit and vat To Sterlin ILORIN TECH PARK LTD Ref: 0000032509031000090042521935412"/>
    <s v="Rentals"/>
    <x v="0"/>
    <n v="-422500"/>
  </r>
  <r>
    <d v="2025-09-08T00:00:00"/>
    <x v="4"/>
    <s v="BANKNIP From 110006250907134314088022446701 110006 PAYREF: 0088022446701 SENDER: Paystack REMARK: 2511 Payment of 200k for Corkage feeABEGBR001 ILORIN TECH PARK LTD Ref: 1100062509071343140880224467012"/>
    <s v="Guest and entertainment"/>
    <x v="13"/>
    <n v="-200000"/>
  </r>
  <r>
    <d v="2025-09-08T00:00:00"/>
    <x v="4"/>
    <s v="Cash Withdrawal ILORIN TECH PARK LTD at MM WAY ILORIN ILORIN TECH PARK LTD Ref: BT25090816x0nJnzmX1"/>
    <s v="Cash withdrawal"/>
    <x v="28"/>
    <n v="3422590"/>
  </r>
  <r>
    <d v="2025-09-08T00:00:00"/>
    <x v="4"/>
    <s v="Cash Withdrawal ILORIN TECH PARK LTD at MM WAY ILORIN ILORIN TECH PARK LTD Ref: BT25090816x0nJnzmX2"/>
    <s v="Cash withdrawal"/>
    <x v="28"/>
    <n v="-3422590"/>
  </r>
  <r>
    <d v="2025-09-08T00:00:00"/>
    <x v="4"/>
    <s v="Cash Withdrawal ILORIN TECH PARK LTD at MM WAY ILORIN ILORIN TECH PARK LTD Ref: BT2509081624w1DlHc1"/>
    <m/>
    <x v="28"/>
    <n v="3422590"/>
  </r>
  <r>
    <d v="2025-09-30T00:00:00"/>
    <x v="4"/>
    <s v="Bank transactions in September"/>
    <s v="Bank balance"/>
    <x v="29"/>
    <n v="-2427590"/>
  </r>
  <r>
    <s v="02/10/2025"/>
    <x v="5"/>
    <s v="NIP CR//JIMOH SULEIMAN OLAWALE/FCMB /REFRESHMENT FOR ORBIT ONBOARDING SESION"/>
    <s v="Guest and entertainment"/>
    <x v="13"/>
    <n v="325000"/>
  </r>
  <r>
    <s v="02/10/2025"/>
    <x v="5"/>
    <s v="NIP CHARGE + VAT"/>
    <s v="Bank charges"/>
    <x v="1"/>
    <n v="53.75"/>
  </r>
  <r>
    <s v="03/10/2025"/>
    <x v="5"/>
    <s v="CIP/CR//Hall reservation  100033251003121313010013807517/FRM IBRAHIM SHEHU OLASUPO"/>
    <s v="Rentals"/>
    <x v="0"/>
    <n v="-1650000"/>
  </r>
  <r>
    <s v="03/10/2025"/>
    <x v="5"/>
    <s v="NIP CR//YAHAYA KHADIJAT ZUMAH/PBNL /TRF"/>
    <s v="Transport and Travel"/>
    <x v="24"/>
    <n v="2517120"/>
  </r>
  <r>
    <s v="03/10/2025"/>
    <x v="5"/>
    <s v="NIP CHARGE + VAT"/>
    <s v="Bank charges"/>
    <x v="1"/>
    <n v="53.75"/>
  </r>
  <r>
    <s v="03/10/2025"/>
    <x v="5"/>
    <s v="NIP/WBP/MAYOWA  ABEJIRIN/ALAT NIP TRANSFER TO ILORIN TECH PARK LTD FROM MAY"/>
    <s v="Rentals"/>
    <x v="0"/>
    <n v="-25000"/>
  </r>
  <r>
    <s v="05/10/2025"/>
    <x v="5"/>
    <s v="FGN ELECTRONIC MONEY TRANSFER LEVY"/>
    <s v="Bank charges"/>
    <x v="1"/>
    <n v="150"/>
  </r>
  <r>
    <s v="06/10/2025"/>
    <x v="5"/>
    <s v="NIP//Kwara State Government Project Tsa Accou/MANAGINGDIRECTORILORININNOVATIONHUBTOORG"/>
    <s v="Kwara State Government"/>
    <x v="6"/>
    <n v="-212820000.19"/>
  </r>
  <r>
    <s v="07/10/2025"/>
    <x v="5"/>
    <s v="NIP CR//WAKANOWCOM LIMITED/GTB  /AAG2025 ID2510070402276 FOR TEMI KOLAWOLE AND TEMILOLA AKANDE"/>
    <s v="Transport and Travel"/>
    <x v="24"/>
    <n v="1920401"/>
  </r>
  <r>
    <s v="07/10/2025"/>
    <x v="5"/>
    <s v="NIP CHARGE + VAT"/>
    <s v="Bank charges"/>
    <x v="1"/>
    <n v="53.75"/>
  </r>
  <r>
    <s v="09/10/2025"/>
    <x v="5"/>
    <s v="NIP CR//PBN SOLUTIONS LIMITED-EVENT SERVICE/STLB /PYT FOR KWARA AI SUMMIT 2025 PH1 INSTALLMENT PYT"/>
    <s v="Training"/>
    <x v="25"/>
    <n v="85000000"/>
  </r>
  <r>
    <s v="09/10/2025"/>
    <x v="5"/>
    <s v="NIP CHARGE + VAT"/>
    <s v="Bank charges"/>
    <x v="1"/>
    <n v="53.75"/>
  </r>
  <r>
    <s v="12/10/2025"/>
    <x v="5"/>
    <s v="FGN ELECTRONIC MONEY TRANSFER LEVY"/>
    <s v="Bank charges"/>
    <x v="1"/>
    <n v="50"/>
  </r>
  <r>
    <s v="13/10/2025"/>
    <x v="5"/>
    <s v="NIP CR//JIMOH SULEIMAN OLAWALE/FCMB /REFRESHMENT DURING DEMO  DAY  INDEPENDENCE AI BOOT CAMP"/>
    <s v="Guest and entertainment"/>
    <x v="13"/>
    <n v="195000"/>
  </r>
  <r>
    <s v="13/10/2025"/>
    <x v="5"/>
    <s v="NIP CHARGE + VAT"/>
    <s v="Bank charges"/>
    <x v="1"/>
    <n v="53.75"/>
  </r>
  <r>
    <s v="13/10/2025"/>
    <x v="5"/>
    <s v="NIP CR//TEMILOLUWA OLUWALEKE KOLAWOLE/STBC /TRF"/>
    <s v="Transport and Travel"/>
    <x v="24"/>
    <n v="302000"/>
  </r>
  <r>
    <s v="13/10/2025"/>
    <x v="5"/>
    <s v="NIP CHARGE + VAT"/>
    <s v="Bank charges"/>
    <x v="1"/>
    <n v="53.75"/>
  </r>
  <r>
    <s v="13/10/2025"/>
    <x v="5"/>
    <s v="NIP CR//AFRICAN TECHNOLOGY INNOVATION HUBS INITIATIVE/STBC /IIH 2021,2022,2023,2024,2025 AFRILABS ANNUAL MEMBERSHIP DUES"/>
    <s v="Training"/>
    <x v="25"/>
    <n v="1370325"/>
  </r>
  <r>
    <s v="13/10/2025"/>
    <x v="5"/>
    <s v="NIP CHARGE + VAT"/>
    <s v="Bank charges"/>
    <x v="1"/>
    <n v="53.75"/>
  </r>
  <r>
    <s v="14/10/2025"/>
    <x v="5"/>
    <s v="TRF FROM TUNMISE JOHNSON HOUSEHOLD FOUNDATIO/1760444714776"/>
    <s v="Guest and entertainment"/>
    <x v="11"/>
    <n v="-93000"/>
  </r>
  <r>
    <s v="17/10/2025"/>
    <x v="5"/>
    <s v="CIP/CR//Innovation Hub Hall rental for KAF event to ILORIN TECH PARK LTD. 000013251017114238000484159094 000484159094/F"/>
    <s v="Rentals"/>
    <x v="0"/>
    <n v="-700000"/>
  </r>
  <r>
    <s v="17/10/2025"/>
    <x v="5"/>
    <s v="NIP CR// BOA FOODS RESTAURANT LTD - 2/ROLEZ/TRF"/>
    <s v="Guest and entertainment"/>
    <x v="13"/>
    <n v="586300"/>
  </r>
  <r>
    <s v="17/10/2025"/>
    <x v="5"/>
    <s v="NIP CHARGE + VAT"/>
    <s v="Bank charges"/>
    <x v="1"/>
    <n v="53.75"/>
  </r>
  <r>
    <s v="17/10/2025"/>
    <x v="5"/>
    <s v="NIP CR// BOA FOODS RESTAURANT LTD - 2/ROLEZ/TRF"/>
    <s v="Guest and entertainment"/>
    <x v="13"/>
    <n v="586300"/>
  </r>
  <r>
    <s v="17/10/2025"/>
    <x v="5"/>
    <s v="NIP CHARGE + VAT"/>
    <s v="Bank charges"/>
    <x v="1"/>
    <n v="53.75"/>
  </r>
  <r>
    <s v="17/10/2025"/>
    <x v="5"/>
    <s v="***RSVL NIP CR// BOA FOODS RESTAURANT LTD - 2/ROLEZ/TRF"/>
    <s v="Guest and entertainment"/>
    <x v="13"/>
    <n v="-586300"/>
  </r>
  <r>
    <s v="17/10/2025"/>
    <x v="5"/>
    <s v="***RSVL NIP CHARGE + VAT"/>
    <s v="Bank charges"/>
    <x v="1"/>
    <n v="-53.75"/>
  </r>
  <r>
    <s v="17/10/2025"/>
    <x v="5"/>
    <s v="***RSVL NIP CR// BOA FOODS RESTAURANT LTD - 2/ROLEZ/TRF"/>
    <s v="Guest and entertainment"/>
    <x v="13"/>
    <n v="-586300"/>
  </r>
  <r>
    <s v="17/10/2025"/>
    <x v="5"/>
    <s v="***RSVL NIP CHARGE + VAT"/>
    <s v="Bank charges"/>
    <x v="1"/>
    <n v="-53.75"/>
  </r>
  <r>
    <s v="18/10/2025"/>
    <x v="5"/>
    <s v="CIP/CR//Transfer from IDRIS OLAYINKA ABDULMUIZ 100004251018150825143367647493"/>
    <s v="Rentals"/>
    <x v="0"/>
    <n v="-25000"/>
  </r>
  <r>
    <s v="18/10/2025"/>
    <x v="5"/>
    <s v="NIP/UBA/CHARTERED INST  OF TAXATION OF NIG  ILOR/CIB/UTO/Payment for service /ILORIN TECH PARK LTD"/>
    <s v="Guest and entertainment"/>
    <x v="11"/>
    <n v="-54000"/>
  </r>
  <r>
    <s v="19/10/2025"/>
    <x v="5"/>
    <s v="CIP/CR//GT20251175 BEING PAYMENT FOR THE HALL TO BE USED FOR THE 4TH QTR STRATEGY  REVIEW 215527950 GAPS0199 0004877725"/>
    <s v="Rentals"/>
    <x v="0"/>
    <n v="-420000"/>
  </r>
  <r>
    <s v="19/10/2025"/>
    <x v="5"/>
    <s v="FGN ELECTRONIC MONEY TRANSFER LEVY"/>
    <s v="Bank charges"/>
    <x v="1"/>
    <n v="250"/>
  </r>
  <r>
    <s v="20/10/2025"/>
    <x v="5"/>
    <s v="NIP CR// BOA FOODS RESTAURANT LTD - 2/ROLEZ/TRF"/>
    <s v="Guest and entertainment"/>
    <x v="13"/>
    <n v="586300"/>
  </r>
  <r>
    <s v="20/10/2025"/>
    <x v="5"/>
    <s v="NIP CHARGE + VAT"/>
    <s v="Bank charges"/>
    <x v="1"/>
    <n v="53.75"/>
  </r>
  <r>
    <s v="21/10/2025"/>
    <x v="5"/>
    <s v="NIP/STBC/ADEYEYE OLUKAYODE IJISESAN/Food Deposit"/>
    <s v="Guest and entertainment"/>
    <x v="11"/>
    <n v="-500000"/>
  </r>
  <r>
    <s v="21/10/2025"/>
    <x v="5"/>
    <s v="NIP CR//YASCO TECHNICAL COMPANY LTD/ABN  /TRF FRM ILORIN TECH PARK LTD TO YASCO TECHNICAL COMPANY LTD"/>
    <s v="Transport and Travel"/>
    <x v="18"/>
    <n v="250000"/>
  </r>
  <r>
    <s v="21/10/2025"/>
    <x v="5"/>
    <s v="NIP CHARGE + VAT"/>
    <s v="Bank charges"/>
    <x v="1"/>
    <n v="53.75"/>
  </r>
  <r>
    <s v="21/10/2025"/>
    <x v="5"/>
    <s v="NIP CR//SOLIU YAKUB/ROLEZ/TRF FRM ILORIN TECH PARK LTD TO SOLIU YAKUB"/>
    <s v="Transport and Travel"/>
    <x v="18"/>
    <n v="750000"/>
  </r>
  <r>
    <s v="21/10/2025"/>
    <x v="5"/>
    <s v="NIP CHARGE + VAT"/>
    <s v="Bank charges"/>
    <x v="1"/>
    <n v="53.75"/>
  </r>
  <r>
    <s v="21/10/2025"/>
    <x v="5"/>
    <s v="CIP/CR//Transfer from FIKUNMI JEDIDIAH OKE 100004251021164101143571714838"/>
    <s v="Rentals"/>
    <x v="0"/>
    <n v="-25000"/>
  </r>
  <r>
    <s v="21/10/2025"/>
    <x v="5"/>
    <s v="NIP/KBL/ABDUS-SALAM WURAOLA AMINA/TRF BO ABDUS-SALAM WURAOLA AMINA/Ilorin Innovation Hub"/>
    <s v="Rentals"/>
    <x v="0"/>
    <n v="-100000"/>
  </r>
  <r>
    <s v="22/10/2025"/>
    <x v="5"/>
    <s v="TRF FROM HILLCREST AGRO-ALLIED IND.LTD ACC 2/WORK SPACE"/>
    <s v="Rentals"/>
    <x v="0"/>
    <n v="-100000"/>
  </r>
  <r>
    <s v="22/10/2025"/>
    <x v="5"/>
    <s v="NIP CR//TOO SCARCE CONCEPTS/STBC /PYT FOR REPAIRS OF BIG HALL DAMAGED SCREEN"/>
    <s v="Repairs and maintenance"/>
    <x v="12"/>
    <n v="1203000"/>
  </r>
  <r>
    <s v="22/10/2025"/>
    <x v="5"/>
    <s v="NIP CHARGE + VAT"/>
    <s v="Bank charges"/>
    <x v="1"/>
    <n v="53.75"/>
  </r>
  <r>
    <s v="22/10/2025"/>
    <x v="5"/>
    <s v="NIP CR//PBN SOLUTIONS LIMITED-EVENT SERVICE/STLB /PYT FOR KWARA AI SUMMIT 2025 2ND PHASE OF PLANNING PYT"/>
    <s v="Training"/>
    <x v="25"/>
    <n v="50000000"/>
  </r>
  <r>
    <s v="22/10/2025"/>
    <x v="5"/>
    <s v="NIP CHARGE + VAT"/>
    <s v="Bank charges"/>
    <x v="1"/>
    <n v="53.75"/>
  </r>
  <r>
    <s v="22/10/2025"/>
    <x v="5"/>
    <s v="CIP/CR//GT20251183 BEING PAYMENT FOR REFRESHMENT DURING THE 2025 TAX QUIZ COMPETIT ION 215766051 GAPS0199648 0004951616"/>
    <s v="Guest and entertainment"/>
    <x v="11"/>
    <n v="-1700000"/>
  </r>
  <r>
    <s v="22/10/2025"/>
    <x v="5"/>
    <s v="NIP/KBL/ABDUS-SALAM WURAOLA AMINA/TRF BO ABDUS-SALAM WURAOLA AMINA/Ilorin Innovation Hub"/>
    <s v="Rentals"/>
    <x v="0"/>
    <n v="-20000"/>
  </r>
  <r>
    <s v="22/10/2025"/>
    <x v="5"/>
    <s v="CIP/CR//GT20251184 BEING PAYMENT FOR THE HALLTO BE USED FOR THE 2025 TAX QUIZ COMP ETITION 215767475 GAPS019 0004951680"/>
    <s v="Rentals"/>
    <x v="0"/>
    <n v="-700000"/>
  </r>
  <r>
    <s v="25/10/2025"/>
    <x v="5"/>
    <s v="NIP/OPAY/CHARLESMARY CHIDI CHUKWUMA/Payment for workspace"/>
    <s v="Rentals"/>
    <x v="0"/>
    <n v="-500000"/>
  </r>
  <r>
    <s v="26/10/2025"/>
    <x v="5"/>
    <s v="FGN ELECTRONIC MONEY TRANSFER LEVY"/>
    <s v="Bank charges"/>
    <x v="1"/>
    <n v="400"/>
  </r>
  <r>
    <s v="27/10/2025"/>
    <x v="5"/>
    <s v="NIP CR//FRIENDS FAST FOOD LIMITED/FBN  /REFRESHMENT FOR APT SUMMIT"/>
    <s v="Guest and entertainment"/>
    <x v="13"/>
    <n v="280500"/>
  </r>
  <r>
    <s v="27/10/2025"/>
    <x v="5"/>
    <s v="NIP CHARGE + VAT"/>
    <s v="Bank charges"/>
    <x v="1"/>
    <n v="53.75"/>
  </r>
  <r>
    <s v="28/10/2025"/>
    <x v="5"/>
    <s v="NIP CR// BOA FOODS RESTAURANT LTD - 2/ROLEZ/REFRESHMENT TO VOLUNTEERS AT AI PROD &amp;TECH SUMMIT BY BOA FOODS"/>
    <s v="Guest and entertainment"/>
    <x v="13"/>
    <n v="221000"/>
  </r>
  <r>
    <s v="28/10/2025"/>
    <x v="5"/>
    <s v="NIP CHARGE + VAT"/>
    <s v="Bank charges"/>
    <x v="1"/>
    <n v="53.75"/>
  </r>
  <r>
    <s v="28/10/2025"/>
    <x v="5"/>
    <s v="NIP CR// BOA FOODS RESTAURANT LTD - I I H/ROLEZ/REFRSHMENT TO VOLUNTEERS AT AI PROD &amp; TECH SUMMIT BY BOA FOODS REST LTD-"/>
    <s v="Guest and entertainment"/>
    <x v="13"/>
    <n v="53000"/>
  </r>
  <r>
    <s v="28/10/2025"/>
    <x v="5"/>
    <s v="NIP CHARGE + VAT"/>
    <s v="Bank charges"/>
    <x v="1"/>
    <n v="53.75"/>
  </r>
  <r>
    <s v="28/10/2025"/>
    <x v="5"/>
    <s v="NIP CR//MUHAMMAD MUBARAK YUSUF/OPAY /CHAIRS AND SOUNDSYSTEM RENTAL SERV  AT TECH&amp;PROD  SUMMIT"/>
    <s v="Guest and entertainment"/>
    <x v="13"/>
    <n v="91500"/>
  </r>
  <r>
    <s v="28/10/2025"/>
    <x v="5"/>
    <s v="NIP CHARGE + VAT"/>
    <s v="Bank charges"/>
    <x v="1"/>
    <n v="53.75"/>
  </r>
  <r>
    <s v="28/10/2025"/>
    <x v="5"/>
    <s v="NIP CR//OLALUWOYE JUMOKE OLUFUNKE/FBN  /REFRESHMENT TO VOLUNTEERS AT AI PROD &amp; TECH SUMMIT BY NOBLE DRINKS&amp;WINE STORE"/>
    <s v="Guest and entertainment"/>
    <x v="13"/>
    <n v="68000"/>
  </r>
  <r>
    <s v="28/10/2025"/>
    <x v="5"/>
    <s v="NIP CHARGE + VAT"/>
    <s v="Bank charges"/>
    <x v="1"/>
    <n v="53.75"/>
  </r>
  <r>
    <s v="28/10/2025"/>
    <x v="5"/>
    <s v="NIP CR//JIMOH SULEIMAN OLAWALE/FCMB /REFRESHMENT TO VOLUNTEERS t AI PROD &amp; TECH SUMMIT BY CHEF WALE"/>
    <s v="Guest and entertainment"/>
    <x v="13"/>
    <n v="35000"/>
  </r>
  <r>
    <s v="28/10/2025"/>
    <x v="5"/>
    <s v="NIP CHARGE + VAT"/>
    <s v="Bank charges"/>
    <x v="1"/>
    <n v="26.88"/>
  </r>
  <r>
    <s v="29/10/2025"/>
    <x v="5"/>
    <s v="NIP/STBC/ADEYEYE OLUKAYODE IJISESAN/Balance for food and"/>
    <s v="Guest and entertainment"/>
    <x v="11"/>
    <n v="-895000"/>
  </r>
  <r>
    <s v="29/10/2025"/>
    <x v="5"/>
    <s v="NIP CR//ABSOLUTE POWER ELEC MECH LTD/PBNL /PYT FOR THE PURCHASE ELECTRICAL MATERIALS"/>
    <s v="Repairs and maintenance"/>
    <x v="12"/>
    <n v="704000"/>
  </r>
  <r>
    <s v="29/10/2025"/>
    <x v="5"/>
    <s v="NIP CHARGE + VAT"/>
    <s v="Bank charges"/>
    <x v="1"/>
    <n v="53.75"/>
  </r>
  <r>
    <s v="29/10/2025"/>
    <x v="5"/>
    <s v="NIP CR//HAMRAJ LIGHT TECHNOLOGIES/FCMB /TRF"/>
    <s v="Repairs and maintenance"/>
    <x v="12"/>
    <n v="359587.5"/>
  </r>
  <r>
    <s v="29/10/2025"/>
    <x v="5"/>
    <s v="NIP CHARGE + VAT"/>
    <s v="Bank charges"/>
    <x v="1"/>
    <n v="53.75"/>
  </r>
  <r>
    <s v="30/10/2025"/>
    <x v="5"/>
    <s v="NIP CR//MTN NIG COMM PLC POST PAID SUBSC/ABN  /PYT FOR MTN OCT 2025 45MBPS INTERNET SERV SUB"/>
    <s v="Data and telephone expenses"/>
    <x v="10"/>
    <n v="580623.37"/>
  </r>
  <r>
    <s v="30/10/2025"/>
    <x v="5"/>
    <s v="NIP CHARGE + VAT"/>
    <s v="Bank charges"/>
    <x v="1"/>
    <n v="53.75"/>
  </r>
  <r>
    <s v="30/10/2025"/>
    <x v="5"/>
    <s v=":ISW INFLOW CR|MNP|ZIB|301025182800|290482:OMOLOLA ABIS Trf for Customer/AT117_TRF|2MPT44yp1|1983949015414292480"/>
    <s v="Rentals"/>
    <x v="0"/>
    <n v="-25000"/>
  </r>
  <r>
    <s v="31/10/2025"/>
    <x v="5"/>
    <s v="NIP CR// CYCLE STORES FURNITURE/ROLEZ/PYT FOR PURCHASE OF 5000VA CENTURY STABILIZER"/>
    <s v="Repairs and maintenance"/>
    <x v="12"/>
    <n v="420000"/>
  </r>
  <r>
    <s v="31/10/2025"/>
    <x v="5"/>
    <s v="NIP CHARGE + VAT"/>
    <s v="Bank charges"/>
    <x v="1"/>
    <n v="53.75"/>
  </r>
  <r>
    <s v="31/10/2025"/>
    <x v="5"/>
    <s v="NIP CR//BENETTON CONSULTING LIMITED/TAJ  /PYT FOR SEPTEMBER 2025 LANDSCAPING SERVICE"/>
    <s v="Repairs and maintenance"/>
    <x v="12"/>
    <n v="400000"/>
  </r>
  <r>
    <s v="31/10/2025"/>
    <x v="5"/>
    <s v="NIP CHARGE + VAT"/>
    <s v="Bank charges"/>
    <x v="1"/>
    <n v="53.75"/>
  </r>
  <r>
    <s v="31/10/2025"/>
    <x v="5"/>
    <s v="TRF TO ROHI INTERNATIONAL GUARDS LTD FRM ILORIN TECH PARK LTD /PYT FOR OCT 2025 SECURITY SERVICE"/>
    <s v="security"/>
    <x v="14"/>
    <n v="950000"/>
  </r>
  <r>
    <s v="31/10/2025"/>
    <x v="5"/>
    <s v="ACCOUNT MAINTENANCE FEE"/>
    <s v="Bank charges"/>
    <x v="1"/>
    <n v="148582.35999999999"/>
  </r>
  <r>
    <s v="31/10/2025"/>
    <x v="5"/>
    <s v="VAT ON ACCOUNT MAINTENNACE FEE"/>
    <s v="Bank charges"/>
    <x v="1"/>
    <n v="11143.68"/>
  </r>
  <r>
    <d v="2025-10-31T00:00:00"/>
    <x v="5"/>
    <s v="Bank transactions in October"/>
    <s v="Bank balance"/>
    <x v="28"/>
    <n v="71607857.899999991"/>
  </r>
  <r>
    <s v="02/10/2025"/>
    <x v="5"/>
    <s v="000MOBT25275AB6H  PAYMENT  FOR  DRINKS DEVBOX    MD    NIP    Transfer    from    ILORIN INNOVATION HUB LTD to OLALUWOYE JUMO"/>
    <s v="Guest and entertainment"/>
    <x v="13"/>
    <n v="17000"/>
  </r>
  <r>
    <s v="02/10/2025"/>
    <x v="5"/>
    <s v="000MOBT25275AB6H  PAYMENT  FOR  DRINKS DEVBOX    MD    NIP    Transfer    from    ILORIN INNOVATION HUB LTD to OLALUWOYE JUMO"/>
    <s v="Bank charges"/>
    <x v="1"/>
    <n v="25"/>
  </r>
  <r>
    <s v="02/10/2025"/>
    <x v="5"/>
    <s v="000MOBT25275AB6H  PAYMENT  FOR  DRINKS DEVBOX    MD    NIP    Transfer    from    ILORIN INNOVATION HUB LTD to OLALUWOYE JUMO"/>
    <s v="Bank charges"/>
    <x v="1"/>
    <n v="1.88"/>
  </r>
  <r>
    <s v="02/10/2025"/>
    <x v="5"/>
    <s v="000MOBT25275AFDT   PAYMENT   FOR   CHAIR RENTAL   EBUN   EVENT   NIP   Transfer   from ILORIN INNOVATION HUB LTD to MUHAMMA"/>
    <s v="Rentals"/>
    <x v="0"/>
    <n v="52300"/>
  </r>
  <r>
    <s v="02/10/2025"/>
    <x v="5"/>
    <s v="000MOBT25275AFDT   PAYMENT   FOR   CHAIR RENTAL   EBUN   EVENT   NIP   Transfer   from ILORIN INNOVATION HUB LTD to MUHAMMA"/>
    <s v="Bank charges"/>
    <x v="1"/>
    <n v="50"/>
  </r>
  <r>
    <s v="02/10/2025"/>
    <x v="5"/>
    <s v="000MOBT25275AFDT   PAYMENT   FOR   CHAIR RENTAL   EBUN   EVENT   NIP   Transfer   from ILORIN INNOVATION HUB LTD to MUHAMMA"/>
    <s v="Bank charges"/>
    <x v="1"/>
    <n v="3.75"/>
  </r>
  <r>
    <s v="02/10/2025"/>
    <x v="5"/>
    <s v="000MOBT25275AFEI   PAYMENT   FOR   CHAIR RENTAL   EBUN   EVENT   NIP   Transfer   from ILORIN INNOVATION HUB LTD to MUHAMMA"/>
    <s v="Rentals"/>
    <x v="0"/>
    <n v="52300"/>
  </r>
  <r>
    <s v="02/10/2025"/>
    <x v="5"/>
    <s v="000MOBT25275AFEI   PAYMENT   FOR   CHAIR RENTAL   EBUN   EVENT   NIP   Transfer   from ILORIN INNOVATION HUB LTD to MUHAMMA"/>
    <s v="Bank charges"/>
    <x v="1"/>
    <n v="50"/>
  </r>
  <r>
    <s v="02/10/2025"/>
    <x v="5"/>
    <s v="000MOBT25275AFEI   PAYMENT   FOR   CHAIR RENTAL   EBUN   EVENT   NIP   Transfer   from ILORIN INNOVATION HUB LTD to MUHAMMA"/>
    <s v="Bank charges"/>
    <x v="1"/>
    <n v="3.75"/>
  </r>
  <r>
    <d v="2025-10-03T00:00:00"/>
    <x v="5"/>
    <s v="000MOBT25275AFDT   PAYMENT   FOR   CHAIR RENTAL   EBUN   EVENT   NIP   Transfer   from ILORIN INNOVATION HUB LTD to MUHAMMA"/>
    <s v="Rentals"/>
    <x v="0"/>
    <n v="-52300"/>
  </r>
  <r>
    <d v="2025-10-03T00:00:00"/>
    <x v="5"/>
    <s v="000MOBT25275AFDT   PAYMENT   FOR   CHAIR RENTAL   EBUN   EVENT   NIP   Transfer   from ILORIN INNOVATION HUB LTD to MUHAMMA"/>
    <s v="Bank charges"/>
    <x v="1"/>
    <n v="-50"/>
  </r>
  <r>
    <d v="2025-10-03T00:00:00"/>
    <x v="5"/>
    <s v="000MOBT25275AFDT   PAYMENT   FOR   CHAIR RENTAL   EBUN   EVENT   NIP   Transfer   from ILORIN INNOVATION HUB LTD to MUHAMMA"/>
    <s v="Bank charges"/>
    <x v="1"/>
    <n v="-3.75"/>
  </r>
  <r>
    <d v="2025-10-03T00:00:00"/>
    <x v="5"/>
    <s v="016NIPO252760048    NIP    -    BNG    PYT    FOR REPAIR AND SERVICING OF AC"/>
    <s v="Repairs and maintenance"/>
    <x v="12"/>
    <n v="1804750"/>
  </r>
  <r>
    <d v="2025-10-03T00:00:00"/>
    <x v="5"/>
    <s v="016NIPC252760048   NIP   Charge   -   BNG   PYT FOR REPAIR AND SERVICING OF AC"/>
    <s v="Bank charges"/>
    <x v="1"/>
    <n v="50"/>
  </r>
  <r>
    <d v="2025-10-03T00:00:00"/>
    <x v="5"/>
    <s v="016VATP252760048   NIP  Charge  VAT   -  BNG PYT FOR REPAIR AND SERVICING OF AC"/>
    <s v="Bank charges"/>
    <x v="1"/>
    <n v="3.75"/>
  </r>
  <r>
    <d v="2025-10-03T00:00:00"/>
    <x v="5"/>
    <s v="000MOBT25276A064  PAYMENT  FOR  DRINKS MIX    MINGLE    NIP    Transfer    from    ILORIN INNOVATION HUB LTD to OLALUWOYE JUM"/>
    <s v="Guest and entertainment"/>
    <x v="13"/>
    <n v="17000"/>
  </r>
  <r>
    <d v="2025-10-03T00:00:00"/>
    <x v="5"/>
    <s v="000MOBT25276A064  PAYMENT  FOR  DRINKS MIX    MINGLE    NIP    Transfer    from    ILORIN INNOVATION HUB LTD to OLALUWOYE JUM"/>
    <s v="Bank charges"/>
    <x v="1"/>
    <n v="25"/>
  </r>
  <r>
    <d v="2025-10-03T00:00:00"/>
    <x v="5"/>
    <s v="000MOBT25276A064  PAYMENT  FOR  DRINKS MIX    MINGLE    NIP    Transfer    from    ILORIN INNOVATION HUB LTD to OLALUWOYE JUM"/>
    <s v="Bank charges"/>
    <x v="1"/>
    <n v="1.88"/>
  </r>
  <r>
    <d v="2025-10-03T00:00:00"/>
    <x v="5"/>
    <s v="000MOBT25276A07B  PAYMENT   FOR  SMALL CHOPS   ORBIT   LAUNCH   NIP   Transfer   from ILORIN INNOVATION HUB LTD to JIMOH"/>
    <s v="Guest and entertainment"/>
    <x v="13"/>
    <n v="325000"/>
  </r>
  <r>
    <d v="2025-10-03T00:00:00"/>
    <x v="5"/>
    <s v="000MOBT25276A07B  PAYMENT   FOR  SMALL CHOPS   ORBIT   LAUNCH   NIP   Transfer   from ILORIN INNOVATION HUB LTD to JIMOH"/>
    <s v="Bank charges"/>
    <x v="1"/>
    <n v="50"/>
  </r>
  <r>
    <d v="2025-10-03T00:00:00"/>
    <x v="5"/>
    <s v="000MOBT25276A07B  PAYMENT   FOR  SMALL CHOPS   ORBIT   LAUNCH   NIP   Transfer   from ILORIN INNOVATION HUB LTD to JIMOH"/>
    <s v="Bank charges"/>
    <x v="1"/>
    <n v="3.75"/>
  </r>
  <r>
    <d v="2025-10-03T00:00:00"/>
    <x v="5"/>
    <s v="016NIPT252760418        NIP        TRSF       FROM SULEIMAN     OLAWALE    JIMOH    SULEIMAN OLAWALE JIMOH:7086060054"/>
    <s v="Guest and entertainment"/>
    <x v="11"/>
    <n v="-325000"/>
  </r>
  <r>
    <d v="2025-10-03T00:00:00"/>
    <x v="5"/>
    <s v="016EMTL2527600DW    ELECTRONIC    MONEY TRANSFER LEVY"/>
    <s v="Bank charges"/>
    <x v="1"/>
    <n v="50"/>
  </r>
  <r>
    <d v="2025-10-03T00:00:00"/>
    <x v="5"/>
    <s v="000q049252760145       RVSLPAYMENT       FOR CHAIR  RENTAL  EBUN  EVENT   NIP  Transfer from ILORIN INNOVATION HUB LTD to"/>
    <s v="Rentals"/>
    <x v="0"/>
    <n v="-52300"/>
  </r>
  <r>
    <d v="2025-10-06T00:00:00"/>
    <x v="5"/>
    <s v="000MOBT252797673  PAYMENT  FOR  DRINKS ORBIT   EVENT   NIP   Transfer   from   ILORIN INNOVATION HUB LTD to OLALUWOYE JU"/>
    <s v="Guest and entertainment"/>
    <x v="13"/>
    <n v="34000"/>
  </r>
  <r>
    <d v="2025-10-06T00:00:00"/>
    <x v="5"/>
    <s v="000MOBT252797673  PAYMENT  FOR  DRINKS ORBIT   EVENT   NIP   Transfer   from   ILORIN INNOVATION HUB LTD to OLALUWOYE JU"/>
    <s v="Bank charges"/>
    <x v="1"/>
    <n v="25"/>
  </r>
  <r>
    <d v="2025-10-06T00:00:00"/>
    <x v="5"/>
    <s v="000MOBT252797673  PAYMENT  FOR  DRINKS ORBIT   EVENT   NIP   Transfer   from   ILORININNOVATION HUB LTD to OLALUWOYE JU"/>
    <s v="Bank charges"/>
    <x v="1"/>
    <n v="1.88"/>
  </r>
  <r>
    <d v="2025-10-06T00:00:00"/>
    <x v="5"/>
    <s v="000MOBT252798691           PAYMENT           FOR PURCHASE  OF  DRINKS  FOR  IIH  CAFETERIA NIP Transfer from ILORIN INNOVATION HUB L"/>
    <s v="Guest and entertainment"/>
    <x v="13"/>
    <n v="153500"/>
  </r>
  <r>
    <d v="2025-10-06T00:00:00"/>
    <x v="5"/>
    <s v="000MOBT252798691           PAYMENT           FOR PURCHASE  OF  DRINKS  FOR  IIH  CAFETERIA NIP Transfer from ILORIN INNOVATION HUB L"/>
    <s v="Bank charges"/>
    <x v="1"/>
    <n v="50"/>
  </r>
  <r>
    <d v="2025-10-06T00:00:00"/>
    <x v="5"/>
    <s v="000MOBT252798691           PAYMENT           FOR PURCHASE  OF  DRINKS  FOR  IIH  CAFETERIA NIP Transfer from ILORIN INNOVATION HUB L"/>
    <s v="Bank charges"/>
    <x v="1"/>
    <n v="3.75"/>
  </r>
  <r>
    <d v="2025-10-06T00:00:00"/>
    <x v="5"/>
    <s v="000MOBT25279A8LL   PAYMENT   FOR   CHAIR RENTALS   EBUN   EVENT   NIP   Transfer   from ILORIN INNOVATION HUB LTD to MUHAMM"/>
    <s v="Rentals"/>
    <x v="0"/>
    <n v="52300"/>
  </r>
  <r>
    <d v="2025-10-06T00:00:00"/>
    <x v="5"/>
    <s v="000MOBT25279A8LL   PAYMENT   FOR   CHAIR RENTALS   EBUN   EVENT   NIP   Transfer   from ILORIN INNOVATION HUB LTD to MUHAMM"/>
    <s v="Bank charges"/>
    <x v="1"/>
    <n v="50"/>
  </r>
  <r>
    <d v="2025-10-06T00:00:00"/>
    <x v="5"/>
    <s v="000MOBT25279A8LL   PAYMENT   FOR   CHAIR RENTALS   EBUN   EVENT   NIP   Transfer   from ILORIN INNOVATION HUB LTD to MUHAMM"/>
    <s v="Bank charges"/>
    <x v="1"/>
    <n v="3.75"/>
  </r>
  <r>
    <d v="2025-10-06T00:00:00"/>
    <x v="5"/>
    <s v="000MOBT25279ASA1     PAYMENT     FOR     AI BOOTCAMP   REFRESHMENTS   NIP   Transfer from ILORIN INNOVATION HUB LTD to POS Tr"/>
    <s v="Guest and entertainment"/>
    <x v="13"/>
    <n v="180000"/>
  </r>
  <r>
    <d v="2025-10-06T00:00:00"/>
    <x v="5"/>
    <s v="000MOBT25279ASA1     PAYMENT     FOR     AI BOOTCAMP   REFRESHMENTS   NIP   Transfer from ILORIN INNOVATION HUB LTD to POS Tr"/>
    <s v="Bank charges"/>
    <x v="1"/>
    <n v="50"/>
  </r>
  <r>
    <d v="2025-10-06T00:00:00"/>
    <x v="5"/>
    <s v="000MOBT25279ASA1     PAYMENT     FOR     AI BOOTCAMP   REFRESHMENTS   NIP   Transfer from ILORIN INNOVATION HUB LTD to POS Tr"/>
    <s v="Bank charges"/>
    <x v="1"/>
    <n v="3.75"/>
  </r>
  <r>
    <d v="2025-10-13T00:00:00"/>
    <x v="5"/>
    <s v="000MOBT25286A4VA  PAYMENT  FOR  INTERN NCC   TRAINING   ABUJA   NIP   Transfer   from ILORIN INNOVATION HUB LTD to ABDUL"/>
    <s v="Training"/>
    <x v="25"/>
    <n v="130000"/>
  </r>
  <r>
    <d v="2025-10-13T00:00:00"/>
    <x v="5"/>
    <s v="000MOBT25286A4VA  PAYMENT  FOR  INTERN NCC   TRAINING   ABUJA   NIP   Transfer   from ILORIN INNOVATION HUB LTD to ABDUL"/>
    <s v="Bank charges"/>
    <x v="1"/>
    <n v="50"/>
  </r>
  <r>
    <d v="2025-10-13T00:00:00"/>
    <x v="5"/>
    <s v="000MOBT25286A4VA  PAYMENT  FOR  INTERN NCC   TRAINING   ABUJA   NIP   Transfer   from ILORIN INNOVATION HUB LTD to ABDUL"/>
    <s v="Bank charges"/>
    <x v="1"/>
    <n v="3.75"/>
  </r>
  <r>
    <d v="2025-10-13T00:00:00"/>
    <x v="5"/>
    <s v="000MOBT25286A57N  PAYMENT  FOR  INTERN NCC TRAINING ABUJA TRIP NIP Transfer from ILORIN INNOVATION HUB LTD to"/>
    <s v="Training"/>
    <x v="25"/>
    <n v="130000"/>
  </r>
  <r>
    <d v="2025-10-13T00:00:00"/>
    <x v="5"/>
    <s v="000MOBT25286A57N  PAYMENT  FOR  INTERN NCC TRAINING ABUJA TRIP NIP Transfer from ILORIN INNOVATION HUB LTD to"/>
    <s v="Bank charges"/>
    <x v="1"/>
    <n v="50"/>
  </r>
  <r>
    <d v="2025-10-13T00:00:00"/>
    <x v="5"/>
    <s v="000MOBT25286A57N  PAYMENT  FOR  INTERN NCC TRAINING ABUJA TRIP NIP Transfer from ILORIN INNOVATION HUB LTD to"/>
    <s v="Bank charges"/>
    <x v="1"/>
    <n v="3.75"/>
  </r>
  <r>
    <d v="2025-10-13T00:00:00"/>
    <x v="5"/>
    <s v="000MOBT25286A979         PARTIAL         HOTEL PAYMENT   AFRILABS   KENYA    NIP   Transfer from ILORIN INNOVATION HUB LTD to TEMIL"/>
    <s v="Transport and Travel"/>
    <x v="24"/>
    <n v="453000"/>
  </r>
  <r>
    <d v="2025-10-13T00:00:00"/>
    <x v="5"/>
    <s v="000MOBT25286A979         PARTIAL         HOTEL PAYMENT   AFRILABS   KENYA    NIP   Transfer from ILORIN INNOVATION HUB LTD to TEMIL"/>
    <s v="Bank charges"/>
    <x v="1"/>
    <n v="50"/>
  </r>
  <r>
    <d v="2025-10-13T00:00:00"/>
    <x v="5"/>
    <s v="000MOBT25286A979         PARTIAL         HOTEL PAYMENT   AFRILABS   KENYA    NIP   Transfer from ILORIN INNOVATION HUB LTD to TEMIL"/>
    <s v="Bank charges"/>
    <x v="1"/>
    <n v="3.75"/>
  </r>
  <r>
    <d v="2025-10-13T00:00:00"/>
    <x v="5"/>
    <s v="000MOBT25286AERW    BALANCE    PAYMENT FOR  AFRILAB  HOTEL  KENYA  MD  TEMILOLA NIP Transfer from ILORIN INNOVATION HU"/>
    <s v="Transport and Travel"/>
    <x v="24"/>
    <n v="211400"/>
  </r>
  <r>
    <d v="2025-10-13T00:00:00"/>
    <x v="5"/>
    <s v="000MOBT25286AERW    BALANCE    PAYMENT FOR  AFRILAB  HOTEL  KENYA  MD  TEMILOLA NIP Transfer from ILORIN INNOVATION HU"/>
    <s v="Bank charges"/>
    <x v="1"/>
    <n v="50"/>
  </r>
  <r>
    <d v="2025-10-13T00:00:00"/>
    <x v="5"/>
    <s v="000MOBT25286AERW    BALANCE    PAYMENT FOR  AFRILAB  HOTEL  KENYA  MD  TEMILOLA NIP Transfer from ILORIN INNOVATION HU"/>
    <s v="Bank charges"/>
    <x v="1"/>
    <n v="3.75"/>
  </r>
  <r>
    <d v="2025-10-14T00:00:00"/>
    <x v="5"/>
    <s v="000MOBT252872338  PAYMENT  FOR  DRINKS FOR   IIH   CAFETERIA   02   NIP   Transfer   from ILORIN INNOVATION HUB LTD to OLA"/>
    <s v="Guest and entertainment"/>
    <x v="13"/>
    <n v="153500"/>
  </r>
  <r>
    <d v="2025-10-14T00:00:00"/>
    <x v="5"/>
    <s v="000MOBT252872338  PAYMENT  FOR  DRINKS FOR   IIH   CAFETERIA   02   NIP   Transfer   from ILORIN INNOVATION HUB LTD to OLA"/>
    <s v="Bank charges"/>
    <x v="1"/>
    <n v="50"/>
  </r>
  <r>
    <d v="2025-10-14T00:00:00"/>
    <x v="5"/>
    <s v="000MOBT252872338  PAYMENT  FOR  DRINKS FOR   IIH   CAFETERIA   02   NIP   Transfer   from ILORIN INNOVATION HUB LTD to OLA"/>
    <s v="Bank charges"/>
    <x v="1"/>
    <n v="3.75"/>
  </r>
  <r>
    <d v="2025-10-14T00:00:00"/>
    <x v="5"/>
    <s v="000MOBT25287A37M   BIRTHDAY   CAKE   NIP Transfer  from  ILORIN  INNOVATION  HUB  LTD to Infinitus Innovations Limited"/>
    <s v="Guest and entertainment"/>
    <x v="13"/>
    <n v="28000"/>
  </r>
  <r>
    <d v="2025-10-14T00:00:00"/>
    <x v="5"/>
    <s v="000MOBT25287A37M   BIRTHDAY   CAKE   NIP Transfer  from  ILORIN  INNOVATION  HUB  LTD to Infinitus Innovations Limited"/>
    <s v="Bank charges"/>
    <x v="1"/>
    <n v="25"/>
  </r>
  <r>
    <d v="2025-10-14T00:00:00"/>
    <x v="5"/>
    <s v="000MOBT25287A37M   BIRTHDAY   CAKE   NIP Transfer  from  ILORIN  INNOVATION  HUB  LTD to Infinitus Innovations Limited"/>
    <s v="Bank charges"/>
    <x v="1"/>
    <n v="1.88"/>
  </r>
  <r>
    <d v="2025-10-15T00:00:00"/>
    <x v="5"/>
    <s v="0162305252890001 BNG COST OF REMITA  (E-PAYMENT   TILL   –   AJIBOLA   OGUNGBESAN) B/O  ILORIN TECH PARK LTD"/>
    <s v="Salaries and Wages"/>
    <x v="7"/>
    <n v="102907.73"/>
  </r>
  <r>
    <d v="2025-10-20T00:00:00"/>
    <x v="5"/>
    <s v="0162305252890001 BNG COST OF REMITA  (E-PAYMENT   TILL   –   AJIBOLA   OGUNGBESAN) B/O  ILORIN TECH PARK LTD"/>
    <s v="National Housing Fund"/>
    <x v="31"/>
    <n v="282911.25"/>
  </r>
  <r>
    <d v="2025-10-21T00:00:00"/>
    <x v="5"/>
    <s v="000MOBT252941398    FLIGHT    ILV    LOS    MD UNDP    ENGAGEMENT    NIP    Transfer    from ILORIN INNOVATION HUB LTD to PAYSTACK"/>
    <s v="Transport and Travel"/>
    <x v="18"/>
    <n v="217000"/>
  </r>
  <r>
    <d v="2025-10-21T00:00:00"/>
    <x v="5"/>
    <s v="000MOBT252941398    FLIGHT    ILV    LOS    MD UNDP    ENGAGEMENT    NIP    Transfer    from ILORIN INNOVATION HUB LTD to PAYSTACK"/>
    <s v="Bank charges"/>
    <x v="1"/>
    <n v="50"/>
  </r>
  <r>
    <d v="2025-10-21T00:00:00"/>
    <x v="5"/>
    <s v="000MOBT252941398    FLIGHT    ILV    LOS    MD UNDP    ENGAGEMENT    NIP    Transfer    from ILORIN INNOVATION HUB LTD to PAYSTACK"/>
    <s v="Bank charges"/>
    <x v="1"/>
    <n v="3.75"/>
  </r>
  <r>
    <d v="2025-10-21T00:00:00"/>
    <x v="5"/>
    <s v="000MOBT252941718   PAYMENT   FLIGHT   MD LOS  ILV  UNDP  ENGAGEMENT  NIP  Transfer from ILORIN INNOVATION HUB LTD to P"/>
    <s v="Transport and Travel"/>
    <x v="18"/>
    <n v="202000"/>
  </r>
  <r>
    <d v="2025-10-21T00:00:00"/>
    <x v="5"/>
    <s v="000MOBT252941718   PAYMENT   FLIGHT   MD LOS  ILV  UNDP  ENGAGEMENT  NIP  Transfer from ILORIN INNOVATION HUB LTD to P"/>
    <s v="Bank charges"/>
    <x v="1"/>
    <n v="50"/>
  </r>
  <r>
    <d v="2025-10-21T00:00:00"/>
    <x v="5"/>
    <s v="000MOBT252941718   PAYMENT   FLIGHT   MD LOS  ILV  UNDP  ENGAGEMENT  NIP  Transfer from ILORIN INNOVATION HUB LTD to P"/>
    <s v="Bank charges"/>
    <x v="1"/>
    <n v="3.75"/>
  </r>
  <r>
    <d v="2025-10-21T00:00:00"/>
    <x v="5"/>
    <s v="000MOBT252945915           PAYMENT           FOR REFRESHMENTS  AI BOOTCAMP  NIP Transfer from ILORIN INNOVATION HUB LTD to"/>
    <s v="Guest and entertainment"/>
    <x v="13"/>
    <n v="34000"/>
  </r>
  <r>
    <d v="2025-10-21T00:00:00"/>
    <x v="5"/>
    <s v="000MOBT252945915           PAYMENT           FOR REFRESHMENTS  AI BOOTCAMP  NIP Transfer from ILORIN INNOVATION HUB LTD to"/>
    <s v="Bank charges"/>
    <x v="1"/>
    <n v="25"/>
  </r>
  <r>
    <d v="2025-10-21T00:00:00"/>
    <x v="5"/>
    <s v="000MOBT252945915           PAYMENT           FOR REFRESHMENTS  AI BOOTCAMP  NIP Transfer from ILORIN INNOVATION HUB LTD to"/>
    <s v="Bank charges"/>
    <x v="1"/>
    <n v="1.88"/>
  </r>
  <r>
    <d v="2025-10-22T00:00:00"/>
    <x v="5"/>
    <s v="000MOBT25295A03E          PAYMENT          FOR PURCHASE   OF   TRASH   BINS   NIP   Transfer from ILORIN INNOVATION HUB LTD to"/>
    <s v="Repairs and maintenance"/>
    <x v="12"/>
    <n v="102000"/>
  </r>
  <r>
    <d v="2025-10-22T00:00:00"/>
    <x v="5"/>
    <s v="000MOBT25295A03E          PAYMENT          FOR PURCHASE   OF   TRASH   BINS   NIP   Transfer from ILORIN INNOVATION HUB LTD to"/>
    <s v="Bank charges"/>
    <x v="1"/>
    <n v="50"/>
  </r>
  <r>
    <d v="2025-10-22T00:00:00"/>
    <x v="5"/>
    <s v="000MOBT25295A03E          PAYMENT          FOR PURCHASE   OF   TRASH   BINS   NIP   Transfer from ILORIN INNOVATION HUB LTD to"/>
    <s v="Bank charges"/>
    <x v="1"/>
    <n v="3.75"/>
  </r>
  <r>
    <d v="2025-10-24T00:00:00"/>
    <x v="5"/>
    <s v="016NEFO252970001 NEFT CREDIT - OCTOBER 2025 STAFF SALARY"/>
    <s v="Salaries and Wages"/>
    <x v="7"/>
    <n v="35000"/>
  </r>
  <r>
    <d v="2025-10-24T00:00:00"/>
    <x v="5"/>
    <s v="016NEFC252970001  NEFT  CREDIT  CHARGE  - OCTOBER 2025 STAFF SALARY"/>
    <s v="Bank charges"/>
    <x v="1"/>
    <n v="25"/>
  </r>
  <r>
    <d v="2025-10-24T00:00:00"/>
    <x v="5"/>
    <s v="016VATO252970001   NEFT   CREDIT   CHARGE VAT - OCTOBER 2025 STAFF SALARY"/>
    <s v="Bank charges"/>
    <x v="1"/>
    <n v="1.88"/>
  </r>
  <r>
    <d v="2025-10-24T00:00:00"/>
    <x v="5"/>
    <s v="016NEFO252970002 NEFT CREDIT - OCTOBER 2025 STAFF SALARY"/>
    <s v="Salaries and Wages"/>
    <x v="7"/>
    <n v="35000"/>
  </r>
  <r>
    <d v="2025-10-24T00:00:00"/>
    <x v="5"/>
    <s v="016NEFC252970002  NEFT  CREDIT  CHARGE  - OCTOBER 2025 STAFF SALARY"/>
    <s v="Bank charges"/>
    <x v="1"/>
    <n v="25"/>
  </r>
  <r>
    <d v="2025-10-24T00:00:00"/>
    <x v="5"/>
    <s v="016VATO252970002   NEFT   CREDIT   CHARGE VAT - OCTOBER 2025 STAFF SALARY"/>
    <s v="Bank charges"/>
    <x v="1"/>
    <n v="1.88"/>
  </r>
  <r>
    <d v="2025-10-24T00:00:00"/>
    <x v="5"/>
    <s v="016NEFO252970003 NEFT CREDIT - OCTOBER 2025 STAFF SALARY"/>
    <s v="Salaries and Wages"/>
    <x v="7"/>
    <n v="35000"/>
  </r>
  <r>
    <d v="2025-10-24T00:00:00"/>
    <x v="5"/>
    <s v="016NEFC252970003  NEFT  CREDIT  CHARGE  - OCTOBER 2025 STAFF SALARY"/>
    <s v="Bank charges"/>
    <x v="1"/>
    <n v="25"/>
  </r>
  <r>
    <d v="2025-10-24T00:00:00"/>
    <x v="5"/>
    <s v="016VATO252970003   NEFT   CREDIT   CHARGE VAT - OCTOBER 2025 STAFF SALARY"/>
    <s v="Bank charges"/>
    <x v="1"/>
    <n v="1.88"/>
  </r>
  <r>
    <d v="2025-10-24T00:00:00"/>
    <x v="5"/>
    <s v="016NEFO252970004 NEFT CREDIT - OCTOBER 2025 STAFF SALARY"/>
    <s v="Salaries and Wages"/>
    <x v="7"/>
    <n v="27500"/>
  </r>
  <r>
    <d v="2025-10-24T00:00:00"/>
    <x v="5"/>
    <s v="016NEFC252970004  NEFT  CREDIT  CHARGE  - OCTOBER 2025 STAFF SALARY"/>
    <s v="Bank charges"/>
    <x v="1"/>
    <n v="25"/>
  </r>
  <r>
    <d v="2025-10-24T00:00:00"/>
    <x v="5"/>
    <s v="016VATO252970004   NEFT   CREDIT   CHARGE VAT - OCTOBER 2025 STAFF SALARY"/>
    <s v="Bank charges"/>
    <x v="1"/>
    <n v="1.88"/>
  </r>
  <r>
    <d v="2025-10-24T00:00:00"/>
    <x v="5"/>
    <s v="016NEFO252970005 NEFT CREDIT - OCTOBER 2025 STAFF SALARY"/>
    <s v="Salaries and Wages"/>
    <x v="7"/>
    <n v="20000"/>
  </r>
  <r>
    <d v="2025-10-24T00:00:00"/>
    <x v="5"/>
    <s v="016NEFC252970005  NEFT  CREDIT  CHARGE  - OCTOBER 2025 STAFF SALARY"/>
    <s v="Bank charges"/>
    <x v="1"/>
    <n v="25"/>
  </r>
  <r>
    <d v="2025-10-24T00:00:00"/>
    <x v="5"/>
    <s v="016VATO252970005   NEFT   CREDIT   CHARGE VAT - OCTOBER 2025 STAFF SALARY"/>
    <s v="Bank charges"/>
    <x v="1"/>
    <n v="1.88"/>
  </r>
  <r>
    <d v="2025-10-24T00:00:00"/>
    <x v="5"/>
    <s v="016NEFO252970006 NEFT CREDIT - OCTOBER 2025 STAFF SALARY"/>
    <s v="Salaries and Wages"/>
    <x v="7"/>
    <n v="20000"/>
  </r>
  <r>
    <d v="2025-10-24T00:00:00"/>
    <x v="5"/>
    <s v="016NEFC252970006  NEFT  CREDIT  CHARGE  - OCTOBER 2025 STAFF SALARY"/>
    <s v="Bank charges"/>
    <x v="1"/>
    <n v="25"/>
  </r>
  <r>
    <d v="2025-10-24T00:00:00"/>
    <x v="5"/>
    <s v="016VATO252970006   NEFT   CREDIT   CHARGE VAT - OCTOBER 2025 STAFF SALARY"/>
    <s v="Bank charges"/>
    <x v="1"/>
    <n v="1.88"/>
  </r>
  <r>
    <d v="2025-10-24T00:00:00"/>
    <x v="5"/>
    <s v="016NEFO252970007 NEFT CREDIT - OCTOBER_x000a_2025 STAFF SALARY"/>
    <s v="Salaries and Wages"/>
    <x v="7"/>
    <n v="35000"/>
  </r>
  <r>
    <d v="2025-10-24T00:00:00"/>
    <x v="5"/>
    <s v="016NEFC252970007  NEFT  CREDIT  CHARGE  - OCTOBER 2025 STAFF SALARY"/>
    <s v="Bank charges"/>
    <x v="1"/>
    <n v="25"/>
  </r>
  <r>
    <d v="2025-10-24T00:00:00"/>
    <x v="5"/>
    <s v="016VATO252970007   NEFT   CREDIT   CHARGE VAT - OCTOBER 2025 STAFF SALARY"/>
    <s v="Bank charges"/>
    <x v="1"/>
    <n v="1.88"/>
  </r>
  <r>
    <d v="2025-10-24T00:00:00"/>
    <x v="5"/>
    <s v="016NEFO252970008 NEFT CREDIT - OCTOBER_x000a_2025 STAFF SALARY"/>
    <s v="Salaries and Wages"/>
    <x v="7"/>
    <n v="35000"/>
  </r>
  <r>
    <d v="2025-10-24T00:00:00"/>
    <x v="5"/>
    <s v="016NEFC252970008  NEFT  CREDIT  CHARGE  - OCTOBER 2025 STAFF SALARY"/>
    <s v="Bank charges"/>
    <x v="1"/>
    <n v="25"/>
  </r>
  <r>
    <d v="2025-10-24T00:00:00"/>
    <x v="5"/>
    <s v="016VATO252970008   NEFT   CREDIT   CHARGE VAT - OCTOBER 2025 STAFF SALARY"/>
    <s v="Bank charges"/>
    <x v="1"/>
    <n v="1.88"/>
  </r>
  <r>
    <d v="2025-10-24T00:00:00"/>
    <x v="5"/>
    <s v="016NEFO252970009 NEFT CREDIT - OCTOBER_x000a_2025 STAFF SALARY"/>
    <s v="Salaries and Wages"/>
    <x v="7"/>
    <n v="35000"/>
  </r>
  <r>
    <d v="2025-10-24T00:00:00"/>
    <x v="5"/>
    <s v="016NEFC252970009  NEFT  CREDIT  CHARGE  - OCTOBER 2025 STAFF SALARY"/>
    <s v="Bank charges"/>
    <x v="1"/>
    <n v="25"/>
  </r>
  <r>
    <d v="2025-10-24T00:00:00"/>
    <x v="5"/>
    <s v="016VATO252970009   NEFT   CREDIT   CHARGE VAT - OCTOBER 2025 STAFF SALARY"/>
    <s v="Bank charges"/>
    <x v="1"/>
    <n v="1.88"/>
  </r>
  <r>
    <d v="2025-10-24T00:00:00"/>
    <x v="5"/>
    <s v="016NEFO252970010 NEFT CREDIT - OCTOBER_x000a_2025 STAFF SALARY"/>
    <s v="Salaries and Wages"/>
    <x v="7"/>
    <n v="35000"/>
  </r>
  <r>
    <d v="2025-10-24T00:00:00"/>
    <x v="5"/>
    <s v="016NEFC252970010  NEFT  CREDIT  CHARGE  - OCTOBER 2025 STAFF SALARY"/>
    <s v="Bank charges"/>
    <x v="1"/>
    <n v="25"/>
  </r>
  <r>
    <d v="2025-10-24T00:00:00"/>
    <x v="5"/>
    <s v="016VATO252970010   NEFT   CREDIT   CHARGE VAT - OCTOBER 2025 STAFF SALARY"/>
    <s v="Bank charges"/>
    <x v="1"/>
    <n v="1.88"/>
  </r>
  <r>
    <d v="2025-10-24T00:00:00"/>
    <x v="5"/>
    <s v="016NEFO252970011 NEFT CREDIT - OCTOBER_x000a_2025 STAFF SALARY"/>
    <s v="Salaries and Wages"/>
    <x v="7"/>
    <n v="27500"/>
  </r>
  <r>
    <d v="2025-10-24T00:00:00"/>
    <x v="5"/>
    <s v="016NEFC252970011  NEFT  CREDIT  CHARGE  - OCTOBER 2025 STAFF SALARY"/>
    <s v="Bank charges"/>
    <x v="1"/>
    <n v="25"/>
  </r>
  <r>
    <d v="2025-10-24T00:00:00"/>
    <x v="5"/>
    <s v="016VATO252970011   NEFT   CREDIT   CHARGE VAT - OCTOBER 2025 STAFF SALARY"/>
    <s v="Bank charges"/>
    <x v="1"/>
    <n v="1.88"/>
  </r>
  <r>
    <d v="2025-10-24T00:00:00"/>
    <x v="5"/>
    <s v="016NEFO252970012 NEFT CREDIT - OCTOBER_x000a_2025 STAFF SALARY"/>
    <s v="Salaries and Wages"/>
    <x v="7"/>
    <n v="20000"/>
  </r>
  <r>
    <d v="2025-10-24T00:00:00"/>
    <x v="5"/>
    <s v="016NEFC252970012  NEFT  CREDIT  CHARGE  - OCTOBER 2025 STAFF SALARY"/>
    <s v="Bank charges"/>
    <x v="1"/>
    <n v="25"/>
  </r>
  <r>
    <d v="2025-10-24T00:00:00"/>
    <x v="5"/>
    <s v="016VATO252970012   NEFT   CREDIT   CHARGE VAT - OCTOBER 2025 STAFF SALARY"/>
    <s v="Bank charges"/>
    <x v="1"/>
    <n v="1.88"/>
  </r>
  <r>
    <d v="2025-10-24T00:00:00"/>
    <x v="5"/>
    <s v="016NEFO252970013 NEFT CREDIT - OCTOBER_x000a_2025 STAFF SALARY"/>
    <s v="Salaries and Wages"/>
    <x v="7"/>
    <n v="20000"/>
  </r>
  <r>
    <d v="2025-10-24T00:00:00"/>
    <x v="5"/>
    <s v="016NEFC252970013  NEFT  CREDIT  CHARGE  - OCTOBER 2025 STAFF SALARY"/>
    <s v="Bank charges"/>
    <x v="1"/>
    <n v="25"/>
  </r>
  <r>
    <d v="2025-10-24T00:00:00"/>
    <x v="5"/>
    <s v="016VATO252970013   NEFT   CREDIT   CHARGE VAT - OCTOBER 2025 STAFF SALARY"/>
    <s v="Bank charges"/>
    <x v="1"/>
    <n v="1.88"/>
  </r>
  <r>
    <d v="2025-10-24T00:00:00"/>
    <x v="5"/>
    <s v="016NEFO252970014 NEFT CREDIT - OCTOBER_x000a_2025 STAFF SALARY"/>
    <s v="Salaries and Wages"/>
    <x v="7"/>
    <n v="20000"/>
  </r>
  <r>
    <d v="2025-10-24T00:00:00"/>
    <x v="5"/>
    <s v="016NEFC252970014  NEFT  CREDIT  CHARGE  - OCTOBER 2025 STAFF SALARY"/>
    <s v="Bank charges"/>
    <x v="1"/>
    <n v="25"/>
  </r>
  <r>
    <d v="2025-10-24T00:00:00"/>
    <x v="5"/>
    <s v="016VATO252970014   NEFT   CREDIT   CHARGE VAT - OCTOBER 2025 STAFF SALARY"/>
    <s v="Bank charges"/>
    <x v="1"/>
    <n v="1.88"/>
  </r>
  <r>
    <d v="2025-10-24T00:00:00"/>
    <x v="5"/>
    <s v="016NEFO252970015 NEFT CREDIT - OCTOBER_x000a_2025 STAFF SALARY"/>
    <s v="Salaries and Wages"/>
    <x v="7"/>
    <n v="35000"/>
  </r>
  <r>
    <d v="2025-10-24T00:00:00"/>
    <x v="5"/>
    <s v="016NEFC252970015  NEFT  CREDIT  CHARGE  - OCTOBER 2025 STAFF SALARY"/>
    <s v="Bank charges"/>
    <x v="1"/>
    <n v="25"/>
  </r>
  <r>
    <d v="2025-10-24T00:00:00"/>
    <x v="5"/>
    <s v="016VATO252970015   NEFT   CREDIT   CHARGE VAT - OCTOBER 2025 STAFF SALARY"/>
    <s v="Bank charges"/>
    <x v="1"/>
    <n v="1.88"/>
  </r>
  <r>
    <d v="2025-10-24T00:00:00"/>
    <x v="5"/>
    <s v="016NEFO252970016 NEFT CREDIT - OCTOBER_x000a_2025 STAFF SALARY"/>
    <s v="Salaries and Wages"/>
    <x v="7"/>
    <n v="70000"/>
  </r>
  <r>
    <d v="2025-10-24T00:00:00"/>
    <x v="5"/>
    <s v="016NEFC252970016  NEFT  CREDIT  CHARGE  - OCTOBER 2025 STAFF SALARY"/>
    <s v="Bank charges"/>
    <x v="1"/>
    <n v="50"/>
  </r>
  <r>
    <d v="2025-10-24T00:00:00"/>
    <x v="5"/>
    <s v="016VATO252970016   NEFT   CREDIT   CHARGE VAT - OCTOBER 2025 STAFF SALARY"/>
    <s v="Bank charges"/>
    <x v="1"/>
    <n v="3.75"/>
  </r>
  <r>
    <d v="2025-10-24T00:00:00"/>
    <x v="5"/>
    <s v="016NEFO252970017 NEFT CREDIT - OCTOBER_x000a_2025 STAFF SALARY"/>
    <s v="Salaries and Wages"/>
    <x v="7"/>
    <n v="35000"/>
  </r>
  <r>
    <d v="2025-10-24T00:00:00"/>
    <x v="5"/>
    <s v="016NEFC252970017  NEFT  CREDIT  CHARGE  - OCTOBER 2025 STAFF SALARY"/>
    <s v="Bank charges"/>
    <x v="1"/>
    <n v="25"/>
  </r>
  <r>
    <d v="2025-10-24T00:00:00"/>
    <x v="5"/>
    <s v="016VATO252970017   NEFT   CREDIT   CHARGE VAT - OCTOBER 2025 STAFF SALARY"/>
    <s v="Bank charges"/>
    <x v="1"/>
    <n v="1.88"/>
  </r>
  <r>
    <d v="2025-10-24T00:00:00"/>
    <x v="5"/>
    <s v="016NEFO252970018 NEFT CREDIT - OCTOBER_x000a_2025 STAFF SALARY"/>
    <s v="Salaries and Wages"/>
    <x v="7"/>
    <n v="70000"/>
  </r>
  <r>
    <d v="2025-10-24T00:00:00"/>
    <x v="5"/>
    <s v="016NEFC252970018  NEFT  CREDIT  CHARGE  - OCTOBER 2025 STAFF SALARY"/>
    <s v="Bank charges"/>
    <x v="1"/>
    <n v="50"/>
  </r>
  <r>
    <d v="2025-10-24T00:00:00"/>
    <x v="5"/>
    <s v="016VATO252970018   NEFT   CREDIT   CHARGE VAT - OCTOBER 2025 STAFF SALARY"/>
    <s v="Bank charges"/>
    <x v="1"/>
    <n v="3.75"/>
  </r>
  <r>
    <d v="2025-10-24T00:00:00"/>
    <x v="5"/>
    <s v="016NEFO252970019 NEFT CREDIT - OCTOBER_x000a_2025 STAFF SALARY"/>
    <s v="Salaries and Wages"/>
    <x v="7"/>
    <n v="20000"/>
  </r>
  <r>
    <d v="2025-10-24T00:00:00"/>
    <x v="5"/>
    <s v="016NEFC252970019  NEFT  CREDIT  CHARGE  - OCTOBER 2025 STAFF SALARY"/>
    <s v="Bank charges"/>
    <x v="1"/>
    <n v="25"/>
  </r>
  <r>
    <d v="2025-10-24T00:00:00"/>
    <x v="5"/>
    <s v="016VATO252970019   NEFT   CREDIT   CHARGE VAT - OCTOBER 2025 STAFF SALARY"/>
    <s v="Bank charges"/>
    <x v="1"/>
    <n v="1.88"/>
  </r>
  <r>
    <d v="2025-10-24T00:00:00"/>
    <x v="5"/>
    <s v="016NEFO252970020 NEFT CREDIT - OCTOBER_x000a_2025 STAFF SALARY"/>
    <s v="Salaries and Wages"/>
    <x v="7"/>
    <n v="27500"/>
  </r>
  <r>
    <d v="2025-10-24T00:00:00"/>
    <x v="5"/>
    <s v="016NEFC252970020  NEFT  CREDIT  CHARGE  - OCTOBER 2025 STAFF SALARY"/>
    <s v="Bank charges"/>
    <x v="1"/>
    <n v="25"/>
  </r>
  <r>
    <d v="2025-10-24T00:00:00"/>
    <x v="5"/>
    <s v="016VATO252970020   NEFT   CREDIT   CHARGE VAT - OCTOBER 2025 STAFF SALARY"/>
    <s v="Bank charges"/>
    <x v="1"/>
    <n v="1.88"/>
  </r>
  <r>
    <d v="2025-10-24T00:00:00"/>
    <x v="5"/>
    <s v="016NEFO252970021 NEFT CREDIT - OCTOBER_x000a_2025 STAFF SALARY"/>
    <s v="Salaries and Wages"/>
    <x v="7"/>
    <n v="20000"/>
  </r>
  <r>
    <d v="2025-10-24T00:00:00"/>
    <x v="5"/>
    <s v="016NEFC252970021  NEFT  CREDIT  CHARGE  - OCTOBER 2025 STAFF SALARY"/>
    <s v="Bank charges"/>
    <x v="1"/>
    <n v="25"/>
  </r>
  <r>
    <d v="2025-10-24T00:00:00"/>
    <x v="5"/>
    <s v="016VATO252970021   NEFT   CREDIT   CHARGE VAT - OCTOBER 2025 STAFF SALARY"/>
    <s v="Bank charges"/>
    <x v="1"/>
    <n v="1.88"/>
  </r>
  <r>
    <d v="2025-10-24T00:00:00"/>
    <x v="5"/>
    <s v="016NEFO252970022 NEFT CREDIT - OCTOBER_x000a_2025 STAFF SALARY"/>
    <s v="Salaries and Wages"/>
    <x v="7"/>
    <n v="20000"/>
  </r>
  <r>
    <d v="2025-10-24T00:00:00"/>
    <x v="5"/>
    <s v="016NEFC252970022  NEFT  CREDIT  CHARGE  - OCTOBER 2025 STAFF SALARY"/>
    <s v="Bank charges"/>
    <x v="1"/>
    <n v="25"/>
  </r>
  <r>
    <d v="2025-10-24T00:00:00"/>
    <x v="5"/>
    <s v="016VATO252970022   NEFT   CREDIT   CHARGE VAT - OCTOBER 2025 STAFF SALARY"/>
    <s v="Bank charges"/>
    <x v="1"/>
    <n v="1.88"/>
  </r>
  <r>
    <d v="2025-10-24T00:00:00"/>
    <x v="5"/>
    <s v="016NEFO252970023 NEFT CREDIT - OCTOBER_x000a_2025 STAFF SALARY"/>
    <s v="Salaries and Wages"/>
    <x v="7"/>
    <n v="35000"/>
  </r>
  <r>
    <d v="2025-10-24T00:00:00"/>
    <x v="5"/>
    <s v="016NEFC252970023  NEFT  CREDIT  CHARGE  - OCTOBER 2025 STAFF SALARY"/>
    <s v="Bank charges"/>
    <x v="1"/>
    <n v="25"/>
  </r>
  <r>
    <d v="2025-10-24T00:00:00"/>
    <x v="5"/>
    <s v="016VATO252970023   NEFT   CREDIT   CHARGE VAT - OCTOBER 2025 STAFF SALARY"/>
    <s v="Bank charges"/>
    <x v="1"/>
    <n v="1.88"/>
  </r>
  <r>
    <d v="2025-10-24T00:00:00"/>
    <x v="5"/>
    <s v="016NEFO252970024 NEFT CREDIT - OCTOBER_x000a_2025 STAFF SALARY"/>
    <s v="Salaries and Wages"/>
    <x v="7"/>
    <n v="20000"/>
  </r>
  <r>
    <d v="2025-10-24T00:00:00"/>
    <x v="5"/>
    <s v="016NEFC252970024  NEFT  CREDIT  CHARGE  - OCTOBER 2025 STAFF SALARY"/>
    <s v="Bank charges"/>
    <x v="1"/>
    <n v="25"/>
  </r>
  <r>
    <d v="2025-10-24T00:00:00"/>
    <x v="5"/>
    <s v="016VATO252970024   NEFT   CREDIT   CHARGE VAT - OCTOBER 2025 STAFF SALARY"/>
    <s v="Bank charges"/>
    <x v="1"/>
    <n v="1.88"/>
  </r>
  <r>
    <d v="2025-10-24T00:00:00"/>
    <x v="5"/>
    <s v="016NEFO252970025 NEFT CREDIT - OCTOBER_x000a_2025 STAFF SALARY"/>
    <s v="Salaries and Wages"/>
    <x v="7"/>
    <n v="20000"/>
  </r>
  <r>
    <d v="2025-10-24T00:00:00"/>
    <x v="5"/>
    <s v="016NEFC252970025  NEFT  CREDIT  CHARGE  - OCTOBER 2025 STAFF SALARY"/>
    <s v="Bank charges"/>
    <x v="1"/>
    <n v="25"/>
  </r>
  <r>
    <d v="2025-10-24T00:00:00"/>
    <x v="5"/>
    <s v="016VATO252970025   NEFT   CREDIT   CHARGE VAT - OCTOBER 2025 STAFF SALARY"/>
    <s v="Bank charges"/>
    <x v="1"/>
    <n v="1.88"/>
  </r>
  <r>
    <d v="2025-10-24T00:00:00"/>
    <x v="5"/>
    <s v="016NEFO252970026 NEFT CREDIT - OCTOBER_x000a_2025 STAFF SALARY"/>
    <s v="Salaries and Wages"/>
    <x v="7"/>
    <n v="158172.20000000001"/>
  </r>
  <r>
    <d v="2025-10-24T00:00:00"/>
    <x v="5"/>
    <s v="016NEFC252970026  NEFT  CREDIT  CHARGE  - OCTOBER 2025 STAFF SALARY"/>
    <s v="Bank charges"/>
    <x v="1"/>
    <n v="50"/>
  </r>
  <r>
    <d v="2025-10-24T00:00:00"/>
    <x v="5"/>
    <s v="016VATO252970026   NEFT   CREDIT   CHARGE VAT - OCTOBER 2025 STAFF SALARY"/>
    <s v="Bank charges"/>
    <x v="1"/>
    <n v="3.75"/>
  </r>
  <r>
    <d v="2025-10-24T00:00:00"/>
    <x v="5"/>
    <s v="016NEFO252970027 NEFT CREDIT - OCTOBER_x000a_2025 STAFF SALARY"/>
    <s v="Salaries and Wages"/>
    <x v="7"/>
    <n v="283172.2"/>
  </r>
  <r>
    <d v="2025-10-24T00:00:00"/>
    <x v="5"/>
    <s v="016NEFC252970027  NEFT  CREDIT  CHARGE  - OCTOBER 2025 STAFF SALARY"/>
    <s v="Bank charges"/>
    <x v="1"/>
    <n v="50"/>
  </r>
  <r>
    <d v="2025-10-24T00:00:00"/>
    <x v="5"/>
    <s v="016VATO252970027   NEFT   CREDIT   CHARGE VAT - OCTOBER 2025 STAFF SALARY"/>
    <s v="Bank charges"/>
    <x v="1"/>
    <n v="3.75"/>
  </r>
  <r>
    <d v="2025-10-24T00:00:00"/>
    <x v="5"/>
    <s v="016NEFO252970028 NEFT CREDIT - OCTOBER_x000a_2025 STAFF SALARY"/>
    <s v="Salaries and Wages"/>
    <x v="7"/>
    <n v="283172.2"/>
  </r>
  <r>
    <d v="2025-10-24T00:00:00"/>
    <x v="5"/>
    <s v="016NEFC252970028  NEFT  CREDIT  CHARGE  - OCTOBER 2025 STAFF SALARY"/>
    <s v="Bank charges"/>
    <x v="1"/>
    <n v="50"/>
  </r>
  <r>
    <d v="2025-10-24T00:00:00"/>
    <x v="5"/>
    <s v="016VATO252970028   NEFT   CREDIT   CHARGE VAT - OCTOBER 2025 STAFF SALARY"/>
    <s v="Bank charges"/>
    <x v="1"/>
    <n v="3.75"/>
  </r>
  <r>
    <d v="2025-10-24T00:00:00"/>
    <x v="5"/>
    <s v="016NEFO252970029 NEFT CREDIT - OCTOBER_x000a_2025 STAFF SALARY"/>
    <s v="Salaries and Wages"/>
    <x v="7"/>
    <n v="140171.67000000001"/>
  </r>
  <r>
    <d v="2025-10-24T00:00:00"/>
    <x v="5"/>
    <s v="016NEFC252970029  NEFT  CREDIT  CHARGE  - OCTOBER 2025 STAFF SALARY"/>
    <s v="Bank charges"/>
    <x v="1"/>
    <n v="50"/>
  </r>
  <r>
    <d v="2025-10-24T00:00:00"/>
    <x v="5"/>
    <s v="016VATO252970029   NEFT   CREDIT   CHARGE VAT - OCTOBER 2025 STAFF SALARY"/>
    <s v="Bank charges"/>
    <x v="1"/>
    <n v="3.75"/>
  </r>
  <r>
    <d v="2025-10-24T00:00:00"/>
    <x v="5"/>
    <s v="016NEFO252970030 NEFT CREDIT - OCTOBER_x000a_2025 STAFF SALARY"/>
    <s v="Salaries and Wages"/>
    <x v="7"/>
    <n v="44432.33"/>
  </r>
  <r>
    <d v="2025-10-24T00:00:00"/>
    <x v="5"/>
    <s v="016NEFC252970030  NEFT  CREDIT  CHARGE  - OCTOBER 2025 STAFF SALARY"/>
    <s v="Bank charges"/>
    <x v="1"/>
    <n v="25"/>
  </r>
  <r>
    <d v="2025-10-24T00:00:00"/>
    <x v="5"/>
    <s v="016VATO252970030   NEFT   CREDIT   CHARGE VAT - OCTOBER 2025 STAFF SALARY"/>
    <s v="Bank charges"/>
    <x v="1"/>
    <n v="1.88"/>
  </r>
  <r>
    <d v="2025-10-24T00:00:00"/>
    <x v="5"/>
    <s v="016NEFO252970031 NEFT CREDIT - OCTOBER_x000a_2025 STAFF SALARY"/>
    <s v="Salaries and Wages"/>
    <x v="7"/>
    <n v="44432.33"/>
  </r>
  <r>
    <d v="2025-10-24T00:00:00"/>
    <x v="5"/>
    <s v="016NEFC252970031  NEFT  CREDIT  CHARGE  - OCTOBER 2025 STAFF SALARY"/>
    <s v="Bank charges"/>
    <x v="1"/>
    <n v="25"/>
  </r>
  <r>
    <d v="2025-10-24T00:00:00"/>
    <x v="5"/>
    <s v="016VATO252970031   NEFT   CREDIT   CHARGE VAT - OCTOBER 2025 STAFF SALARY"/>
    <s v="Bank charges"/>
    <x v="1"/>
    <n v="1.88"/>
  </r>
  <r>
    <d v="2025-10-24T00:00:00"/>
    <x v="5"/>
    <s v="016NEFO252970032 NEFT CREDIT - OCTOBER_x000a_2025 STAFF SALARY"/>
    <s v="Salaries and Wages"/>
    <x v="7"/>
    <n v="486614.6"/>
  </r>
  <r>
    <d v="2025-10-24T00:00:00"/>
    <x v="5"/>
    <s v="016NEFC252970032  NEFT  CREDIT  CHARGE  - OCTOBER 2025 STAFF SALARY"/>
    <s v="Bank charges"/>
    <x v="1"/>
    <n v="50"/>
  </r>
  <r>
    <d v="2025-10-24T00:00:00"/>
    <x v="5"/>
    <s v="016VATO252970032   NEFT   CREDIT   CHARGE VAT - OCTOBER 2025 STAFF SALARY"/>
    <s v="Bank charges"/>
    <x v="1"/>
    <n v="3.75"/>
  </r>
  <r>
    <d v="2025-10-24T00:00:00"/>
    <x v="5"/>
    <s v="016NEFO252970033 NEFT CREDIT - OCTOBER_x000a_2025 STAFF SALARY"/>
    <s v="Salaries and Wages"/>
    <x v="7"/>
    <n v="283172.2"/>
  </r>
  <r>
    <d v="2025-10-24T00:00:00"/>
    <x v="5"/>
    <s v="016NEFC252970033  NEFT  CREDIT  CHARGE  - OCTOBER 2025 STAFF SALARY"/>
    <s v="Bank charges"/>
    <x v="1"/>
    <n v="50"/>
  </r>
  <r>
    <d v="2025-10-24T00:00:00"/>
    <x v="5"/>
    <s v="016VATO252970033   NEFT   CREDIT   CHARGE VAT - OCTOBER 2025 STAFF SALARY"/>
    <s v="Bank charges"/>
    <x v="1"/>
    <n v="3.75"/>
  </r>
  <r>
    <d v="2025-10-24T00:00:00"/>
    <x v="5"/>
    <s v="016NEFO252970034 NEFT CREDIT - OCTOBER_x000a_2025 STAFF SALARY"/>
    <s v="Salaries and Wages"/>
    <x v="7"/>
    <n v="283172.2"/>
  </r>
  <r>
    <d v="2025-10-24T00:00:00"/>
    <x v="5"/>
    <s v="016NEFC252970034  NEFT  CREDIT  CHARGE  - OCTOBER 2025 STAFF SALARY"/>
    <s v="Bank charges"/>
    <x v="1"/>
    <n v="50"/>
  </r>
  <r>
    <d v="2025-10-24T00:00:00"/>
    <x v="5"/>
    <s v="016VATO252970034   NEFT   CREDIT   CHARGE VAT - OCTOBER 2025 STAFF SALARY"/>
    <s v="Bank charges"/>
    <x v="1"/>
    <n v="3.75"/>
  </r>
  <r>
    <d v="2025-10-24T00:00:00"/>
    <x v="5"/>
    <s v="016NEFO252970035 NEFT CREDIT - OCTOBER_x000a_2025 STAFF SALARY"/>
    <s v="Salaries and Wages"/>
    <x v="7"/>
    <n v="283172.2"/>
  </r>
  <r>
    <d v="2025-10-24T00:00:00"/>
    <x v="5"/>
    <s v="016NEFC252970035  NEFT  CREDIT  CHARGE  - OCTOBER 2025 STAFF SALARY"/>
    <s v="Bank charges"/>
    <x v="1"/>
    <n v="50"/>
  </r>
  <r>
    <d v="2025-10-24T00:00:00"/>
    <x v="5"/>
    <s v="016VATO252970035   NEFT   CREDIT   CHARGE VAT - OCTOBER 2025 STAFF SALARY"/>
    <s v="Bank charges"/>
    <x v="1"/>
    <n v="3.75"/>
  </r>
  <r>
    <d v="2025-10-24T00:00:00"/>
    <x v="5"/>
    <s v="016NEFO252970036 NEFT CREDIT - OCTOBER_x000a_2025 STAFF SALARY"/>
    <s v="Salaries and Wages"/>
    <x v="7"/>
    <n v="140171.67000000001"/>
  </r>
  <r>
    <d v="2025-10-24T00:00:00"/>
    <x v="5"/>
    <s v="016NEFC252970036  NEFT  CREDIT  CHARGE  - OCTOBER 2025 STAFF SALARY"/>
    <s v="Bank charges"/>
    <x v="1"/>
    <n v="50"/>
  </r>
  <r>
    <d v="2025-10-24T00:00:00"/>
    <x v="5"/>
    <s v="016VATO252970036   NEFT   CREDIT   CHARGE VAT - OCTOBER 2025 STAFF SALARY"/>
    <s v="Bank charges"/>
    <x v="1"/>
    <n v="3.75"/>
  </r>
  <r>
    <d v="2025-10-24T00:00:00"/>
    <x v="5"/>
    <s v="016NEFO252970037 NEFT CREDIT - OCTOBER_x000a_2025 STAFF SALARY"/>
    <s v="Salaries and Wages"/>
    <x v="7"/>
    <n v="52835"/>
  </r>
  <r>
    <d v="2025-10-24T00:00:00"/>
    <x v="5"/>
    <s v="016NEFC252970037  NEFT  CREDIT  CHARGE  - OCTOBER 2025 STAFF SALARY"/>
    <s v="Bank charges"/>
    <x v="1"/>
    <n v="50"/>
  </r>
  <r>
    <d v="2025-10-24T00:00:00"/>
    <x v="5"/>
    <s v="016VATO252970037   NEFT   CREDIT   CHARGE VAT - OCTOBER 2025 STAFF SALARY"/>
    <s v="Bank charges"/>
    <x v="1"/>
    <n v="3.75"/>
  </r>
  <r>
    <d v="2025-10-24T00:00:00"/>
    <x v="5"/>
    <s v="016NEFO252970038 NEFT CREDIT - OCTOBER_x000a_2025 STAFF SALARY"/>
    <s v="Salaries and Wages"/>
    <x v="7"/>
    <n v="52835"/>
  </r>
  <r>
    <d v="2025-10-24T00:00:00"/>
    <x v="5"/>
    <s v="016NEFC252970038  NEFT  CREDIT  CHARGE  - OCTOBER 2025 STAFF SALARY"/>
    <s v="Bank charges"/>
    <x v="1"/>
    <n v="50"/>
  </r>
  <r>
    <d v="2025-10-24T00:00:00"/>
    <x v="5"/>
    <s v="016VATO252970038   NEFT   CREDIT   CHARGE VAT - OCTOBER 2025 STAFF SALARY"/>
    <s v="Bank charges"/>
    <x v="1"/>
    <n v="3.75"/>
  </r>
  <r>
    <d v="2025-10-24T00:00:00"/>
    <x v="5"/>
    <s v="016NEFO252970039 NEFT CREDIT - OCTOBER_x000a_2025 STAFF SALARY"/>
    <s v="Salaries and Wages"/>
    <x v="7"/>
    <n v="44432.33"/>
  </r>
  <r>
    <d v="2025-10-24T00:00:00"/>
    <x v="5"/>
    <s v="016NEFC252970039  NEFT  CREDIT  CHARGE  - OCTOBER 2025 STAFF SALARY"/>
    <s v="Bank charges"/>
    <x v="1"/>
    <n v="25"/>
  </r>
  <r>
    <d v="2025-10-24T00:00:00"/>
    <x v="5"/>
    <s v="016VATO252970039   NEFT   CREDIT   CHARGE VAT - OCTOBER 2025 STAFF SALARY"/>
    <s v="Bank charges"/>
    <x v="1"/>
    <n v="1.88"/>
  </r>
  <r>
    <d v="2025-10-24T00:00:00"/>
    <x v="5"/>
    <s v="016NEFO252970040 NEFT CREDIT - OCTOBER_x000a_2025 STAFF SALARY"/>
    <s v="Salaries and Wages"/>
    <x v="7"/>
    <n v="283172.2"/>
  </r>
  <r>
    <d v="2025-10-24T00:00:00"/>
    <x v="5"/>
    <s v="016NEFC252970040  NEFT  CREDIT  CHARGE  - OCTOBER 2025 STAFF SALARY"/>
    <s v="Bank charges"/>
    <x v="1"/>
    <n v="50"/>
  </r>
  <r>
    <d v="2025-10-24T00:00:00"/>
    <x v="5"/>
    <s v="016VATO252970040   NEFT   CREDIT   CHARGE VAT - OCTOBER 2025 STAFF SALARY"/>
    <s v="Bank charges"/>
    <x v="1"/>
    <n v="3.75"/>
  </r>
  <r>
    <d v="2025-10-24T00:00:00"/>
    <x v="5"/>
    <s v="016NEFO252970041 NEFT CREDIT - OCTOBER_x000a_2025 STAFF SALARY"/>
    <s v="Salaries and Wages"/>
    <x v="7"/>
    <n v="4019028.36"/>
  </r>
  <r>
    <d v="2025-10-24T00:00:00"/>
    <x v="5"/>
    <s v="016NEFC252970041  NEFT  CREDIT  CHARGE  - OCTOBER 2025 STAFF SALARY"/>
    <s v="Bank charges"/>
    <x v="1"/>
    <n v="50"/>
  </r>
  <r>
    <d v="2025-10-24T00:00:00"/>
    <x v="5"/>
    <s v="016VATO252970041   NEFT   CREDIT   CHARGE VAT - OCTOBER 2025 STAFF SALARY"/>
    <s v="Bank charges"/>
    <x v="1"/>
    <n v="3.75"/>
  </r>
  <r>
    <d v="2025-10-24T00:00:00"/>
    <x v="5"/>
    <s v="016NEFO252970042 NEFT CREDIT - OCTOBER_x000a_2025 STAFF SALARY"/>
    <s v="Salaries and Wages"/>
    <x v="7"/>
    <n v="283172.2"/>
  </r>
  <r>
    <d v="2025-10-24T00:00:00"/>
    <x v="5"/>
    <s v="016NEFC252970042  NEFT  CREDIT  CHARGE  - OCTOBER 2025 STAFF SALARY"/>
    <s v="Bank charges"/>
    <x v="1"/>
    <n v="50"/>
  </r>
  <r>
    <d v="2025-10-24T00:00:00"/>
    <x v="5"/>
    <s v="016VATO252970042   NEFT   CREDIT   CHARGE VAT - OCTOBER 2025 STAFF SALARY"/>
    <s v="Bank charges"/>
    <x v="1"/>
    <n v="3.75"/>
  </r>
  <r>
    <d v="2025-10-24T00:00:00"/>
    <x v="5"/>
    <s v="016NEFO252970043 NEFT CREDIT - OCTOBER_x000a_2025 STAFF SALARY"/>
    <s v="Salaries and Wages"/>
    <x v="7"/>
    <n v="2295519.56"/>
  </r>
  <r>
    <d v="2025-10-24T00:00:00"/>
    <x v="5"/>
    <s v="016NEFC252970043  NEFT  CREDIT  CHARGE  - OCTOBER 2025 STAFF SALARY"/>
    <s v="Bank charges"/>
    <x v="1"/>
    <n v="50"/>
  </r>
  <r>
    <d v="2025-10-24T00:00:00"/>
    <x v="5"/>
    <s v="016VATO252970043   NEFT   CREDIT   CHARGE VAT - OCTOBER 2025 STAFF SALARY"/>
    <s v="Bank charges"/>
    <x v="1"/>
    <n v="3.75"/>
  </r>
  <r>
    <d v="2025-10-24T00:00:00"/>
    <x v="5"/>
    <s v="016NEFO252970044 NEFT CREDIT - OCTOBER_x000a_2025 STAFF SALARY"/>
    <s v="Salaries and Wages"/>
    <x v="7"/>
    <n v="52835"/>
  </r>
  <r>
    <d v="2025-10-24T00:00:00"/>
    <x v="5"/>
    <s v="016NEFC252970044  NEFT  CREDIT  CHARGE  - OCTOBER 2025 STAFF SALARY"/>
    <s v="Bank charges"/>
    <x v="1"/>
    <n v="50"/>
  </r>
  <r>
    <d v="2025-10-24T00:00:00"/>
    <x v="5"/>
    <s v="016VATO252970044   NEFT   CREDIT   CHARGE VAT - OCTOBER 2025 STAFF SALARY"/>
    <s v="Bank charges"/>
    <x v="1"/>
    <n v="3.75"/>
  </r>
  <r>
    <d v="2025-10-24T00:00:00"/>
    <x v="5"/>
    <s v="016NEFO252970045 NEFT CREDIT - OCTOBER_x000a_2025 STAFF SALARY"/>
    <s v="Salaries and Wages"/>
    <x v="7"/>
    <n v="140171.67000000001"/>
  </r>
  <r>
    <d v="2025-10-24T00:00:00"/>
    <x v="5"/>
    <s v="016NEFC252970045  NEFT  CREDIT  CHARGE  - OCTOBER 2025 STAFF SALARY"/>
    <s v="Bank charges"/>
    <x v="1"/>
    <n v="50"/>
  </r>
  <r>
    <d v="2025-10-24T00:00:00"/>
    <x v="5"/>
    <s v="016VATO252970045   NEFT   CREDIT   CHARGE VAT - OCTOBER 2025 STAFF SALARY"/>
    <s v="Bank charges"/>
    <x v="1"/>
    <n v="3.75"/>
  </r>
  <r>
    <d v="2025-10-24T00:00:00"/>
    <x v="5"/>
    <s v="016NEFO252970046 NEFT CREDIT - OCTOBER_x000a_2025 STAFF SALARY"/>
    <s v="Salaries and Wages"/>
    <x v="7"/>
    <n v="44432.33"/>
  </r>
  <r>
    <d v="2025-10-24T00:00:00"/>
    <x v="5"/>
    <s v="016NEFC252970046  NEFT  CREDIT  CHARGE  - OCTOBER 2025 STAFF SALARY"/>
    <s v="Bank charges"/>
    <x v="1"/>
    <n v="25"/>
  </r>
  <r>
    <d v="2025-10-24T00:00:00"/>
    <x v="5"/>
    <s v="016VATO252970046   NEFT   CREDIT   CHARGE VAT - OCTOBER 2025 STAFF SALARY"/>
    <s v="Bank charges"/>
    <x v="1"/>
    <n v="1.88"/>
  </r>
  <r>
    <d v="2025-10-24T00:00:00"/>
    <x v="5"/>
    <s v="016NEFO252970047 NEFT CREDIT - OCTOBER_x000a_2025 STAFF SALARY"/>
    <s v="Salaries and Wages"/>
    <x v="7"/>
    <n v="71025"/>
  </r>
  <r>
    <d v="2025-10-24T00:00:00"/>
    <x v="5"/>
    <s v="016NEFC252970047  NEFT  CREDIT  CHARGE  - OCTOBER 2025 STAFF SALARY"/>
    <s v="Bank charges"/>
    <x v="1"/>
    <n v="50"/>
  </r>
  <r>
    <d v="2025-10-24T00:00:00"/>
    <x v="5"/>
    <s v="016VATO252970047   NEFT   CREDIT   CHARGE VAT - OCTOBER 2025 STAFF SALARY"/>
    <s v="Bank charges"/>
    <x v="1"/>
    <n v="3.75"/>
  </r>
  <r>
    <d v="2025-10-24T00:00:00"/>
    <x v="5"/>
    <s v="016NEFO252970048 NEFT CREDIT - OCTOBER_x000a_2025 STAFF SALARY"/>
    <s v="Salaries and Wages"/>
    <x v="7"/>
    <n v="283172.2"/>
  </r>
  <r>
    <d v="2025-10-24T00:00:00"/>
    <x v="5"/>
    <s v="016NEFC252970048  NEFT  CREDIT  CHARGE  - OCTOBER 2025 STAFF SALARY"/>
    <s v="Bank charges"/>
    <x v="1"/>
    <n v="50"/>
  </r>
  <r>
    <d v="2025-10-24T00:00:00"/>
    <x v="5"/>
    <s v="016VATO252970048   NEFT   CREDIT   CHARGE VAT - OCTOBER 2025 STAFF SALARY"/>
    <s v="Bank charges"/>
    <x v="1"/>
    <n v="3.75"/>
  </r>
  <r>
    <d v="2025-10-24T00:00:00"/>
    <x v="5"/>
    <s v="016NEFO252970049 NEFT CREDIT - OCTOBER_x000a_2025 STAFF SALARY"/>
    <s v="Salaries and Wages"/>
    <x v="7"/>
    <n v="44432.33"/>
  </r>
  <r>
    <d v="2025-10-24T00:00:00"/>
    <x v="5"/>
    <s v="016NEFC252970049  NEFT  CREDIT  CHARGE  - OCTOBER 2025 STAFF SALARY"/>
    <s v="Bank charges"/>
    <x v="1"/>
    <n v="25"/>
  </r>
  <r>
    <d v="2025-10-24T00:00:00"/>
    <x v="5"/>
    <s v="016VATO252970049   NEFT   CREDIT   CHARGE VAT - OCTOBER 2025 STAFF SALARY"/>
    <s v="Bank charges"/>
    <x v="1"/>
    <n v="1.88"/>
  </r>
  <r>
    <d v="2025-10-24T00:00:00"/>
    <x v="5"/>
    <s v="016NEFO252970050 NEFT CREDIT - OCTOBER_x000a_2025 STAFF SALARY"/>
    <s v="Salaries and Wages"/>
    <x v="7"/>
    <n v="44432.33"/>
  </r>
  <r>
    <d v="2025-10-24T00:00:00"/>
    <x v="5"/>
    <s v="016NEFC252970050  NEFT  CREDIT  CHARGE  - OCTOBER 2025 STAFF SALARY"/>
    <s v="Bank charges"/>
    <x v="1"/>
    <n v="25"/>
  </r>
  <r>
    <d v="2025-10-24T00:00:00"/>
    <x v="5"/>
    <s v="016VATO252970050   NEFT   CREDIT   CHARGE VAT - OCTOBER 2025 STAFF SALARY"/>
    <s v="Bank charges"/>
    <x v="1"/>
    <n v="1.88"/>
  </r>
  <r>
    <d v="2025-10-24T00:00:00"/>
    <x v="5"/>
    <s v="016NEFO252970029 NEFT CREDIT - OCTOBER_x000a_2025 STAFF SALARY"/>
    <s v="Salaries and Wages"/>
    <x v="7"/>
    <n v="-140171.67000000001"/>
  </r>
  <r>
    <d v="2025-10-24T00:00:00"/>
    <x v="5"/>
    <s v="016NEFC252970029  NEFT  CREDIT  CHARGE  - OCTOBER 2025 STAFF SALARY"/>
    <s v="Bank charges"/>
    <x v="1"/>
    <n v="-50"/>
  </r>
  <r>
    <d v="2025-10-24T00:00:00"/>
    <x v="5"/>
    <s v="016VATO252970029   NEFT   CREDIT   CHARGE VAT - OCTOBER 2025 STAFF SALARY"/>
    <s v="Bank charges"/>
    <x v="1"/>
    <n v="-3.75"/>
  </r>
  <r>
    <d v="2025-10-24T00:00:00"/>
    <x v="5"/>
    <s v="016NEFO252970004 NEFT CREDIT - OCTOBER_x000a_2025 STAFF SALARY"/>
    <s v="Salaries and Wages"/>
    <x v="7"/>
    <n v="-27500"/>
  </r>
  <r>
    <d v="2025-10-24T00:00:00"/>
    <x v="5"/>
    <s v="016NEFC252970004  NEFT  CREDIT  CHARGE  - OCTOBER 2025 STAFF SALARY"/>
    <s v="Bank charges"/>
    <x v="1"/>
    <n v="-25"/>
  </r>
  <r>
    <d v="2025-10-24T00:00:00"/>
    <x v="5"/>
    <s v="016VATO252970004   NEFT   CREDIT   CHARGE VAT - OCTOBER 2025 STAFF SALARY"/>
    <s v="Bank charges"/>
    <x v="1"/>
    <n v="-1.88"/>
  </r>
  <r>
    <d v="2025-10-27T00:00:00"/>
    <x v="5"/>
    <s v="016NIPO253000010    NIP    -    ILH    OCT    2025 ALLOWANCE"/>
    <s v="Salaries and Wages"/>
    <x v="7"/>
    <n v="20000"/>
  </r>
  <r>
    <d v="2025-10-27T00:00:00"/>
    <x v="5"/>
    <s v="016NIPC253000010 NIP Charge - ILH OCT 2025 ALLOWANCE"/>
    <s v="Bank charges"/>
    <x v="1"/>
    <n v="25"/>
  </r>
  <r>
    <d v="2025-10-27T00:00:00"/>
    <x v="5"/>
    <s v="016VATP253000010 NIP Charge VAT - ILH OCT_x000a_2025 ALLOWANCE"/>
    <s v="Bank charges"/>
    <x v="1"/>
    <n v="1.88"/>
  </r>
  <r>
    <d v="2025-10-27T00:00:00"/>
    <x v="5"/>
    <s v="016NIPO253000011  NIP  -  IIH  allowance  OCT_x000a_2025"/>
    <s v="Salaries and Wages"/>
    <x v="7"/>
    <n v="27500"/>
  </r>
  <r>
    <d v="2025-10-27T00:00:00"/>
    <x v="5"/>
    <s v="016NIPC253000011 NIP Charge - IIH allowance OCT  2025"/>
    <s v="Bank charges"/>
    <x v="1"/>
    <n v="25"/>
  </r>
  <r>
    <d v="2025-10-27T00:00:00"/>
    <x v="5"/>
    <s v="016VATP253000011   NIP   Charge   VAT   -   IIH_x000a_allowance OCT  2025"/>
    <s v="Bank charges"/>
    <x v="1"/>
    <n v="1.88"/>
  </r>
  <r>
    <d v="2025-10-27T00:00:00"/>
    <x v="5"/>
    <s v="016NIPO253000012   NIP   -   IIH   SALARY   OCT_x000a_2025"/>
    <s v="Salaries and Wages"/>
    <x v="7"/>
    <n v="140171.67000000001"/>
  </r>
  <r>
    <d v="2025-10-27T00:00:00"/>
    <x v="5"/>
    <s v="016NIPC253000012  NIP  Charge  -  IIH  SALARY OCT  2025"/>
    <s v="Bank charges"/>
    <x v="1"/>
    <n v="50"/>
  </r>
  <r>
    <d v="2025-10-27T00:00:00"/>
    <x v="5"/>
    <s v="016VATP253000012   NIP   Charge   VAT   -   IIH SALARY OCT  2025"/>
    <s v="Bank charges"/>
    <x v="1"/>
    <n v="3.75"/>
  </r>
  <r>
    <d v="2025-10-27T00:00:00"/>
    <x v="5"/>
    <s v="016NIPO253000013   NIP   -  ILH   SALARY  OCT_x000a_2025"/>
    <s v="Salaries and Wages"/>
    <x v="7"/>
    <n v="44432.33"/>
  </r>
  <r>
    <d v="2025-10-27T00:00:00"/>
    <x v="5"/>
    <s v="016NIPC253000013  NIP  Charge  -  ILH  SALARY OCT 2025"/>
    <s v="Bank charges"/>
    <x v="1"/>
    <n v="25"/>
  </r>
  <r>
    <d v="2025-10-27T00:00:00"/>
    <x v="5"/>
    <s v="016VATP253000013   NIP   Charge   VAT   -   ILH SALARY OCT 2025"/>
    <s v="Bank charges"/>
    <x v="1"/>
    <n v="1.88"/>
  </r>
  <r>
    <d v="2025-10-28T00:00:00"/>
    <x v="5"/>
    <s v="016NIPO253010022  NIP  -  BNG  PYT  FOR  OCT_x000a_2025 JANITORIAL SERVICES"/>
    <s v="Cleaning expenses"/>
    <x v="3"/>
    <n v="1300000"/>
  </r>
  <r>
    <d v="2025-10-28T00:00:00"/>
    <x v="5"/>
    <s v="016NIPC253010022   NIP   Charge   -   BNG   PYT FOR OCT 2025 JANITORIAL SERVICES"/>
    <s v="Bank charges"/>
    <x v="1"/>
    <n v="50"/>
  </r>
  <r>
    <d v="2025-10-28T00:00:00"/>
    <x v="5"/>
    <s v="016VATP253010022   NIP  Charge  VAT   -  BNG PYT FOR OCT 2025 JANITORIAL SERVICES"/>
    <s v="Bank charges"/>
    <x v="1"/>
    <n v="3.75"/>
  </r>
  <r>
    <d v="2025-10-28T00:00:00"/>
    <x v="5"/>
    <s v="016NIPO253010025 NIP - BNG PYT FOR SEPT AND OCT 2025 WASTE DISPOSAL SERVICE"/>
    <s v="Cleaning expenses"/>
    <x v="3"/>
    <n v="130000"/>
  </r>
  <r>
    <d v="2025-10-28T00:00:00"/>
    <x v="5"/>
    <s v="016NIPC253010025   NIP   Charge   -   BNG   PYT FOR SEPT  AND OCT 2025  WASTE DISPOSAL_x000a_SERVICE"/>
    <s v="Bank charges"/>
    <x v="1"/>
    <n v="50"/>
  </r>
  <r>
    <d v="2025-10-28T00:00:00"/>
    <x v="5"/>
    <s v="016VATP253010025   NIP  Charge  VAT   -  BNG_x000a_PYT   FOR   SEPT   AND   OCT    2025   WASTE DISPOSAL SERVICE"/>
    <s v="Bank charges"/>
    <x v="1"/>
    <n v="3.75"/>
  </r>
  <r>
    <d v="2025-10-28T00:00:00"/>
    <x v="5"/>
    <s v="000MOBT25301A21Z      FACILITY      RUNNING_x000a_COSTS  OCT  2025  NIP  Transfer  from  ILORIN INNOVATION HUB LTD to KAMIL LANRE"/>
    <s v="Repairs and maintenance"/>
    <x v="12"/>
    <n v="150000"/>
  </r>
  <r>
    <d v="2025-10-28T00:00:00"/>
    <x v="5"/>
    <s v="000MOBT25301A21Z      FACILITY      RUNNING_x000a_COSTS  OCT  2025  NIP  Transfer  from  ILORIN INNOVATION HUB LTD to KAMIL LANRE"/>
    <s v="Bank charges"/>
    <x v="1"/>
    <n v="50"/>
  </r>
  <r>
    <d v="2025-10-28T00:00:00"/>
    <x v="5"/>
    <s v="000MOBT25301A21Z      FACILITY      RUNNING_x000a_COSTS  OCT  2025  NIP  Transfer  from  ILORIN INNOVATION HUB LTD to KAMIL LANRE"/>
    <s v="Bank charges"/>
    <x v="1"/>
    <n v="3.75"/>
  </r>
  <r>
    <d v="2025-10-31T00:00:00"/>
    <x v="5"/>
    <s v="000MOBT253049088  PAYMENT  FOR  DRINKS_x000a_FOR IIH CAFETERIA NIP Transfer from ILORIN INNOVATION HUB LTD to OLALUW"/>
    <s v="Guest and entertainment"/>
    <x v="13"/>
    <n v="97700"/>
  </r>
  <r>
    <d v="2025-10-31T00:00:00"/>
    <x v="5"/>
    <s v="000MOBT253049088  PAYMENT  FOR  DRINKS_x000a_FOR IIH CAFETERIA NIP Transfer from ILORIN INNOVATION HUB LTD to OLALUW"/>
    <s v="Bank charges"/>
    <x v="1"/>
    <n v="50"/>
  </r>
  <r>
    <d v="2025-10-31T00:00:00"/>
    <x v="5"/>
    <s v="000MOBT253049088  PAYMENT  FOR  DRINKS_x000a_FOR IIH CAFETERIA NIP Transfer from ILORIN INNOVATION HUB LTD to OLALUW"/>
    <s v="Bank charges"/>
    <x v="1"/>
    <n v="3.75"/>
  </r>
  <r>
    <d v="2025-10-31T00:00:00"/>
    <x v="5"/>
    <s v="000MOBT25304A4TX          PAYMENT          FOR REFRESHMENTS      FOR      CAFETERIA      NIP_x000a_Transfer from ILORIN INNOVATION HUB LTD"/>
    <s v="Guest and entertainment"/>
    <x v="13"/>
    <n v="85000"/>
  </r>
  <r>
    <d v="2025-10-31T00:00:00"/>
    <x v="5"/>
    <s v="000MOBT25304A4TX          PAYMENT          FOR REFRESHMENTS      FOR      CAFETERIA      NIP_x000a_Transfer from ILORIN INNOVATION HUB LTD"/>
    <s v="Bank charges"/>
    <x v="1"/>
    <n v="50"/>
  </r>
  <r>
    <d v="2025-10-31T00:00:00"/>
    <x v="5"/>
    <s v="000MOBT25304A4TX          PAYMENT          FOR REFRESHMENTS      FOR      CAFETERIA      NIP_x000a_Transfer from ILORIN INNOVATION HUB LTD"/>
    <s v="Bank charges"/>
    <x v="1"/>
    <n v="3.75"/>
  </r>
  <r>
    <d v="2025-10-31T00:00:00"/>
    <x v="5"/>
    <s v="016AMFV25304002V   VAT  ON  TRANSACTION CHARGES"/>
    <s v="Bank charges"/>
    <x v="1"/>
    <n v="1306.83"/>
  </r>
  <r>
    <d v="2025-10-31T00:00:00"/>
    <x v="5"/>
    <s v="016AMFC25304003V                            ACCOUNT MAINTENANCE FEE"/>
    <s v="Bank charges"/>
    <x v="1"/>
    <n v="17423.53"/>
  </r>
  <r>
    <d v="2025-10-31T00:00:00"/>
    <x v="5"/>
    <s v="Bank transactions in October"/>
    <s v="Bank balance"/>
    <x v="5"/>
    <n v="-17068150.66"/>
  </r>
  <r>
    <d v="2025-11-01T00:00:00"/>
    <x v="6"/>
    <s v="NIP/OPAY/CHARLESMARY CHIDI CHUKWUMA/The balance for the refreshment"/>
    <s v="Guest and entertainment"/>
    <x v="11"/>
    <n v="-36000"/>
  </r>
  <r>
    <d v="2025-11-02T00:00:00"/>
    <x v="6"/>
    <s v="FGN ELECTRONIC MONEY TRANSFER LEVY"/>
    <s v="Bank charges"/>
    <x v="1"/>
    <n v="150"/>
  </r>
  <r>
    <d v="2025-11-03T00:00:00"/>
    <x v="6"/>
    <s v="NIP/TAJ/ROMANSPAGE GLOBAL SERVICES NIGERIA LIMIT/NIP/Payment for Refreshment   INTER BANK TRANSFER"/>
    <s v="Guest and entertainment"/>
    <x v="11"/>
    <n v="-359500"/>
  </r>
  <r>
    <d v="2025-11-03T00:00:00"/>
    <x v="6"/>
    <s v="NIP/TAJ/ROMANSPAGE GLOBAL SERVICES NIGERIA LIMIT/NIP/Payment for Hall   INTER BANK TRANSFER"/>
    <s v="Guest and entertainment"/>
    <x v="11"/>
    <n v="-231000"/>
  </r>
  <r>
    <d v="2025-11-03T00:00:00"/>
    <x v="6"/>
    <s v="NIP CR//MUHAMMED NASIRU MAHMOOD/GTB  /trf"/>
    <s v="Salaries and Wages"/>
    <x v="7"/>
    <n v="25000"/>
  </r>
  <r>
    <d v="2025-11-03T00:00:00"/>
    <x v="6"/>
    <s v="NIP CHARGE + VAT"/>
    <s v="Bank charges"/>
    <x v="1"/>
    <n v="26.88"/>
  </r>
  <r>
    <d v="2025-11-03T00:00:00"/>
    <x v="6"/>
    <s v="NIP CR//OKEY MAUREEN DANIEL/GTB  /trf"/>
    <s v="Salaries and Wages"/>
    <x v="7"/>
    <n v="40000"/>
  </r>
  <r>
    <d v="2025-11-03T00:00:00"/>
    <x v="6"/>
    <s v="NIP CHARGE + VAT"/>
    <s v="Bank charges"/>
    <x v="1"/>
    <n v="26.88"/>
  </r>
  <r>
    <d v="2025-11-03T00:00:00"/>
    <x v="6"/>
    <s v="NIP CR//ONUCHUKWU SINACHI GOODNESS/GTB  /trf"/>
    <s v="Salaries and Wages"/>
    <x v="7"/>
    <n v="40000"/>
  </r>
  <r>
    <d v="2025-11-03T00:00:00"/>
    <x v="6"/>
    <s v="NIP CHARGE + VAT"/>
    <s v="Bank charges"/>
    <x v="1"/>
    <n v="26.88"/>
  </r>
  <r>
    <d v="2025-11-03T00:00:00"/>
    <x v="6"/>
    <s v="NIP CR//AKANDE OLUWASAYO TEMILOLA/GTB  /trf"/>
    <s v="Salaries and Wages"/>
    <x v="7"/>
    <n v="40000"/>
  </r>
  <r>
    <d v="2025-11-03T00:00:00"/>
    <x v="6"/>
    <s v="NIP CHARGE + VAT"/>
    <s v="Bank charges"/>
    <x v="1"/>
    <n v="26.88"/>
  </r>
  <r>
    <d v="2025-11-03T00:00:00"/>
    <x v="6"/>
    <s v="NIP CR//HENRY MGBECHI CHUKWUEBUKA/ABN  /trf"/>
    <s v="Salaries and Wages"/>
    <x v="7"/>
    <n v="40000"/>
  </r>
  <r>
    <d v="2025-11-03T00:00:00"/>
    <x v="6"/>
    <s v="NIP CHARGE + VAT"/>
    <s v="Bank charges"/>
    <x v="1"/>
    <n v="26.88"/>
  </r>
  <r>
    <d v="2025-11-03T00:00:00"/>
    <x v="6"/>
    <s v="NIP CR//JAMIU ADEBOLA OLADIPO/SCB  /trf"/>
    <s v="Salaries and Wages"/>
    <x v="7"/>
    <n v="40000"/>
  </r>
  <r>
    <d v="2025-11-03T00:00:00"/>
    <x v="6"/>
    <s v="NIP CHARGE + VAT"/>
    <s v="Bank charges"/>
    <x v="1"/>
    <n v="26.88"/>
  </r>
  <r>
    <d v="2025-11-03T00:00:00"/>
    <x v="6"/>
    <s v="NIP CR//OLUWADAMILARE EMMANUEL OLOYEDE/ABN  /trf"/>
    <s v="Salaries and Wages"/>
    <x v="7"/>
    <n v="20000"/>
  </r>
  <r>
    <d v="2025-11-03T00:00:00"/>
    <x v="6"/>
    <s v="NIP CHARGE + VAT"/>
    <s v="Bank charges"/>
    <x v="1"/>
    <n v="26.88"/>
  </r>
  <r>
    <d v="2025-11-03T00:00:00"/>
    <x v="6"/>
    <s v="NIP CR//SULYMAN YUSUF ALAO/GTB  /trf"/>
    <s v="Salaries and Wages"/>
    <x v="7"/>
    <n v="30000"/>
  </r>
  <r>
    <d v="2025-11-03T00:00:00"/>
    <x v="6"/>
    <s v="NIP CHARGE + VAT"/>
    <s v="Bank charges"/>
    <x v="1"/>
    <n v="26.88"/>
  </r>
  <r>
    <d v="2025-11-03T00:00:00"/>
    <x v="6"/>
    <s v="NIP CR//KAMIL LANRE AHMED/SKYE /trf"/>
    <s v="Salaries and Wages"/>
    <x v="7"/>
    <n v="40000"/>
  </r>
  <r>
    <d v="2025-11-03T00:00:00"/>
    <x v="6"/>
    <s v="NIP CHARGE + VAT"/>
    <s v="Bank charges"/>
    <x v="1"/>
    <n v="26.88"/>
  </r>
  <r>
    <d v="2025-11-03T00:00:00"/>
    <x v="6"/>
    <s v="NIP CR//MUINAT OYINKANSOLA BELLO/UBA  /trf"/>
    <s v="Salaries and Wages"/>
    <x v="7"/>
    <n v="30000"/>
  </r>
  <r>
    <d v="2025-11-03T00:00:00"/>
    <x v="6"/>
    <s v="NIP CHARGE + VAT"/>
    <s v="Bank charges"/>
    <x v="1"/>
    <n v="26.88"/>
  </r>
  <r>
    <d v="2025-11-03T00:00:00"/>
    <x v="6"/>
    <s v="NIP CR//FARAYADE EMMANUEL OLAWALE/WBP  /trf"/>
    <s v="Salaries and Wages"/>
    <x v="7"/>
    <n v="10000"/>
  </r>
  <r>
    <d v="2025-11-03T00:00:00"/>
    <x v="6"/>
    <s v="NIP CHARGE + VAT"/>
    <s v="Bank charges"/>
    <x v="1"/>
    <n v="26.88"/>
  </r>
  <r>
    <d v="2025-11-03T00:00:00"/>
    <x v="6"/>
    <s v="NIP CR//OLALEYE KAYODE/ABN  /trf"/>
    <s v="Salaries and Wages"/>
    <x v="7"/>
    <n v="30000"/>
  </r>
  <r>
    <d v="2025-11-03T00:00:00"/>
    <x v="6"/>
    <s v="NIP CHARGE + VAT"/>
    <s v="Bank charges"/>
    <x v="1"/>
    <n v="26.88"/>
  </r>
  <r>
    <d v="2025-11-03T00:00:00"/>
    <x v="6"/>
    <s v="NIP CR//SHEIDU  AL FAID OSIFOMOFURA/GTB  /trf"/>
    <s v="Salaries and Wages"/>
    <x v="7"/>
    <n v="20000"/>
  </r>
  <r>
    <d v="2025-11-03T00:00:00"/>
    <x v="6"/>
    <s v="NIP CHARGE + VAT"/>
    <s v="Bank charges"/>
    <x v="1"/>
    <n v="26.88"/>
  </r>
  <r>
    <d v="2025-11-03T00:00:00"/>
    <x v="6"/>
    <s v="NIP CR//AYORINDE OLAMIDE OPEMIPO/STLB /trf"/>
    <s v="Salaries and Wages"/>
    <x v="7"/>
    <n v="10000"/>
  </r>
  <r>
    <d v="2025-11-03T00:00:00"/>
    <x v="6"/>
    <s v="NIP CHARGE + VAT"/>
    <s v="Bank charges"/>
    <x v="1"/>
    <n v="26.88"/>
  </r>
  <r>
    <d v="2025-11-03T00:00:00"/>
    <x v="6"/>
    <s v="NIP CR//OKOLIE  OGOCHUKWUKA BENJAMIN/GTB  /trf"/>
    <s v="Salaries and Wages"/>
    <x v="7"/>
    <n v="10000"/>
  </r>
  <r>
    <d v="2025-11-03T00:00:00"/>
    <x v="6"/>
    <s v="NIP CHARGE + VAT"/>
    <s v="Bank charges"/>
    <x v="1"/>
    <n v="26.88"/>
  </r>
  <r>
    <d v="2025-11-03T00:00:00"/>
    <x v="6"/>
    <s v="NIP CR//ABDULKHALEED EYITAYO ALABI/ABN  /trf"/>
    <s v="Salaries and Wages"/>
    <x v="7"/>
    <n v="20000"/>
  </r>
  <r>
    <d v="2025-11-03T00:00:00"/>
    <x v="6"/>
    <s v="NIP CHARGE + VAT"/>
    <s v="Bank charges"/>
    <x v="1"/>
    <n v="26.88"/>
  </r>
  <r>
    <d v="2025-11-03T00:00:00"/>
    <x v="6"/>
    <s v="NIP CR//ANIFOWOSHE KHADIJAH OLUWATOSI/GTB  /trf"/>
    <s v="Salaries and Wages"/>
    <x v="7"/>
    <n v="10000"/>
  </r>
  <r>
    <d v="2025-11-03T00:00:00"/>
    <x v="6"/>
    <s v="NIP CHARGE + VAT"/>
    <s v="Bank charges"/>
    <x v="1"/>
    <n v="26.88"/>
  </r>
  <r>
    <d v="2025-11-03T00:00:00"/>
    <x v="6"/>
    <s v="NIP CR//HAPPINESS  SAMUEL/UBA  /trf"/>
    <s v="Salaries and Wages"/>
    <x v="7"/>
    <n v="10000"/>
  </r>
  <r>
    <d v="2025-11-03T00:00:00"/>
    <x v="6"/>
    <s v="NIP CHARGE + VAT"/>
    <s v="Bank charges"/>
    <x v="1"/>
    <n v="26.88"/>
  </r>
  <r>
    <d v="2025-11-03T00:00:00"/>
    <x v="6"/>
    <s v="Account Transfer frm  ILORIN TECH PARK LTD  to AMIDAT OLUWATOSIN OLALERE"/>
    <s v="Salaries and Wages"/>
    <x v="7"/>
    <n v="20000"/>
  </r>
  <r>
    <d v="2025-11-03T00:00:00"/>
    <x v="6"/>
    <s v="Account Transfer frm  ILORIN TECH PARK LTD to ABDULRASAQ   ABDULRASAQ"/>
    <s v="Salaries and Wages"/>
    <x v="7"/>
    <n v="20000"/>
  </r>
  <r>
    <d v="2025-11-05T00:00:00"/>
    <x v="6"/>
    <s v="TRF FROM TUNMISE JOHNSON HOUSEHOLD FOUNDATIO/1762326934680"/>
    <s v="Guest and entertainment"/>
    <x v="11"/>
    <n v="-74000"/>
  </r>
  <r>
    <d v="2025-11-06T00:00:00"/>
    <x v="6"/>
    <s v="NIP CR//JIMOH SULEIMAN OLAWALE/FCMB /TRF FRM ILORIN TECH PARK LTD TO JIMOH SULEIMAN OLAWALE"/>
    <s v="Guest and entertainment"/>
    <x v="13"/>
    <n v="1225000"/>
  </r>
  <r>
    <d v="2025-11-06T00:00:00"/>
    <x v="6"/>
    <s v="NIP CHARGE + VAT"/>
    <s v="Bank charges"/>
    <x v="1"/>
    <n v="53.75"/>
  </r>
  <r>
    <d v="2025-11-06T00:00:00"/>
    <x v="6"/>
    <s v="Payment for Refreshment for Ta Com/CIB//NIP TFR TO FRIENDS FAST FOOD LIMITED/FBN"/>
    <s v="Guest and entertainment"/>
    <x v="13"/>
    <n v="24000"/>
  </r>
  <r>
    <d v="2025-11-06T00:00:00"/>
    <x v="6"/>
    <s v="NIP CHARGE + VAT"/>
    <s v="Bank charges"/>
    <x v="1"/>
    <n v="26.88"/>
  </r>
  <r>
    <d v="2025-11-06T00:00:00"/>
    <x v="6"/>
    <s v="Ilorin Innovation Challenge &amp; Hack/CIB//NIP TFR TO FRIENDS FAST FOOD LIMITED/FBN"/>
    <s v="Guest and entertainment"/>
    <x v="13"/>
    <n v="136000"/>
  </r>
  <r>
    <d v="2025-11-06T00:00:00"/>
    <x v="6"/>
    <s v="NIP CHARGE + VAT"/>
    <s v="Bank charges"/>
    <x v="1"/>
    <n v="53.75"/>
  </r>
  <r>
    <d v="2025-11-09T00:00:00"/>
    <x v="6"/>
    <s v="FGN ELECTRONIC MONEY TRANSFER LEVY"/>
    <s v="Bank charges"/>
    <x v="1"/>
    <n v="150"/>
  </r>
  <r>
    <d v="2025-11-10T00:00:00"/>
    <x v="6"/>
    <s v="NIP CR//MUHAMMED NASIRU MAHMOOD/GTB  /STAFF WELFARE LOAN"/>
    <s v="Welfare"/>
    <x v="21"/>
    <n v="1500000"/>
  </r>
  <r>
    <d v="2025-11-10T00:00:00"/>
    <x v="6"/>
    <s v="NIP CHARGE + VAT"/>
    <s v="Bank charges"/>
    <x v="1"/>
    <n v="53.75"/>
  </r>
  <r>
    <d v="2025-11-10T00:00:00"/>
    <x v="6"/>
    <s v="Pay - NIGERIA SOCIAL INSURANCE TRUST FUND For - EMPLOYEE COMPENSATION SCHEME-CONTRIBUTION"/>
    <s v="Salaries and Wages"/>
    <x v="7"/>
    <n v="102566.58"/>
  </r>
  <r>
    <d v="2025-11-10T00:00:00"/>
    <x v="6"/>
    <s v="chairs and covers rental service/CIB//NIP TFR TO MUHAMMAD MUBARAK YUSUF/OPAY"/>
    <s v="Rentals"/>
    <x v="0"/>
    <n v="156000"/>
  </r>
  <r>
    <d v="2025-11-10T00:00:00"/>
    <x v="6"/>
    <s v="NIP CHARGE + VAT"/>
    <s v="Bank charges"/>
    <x v="1"/>
    <n v="53.75"/>
  </r>
  <r>
    <d v="2025-11-10T00:00:00"/>
    <x v="6"/>
    <s v="2-day IIH Challenge Photography/CIB//NIP TFR TO SAMUEL DAVID/ROLEZ"/>
    <s v="Photography"/>
    <x v="32"/>
    <n v="120000"/>
  </r>
  <r>
    <d v="2025-11-10T00:00:00"/>
    <x v="6"/>
    <s v="NIP CHARGE + VAT"/>
    <s v="Bank charges"/>
    <x v="1"/>
    <n v="53.75"/>
  </r>
  <r>
    <d v="2025-11-13T00:00:00"/>
    <x v="6"/>
    <s v="Foods for Ta Community's workspace/CIB//NIP TFR TO  BOA FOODS RESTAURANT LTD - 2/ROLEZ"/>
    <s v="Guest and entertainment"/>
    <x v="13"/>
    <n v="270000"/>
  </r>
  <r>
    <d v="2025-11-13T00:00:00"/>
    <x v="6"/>
    <s v="NIP CHARGE + VAT"/>
    <s v="Bank charges"/>
    <x v="1"/>
    <n v="53.75"/>
  </r>
  <r>
    <d v="2025-11-13T00:00:00"/>
    <x v="6"/>
    <s v="II C&amp;H Residency Refreshment Day 1/CIB//NIP TFR TO  BOA FOODS RESTAURANT LTD - 2/ROLEZ"/>
    <s v="Guest and entertainment"/>
    <x v="13"/>
    <n v="247500"/>
  </r>
  <r>
    <d v="2025-11-13T00:00:00"/>
    <x v="6"/>
    <s v="NIP CHARGE + VAT"/>
    <s v="Bank charges"/>
    <x v="1"/>
    <n v="53.75"/>
  </r>
  <r>
    <d v="2025-11-13T00:00:00"/>
    <x v="6"/>
    <s v="II C&amp;H Residency Refreshment Day 3/CIB//NIP TFR TO  BOA FOODS RESTAURANT LTD - 2/ROLEZ"/>
    <s v="Guest and entertainment"/>
    <x v="13"/>
    <n v="178500"/>
  </r>
  <r>
    <d v="2025-11-13T00:00:00"/>
    <x v="6"/>
    <s v="NIP CHARGE + VAT"/>
    <s v="Bank charges"/>
    <x v="1"/>
    <n v="53.75"/>
  </r>
  <r>
    <d v="2025-11-13T00:00:00"/>
    <x v="6"/>
    <s v="KWIRS- Tech for Tax event Refreshm/CIB//NIP TFR TO  BOA FOODS RESTAURANT LTD - 2/ROLEZ"/>
    <s v="Guest and entertainment"/>
    <x v="13"/>
    <n v="168000"/>
  </r>
  <r>
    <d v="2025-11-13T00:00:00"/>
    <x v="6"/>
    <s v="NIP CHARGE + VAT"/>
    <s v="Bank charges"/>
    <x v="1"/>
    <n v="53.75"/>
  </r>
  <r>
    <d v="2025-11-13T00:00:00"/>
    <x v="6"/>
    <s v="II C&amp;H Residency Refreshment Day 2/CIB//NIP TFR TO  BOA FOODS RESTAURANT LTD - 2/ROLEZ"/>
    <s v="Guest and entertainment"/>
    <x v="13"/>
    <n v="203000"/>
  </r>
  <r>
    <d v="2025-11-13T00:00:00"/>
    <x v="6"/>
    <s v="NIP CHARGE + VAT"/>
    <s v="Bank charges"/>
    <x v="1"/>
    <n v="53.75"/>
  </r>
  <r>
    <d v="2025-11-14T00:00:00"/>
    <x v="6"/>
    <s v="CIP/CR//ER-07052 IHS Towers 3days Ilorin Innovation Challenge and Hackathon Invoic e 217254477 GAPS000369123 0005464531"/>
    <s v="Guest and entertainment"/>
    <x v="11"/>
    <n v="-2327000"/>
  </r>
  <r>
    <d v="2025-11-16T00:00:00"/>
    <x v="6"/>
    <s v="FGN ELECTRONIC MONEY TRANSFER LEVY"/>
    <s v="Bank charges"/>
    <x v="1"/>
    <n v="50"/>
  </r>
  <r>
    <d v="2025-11-17T00:00:00"/>
    <x v="6"/>
    <s v="1763389169715/CIB//NIP TFR TO NIGERIA INST OF ARCHITECTS KW CH/UBA"/>
    <s v="Rentals"/>
    <x v="0"/>
    <n v="100000"/>
  </r>
  <r>
    <d v="2025-11-17T00:00:00"/>
    <x v="6"/>
    <s v="NIP CHARGE + VAT"/>
    <s v="Bank charges"/>
    <x v="1"/>
    <n v="53.75"/>
  </r>
  <r>
    <d v="2025-11-17T00:00:00"/>
    <x v="6"/>
    <s v="1763389169808/CIB//NIP TFR TO FRIENDS FAST FOOD LIMITED/FBN"/>
    <s v="Guest and entertainment"/>
    <x v="13"/>
    <n v="59500"/>
  </r>
  <r>
    <d v="2025-11-17T00:00:00"/>
    <x v="6"/>
    <s v="NIP CHARGE + VAT"/>
    <s v="Bank charges"/>
    <x v="1"/>
    <n v="53.75"/>
  </r>
  <r>
    <d v="2025-11-17T00:00:00"/>
    <x v="6"/>
    <s v="1763389169902/CIB//NIP TFR TO JIMOH SULEIMAN OLAWALE/FCMB"/>
    <s v="Guest and entertainment"/>
    <x v="13"/>
    <n v="130000"/>
  </r>
  <r>
    <d v="2025-11-17T00:00:00"/>
    <x v="6"/>
    <s v="NIP CHARGE + VAT"/>
    <s v="Bank charges"/>
    <x v="1"/>
    <n v="53.75"/>
  </r>
  <r>
    <d v="2025-11-17T00:00:00"/>
    <x v="6"/>
    <s v="1763389170214/CIB//NIP TFR TO  BOA FOODS RESTAURANT LTD - 2/ROLEZ"/>
    <s v="Guest and entertainment"/>
    <x v="13"/>
    <n v="270000"/>
  </r>
  <r>
    <d v="2025-11-17T00:00:00"/>
    <x v="6"/>
    <s v="NIP CHARGE + VAT"/>
    <s v="Bank charges"/>
    <x v="1"/>
    <n v="53.75"/>
  </r>
  <r>
    <d v="2025-11-17T00:00:00"/>
    <x v="6"/>
    <s v="1763389169980/CIB//NIP TFR TO  BOA FOODS RESTAURANT LTD - 2/ROLEZ"/>
    <s v="Guest and entertainment"/>
    <x v="13"/>
    <n v="437400"/>
  </r>
  <r>
    <d v="2025-11-17T00:00:00"/>
    <x v="6"/>
    <s v="NIP CHARGE + VAT"/>
    <s v="Bank charges"/>
    <x v="1"/>
    <n v="53.75"/>
  </r>
  <r>
    <d v="2025-11-17T00:00:00"/>
    <x v="6"/>
    <s v="1763389170105/CIB//NIP TFR TO  BOA FOODS RESTAURANT LTD - 2/ROLEZ"/>
    <s v="Guest and entertainment"/>
    <x v="13"/>
    <n v="576200"/>
  </r>
  <r>
    <d v="2025-11-17T00:00:00"/>
    <x v="6"/>
    <s v="NIP CHARGE + VAT"/>
    <s v="Bank charges"/>
    <x v="1"/>
    <n v="53.75"/>
  </r>
  <r>
    <d v="2025-11-17T00:00:00"/>
    <x v="6"/>
    <s v="NIP/ROLEZ/BOA FOODS RESTAURANT LTD - I I H/Drinks Sales for October IIH /AT68 TRF2MPTeef251990446551771103232"/>
    <s v="Guest and entertainment"/>
    <x v="11"/>
    <n v="-386400"/>
  </r>
  <r>
    <d v="2025-11-17T00:00:00"/>
    <x v="6"/>
    <s v="TRF FROM BOA PASTRIES AND COCKTAILS LTD//TRF TO ILORIN TECH PARK LTD//Drinks sales for Sept 25 IiH"/>
    <s v="Guest and entertainment"/>
    <x v="11"/>
    <n v="-75000"/>
  </r>
  <r>
    <d v="2025-11-17T00:00:00"/>
    <x v="6"/>
    <s v="TRF FROM BOA PASTRIES AND COCKTAILS LTD//TRF TO ILORIN TECH PARK LTD//Sept Profit Sharing IIH"/>
    <s v="Guest and entertainment"/>
    <x v="11"/>
    <n v="-18400"/>
  </r>
  <r>
    <d v="2025-11-17T00:00:00"/>
    <x v="6"/>
    <s v="TRF FROM BOA PASTRIES AND COCKTAILS LTD//TRF TO ILORIN TECH PARK LTD//Oct. Profit Sharing IIH"/>
    <s v="Guest and entertainment"/>
    <x v="11"/>
    <n v="-77300"/>
  </r>
  <r>
    <d v="2025-11-18T00:00:00"/>
    <x v="6"/>
    <s v="NIP CR//OLALUWOYE JUMOKE OLUFUNKE/FBN  /for water and soft drinks for the iih cafeteria supply"/>
    <s v="Guest and entertainment"/>
    <x v="13"/>
    <n v="105000"/>
  </r>
  <r>
    <d v="2025-11-18T00:00:00"/>
    <x v="6"/>
    <s v="NIP CHARGE + VAT"/>
    <s v="Bank charges"/>
    <x v="1"/>
    <n v="53.75"/>
  </r>
  <r>
    <d v="2025-11-18T00:00:00"/>
    <x v="6"/>
    <s v="NIP CR//JIMOH SULEIMAN OLAWALE/FCMB /for iih-cchub-kw digital health pre-summit refreshment"/>
    <s v="Guest and entertainment"/>
    <x v="13"/>
    <n v="52500"/>
  </r>
  <r>
    <d v="2025-11-18T00:00:00"/>
    <x v="6"/>
    <s v="NIP CHARGE + VAT"/>
    <s v="Bank charges"/>
    <x v="1"/>
    <n v="53.75"/>
  </r>
  <r>
    <d v="2025-11-19T00:00:00"/>
    <x v="6"/>
    <s v="NIP CR//MARS 92 VENTURES/STBC /for chair rental"/>
    <s v="Rentals"/>
    <x v="0"/>
    <n v="107500"/>
  </r>
  <r>
    <d v="2025-11-19T00:00:00"/>
    <x v="6"/>
    <s v="NIP CHARGE + VAT"/>
    <s v="Bank charges"/>
    <x v="1"/>
    <n v="53.75"/>
  </r>
  <r>
    <d v="2025-11-19T00:00:00"/>
    <x v="6"/>
    <s v="NIP CR//BENETTON CONSULTING LIMITED/TAJ  /landscape maintenance for the month of oct25"/>
    <s v="Repairs and maintenance"/>
    <x v="12"/>
    <n v="400000"/>
  </r>
  <r>
    <d v="2025-11-19T00:00:00"/>
    <x v="6"/>
    <s v="NIP CHARGE + VAT"/>
    <s v="Bank charges"/>
    <x v="1"/>
    <n v="53.75"/>
  </r>
  <r>
    <d v="2025-11-19T00:00:00"/>
    <x v="6"/>
    <s v="NIP CR//PBN SOLUTIONS LIMITED-EVENT SERVICE/STLB /kwara AI summit 2025 planning&amp;execution"/>
    <s v="Training"/>
    <x v="25"/>
    <n v="40000000"/>
  </r>
  <r>
    <d v="2025-11-19T00:00:00"/>
    <x v="6"/>
    <s v="NIP CHARGE + VAT"/>
    <s v="Bank charges"/>
    <x v="1"/>
    <n v="53.75"/>
  </r>
  <r>
    <d v="2025-11-19T00:00:00"/>
    <x v="6"/>
    <s v="NIP CR//STRATEGIC SOLNS &amp; CONS CO LTD/PBNL /global entrepreneurship festival full intl spons"/>
    <s v="Mentorship Support"/>
    <x v="33"/>
    <n v="1600000"/>
  </r>
  <r>
    <d v="2025-11-19T00:00:00"/>
    <x v="6"/>
    <s v="NIP CHARGE + VAT"/>
    <s v="Bank charges"/>
    <x v="1"/>
    <n v="53.75"/>
  </r>
  <r>
    <d v="2025-11-21T00:00:00"/>
    <x v="6"/>
    <s v="CIP/CR//GT20251345. BEING PAYMENT FOR HALLS DURING HOSTING OF STAKEHOLDER WORKSHOP  ON TAX REFORM FOR KWARA  0005607198"/>
    <s v="Rentals"/>
    <x v="0"/>
    <n v="-530000"/>
  </r>
  <r>
    <d v="2025-11-21T00:00:00"/>
    <x v="6"/>
    <s v="NIP CR//LOGIC AGE COMPUTER TECHNOLOGY/GTB  /TRF"/>
    <s v="Repairs and maintenance"/>
    <x v="12"/>
    <n v="805000"/>
  </r>
  <r>
    <d v="2025-11-21T00:00:00"/>
    <x v="6"/>
    <s v="NIP CHARGE + VAT"/>
    <s v="Bank charges"/>
    <x v="1"/>
    <n v="53.75"/>
  </r>
  <r>
    <d v="2025-11-21T00:00:00"/>
    <x v="6"/>
    <s v="NIP CR//ABDULWAHAB  ABDULRASHEED/OPAY /TRF"/>
    <s v="Repairs and maintenance"/>
    <x v="12"/>
    <n v="43500"/>
  </r>
  <r>
    <d v="2025-11-21T00:00:00"/>
    <x v="6"/>
    <s v="NIP CHARGE + VAT"/>
    <s v="Bank charges"/>
    <x v="1"/>
    <n v="26.88"/>
  </r>
  <r>
    <d v="2025-11-21T00:00:00"/>
    <x v="6"/>
    <s v="NIP CR//FEMTECH PHONES AND GADGETS ENT/GTB  /TRF"/>
    <s v="Data and telephone expenses"/>
    <x v="10"/>
    <n v="449000"/>
  </r>
  <r>
    <d v="2025-11-21T00:00:00"/>
    <x v="6"/>
    <s v="NIP CHARGE + VAT"/>
    <s v="Bank charges"/>
    <x v="1"/>
    <n v="53.75"/>
  </r>
  <r>
    <d v="2025-11-21T00:00:00"/>
    <x v="6"/>
    <s v="NIP CR//MMADUABUCHI NESTOR  EZIM/PALM /TRF"/>
    <s v="IT Equipment"/>
    <x v="20"/>
    <n v="192000"/>
  </r>
  <r>
    <d v="2025-11-21T00:00:00"/>
    <x v="6"/>
    <s v="NIP CHARGE + VAT"/>
    <s v="Bank charges"/>
    <x v="1"/>
    <n v="53.75"/>
  </r>
  <r>
    <d v="2025-11-21T00:00:00"/>
    <x v="6"/>
    <s v="NIP CR// BOA FOODS RESTAURANT LTD - 2/ROLEZ/TRF"/>
    <s v="Guest and entertainment"/>
    <x v="13"/>
    <n v="690000"/>
  </r>
  <r>
    <d v="2025-11-21T00:00:00"/>
    <x v="6"/>
    <s v="NIP CHARGE + VAT"/>
    <s v="Bank charges"/>
    <x v="1"/>
    <n v="53.75"/>
  </r>
  <r>
    <d v="2025-11-21T00:00:00"/>
    <x v="6"/>
    <s v="NIP CR//MUHAMMED NASIRU MAHMOOD/GTB  /TRF"/>
    <s v="IT Equipment"/>
    <x v="20"/>
    <n v="57000"/>
  </r>
  <r>
    <d v="2025-11-21T00:00:00"/>
    <x v="6"/>
    <s v="NIP CHARGE + VAT"/>
    <s v="Bank charges"/>
    <x v="1"/>
    <n v="53.75"/>
  </r>
  <r>
    <d v="2025-11-21T00:00:00"/>
    <x v="6"/>
    <s v="NIP CR//OLALUWOYE JUMOKE OLUFUNKE/FBN  /TRF"/>
    <s v="Guest and entertainment"/>
    <x v="13"/>
    <n v="103600"/>
  </r>
  <r>
    <d v="2025-11-21T00:00:00"/>
    <x v="6"/>
    <s v="NIP CHARGE + VAT"/>
    <s v="Bank charges"/>
    <x v="1"/>
    <n v="53.75"/>
  </r>
  <r>
    <d v="2025-11-21T00:00:00"/>
    <x v="6"/>
    <s v="NIP CR//POS TRANSFER - BOLANLE OKUNRINBOYE/ROLEZ/TRF"/>
    <s v="Guest and entertainment"/>
    <x v="13"/>
    <n v="255000"/>
  </r>
  <r>
    <d v="2025-11-21T00:00:00"/>
    <x v="6"/>
    <s v="NIP CHARGE + VAT"/>
    <s v="Bank charges"/>
    <x v="1"/>
    <n v="53.75"/>
  </r>
  <r>
    <d v="2025-11-23T00:00:00"/>
    <x v="6"/>
    <s v="FGN ELECTRONIC MONEY TRANSFER LEVY"/>
    <s v="Bank charges"/>
    <x v="1"/>
    <n v="250"/>
  </r>
  <r>
    <d v="2025-11-24T00:00:00"/>
    <x v="6"/>
    <s v="NIP CR//FIFTH SOUND ENTERPRISE/FBN  /PURCHASE OF KW AI SUMMIT SOUND EQUIPMENT"/>
    <s v="IT Equipment"/>
    <x v="16"/>
    <n v="4965000"/>
  </r>
  <r>
    <d v="2025-11-24T00:00:00"/>
    <x v="6"/>
    <s v="NIP CHARGE + VAT"/>
    <s v="Bank charges"/>
    <x v="1"/>
    <n v="53.75"/>
  </r>
  <r>
    <d v="2025-11-25T00:00:00"/>
    <x v="6"/>
    <s v="IIHNOV2025PYTALLOWANCE001/CIB//NIP TFR TO HENRY MGBECHI CHUKWUEBUKA/ABN"/>
    <s v="Salaries and Wages"/>
    <x v="7"/>
    <n v="35000"/>
  </r>
  <r>
    <d v="2025-11-25T00:00:00"/>
    <x v="6"/>
    <s v="NIP CHARGE + VAT"/>
    <s v="Bank charges"/>
    <x v="1"/>
    <n v="26.88"/>
  </r>
  <r>
    <d v="2025-11-25T00:00:00"/>
    <x v="6"/>
    <s v="TRF TO AMIDAT OLUWATOSIN OLALERE/IIHSALARYNOV2025/026"/>
    <s v="Salaries and Wages"/>
    <x v="7"/>
    <n v="283172.2"/>
  </r>
  <r>
    <d v="2025-11-25T00:00:00"/>
    <x v="6"/>
    <s v="IIHNOV2025PYTALLOWANCE005/CIB//NIP TFR TO OTARO SAMUEL IYANUOLUWA/FCMB"/>
    <s v="Salaries and Wages"/>
    <x v="7"/>
    <n v="20000"/>
  </r>
  <r>
    <d v="2025-11-25T00:00:00"/>
    <x v="6"/>
    <s v="NIP CHARGE + VAT"/>
    <s v="Bank charges"/>
    <x v="1"/>
    <n v="26.88"/>
  </r>
  <r>
    <d v="2025-11-25T00:00:00"/>
    <x v="6"/>
    <s v="IIHNOV2025PYTALLOWANCE017/CIB//NIP TFR TO TEMILOLUWA OLUWALEKE KOLAWOLE/STBC"/>
    <s v="Salaries and Wages"/>
    <x v="7"/>
    <n v="70000"/>
  </r>
  <r>
    <d v="2025-11-25T00:00:00"/>
    <x v="6"/>
    <s v="NIP CHARGE + VAT"/>
    <s v="Bank charges"/>
    <x v="1"/>
    <n v="53.75"/>
  </r>
  <r>
    <d v="2025-11-25T00:00:00"/>
    <x v="6"/>
    <s v="IIHNOV2025PYTALLOWANCE003/CIB//NIP TFR TO YUSUF DOLAPO ABDULRAMAN/ABN"/>
    <s v="Salaries and Wages"/>
    <x v="7"/>
    <n v="35000"/>
  </r>
  <r>
    <d v="2025-11-25T00:00:00"/>
    <x v="6"/>
    <s v="NIP CHARGE + VAT"/>
    <s v="Bank charges"/>
    <x v="1"/>
    <n v="26.88"/>
  </r>
  <r>
    <d v="2025-11-25T00:00:00"/>
    <x v="6"/>
    <s v="IIHSALARYNOV2025002/CIB//NIP TFR TO OLUWADAMILARE EMMANUEL OLOYEDE/ABN"/>
    <s v="Salaries and Wages"/>
    <x v="7"/>
    <n v="283172.2"/>
  </r>
  <r>
    <d v="2025-11-25T00:00:00"/>
    <x v="6"/>
    <s v="NIP CHARGE + VAT"/>
    <s v="Bank charges"/>
    <x v="1"/>
    <n v="53.75"/>
  </r>
  <r>
    <d v="2025-11-25T00:00:00"/>
    <x v="6"/>
    <s v="IIHNOV2025PYTALLOWANCE004/CIB//NIP TFR TO OLALEYE KAYODE/ABN"/>
    <s v="Salaries and Wages"/>
    <x v="7"/>
    <n v="27500"/>
  </r>
  <r>
    <d v="2025-11-25T00:00:00"/>
    <x v="6"/>
    <s v="NIP CHARGE + VAT"/>
    <s v="Bank charges"/>
    <x v="1"/>
    <n v="26.88"/>
  </r>
  <r>
    <d v="2025-11-25T00:00:00"/>
    <x v="6"/>
    <s v="IIHSALARYNOV2025003/CIB//NIP TFR TO YUSUF DOLAPO ABDULRAMAN/ABN"/>
    <s v="Salaries and Wages"/>
    <x v="7"/>
    <n v="283172.2"/>
  </r>
  <r>
    <d v="2025-11-25T00:00:00"/>
    <x v="6"/>
    <s v="NIP CHARGE + VAT"/>
    <s v="Bank charges"/>
    <x v="1"/>
    <n v="53.75"/>
  </r>
  <r>
    <d v="2025-11-25T00:00:00"/>
    <x v="6"/>
    <s v="TRF TO AMIDAT OLUWATOSIN OLALERE/IIHNOV2025PYTALLOWANCE/026"/>
    <s v="Salaries and Wages"/>
    <x v="7"/>
    <n v="35000"/>
  </r>
  <r>
    <d v="2025-11-25T00:00:00"/>
    <x v="6"/>
    <s v="IIHSALARYNOV2025017/CIB//NIP TFR TO TEMILOLUWA OLUWALEKE KOLAWOLE/STBC"/>
    <s v="Salaries and Wages"/>
    <x v="7"/>
    <n v="4019028.36"/>
  </r>
  <r>
    <d v="2025-11-25T00:00:00"/>
    <x v="6"/>
    <s v="NIP CHARGE + VAT"/>
    <s v="Bank charges"/>
    <x v="1"/>
    <n v="53.75"/>
  </r>
  <r>
    <d v="2025-11-25T00:00:00"/>
    <x v="6"/>
    <s v="IIHSALARYNOV2025005/CIB//NIP TFR TO OTARO SAMUEL IYANUOLUWA/FCMB"/>
    <s v="Salaries and Wages"/>
    <x v="7"/>
    <n v="44432.33"/>
  </r>
  <r>
    <d v="2025-11-25T00:00:00"/>
    <x v="6"/>
    <s v="NIP CHARGE + VAT"/>
    <s v="Bank charges"/>
    <x v="1"/>
    <n v="26.88"/>
  </r>
  <r>
    <d v="2025-11-25T00:00:00"/>
    <x v="6"/>
    <s v="IIHSALARYNOV2025004/CIB//NIP TFR TO OLALEYE KAYODE/ABN"/>
    <s v="Salaries and Wages"/>
    <x v="7"/>
    <n v="140171.67000000001"/>
  </r>
  <r>
    <d v="2025-11-25T00:00:00"/>
    <x v="6"/>
    <s v="NIP CHARGE + VAT"/>
    <s v="Bank charges"/>
    <x v="1"/>
    <n v="53.75"/>
  </r>
  <r>
    <d v="2025-11-25T00:00:00"/>
    <x v="6"/>
    <s v="IIHNOV2025PYTALLOWANCE019/CIB//NIP TFR TO KHADIJAT ZUMAH SULYMAN/STLB"/>
    <s v="Salaries and Wages"/>
    <x v="7"/>
    <n v="70000"/>
  </r>
  <r>
    <d v="2025-11-25T00:00:00"/>
    <x v="6"/>
    <s v="NIP CHARGE + VAT"/>
    <s v="Bank charges"/>
    <x v="1"/>
    <n v="53.75"/>
  </r>
  <r>
    <d v="2025-11-25T00:00:00"/>
    <x v="6"/>
    <s v="IIHNOV2025PYTALLOWANCE025/CIB//NIP TFR TO FARAYADE EMMANUEL OLAWALE/WBP"/>
    <s v="Salaries and Wages"/>
    <x v="7"/>
    <n v="20000"/>
  </r>
  <r>
    <d v="2025-11-25T00:00:00"/>
    <x v="6"/>
    <s v="NIP CHARGE + VAT"/>
    <s v="Bank charges"/>
    <x v="1"/>
    <n v="26.88"/>
  </r>
  <r>
    <d v="2025-11-25T00:00:00"/>
    <x v="6"/>
    <s v="IIHNOV2025PYTALLOWANCE020/CIB//NIP TFR TO AYORINDE OLAMIDE OPEMIPO/STLB"/>
    <s v="Salaries and Wages"/>
    <x v="7"/>
    <n v="20000"/>
  </r>
  <r>
    <d v="2025-11-25T00:00:00"/>
    <x v="6"/>
    <s v="NIP CHARGE + VAT"/>
    <s v="Bank charges"/>
    <x v="1"/>
    <n v="26.88"/>
  </r>
  <r>
    <d v="2025-11-25T00:00:00"/>
    <x v="6"/>
    <s v="IIHNOV2025PYTALLOWANCE002/CIB//NIP TFR TO OLUWADAMILARE EMMANUEL OLOYEDE/ABN"/>
    <s v="Salaries and Wages"/>
    <x v="7"/>
    <n v="35000"/>
  </r>
  <r>
    <d v="2025-11-25T00:00:00"/>
    <x v="6"/>
    <s v="NIP CHARGE + VAT"/>
    <s v="Bank charges"/>
    <x v="1"/>
    <n v="26.88"/>
  </r>
  <r>
    <d v="2025-11-25T00:00:00"/>
    <x v="6"/>
    <s v="IIHSALARYNOV2025020/CIB//NIP TFR TO AYORINDE OLAMIDE OPEMIPO/STLB"/>
    <s v="Salaries and Wages"/>
    <x v="7"/>
    <n v="52835"/>
  </r>
  <r>
    <d v="2025-11-25T00:00:00"/>
    <x v="6"/>
    <s v="NIP CHARGE + VAT"/>
    <s v="Bank charges"/>
    <x v="1"/>
    <n v="53.75"/>
  </r>
  <r>
    <d v="2025-11-25T00:00:00"/>
    <x v="6"/>
    <s v="IIHSALARYNOV2025018/CIB//NIP TFR TO JAMIU ADEBOLA OLADIPO/SCB"/>
    <s v="Salaries and Wages"/>
    <x v="7"/>
    <n v="283172.2"/>
  </r>
  <r>
    <d v="2025-11-25T00:00:00"/>
    <x v="6"/>
    <s v="NIP CHARGE + VAT"/>
    <s v="Bank charges"/>
    <x v="1"/>
    <n v="53.75"/>
  </r>
  <r>
    <d v="2025-11-25T00:00:00"/>
    <x v="6"/>
    <s v="IIHSALARYNOV2025016/CIB//NIP TFR TO KAMIL LANRE AHMED/SKYE"/>
    <s v="Salaries and Wages"/>
    <x v="7"/>
    <n v="283172.2"/>
  </r>
  <r>
    <d v="2025-11-25T00:00:00"/>
    <x v="6"/>
    <s v="NIP CHARGE + VAT"/>
    <s v="Bank charges"/>
    <x v="1"/>
    <n v="53.75"/>
  </r>
  <r>
    <d v="2025-11-25T00:00:00"/>
    <x v="6"/>
    <s v="IIHSALARYNOV2025022/CIB//NIP TFR TO SULYMAN KAOWTHAR BOLUWATIFE/UBA"/>
    <s v="Salaries and Wages"/>
    <x v="7"/>
    <n v="52835"/>
  </r>
  <r>
    <d v="2025-11-25T00:00:00"/>
    <x v="6"/>
    <s v="NIP CHARGE + VAT"/>
    <s v="Bank charges"/>
    <x v="1"/>
    <n v="53.75"/>
  </r>
  <r>
    <d v="2025-11-25T00:00:00"/>
    <x v="6"/>
    <s v="IIHNOV2025PYTALLOWANCE023/CIB//NIP TFR TO AHMED HABEEB ALABI/UBA"/>
    <s v="Salaries and Wages"/>
    <x v="7"/>
    <n v="10000"/>
  </r>
  <r>
    <d v="2025-11-25T00:00:00"/>
    <x v="6"/>
    <s v="NIP CHARGE + VAT"/>
    <s v="Bank charges"/>
    <x v="1"/>
    <n v="26.88"/>
  </r>
  <r>
    <d v="2025-11-25T00:00:00"/>
    <x v="6"/>
    <s v="IIHSALARYNOV2025001/CIB//NIP TFR TO HENRY MGBECHI CHUKWUEBUKA/ABN"/>
    <s v="Salaries and Wages"/>
    <x v="7"/>
    <n v="158172.20000000001"/>
  </r>
  <r>
    <d v="2025-11-25T00:00:00"/>
    <x v="6"/>
    <s v="NIP CHARGE + VAT"/>
    <s v="Bank charges"/>
    <x v="1"/>
    <n v="53.75"/>
  </r>
  <r>
    <d v="2025-11-25T00:00:00"/>
    <x v="6"/>
    <s v="IIHSALARYNOV2025025/CIB//NIP TFR TO FARAYADE EMMANUEL OLAWALE/WBP"/>
    <s v="Salaries and Wages"/>
    <x v="7"/>
    <n v="71025"/>
  </r>
  <r>
    <d v="2025-11-25T00:00:00"/>
    <x v="6"/>
    <s v="NIP CHARGE + VAT"/>
    <s v="Bank charges"/>
    <x v="1"/>
    <n v="53.75"/>
  </r>
  <r>
    <d v="2025-11-25T00:00:00"/>
    <x v="6"/>
    <s v="IIHNOV2025PYTALLOWANCE016/CIB//NIP TFR TO KAMIL LANRE AHMED/SKYE"/>
    <s v="Salaries and Wages"/>
    <x v="7"/>
    <n v="35000"/>
  </r>
  <r>
    <d v="2025-11-25T00:00:00"/>
    <x v="6"/>
    <s v="NIP CHARGE + VAT"/>
    <s v="Bank charges"/>
    <x v="1"/>
    <n v="26.88"/>
  </r>
  <r>
    <d v="2025-11-25T00:00:00"/>
    <x v="6"/>
    <s v="IIHNOV2025PYTALLOWANCE018/CIB//NIP TFR TO JAMIU ADEBOLA OLADIPO/SCB"/>
    <s v="Salaries and Wages"/>
    <x v="7"/>
    <n v="35000"/>
  </r>
  <r>
    <d v="2025-11-25T00:00:00"/>
    <x v="6"/>
    <s v="NIP CHARGE + VAT"/>
    <s v="Bank charges"/>
    <x v="1"/>
    <n v="26.88"/>
  </r>
  <r>
    <d v="2025-11-25T00:00:00"/>
    <x v="6"/>
    <s v="IIHSALARYNOV2025019/CIB//NIP TFR TO KHADIJAT ZUMAH SULYMAN/STLB"/>
    <s v="Salaries and Wages"/>
    <x v="7"/>
    <n v="2295519.56"/>
  </r>
  <r>
    <d v="2025-11-25T00:00:00"/>
    <x v="6"/>
    <s v="NIP CHARGE + VAT"/>
    <s v="Bank charges"/>
    <x v="1"/>
    <n v="53.75"/>
  </r>
  <r>
    <d v="2025-11-25T00:00:00"/>
    <x v="6"/>
    <s v="NIP CHARGE + VAT"/>
    <s v="Bank charges"/>
    <x v="1"/>
    <n v="26.88"/>
  </r>
  <r>
    <d v="2025-11-25T00:00:00"/>
    <x v="6"/>
    <s v="IIHNOV2025PYTALLOWANCE022/CIB//NIP TFR TO SULYMAN KAOWTHAR BOLUWATIFE/UBA"/>
    <s v="Salaries and Wages"/>
    <x v="7"/>
    <n v="20000"/>
  </r>
  <r>
    <d v="2025-11-25T00:00:00"/>
    <x v="6"/>
    <s v="IIHSALARYNOV2025024/CIB//NIP TFR TO HAPPINESS  SAMUEL/UBA"/>
    <s v="Salaries and Wages"/>
    <x v="7"/>
    <n v="44432.33"/>
  </r>
  <r>
    <d v="2025-11-25T00:00:00"/>
    <x v="6"/>
    <s v="NIP CHARGE + VAT"/>
    <s v="Bank charges"/>
    <x v="1"/>
    <n v="26.88"/>
  </r>
  <r>
    <d v="2025-11-25T00:00:00"/>
    <x v="6"/>
    <s v="IIHNOV2025PYTALLOWANCE024/CIB//NIP TFR TO HAPPINESS  SAMUEL/UBA"/>
    <s v="Salaries and Wages"/>
    <x v="7"/>
    <n v="20000"/>
  </r>
  <r>
    <d v="2025-11-25T00:00:00"/>
    <x v="6"/>
    <s v="NIP CHARGE + VAT"/>
    <s v="Bank charges"/>
    <x v="1"/>
    <n v="26.88"/>
  </r>
  <r>
    <d v="2025-11-25T00:00:00"/>
    <x v="6"/>
    <s v="IIHSALARYNOV2025023/CIB//NIP TFR TO AHMED HABEEB ALABI/UBA"/>
    <s v="Salaries and Wages"/>
    <x v="7"/>
    <n v="35537.5"/>
  </r>
  <r>
    <d v="2025-11-25T00:00:00"/>
    <x v="6"/>
    <s v="NIP CHARGE + VAT"/>
    <s v="Bank charges"/>
    <x v="1"/>
    <n v="26.88"/>
  </r>
  <r>
    <d v="2025-11-25T00:00:00"/>
    <x v="6"/>
    <s v="IIHNOV2025PYTALLOWANCE021/CIB//NIP TFR TO MUINAT OYINKANSOLA BELLO/UBA"/>
    <s v="Salaries and Wages"/>
    <x v="7"/>
    <n v="27500"/>
  </r>
  <r>
    <d v="2025-11-25T00:00:00"/>
    <x v="6"/>
    <s v="NIP CHARGE + VAT"/>
    <s v="Bank charges"/>
    <x v="1"/>
    <n v="26.88"/>
  </r>
  <r>
    <d v="2025-11-25T00:00:00"/>
    <x v="6"/>
    <s v="IIHSALARYNOV2025021/CIB//NIP TFR TO MUINAT OYINKANSOLA BELLO/UBA"/>
    <s v="Salaries and Wages"/>
    <x v="7"/>
    <n v="140171.67000000001"/>
  </r>
  <r>
    <d v="2025-11-25T00:00:00"/>
    <x v="6"/>
    <s v="NIP CHARGE + VAT"/>
    <s v="Bank charges"/>
    <x v="1"/>
    <n v="53.75"/>
  </r>
  <r>
    <d v="2025-11-25T00:00:00"/>
    <x v="6"/>
    <s v="IIHNOV2025PYTALLOWANCE011/CIB//NIP TFR TO SULYMAN YUSUF ALAO/GTB"/>
    <s v="Salaries and Wages"/>
    <x v="7"/>
    <n v="27500"/>
  </r>
  <r>
    <d v="2025-11-25T00:00:00"/>
    <x v="6"/>
    <s v="NIP CHARGE + VAT"/>
    <s v="Bank charges"/>
    <x v="1"/>
    <n v="26.88"/>
  </r>
  <r>
    <d v="2025-11-25T00:00:00"/>
    <x v="6"/>
    <s v="IIHSALARYNOV2025011/CIB//NIP TFR TO SULYMAN YUSUF ALAO/GTB"/>
    <s v="Salaries and Wages"/>
    <x v="7"/>
    <n v="140171.67000000001"/>
  </r>
  <r>
    <d v="2025-11-25T00:00:00"/>
    <x v="6"/>
    <s v="NIP CHARGE + VAT"/>
    <s v="Bank charges"/>
    <x v="1"/>
    <n v="53.75"/>
  </r>
  <r>
    <d v="2025-11-25T00:00:00"/>
    <x v="6"/>
    <s v="IIHNOV2025PYTALLOWANCE006/CIB//NIP TFR TO MUHAMMED NASIRU MAHMOOD/GTB"/>
    <s v="Salaries and Wages"/>
    <x v="7"/>
    <n v="35000"/>
  </r>
  <r>
    <d v="2025-11-25T00:00:00"/>
    <x v="6"/>
    <s v="NIP CHARGE + VAT"/>
    <s v="Bank charges"/>
    <x v="1"/>
    <n v="26.88"/>
  </r>
  <r>
    <d v="2025-11-25T00:00:00"/>
    <x v="6"/>
    <s v="IIHNOV2025PYTALLOWANCE012/CIB//NIP TFR TO OKOLIE  OGOCHUKWUKA BENJAMIN/GTB"/>
    <s v="Salaries and Wages"/>
    <x v="7"/>
    <n v="20000"/>
  </r>
  <r>
    <d v="2025-11-25T00:00:00"/>
    <x v="6"/>
    <s v="NIP CHARGE + VAT"/>
    <s v="Bank charges"/>
    <x v="1"/>
    <n v="26.88"/>
  </r>
  <r>
    <d v="2025-11-25T00:00:00"/>
    <x v="6"/>
    <s v="IIHSALARYNOV2025009/CIB//NIP TFR TO AKANDE OLUWASAYO TEMILOLA/GTB"/>
    <s v="Salaries and Wages"/>
    <x v="7"/>
    <n v="283172.2"/>
  </r>
  <r>
    <d v="2025-11-25T00:00:00"/>
    <x v="6"/>
    <s v="NIP CHARGE + VAT"/>
    <s v="Bank charges"/>
    <x v="1"/>
    <n v="53.75"/>
  </r>
  <r>
    <d v="2025-11-25T00:00:00"/>
    <x v="6"/>
    <s v="IIHSALARYNOV2025006/CIB//NIP TFR TO MUHAMMED NASIRU MAHMOOD/GTB"/>
    <s v="Salaries and Wages"/>
    <x v="7"/>
    <n v="236614.6"/>
  </r>
  <r>
    <d v="2025-11-25T00:00:00"/>
    <x v="6"/>
    <s v="NIP CHARGE + VAT"/>
    <s v="Bank charges"/>
    <x v="1"/>
    <n v="53.75"/>
  </r>
  <r>
    <d v="2025-11-25T00:00:00"/>
    <x v="6"/>
    <s v="IIHSALARYNOV2025008/CIB//NIP TFR TO ONUCHUKWU SINACHI GOODNESS/GTB"/>
    <s v="Salaries and Wages"/>
    <x v="7"/>
    <n v="283172.2"/>
  </r>
  <r>
    <d v="2025-11-25T00:00:00"/>
    <x v="6"/>
    <s v="NIP CHARGE + VAT"/>
    <s v="Bank charges"/>
    <x v="1"/>
    <n v="53.75"/>
  </r>
  <r>
    <d v="2025-11-25T00:00:00"/>
    <x v="6"/>
    <s v="IIHNOV2025PYTALLOWANCE013/CIB//NIP TFR TO OWARE JOAN/GTB"/>
    <s v="Salaries and Wages"/>
    <x v="7"/>
    <n v="20000"/>
  </r>
  <r>
    <d v="2025-11-25T00:00:00"/>
    <x v="6"/>
    <s v="NIP CHARGE + VAT"/>
    <s v="Bank charges"/>
    <x v="1"/>
    <n v="26.88"/>
  </r>
  <r>
    <d v="2025-11-25T00:00:00"/>
    <x v="6"/>
    <s v="IIHSALARYNOV2025013/CIB//NIP TFR TO OWARE JOAN/GTB"/>
    <s v="Salaries and Wages"/>
    <x v="7"/>
    <n v="52835"/>
  </r>
  <r>
    <d v="2025-11-25T00:00:00"/>
    <x v="6"/>
    <s v="NIP CHARGE + VAT"/>
    <s v="Bank charges"/>
    <x v="1"/>
    <n v="53.75"/>
  </r>
  <r>
    <d v="2025-11-25T00:00:00"/>
    <x v="6"/>
    <s v="NIP CHARGE + VAT"/>
    <s v="Bank charges"/>
    <x v="1"/>
    <n v="53.75"/>
  </r>
  <r>
    <d v="2025-11-25T00:00:00"/>
    <x v="6"/>
    <s v="IIHSALARYNOV2025010/CIB//NIP TFR TO UTHMAN BELLO KHADIJAT/GTB"/>
    <s v="Salaries and Wages"/>
    <x v="7"/>
    <n v="198220.54"/>
  </r>
  <r>
    <d v="2025-11-25T00:00:00"/>
    <x v="6"/>
    <s v="IIHNOV2025PYTALLOWANCE008/CIB//NIP TFR TO ONUCHUKWU SINACHI GOODNESS/GTB"/>
    <s v="Salaries and Wages"/>
    <x v="7"/>
    <n v="35000"/>
  </r>
  <r>
    <d v="2025-11-25T00:00:00"/>
    <x v="6"/>
    <s v="NIP CHARGE + VAT"/>
    <s v="Bank charges"/>
    <x v="1"/>
    <n v="26.88"/>
  </r>
  <r>
    <d v="2025-11-25T00:00:00"/>
    <x v="6"/>
    <s v="IIHNOV2025PYTALLOWANCE010/CIB//NIP TFR TO UTHMAN BELLO KHADIJAT/GTB"/>
    <s v="Salaries and Wages"/>
    <x v="7"/>
    <n v="24500"/>
  </r>
  <r>
    <d v="2025-11-25T00:00:00"/>
    <x v="6"/>
    <s v="NIP CHARGE + VAT"/>
    <s v="Bank charges"/>
    <x v="1"/>
    <n v="26.88"/>
  </r>
  <r>
    <d v="2025-11-25T00:00:00"/>
    <x v="6"/>
    <s v="IIHSALARYNOV2025007/CIB//NIP TFR TO OKEY MAUREEN DANIEL/GTB"/>
    <s v="Salaries and Wages"/>
    <x v="7"/>
    <n v="283172.2"/>
  </r>
  <r>
    <d v="2025-11-25T00:00:00"/>
    <x v="6"/>
    <s v="NIP CHARGE + VAT"/>
    <s v="Bank charges"/>
    <x v="1"/>
    <n v="53.75"/>
  </r>
  <r>
    <d v="2025-11-25T00:00:00"/>
    <x v="6"/>
    <s v="IIHNOV2025PYTALLOWANCE007/CIB//NIP TFR TO OKEY MAUREEN DANIEL/GTB"/>
    <s v="Salaries and Wages"/>
    <x v="7"/>
    <n v="35000"/>
  </r>
  <r>
    <d v="2025-11-25T00:00:00"/>
    <x v="6"/>
    <s v="NIP CHARGE + VAT"/>
    <s v="Bank charges"/>
    <x v="1"/>
    <n v="26.88"/>
  </r>
  <r>
    <d v="2025-11-25T00:00:00"/>
    <x v="6"/>
    <s v="IIHSALARYNOV2025012/CIB//NIP TFR TO OKOLIE  OGOCHUKWUKA BENJAMIN/GTB"/>
    <s v="Salaries and Wages"/>
    <x v="7"/>
    <n v="52835"/>
  </r>
  <r>
    <d v="2025-11-25T00:00:00"/>
    <x v="6"/>
    <s v="NIP CHARGE + VAT"/>
    <s v="Bank charges"/>
    <x v="1"/>
    <n v="53.75"/>
  </r>
  <r>
    <d v="2025-11-25T00:00:00"/>
    <x v="6"/>
    <s v="IIHNOV2025PYTALLOWANCE009/CIB//NIP TFR TO AKANDE OLUWASAYO TEMILOLA/GTB"/>
    <s v="Salaries and Wages"/>
    <x v="7"/>
    <n v="35000"/>
  </r>
  <r>
    <d v="2025-11-25T00:00:00"/>
    <x v="6"/>
    <s v="NIP CHARGE + VAT"/>
    <s v="Bank charges"/>
    <x v="1"/>
    <n v="26.88"/>
  </r>
  <r>
    <d v="2025-11-25T00:00:00"/>
    <x v="6"/>
    <s v="NIP CR//OLANREWAJU BASHIR YUSUF/PALM /SECURITY PERSONNEL FOR KW AI SUMMIT 4 3DAYS"/>
    <s v="Security"/>
    <x v="14"/>
    <n v="760000"/>
  </r>
  <r>
    <d v="2025-11-25T00:00:00"/>
    <x v="6"/>
    <s v="NIP CHARGE + VAT"/>
    <s v="Bank charges"/>
    <x v="1"/>
    <n v="53.75"/>
  </r>
  <r>
    <d v="2025-11-25T00:00:00"/>
    <x v="6"/>
    <s v="***RSVL NIP CR//OLANREWAJU BASHIR YUSUF/PALM /SECURITY PERSONNEL FOR KW AI SUMMIT 4 3DAYS"/>
    <s v="Security"/>
    <x v="14"/>
    <n v="-760000"/>
  </r>
  <r>
    <d v="2025-11-25T00:00:00"/>
    <x v="6"/>
    <s v="***RSVL NIP CHARGE + VAT"/>
    <s v="Bank charges"/>
    <x v="1"/>
    <n v="-53.75"/>
  </r>
  <r>
    <d v="2025-11-25T00:00:00"/>
    <x v="6"/>
    <s v="NIP CR//ALLIZSTA VENTURES/WBP  /RENTAGE OF 500KVA GEN AND TFARE TONFRO IBADAN"/>
    <s v="Rentals"/>
    <x v="23"/>
    <n v="2300000"/>
  </r>
  <r>
    <d v="2025-11-25T00:00:00"/>
    <x v="6"/>
    <s v="NIP CHARGE + VAT"/>
    <s v="Bank charges"/>
    <x v="1"/>
    <n v="53.75"/>
  </r>
  <r>
    <d v="2025-11-25T00:00:00"/>
    <x v="6"/>
    <s v="NIP CR//KAYDEEN INTEGRATED SERVICES LTD/WBP  /AIR CONDITIONER CORRECTIVE MAINTENANCE ITEMS NOV25"/>
    <s v="Repairs and maintenance"/>
    <x v="12"/>
    <n v="1441900"/>
  </r>
  <r>
    <d v="2025-11-25T00:00:00"/>
    <x v="6"/>
    <s v="NIP CHARGE + VAT"/>
    <s v="Bank charges"/>
    <x v="1"/>
    <n v="53.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6" indent="0" outline="1" outlineData="1" multipleFieldFilters="0">
  <location ref="A3:I39" firstHeaderRow="1" firstDataRow="2" firstDataCol="1"/>
  <pivotFields count="6">
    <pivotField numFmtId="14" showAll="0"/>
    <pivotField axis="axisCol" showAll="0">
      <items count="8">
        <item x="0"/>
        <item x="1"/>
        <item x="2"/>
        <item x="3"/>
        <item x="4"/>
        <item x="5"/>
        <item x="6"/>
        <item t="default"/>
      </items>
    </pivotField>
    <pivotField showAll="0"/>
    <pivotField showAll="0"/>
    <pivotField axis="axisRow" showAll="0">
      <items count="36">
        <item x="19"/>
        <item x="1"/>
        <item x="26"/>
        <item x="17"/>
        <item x="0"/>
        <item x="22"/>
        <item x="16"/>
        <item x="20"/>
        <item x="3"/>
        <item x="15"/>
        <item x="2"/>
        <item x="4"/>
        <item x="5"/>
        <item x="8"/>
        <item x="23"/>
        <item x="12"/>
        <item x="7"/>
        <item x="14"/>
        <item x="9"/>
        <item x="27"/>
        <item x="25"/>
        <item x="21"/>
        <item x="29"/>
        <item x="10"/>
        <item x="24"/>
        <item x="18"/>
        <item x="28"/>
        <item x="6"/>
        <item x="11"/>
        <item x="13"/>
        <item x="30"/>
        <item x="31"/>
        <item m="1" x="34"/>
        <item x="32"/>
        <item x="33"/>
        <item t="default"/>
      </items>
    </pivotField>
    <pivotField dataField="1" numFmtId="164" showAll="0"/>
  </pivotFields>
  <rowFields count="1">
    <field x="4"/>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3"/>
    </i>
    <i>
      <x v="34"/>
    </i>
    <i t="grand">
      <x/>
    </i>
  </rowItems>
  <colFields count="1">
    <field x="1"/>
  </colFields>
  <colItems count="8">
    <i>
      <x/>
    </i>
    <i>
      <x v="1"/>
    </i>
    <i>
      <x v="2"/>
    </i>
    <i>
      <x v="3"/>
    </i>
    <i>
      <x v="4"/>
    </i>
    <i>
      <x v="5"/>
    </i>
    <i>
      <x v="6"/>
    </i>
    <i t="grand">
      <x/>
    </i>
  </colItems>
  <dataFields count="1">
    <dataField name="Sum of Transactions" fld="5" baseField="0" baseItem="0"/>
  </dataFields>
  <formats count="12">
    <format dxfId="11">
      <pivotArea collapsedLevelsAreSubtotals="1" fieldPosition="0">
        <references count="1">
          <reference field="4" count="0"/>
        </references>
      </pivotArea>
    </format>
    <format dxfId="10">
      <pivotArea collapsedLevelsAreSubtotals="1" fieldPosition="0">
        <references count="1">
          <reference field="4" count="1">
            <x v="12"/>
          </reference>
        </references>
      </pivotArea>
    </format>
    <format dxfId="9">
      <pivotArea dataOnly="0" labelOnly="1" fieldPosition="0">
        <references count="1">
          <reference field="4" count="1">
            <x v="12"/>
          </reference>
        </references>
      </pivotArea>
    </format>
    <format dxfId="8">
      <pivotArea collapsedLevelsAreSubtotals="1" fieldPosition="0">
        <references count="1">
          <reference field="4" count="1">
            <x v="26"/>
          </reference>
        </references>
      </pivotArea>
    </format>
    <format dxfId="7">
      <pivotArea dataOnly="0" labelOnly="1" fieldPosition="0">
        <references count="1">
          <reference field="4" count="1">
            <x v="26"/>
          </reference>
        </references>
      </pivotArea>
    </format>
    <format dxfId="6">
      <pivotArea collapsedLevelsAreSubtotals="1" fieldPosition="0">
        <references count="1">
          <reference field="4" count="1">
            <x v="22"/>
          </reference>
        </references>
      </pivotArea>
    </format>
    <format dxfId="5">
      <pivotArea dataOnly="0" labelOnly="1" fieldPosition="0">
        <references count="1">
          <reference field="4" count="1">
            <x v="22"/>
          </reference>
        </references>
      </pivotArea>
    </format>
    <format dxfId="4">
      <pivotArea field="1" grandRow="1" outline="0" collapsedLevelsAreSubtotals="1" axis="axisCol" fieldPosition="0">
        <references count="1">
          <reference field="1" count="1" selected="0">
            <x v="4"/>
          </reference>
        </references>
      </pivotArea>
    </format>
    <format dxfId="3">
      <pivotArea field="1" grandRow="1" outline="0" collapsedLevelsAreSubtotals="1" axis="axisCol" fieldPosition="0">
        <references count="1">
          <reference field="1" count="2" selected="0">
            <x v="2"/>
            <x v="3"/>
          </reference>
        </references>
      </pivotArea>
    </format>
    <format dxfId="2">
      <pivotArea grandRow="1" grandCol="1" outline="0" collapsedLevelsAreSubtotals="1" fieldPosition="0"/>
    </format>
    <format dxfId="1">
      <pivotArea collapsedLevelsAreSubtotals="1" fieldPosition="0">
        <references count="2">
          <reference field="1" count="1" selected="0">
            <x v="3"/>
          </reference>
          <reference field="4" count="1">
            <x v="32"/>
          </reference>
        </references>
      </pivotArea>
    </format>
    <format dxfId="0">
      <pivotArea collapsedLevelsAreSubtotals="1" fieldPosition="0">
        <references count="2">
          <reference field="1" count="1" selected="0">
            <x v="3"/>
          </reference>
          <reference field="4" count="1">
            <x v="3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Table1" displayName="Table1" ref="A1:F2" totalsRowShown="0">
  <autoFilter ref="A1:F2"/>
  <tableColumns count="6">
    <tableColumn id="1" name="Trans Date" dataDxfId="14"/>
    <tableColumn id="2" name="Period" dataDxfId="13"/>
    <tableColumn id="3" name="Transaction Details" dataDxfId="12"/>
    <tableColumn id="4" name="Category"/>
    <tableColumn id="5" name="Category per Zoho"/>
    <tableColumn id="6" name="Transaction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56" dT="2025-11-03T21:22:03.49" personId="{ADD27EF9-E332-42ED-9301-B6ADC24999FA}" id="{2F0E7997-15BF-45E5-93AF-9E07300CD028}">
    <text>Please do a check that these balances agree with the closing Sept statement. They should mirror the closing balances in the accounts if all entries have been captured in the GL tab correctly.
For example, Sterling is expected to be zero as the account has been closed, however there a reconciling balance of N400k that needs to be resolved</text>
  </threadedComment>
  <threadedComment ref="C80" dT="2025-11-03T20:33:00.30" personId="{ADD27EF9-E332-42ED-9301-B6ADC24999FA}" id="{4BE46735-8E6E-4338-93C4-95D1D5AFFDEF}">
    <text>There are 6 items currently in this account that need to be properly categorized, please look into them and categorize accordingly.This should serve as a temporay account for transcations that cannot be  categorized</text>
  </threadedComment>
  <threadedComment ref="C82" dT="2025-11-03T20:31:08.11" personId="{ADD27EF9-E332-42ED-9301-B6ADC24999FA}" id="{B76FE2EC-A710-4FF8-8DD3-D5BD1E5C99BF}">
    <text>Cleared the check. This would let you know entries that are not recording in the trial balance because the account name used in the GL transation is not in the listed accounts</text>
  </threadedComment>
</ThreadedComments>
</file>

<file path=xl/threadedComments/threadedComment2.xml><?xml version="1.0" encoding="utf-8"?>
<ThreadedComments xmlns="http://schemas.microsoft.com/office/spreadsheetml/2018/threadedcomments" xmlns:x="http://schemas.openxmlformats.org/spreadsheetml/2006/main">
  <threadedComment ref="F1337" dT="2025-11-03T21:18:43.91" personId="{ADD27EF9-E332-42ED-9301-B6ADC24999FA}" id="{5460515E-8B84-42B1-B85C-72CE1A47BAB8}">
    <text>These entries in red font were captured as text and not numbers, i have updated them</text>
  </threadedComment>
  <threadedComment ref="F1366" dT="2025-11-03T20:04:34.33" personId="{ADD27EF9-E332-42ED-9301-B6ADC24999FA}" id="{8CE7C680-A6FA-4EF7-AA30-B3044ECDA9B4}">
    <text>Amount initially quoted of 37,833,676.74 did not add up to the total transactions updated for the month in this bank, so i have updated it with a formula to correct this. 
This is due to the input in rows 1337-1340 (in red font) which were reading as text not numbers. I have updated it, kindly confirm on your end as well</text>
  </threadedComment>
  <threadedComment ref="E1406" dT="2025-11-03T20:07:19.35" personId="{ADD27EF9-E332-42ED-9301-B6ADC24999FA}" id="{75E55F38-C50B-4946-BFB8-69E8CE910D2E}">
    <text>Noted that is the amount withdrawn from the sterling account from closure of account</text>
  </threadedComment>
  <threadedComment ref="E1447" dT="2025-11-03T20:05:36.63" personId="{ADD27EF9-E332-42ED-9301-B6ADC24999FA}" id="{55FBF640-DB13-4583-9C20-0968D96E9694}">
    <text>I believe this is the total withdrawal on account from closing the sterling account. I categorized it as zenith bank as the amount was moved to the bank, as a cash movement</text>
  </threadedComment>
  <threadedComment ref="F1447" dT="2025-11-03T20:12:32.44" personId="{ADD27EF9-E332-42ED-9301-B6ADC24999FA}" id="{F9AA5F44-3A7B-4EAF-BF48-F6EA962D29AA}">
    <text>I understand this is the total amount withdrawn, however it doesnt match up with the balance in the books for Sterling. As at Aug, the closing cash was 2,427,592.5. Please see recon sheet for expected balance</text>
  </threadedComment>
</ThreadedComments>
</file>

<file path=xl/threadedComments/threadedComment3.xml><?xml version="1.0" encoding="utf-8"?>
<ThreadedComments xmlns="http://schemas.microsoft.com/office/spreadsheetml/2018/threadedcomments" xmlns:x="http://schemas.openxmlformats.org/spreadsheetml/2006/main">
  <threadedComment ref="C9" dT="2025-11-03T20:17:26.47" personId="{ADD27EF9-E332-42ED-9301-B6ADC24999FA}" id="{B80950DE-4F4E-4FDC-BA87-0C21D2C9FF09}">
    <text>Kindly investigate the variance noted on account closure. Need to re-confirm transactions in the month as there appears to be a missing inflow not recorded or an entry not recorded properly</text>
  </threadedComment>
</ThreadedComments>
</file>

<file path=xl/threadedComments/threadedComment4.xml><?xml version="1.0" encoding="utf-8"?>
<ThreadedComments xmlns="http://schemas.microsoft.com/office/spreadsheetml/2018/threadedcomments" xmlns:x="http://schemas.openxmlformats.org/spreadsheetml/2006/main">
  <threadedComment ref="D57" dT="2025-11-03T20:10:54.67" personId="{ADD27EF9-E332-42ED-9301-B6ADC24999FA}" id="{4712482E-FD07-4DE3-A2E8-A2D52E57CFA1}">
    <text>Updated GL description to include kwara state as it is a similar donation received from IHS. We can also consider creating a tracker to know amount received from both donors at any point in time</text>
  </threadedComment>
  <threadedComment ref="B78" dT="2025-11-03T20:09:23.80" personId="{ADD27EF9-E332-42ED-9301-B6ADC24999FA}" id="{D463C068-C19E-46CA-BFCE-C712BACF8B40}">
    <text>Updated description for new accounts on the COA and removed duplicates like training and kwara, which forms part of income from staff training and Donation</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5"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 Id="rId5" Type="http://schemas.microsoft.com/office/2017/10/relationships/threadedComment" Target="../threadedComments/threadedComment2.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7/10/relationships/threadedComment" Target="../threadedComments/threadedComment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ivotTable" Target="../pivotTables/pivotTable1.xml"/></Relationships>
</file>

<file path=xl/worksheets/_rels/sheet1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7/10/relationships/threadedComment" Target="../threadedComments/threadedComment4.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25"/>
  <sheetViews>
    <sheetView workbookViewId="0">
      <selection activeCell="E2" sqref="E2:E15"/>
    </sheetView>
  </sheetViews>
  <sheetFormatPr defaultRowHeight="13"/>
  <cols>
    <col min="1" max="1" width="9.296875" style="1"/>
    <col min="2" max="2" width="15.296875" style="7" bestFit="1" customWidth="1"/>
    <col min="3" max="3" width="130.5" customWidth="1"/>
    <col min="4" max="4" width="28.796875" bestFit="1" customWidth="1"/>
    <col min="5" max="5" width="15.19921875" style="2" bestFit="1" customWidth="1"/>
  </cols>
  <sheetData>
    <row r="1" spans="1:6">
      <c r="A1" s="1" t="s">
        <v>37</v>
      </c>
      <c r="B1" s="7" t="s">
        <v>38</v>
      </c>
      <c r="C1" t="s">
        <v>39</v>
      </c>
      <c r="D1" t="s">
        <v>0</v>
      </c>
      <c r="E1" s="2" t="s">
        <v>1</v>
      </c>
      <c r="F1" t="s">
        <v>709</v>
      </c>
    </row>
    <row r="2" spans="1:6">
      <c r="A2" s="1">
        <v>45798</v>
      </c>
      <c r="B2" s="7" t="s">
        <v>40</v>
      </c>
      <c r="C2" t="s">
        <v>41</v>
      </c>
      <c r="D2" t="s">
        <v>2</v>
      </c>
      <c r="E2" s="2">
        <v>-444000</v>
      </c>
      <c r="F2" t="s">
        <v>710</v>
      </c>
    </row>
    <row r="3" spans="1:6">
      <c r="A3" s="1">
        <v>45798</v>
      </c>
      <c r="B3" s="7" t="s">
        <v>40</v>
      </c>
      <c r="C3" t="s">
        <v>42</v>
      </c>
      <c r="D3" t="s">
        <v>3</v>
      </c>
      <c r="E3" s="2">
        <v>50</v>
      </c>
      <c r="F3" t="s">
        <v>710</v>
      </c>
    </row>
    <row r="4" spans="1:6">
      <c r="A4" s="1">
        <v>45807</v>
      </c>
      <c r="B4" s="7" t="s">
        <v>43</v>
      </c>
      <c r="C4" t="s">
        <v>44</v>
      </c>
      <c r="D4" t="s">
        <v>4</v>
      </c>
      <c r="E4" s="2">
        <v>40000</v>
      </c>
      <c r="F4" t="s">
        <v>710</v>
      </c>
    </row>
    <row r="5" spans="1:6">
      <c r="A5" s="1">
        <v>45807</v>
      </c>
      <c r="B5" s="7" t="s">
        <v>43</v>
      </c>
      <c r="C5" t="s">
        <v>44</v>
      </c>
      <c r="D5" t="s">
        <v>3</v>
      </c>
      <c r="E5" s="2">
        <v>25</v>
      </c>
      <c r="F5" t="s">
        <v>710</v>
      </c>
    </row>
    <row r="6" spans="1:6">
      <c r="A6" s="1">
        <v>45807</v>
      </c>
      <c r="B6" s="7" t="s">
        <v>43</v>
      </c>
      <c r="C6" t="s">
        <v>44</v>
      </c>
      <c r="D6" t="s">
        <v>3</v>
      </c>
      <c r="E6" s="2">
        <v>1.8800000000046566</v>
      </c>
      <c r="F6" t="s">
        <v>710</v>
      </c>
    </row>
    <row r="7" spans="1:6">
      <c r="A7" s="1">
        <v>45807</v>
      </c>
      <c r="B7" s="7" t="s">
        <v>43</v>
      </c>
      <c r="C7" t="s">
        <v>45</v>
      </c>
      <c r="D7" t="s">
        <v>5</v>
      </c>
      <c r="E7" s="2">
        <v>10750</v>
      </c>
      <c r="F7" t="s">
        <v>710</v>
      </c>
    </row>
    <row r="8" spans="1:6">
      <c r="A8" s="1">
        <v>45807</v>
      </c>
      <c r="B8" s="7" t="s">
        <v>43</v>
      </c>
      <c r="C8" t="s">
        <v>46</v>
      </c>
      <c r="D8" t="s">
        <v>6</v>
      </c>
      <c r="E8" s="2">
        <v>12000</v>
      </c>
      <c r="F8" t="s">
        <v>710</v>
      </c>
    </row>
    <row r="9" spans="1:6">
      <c r="A9" s="1">
        <v>45807</v>
      </c>
      <c r="B9" s="7" t="s">
        <v>43</v>
      </c>
      <c r="C9" t="s">
        <v>46</v>
      </c>
      <c r="D9" t="s">
        <v>3</v>
      </c>
      <c r="E9" s="2">
        <v>25</v>
      </c>
      <c r="F9" t="s">
        <v>710</v>
      </c>
    </row>
    <row r="10" spans="1:6">
      <c r="A10" s="1">
        <v>45807</v>
      </c>
      <c r="B10" s="7" t="s">
        <v>43</v>
      </c>
      <c r="C10" t="s">
        <v>46</v>
      </c>
      <c r="D10" t="s">
        <v>3</v>
      </c>
      <c r="E10" s="2">
        <v>1.8800000000046566</v>
      </c>
      <c r="F10" t="s">
        <v>710</v>
      </c>
    </row>
    <row r="11" spans="1:6">
      <c r="A11" s="1">
        <v>45807</v>
      </c>
      <c r="B11" s="7" t="s">
        <v>43</v>
      </c>
      <c r="C11" t="s">
        <v>47</v>
      </c>
      <c r="D11" t="s">
        <v>5</v>
      </c>
      <c r="E11" s="2">
        <v>15300</v>
      </c>
      <c r="F11" t="s">
        <v>710</v>
      </c>
    </row>
    <row r="12" spans="1:6">
      <c r="A12" s="1">
        <v>45807</v>
      </c>
      <c r="B12" s="7" t="s">
        <v>43</v>
      </c>
      <c r="C12" t="s">
        <v>48</v>
      </c>
      <c r="D12" t="s">
        <v>3</v>
      </c>
      <c r="E12" s="2">
        <v>25</v>
      </c>
      <c r="F12" t="s">
        <v>710</v>
      </c>
    </row>
    <row r="13" spans="1:6">
      <c r="A13" s="1">
        <v>45807</v>
      </c>
      <c r="B13" s="7" t="s">
        <v>43</v>
      </c>
      <c r="C13" t="s">
        <v>48</v>
      </c>
      <c r="D13" t="s">
        <v>3</v>
      </c>
      <c r="E13" s="2">
        <v>1.8800000000046566</v>
      </c>
      <c r="F13" t="s">
        <v>710</v>
      </c>
    </row>
    <row r="14" spans="1:6">
      <c r="A14" s="1">
        <v>45807</v>
      </c>
      <c r="B14" s="7" t="s">
        <v>43</v>
      </c>
      <c r="C14" t="s">
        <v>49</v>
      </c>
      <c r="D14" t="s">
        <v>3</v>
      </c>
      <c r="E14" s="2">
        <v>67.299999999988358</v>
      </c>
      <c r="F14" t="s">
        <v>710</v>
      </c>
    </row>
    <row r="15" spans="1:6">
      <c r="A15" s="1">
        <v>45807</v>
      </c>
      <c r="B15" s="7" t="s">
        <v>43</v>
      </c>
      <c r="C15" t="s">
        <v>50</v>
      </c>
      <c r="D15" t="s">
        <v>3</v>
      </c>
      <c r="E15" s="2">
        <v>5.0499999999883585</v>
      </c>
      <c r="F15" t="s">
        <v>710</v>
      </c>
    </row>
    <row r="16" spans="1:6" s="10" customFormat="1">
      <c r="A16" s="8">
        <v>45808</v>
      </c>
      <c r="B16" s="9" t="s">
        <v>712</v>
      </c>
      <c r="C16" s="10" t="s">
        <v>713</v>
      </c>
      <c r="D16" s="10" t="s">
        <v>714</v>
      </c>
      <c r="E16" s="11">
        <v>365747.01</v>
      </c>
      <c r="F16" s="10" t="s">
        <v>710</v>
      </c>
    </row>
    <row r="17" spans="1:6">
      <c r="A17" s="1">
        <v>45810</v>
      </c>
      <c r="B17" s="7" t="s">
        <v>43</v>
      </c>
      <c r="C17" t="s">
        <v>51</v>
      </c>
      <c r="D17" t="s">
        <v>4</v>
      </c>
      <c r="E17" s="2">
        <v>200000</v>
      </c>
      <c r="F17" t="s">
        <v>710</v>
      </c>
    </row>
    <row r="18" spans="1:6">
      <c r="A18" s="1">
        <v>45810</v>
      </c>
      <c r="B18" s="7" t="s">
        <v>43</v>
      </c>
      <c r="C18" t="s">
        <v>51</v>
      </c>
      <c r="D18" t="s">
        <v>3</v>
      </c>
      <c r="E18" s="2">
        <v>50</v>
      </c>
      <c r="F18" t="s">
        <v>710</v>
      </c>
    </row>
    <row r="19" spans="1:6">
      <c r="A19" s="1">
        <v>45810</v>
      </c>
      <c r="B19" s="7" t="s">
        <v>43</v>
      </c>
      <c r="C19" t="s">
        <v>51</v>
      </c>
      <c r="D19" t="s">
        <v>3</v>
      </c>
      <c r="E19" s="2">
        <v>3.75</v>
      </c>
      <c r="F19" t="s">
        <v>710</v>
      </c>
    </row>
    <row r="20" spans="1:6">
      <c r="A20" s="1">
        <v>45810</v>
      </c>
      <c r="B20" s="7" t="s">
        <v>52</v>
      </c>
      <c r="C20" t="s">
        <v>53</v>
      </c>
      <c r="D20" t="s">
        <v>7</v>
      </c>
      <c r="E20" s="2">
        <v>-44499369.340000004</v>
      </c>
      <c r="F20" t="s">
        <v>710</v>
      </c>
    </row>
    <row r="21" spans="1:6">
      <c r="A21" s="1">
        <v>45810</v>
      </c>
      <c r="B21" s="7" t="s">
        <v>52</v>
      </c>
      <c r="C21" t="s">
        <v>54</v>
      </c>
      <c r="D21" t="s">
        <v>8</v>
      </c>
      <c r="E21" s="2">
        <v>249491.56000000238</v>
      </c>
      <c r="F21" t="s">
        <v>710</v>
      </c>
    </row>
    <row r="22" spans="1:6">
      <c r="A22" s="1">
        <v>45810</v>
      </c>
      <c r="B22" s="7" t="s">
        <v>52</v>
      </c>
      <c r="C22" t="s">
        <v>54</v>
      </c>
      <c r="D22" t="s">
        <v>3</v>
      </c>
      <c r="E22" s="2">
        <v>50</v>
      </c>
      <c r="F22" t="s">
        <v>710</v>
      </c>
    </row>
    <row r="23" spans="1:6">
      <c r="A23" s="1">
        <v>45810</v>
      </c>
      <c r="B23" s="7" t="s">
        <v>52</v>
      </c>
      <c r="C23" t="s">
        <v>54</v>
      </c>
      <c r="D23" t="s">
        <v>3</v>
      </c>
      <c r="E23" s="2">
        <v>3.75</v>
      </c>
      <c r="F23" t="s">
        <v>710</v>
      </c>
    </row>
    <row r="24" spans="1:6">
      <c r="A24" s="1">
        <v>45810</v>
      </c>
      <c r="B24" s="7" t="s">
        <v>52</v>
      </c>
      <c r="C24" t="s">
        <v>55</v>
      </c>
      <c r="D24" t="s">
        <v>8</v>
      </c>
      <c r="E24" s="2">
        <v>35000</v>
      </c>
      <c r="F24" t="s">
        <v>710</v>
      </c>
    </row>
    <row r="25" spans="1:6">
      <c r="A25" s="1">
        <v>45810</v>
      </c>
      <c r="B25" s="7" t="s">
        <v>52</v>
      </c>
      <c r="C25" t="s">
        <v>55</v>
      </c>
      <c r="D25" t="s">
        <v>3</v>
      </c>
      <c r="E25" s="2">
        <v>25</v>
      </c>
      <c r="F25" t="s">
        <v>710</v>
      </c>
    </row>
    <row r="26" spans="1:6">
      <c r="A26" s="1">
        <v>45810</v>
      </c>
      <c r="B26" s="7" t="s">
        <v>52</v>
      </c>
      <c r="C26" t="s">
        <v>55</v>
      </c>
      <c r="D26" t="s">
        <v>3</v>
      </c>
      <c r="E26" s="2">
        <v>1.880000002682209</v>
      </c>
      <c r="F26" t="s">
        <v>710</v>
      </c>
    </row>
    <row r="27" spans="1:6">
      <c r="A27" s="1">
        <v>45810</v>
      </c>
      <c r="B27" s="7" t="s">
        <v>52</v>
      </c>
      <c r="C27" t="s">
        <v>56</v>
      </c>
      <c r="D27" t="s">
        <v>8</v>
      </c>
      <c r="E27" s="2">
        <v>284491.55999999493</v>
      </c>
      <c r="F27" t="s">
        <v>710</v>
      </c>
    </row>
    <row r="28" spans="1:6">
      <c r="A28" s="1">
        <v>45810</v>
      </c>
      <c r="B28" s="7" t="s">
        <v>52</v>
      </c>
      <c r="C28" t="s">
        <v>56</v>
      </c>
      <c r="D28" t="s">
        <v>3</v>
      </c>
      <c r="E28" s="2">
        <v>50</v>
      </c>
      <c r="F28" t="s">
        <v>710</v>
      </c>
    </row>
    <row r="29" spans="1:6">
      <c r="A29" s="1">
        <v>45810</v>
      </c>
      <c r="B29" s="7" t="s">
        <v>52</v>
      </c>
      <c r="C29" t="s">
        <v>56</v>
      </c>
      <c r="D29" t="s">
        <v>3</v>
      </c>
      <c r="E29" s="2">
        <v>3.75</v>
      </c>
      <c r="F29" t="s">
        <v>710</v>
      </c>
    </row>
    <row r="30" spans="1:6">
      <c r="A30" s="1">
        <v>45810</v>
      </c>
      <c r="B30" s="7" t="s">
        <v>52</v>
      </c>
      <c r="C30" t="s">
        <v>57</v>
      </c>
      <c r="D30" t="s">
        <v>8</v>
      </c>
      <c r="E30" s="2">
        <v>3570659.4400000051</v>
      </c>
      <c r="F30" t="s">
        <v>710</v>
      </c>
    </row>
    <row r="31" spans="1:6">
      <c r="A31" s="1">
        <v>45810</v>
      </c>
      <c r="B31" s="7" t="s">
        <v>52</v>
      </c>
      <c r="C31" t="s">
        <v>57</v>
      </c>
      <c r="D31" t="s">
        <v>3</v>
      </c>
      <c r="E31" s="2">
        <v>50</v>
      </c>
      <c r="F31" t="s">
        <v>710</v>
      </c>
    </row>
    <row r="32" spans="1:6">
      <c r="A32" s="1">
        <v>45810</v>
      </c>
      <c r="B32" s="7" t="s">
        <v>52</v>
      </c>
      <c r="C32" t="s">
        <v>57</v>
      </c>
      <c r="D32" t="s">
        <v>3</v>
      </c>
      <c r="E32" s="2">
        <v>3.75</v>
      </c>
      <c r="F32" t="s">
        <v>710</v>
      </c>
    </row>
    <row r="33" spans="1:6">
      <c r="A33" s="1">
        <v>45810</v>
      </c>
      <c r="B33" s="7" t="s">
        <v>52</v>
      </c>
      <c r="C33" t="s">
        <v>58</v>
      </c>
      <c r="D33" t="s">
        <v>8</v>
      </c>
      <c r="E33" s="2">
        <v>2070487.4699999988</v>
      </c>
      <c r="F33" t="s">
        <v>710</v>
      </c>
    </row>
    <row r="34" spans="1:6">
      <c r="A34" s="1">
        <v>45810</v>
      </c>
      <c r="B34" s="7" t="s">
        <v>52</v>
      </c>
      <c r="C34" t="s">
        <v>58</v>
      </c>
      <c r="D34" t="s">
        <v>3</v>
      </c>
      <c r="E34" s="2">
        <v>50</v>
      </c>
      <c r="F34" t="s">
        <v>710</v>
      </c>
    </row>
    <row r="35" spans="1:6">
      <c r="A35" s="1">
        <v>45810</v>
      </c>
      <c r="B35" s="7" t="s">
        <v>52</v>
      </c>
      <c r="C35" t="s">
        <v>58</v>
      </c>
      <c r="D35" t="s">
        <v>3</v>
      </c>
      <c r="E35" s="2">
        <v>3.75</v>
      </c>
      <c r="F35" t="s">
        <v>710</v>
      </c>
    </row>
    <row r="36" spans="1:6">
      <c r="A36" s="1">
        <v>45810</v>
      </c>
      <c r="B36" s="7" t="s">
        <v>52</v>
      </c>
      <c r="C36" t="s">
        <v>59</v>
      </c>
      <c r="D36" t="s">
        <v>8</v>
      </c>
      <c r="E36" s="2">
        <v>152194.91999999434</v>
      </c>
      <c r="F36" t="s">
        <v>710</v>
      </c>
    </row>
    <row r="37" spans="1:6">
      <c r="A37" s="1">
        <v>45810</v>
      </c>
      <c r="B37" s="7" t="s">
        <v>52</v>
      </c>
      <c r="C37" t="s">
        <v>59</v>
      </c>
      <c r="D37" t="s">
        <v>3</v>
      </c>
      <c r="E37" s="2">
        <v>50</v>
      </c>
      <c r="F37" t="s">
        <v>710</v>
      </c>
    </row>
    <row r="38" spans="1:6">
      <c r="A38" s="1">
        <v>45810</v>
      </c>
      <c r="B38" s="7" t="s">
        <v>52</v>
      </c>
      <c r="C38" t="s">
        <v>59</v>
      </c>
      <c r="D38" t="s">
        <v>3</v>
      </c>
      <c r="E38" s="2">
        <v>3.75</v>
      </c>
      <c r="F38" t="s">
        <v>710</v>
      </c>
    </row>
    <row r="39" spans="1:6">
      <c r="A39" s="1">
        <v>45810</v>
      </c>
      <c r="B39" s="7" t="s">
        <v>52</v>
      </c>
      <c r="C39" t="s">
        <v>60</v>
      </c>
      <c r="D39" t="s">
        <v>3</v>
      </c>
      <c r="E39" s="2">
        <v>50</v>
      </c>
      <c r="F39" t="s">
        <v>710</v>
      </c>
    </row>
    <row r="40" spans="1:6">
      <c r="A40" s="1">
        <v>45811</v>
      </c>
      <c r="B40" s="7" t="s">
        <v>61</v>
      </c>
      <c r="C40" t="s">
        <v>62</v>
      </c>
      <c r="D40" t="s">
        <v>8</v>
      </c>
      <c r="E40" s="2">
        <v>252957.21000000089</v>
      </c>
      <c r="F40" t="s">
        <v>710</v>
      </c>
    </row>
    <row r="41" spans="1:6">
      <c r="A41" s="1">
        <v>45811</v>
      </c>
      <c r="B41" s="7" t="s">
        <v>61</v>
      </c>
      <c r="C41" t="s">
        <v>62</v>
      </c>
      <c r="D41" t="s">
        <v>3</v>
      </c>
      <c r="E41" s="2">
        <v>50</v>
      </c>
      <c r="F41" t="s">
        <v>710</v>
      </c>
    </row>
    <row r="42" spans="1:6">
      <c r="A42" s="1">
        <v>45811</v>
      </c>
      <c r="B42" s="7" t="s">
        <v>61</v>
      </c>
      <c r="C42" t="s">
        <v>62</v>
      </c>
      <c r="D42" t="s">
        <v>3</v>
      </c>
      <c r="E42" s="2">
        <v>3.75</v>
      </c>
      <c r="F42" t="s">
        <v>710</v>
      </c>
    </row>
    <row r="43" spans="1:6">
      <c r="A43" s="1">
        <v>45811</v>
      </c>
      <c r="B43" s="7" t="s">
        <v>61</v>
      </c>
      <c r="C43" t="s">
        <v>63</v>
      </c>
      <c r="D43" t="s">
        <v>8</v>
      </c>
      <c r="E43" s="2">
        <v>156011.73000000417</v>
      </c>
      <c r="F43" t="s">
        <v>710</v>
      </c>
    </row>
    <row r="44" spans="1:6">
      <c r="A44" s="1">
        <v>45811</v>
      </c>
      <c r="B44" s="7" t="s">
        <v>61</v>
      </c>
      <c r="C44" t="s">
        <v>63</v>
      </c>
      <c r="D44" t="s">
        <v>3</v>
      </c>
      <c r="E44" s="2">
        <v>50</v>
      </c>
      <c r="F44" t="s">
        <v>710</v>
      </c>
    </row>
    <row r="45" spans="1:6">
      <c r="A45" s="1">
        <v>45811</v>
      </c>
      <c r="B45" s="7" t="s">
        <v>61</v>
      </c>
      <c r="C45" t="s">
        <v>63</v>
      </c>
      <c r="D45" t="s">
        <v>3</v>
      </c>
      <c r="E45" s="2">
        <v>3.75</v>
      </c>
      <c r="F45" t="s">
        <v>710</v>
      </c>
    </row>
    <row r="46" spans="1:6">
      <c r="A46" s="1">
        <v>45811</v>
      </c>
      <c r="B46" s="7" t="s">
        <v>61</v>
      </c>
      <c r="C46" t="s">
        <v>64</v>
      </c>
      <c r="D46" t="s">
        <v>8</v>
      </c>
      <c r="E46" s="2">
        <v>156011.72999999672</v>
      </c>
      <c r="F46" t="s">
        <v>710</v>
      </c>
    </row>
    <row r="47" spans="1:6">
      <c r="A47" s="1">
        <v>45811</v>
      </c>
      <c r="B47" s="7" t="s">
        <v>61</v>
      </c>
      <c r="C47" t="s">
        <v>64</v>
      </c>
      <c r="D47" t="s">
        <v>3</v>
      </c>
      <c r="E47" s="2">
        <v>50</v>
      </c>
      <c r="F47" t="s">
        <v>710</v>
      </c>
    </row>
    <row r="48" spans="1:6">
      <c r="A48" s="1">
        <v>45811</v>
      </c>
      <c r="B48" s="7" t="s">
        <v>61</v>
      </c>
      <c r="C48" t="s">
        <v>64</v>
      </c>
      <c r="D48" t="s">
        <v>3</v>
      </c>
      <c r="E48" s="2">
        <v>3.75</v>
      </c>
      <c r="F48" t="s">
        <v>710</v>
      </c>
    </row>
    <row r="49" spans="1:6">
      <c r="A49" s="1">
        <v>45811</v>
      </c>
      <c r="B49" s="7" t="s">
        <v>61</v>
      </c>
      <c r="C49" t="s">
        <v>65</v>
      </c>
      <c r="D49" t="s">
        <v>8</v>
      </c>
      <c r="E49" s="2">
        <v>156011.73000000417</v>
      </c>
      <c r="F49" t="s">
        <v>710</v>
      </c>
    </row>
    <row r="50" spans="1:6">
      <c r="A50" s="1">
        <v>45811</v>
      </c>
      <c r="B50" s="7" t="s">
        <v>61</v>
      </c>
      <c r="C50" t="s">
        <v>65</v>
      </c>
      <c r="D50" t="s">
        <v>3</v>
      </c>
      <c r="E50" s="2">
        <v>50</v>
      </c>
      <c r="F50" t="s">
        <v>710</v>
      </c>
    </row>
    <row r="51" spans="1:6">
      <c r="A51" s="1">
        <v>45811</v>
      </c>
      <c r="B51" s="7" t="s">
        <v>61</v>
      </c>
      <c r="C51" t="s">
        <v>65</v>
      </c>
      <c r="D51" t="s">
        <v>3</v>
      </c>
      <c r="E51" s="2">
        <v>3.75</v>
      </c>
      <c r="F51" t="s">
        <v>710</v>
      </c>
    </row>
    <row r="52" spans="1:6">
      <c r="A52" s="1">
        <v>45811</v>
      </c>
      <c r="B52" s="7" t="s">
        <v>61</v>
      </c>
      <c r="C52" t="s">
        <v>66</v>
      </c>
      <c r="D52" t="s">
        <v>7</v>
      </c>
      <c r="E52" s="2">
        <v>-6935800</v>
      </c>
      <c r="F52" t="s">
        <v>710</v>
      </c>
    </row>
    <row r="53" spans="1:6">
      <c r="A53" s="1">
        <v>45811</v>
      </c>
      <c r="B53" s="7" t="s">
        <v>61</v>
      </c>
      <c r="C53" t="s">
        <v>67</v>
      </c>
      <c r="D53" t="s">
        <v>7</v>
      </c>
      <c r="E53" s="2">
        <v>-94692772.219999999</v>
      </c>
      <c r="F53" t="s">
        <v>710</v>
      </c>
    </row>
    <row r="54" spans="1:6">
      <c r="A54" s="1">
        <v>45811</v>
      </c>
      <c r="B54" s="7" t="s">
        <v>61</v>
      </c>
      <c r="C54" t="s">
        <v>68</v>
      </c>
      <c r="D54" t="s">
        <v>9</v>
      </c>
      <c r="E54" s="2">
        <v>100000</v>
      </c>
      <c r="F54" t="s">
        <v>710</v>
      </c>
    </row>
    <row r="55" spans="1:6">
      <c r="A55" s="1">
        <v>45811</v>
      </c>
      <c r="B55" s="7" t="s">
        <v>61</v>
      </c>
      <c r="C55" t="s">
        <v>68</v>
      </c>
      <c r="D55" t="s">
        <v>3</v>
      </c>
      <c r="E55" s="2">
        <v>50</v>
      </c>
      <c r="F55" t="s">
        <v>710</v>
      </c>
    </row>
    <row r="56" spans="1:6">
      <c r="A56" s="1">
        <v>45811</v>
      </c>
      <c r="B56" s="7" t="s">
        <v>61</v>
      </c>
      <c r="C56" t="s">
        <v>68</v>
      </c>
      <c r="D56" t="s">
        <v>3</v>
      </c>
      <c r="E56" s="2">
        <v>3.75</v>
      </c>
      <c r="F56" t="s">
        <v>710</v>
      </c>
    </row>
    <row r="57" spans="1:6">
      <c r="A57" s="1">
        <v>45811</v>
      </c>
      <c r="B57" s="7" t="s">
        <v>61</v>
      </c>
      <c r="C57" t="s">
        <v>69</v>
      </c>
      <c r="D57" t="s">
        <v>4</v>
      </c>
      <c r="E57" s="2">
        <v>150000</v>
      </c>
      <c r="F57" t="s">
        <v>710</v>
      </c>
    </row>
    <row r="58" spans="1:6">
      <c r="A58" s="1">
        <v>45811</v>
      </c>
      <c r="B58" s="7" t="s">
        <v>61</v>
      </c>
      <c r="C58" t="s">
        <v>69</v>
      </c>
      <c r="D58" t="s">
        <v>3</v>
      </c>
      <c r="E58" s="2">
        <v>50</v>
      </c>
      <c r="F58" t="s">
        <v>710</v>
      </c>
    </row>
    <row r="59" spans="1:6">
      <c r="A59" s="1">
        <v>45811</v>
      </c>
      <c r="B59" s="7" t="s">
        <v>61</v>
      </c>
      <c r="C59" t="s">
        <v>69</v>
      </c>
      <c r="D59" t="s">
        <v>3</v>
      </c>
      <c r="E59" s="2">
        <v>3.75</v>
      </c>
      <c r="F59" t="s">
        <v>710</v>
      </c>
    </row>
    <row r="60" spans="1:6">
      <c r="A60" s="1">
        <v>45811</v>
      </c>
      <c r="B60" s="7" t="s">
        <v>61</v>
      </c>
      <c r="C60" t="s">
        <v>70</v>
      </c>
      <c r="D60" t="s">
        <v>6</v>
      </c>
      <c r="E60" s="2">
        <v>650000</v>
      </c>
      <c r="F60" t="s">
        <v>710</v>
      </c>
    </row>
    <row r="61" spans="1:6">
      <c r="A61" s="1">
        <v>45811</v>
      </c>
      <c r="B61" s="7" t="s">
        <v>61</v>
      </c>
      <c r="C61" t="s">
        <v>70</v>
      </c>
      <c r="D61" t="s">
        <v>3</v>
      </c>
      <c r="E61" s="2">
        <v>50</v>
      </c>
      <c r="F61" t="s">
        <v>710</v>
      </c>
    </row>
    <row r="62" spans="1:6">
      <c r="A62" s="1">
        <v>45811</v>
      </c>
      <c r="B62" s="7" t="s">
        <v>61</v>
      </c>
      <c r="C62" t="s">
        <v>70</v>
      </c>
      <c r="D62" t="s">
        <v>3</v>
      </c>
      <c r="E62" s="2">
        <v>3.75</v>
      </c>
      <c r="F62" t="s">
        <v>710</v>
      </c>
    </row>
    <row r="63" spans="1:6">
      <c r="A63" s="1">
        <v>45811</v>
      </c>
      <c r="B63" s="7" t="s">
        <v>61</v>
      </c>
      <c r="C63" t="s">
        <v>71</v>
      </c>
      <c r="D63" t="s">
        <v>3</v>
      </c>
      <c r="E63" s="2">
        <v>50</v>
      </c>
      <c r="F63" t="s">
        <v>710</v>
      </c>
    </row>
    <row r="64" spans="1:6">
      <c r="A64" s="1">
        <v>45811</v>
      </c>
      <c r="B64" s="7" t="s">
        <v>61</v>
      </c>
      <c r="C64" t="s">
        <v>72</v>
      </c>
      <c r="D64" t="s">
        <v>3</v>
      </c>
      <c r="E64" s="2">
        <v>50</v>
      </c>
      <c r="F64" t="s">
        <v>710</v>
      </c>
    </row>
    <row r="65" spans="1:6">
      <c r="A65" s="1">
        <v>45812</v>
      </c>
      <c r="B65" s="7" t="s">
        <v>61</v>
      </c>
      <c r="C65" t="s">
        <v>73</v>
      </c>
      <c r="D65" t="s">
        <v>8</v>
      </c>
      <c r="E65" s="2">
        <v>3570659.4300000072</v>
      </c>
      <c r="F65" t="s">
        <v>710</v>
      </c>
    </row>
    <row r="66" spans="1:6">
      <c r="A66" s="1">
        <v>45812</v>
      </c>
      <c r="B66" s="7" t="s">
        <v>61</v>
      </c>
      <c r="C66" t="s">
        <v>73</v>
      </c>
      <c r="D66" t="s">
        <v>3</v>
      </c>
      <c r="E66" s="2">
        <v>50</v>
      </c>
      <c r="F66" t="s">
        <v>710</v>
      </c>
    </row>
    <row r="67" spans="1:6">
      <c r="A67" s="1">
        <v>45812</v>
      </c>
      <c r="B67" s="7" t="s">
        <v>61</v>
      </c>
      <c r="C67" t="s">
        <v>73</v>
      </c>
      <c r="D67" t="s">
        <v>3</v>
      </c>
      <c r="E67" s="2">
        <v>3.75</v>
      </c>
      <c r="F67" t="s">
        <v>710</v>
      </c>
    </row>
    <row r="68" spans="1:6">
      <c r="A68" s="1">
        <v>45812</v>
      </c>
      <c r="B68" s="7" t="s">
        <v>61</v>
      </c>
      <c r="C68" t="s">
        <v>74</v>
      </c>
      <c r="D68" t="s">
        <v>8</v>
      </c>
      <c r="E68" s="2">
        <v>152194.91999998689</v>
      </c>
      <c r="F68" t="s">
        <v>710</v>
      </c>
    </row>
    <row r="69" spans="1:6">
      <c r="A69" s="1">
        <v>45812</v>
      </c>
      <c r="B69" s="7" t="s">
        <v>61</v>
      </c>
      <c r="C69" t="s">
        <v>74</v>
      </c>
      <c r="D69" t="s">
        <v>3</v>
      </c>
      <c r="E69" s="2">
        <v>50</v>
      </c>
      <c r="F69" t="s">
        <v>710</v>
      </c>
    </row>
    <row r="70" spans="1:6">
      <c r="A70" s="1">
        <v>45812</v>
      </c>
      <c r="B70" s="7" t="s">
        <v>61</v>
      </c>
      <c r="C70" t="s">
        <v>74</v>
      </c>
      <c r="D70" t="s">
        <v>3</v>
      </c>
      <c r="E70" s="2">
        <v>3.75</v>
      </c>
      <c r="F70" t="s">
        <v>710</v>
      </c>
    </row>
    <row r="71" spans="1:6">
      <c r="A71" s="1">
        <v>45812</v>
      </c>
      <c r="B71" s="7" t="s">
        <v>61</v>
      </c>
      <c r="C71" t="s">
        <v>75</v>
      </c>
      <c r="D71" t="s">
        <v>8</v>
      </c>
      <c r="E71" s="2">
        <v>3570659.4300000072</v>
      </c>
      <c r="F71" t="s">
        <v>710</v>
      </c>
    </row>
    <row r="72" spans="1:6">
      <c r="A72" s="1">
        <v>45812</v>
      </c>
      <c r="B72" s="7" t="s">
        <v>61</v>
      </c>
      <c r="C72" t="s">
        <v>75</v>
      </c>
      <c r="D72" t="s">
        <v>3</v>
      </c>
      <c r="E72" s="2">
        <v>50</v>
      </c>
      <c r="F72" t="s">
        <v>710</v>
      </c>
    </row>
    <row r="73" spans="1:6">
      <c r="A73" s="1">
        <v>45812</v>
      </c>
      <c r="B73" s="7" t="s">
        <v>61</v>
      </c>
      <c r="C73" t="s">
        <v>75</v>
      </c>
      <c r="D73" t="s">
        <v>3</v>
      </c>
      <c r="E73" s="2">
        <v>3.75</v>
      </c>
      <c r="F73" t="s">
        <v>710</v>
      </c>
    </row>
    <row r="74" spans="1:6">
      <c r="A74" s="1">
        <v>45812</v>
      </c>
      <c r="B74" s="7" t="s">
        <v>61</v>
      </c>
      <c r="C74" t="s">
        <v>76</v>
      </c>
      <c r="D74" t="s">
        <v>8</v>
      </c>
      <c r="E74" s="2">
        <v>152194.92000000179</v>
      </c>
      <c r="F74" t="s">
        <v>710</v>
      </c>
    </row>
    <row r="75" spans="1:6">
      <c r="A75" s="1">
        <v>45812</v>
      </c>
      <c r="B75" s="7" t="s">
        <v>61</v>
      </c>
      <c r="C75" t="s">
        <v>76</v>
      </c>
      <c r="D75" t="s">
        <v>3</v>
      </c>
      <c r="E75" s="2">
        <v>50</v>
      </c>
      <c r="F75" t="s">
        <v>710</v>
      </c>
    </row>
    <row r="76" spans="1:6">
      <c r="A76" s="1">
        <v>45812</v>
      </c>
      <c r="B76" s="7" t="s">
        <v>61</v>
      </c>
      <c r="C76" t="s">
        <v>76</v>
      </c>
      <c r="D76" t="s">
        <v>3</v>
      </c>
      <c r="E76" s="2">
        <v>3.75</v>
      </c>
      <c r="F76" t="s">
        <v>710</v>
      </c>
    </row>
    <row r="77" spans="1:6">
      <c r="A77" s="1">
        <v>45812</v>
      </c>
      <c r="B77" s="7" t="s">
        <v>77</v>
      </c>
      <c r="C77" t="s">
        <v>78</v>
      </c>
      <c r="D77" t="s">
        <v>10</v>
      </c>
      <c r="E77" s="2">
        <v>46440</v>
      </c>
      <c r="F77" t="s">
        <v>710</v>
      </c>
    </row>
    <row r="78" spans="1:6">
      <c r="A78" s="1">
        <v>45812</v>
      </c>
      <c r="B78" s="7" t="s">
        <v>77</v>
      </c>
      <c r="C78" t="s">
        <v>78</v>
      </c>
      <c r="D78" t="s">
        <v>3</v>
      </c>
      <c r="E78" s="2">
        <v>25</v>
      </c>
      <c r="F78" t="s">
        <v>710</v>
      </c>
    </row>
    <row r="79" spans="1:6">
      <c r="A79" s="1">
        <v>45812</v>
      </c>
      <c r="B79" s="7" t="s">
        <v>77</v>
      </c>
      <c r="C79" t="s">
        <v>78</v>
      </c>
      <c r="D79" t="s">
        <v>3</v>
      </c>
      <c r="E79" s="2">
        <v>1.8799999952316284</v>
      </c>
      <c r="F79" t="s">
        <v>710</v>
      </c>
    </row>
    <row r="80" spans="1:6">
      <c r="A80" s="1">
        <v>45812</v>
      </c>
      <c r="B80" s="7" t="s">
        <v>77</v>
      </c>
      <c r="C80" t="s">
        <v>79</v>
      </c>
      <c r="D80" t="s">
        <v>10</v>
      </c>
      <c r="E80" s="2">
        <v>49392.859999999404</v>
      </c>
      <c r="F80" t="s">
        <v>710</v>
      </c>
    </row>
    <row r="81" spans="1:6">
      <c r="A81" s="1">
        <v>45812</v>
      </c>
      <c r="B81" s="7" t="s">
        <v>77</v>
      </c>
      <c r="C81" t="s">
        <v>79</v>
      </c>
      <c r="D81" t="s">
        <v>3</v>
      </c>
      <c r="E81" s="2">
        <v>25</v>
      </c>
      <c r="F81" t="s">
        <v>710</v>
      </c>
    </row>
    <row r="82" spans="1:6">
      <c r="A82" s="1">
        <v>45812</v>
      </c>
      <c r="B82" s="7" t="s">
        <v>77</v>
      </c>
      <c r="C82" t="s">
        <v>79</v>
      </c>
      <c r="D82" t="s">
        <v>3</v>
      </c>
      <c r="E82" s="2">
        <v>1.8800000101327896</v>
      </c>
      <c r="F82" t="s">
        <v>710</v>
      </c>
    </row>
    <row r="83" spans="1:6">
      <c r="A83" s="1">
        <v>45813</v>
      </c>
      <c r="B83" s="7" t="s">
        <v>80</v>
      </c>
      <c r="C83" t="s">
        <v>81</v>
      </c>
      <c r="D83" t="s">
        <v>5</v>
      </c>
      <c r="E83" s="2">
        <v>10750</v>
      </c>
      <c r="F83" t="s">
        <v>710</v>
      </c>
    </row>
    <row r="84" spans="1:6">
      <c r="A84" s="1">
        <v>45813</v>
      </c>
      <c r="B84" s="7" t="s">
        <v>80</v>
      </c>
      <c r="C84" t="s">
        <v>82</v>
      </c>
      <c r="D84" t="s">
        <v>11</v>
      </c>
      <c r="E84" s="2">
        <v>725000</v>
      </c>
      <c r="F84" t="s">
        <v>710</v>
      </c>
    </row>
    <row r="85" spans="1:6">
      <c r="A85" s="1">
        <v>45813</v>
      </c>
      <c r="B85" s="7" t="s">
        <v>80</v>
      </c>
      <c r="C85" t="s">
        <v>82</v>
      </c>
      <c r="D85" t="s">
        <v>3</v>
      </c>
      <c r="E85" s="2">
        <v>50</v>
      </c>
      <c r="F85" t="s">
        <v>710</v>
      </c>
    </row>
    <row r="86" spans="1:6">
      <c r="A86" s="1">
        <v>45813</v>
      </c>
      <c r="B86" s="7" t="s">
        <v>80</v>
      </c>
      <c r="C86" t="s">
        <v>82</v>
      </c>
      <c r="D86" t="s">
        <v>3</v>
      </c>
      <c r="E86" s="2">
        <v>3.75</v>
      </c>
      <c r="F86" t="s">
        <v>710</v>
      </c>
    </row>
    <row r="87" spans="1:6">
      <c r="A87" s="1">
        <v>45818</v>
      </c>
      <c r="B87" s="7" t="s">
        <v>80</v>
      </c>
      <c r="C87" t="s">
        <v>83</v>
      </c>
      <c r="D87" t="s">
        <v>12</v>
      </c>
      <c r="E87" s="2">
        <v>-135300</v>
      </c>
      <c r="F87" t="s">
        <v>710</v>
      </c>
    </row>
    <row r="88" spans="1:6">
      <c r="A88" s="1">
        <v>45818</v>
      </c>
      <c r="B88" s="7" t="s">
        <v>84</v>
      </c>
      <c r="C88" t="s">
        <v>85</v>
      </c>
      <c r="D88" t="s">
        <v>4</v>
      </c>
      <c r="E88" s="2">
        <v>36000</v>
      </c>
      <c r="F88" t="s">
        <v>710</v>
      </c>
    </row>
    <row r="89" spans="1:6">
      <c r="A89" s="1">
        <v>45818</v>
      </c>
      <c r="B89" s="7" t="s">
        <v>84</v>
      </c>
      <c r="C89" t="s">
        <v>85</v>
      </c>
      <c r="D89" t="s">
        <v>3</v>
      </c>
      <c r="E89" s="2">
        <v>25</v>
      </c>
      <c r="F89" t="s">
        <v>710</v>
      </c>
    </row>
    <row r="90" spans="1:6">
      <c r="A90" s="1">
        <v>45818</v>
      </c>
      <c r="B90" s="7" t="s">
        <v>84</v>
      </c>
      <c r="C90" t="s">
        <v>85</v>
      </c>
      <c r="D90" t="s">
        <v>3</v>
      </c>
      <c r="E90" s="2">
        <v>1.8799999952316284</v>
      </c>
      <c r="F90" t="s">
        <v>710</v>
      </c>
    </row>
    <row r="91" spans="1:6">
      <c r="A91" s="1">
        <v>45818</v>
      </c>
      <c r="B91" s="7" t="s">
        <v>84</v>
      </c>
      <c r="C91" t="s">
        <v>86</v>
      </c>
      <c r="D91" t="s">
        <v>5</v>
      </c>
      <c r="E91" s="2">
        <v>25000</v>
      </c>
      <c r="F91" t="s">
        <v>710</v>
      </c>
    </row>
    <row r="92" spans="1:6">
      <c r="A92" s="1">
        <v>45818</v>
      </c>
      <c r="B92" s="7" t="s">
        <v>84</v>
      </c>
      <c r="C92" t="s">
        <v>86</v>
      </c>
      <c r="D92" t="s">
        <v>3</v>
      </c>
      <c r="E92" s="2">
        <v>25</v>
      </c>
      <c r="F92" t="s">
        <v>710</v>
      </c>
    </row>
    <row r="93" spans="1:6">
      <c r="A93" s="1">
        <v>45818</v>
      </c>
      <c r="B93" s="7" t="s">
        <v>84</v>
      </c>
      <c r="C93" t="s">
        <v>86</v>
      </c>
      <c r="D93" t="s">
        <v>3</v>
      </c>
      <c r="E93" s="2">
        <v>1.8799999952316284</v>
      </c>
      <c r="F93" t="s">
        <v>710</v>
      </c>
    </row>
    <row r="94" spans="1:6">
      <c r="A94" s="1">
        <v>45818</v>
      </c>
      <c r="B94" s="7" t="s">
        <v>84</v>
      </c>
      <c r="C94" t="s">
        <v>87</v>
      </c>
      <c r="D94" t="s">
        <v>13</v>
      </c>
      <c r="E94" s="2">
        <v>13000</v>
      </c>
      <c r="F94" t="s">
        <v>710</v>
      </c>
    </row>
    <row r="95" spans="1:6">
      <c r="A95" s="1">
        <v>45818</v>
      </c>
      <c r="B95" s="7" t="s">
        <v>84</v>
      </c>
      <c r="C95" t="s">
        <v>87</v>
      </c>
      <c r="D95" t="s">
        <v>3</v>
      </c>
      <c r="E95" s="2">
        <v>25</v>
      </c>
      <c r="F95" t="s">
        <v>710</v>
      </c>
    </row>
    <row r="96" spans="1:6">
      <c r="A96" s="1">
        <v>45818</v>
      </c>
      <c r="B96" s="7" t="s">
        <v>84</v>
      </c>
      <c r="C96" t="s">
        <v>87</v>
      </c>
      <c r="D96" t="s">
        <v>3</v>
      </c>
      <c r="E96" s="2">
        <v>1.8800000101327896</v>
      </c>
      <c r="F96" t="s">
        <v>710</v>
      </c>
    </row>
    <row r="97" spans="1:6">
      <c r="A97" s="1">
        <v>45818</v>
      </c>
      <c r="B97" s="7" t="s">
        <v>84</v>
      </c>
      <c r="C97" t="s">
        <v>88</v>
      </c>
      <c r="D97" t="s">
        <v>5</v>
      </c>
      <c r="E97" s="2">
        <v>25000</v>
      </c>
      <c r="F97" t="s">
        <v>710</v>
      </c>
    </row>
    <row r="98" spans="1:6">
      <c r="A98" s="1">
        <v>45818</v>
      </c>
      <c r="B98" s="7" t="s">
        <v>84</v>
      </c>
      <c r="C98" t="s">
        <v>88</v>
      </c>
      <c r="D98" t="s">
        <v>3</v>
      </c>
      <c r="E98" s="2">
        <v>25</v>
      </c>
      <c r="F98" t="s">
        <v>710</v>
      </c>
    </row>
    <row r="99" spans="1:6">
      <c r="A99" s="1">
        <v>45818</v>
      </c>
      <c r="B99" s="7" t="s">
        <v>84</v>
      </c>
      <c r="C99" t="s">
        <v>88</v>
      </c>
      <c r="D99" t="s">
        <v>3</v>
      </c>
      <c r="E99" s="2">
        <v>1.8799999952316284</v>
      </c>
      <c r="F99" t="s">
        <v>710</v>
      </c>
    </row>
    <row r="100" spans="1:6">
      <c r="A100" s="1">
        <v>45818</v>
      </c>
      <c r="B100" s="7" t="s">
        <v>84</v>
      </c>
      <c r="C100" t="s">
        <v>89</v>
      </c>
      <c r="D100" t="s">
        <v>11</v>
      </c>
      <c r="E100" s="2">
        <v>2969175.799999997</v>
      </c>
      <c r="F100" t="s">
        <v>710</v>
      </c>
    </row>
    <row r="101" spans="1:6">
      <c r="A101" s="1">
        <v>45818</v>
      </c>
      <c r="B101" s="7" t="s">
        <v>84</v>
      </c>
      <c r="C101" t="s">
        <v>89</v>
      </c>
      <c r="D101" t="s">
        <v>3</v>
      </c>
      <c r="E101" s="2">
        <v>50</v>
      </c>
      <c r="F101" t="s">
        <v>710</v>
      </c>
    </row>
    <row r="102" spans="1:6">
      <c r="A102" s="1">
        <v>45818</v>
      </c>
      <c r="B102" s="7" t="s">
        <v>84</v>
      </c>
      <c r="C102" t="s">
        <v>89</v>
      </c>
      <c r="D102" t="s">
        <v>3</v>
      </c>
      <c r="E102" s="2">
        <v>3.75</v>
      </c>
      <c r="F102" t="s">
        <v>710</v>
      </c>
    </row>
    <row r="103" spans="1:6">
      <c r="A103" s="1">
        <v>45818</v>
      </c>
      <c r="B103" s="7" t="s">
        <v>84</v>
      </c>
      <c r="C103" t="s">
        <v>90</v>
      </c>
      <c r="D103" t="s">
        <v>4</v>
      </c>
      <c r="E103" s="2">
        <v>22000</v>
      </c>
      <c r="F103" t="s">
        <v>710</v>
      </c>
    </row>
    <row r="104" spans="1:6">
      <c r="A104" s="1">
        <v>45818</v>
      </c>
      <c r="B104" s="7" t="s">
        <v>84</v>
      </c>
      <c r="C104" t="s">
        <v>90</v>
      </c>
      <c r="D104" t="s">
        <v>3</v>
      </c>
      <c r="E104" s="2">
        <v>25</v>
      </c>
      <c r="F104" t="s">
        <v>710</v>
      </c>
    </row>
    <row r="105" spans="1:6">
      <c r="A105" s="1">
        <v>45818</v>
      </c>
      <c r="B105" s="7" t="s">
        <v>84</v>
      </c>
      <c r="C105" t="s">
        <v>90</v>
      </c>
      <c r="D105" t="s">
        <v>3</v>
      </c>
      <c r="E105" s="2">
        <v>1.8800000101327896</v>
      </c>
      <c r="F105" t="s">
        <v>710</v>
      </c>
    </row>
    <row r="106" spans="1:6">
      <c r="A106" s="1">
        <v>45818</v>
      </c>
      <c r="B106" s="7" t="s">
        <v>84</v>
      </c>
      <c r="C106" t="s">
        <v>91</v>
      </c>
      <c r="D106" t="s">
        <v>14</v>
      </c>
      <c r="E106" s="2">
        <v>2230000</v>
      </c>
      <c r="F106" t="s">
        <v>710</v>
      </c>
    </row>
    <row r="107" spans="1:6">
      <c r="A107" s="1">
        <v>45818</v>
      </c>
      <c r="B107" s="7" t="s">
        <v>84</v>
      </c>
      <c r="C107" t="s">
        <v>91</v>
      </c>
      <c r="D107" t="s">
        <v>3</v>
      </c>
      <c r="E107" s="2">
        <v>50</v>
      </c>
      <c r="F107" t="s">
        <v>710</v>
      </c>
    </row>
    <row r="108" spans="1:6">
      <c r="A108" s="1">
        <v>45818</v>
      </c>
      <c r="B108" s="7" t="s">
        <v>84</v>
      </c>
      <c r="C108" t="s">
        <v>91</v>
      </c>
      <c r="D108" t="s">
        <v>3</v>
      </c>
      <c r="E108" s="2">
        <v>3.75</v>
      </c>
      <c r="F108" t="s">
        <v>710</v>
      </c>
    </row>
    <row r="109" spans="1:6">
      <c r="A109" s="1">
        <v>45818</v>
      </c>
      <c r="B109" s="7" t="s">
        <v>84</v>
      </c>
      <c r="C109" t="s">
        <v>92</v>
      </c>
      <c r="D109" t="s">
        <v>13</v>
      </c>
      <c r="E109" s="2">
        <v>1581325</v>
      </c>
      <c r="F109" t="s">
        <v>710</v>
      </c>
    </row>
    <row r="110" spans="1:6">
      <c r="A110" s="1">
        <v>45818</v>
      </c>
      <c r="B110" s="7" t="s">
        <v>84</v>
      </c>
      <c r="C110" t="s">
        <v>92</v>
      </c>
      <c r="D110" t="s">
        <v>3</v>
      </c>
      <c r="E110" s="2">
        <v>50</v>
      </c>
      <c r="F110" t="s">
        <v>710</v>
      </c>
    </row>
    <row r="111" spans="1:6">
      <c r="A111" s="1">
        <v>45818</v>
      </c>
      <c r="B111" s="7" t="s">
        <v>84</v>
      </c>
      <c r="C111" t="s">
        <v>92</v>
      </c>
      <c r="D111" t="s">
        <v>3</v>
      </c>
      <c r="E111" s="2">
        <v>3.75</v>
      </c>
      <c r="F111" t="s">
        <v>710</v>
      </c>
    </row>
    <row r="112" spans="1:6">
      <c r="A112" s="1">
        <v>45818</v>
      </c>
      <c r="B112" s="7" t="s">
        <v>84</v>
      </c>
      <c r="C112" t="s">
        <v>93</v>
      </c>
      <c r="D112" t="s">
        <v>3</v>
      </c>
      <c r="E112" s="2">
        <v>50</v>
      </c>
      <c r="F112" t="s">
        <v>710</v>
      </c>
    </row>
    <row r="113" spans="1:6">
      <c r="A113" s="1">
        <v>45819</v>
      </c>
      <c r="B113" s="7" t="s">
        <v>84</v>
      </c>
      <c r="C113" t="s">
        <v>94</v>
      </c>
      <c r="D113" t="s">
        <v>15</v>
      </c>
      <c r="E113" s="2">
        <v>120000</v>
      </c>
      <c r="F113" t="s">
        <v>710</v>
      </c>
    </row>
    <row r="114" spans="1:6">
      <c r="A114" s="1">
        <v>45819</v>
      </c>
      <c r="B114" s="7" t="s">
        <v>84</v>
      </c>
      <c r="C114" t="s">
        <v>94</v>
      </c>
      <c r="D114" t="s">
        <v>3</v>
      </c>
      <c r="E114" s="2">
        <v>50</v>
      </c>
      <c r="F114" t="s">
        <v>710</v>
      </c>
    </row>
    <row r="115" spans="1:6">
      <c r="A115" s="1">
        <v>45819</v>
      </c>
      <c r="B115" s="7" t="s">
        <v>84</v>
      </c>
      <c r="C115" t="s">
        <v>94</v>
      </c>
      <c r="D115" t="s">
        <v>3</v>
      </c>
      <c r="E115" s="2">
        <v>3.75</v>
      </c>
      <c r="F115" t="s">
        <v>710</v>
      </c>
    </row>
    <row r="116" spans="1:6">
      <c r="A116" s="1">
        <v>45819</v>
      </c>
      <c r="B116" s="7" t="s">
        <v>95</v>
      </c>
      <c r="C116" t="s">
        <v>96</v>
      </c>
      <c r="D116" t="s">
        <v>10</v>
      </c>
      <c r="E116" s="2">
        <v>715176</v>
      </c>
      <c r="F116" t="s">
        <v>710</v>
      </c>
    </row>
    <row r="117" spans="1:6">
      <c r="A117" s="1">
        <v>45819</v>
      </c>
      <c r="B117" s="7" t="s">
        <v>95</v>
      </c>
      <c r="C117" t="s">
        <v>96</v>
      </c>
      <c r="D117" t="s">
        <v>3</v>
      </c>
      <c r="E117" s="2">
        <v>50</v>
      </c>
      <c r="F117" t="s">
        <v>710</v>
      </c>
    </row>
    <row r="118" spans="1:6">
      <c r="A118" s="1">
        <v>45819</v>
      </c>
      <c r="B118" s="7" t="s">
        <v>95</v>
      </c>
      <c r="C118" t="s">
        <v>96</v>
      </c>
      <c r="D118" t="s">
        <v>3</v>
      </c>
      <c r="E118" s="2">
        <v>3.75</v>
      </c>
      <c r="F118" t="s">
        <v>710</v>
      </c>
    </row>
    <row r="119" spans="1:6">
      <c r="A119" s="1">
        <v>45821</v>
      </c>
      <c r="B119" s="7" t="s">
        <v>97</v>
      </c>
      <c r="C119" t="s">
        <v>98</v>
      </c>
      <c r="D119" t="s">
        <v>16</v>
      </c>
      <c r="E119" s="2">
        <v>475000</v>
      </c>
      <c r="F119" t="s">
        <v>710</v>
      </c>
    </row>
    <row r="120" spans="1:6">
      <c r="A120" s="1">
        <v>45821</v>
      </c>
      <c r="B120" s="7" t="s">
        <v>97</v>
      </c>
      <c r="C120" t="s">
        <v>98</v>
      </c>
      <c r="D120" t="s">
        <v>3</v>
      </c>
      <c r="E120" s="2">
        <v>50</v>
      </c>
      <c r="F120" t="s">
        <v>710</v>
      </c>
    </row>
    <row r="121" spans="1:6">
      <c r="A121" s="1">
        <v>45821</v>
      </c>
      <c r="B121" s="7" t="s">
        <v>97</v>
      </c>
      <c r="C121" t="s">
        <v>98</v>
      </c>
      <c r="D121" t="s">
        <v>3</v>
      </c>
      <c r="E121" s="2">
        <v>3.75</v>
      </c>
      <c r="F121" t="s">
        <v>710</v>
      </c>
    </row>
    <row r="122" spans="1:6">
      <c r="A122" s="1">
        <v>45824</v>
      </c>
      <c r="B122" s="7" t="s">
        <v>99</v>
      </c>
      <c r="C122" t="s">
        <v>100</v>
      </c>
      <c r="D122" t="s">
        <v>15</v>
      </c>
      <c r="E122" s="2">
        <v>153400</v>
      </c>
      <c r="F122" t="s">
        <v>710</v>
      </c>
    </row>
    <row r="123" spans="1:6">
      <c r="A123" s="1">
        <v>45824</v>
      </c>
      <c r="B123" s="7" t="s">
        <v>99</v>
      </c>
      <c r="C123" t="s">
        <v>100</v>
      </c>
      <c r="D123" t="s">
        <v>3</v>
      </c>
      <c r="E123" s="2">
        <v>50</v>
      </c>
      <c r="F123" t="s">
        <v>710</v>
      </c>
    </row>
    <row r="124" spans="1:6">
      <c r="A124" s="1">
        <v>45824</v>
      </c>
      <c r="B124" s="7" t="s">
        <v>99</v>
      </c>
      <c r="C124" t="s">
        <v>100</v>
      </c>
      <c r="D124" t="s">
        <v>3</v>
      </c>
      <c r="E124" s="2">
        <v>3.75</v>
      </c>
      <c r="F124" t="s">
        <v>710</v>
      </c>
    </row>
    <row r="125" spans="1:6">
      <c r="A125" s="1">
        <v>45824</v>
      </c>
      <c r="B125" s="7" t="s">
        <v>99</v>
      </c>
      <c r="C125" t="s">
        <v>101</v>
      </c>
      <c r="D125" t="s">
        <v>8</v>
      </c>
      <c r="E125" s="2">
        <v>72993.329999998212</v>
      </c>
      <c r="F125" t="s">
        <v>710</v>
      </c>
    </row>
    <row r="126" spans="1:6">
      <c r="A126" s="1">
        <v>45824</v>
      </c>
      <c r="B126" s="7" t="s">
        <v>99</v>
      </c>
      <c r="C126" t="s">
        <v>101</v>
      </c>
      <c r="D126" t="s">
        <v>3</v>
      </c>
      <c r="E126" s="2">
        <v>50</v>
      </c>
      <c r="F126" t="s">
        <v>710</v>
      </c>
    </row>
    <row r="127" spans="1:6">
      <c r="A127" s="1">
        <v>45824</v>
      </c>
      <c r="B127" s="7" t="s">
        <v>99</v>
      </c>
      <c r="C127" t="s">
        <v>101</v>
      </c>
      <c r="D127" t="s">
        <v>3</v>
      </c>
      <c r="E127" s="2">
        <v>3.75</v>
      </c>
      <c r="F127" t="s">
        <v>710</v>
      </c>
    </row>
    <row r="128" spans="1:6">
      <c r="A128" s="1">
        <v>45824</v>
      </c>
      <c r="B128" s="7" t="s">
        <v>99</v>
      </c>
      <c r="C128" t="s">
        <v>102</v>
      </c>
      <c r="D128" t="s">
        <v>17</v>
      </c>
      <c r="E128" s="2">
        <v>902000</v>
      </c>
      <c r="F128" t="s">
        <v>710</v>
      </c>
    </row>
    <row r="129" spans="1:6">
      <c r="A129" s="1">
        <v>45824</v>
      </c>
      <c r="B129" s="7" t="s">
        <v>99</v>
      </c>
      <c r="C129" t="s">
        <v>102</v>
      </c>
      <c r="D129" t="s">
        <v>3</v>
      </c>
      <c r="E129" s="2">
        <v>50</v>
      </c>
      <c r="F129" t="s">
        <v>710</v>
      </c>
    </row>
    <row r="130" spans="1:6">
      <c r="A130" s="1">
        <v>45824</v>
      </c>
      <c r="B130" s="7" t="s">
        <v>99</v>
      </c>
      <c r="C130" t="s">
        <v>102</v>
      </c>
      <c r="D130" t="s">
        <v>3</v>
      </c>
      <c r="E130" s="2">
        <v>3.75</v>
      </c>
      <c r="F130" t="s">
        <v>710</v>
      </c>
    </row>
    <row r="131" spans="1:6">
      <c r="A131" s="1">
        <v>45824</v>
      </c>
      <c r="B131" s="7" t="s">
        <v>99</v>
      </c>
      <c r="C131" t="s">
        <v>103</v>
      </c>
      <c r="D131" t="s">
        <v>4</v>
      </c>
      <c r="E131" s="2">
        <v>40000</v>
      </c>
      <c r="F131" t="s">
        <v>710</v>
      </c>
    </row>
    <row r="132" spans="1:6">
      <c r="A132" s="1">
        <v>45824</v>
      </c>
      <c r="B132" s="7" t="s">
        <v>99</v>
      </c>
      <c r="C132" t="s">
        <v>103</v>
      </c>
      <c r="D132" t="s">
        <v>3</v>
      </c>
      <c r="E132" s="2">
        <v>25</v>
      </c>
      <c r="F132" t="s">
        <v>710</v>
      </c>
    </row>
    <row r="133" spans="1:6">
      <c r="A133" s="1">
        <v>45824</v>
      </c>
      <c r="B133" s="7" t="s">
        <v>99</v>
      </c>
      <c r="C133" t="s">
        <v>103</v>
      </c>
      <c r="D133" t="s">
        <v>3</v>
      </c>
      <c r="E133" s="2">
        <v>1.8799999952316284</v>
      </c>
      <c r="F133" t="s">
        <v>710</v>
      </c>
    </row>
    <row r="134" spans="1:6">
      <c r="A134" s="1">
        <v>45824</v>
      </c>
      <c r="B134" s="7" t="s">
        <v>99</v>
      </c>
      <c r="C134" t="s">
        <v>104</v>
      </c>
      <c r="D134" t="s">
        <v>13</v>
      </c>
      <c r="E134" s="2">
        <v>14700</v>
      </c>
      <c r="F134" t="s">
        <v>710</v>
      </c>
    </row>
    <row r="135" spans="1:6">
      <c r="A135" s="1">
        <v>45824</v>
      </c>
      <c r="B135" s="7" t="s">
        <v>99</v>
      </c>
      <c r="C135" t="s">
        <v>104</v>
      </c>
      <c r="D135" t="s">
        <v>3</v>
      </c>
      <c r="E135" s="2">
        <v>25</v>
      </c>
      <c r="F135" t="s">
        <v>710</v>
      </c>
    </row>
    <row r="136" spans="1:6">
      <c r="A136" s="1">
        <v>45824</v>
      </c>
      <c r="B136" s="7" t="s">
        <v>99</v>
      </c>
      <c r="C136" t="s">
        <v>104</v>
      </c>
      <c r="D136" t="s">
        <v>3</v>
      </c>
      <c r="E136" s="2">
        <v>1.8799999952316284</v>
      </c>
      <c r="F136" t="s">
        <v>710</v>
      </c>
    </row>
    <row r="137" spans="1:6">
      <c r="A137" s="1">
        <v>45824</v>
      </c>
      <c r="B137" s="7" t="s">
        <v>99</v>
      </c>
      <c r="C137" t="s">
        <v>105</v>
      </c>
      <c r="D137" t="s">
        <v>13</v>
      </c>
      <c r="E137" s="2">
        <v>20000</v>
      </c>
      <c r="F137" t="s">
        <v>710</v>
      </c>
    </row>
    <row r="138" spans="1:6">
      <c r="A138" s="1">
        <v>45824</v>
      </c>
      <c r="B138" s="7" t="s">
        <v>99</v>
      </c>
      <c r="C138" t="s">
        <v>105</v>
      </c>
      <c r="D138" t="s">
        <v>3</v>
      </c>
      <c r="E138" s="2">
        <v>25</v>
      </c>
      <c r="F138" t="s">
        <v>710</v>
      </c>
    </row>
    <row r="139" spans="1:6">
      <c r="A139" s="1">
        <v>45824</v>
      </c>
      <c r="B139" s="7" t="s">
        <v>99</v>
      </c>
      <c r="C139" t="s">
        <v>105</v>
      </c>
      <c r="D139" t="s">
        <v>3</v>
      </c>
      <c r="E139" s="2">
        <v>1.8800000101327896</v>
      </c>
      <c r="F139" t="s">
        <v>710</v>
      </c>
    </row>
    <row r="140" spans="1:6">
      <c r="A140" s="1">
        <v>45825</v>
      </c>
      <c r="B140" s="7" t="s">
        <v>106</v>
      </c>
      <c r="C140" t="s">
        <v>107</v>
      </c>
      <c r="D140" t="s">
        <v>11</v>
      </c>
      <c r="E140" s="2">
        <v>100000</v>
      </c>
      <c r="F140" t="s">
        <v>710</v>
      </c>
    </row>
    <row r="141" spans="1:6">
      <c r="A141" s="1">
        <v>45825</v>
      </c>
      <c r="B141" s="7" t="s">
        <v>106</v>
      </c>
      <c r="C141" t="s">
        <v>107</v>
      </c>
      <c r="D141" t="s">
        <v>3</v>
      </c>
      <c r="E141" s="2">
        <v>50</v>
      </c>
      <c r="F141" t="s">
        <v>710</v>
      </c>
    </row>
    <row r="142" spans="1:6">
      <c r="A142" s="1">
        <v>45825</v>
      </c>
      <c r="B142" s="7" t="s">
        <v>106</v>
      </c>
      <c r="C142" t="s">
        <v>107</v>
      </c>
      <c r="D142" t="s">
        <v>3</v>
      </c>
      <c r="E142" s="2">
        <v>3.75</v>
      </c>
      <c r="F142" t="s">
        <v>710</v>
      </c>
    </row>
    <row r="143" spans="1:6">
      <c r="A143" s="1">
        <v>45825</v>
      </c>
      <c r="B143" s="7" t="s">
        <v>106</v>
      </c>
      <c r="C143" t="s">
        <v>18</v>
      </c>
      <c r="D143" t="s">
        <v>19</v>
      </c>
      <c r="E143" s="2">
        <v>162100</v>
      </c>
      <c r="F143" t="s">
        <v>710</v>
      </c>
    </row>
    <row r="144" spans="1:6">
      <c r="A144" s="1">
        <v>45825</v>
      </c>
      <c r="B144" s="7" t="s">
        <v>106</v>
      </c>
      <c r="C144" t="s">
        <v>18</v>
      </c>
      <c r="D144" t="s">
        <v>3</v>
      </c>
      <c r="E144" s="2">
        <v>50</v>
      </c>
      <c r="F144" t="s">
        <v>710</v>
      </c>
    </row>
    <row r="145" spans="1:6">
      <c r="A145" s="1">
        <v>45825</v>
      </c>
      <c r="B145" s="7" t="s">
        <v>106</v>
      </c>
      <c r="C145" t="s">
        <v>18</v>
      </c>
      <c r="D145" t="s">
        <v>3</v>
      </c>
      <c r="E145" s="2">
        <v>3.75</v>
      </c>
      <c r="F145" t="s">
        <v>710</v>
      </c>
    </row>
    <row r="146" spans="1:6">
      <c r="A146" s="1">
        <v>45825</v>
      </c>
      <c r="B146" s="7" t="s">
        <v>106</v>
      </c>
      <c r="C146" t="s">
        <v>108</v>
      </c>
      <c r="D146" t="s">
        <v>4</v>
      </c>
      <c r="E146" s="2">
        <v>164000</v>
      </c>
      <c r="F146" t="s">
        <v>710</v>
      </c>
    </row>
    <row r="147" spans="1:6">
      <c r="A147" s="1">
        <v>45825</v>
      </c>
      <c r="B147" s="7" t="s">
        <v>106</v>
      </c>
      <c r="C147" t="s">
        <v>108</v>
      </c>
      <c r="D147" t="s">
        <v>3</v>
      </c>
      <c r="E147" s="2">
        <v>50</v>
      </c>
      <c r="F147" t="s">
        <v>710</v>
      </c>
    </row>
    <row r="148" spans="1:6">
      <c r="A148" s="1">
        <v>45825</v>
      </c>
      <c r="B148" s="7" t="s">
        <v>106</v>
      </c>
      <c r="C148" t="s">
        <v>108</v>
      </c>
      <c r="D148" t="s">
        <v>3</v>
      </c>
      <c r="E148" s="2">
        <v>3.75</v>
      </c>
      <c r="F148" t="s">
        <v>710</v>
      </c>
    </row>
    <row r="149" spans="1:6">
      <c r="A149" s="1">
        <v>45826</v>
      </c>
      <c r="B149" s="7" t="s">
        <v>109</v>
      </c>
      <c r="C149" t="s">
        <v>110</v>
      </c>
      <c r="D149" t="s">
        <v>10</v>
      </c>
      <c r="E149" s="2">
        <v>198660</v>
      </c>
      <c r="F149" t="s">
        <v>710</v>
      </c>
    </row>
    <row r="150" spans="1:6">
      <c r="A150" s="1">
        <v>45826</v>
      </c>
      <c r="B150" s="7" t="s">
        <v>109</v>
      </c>
      <c r="C150" t="s">
        <v>110</v>
      </c>
      <c r="D150" t="s">
        <v>3</v>
      </c>
      <c r="E150" s="2">
        <v>50</v>
      </c>
      <c r="F150" t="s">
        <v>710</v>
      </c>
    </row>
    <row r="151" spans="1:6">
      <c r="A151" s="1">
        <v>45826</v>
      </c>
      <c r="B151" s="7" t="s">
        <v>109</v>
      </c>
      <c r="C151" t="s">
        <v>110</v>
      </c>
      <c r="D151" t="s">
        <v>3</v>
      </c>
      <c r="E151" s="2">
        <v>3.75</v>
      </c>
      <c r="F151" t="s">
        <v>710</v>
      </c>
    </row>
    <row r="152" spans="1:6">
      <c r="A152" s="1">
        <v>45826</v>
      </c>
      <c r="B152" s="7" t="s">
        <v>109</v>
      </c>
      <c r="C152" t="s">
        <v>111</v>
      </c>
      <c r="D152" t="s">
        <v>12</v>
      </c>
      <c r="E152" s="2">
        <v>-420000</v>
      </c>
      <c r="F152" t="s">
        <v>710</v>
      </c>
    </row>
    <row r="153" spans="1:6">
      <c r="A153" s="1">
        <v>45826</v>
      </c>
      <c r="B153" s="7" t="s">
        <v>109</v>
      </c>
      <c r="C153" t="s">
        <v>112</v>
      </c>
      <c r="D153" t="s">
        <v>3</v>
      </c>
      <c r="E153" s="2">
        <v>50</v>
      </c>
      <c r="F153" t="s">
        <v>710</v>
      </c>
    </row>
    <row r="154" spans="1:6">
      <c r="A154" s="1">
        <v>45827</v>
      </c>
      <c r="B154" s="7" t="s">
        <v>113</v>
      </c>
      <c r="C154" t="s">
        <v>114</v>
      </c>
      <c r="D154" t="s">
        <v>12</v>
      </c>
      <c r="E154" s="2">
        <v>-18000</v>
      </c>
      <c r="F154" t="s">
        <v>710</v>
      </c>
    </row>
    <row r="155" spans="1:6">
      <c r="A155" s="1">
        <v>45827</v>
      </c>
      <c r="B155" s="7" t="s">
        <v>113</v>
      </c>
      <c r="C155" t="s">
        <v>115</v>
      </c>
      <c r="D155" t="s">
        <v>11</v>
      </c>
      <c r="E155" s="2">
        <v>12000</v>
      </c>
      <c r="F155" t="s">
        <v>710</v>
      </c>
    </row>
    <row r="156" spans="1:6">
      <c r="A156" s="1">
        <v>45827</v>
      </c>
      <c r="B156" s="7" t="s">
        <v>113</v>
      </c>
      <c r="C156" t="s">
        <v>115</v>
      </c>
      <c r="D156" t="s">
        <v>3</v>
      </c>
      <c r="E156" s="2">
        <v>25</v>
      </c>
      <c r="F156" t="s">
        <v>710</v>
      </c>
    </row>
    <row r="157" spans="1:6">
      <c r="A157" s="1">
        <v>45827</v>
      </c>
      <c r="B157" s="7" t="s">
        <v>113</v>
      </c>
      <c r="C157" t="s">
        <v>115</v>
      </c>
      <c r="D157" t="s">
        <v>3</v>
      </c>
      <c r="E157" s="2">
        <v>1.8799999952316284</v>
      </c>
      <c r="F157" t="s">
        <v>710</v>
      </c>
    </row>
    <row r="158" spans="1:6">
      <c r="A158" s="1">
        <v>45827</v>
      </c>
      <c r="B158" s="7" t="s">
        <v>113</v>
      </c>
      <c r="C158" t="s">
        <v>116</v>
      </c>
      <c r="D158" t="s">
        <v>4</v>
      </c>
      <c r="E158" s="2">
        <v>304000</v>
      </c>
      <c r="F158" t="s">
        <v>710</v>
      </c>
    </row>
    <row r="159" spans="1:6">
      <c r="A159" s="1">
        <v>45827</v>
      </c>
      <c r="B159" s="7" t="s">
        <v>113</v>
      </c>
      <c r="C159" t="s">
        <v>116</v>
      </c>
      <c r="D159" t="s">
        <v>3</v>
      </c>
      <c r="E159" s="2">
        <v>50</v>
      </c>
      <c r="F159" t="s">
        <v>710</v>
      </c>
    </row>
    <row r="160" spans="1:6">
      <c r="A160" s="1">
        <v>45827</v>
      </c>
      <c r="B160" s="7" t="s">
        <v>113</v>
      </c>
      <c r="C160" t="s">
        <v>116</v>
      </c>
      <c r="D160" t="s">
        <v>3</v>
      </c>
      <c r="E160" s="2">
        <v>3.75</v>
      </c>
      <c r="F160" t="s">
        <v>710</v>
      </c>
    </row>
    <row r="161" spans="1:6">
      <c r="A161" s="1">
        <v>45827</v>
      </c>
      <c r="B161" s="7" t="s">
        <v>113</v>
      </c>
      <c r="C161" t="s">
        <v>117</v>
      </c>
      <c r="D161" t="s">
        <v>10</v>
      </c>
      <c r="E161" s="2">
        <v>9470.359999999404</v>
      </c>
      <c r="F161" t="s">
        <v>710</v>
      </c>
    </row>
    <row r="162" spans="1:6">
      <c r="A162" s="1">
        <v>45827</v>
      </c>
      <c r="B162" s="7" t="s">
        <v>113</v>
      </c>
      <c r="C162" t="s">
        <v>117</v>
      </c>
      <c r="D162" t="s">
        <v>3</v>
      </c>
      <c r="E162" s="2">
        <v>25</v>
      </c>
      <c r="F162" t="s">
        <v>710</v>
      </c>
    </row>
    <row r="163" spans="1:6">
      <c r="A163" s="1">
        <v>45827</v>
      </c>
      <c r="B163" s="7" t="s">
        <v>113</v>
      </c>
      <c r="C163" t="s">
        <v>117</v>
      </c>
      <c r="D163" t="s">
        <v>3</v>
      </c>
      <c r="E163" s="2">
        <v>1.8799999952316284</v>
      </c>
      <c r="F163" t="s">
        <v>710</v>
      </c>
    </row>
    <row r="164" spans="1:6">
      <c r="A164" s="1">
        <v>45827</v>
      </c>
      <c r="B164" s="7" t="s">
        <v>113</v>
      </c>
      <c r="C164" t="s">
        <v>118</v>
      </c>
      <c r="D164" t="s">
        <v>4</v>
      </c>
      <c r="E164" s="2">
        <v>150000</v>
      </c>
      <c r="F164" t="s">
        <v>710</v>
      </c>
    </row>
    <row r="165" spans="1:6">
      <c r="A165" s="1">
        <v>45827</v>
      </c>
      <c r="B165" s="7" t="s">
        <v>113</v>
      </c>
      <c r="C165" t="s">
        <v>118</v>
      </c>
      <c r="D165" t="s">
        <v>3</v>
      </c>
      <c r="E165" s="2">
        <v>50</v>
      </c>
      <c r="F165" t="s">
        <v>710</v>
      </c>
    </row>
    <row r="166" spans="1:6">
      <c r="A166" s="1">
        <v>45827</v>
      </c>
      <c r="B166" s="7" t="s">
        <v>113</v>
      </c>
      <c r="C166" t="s">
        <v>118</v>
      </c>
      <c r="D166" t="s">
        <v>3</v>
      </c>
      <c r="E166" s="2">
        <v>3.75</v>
      </c>
      <c r="F166" t="s">
        <v>710</v>
      </c>
    </row>
    <row r="167" spans="1:6">
      <c r="A167" s="1">
        <v>45827</v>
      </c>
      <c r="B167" s="7" t="s">
        <v>113</v>
      </c>
      <c r="C167" t="s">
        <v>119</v>
      </c>
      <c r="D167" t="s">
        <v>19</v>
      </c>
      <c r="E167" s="2">
        <v>720000</v>
      </c>
      <c r="F167" t="s">
        <v>710</v>
      </c>
    </row>
    <row r="168" spans="1:6">
      <c r="A168" s="1">
        <v>45827</v>
      </c>
      <c r="B168" s="7" t="s">
        <v>113</v>
      </c>
      <c r="C168" t="s">
        <v>119</v>
      </c>
      <c r="D168" t="s">
        <v>3</v>
      </c>
      <c r="E168" s="2">
        <v>50</v>
      </c>
      <c r="F168" t="s">
        <v>710</v>
      </c>
    </row>
    <row r="169" spans="1:6">
      <c r="A169" s="1">
        <v>45827</v>
      </c>
      <c r="B169" s="7" t="s">
        <v>113</v>
      </c>
      <c r="C169" t="s">
        <v>119</v>
      </c>
      <c r="D169" t="s">
        <v>3</v>
      </c>
      <c r="E169" s="2">
        <v>3.75</v>
      </c>
      <c r="F169" t="s">
        <v>710</v>
      </c>
    </row>
    <row r="170" spans="1:6">
      <c r="A170" s="1">
        <v>45827</v>
      </c>
      <c r="B170" s="7" t="s">
        <v>113</v>
      </c>
      <c r="C170" t="s">
        <v>120</v>
      </c>
      <c r="D170" t="s">
        <v>3</v>
      </c>
      <c r="E170" s="2">
        <v>50</v>
      </c>
      <c r="F170" t="s">
        <v>710</v>
      </c>
    </row>
    <row r="171" spans="1:6">
      <c r="A171" s="1">
        <v>45828</v>
      </c>
      <c r="B171" s="7" t="s">
        <v>121</v>
      </c>
      <c r="C171" t="s">
        <v>122</v>
      </c>
      <c r="D171" t="s">
        <v>19</v>
      </c>
      <c r="E171" s="2">
        <v>320161.25</v>
      </c>
      <c r="F171" t="s">
        <v>710</v>
      </c>
    </row>
    <row r="172" spans="1:6">
      <c r="A172" s="1">
        <v>45828</v>
      </c>
      <c r="B172" s="7" t="s">
        <v>121</v>
      </c>
      <c r="C172" t="s">
        <v>123</v>
      </c>
      <c r="D172" t="s">
        <v>12</v>
      </c>
      <c r="E172" s="2">
        <v>-48000</v>
      </c>
      <c r="F172" t="s">
        <v>710</v>
      </c>
    </row>
    <row r="173" spans="1:6">
      <c r="A173" s="1">
        <v>45828</v>
      </c>
      <c r="B173" s="7" t="s">
        <v>121</v>
      </c>
      <c r="C173" t="s">
        <v>124</v>
      </c>
      <c r="D173" t="s">
        <v>15</v>
      </c>
      <c r="E173" s="2">
        <v>48000</v>
      </c>
      <c r="F173" t="s">
        <v>710</v>
      </c>
    </row>
    <row r="174" spans="1:6">
      <c r="A174" s="1">
        <v>45828</v>
      </c>
      <c r="B174" s="7" t="s">
        <v>121</v>
      </c>
      <c r="C174" t="s">
        <v>125</v>
      </c>
      <c r="D174" t="s">
        <v>3</v>
      </c>
      <c r="E174" s="2">
        <v>25</v>
      </c>
      <c r="F174" t="s">
        <v>710</v>
      </c>
    </row>
    <row r="175" spans="1:6">
      <c r="A175" s="1">
        <v>45828</v>
      </c>
      <c r="B175" s="7" t="s">
        <v>121</v>
      </c>
      <c r="C175" t="s">
        <v>125</v>
      </c>
      <c r="D175" t="s">
        <v>3</v>
      </c>
      <c r="E175" s="2">
        <v>1.8800000101327896</v>
      </c>
      <c r="F175" t="s">
        <v>710</v>
      </c>
    </row>
    <row r="176" spans="1:6">
      <c r="A176" s="1">
        <v>45828</v>
      </c>
      <c r="B176" s="7" t="s">
        <v>121</v>
      </c>
      <c r="C176" t="s">
        <v>126</v>
      </c>
      <c r="D176" t="s">
        <v>3</v>
      </c>
      <c r="E176" s="2">
        <v>50</v>
      </c>
      <c r="F176" t="s">
        <v>710</v>
      </c>
    </row>
    <row r="177" spans="1:6">
      <c r="A177" s="1">
        <v>45831</v>
      </c>
      <c r="B177" s="7" t="s">
        <v>127</v>
      </c>
      <c r="C177" t="s">
        <v>128</v>
      </c>
      <c r="D177" t="s">
        <v>15</v>
      </c>
      <c r="E177" s="2">
        <v>142500</v>
      </c>
      <c r="F177" t="s">
        <v>710</v>
      </c>
    </row>
    <row r="178" spans="1:6">
      <c r="A178" s="1">
        <v>45831</v>
      </c>
      <c r="B178" s="7" t="s">
        <v>127</v>
      </c>
      <c r="C178" t="s">
        <v>128</v>
      </c>
      <c r="D178" t="s">
        <v>3</v>
      </c>
      <c r="E178" s="2">
        <v>50</v>
      </c>
      <c r="F178" t="s">
        <v>710</v>
      </c>
    </row>
    <row r="179" spans="1:6">
      <c r="A179" s="1">
        <v>45831</v>
      </c>
      <c r="B179" s="7" t="s">
        <v>127</v>
      </c>
      <c r="C179" t="s">
        <v>128</v>
      </c>
      <c r="D179" t="s">
        <v>3</v>
      </c>
      <c r="E179" s="2">
        <v>3.75</v>
      </c>
      <c r="F179" t="s">
        <v>710</v>
      </c>
    </row>
    <row r="180" spans="1:6">
      <c r="A180" s="1">
        <v>45831</v>
      </c>
      <c r="B180" s="7" t="s">
        <v>127</v>
      </c>
      <c r="C180" t="s">
        <v>129</v>
      </c>
      <c r="D180" t="s">
        <v>11</v>
      </c>
      <c r="E180" s="2">
        <v>30000</v>
      </c>
      <c r="F180" t="s">
        <v>710</v>
      </c>
    </row>
    <row r="181" spans="1:6">
      <c r="A181" s="1">
        <v>45831</v>
      </c>
      <c r="B181" s="7" t="s">
        <v>127</v>
      </c>
      <c r="C181" t="s">
        <v>129</v>
      </c>
      <c r="D181" t="s">
        <v>3</v>
      </c>
      <c r="E181" s="2">
        <v>25</v>
      </c>
      <c r="F181" t="s">
        <v>710</v>
      </c>
    </row>
    <row r="182" spans="1:6">
      <c r="A182" s="1">
        <v>45831</v>
      </c>
      <c r="B182" s="7" t="s">
        <v>127</v>
      </c>
      <c r="C182" t="s">
        <v>129</v>
      </c>
      <c r="D182" t="s">
        <v>3</v>
      </c>
      <c r="E182" s="2">
        <v>1.8799999952316284</v>
      </c>
      <c r="F182" t="s">
        <v>710</v>
      </c>
    </row>
    <row r="183" spans="1:6">
      <c r="A183" s="1">
        <v>45831</v>
      </c>
      <c r="B183" s="7" t="s">
        <v>127</v>
      </c>
      <c r="C183" t="s">
        <v>130</v>
      </c>
      <c r="D183" t="s">
        <v>4</v>
      </c>
      <c r="E183" s="2">
        <v>149000</v>
      </c>
      <c r="F183" t="s">
        <v>710</v>
      </c>
    </row>
    <row r="184" spans="1:6">
      <c r="A184" s="1">
        <v>45831</v>
      </c>
      <c r="B184" s="7" t="s">
        <v>127</v>
      </c>
      <c r="C184" t="s">
        <v>130</v>
      </c>
      <c r="D184" t="s">
        <v>3</v>
      </c>
      <c r="E184" s="2">
        <v>50</v>
      </c>
      <c r="F184" t="s">
        <v>710</v>
      </c>
    </row>
    <row r="185" spans="1:6">
      <c r="A185" s="1">
        <v>45831</v>
      </c>
      <c r="B185" s="7" t="s">
        <v>127</v>
      </c>
      <c r="C185" t="s">
        <v>130</v>
      </c>
      <c r="D185" t="s">
        <v>3</v>
      </c>
      <c r="E185" s="2">
        <v>3.75</v>
      </c>
      <c r="F185" t="s">
        <v>710</v>
      </c>
    </row>
    <row r="186" spans="1:6">
      <c r="A186" s="1">
        <v>45831</v>
      </c>
      <c r="B186" s="7" t="s">
        <v>127</v>
      </c>
      <c r="C186" t="s">
        <v>131</v>
      </c>
      <c r="D186" t="s">
        <v>4</v>
      </c>
      <c r="E186" s="2">
        <v>50000</v>
      </c>
      <c r="F186" t="s">
        <v>710</v>
      </c>
    </row>
    <row r="187" spans="1:6">
      <c r="A187" s="1">
        <v>45831</v>
      </c>
      <c r="B187" s="7" t="s">
        <v>127</v>
      </c>
      <c r="C187" t="s">
        <v>131</v>
      </c>
      <c r="D187" t="s">
        <v>3</v>
      </c>
      <c r="E187" s="2">
        <v>25</v>
      </c>
      <c r="F187" t="s">
        <v>710</v>
      </c>
    </row>
    <row r="188" spans="1:6">
      <c r="A188" s="1">
        <v>45831</v>
      </c>
      <c r="B188" s="7" t="s">
        <v>127</v>
      </c>
      <c r="C188" t="s">
        <v>131</v>
      </c>
      <c r="D188" t="s">
        <v>3</v>
      </c>
      <c r="E188" s="2">
        <v>1.8799999952316284</v>
      </c>
      <c r="F188" t="s">
        <v>710</v>
      </c>
    </row>
    <row r="189" spans="1:6">
      <c r="A189" s="1">
        <v>45831</v>
      </c>
      <c r="B189" s="7" t="s">
        <v>127</v>
      </c>
      <c r="C189" t="s">
        <v>132</v>
      </c>
      <c r="D189" t="s">
        <v>10</v>
      </c>
      <c r="E189" s="2">
        <v>99330</v>
      </c>
      <c r="F189" t="s">
        <v>710</v>
      </c>
    </row>
    <row r="190" spans="1:6">
      <c r="A190" s="1">
        <v>45831</v>
      </c>
      <c r="B190" s="7" t="s">
        <v>127</v>
      </c>
      <c r="C190" t="s">
        <v>132</v>
      </c>
      <c r="D190" t="s">
        <v>3</v>
      </c>
      <c r="E190" s="2">
        <v>50</v>
      </c>
      <c r="F190" t="s">
        <v>710</v>
      </c>
    </row>
    <row r="191" spans="1:6">
      <c r="A191" s="1">
        <v>45831</v>
      </c>
      <c r="B191" s="7" t="s">
        <v>127</v>
      </c>
      <c r="C191" t="s">
        <v>132</v>
      </c>
      <c r="D191" t="s">
        <v>3</v>
      </c>
      <c r="E191" s="2">
        <v>3.75</v>
      </c>
      <c r="F191" t="s">
        <v>710</v>
      </c>
    </row>
    <row r="192" spans="1:6">
      <c r="A192" s="1">
        <v>45831</v>
      </c>
      <c r="B192" s="7" t="s">
        <v>127</v>
      </c>
      <c r="C192" t="s">
        <v>133</v>
      </c>
      <c r="D192" t="s">
        <v>4</v>
      </c>
      <c r="E192" s="2">
        <v>10400</v>
      </c>
      <c r="F192" t="s">
        <v>710</v>
      </c>
    </row>
    <row r="193" spans="1:6">
      <c r="A193" s="1">
        <v>45831</v>
      </c>
      <c r="B193" s="7" t="s">
        <v>127</v>
      </c>
      <c r="C193" t="s">
        <v>133</v>
      </c>
      <c r="D193" t="s">
        <v>3</v>
      </c>
      <c r="E193" s="2">
        <v>25</v>
      </c>
      <c r="F193" t="s">
        <v>710</v>
      </c>
    </row>
    <row r="194" spans="1:6">
      <c r="A194" s="1">
        <v>45831</v>
      </c>
      <c r="B194" s="7" t="s">
        <v>127</v>
      </c>
      <c r="C194" t="s">
        <v>133</v>
      </c>
      <c r="D194" t="s">
        <v>3</v>
      </c>
      <c r="E194" s="2">
        <v>1.8800000101327896</v>
      </c>
      <c r="F194" t="s">
        <v>710</v>
      </c>
    </row>
    <row r="195" spans="1:6">
      <c r="A195" s="1">
        <v>45831</v>
      </c>
      <c r="B195" s="7" t="s">
        <v>127</v>
      </c>
      <c r="C195" t="s">
        <v>134</v>
      </c>
      <c r="D195" t="s">
        <v>20</v>
      </c>
      <c r="E195" s="2">
        <v>465000</v>
      </c>
      <c r="F195" t="s">
        <v>710</v>
      </c>
    </row>
    <row r="196" spans="1:6">
      <c r="A196" s="1">
        <v>45831</v>
      </c>
      <c r="B196" s="7" t="s">
        <v>127</v>
      </c>
      <c r="C196" t="s">
        <v>134</v>
      </c>
      <c r="D196" t="s">
        <v>3</v>
      </c>
      <c r="E196" s="2">
        <v>50</v>
      </c>
      <c r="F196" t="s">
        <v>710</v>
      </c>
    </row>
    <row r="197" spans="1:6">
      <c r="A197" s="1">
        <v>45831</v>
      </c>
      <c r="B197" s="7" t="s">
        <v>127</v>
      </c>
      <c r="C197" t="s">
        <v>134</v>
      </c>
      <c r="D197" t="s">
        <v>3</v>
      </c>
      <c r="E197" s="2">
        <v>3.75</v>
      </c>
      <c r="F197" t="s">
        <v>710</v>
      </c>
    </row>
    <row r="198" spans="1:6">
      <c r="A198" s="1">
        <v>45832</v>
      </c>
      <c r="B198" s="7" t="s">
        <v>135</v>
      </c>
      <c r="C198" t="s">
        <v>136</v>
      </c>
      <c r="D198" t="s">
        <v>15</v>
      </c>
      <c r="E198" s="2">
        <v>8000</v>
      </c>
      <c r="F198" t="s">
        <v>710</v>
      </c>
    </row>
    <row r="199" spans="1:6">
      <c r="A199" s="1">
        <v>45832</v>
      </c>
      <c r="B199" s="7" t="s">
        <v>135</v>
      </c>
      <c r="C199" t="s">
        <v>136</v>
      </c>
      <c r="D199" t="s">
        <v>3</v>
      </c>
      <c r="E199" s="2">
        <v>25</v>
      </c>
      <c r="F199" t="s">
        <v>710</v>
      </c>
    </row>
    <row r="200" spans="1:6">
      <c r="A200" s="1">
        <v>45832</v>
      </c>
      <c r="B200" s="7" t="s">
        <v>135</v>
      </c>
      <c r="C200" t="s">
        <v>136</v>
      </c>
      <c r="D200" t="s">
        <v>3</v>
      </c>
      <c r="E200" s="2">
        <v>1.8799999952316284</v>
      </c>
      <c r="F200" t="s">
        <v>710</v>
      </c>
    </row>
    <row r="201" spans="1:6">
      <c r="A201" s="1">
        <v>45832</v>
      </c>
      <c r="B201" s="7" t="s">
        <v>135</v>
      </c>
      <c r="C201" t="s">
        <v>137</v>
      </c>
      <c r="D201" t="s">
        <v>8</v>
      </c>
      <c r="E201" s="2">
        <v>39000</v>
      </c>
      <c r="F201" t="s">
        <v>710</v>
      </c>
    </row>
    <row r="202" spans="1:6">
      <c r="A202" s="1">
        <v>45832</v>
      </c>
      <c r="B202" s="7" t="s">
        <v>135</v>
      </c>
      <c r="C202" t="s">
        <v>137</v>
      </c>
      <c r="D202" t="s">
        <v>3</v>
      </c>
      <c r="E202" s="2">
        <v>25</v>
      </c>
      <c r="F202" t="s">
        <v>710</v>
      </c>
    </row>
    <row r="203" spans="1:6">
      <c r="A203" s="1">
        <v>45832</v>
      </c>
      <c r="B203" s="7" t="s">
        <v>135</v>
      </c>
      <c r="C203" t="s">
        <v>137</v>
      </c>
      <c r="D203" t="s">
        <v>3</v>
      </c>
      <c r="E203" s="2">
        <v>1.8799999952316284</v>
      </c>
      <c r="F203" t="s">
        <v>710</v>
      </c>
    </row>
    <row r="204" spans="1:6">
      <c r="A204" s="1">
        <v>45832</v>
      </c>
      <c r="B204" s="7" t="s">
        <v>135</v>
      </c>
      <c r="C204" t="s">
        <v>138</v>
      </c>
      <c r="D204" t="s">
        <v>15</v>
      </c>
      <c r="E204" s="2">
        <v>15200</v>
      </c>
      <c r="F204" t="s">
        <v>710</v>
      </c>
    </row>
    <row r="205" spans="1:6">
      <c r="A205" s="1">
        <v>45832</v>
      </c>
      <c r="B205" s="7" t="s">
        <v>135</v>
      </c>
      <c r="C205" t="s">
        <v>138</v>
      </c>
      <c r="D205" t="s">
        <v>3</v>
      </c>
      <c r="E205" s="2">
        <v>25</v>
      </c>
      <c r="F205" t="s">
        <v>710</v>
      </c>
    </row>
    <row r="206" spans="1:6">
      <c r="A206" s="1">
        <v>45832</v>
      </c>
      <c r="B206" s="7" t="s">
        <v>135</v>
      </c>
      <c r="C206" t="s">
        <v>138</v>
      </c>
      <c r="D206" t="s">
        <v>3</v>
      </c>
      <c r="E206" s="2">
        <v>1.8800000101327896</v>
      </c>
      <c r="F206" t="s">
        <v>710</v>
      </c>
    </row>
    <row r="207" spans="1:6">
      <c r="A207" s="1">
        <v>45832</v>
      </c>
      <c r="B207" s="7" t="s">
        <v>135</v>
      </c>
      <c r="C207" t="s">
        <v>139</v>
      </c>
      <c r="D207" t="s">
        <v>15</v>
      </c>
      <c r="E207" s="2">
        <v>18900</v>
      </c>
      <c r="F207" t="s">
        <v>710</v>
      </c>
    </row>
    <row r="208" spans="1:6">
      <c r="A208" s="1">
        <v>45832</v>
      </c>
      <c r="B208" s="7" t="s">
        <v>135</v>
      </c>
      <c r="C208" t="s">
        <v>139</v>
      </c>
      <c r="D208" t="s">
        <v>3</v>
      </c>
      <c r="E208" s="2">
        <v>25</v>
      </c>
      <c r="F208" t="s">
        <v>710</v>
      </c>
    </row>
    <row r="209" spans="1:6">
      <c r="A209" s="1">
        <v>45832</v>
      </c>
      <c r="B209" s="7" t="s">
        <v>135</v>
      </c>
      <c r="C209" t="s">
        <v>139</v>
      </c>
      <c r="D209" t="s">
        <v>3</v>
      </c>
      <c r="E209" s="2">
        <v>1.8799999952316284</v>
      </c>
      <c r="F209" t="s">
        <v>710</v>
      </c>
    </row>
    <row r="210" spans="1:6">
      <c r="A210" s="1">
        <v>45832</v>
      </c>
      <c r="B210" s="7" t="s">
        <v>135</v>
      </c>
      <c r="C210" t="s">
        <v>140</v>
      </c>
      <c r="D210" t="s">
        <v>26</v>
      </c>
      <c r="E210" s="2">
        <v>3600</v>
      </c>
      <c r="F210" t="s">
        <v>710</v>
      </c>
    </row>
    <row r="211" spans="1:6">
      <c r="A211" s="1">
        <v>45832</v>
      </c>
      <c r="B211" s="7" t="s">
        <v>135</v>
      </c>
      <c r="C211" t="s">
        <v>140</v>
      </c>
      <c r="D211" t="s">
        <v>3</v>
      </c>
      <c r="E211" s="2">
        <v>10</v>
      </c>
      <c r="F211" t="s">
        <v>710</v>
      </c>
    </row>
    <row r="212" spans="1:6">
      <c r="A212" s="1">
        <v>45832</v>
      </c>
      <c r="B212" s="7" t="s">
        <v>135</v>
      </c>
      <c r="C212" t="s">
        <v>140</v>
      </c>
      <c r="D212" t="s">
        <v>3</v>
      </c>
      <c r="E212" s="2">
        <v>0.75</v>
      </c>
      <c r="F212" t="s">
        <v>710</v>
      </c>
    </row>
    <row r="213" spans="1:6">
      <c r="A213" s="1">
        <v>45832</v>
      </c>
      <c r="B213" s="7" t="s">
        <v>135</v>
      </c>
      <c r="C213" t="s">
        <v>141</v>
      </c>
      <c r="D213" t="s">
        <v>13</v>
      </c>
      <c r="E213" s="2">
        <v>15000</v>
      </c>
      <c r="F213" t="s">
        <v>710</v>
      </c>
    </row>
    <row r="214" spans="1:6">
      <c r="A214" s="1">
        <v>45832</v>
      </c>
      <c r="B214" s="7" t="s">
        <v>135</v>
      </c>
      <c r="C214" t="s">
        <v>141</v>
      </c>
      <c r="D214" t="s">
        <v>3</v>
      </c>
      <c r="E214" s="2">
        <v>25</v>
      </c>
      <c r="F214" t="s">
        <v>710</v>
      </c>
    </row>
    <row r="215" spans="1:6">
      <c r="A215" s="1">
        <v>45832</v>
      </c>
      <c r="B215" s="7" t="s">
        <v>135</v>
      </c>
      <c r="C215" t="s">
        <v>141</v>
      </c>
      <c r="D215" t="s">
        <v>3</v>
      </c>
      <c r="E215" s="2">
        <v>1.8799999952316284</v>
      </c>
      <c r="F215" t="s">
        <v>710</v>
      </c>
    </row>
    <row r="216" spans="1:6">
      <c r="A216" s="1">
        <v>45832</v>
      </c>
      <c r="B216" s="7" t="s">
        <v>135</v>
      </c>
      <c r="C216" t="s">
        <v>142</v>
      </c>
      <c r="D216" t="s">
        <v>4</v>
      </c>
      <c r="E216" s="2">
        <v>13600</v>
      </c>
      <c r="F216" t="s">
        <v>710</v>
      </c>
    </row>
    <row r="217" spans="1:6">
      <c r="A217" s="1">
        <v>45832</v>
      </c>
      <c r="B217" s="7" t="s">
        <v>135</v>
      </c>
      <c r="C217" t="s">
        <v>142</v>
      </c>
      <c r="D217" t="s">
        <v>3</v>
      </c>
      <c r="E217" s="2">
        <v>25</v>
      </c>
      <c r="F217" t="s">
        <v>710</v>
      </c>
    </row>
    <row r="218" spans="1:6">
      <c r="A218" s="1">
        <v>45832</v>
      </c>
      <c r="B218" s="7" t="s">
        <v>135</v>
      </c>
      <c r="C218" t="s">
        <v>142</v>
      </c>
      <c r="D218" t="s">
        <v>3</v>
      </c>
      <c r="E218" s="2">
        <v>1.8799999952316284</v>
      </c>
      <c r="F218" t="s">
        <v>710</v>
      </c>
    </row>
    <row r="219" spans="1:6">
      <c r="A219" s="1">
        <v>45832</v>
      </c>
      <c r="B219" s="7" t="s">
        <v>135</v>
      </c>
      <c r="C219" t="s">
        <v>143</v>
      </c>
      <c r="D219" t="s">
        <v>13</v>
      </c>
      <c r="E219" s="2">
        <v>40000</v>
      </c>
      <c r="F219" t="s">
        <v>710</v>
      </c>
    </row>
    <row r="220" spans="1:6">
      <c r="A220" s="1">
        <v>45832</v>
      </c>
      <c r="B220" s="7" t="s">
        <v>135</v>
      </c>
      <c r="C220" t="s">
        <v>143</v>
      </c>
      <c r="D220" t="s">
        <v>3</v>
      </c>
      <c r="E220" s="2">
        <v>25</v>
      </c>
      <c r="F220" t="s">
        <v>710</v>
      </c>
    </row>
    <row r="221" spans="1:6">
      <c r="A221" s="1">
        <v>45832</v>
      </c>
      <c r="B221" s="7" t="s">
        <v>135</v>
      </c>
      <c r="C221" t="s">
        <v>143</v>
      </c>
      <c r="D221" t="s">
        <v>3</v>
      </c>
      <c r="E221" s="2">
        <v>1.8800000101327896</v>
      </c>
      <c r="F221" t="s">
        <v>710</v>
      </c>
    </row>
    <row r="222" spans="1:6">
      <c r="A222" s="1">
        <v>45832</v>
      </c>
      <c r="B222" s="7" t="s">
        <v>135</v>
      </c>
      <c r="C222" t="s">
        <v>144</v>
      </c>
      <c r="D222" t="s">
        <v>15</v>
      </c>
      <c r="E222" s="2">
        <v>5800</v>
      </c>
      <c r="F222" t="s">
        <v>710</v>
      </c>
    </row>
    <row r="223" spans="1:6">
      <c r="A223" s="1">
        <v>45832</v>
      </c>
      <c r="B223" s="7" t="s">
        <v>135</v>
      </c>
      <c r="C223" t="s">
        <v>144</v>
      </c>
      <c r="D223" t="s">
        <v>3</v>
      </c>
      <c r="E223" s="2">
        <v>25</v>
      </c>
      <c r="F223" t="s">
        <v>710</v>
      </c>
    </row>
    <row r="224" spans="1:6">
      <c r="A224" s="1">
        <v>45832</v>
      </c>
      <c r="B224" s="7" t="s">
        <v>135</v>
      </c>
      <c r="C224" t="s">
        <v>144</v>
      </c>
      <c r="D224" t="s">
        <v>3</v>
      </c>
      <c r="E224" s="2">
        <v>1.8799999952316284</v>
      </c>
      <c r="F224" t="s">
        <v>710</v>
      </c>
    </row>
    <row r="225" spans="1:6">
      <c r="A225" s="1">
        <v>45833</v>
      </c>
      <c r="B225" s="7" t="s">
        <v>145</v>
      </c>
      <c r="C225" t="s">
        <v>146</v>
      </c>
      <c r="D225" t="s">
        <v>21</v>
      </c>
      <c r="E225" s="2">
        <v>1770000</v>
      </c>
      <c r="F225" t="s">
        <v>710</v>
      </c>
    </row>
    <row r="226" spans="1:6">
      <c r="A226" s="1">
        <v>45833</v>
      </c>
      <c r="B226" s="7" t="s">
        <v>145</v>
      </c>
      <c r="C226" t="s">
        <v>146</v>
      </c>
      <c r="D226" t="s">
        <v>3</v>
      </c>
      <c r="E226" s="2">
        <v>50</v>
      </c>
      <c r="F226" t="s">
        <v>710</v>
      </c>
    </row>
    <row r="227" spans="1:6">
      <c r="A227" s="1">
        <v>45833</v>
      </c>
      <c r="B227" s="7" t="s">
        <v>145</v>
      </c>
      <c r="C227" t="s">
        <v>146</v>
      </c>
      <c r="D227" t="s">
        <v>3</v>
      </c>
      <c r="E227" s="2">
        <v>3.75</v>
      </c>
      <c r="F227" t="s">
        <v>710</v>
      </c>
    </row>
    <row r="228" spans="1:6">
      <c r="A228" s="1">
        <v>45833</v>
      </c>
      <c r="B228" s="7" t="s">
        <v>145</v>
      </c>
      <c r="C228" t="s">
        <v>147</v>
      </c>
      <c r="D228" t="s">
        <v>4</v>
      </c>
      <c r="E228" s="2">
        <v>169000</v>
      </c>
      <c r="F228" t="s">
        <v>710</v>
      </c>
    </row>
    <row r="229" spans="1:6">
      <c r="A229" s="1">
        <v>45833</v>
      </c>
      <c r="B229" s="7" t="s">
        <v>145</v>
      </c>
      <c r="C229" t="s">
        <v>147</v>
      </c>
      <c r="D229" t="s">
        <v>3</v>
      </c>
      <c r="E229" s="2">
        <v>50</v>
      </c>
      <c r="F229" t="s">
        <v>710</v>
      </c>
    </row>
    <row r="230" spans="1:6">
      <c r="A230" s="1">
        <v>45833</v>
      </c>
      <c r="B230" s="7" t="s">
        <v>145</v>
      </c>
      <c r="C230" t="s">
        <v>147</v>
      </c>
      <c r="D230" t="s">
        <v>3</v>
      </c>
      <c r="E230" s="2">
        <v>3.75</v>
      </c>
      <c r="F230" t="s">
        <v>710</v>
      </c>
    </row>
    <row r="231" spans="1:6">
      <c r="A231" s="1">
        <v>45833</v>
      </c>
      <c r="B231" s="7" t="s">
        <v>145</v>
      </c>
      <c r="C231" t="s">
        <v>148</v>
      </c>
      <c r="D231" t="s">
        <v>8</v>
      </c>
      <c r="E231" s="2">
        <v>3570659.4399999976</v>
      </c>
      <c r="F231" t="s">
        <v>710</v>
      </c>
    </row>
    <row r="232" spans="1:6">
      <c r="A232" s="1">
        <v>45833</v>
      </c>
      <c r="B232" s="7" t="s">
        <v>145</v>
      </c>
      <c r="C232" t="s">
        <v>148</v>
      </c>
      <c r="D232" t="s">
        <v>3</v>
      </c>
      <c r="E232" s="2">
        <v>50</v>
      </c>
      <c r="F232" t="s">
        <v>710</v>
      </c>
    </row>
    <row r="233" spans="1:6">
      <c r="A233" s="1">
        <v>45833</v>
      </c>
      <c r="B233" s="7" t="s">
        <v>145</v>
      </c>
      <c r="C233" t="s">
        <v>148</v>
      </c>
      <c r="D233" t="s">
        <v>3</v>
      </c>
      <c r="E233" s="2">
        <v>3.75</v>
      </c>
      <c r="F233" t="s">
        <v>710</v>
      </c>
    </row>
    <row r="234" spans="1:6">
      <c r="A234" s="1">
        <v>45833</v>
      </c>
      <c r="B234" s="7" t="s">
        <v>145</v>
      </c>
      <c r="C234" t="s">
        <v>149</v>
      </c>
      <c r="D234" t="s">
        <v>8</v>
      </c>
      <c r="E234" s="2">
        <v>2070487.4800000042</v>
      </c>
      <c r="F234" t="s">
        <v>710</v>
      </c>
    </row>
    <row r="235" spans="1:6">
      <c r="A235" s="1">
        <v>45833</v>
      </c>
      <c r="B235" s="7" t="s">
        <v>145</v>
      </c>
      <c r="C235" t="s">
        <v>149</v>
      </c>
      <c r="D235" t="s">
        <v>3</v>
      </c>
      <c r="E235" s="2">
        <v>50</v>
      </c>
      <c r="F235" t="s">
        <v>710</v>
      </c>
    </row>
    <row r="236" spans="1:6">
      <c r="A236" s="1">
        <v>45833</v>
      </c>
      <c r="B236" s="7" t="s">
        <v>145</v>
      </c>
      <c r="C236" t="s">
        <v>149</v>
      </c>
      <c r="D236" t="s">
        <v>3</v>
      </c>
      <c r="E236" s="2">
        <v>3.75</v>
      </c>
      <c r="F236" t="s">
        <v>710</v>
      </c>
    </row>
    <row r="237" spans="1:6">
      <c r="A237" s="1">
        <v>45833</v>
      </c>
      <c r="B237" s="7" t="s">
        <v>145</v>
      </c>
      <c r="C237" t="s">
        <v>150</v>
      </c>
      <c r="D237" t="s">
        <v>8</v>
      </c>
      <c r="E237" s="2">
        <v>476225</v>
      </c>
      <c r="F237" t="s">
        <v>710</v>
      </c>
    </row>
    <row r="238" spans="1:6">
      <c r="A238" s="1">
        <v>45833</v>
      </c>
      <c r="B238" s="7" t="s">
        <v>145</v>
      </c>
      <c r="C238" t="s">
        <v>150</v>
      </c>
      <c r="D238" t="s">
        <v>3</v>
      </c>
      <c r="E238" s="2">
        <v>50</v>
      </c>
      <c r="F238" t="s">
        <v>710</v>
      </c>
    </row>
    <row r="239" spans="1:6">
      <c r="A239" s="1">
        <v>45833</v>
      </c>
      <c r="B239" s="7" t="s">
        <v>145</v>
      </c>
      <c r="C239" t="s">
        <v>150</v>
      </c>
      <c r="D239" t="s">
        <v>3</v>
      </c>
      <c r="E239" s="2">
        <v>3.75</v>
      </c>
      <c r="F239" t="s">
        <v>710</v>
      </c>
    </row>
    <row r="240" spans="1:6">
      <c r="A240" s="1">
        <v>45833</v>
      </c>
      <c r="B240" s="7" t="s">
        <v>145</v>
      </c>
      <c r="C240" t="s">
        <v>151</v>
      </c>
      <c r="D240" t="s">
        <v>8</v>
      </c>
      <c r="E240" s="2">
        <v>284491.56999999285</v>
      </c>
      <c r="F240" t="s">
        <v>710</v>
      </c>
    </row>
    <row r="241" spans="1:6">
      <c r="A241" s="1">
        <v>45833</v>
      </c>
      <c r="B241" s="7" t="s">
        <v>145</v>
      </c>
      <c r="C241" t="s">
        <v>151</v>
      </c>
      <c r="D241" t="s">
        <v>3</v>
      </c>
      <c r="E241" s="2">
        <v>50</v>
      </c>
      <c r="F241" t="s">
        <v>710</v>
      </c>
    </row>
    <row r="242" spans="1:6">
      <c r="A242" s="1">
        <v>45833</v>
      </c>
      <c r="B242" s="7" t="s">
        <v>145</v>
      </c>
      <c r="C242" t="s">
        <v>151</v>
      </c>
      <c r="D242" t="s">
        <v>3</v>
      </c>
      <c r="E242" s="2">
        <v>3.75</v>
      </c>
      <c r="F242" t="s">
        <v>710</v>
      </c>
    </row>
    <row r="243" spans="1:6">
      <c r="A243" s="1">
        <v>45833</v>
      </c>
      <c r="B243" s="7" t="s">
        <v>145</v>
      </c>
      <c r="C243" t="s">
        <v>152</v>
      </c>
      <c r="D243" t="s">
        <v>8</v>
      </c>
      <c r="E243" s="2">
        <v>284491.57000000775</v>
      </c>
      <c r="F243" t="s">
        <v>710</v>
      </c>
    </row>
    <row r="244" spans="1:6">
      <c r="A244" s="1">
        <v>45833</v>
      </c>
      <c r="B244" s="7" t="s">
        <v>145</v>
      </c>
      <c r="C244" t="s">
        <v>152</v>
      </c>
      <c r="D244" t="s">
        <v>3</v>
      </c>
      <c r="E244" s="2">
        <v>50</v>
      </c>
      <c r="F244" t="s">
        <v>710</v>
      </c>
    </row>
    <row r="245" spans="1:6">
      <c r="A245" s="1">
        <v>45833</v>
      </c>
      <c r="B245" s="7" t="s">
        <v>145</v>
      </c>
      <c r="C245" t="s">
        <v>152</v>
      </c>
      <c r="D245" t="s">
        <v>3</v>
      </c>
      <c r="E245" s="2">
        <v>3.75</v>
      </c>
      <c r="F245" t="s">
        <v>710</v>
      </c>
    </row>
    <row r="246" spans="1:6">
      <c r="A246" s="1">
        <v>45833</v>
      </c>
      <c r="B246" s="7" t="s">
        <v>145</v>
      </c>
      <c r="C246" t="s">
        <v>153</v>
      </c>
      <c r="D246" t="s">
        <v>8</v>
      </c>
      <c r="E246" s="2">
        <v>284491.56999999285</v>
      </c>
      <c r="F246" t="s">
        <v>710</v>
      </c>
    </row>
    <row r="247" spans="1:6">
      <c r="A247" s="1">
        <v>45833</v>
      </c>
      <c r="B247" s="7" t="s">
        <v>145</v>
      </c>
      <c r="C247" t="s">
        <v>153</v>
      </c>
      <c r="D247" t="s">
        <v>3</v>
      </c>
      <c r="E247" s="2">
        <v>50</v>
      </c>
      <c r="F247" t="s">
        <v>710</v>
      </c>
    </row>
    <row r="248" spans="1:6">
      <c r="A248" s="1">
        <v>45833</v>
      </c>
      <c r="B248" s="7" t="s">
        <v>145</v>
      </c>
      <c r="C248" t="s">
        <v>153</v>
      </c>
      <c r="D248" t="s">
        <v>3</v>
      </c>
      <c r="E248" s="2">
        <v>3.75</v>
      </c>
      <c r="F248" t="s">
        <v>710</v>
      </c>
    </row>
    <row r="249" spans="1:6">
      <c r="A249" s="1">
        <v>45833</v>
      </c>
      <c r="B249" s="7" t="s">
        <v>145</v>
      </c>
      <c r="C249" t="s">
        <v>154</v>
      </c>
      <c r="D249" t="s">
        <v>8</v>
      </c>
      <c r="E249" s="2">
        <v>284491.57000000775</v>
      </c>
      <c r="F249" t="s">
        <v>710</v>
      </c>
    </row>
    <row r="250" spans="1:6">
      <c r="A250" s="1">
        <v>45833</v>
      </c>
      <c r="B250" s="7" t="s">
        <v>145</v>
      </c>
      <c r="C250" t="s">
        <v>154</v>
      </c>
      <c r="D250" t="s">
        <v>3</v>
      </c>
      <c r="E250" s="2">
        <v>50</v>
      </c>
      <c r="F250" t="s">
        <v>710</v>
      </c>
    </row>
    <row r="251" spans="1:6">
      <c r="A251" s="1">
        <v>45833</v>
      </c>
      <c r="B251" s="7" t="s">
        <v>145</v>
      </c>
      <c r="C251" t="s">
        <v>154</v>
      </c>
      <c r="D251" t="s">
        <v>3</v>
      </c>
      <c r="E251" s="2">
        <v>3.75</v>
      </c>
      <c r="F251" t="s">
        <v>710</v>
      </c>
    </row>
    <row r="252" spans="1:6">
      <c r="A252" s="1">
        <v>45833</v>
      </c>
      <c r="B252" s="7" t="s">
        <v>145</v>
      </c>
      <c r="C252" t="s">
        <v>155</v>
      </c>
      <c r="D252" t="s">
        <v>8</v>
      </c>
      <c r="E252" s="2">
        <v>284491.56999999285</v>
      </c>
      <c r="F252" t="s">
        <v>710</v>
      </c>
    </row>
    <row r="253" spans="1:6">
      <c r="A253" s="1">
        <v>45833</v>
      </c>
      <c r="B253" s="7" t="s">
        <v>145</v>
      </c>
      <c r="C253" t="s">
        <v>155</v>
      </c>
      <c r="D253" t="s">
        <v>3</v>
      </c>
      <c r="E253" s="2">
        <v>50</v>
      </c>
      <c r="F253" t="s">
        <v>710</v>
      </c>
    </row>
    <row r="254" spans="1:6">
      <c r="A254" s="1">
        <v>45833</v>
      </c>
      <c r="B254" s="7" t="s">
        <v>145</v>
      </c>
      <c r="C254" t="s">
        <v>155</v>
      </c>
      <c r="D254" t="s">
        <v>3</v>
      </c>
      <c r="E254" s="2">
        <v>3.75</v>
      </c>
      <c r="F254" t="s">
        <v>710</v>
      </c>
    </row>
    <row r="255" spans="1:6">
      <c r="A255" s="1">
        <v>45833</v>
      </c>
      <c r="B255" s="7" t="s">
        <v>145</v>
      </c>
      <c r="C255" t="s">
        <v>156</v>
      </c>
      <c r="D255" t="s">
        <v>8</v>
      </c>
      <c r="E255" s="2">
        <v>284491.57000000775</v>
      </c>
      <c r="F255" t="s">
        <v>710</v>
      </c>
    </row>
    <row r="256" spans="1:6">
      <c r="A256" s="1">
        <v>45833</v>
      </c>
      <c r="B256" s="7" t="s">
        <v>145</v>
      </c>
      <c r="C256" t="s">
        <v>156</v>
      </c>
      <c r="D256" t="s">
        <v>3</v>
      </c>
      <c r="E256" s="2">
        <v>50</v>
      </c>
      <c r="F256" t="s">
        <v>710</v>
      </c>
    </row>
    <row r="257" spans="1:6">
      <c r="A257" s="1">
        <v>45833</v>
      </c>
      <c r="B257" s="7" t="s">
        <v>145</v>
      </c>
      <c r="C257" t="s">
        <v>156</v>
      </c>
      <c r="D257" t="s">
        <v>3</v>
      </c>
      <c r="E257" s="2">
        <v>3.75</v>
      </c>
      <c r="F257" t="s">
        <v>710</v>
      </c>
    </row>
    <row r="258" spans="1:6">
      <c r="A258" s="1">
        <v>45833</v>
      </c>
      <c r="B258" s="7" t="s">
        <v>145</v>
      </c>
      <c r="C258" t="s">
        <v>157</v>
      </c>
      <c r="D258" t="s">
        <v>8</v>
      </c>
      <c r="E258" s="2">
        <v>284491.56999999285</v>
      </c>
      <c r="F258" t="s">
        <v>710</v>
      </c>
    </row>
    <row r="259" spans="1:6">
      <c r="A259" s="1">
        <v>45833</v>
      </c>
      <c r="B259" s="7" t="s">
        <v>145</v>
      </c>
      <c r="C259" t="s">
        <v>157</v>
      </c>
      <c r="D259" t="s">
        <v>3</v>
      </c>
      <c r="E259" s="2">
        <v>50</v>
      </c>
      <c r="F259" t="s">
        <v>710</v>
      </c>
    </row>
    <row r="260" spans="1:6">
      <c r="A260" s="1">
        <v>45833</v>
      </c>
      <c r="B260" s="7" t="s">
        <v>145</v>
      </c>
      <c r="C260" t="s">
        <v>157</v>
      </c>
      <c r="D260" t="s">
        <v>3</v>
      </c>
      <c r="E260" s="2">
        <v>3.75</v>
      </c>
      <c r="F260" t="s">
        <v>710</v>
      </c>
    </row>
    <row r="261" spans="1:6">
      <c r="A261" s="1">
        <v>45833</v>
      </c>
      <c r="B261" s="7" t="s">
        <v>145</v>
      </c>
      <c r="C261" t="s">
        <v>158</v>
      </c>
      <c r="D261" t="s">
        <v>8</v>
      </c>
      <c r="E261" s="2">
        <v>152226.67000000179</v>
      </c>
      <c r="F261" t="s">
        <v>710</v>
      </c>
    </row>
    <row r="262" spans="1:6">
      <c r="A262" s="1">
        <v>45833</v>
      </c>
      <c r="B262" s="7" t="s">
        <v>145</v>
      </c>
      <c r="C262" t="s">
        <v>158</v>
      </c>
      <c r="D262" t="s">
        <v>3</v>
      </c>
      <c r="E262" s="2">
        <v>50</v>
      </c>
      <c r="F262" t="s">
        <v>710</v>
      </c>
    </row>
    <row r="263" spans="1:6">
      <c r="A263" s="1">
        <v>45833</v>
      </c>
      <c r="B263" s="7" t="s">
        <v>145</v>
      </c>
      <c r="C263" t="s">
        <v>158</v>
      </c>
      <c r="D263" t="s">
        <v>3</v>
      </c>
      <c r="E263" s="2">
        <v>3.75</v>
      </c>
      <c r="F263" t="s">
        <v>710</v>
      </c>
    </row>
    <row r="264" spans="1:6">
      <c r="A264" s="1">
        <v>45833</v>
      </c>
      <c r="B264" s="7" t="s">
        <v>145</v>
      </c>
      <c r="C264" t="s">
        <v>159</v>
      </c>
      <c r="D264" t="s">
        <v>8</v>
      </c>
      <c r="E264" s="2">
        <v>284491.57000000775</v>
      </c>
      <c r="F264" t="s">
        <v>710</v>
      </c>
    </row>
    <row r="265" spans="1:6">
      <c r="A265" s="1">
        <v>45833</v>
      </c>
      <c r="B265" s="7" t="s">
        <v>145</v>
      </c>
      <c r="C265" t="s">
        <v>159</v>
      </c>
      <c r="D265" t="s">
        <v>3</v>
      </c>
      <c r="E265" s="2">
        <v>50</v>
      </c>
      <c r="F265" t="s">
        <v>710</v>
      </c>
    </row>
    <row r="266" spans="1:6">
      <c r="A266" s="1">
        <v>45833</v>
      </c>
      <c r="B266" s="7" t="s">
        <v>145</v>
      </c>
      <c r="C266" t="s">
        <v>159</v>
      </c>
      <c r="D266" t="s">
        <v>3</v>
      </c>
      <c r="E266" s="2">
        <v>3.75</v>
      </c>
      <c r="F266" t="s">
        <v>710</v>
      </c>
    </row>
    <row r="267" spans="1:6">
      <c r="A267" s="1">
        <v>45833</v>
      </c>
      <c r="B267" s="7" t="s">
        <v>145</v>
      </c>
      <c r="C267" t="s">
        <v>160</v>
      </c>
      <c r="D267" t="s">
        <v>8</v>
      </c>
      <c r="E267" s="2">
        <v>152194.92999999225</v>
      </c>
      <c r="F267" t="s">
        <v>710</v>
      </c>
    </row>
    <row r="268" spans="1:6">
      <c r="A268" s="1">
        <v>45833</v>
      </c>
      <c r="B268" s="7" t="s">
        <v>145</v>
      </c>
      <c r="C268" t="s">
        <v>160</v>
      </c>
      <c r="D268" t="s">
        <v>3</v>
      </c>
      <c r="E268" s="2">
        <v>50</v>
      </c>
      <c r="F268" t="s">
        <v>710</v>
      </c>
    </row>
    <row r="269" spans="1:6">
      <c r="A269" s="1">
        <v>45833</v>
      </c>
      <c r="B269" s="7" t="s">
        <v>145</v>
      </c>
      <c r="C269" t="s">
        <v>160</v>
      </c>
      <c r="D269" t="s">
        <v>3</v>
      </c>
      <c r="E269" s="2">
        <v>3.75</v>
      </c>
      <c r="F269" t="s">
        <v>710</v>
      </c>
    </row>
    <row r="270" spans="1:6">
      <c r="A270" s="1">
        <v>45833</v>
      </c>
      <c r="B270" s="7" t="s">
        <v>145</v>
      </c>
      <c r="C270" t="s">
        <v>161</v>
      </c>
      <c r="D270" t="s">
        <v>8</v>
      </c>
      <c r="E270" s="2">
        <v>284491.57000000775</v>
      </c>
      <c r="F270" t="s">
        <v>710</v>
      </c>
    </row>
    <row r="271" spans="1:6">
      <c r="A271" s="1">
        <v>45833</v>
      </c>
      <c r="B271" s="7" t="s">
        <v>145</v>
      </c>
      <c r="C271" t="s">
        <v>161</v>
      </c>
      <c r="D271" t="s">
        <v>3</v>
      </c>
      <c r="E271" s="2">
        <v>50</v>
      </c>
      <c r="F271" t="s">
        <v>710</v>
      </c>
    </row>
    <row r="272" spans="1:6">
      <c r="A272" s="1">
        <v>45833</v>
      </c>
      <c r="B272" s="7" t="s">
        <v>145</v>
      </c>
      <c r="C272" t="s">
        <v>161</v>
      </c>
      <c r="D272" t="s">
        <v>3</v>
      </c>
      <c r="E272" s="2">
        <v>3.75</v>
      </c>
      <c r="F272" t="s">
        <v>710</v>
      </c>
    </row>
    <row r="273" spans="1:6">
      <c r="A273" s="1">
        <v>45833</v>
      </c>
      <c r="B273" s="7" t="s">
        <v>145</v>
      </c>
      <c r="C273" t="s">
        <v>162</v>
      </c>
      <c r="D273" t="s">
        <v>8</v>
      </c>
      <c r="E273" s="2">
        <v>152194.92999999225</v>
      </c>
      <c r="F273" t="s">
        <v>710</v>
      </c>
    </row>
    <row r="274" spans="1:6">
      <c r="A274" s="1">
        <v>45833</v>
      </c>
      <c r="B274" s="7" t="s">
        <v>145</v>
      </c>
      <c r="C274" t="s">
        <v>162</v>
      </c>
      <c r="D274" t="s">
        <v>3</v>
      </c>
      <c r="E274" s="2">
        <v>50</v>
      </c>
      <c r="F274" t="s">
        <v>710</v>
      </c>
    </row>
    <row r="275" spans="1:6">
      <c r="A275" s="1">
        <v>45833</v>
      </c>
      <c r="B275" s="7" t="s">
        <v>145</v>
      </c>
      <c r="C275" t="s">
        <v>162</v>
      </c>
      <c r="D275" t="s">
        <v>3</v>
      </c>
      <c r="E275" s="2">
        <v>3.75</v>
      </c>
      <c r="F275" t="s">
        <v>710</v>
      </c>
    </row>
    <row r="276" spans="1:6">
      <c r="A276" s="1">
        <v>45833</v>
      </c>
      <c r="B276" s="7" t="s">
        <v>145</v>
      </c>
      <c r="C276" t="s">
        <v>163</v>
      </c>
      <c r="D276" t="s">
        <v>8</v>
      </c>
      <c r="E276" s="2">
        <v>152194.93000000715</v>
      </c>
      <c r="F276" t="s">
        <v>710</v>
      </c>
    </row>
    <row r="277" spans="1:6">
      <c r="A277" s="1">
        <v>45833</v>
      </c>
      <c r="B277" s="7" t="s">
        <v>145</v>
      </c>
      <c r="C277" t="s">
        <v>163</v>
      </c>
      <c r="D277" t="s">
        <v>3</v>
      </c>
      <c r="E277" s="2">
        <v>50</v>
      </c>
      <c r="F277" t="s">
        <v>710</v>
      </c>
    </row>
    <row r="278" spans="1:6">
      <c r="A278" s="1">
        <v>45833</v>
      </c>
      <c r="B278" s="7" t="s">
        <v>145</v>
      </c>
      <c r="C278" t="s">
        <v>163</v>
      </c>
      <c r="D278" t="s">
        <v>3</v>
      </c>
      <c r="E278" s="2">
        <v>3.75</v>
      </c>
      <c r="F278" t="s">
        <v>710</v>
      </c>
    </row>
    <row r="279" spans="1:6">
      <c r="A279" s="1">
        <v>45833</v>
      </c>
      <c r="B279" s="7" t="s">
        <v>145</v>
      </c>
      <c r="C279" t="s">
        <v>164</v>
      </c>
      <c r="D279" t="s">
        <v>8</v>
      </c>
      <c r="E279" s="2">
        <v>75000</v>
      </c>
      <c r="F279" t="s">
        <v>710</v>
      </c>
    </row>
    <row r="280" spans="1:6">
      <c r="A280" s="1">
        <v>45833</v>
      </c>
      <c r="B280" s="7" t="s">
        <v>145</v>
      </c>
      <c r="C280" t="s">
        <v>164</v>
      </c>
      <c r="D280" t="s">
        <v>3</v>
      </c>
      <c r="E280" s="2">
        <v>50</v>
      </c>
      <c r="F280" t="s">
        <v>710</v>
      </c>
    </row>
    <row r="281" spans="1:6">
      <c r="A281" s="1">
        <v>45833</v>
      </c>
      <c r="B281" s="7" t="s">
        <v>145</v>
      </c>
      <c r="C281" t="s">
        <v>164</v>
      </c>
      <c r="D281" t="s">
        <v>3</v>
      </c>
      <c r="E281" s="2">
        <v>3.75</v>
      </c>
      <c r="F281" t="s">
        <v>710</v>
      </c>
    </row>
    <row r="282" spans="1:6">
      <c r="A282" s="1">
        <v>45833</v>
      </c>
      <c r="B282" s="7" t="s">
        <v>145</v>
      </c>
      <c r="C282" t="s">
        <v>165</v>
      </c>
      <c r="D282" t="s">
        <v>8</v>
      </c>
      <c r="E282" s="2">
        <v>75000</v>
      </c>
      <c r="F282" t="s">
        <v>710</v>
      </c>
    </row>
    <row r="283" spans="1:6">
      <c r="A283" s="1">
        <v>45833</v>
      </c>
      <c r="B283" s="7" t="s">
        <v>145</v>
      </c>
      <c r="C283" t="s">
        <v>165</v>
      </c>
      <c r="D283" t="s">
        <v>3</v>
      </c>
      <c r="E283" s="2">
        <v>50</v>
      </c>
      <c r="F283" t="s">
        <v>710</v>
      </c>
    </row>
    <row r="284" spans="1:6">
      <c r="A284" s="1">
        <v>45833</v>
      </c>
      <c r="B284" s="7" t="s">
        <v>145</v>
      </c>
      <c r="C284" t="s">
        <v>165</v>
      </c>
      <c r="D284" t="s">
        <v>3</v>
      </c>
      <c r="E284" s="2">
        <v>3.75</v>
      </c>
      <c r="F284" t="s">
        <v>710</v>
      </c>
    </row>
    <row r="285" spans="1:6">
      <c r="A285" s="1">
        <v>45833</v>
      </c>
      <c r="B285" s="7" t="s">
        <v>145</v>
      </c>
      <c r="C285" t="s">
        <v>166</v>
      </c>
      <c r="D285" t="s">
        <v>8</v>
      </c>
      <c r="E285" s="2">
        <v>75000</v>
      </c>
      <c r="F285" t="s">
        <v>710</v>
      </c>
    </row>
    <row r="286" spans="1:6">
      <c r="A286" s="1">
        <v>45833</v>
      </c>
      <c r="B286" s="7" t="s">
        <v>145</v>
      </c>
      <c r="C286" t="s">
        <v>166</v>
      </c>
      <c r="D286" t="s">
        <v>3</v>
      </c>
      <c r="E286" s="2">
        <v>50</v>
      </c>
      <c r="F286" t="s">
        <v>710</v>
      </c>
    </row>
    <row r="287" spans="1:6">
      <c r="A287" s="1">
        <v>45833</v>
      </c>
      <c r="B287" s="7" t="s">
        <v>145</v>
      </c>
      <c r="C287" t="s">
        <v>166</v>
      </c>
      <c r="D287" t="s">
        <v>3</v>
      </c>
      <c r="E287" s="2">
        <v>3.75</v>
      </c>
      <c r="F287" t="s">
        <v>710</v>
      </c>
    </row>
    <row r="288" spans="1:6">
      <c r="A288" s="1">
        <v>45833</v>
      </c>
      <c r="B288" s="7" t="s">
        <v>145</v>
      </c>
      <c r="C288" t="s">
        <v>167</v>
      </c>
      <c r="D288" t="s">
        <v>8</v>
      </c>
      <c r="E288" s="2">
        <v>66000</v>
      </c>
      <c r="F288" t="s">
        <v>710</v>
      </c>
    </row>
    <row r="289" spans="1:6">
      <c r="A289" s="1">
        <v>45833</v>
      </c>
      <c r="B289" s="7" t="s">
        <v>145</v>
      </c>
      <c r="C289" t="s">
        <v>167</v>
      </c>
      <c r="D289" t="s">
        <v>3</v>
      </c>
      <c r="E289" s="2">
        <v>50</v>
      </c>
      <c r="F289" t="s">
        <v>710</v>
      </c>
    </row>
    <row r="290" spans="1:6">
      <c r="A290" s="1">
        <v>45833</v>
      </c>
      <c r="B290" s="7" t="s">
        <v>145</v>
      </c>
      <c r="C290" t="s">
        <v>167</v>
      </c>
      <c r="D290" t="s">
        <v>3</v>
      </c>
      <c r="E290" s="2">
        <v>3.75</v>
      </c>
      <c r="F290" t="s">
        <v>710</v>
      </c>
    </row>
    <row r="291" spans="1:6">
      <c r="A291" s="1">
        <v>45833</v>
      </c>
      <c r="B291" s="7" t="s">
        <v>145</v>
      </c>
      <c r="C291" t="s">
        <v>168</v>
      </c>
      <c r="D291" t="s">
        <v>8</v>
      </c>
      <c r="E291" s="2">
        <v>66000</v>
      </c>
      <c r="F291" t="s">
        <v>710</v>
      </c>
    </row>
    <row r="292" spans="1:6">
      <c r="A292" s="1">
        <v>45833</v>
      </c>
      <c r="B292" s="7" t="s">
        <v>145</v>
      </c>
      <c r="C292" t="s">
        <v>168</v>
      </c>
      <c r="D292" t="s">
        <v>3</v>
      </c>
      <c r="E292" s="2">
        <v>50</v>
      </c>
      <c r="F292" t="s">
        <v>710</v>
      </c>
    </row>
    <row r="293" spans="1:6">
      <c r="A293" s="1">
        <v>45833</v>
      </c>
      <c r="B293" s="7" t="s">
        <v>145</v>
      </c>
      <c r="C293" t="s">
        <v>168</v>
      </c>
      <c r="D293" t="s">
        <v>3</v>
      </c>
      <c r="E293" s="2">
        <v>3.75</v>
      </c>
      <c r="F293" t="s">
        <v>710</v>
      </c>
    </row>
    <row r="294" spans="1:6">
      <c r="A294" s="1">
        <v>45833</v>
      </c>
      <c r="B294" s="7" t="s">
        <v>145</v>
      </c>
      <c r="C294" t="s">
        <v>169</v>
      </c>
      <c r="D294" t="s">
        <v>8</v>
      </c>
      <c r="E294" s="2">
        <v>66000</v>
      </c>
      <c r="F294" t="s">
        <v>710</v>
      </c>
    </row>
    <row r="295" spans="1:6">
      <c r="A295" s="1">
        <v>45833</v>
      </c>
      <c r="B295" s="7" t="s">
        <v>145</v>
      </c>
      <c r="C295" t="s">
        <v>169</v>
      </c>
      <c r="D295" t="s">
        <v>3</v>
      </c>
      <c r="E295" s="2">
        <v>50</v>
      </c>
      <c r="F295" t="s">
        <v>710</v>
      </c>
    </row>
    <row r="296" spans="1:6">
      <c r="A296" s="1">
        <v>45833</v>
      </c>
      <c r="B296" s="7" t="s">
        <v>145</v>
      </c>
      <c r="C296" t="s">
        <v>169</v>
      </c>
      <c r="D296" t="s">
        <v>3</v>
      </c>
      <c r="E296" s="2">
        <v>3.75</v>
      </c>
      <c r="F296" t="s">
        <v>710</v>
      </c>
    </row>
    <row r="297" spans="1:6">
      <c r="A297" s="1">
        <v>45833</v>
      </c>
      <c r="B297" s="7" t="s">
        <v>145</v>
      </c>
      <c r="C297" t="s">
        <v>170</v>
      </c>
      <c r="D297" t="s">
        <v>8</v>
      </c>
      <c r="E297" s="2">
        <v>66000</v>
      </c>
      <c r="F297" t="s">
        <v>710</v>
      </c>
    </row>
    <row r="298" spans="1:6">
      <c r="A298" s="1">
        <v>45833</v>
      </c>
      <c r="B298" s="7" t="s">
        <v>145</v>
      </c>
      <c r="C298" t="s">
        <v>170</v>
      </c>
      <c r="D298" t="s">
        <v>3</v>
      </c>
      <c r="E298" s="2">
        <v>50</v>
      </c>
      <c r="F298" t="s">
        <v>710</v>
      </c>
    </row>
    <row r="299" spans="1:6">
      <c r="A299" s="1">
        <v>45833</v>
      </c>
      <c r="B299" s="7" t="s">
        <v>145</v>
      </c>
      <c r="C299" t="s">
        <v>170</v>
      </c>
      <c r="D299" t="s">
        <v>3</v>
      </c>
      <c r="E299" s="2">
        <v>3.75</v>
      </c>
      <c r="F299" t="s">
        <v>710</v>
      </c>
    </row>
    <row r="300" spans="1:6">
      <c r="A300" s="1">
        <v>45833</v>
      </c>
      <c r="B300" s="7" t="s">
        <v>145</v>
      </c>
      <c r="C300" t="s">
        <v>171</v>
      </c>
      <c r="D300" t="s">
        <v>8</v>
      </c>
      <c r="E300" s="2">
        <v>66000</v>
      </c>
      <c r="F300" t="s">
        <v>710</v>
      </c>
    </row>
    <row r="301" spans="1:6">
      <c r="A301" s="1">
        <v>45833</v>
      </c>
      <c r="B301" s="7" t="s">
        <v>145</v>
      </c>
      <c r="C301" t="s">
        <v>171</v>
      </c>
      <c r="D301" t="s">
        <v>3</v>
      </c>
      <c r="E301" s="2">
        <v>50</v>
      </c>
      <c r="F301" t="s">
        <v>710</v>
      </c>
    </row>
    <row r="302" spans="1:6">
      <c r="A302" s="1">
        <v>45833</v>
      </c>
      <c r="B302" s="7" t="s">
        <v>145</v>
      </c>
      <c r="C302" t="s">
        <v>171</v>
      </c>
      <c r="D302" t="s">
        <v>3</v>
      </c>
      <c r="E302" s="2">
        <v>3.75</v>
      </c>
      <c r="F302" t="s">
        <v>710</v>
      </c>
    </row>
    <row r="303" spans="1:6">
      <c r="A303" s="1">
        <v>45833</v>
      </c>
      <c r="B303" s="7" t="s">
        <v>145</v>
      </c>
      <c r="C303" t="s">
        <v>172</v>
      </c>
      <c r="D303" t="s">
        <v>8</v>
      </c>
      <c r="E303" s="2">
        <v>66000</v>
      </c>
      <c r="F303" t="s">
        <v>710</v>
      </c>
    </row>
    <row r="304" spans="1:6">
      <c r="A304" s="1">
        <v>45833</v>
      </c>
      <c r="B304" s="7" t="s">
        <v>145</v>
      </c>
      <c r="C304" t="s">
        <v>172</v>
      </c>
      <c r="D304" t="s">
        <v>3</v>
      </c>
      <c r="E304" s="2">
        <v>50</v>
      </c>
      <c r="F304" t="s">
        <v>710</v>
      </c>
    </row>
    <row r="305" spans="1:6">
      <c r="A305" s="1">
        <v>45833</v>
      </c>
      <c r="B305" s="7" t="s">
        <v>145</v>
      </c>
      <c r="C305" t="s">
        <v>172</v>
      </c>
      <c r="D305" t="s">
        <v>3</v>
      </c>
      <c r="E305" s="2">
        <v>3.75</v>
      </c>
      <c r="F305" t="s">
        <v>710</v>
      </c>
    </row>
    <row r="306" spans="1:6">
      <c r="A306" s="1">
        <v>45833</v>
      </c>
      <c r="B306" s="7" t="s">
        <v>145</v>
      </c>
      <c r="C306" t="s">
        <v>172</v>
      </c>
      <c r="D306" t="s">
        <v>8</v>
      </c>
      <c r="E306" s="2">
        <v>-66000</v>
      </c>
      <c r="F306" t="s">
        <v>710</v>
      </c>
    </row>
    <row r="307" spans="1:6">
      <c r="A307" s="1">
        <v>45833</v>
      </c>
      <c r="B307" s="7" t="s">
        <v>145</v>
      </c>
      <c r="C307" t="s">
        <v>172</v>
      </c>
      <c r="D307" t="s">
        <v>3</v>
      </c>
      <c r="E307" s="2">
        <v>-50</v>
      </c>
      <c r="F307" t="s">
        <v>710</v>
      </c>
    </row>
    <row r="308" spans="1:6">
      <c r="A308" s="1">
        <v>45833</v>
      </c>
      <c r="B308" s="7" t="s">
        <v>145</v>
      </c>
      <c r="C308" t="s">
        <v>172</v>
      </c>
      <c r="D308" t="s">
        <v>3</v>
      </c>
      <c r="E308" s="2">
        <v>-3.75</v>
      </c>
      <c r="F308" t="s">
        <v>710</v>
      </c>
    </row>
    <row r="309" spans="1:6">
      <c r="A309" s="1">
        <v>45835</v>
      </c>
      <c r="B309" s="7" t="s">
        <v>173</v>
      </c>
      <c r="C309" t="s">
        <v>174</v>
      </c>
      <c r="D309" t="s">
        <v>5</v>
      </c>
      <c r="E309" s="2">
        <v>20161.25</v>
      </c>
      <c r="F309" t="s">
        <v>710</v>
      </c>
    </row>
    <row r="310" spans="1:6">
      <c r="A310" s="1">
        <v>45835</v>
      </c>
      <c r="B310" s="7" t="s">
        <v>173</v>
      </c>
      <c r="C310" t="s">
        <v>174</v>
      </c>
      <c r="D310" t="s">
        <v>3</v>
      </c>
      <c r="E310" s="2">
        <v>25</v>
      </c>
      <c r="F310" t="s">
        <v>710</v>
      </c>
    </row>
    <row r="311" spans="1:6">
      <c r="A311" s="1">
        <v>45835</v>
      </c>
      <c r="B311" s="7" t="s">
        <v>173</v>
      </c>
      <c r="C311" t="s">
        <v>174</v>
      </c>
      <c r="D311" t="s">
        <v>3</v>
      </c>
      <c r="E311" s="2">
        <v>1.8799999952316284</v>
      </c>
      <c r="F311" t="s">
        <v>710</v>
      </c>
    </row>
    <row r="312" spans="1:6">
      <c r="A312" s="1">
        <v>45835</v>
      </c>
      <c r="B312" s="7" t="s">
        <v>173</v>
      </c>
      <c r="C312" t="s">
        <v>175</v>
      </c>
      <c r="D312" t="s">
        <v>4</v>
      </c>
      <c r="E312" s="2">
        <v>66000</v>
      </c>
      <c r="F312" t="s">
        <v>710</v>
      </c>
    </row>
    <row r="313" spans="1:6">
      <c r="A313" s="1">
        <v>45835</v>
      </c>
      <c r="B313" s="7" t="s">
        <v>173</v>
      </c>
      <c r="C313" t="s">
        <v>175</v>
      </c>
      <c r="D313" t="s">
        <v>3</v>
      </c>
      <c r="E313" s="2">
        <v>50</v>
      </c>
      <c r="F313" t="s">
        <v>710</v>
      </c>
    </row>
    <row r="314" spans="1:6">
      <c r="A314" s="1">
        <v>45835</v>
      </c>
      <c r="B314" s="7" t="s">
        <v>173</v>
      </c>
      <c r="C314" t="s">
        <v>175</v>
      </c>
      <c r="D314" t="s">
        <v>3</v>
      </c>
      <c r="E314" s="2">
        <v>3.75</v>
      </c>
      <c r="F314" t="s">
        <v>710</v>
      </c>
    </row>
    <row r="315" spans="1:6">
      <c r="A315" s="1">
        <v>45835</v>
      </c>
      <c r="B315" s="7" t="s">
        <v>173</v>
      </c>
      <c r="C315" t="s">
        <v>176</v>
      </c>
      <c r="D315" t="s">
        <v>4</v>
      </c>
      <c r="E315" s="2">
        <v>66000</v>
      </c>
      <c r="F315" t="s">
        <v>710</v>
      </c>
    </row>
    <row r="316" spans="1:6">
      <c r="A316" s="1">
        <v>45835</v>
      </c>
      <c r="B316" s="7" t="s">
        <v>173</v>
      </c>
      <c r="C316" t="s">
        <v>176</v>
      </c>
      <c r="D316" t="s">
        <v>3</v>
      </c>
      <c r="E316" s="2">
        <v>50</v>
      </c>
      <c r="F316" t="s">
        <v>710</v>
      </c>
    </row>
    <row r="317" spans="1:6">
      <c r="A317" s="1">
        <v>45835</v>
      </c>
      <c r="B317" s="7" t="s">
        <v>173</v>
      </c>
      <c r="C317" t="s">
        <v>176</v>
      </c>
      <c r="D317" t="s">
        <v>3</v>
      </c>
      <c r="E317" s="2">
        <v>3.75</v>
      </c>
      <c r="F317" t="s">
        <v>710</v>
      </c>
    </row>
    <row r="318" spans="1:6">
      <c r="A318" s="1">
        <v>45835</v>
      </c>
      <c r="B318" s="7" t="s">
        <v>173</v>
      </c>
      <c r="C318" t="s">
        <v>177</v>
      </c>
      <c r="D318" t="s">
        <v>22</v>
      </c>
      <c r="E318" s="2">
        <v>619300</v>
      </c>
      <c r="F318" t="s">
        <v>710</v>
      </c>
    </row>
    <row r="319" spans="1:6">
      <c r="A319" s="1">
        <v>45835</v>
      </c>
      <c r="B319" s="7" t="s">
        <v>173</v>
      </c>
      <c r="C319" t="s">
        <v>177</v>
      </c>
      <c r="D319" t="s">
        <v>3</v>
      </c>
      <c r="E319" s="2">
        <v>50</v>
      </c>
      <c r="F319" t="s">
        <v>710</v>
      </c>
    </row>
    <row r="320" spans="1:6">
      <c r="A320" s="1">
        <v>45835</v>
      </c>
      <c r="B320" s="7" t="s">
        <v>173</v>
      </c>
      <c r="C320" t="s">
        <v>177</v>
      </c>
      <c r="D320" t="s">
        <v>3</v>
      </c>
      <c r="E320" s="2">
        <v>3.75</v>
      </c>
      <c r="F320" t="s">
        <v>710</v>
      </c>
    </row>
    <row r="321" spans="1:6">
      <c r="A321" s="1">
        <v>45835</v>
      </c>
      <c r="B321" s="7" t="s">
        <v>173</v>
      </c>
      <c r="C321" t="s">
        <v>178</v>
      </c>
      <c r="D321" t="s">
        <v>15</v>
      </c>
      <c r="E321" s="2">
        <v>17000</v>
      </c>
      <c r="F321" t="s">
        <v>710</v>
      </c>
    </row>
    <row r="322" spans="1:6">
      <c r="A322" s="1">
        <v>45835</v>
      </c>
      <c r="B322" s="7" t="s">
        <v>173</v>
      </c>
      <c r="C322" t="s">
        <v>178</v>
      </c>
      <c r="D322" t="s">
        <v>3</v>
      </c>
      <c r="E322" s="2">
        <v>25</v>
      </c>
      <c r="F322" t="s">
        <v>710</v>
      </c>
    </row>
    <row r="323" spans="1:6">
      <c r="A323" s="1">
        <v>45835</v>
      </c>
      <c r="B323" s="7" t="s">
        <v>173</v>
      </c>
      <c r="C323" t="s">
        <v>178</v>
      </c>
      <c r="D323" t="s">
        <v>3</v>
      </c>
      <c r="E323" s="2">
        <v>1.8799999952316284</v>
      </c>
      <c r="F323" t="s">
        <v>710</v>
      </c>
    </row>
    <row r="324" spans="1:6">
      <c r="A324" s="1">
        <v>45835</v>
      </c>
      <c r="B324" s="7" t="s">
        <v>173</v>
      </c>
      <c r="C324" t="s">
        <v>179</v>
      </c>
      <c r="D324" t="s">
        <v>16</v>
      </c>
      <c r="E324" s="2">
        <v>250000</v>
      </c>
      <c r="F324" t="s">
        <v>710</v>
      </c>
    </row>
    <row r="325" spans="1:6">
      <c r="A325" s="1">
        <v>45835</v>
      </c>
      <c r="B325" s="7" t="s">
        <v>173</v>
      </c>
      <c r="C325" t="s">
        <v>179</v>
      </c>
      <c r="D325" t="s">
        <v>3</v>
      </c>
      <c r="E325" s="2">
        <v>50</v>
      </c>
      <c r="F325" t="s">
        <v>710</v>
      </c>
    </row>
    <row r="326" spans="1:6">
      <c r="A326" s="1">
        <v>45835</v>
      </c>
      <c r="B326" s="7" t="s">
        <v>173</v>
      </c>
      <c r="C326" t="s">
        <v>179</v>
      </c>
      <c r="D326" t="s">
        <v>3</v>
      </c>
      <c r="E326" s="2">
        <v>3.75</v>
      </c>
      <c r="F326" t="s">
        <v>710</v>
      </c>
    </row>
    <row r="327" spans="1:6">
      <c r="A327" s="1">
        <v>45835</v>
      </c>
      <c r="B327" s="7" t="s">
        <v>173</v>
      </c>
      <c r="C327" t="s">
        <v>180</v>
      </c>
      <c r="D327" t="s">
        <v>4</v>
      </c>
      <c r="E327" s="2">
        <v>32500</v>
      </c>
      <c r="F327" t="s">
        <v>710</v>
      </c>
    </row>
    <row r="328" spans="1:6">
      <c r="A328" s="1">
        <v>45835</v>
      </c>
      <c r="B328" s="7" t="s">
        <v>173</v>
      </c>
      <c r="C328" t="s">
        <v>180</v>
      </c>
      <c r="D328" t="s">
        <v>3</v>
      </c>
      <c r="E328" s="2">
        <v>25</v>
      </c>
      <c r="F328" t="s">
        <v>710</v>
      </c>
    </row>
    <row r="329" spans="1:6">
      <c r="A329" s="1">
        <v>45835</v>
      </c>
      <c r="B329" s="7" t="s">
        <v>173</v>
      </c>
      <c r="C329" t="s">
        <v>180</v>
      </c>
      <c r="D329" t="s">
        <v>3</v>
      </c>
      <c r="E329" s="2">
        <v>1.8800000101327896</v>
      </c>
      <c r="F329" t="s">
        <v>710</v>
      </c>
    </row>
    <row r="330" spans="1:6">
      <c r="A330" s="1">
        <v>45838</v>
      </c>
      <c r="B330" s="7" t="s">
        <v>181</v>
      </c>
      <c r="C330" t="s">
        <v>182</v>
      </c>
      <c r="D330" t="s">
        <v>13</v>
      </c>
      <c r="E330" s="2">
        <v>550000</v>
      </c>
      <c r="F330" t="s">
        <v>710</v>
      </c>
    </row>
    <row r="331" spans="1:6">
      <c r="A331" s="1">
        <v>45838</v>
      </c>
      <c r="B331" s="7" t="s">
        <v>181</v>
      </c>
      <c r="C331" t="s">
        <v>182</v>
      </c>
      <c r="D331" t="s">
        <v>3</v>
      </c>
      <c r="E331" s="2">
        <v>50</v>
      </c>
      <c r="F331" t="s">
        <v>710</v>
      </c>
    </row>
    <row r="332" spans="1:6">
      <c r="A332" s="1">
        <v>45838</v>
      </c>
      <c r="B332" s="7" t="s">
        <v>181</v>
      </c>
      <c r="C332" t="s">
        <v>182</v>
      </c>
      <c r="D332" t="s">
        <v>3</v>
      </c>
      <c r="E332" s="2">
        <v>3.75</v>
      </c>
      <c r="F332" t="s">
        <v>710</v>
      </c>
    </row>
    <row r="333" spans="1:6">
      <c r="A333" s="1">
        <v>45838</v>
      </c>
      <c r="B333" s="7" t="s">
        <v>181</v>
      </c>
      <c r="C333" t="s">
        <v>183</v>
      </c>
      <c r="D333" t="s">
        <v>13</v>
      </c>
      <c r="E333" s="2">
        <v>15000</v>
      </c>
      <c r="F333" t="s">
        <v>710</v>
      </c>
    </row>
    <row r="334" spans="1:6">
      <c r="A334" s="1">
        <v>45838</v>
      </c>
      <c r="B334" s="7" t="s">
        <v>181</v>
      </c>
      <c r="C334" t="s">
        <v>183</v>
      </c>
      <c r="D334" t="s">
        <v>3</v>
      </c>
      <c r="E334" s="2">
        <v>25</v>
      </c>
      <c r="F334" t="s">
        <v>710</v>
      </c>
    </row>
    <row r="335" spans="1:6">
      <c r="A335" s="1">
        <v>45838</v>
      </c>
      <c r="B335" s="7" t="s">
        <v>181</v>
      </c>
      <c r="C335" t="s">
        <v>183</v>
      </c>
      <c r="D335" t="s">
        <v>3</v>
      </c>
      <c r="E335" s="2">
        <v>1.8799999952316284</v>
      </c>
      <c r="F335" t="s">
        <v>710</v>
      </c>
    </row>
    <row r="336" spans="1:6">
      <c r="A336" s="1">
        <v>45838</v>
      </c>
      <c r="B336" s="7" t="s">
        <v>181</v>
      </c>
      <c r="C336" t="s">
        <v>184</v>
      </c>
      <c r="D336" t="s">
        <v>23</v>
      </c>
      <c r="E336" s="2">
        <v>370000</v>
      </c>
      <c r="F336" t="s">
        <v>710</v>
      </c>
    </row>
    <row r="337" spans="1:6">
      <c r="A337" s="1">
        <v>45838</v>
      </c>
      <c r="B337" s="7" t="s">
        <v>181</v>
      </c>
      <c r="C337" t="s">
        <v>184</v>
      </c>
      <c r="D337" t="s">
        <v>3</v>
      </c>
      <c r="E337" s="2">
        <v>50</v>
      </c>
      <c r="F337" t="s">
        <v>710</v>
      </c>
    </row>
    <row r="338" spans="1:6">
      <c r="A338" s="1">
        <v>45838</v>
      </c>
      <c r="B338" s="7" t="s">
        <v>181</v>
      </c>
      <c r="C338" t="s">
        <v>184</v>
      </c>
      <c r="D338" t="s">
        <v>3</v>
      </c>
      <c r="E338" s="2">
        <v>3.75</v>
      </c>
      <c r="F338" t="s">
        <v>710</v>
      </c>
    </row>
    <row r="339" spans="1:6">
      <c r="A339" s="1">
        <v>45838</v>
      </c>
      <c r="B339" s="7" t="s">
        <v>181</v>
      </c>
      <c r="C339" t="s">
        <v>185</v>
      </c>
      <c r="D339" t="s">
        <v>8</v>
      </c>
      <c r="E339" s="2">
        <v>119811.25</v>
      </c>
      <c r="F339" t="s">
        <v>710</v>
      </c>
    </row>
    <row r="340" spans="1:6">
      <c r="A340" s="1">
        <v>45838</v>
      </c>
      <c r="B340" s="7" t="s">
        <v>181</v>
      </c>
      <c r="C340" t="s">
        <v>185</v>
      </c>
      <c r="D340" t="s">
        <v>3</v>
      </c>
      <c r="E340" s="2">
        <v>50</v>
      </c>
      <c r="F340" t="s">
        <v>710</v>
      </c>
    </row>
    <row r="341" spans="1:6">
      <c r="A341" s="1">
        <v>45838</v>
      </c>
      <c r="B341" s="7" t="s">
        <v>181</v>
      </c>
      <c r="C341" t="s">
        <v>185</v>
      </c>
      <c r="D341" t="s">
        <v>3</v>
      </c>
      <c r="E341" s="2">
        <v>3.75</v>
      </c>
      <c r="F341" t="s">
        <v>710</v>
      </c>
    </row>
    <row r="342" spans="1:6">
      <c r="A342" s="1">
        <v>45838</v>
      </c>
      <c r="B342" s="7" t="s">
        <v>181</v>
      </c>
      <c r="C342" t="s">
        <v>186</v>
      </c>
      <c r="D342" t="s">
        <v>3</v>
      </c>
      <c r="E342" s="2">
        <v>200</v>
      </c>
      <c r="F342" t="s">
        <v>710</v>
      </c>
    </row>
    <row r="343" spans="1:6">
      <c r="A343" s="1">
        <v>45838</v>
      </c>
      <c r="B343" s="7" t="s">
        <v>181</v>
      </c>
      <c r="C343" t="s">
        <v>187</v>
      </c>
      <c r="D343" t="s">
        <v>3</v>
      </c>
      <c r="E343" s="2">
        <v>15</v>
      </c>
      <c r="F343" t="s">
        <v>710</v>
      </c>
    </row>
    <row r="344" spans="1:6">
      <c r="A344" s="1">
        <v>45838</v>
      </c>
      <c r="B344" s="7" t="s">
        <v>181</v>
      </c>
      <c r="C344" t="s">
        <v>188</v>
      </c>
      <c r="D344" t="s">
        <v>24</v>
      </c>
      <c r="E344" s="2">
        <v>100000</v>
      </c>
      <c r="F344" t="s">
        <v>710</v>
      </c>
    </row>
    <row r="345" spans="1:6">
      <c r="A345" s="1">
        <v>45838</v>
      </c>
      <c r="B345" s="7" t="s">
        <v>181</v>
      </c>
      <c r="C345" t="s">
        <v>188</v>
      </c>
      <c r="D345" t="s">
        <v>3</v>
      </c>
      <c r="E345" s="2">
        <v>50</v>
      </c>
      <c r="F345" t="s">
        <v>710</v>
      </c>
    </row>
    <row r="346" spans="1:6">
      <c r="A346" s="1">
        <v>45838</v>
      </c>
      <c r="B346" s="7" t="s">
        <v>181</v>
      </c>
      <c r="C346" t="s">
        <v>188</v>
      </c>
      <c r="D346" t="s">
        <v>3</v>
      </c>
      <c r="E346" s="2">
        <v>3.75</v>
      </c>
      <c r="F346" t="s">
        <v>710</v>
      </c>
    </row>
    <row r="347" spans="1:6">
      <c r="A347" s="1">
        <v>45838</v>
      </c>
      <c r="B347" s="7" t="s">
        <v>181</v>
      </c>
      <c r="C347" t="s">
        <v>25</v>
      </c>
      <c r="D347" t="s">
        <v>19</v>
      </c>
      <c r="E347" s="2">
        <v>1357550</v>
      </c>
      <c r="F347" t="s">
        <v>710</v>
      </c>
    </row>
    <row r="348" spans="1:6">
      <c r="A348" s="1">
        <v>45838</v>
      </c>
      <c r="B348" s="7" t="s">
        <v>181</v>
      </c>
      <c r="C348" t="s">
        <v>25</v>
      </c>
      <c r="D348" t="s">
        <v>3</v>
      </c>
      <c r="E348" s="2">
        <v>50</v>
      </c>
      <c r="F348" t="s">
        <v>710</v>
      </c>
    </row>
    <row r="349" spans="1:6">
      <c r="A349" s="1">
        <v>45838</v>
      </c>
      <c r="B349" s="7" t="s">
        <v>181</v>
      </c>
      <c r="C349" t="s">
        <v>25</v>
      </c>
      <c r="D349" t="s">
        <v>3</v>
      </c>
      <c r="E349" s="2">
        <v>3.75</v>
      </c>
      <c r="F349" t="s">
        <v>710</v>
      </c>
    </row>
    <row r="350" spans="1:6">
      <c r="A350" s="1">
        <v>45838</v>
      </c>
      <c r="B350" s="7" t="s">
        <v>181</v>
      </c>
      <c r="C350" t="s">
        <v>189</v>
      </c>
      <c r="D350" t="s">
        <v>26</v>
      </c>
      <c r="E350" s="2">
        <v>832000</v>
      </c>
      <c r="F350" t="s">
        <v>710</v>
      </c>
    </row>
    <row r="351" spans="1:6">
      <c r="A351" s="1">
        <v>45838</v>
      </c>
      <c r="B351" s="7" t="s">
        <v>181</v>
      </c>
      <c r="C351" t="s">
        <v>189</v>
      </c>
      <c r="D351" t="s">
        <v>3</v>
      </c>
      <c r="E351" s="2">
        <v>50</v>
      </c>
      <c r="F351" t="s">
        <v>710</v>
      </c>
    </row>
    <row r="352" spans="1:6">
      <c r="A352" s="1">
        <v>45838</v>
      </c>
      <c r="B352" s="7" t="s">
        <v>181</v>
      </c>
      <c r="C352" t="s">
        <v>189</v>
      </c>
      <c r="D352" t="s">
        <v>3</v>
      </c>
      <c r="E352" s="2">
        <v>3.75</v>
      </c>
      <c r="F352" t="s">
        <v>710</v>
      </c>
    </row>
    <row r="353" spans="1:7">
      <c r="A353" s="1">
        <v>45838</v>
      </c>
      <c r="B353" s="7" t="s">
        <v>181</v>
      </c>
      <c r="C353" t="s">
        <v>190</v>
      </c>
      <c r="D353" t="s">
        <v>3</v>
      </c>
      <c r="E353" s="2">
        <v>45154.25</v>
      </c>
      <c r="F353" t="s">
        <v>710</v>
      </c>
    </row>
    <row r="354" spans="1:7">
      <c r="A354" s="1">
        <v>45838</v>
      </c>
      <c r="B354" s="7" t="s">
        <v>181</v>
      </c>
      <c r="C354" t="s">
        <v>191</v>
      </c>
      <c r="D354" t="s">
        <v>3</v>
      </c>
      <c r="E354" s="2">
        <v>3386.6800000071526</v>
      </c>
      <c r="F354" t="s">
        <v>710</v>
      </c>
      <c r="G354" t="s">
        <v>716</v>
      </c>
    </row>
    <row r="355" spans="1:7">
      <c r="A355" s="8">
        <v>45838</v>
      </c>
      <c r="B355" s="9" t="s">
        <v>181</v>
      </c>
      <c r="C355" s="10" t="s">
        <v>715</v>
      </c>
      <c r="D355" s="10" t="s">
        <v>714</v>
      </c>
      <c r="E355" s="11">
        <f>-SUM(E17:E354)</f>
        <v>101330337.19999997</v>
      </c>
      <c r="F355" t="s">
        <v>710</v>
      </c>
      <c r="G355" t="s">
        <v>709</v>
      </c>
    </row>
    <row r="356" spans="1:7">
      <c r="A356" s="1">
        <v>45839</v>
      </c>
      <c r="B356" s="7" t="s">
        <v>192</v>
      </c>
      <c r="C356" t="s">
        <v>193</v>
      </c>
      <c r="D356" t="s">
        <v>6</v>
      </c>
      <c r="E356" s="2">
        <v>650000</v>
      </c>
      <c r="F356" t="s">
        <v>710</v>
      </c>
    </row>
    <row r="357" spans="1:7">
      <c r="A357" s="1">
        <v>45839</v>
      </c>
      <c r="B357" s="7" t="s">
        <v>192</v>
      </c>
      <c r="C357" t="s">
        <v>193</v>
      </c>
      <c r="D357" t="s">
        <v>3</v>
      </c>
      <c r="E357" s="2">
        <v>50</v>
      </c>
      <c r="F357" t="s">
        <v>710</v>
      </c>
    </row>
    <row r="358" spans="1:7">
      <c r="A358" s="1">
        <v>45839</v>
      </c>
      <c r="B358" s="7" t="s">
        <v>192</v>
      </c>
      <c r="C358" t="s">
        <v>193</v>
      </c>
      <c r="D358" t="s">
        <v>3</v>
      </c>
      <c r="E358" s="2">
        <v>3.75</v>
      </c>
      <c r="F358" t="s">
        <v>710</v>
      </c>
    </row>
    <row r="359" spans="1:7">
      <c r="A359" s="1">
        <v>45840</v>
      </c>
      <c r="B359" s="7" t="s">
        <v>194</v>
      </c>
      <c r="C359" t="s">
        <v>195</v>
      </c>
      <c r="D359" t="s">
        <v>15</v>
      </c>
      <c r="E359" s="2">
        <v>190200</v>
      </c>
      <c r="F359" t="s">
        <v>710</v>
      </c>
    </row>
    <row r="360" spans="1:7">
      <c r="A360" s="1">
        <v>45840</v>
      </c>
      <c r="B360" s="7" t="s">
        <v>194</v>
      </c>
      <c r="C360" t="s">
        <v>195</v>
      </c>
      <c r="D360" t="s">
        <v>3</v>
      </c>
      <c r="E360" s="2">
        <v>50</v>
      </c>
      <c r="F360" t="s">
        <v>710</v>
      </c>
    </row>
    <row r="361" spans="1:7">
      <c r="A361" s="1">
        <v>45840</v>
      </c>
      <c r="B361" s="7" t="s">
        <v>194</v>
      </c>
      <c r="C361" t="s">
        <v>195</v>
      </c>
      <c r="D361" t="s">
        <v>3</v>
      </c>
      <c r="E361" s="2">
        <v>3.75</v>
      </c>
      <c r="F361" t="s">
        <v>710</v>
      </c>
    </row>
    <row r="362" spans="1:7">
      <c r="A362" s="1">
        <v>45841</v>
      </c>
      <c r="B362" s="7" t="s">
        <v>196</v>
      </c>
      <c r="C362" t="s">
        <v>197</v>
      </c>
      <c r="D362" t="s">
        <v>15</v>
      </c>
      <c r="E362" s="2">
        <v>37500</v>
      </c>
      <c r="F362" t="s">
        <v>710</v>
      </c>
    </row>
    <row r="363" spans="1:7">
      <c r="A363" s="1">
        <v>45841</v>
      </c>
      <c r="B363" s="7" t="s">
        <v>196</v>
      </c>
      <c r="C363" t="s">
        <v>197</v>
      </c>
      <c r="D363" t="s">
        <v>3</v>
      </c>
      <c r="E363" s="2">
        <v>25</v>
      </c>
      <c r="F363" t="s">
        <v>710</v>
      </c>
    </row>
    <row r="364" spans="1:7">
      <c r="A364" s="1">
        <v>45841</v>
      </c>
      <c r="B364" s="7" t="s">
        <v>196</v>
      </c>
      <c r="C364" t="s">
        <v>197</v>
      </c>
      <c r="D364" t="s">
        <v>3</v>
      </c>
      <c r="E364" s="2">
        <v>1.8799999952316284</v>
      </c>
      <c r="F364" t="s">
        <v>710</v>
      </c>
    </row>
    <row r="365" spans="1:7">
      <c r="A365" s="1">
        <v>45841</v>
      </c>
      <c r="B365" s="7" t="s">
        <v>196</v>
      </c>
      <c r="C365" t="s">
        <v>198</v>
      </c>
      <c r="D365" t="s">
        <v>15</v>
      </c>
      <c r="E365" s="2">
        <v>100200</v>
      </c>
      <c r="F365" t="s">
        <v>710</v>
      </c>
    </row>
    <row r="366" spans="1:7">
      <c r="A366" s="1">
        <v>45841</v>
      </c>
      <c r="B366" s="7" t="s">
        <v>196</v>
      </c>
      <c r="C366" t="s">
        <v>198</v>
      </c>
      <c r="D366" t="s">
        <v>3</v>
      </c>
      <c r="E366" s="2">
        <v>50</v>
      </c>
      <c r="F366" t="s">
        <v>710</v>
      </c>
    </row>
    <row r="367" spans="1:7">
      <c r="A367" s="1">
        <v>45841</v>
      </c>
      <c r="B367" s="7" t="s">
        <v>196</v>
      </c>
      <c r="C367" t="s">
        <v>198</v>
      </c>
      <c r="D367" t="s">
        <v>3</v>
      </c>
      <c r="E367" s="2">
        <v>3.75</v>
      </c>
      <c r="F367" t="s">
        <v>710</v>
      </c>
    </row>
    <row r="368" spans="1:7">
      <c r="A368" s="1">
        <v>45841</v>
      </c>
      <c r="B368" s="7" t="s">
        <v>196</v>
      </c>
      <c r="C368" t="s">
        <v>199</v>
      </c>
      <c r="D368" t="s">
        <v>4</v>
      </c>
      <c r="E368" s="2">
        <v>23414</v>
      </c>
      <c r="F368" t="s">
        <v>710</v>
      </c>
    </row>
    <row r="369" spans="1:6">
      <c r="A369" s="1">
        <v>45841</v>
      </c>
      <c r="B369" s="7" t="s">
        <v>196</v>
      </c>
      <c r="C369" t="s">
        <v>199</v>
      </c>
      <c r="D369" t="s">
        <v>3</v>
      </c>
      <c r="E369" s="2">
        <v>25</v>
      </c>
      <c r="F369" t="s">
        <v>710</v>
      </c>
    </row>
    <row r="370" spans="1:6">
      <c r="A370" s="1">
        <v>45841</v>
      </c>
      <c r="B370" s="7" t="s">
        <v>196</v>
      </c>
      <c r="C370" t="s">
        <v>199</v>
      </c>
      <c r="D370" t="s">
        <v>3</v>
      </c>
      <c r="E370" s="2">
        <v>1.8799999952316284</v>
      </c>
      <c r="F370" t="s">
        <v>710</v>
      </c>
    </row>
    <row r="371" spans="1:6">
      <c r="A371" s="1">
        <v>45841</v>
      </c>
      <c r="B371" s="7" t="s">
        <v>196</v>
      </c>
      <c r="C371" t="s">
        <v>200</v>
      </c>
      <c r="D371" t="s">
        <v>26</v>
      </c>
      <c r="E371" s="2">
        <v>362000</v>
      </c>
      <c r="F371" t="s">
        <v>710</v>
      </c>
    </row>
    <row r="372" spans="1:6">
      <c r="A372" s="1">
        <v>45841</v>
      </c>
      <c r="B372" s="7" t="s">
        <v>196</v>
      </c>
      <c r="C372" t="s">
        <v>200</v>
      </c>
      <c r="D372" t="s">
        <v>3</v>
      </c>
      <c r="E372" s="2">
        <v>50</v>
      </c>
      <c r="F372" t="s">
        <v>710</v>
      </c>
    </row>
    <row r="373" spans="1:6">
      <c r="A373" s="1">
        <v>45841</v>
      </c>
      <c r="B373" s="7" t="s">
        <v>196</v>
      </c>
      <c r="C373" t="s">
        <v>200</v>
      </c>
      <c r="D373" t="s">
        <v>3</v>
      </c>
      <c r="E373" s="2">
        <v>3.75</v>
      </c>
      <c r="F373" t="s">
        <v>710</v>
      </c>
    </row>
    <row r="374" spans="1:6">
      <c r="A374" s="1">
        <v>45842</v>
      </c>
      <c r="B374" s="7" t="s">
        <v>201</v>
      </c>
      <c r="C374" t="s">
        <v>202</v>
      </c>
      <c r="D374" t="s">
        <v>15</v>
      </c>
      <c r="E374" s="2">
        <v>54350</v>
      </c>
      <c r="F374" t="s">
        <v>710</v>
      </c>
    </row>
    <row r="375" spans="1:6">
      <c r="A375" s="1">
        <v>45842</v>
      </c>
      <c r="B375" s="7" t="s">
        <v>201</v>
      </c>
      <c r="C375" t="s">
        <v>202</v>
      </c>
      <c r="D375" t="s">
        <v>3</v>
      </c>
      <c r="E375" s="2">
        <v>50</v>
      </c>
      <c r="F375" t="s">
        <v>710</v>
      </c>
    </row>
    <row r="376" spans="1:6">
      <c r="A376" s="1">
        <v>45842</v>
      </c>
      <c r="B376" s="7" t="s">
        <v>201</v>
      </c>
      <c r="C376" t="s">
        <v>202</v>
      </c>
      <c r="D376" t="s">
        <v>3</v>
      </c>
      <c r="E376" s="2">
        <v>3.75</v>
      </c>
      <c r="F376" t="s">
        <v>710</v>
      </c>
    </row>
    <row r="377" spans="1:6">
      <c r="A377" s="1">
        <v>45842</v>
      </c>
      <c r="B377" s="7" t="s">
        <v>201</v>
      </c>
      <c r="C377" t="s">
        <v>203</v>
      </c>
      <c r="D377" t="s">
        <v>15</v>
      </c>
      <c r="E377" s="2">
        <v>32500</v>
      </c>
      <c r="F377" t="s">
        <v>710</v>
      </c>
    </row>
    <row r="378" spans="1:6">
      <c r="A378" s="1">
        <v>45842</v>
      </c>
      <c r="B378" s="7" t="s">
        <v>201</v>
      </c>
      <c r="C378" t="s">
        <v>203</v>
      </c>
      <c r="D378" t="s">
        <v>3</v>
      </c>
      <c r="E378" s="2">
        <v>25</v>
      </c>
      <c r="F378" t="s">
        <v>710</v>
      </c>
    </row>
    <row r="379" spans="1:6">
      <c r="A379" s="1">
        <v>45842</v>
      </c>
      <c r="B379" s="7" t="s">
        <v>201</v>
      </c>
      <c r="C379" t="s">
        <v>203</v>
      </c>
      <c r="D379" t="s">
        <v>3</v>
      </c>
      <c r="E379" s="2">
        <v>1.8800000101327896</v>
      </c>
      <c r="F379" t="s">
        <v>710</v>
      </c>
    </row>
    <row r="380" spans="1:6">
      <c r="A380" s="1">
        <v>45842</v>
      </c>
      <c r="B380" s="7" t="s">
        <v>201</v>
      </c>
      <c r="C380" t="s">
        <v>204</v>
      </c>
      <c r="D380" t="s">
        <v>21</v>
      </c>
      <c r="E380" s="2">
        <v>1000000</v>
      </c>
      <c r="F380" t="s">
        <v>710</v>
      </c>
    </row>
    <row r="381" spans="1:6">
      <c r="A381" s="1">
        <v>45842</v>
      </c>
      <c r="B381" s="7" t="s">
        <v>201</v>
      </c>
      <c r="C381" t="s">
        <v>204</v>
      </c>
      <c r="D381" t="s">
        <v>3</v>
      </c>
      <c r="E381" s="2">
        <v>50</v>
      </c>
      <c r="F381" t="s">
        <v>710</v>
      </c>
    </row>
    <row r="382" spans="1:6">
      <c r="A382" s="1">
        <v>45842</v>
      </c>
      <c r="B382" s="7" t="s">
        <v>201</v>
      </c>
      <c r="C382" t="s">
        <v>204</v>
      </c>
      <c r="D382" t="s">
        <v>3</v>
      </c>
      <c r="E382" s="2">
        <v>3.75</v>
      </c>
      <c r="F382" t="s">
        <v>710</v>
      </c>
    </row>
    <row r="383" spans="1:6">
      <c r="A383" s="1">
        <v>45842</v>
      </c>
      <c r="B383" s="7" t="s">
        <v>201</v>
      </c>
      <c r="C383" t="s">
        <v>205</v>
      </c>
      <c r="D383" t="s">
        <v>15</v>
      </c>
      <c r="E383" s="2">
        <v>28000</v>
      </c>
      <c r="F383" t="s">
        <v>710</v>
      </c>
    </row>
    <row r="384" spans="1:6">
      <c r="A384" s="1">
        <v>45842</v>
      </c>
      <c r="B384" s="7" t="s">
        <v>201</v>
      </c>
      <c r="C384" t="s">
        <v>205</v>
      </c>
      <c r="D384" t="s">
        <v>3</v>
      </c>
      <c r="E384" s="2">
        <v>25</v>
      </c>
      <c r="F384" t="s">
        <v>710</v>
      </c>
    </row>
    <row r="385" spans="1:6">
      <c r="A385" s="1">
        <v>45842</v>
      </c>
      <c r="B385" s="7" t="s">
        <v>201</v>
      </c>
      <c r="C385" t="s">
        <v>205</v>
      </c>
      <c r="D385" t="s">
        <v>3</v>
      </c>
      <c r="E385" s="2">
        <v>1.8799999952316284</v>
      </c>
      <c r="F385" t="s">
        <v>710</v>
      </c>
    </row>
    <row r="386" spans="1:6">
      <c r="A386" s="1">
        <v>45842</v>
      </c>
      <c r="B386" s="7" t="s">
        <v>201</v>
      </c>
      <c r="C386" t="s">
        <v>206</v>
      </c>
      <c r="D386" t="s">
        <v>27</v>
      </c>
      <c r="E386" s="2">
        <v>2174811</v>
      </c>
      <c r="F386" t="s">
        <v>710</v>
      </c>
    </row>
    <row r="387" spans="1:6">
      <c r="A387" s="1">
        <v>45842</v>
      </c>
      <c r="B387" s="7" t="s">
        <v>201</v>
      </c>
      <c r="C387" t="s">
        <v>206</v>
      </c>
      <c r="D387" t="s">
        <v>3</v>
      </c>
      <c r="E387" s="2">
        <v>50</v>
      </c>
      <c r="F387" t="s">
        <v>710</v>
      </c>
    </row>
    <row r="388" spans="1:6">
      <c r="A388" s="1">
        <v>45842</v>
      </c>
      <c r="B388" s="7" t="s">
        <v>201</v>
      </c>
      <c r="C388" t="s">
        <v>206</v>
      </c>
      <c r="D388" t="s">
        <v>3</v>
      </c>
      <c r="E388" s="2">
        <v>3.75</v>
      </c>
      <c r="F388" t="s">
        <v>710</v>
      </c>
    </row>
    <row r="389" spans="1:6">
      <c r="A389" s="1">
        <v>45845</v>
      </c>
      <c r="B389" s="7" t="s">
        <v>207</v>
      </c>
      <c r="C389" t="s">
        <v>208</v>
      </c>
      <c r="D389" t="s">
        <v>15</v>
      </c>
      <c r="E389" s="2">
        <v>36000</v>
      </c>
      <c r="F389" t="s">
        <v>710</v>
      </c>
    </row>
    <row r="390" spans="1:6">
      <c r="A390" s="1">
        <v>45845</v>
      </c>
      <c r="B390" s="7" t="s">
        <v>207</v>
      </c>
      <c r="C390" t="s">
        <v>208</v>
      </c>
      <c r="D390" t="s">
        <v>3</v>
      </c>
      <c r="E390" s="2">
        <v>25</v>
      </c>
      <c r="F390" t="s">
        <v>710</v>
      </c>
    </row>
    <row r="391" spans="1:6">
      <c r="A391" s="1">
        <v>45845</v>
      </c>
      <c r="B391" s="7" t="s">
        <v>207</v>
      </c>
      <c r="C391" t="s">
        <v>208</v>
      </c>
      <c r="D391" t="s">
        <v>3</v>
      </c>
      <c r="E391" s="2">
        <v>1.8799999952316284</v>
      </c>
      <c r="F391" t="s">
        <v>710</v>
      </c>
    </row>
    <row r="392" spans="1:6">
      <c r="A392" s="1">
        <v>45845</v>
      </c>
      <c r="B392" s="7" t="s">
        <v>207</v>
      </c>
      <c r="C392" t="s">
        <v>209</v>
      </c>
      <c r="D392" t="s">
        <v>15</v>
      </c>
      <c r="E392" s="2">
        <v>103000</v>
      </c>
      <c r="F392" t="s">
        <v>710</v>
      </c>
    </row>
    <row r="393" spans="1:6">
      <c r="A393" s="1">
        <v>45845</v>
      </c>
      <c r="B393" s="7" t="s">
        <v>207</v>
      </c>
      <c r="C393" t="s">
        <v>209</v>
      </c>
      <c r="D393" t="s">
        <v>3</v>
      </c>
      <c r="E393" s="2">
        <v>50</v>
      </c>
      <c r="F393" t="s">
        <v>710</v>
      </c>
    </row>
    <row r="394" spans="1:6">
      <c r="A394" s="1">
        <v>45845</v>
      </c>
      <c r="B394" s="7" t="s">
        <v>207</v>
      </c>
      <c r="C394" t="s">
        <v>209</v>
      </c>
      <c r="D394" t="s">
        <v>3</v>
      </c>
      <c r="E394" s="2">
        <v>3.75</v>
      </c>
      <c r="F394" t="s">
        <v>710</v>
      </c>
    </row>
    <row r="395" spans="1:6">
      <c r="A395" s="1">
        <v>45845</v>
      </c>
      <c r="B395" s="7" t="s">
        <v>207</v>
      </c>
      <c r="C395" t="s">
        <v>210</v>
      </c>
      <c r="D395" t="s">
        <v>15</v>
      </c>
      <c r="E395" s="2">
        <v>16000</v>
      </c>
      <c r="F395" t="s">
        <v>710</v>
      </c>
    </row>
    <row r="396" spans="1:6">
      <c r="A396" s="1">
        <v>45845</v>
      </c>
      <c r="B396" s="7" t="s">
        <v>207</v>
      </c>
      <c r="C396" t="s">
        <v>210</v>
      </c>
      <c r="D396" t="s">
        <v>3</v>
      </c>
      <c r="E396" s="2">
        <v>25</v>
      </c>
      <c r="F396" t="s">
        <v>710</v>
      </c>
    </row>
    <row r="397" spans="1:6">
      <c r="A397" s="1">
        <v>45845</v>
      </c>
      <c r="B397" s="7" t="s">
        <v>207</v>
      </c>
      <c r="C397" t="s">
        <v>210</v>
      </c>
      <c r="D397" t="s">
        <v>3</v>
      </c>
      <c r="E397" s="2">
        <v>1.8799999952316284</v>
      </c>
      <c r="F397" t="s">
        <v>710</v>
      </c>
    </row>
    <row r="398" spans="1:6">
      <c r="A398" s="1">
        <v>45845</v>
      </c>
      <c r="B398" s="7" t="s">
        <v>207</v>
      </c>
      <c r="C398" t="s">
        <v>211</v>
      </c>
      <c r="D398" t="s">
        <v>4</v>
      </c>
      <c r="E398" s="2">
        <v>50000</v>
      </c>
      <c r="F398" t="s">
        <v>710</v>
      </c>
    </row>
    <row r="399" spans="1:6">
      <c r="A399" s="1">
        <v>45845</v>
      </c>
      <c r="B399" s="7" t="s">
        <v>207</v>
      </c>
      <c r="C399" t="s">
        <v>211</v>
      </c>
      <c r="D399" t="s">
        <v>3</v>
      </c>
      <c r="E399" s="2">
        <v>25</v>
      </c>
      <c r="F399" t="s">
        <v>710</v>
      </c>
    </row>
    <row r="400" spans="1:6">
      <c r="A400" s="1">
        <v>45845</v>
      </c>
      <c r="B400" s="7" t="s">
        <v>207</v>
      </c>
      <c r="C400" t="s">
        <v>211</v>
      </c>
      <c r="D400" t="s">
        <v>3</v>
      </c>
      <c r="E400" s="2">
        <v>1.8800000101327896</v>
      </c>
      <c r="F400" t="s">
        <v>710</v>
      </c>
    </row>
    <row r="401" spans="1:6">
      <c r="A401" s="1">
        <v>45847</v>
      </c>
      <c r="B401" s="7" t="s">
        <v>212</v>
      </c>
      <c r="C401" t="s">
        <v>213</v>
      </c>
      <c r="D401" t="s">
        <v>26</v>
      </c>
      <c r="E401" s="2">
        <v>20700</v>
      </c>
      <c r="F401" t="s">
        <v>710</v>
      </c>
    </row>
    <row r="402" spans="1:6">
      <c r="A402" s="1">
        <v>45847</v>
      </c>
      <c r="B402" s="7" t="s">
        <v>212</v>
      </c>
      <c r="C402" t="s">
        <v>213</v>
      </c>
      <c r="D402" t="s">
        <v>3</v>
      </c>
      <c r="E402" s="2">
        <v>25</v>
      </c>
      <c r="F402" t="s">
        <v>710</v>
      </c>
    </row>
    <row r="403" spans="1:6">
      <c r="A403" s="1">
        <v>45847</v>
      </c>
      <c r="B403" s="7" t="s">
        <v>212</v>
      </c>
      <c r="C403" t="s">
        <v>213</v>
      </c>
      <c r="D403" t="s">
        <v>3</v>
      </c>
      <c r="E403" s="2">
        <v>1.8799999952316284</v>
      </c>
      <c r="F403" t="s">
        <v>710</v>
      </c>
    </row>
    <row r="404" spans="1:6">
      <c r="A404" s="1">
        <v>45848</v>
      </c>
      <c r="B404" s="7" t="s">
        <v>214</v>
      </c>
      <c r="C404" t="s">
        <v>215</v>
      </c>
      <c r="D404" t="s">
        <v>4</v>
      </c>
      <c r="E404" s="2">
        <v>53750</v>
      </c>
      <c r="F404" t="s">
        <v>710</v>
      </c>
    </row>
    <row r="405" spans="1:6">
      <c r="A405" s="1">
        <v>45848</v>
      </c>
      <c r="B405" s="7" t="s">
        <v>214</v>
      </c>
      <c r="C405" t="s">
        <v>216</v>
      </c>
      <c r="D405" t="s">
        <v>3</v>
      </c>
      <c r="E405" s="2">
        <v>50</v>
      </c>
      <c r="F405" t="s">
        <v>710</v>
      </c>
    </row>
    <row r="406" spans="1:6">
      <c r="A406" s="1">
        <v>45848</v>
      </c>
      <c r="B406" s="7" t="s">
        <v>214</v>
      </c>
      <c r="C406" t="s">
        <v>217</v>
      </c>
      <c r="D406" t="s">
        <v>3</v>
      </c>
      <c r="E406" s="2">
        <v>3.75</v>
      </c>
      <c r="F406" t="s">
        <v>710</v>
      </c>
    </row>
    <row r="407" spans="1:6">
      <c r="A407" s="1">
        <v>45848</v>
      </c>
      <c r="B407" s="7" t="s">
        <v>214</v>
      </c>
      <c r="C407" t="s">
        <v>218</v>
      </c>
      <c r="D407" t="s">
        <v>5</v>
      </c>
      <c r="E407" s="2">
        <v>2687.5</v>
      </c>
      <c r="F407" t="s">
        <v>710</v>
      </c>
    </row>
    <row r="408" spans="1:6">
      <c r="A408" s="1">
        <v>45848</v>
      </c>
      <c r="B408" s="7" t="s">
        <v>214</v>
      </c>
      <c r="C408" t="s">
        <v>219</v>
      </c>
      <c r="D408" t="s">
        <v>5</v>
      </c>
      <c r="E408" s="2">
        <v>2687.5</v>
      </c>
      <c r="F408" t="s">
        <v>710</v>
      </c>
    </row>
    <row r="409" spans="1:6">
      <c r="A409" s="1">
        <v>45848</v>
      </c>
      <c r="B409" s="7" t="s">
        <v>214</v>
      </c>
      <c r="C409" t="s">
        <v>220</v>
      </c>
      <c r="D409" t="s">
        <v>5</v>
      </c>
      <c r="E409" s="2">
        <v>2687.5</v>
      </c>
      <c r="F409" t="s">
        <v>710</v>
      </c>
    </row>
    <row r="410" spans="1:6">
      <c r="A410" s="1">
        <v>45848</v>
      </c>
      <c r="B410" s="7" t="s">
        <v>214</v>
      </c>
      <c r="C410" t="s">
        <v>221</v>
      </c>
      <c r="D410" t="s">
        <v>19</v>
      </c>
      <c r="E410" s="2">
        <v>65000</v>
      </c>
      <c r="F410" t="s">
        <v>710</v>
      </c>
    </row>
    <row r="411" spans="1:6">
      <c r="A411" s="1">
        <v>45848</v>
      </c>
      <c r="B411" s="7" t="s">
        <v>214</v>
      </c>
      <c r="C411" t="s">
        <v>222</v>
      </c>
      <c r="D411" t="s">
        <v>3</v>
      </c>
      <c r="E411" s="2">
        <v>50</v>
      </c>
      <c r="F411" t="s">
        <v>710</v>
      </c>
    </row>
    <row r="412" spans="1:6">
      <c r="A412" s="1">
        <v>45848</v>
      </c>
      <c r="B412" s="7" t="s">
        <v>214</v>
      </c>
      <c r="C412" t="s">
        <v>223</v>
      </c>
      <c r="D412" t="s">
        <v>3</v>
      </c>
      <c r="E412" s="2">
        <v>3.75</v>
      </c>
      <c r="F412" t="s">
        <v>710</v>
      </c>
    </row>
    <row r="413" spans="1:6">
      <c r="A413" s="1">
        <v>45849</v>
      </c>
      <c r="B413" s="7" t="s">
        <v>224</v>
      </c>
      <c r="C413" t="s">
        <v>225</v>
      </c>
      <c r="D413" t="s">
        <v>19</v>
      </c>
      <c r="E413" s="2">
        <v>1250000</v>
      </c>
      <c r="F413" t="s">
        <v>710</v>
      </c>
    </row>
    <row r="414" spans="1:6">
      <c r="A414" s="1">
        <v>45849</v>
      </c>
      <c r="B414" s="7" t="s">
        <v>224</v>
      </c>
      <c r="C414" t="s">
        <v>226</v>
      </c>
      <c r="D414" t="s">
        <v>3</v>
      </c>
      <c r="E414" s="2">
        <v>50</v>
      </c>
      <c r="F414" t="s">
        <v>710</v>
      </c>
    </row>
    <row r="415" spans="1:6">
      <c r="A415" s="1">
        <v>45849</v>
      </c>
      <c r="B415" s="7" t="s">
        <v>224</v>
      </c>
      <c r="C415" t="s">
        <v>227</v>
      </c>
      <c r="D415" t="s">
        <v>3</v>
      </c>
      <c r="E415" s="2">
        <v>3.75</v>
      </c>
      <c r="F415" t="s">
        <v>710</v>
      </c>
    </row>
    <row r="416" spans="1:6">
      <c r="A416" s="1">
        <v>45855</v>
      </c>
      <c r="B416" s="7" t="s">
        <v>228</v>
      </c>
      <c r="C416" t="s">
        <v>229</v>
      </c>
      <c r="D416" t="s">
        <v>19</v>
      </c>
      <c r="E416" s="2">
        <v>240000</v>
      </c>
      <c r="F416" t="s">
        <v>710</v>
      </c>
    </row>
    <row r="417" spans="1:6">
      <c r="A417" s="1">
        <v>45855</v>
      </c>
      <c r="B417" s="7" t="s">
        <v>228</v>
      </c>
      <c r="C417" t="s">
        <v>230</v>
      </c>
      <c r="D417" t="s">
        <v>3</v>
      </c>
      <c r="E417" s="2">
        <v>50</v>
      </c>
      <c r="F417" t="s">
        <v>710</v>
      </c>
    </row>
    <row r="418" spans="1:6">
      <c r="A418" s="1">
        <v>45855</v>
      </c>
      <c r="B418" s="7" t="s">
        <v>228</v>
      </c>
      <c r="C418" t="s">
        <v>231</v>
      </c>
      <c r="D418" t="s">
        <v>3</v>
      </c>
      <c r="E418" s="2">
        <v>3.75</v>
      </c>
      <c r="F418" t="s">
        <v>710</v>
      </c>
    </row>
    <row r="419" spans="1:6">
      <c r="A419" s="1">
        <v>45855</v>
      </c>
      <c r="B419" s="7" t="s">
        <v>228</v>
      </c>
      <c r="C419" t="s">
        <v>232</v>
      </c>
      <c r="D419" t="s">
        <v>28</v>
      </c>
      <c r="E419" s="2">
        <v>420180</v>
      </c>
      <c r="F419" t="s">
        <v>710</v>
      </c>
    </row>
    <row r="420" spans="1:6">
      <c r="A420" s="1">
        <v>45855</v>
      </c>
      <c r="B420" s="7" t="s">
        <v>228</v>
      </c>
      <c r="C420" t="s">
        <v>233</v>
      </c>
      <c r="D420" t="s">
        <v>3</v>
      </c>
      <c r="E420" s="2">
        <v>50</v>
      </c>
      <c r="F420" t="s">
        <v>710</v>
      </c>
    </row>
    <row r="421" spans="1:6">
      <c r="A421" s="1">
        <v>45855</v>
      </c>
      <c r="B421" s="7" t="s">
        <v>228</v>
      </c>
      <c r="C421" t="s">
        <v>234</v>
      </c>
      <c r="D421" t="s">
        <v>3</v>
      </c>
      <c r="E421" s="2">
        <v>3.75</v>
      </c>
      <c r="F421" t="s">
        <v>710</v>
      </c>
    </row>
    <row r="422" spans="1:6">
      <c r="A422" s="1">
        <v>45855</v>
      </c>
      <c r="B422" s="7" t="s">
        <v>228</v>
      </c>
      <c r="C422" t="s">
        <v>235</v>
      </c>
      <c r="D422" t="s">
        <v>13</v>
      </c>
      <c r="E422" s="2">
        <v>785000</v>
      </c>
      <c r="F422" t="s">
        <v>710</v>
      </c>
    </row>
    <row r="423" spans="1:6">
      <c r="A423" s="1">
        <v>45855</v>
      </c>
      <c r="B423" s="7" t="s">
        <v>228</v>
      </c>
      <c r="C423" t="s">
        <v>236</v>
      </c>
      <c r="D423" t="s">
        <v>3</v>
      </c>
      <c r="E423" s="2">
        <v>50</v>
      </c>
      <c r="F423" t="s">
        <v>710</v>
      </c>
    </row>
    <row r="424" spans="1:6">
      <c r="A424" s="1">
        <v>45855</v>
      </c>
      <c r="B424" s="7" t="s">
        <v>228</v>
      </c>
      <c r="C424" t="s">
        <v>237</v>
      </c>
      <c r="D424" t="s">
        <v>3</v>
      </c>
      <c r="E424" s="2">
        <v>3.75</v>
      </c>
      <c r="F424" t="s">
        <v>710</v>
      </c>
    </row>
    <row r="425" spans="1:6">
      <c r="A425" s="1">
        <v>45856</v>
      </c>
      <c r="B425" s="7" t="s">
        <v>238</v>
      </c>
      <c r="C425" t="s">
        <v>239</v>
      </c>
      <c r="D425" t="s">
        <v>4</v>
      </c>
      <c r="E425" s="2">
        <v>260000</v>
      </c>
      <c r="F425" t="s">
        <v>710</v>
      </c>
    </row>
    <row r="426" spans="1:6">
      <c r="A426" s="1">
        <v>45856</v>
      </c>
      <c r="B426" s="7" t="s">
        <v>238</v>
      </c>
      <c r="C426" t="s">
        <v>240</v>
      </c>
      <c r="D426" t="s">
        <v>3</v>
      </c>
      <c r="E426" s="2">
        <v>50</v>
      </c>
      <c r="F426" t="s">
        <v>710</v>
      </c>
    </row>
    <row r="427" spans="1:6">
      <c r="A427" s="1">
        <v>45856</v>
      </c>
      <c r="B427" s="7" t="s">
        <v>238</v>
      </c>
      <c r="C427" t="s">
        <v>241</v>
      </c>
      <c r="D427" t="s">
        <v>3</v>
      </c>
      <c r="E427" s="2">
        <v>3.75</v>
      </c>
      <c r="F427" t="s">
        <v>710</v>
      </c>
    </row>
    <row r="428" spans="1:6">
      <c r="A428" s="1">
        <v>45856</v>
      </c>
      <c r="B428" s="7" t="s">
        <v>238</v>
      </c>
      <c r="C428" t="s">
        <v>242</v>
      </c>
      <c r="D428" t="s">
        <v>27</v>
      </c>
      <c r="E428" s="2">
        <v>31500</v>
      </c>
      <c r="F428" t="s">
        <v>710</v>
      </c>
    </row>
    <row r="429" spans="1:6">
      <c r="A429" s="1">
        <v>45856</v>
      </c>
      <c r="B429" s="7" t="s">
        <v>238</v>
      </c>
      <c r="C429" t="s">
        <v>242</v>
      </c>
      <c r="D429" t="s">
        <v>3</v>
      </c>
      <c r="E429" s="2">
        <v>25</v>
      </c>
      <c r="F429" t="s">
        <v>710</v>
      </c>
    </row>
    <row r="430" spans="1:6">
      <c r="A430" s="1">
        <v>45856</v>
      </c>
      <c r="B430" s="7" t="s">
        <v>238</v>
      </c>
      <c r="C430" t="s">
        <v>242</v>
      </c>
      <c r="D430" t="s">
        <v>3</v>
      </c>
      <c r="E430" s="2">
        <v>1.8799999952316284</v>
      </c>
      <c r="F430" t="s">
        <v>710</v>
      </c>
    </row>
    <row r="431" spans="1:6">
      <c r="A431" s="1">
        <v>45856</v>
      </c>
      <c r="B431" s="7" t="s">
        <v>238</v>
      </c>
      <c r="C431" t="s">
        <v>243</v>
      </c>
      <c r="D431" t="s">
        <v>27</v>
      </c>
      <c r="E431" s="2">
        <v>14540</v>
      </c>
      <c r="F431" t="s">
        <v>710</v>
      </c>
    </row>
    <row r="432" spans="1:6">
      <c r="A432" s="1">
        <v>45856</v>
      </c>
      <c r="B432" s="7" t="s">
        <v>238</v>
      </c>
      <c r="C432" t="s">
        <v>243</v>
      </c>
      <c r="D432" t="s">
        <v>3</v>
      </c>
      <c r="E432" s="2">
        <v>25</v>
      </c>
      <c r="F432" t="s">
        <v>710</v>
      </c>
    </row>
    <row r="433" spans="1:6">
      <c r="A433" s="1">
        <v>45856</v>
      </c>
      <c r="B433" s="7" t="s">
        <v>238</v>
      </c>
      <c r="C433" t="s">
        <v>243</v>
      </c>
      <c r="D433" t="s">
        <v>3</v>
      </c>
      <c r="E433" s="2">
        <v>1.8800000101327896</v>
      </c>
      <c r="F433" t="s">
        <v>710</v>
      </c>
    </row>
    <row r="434" spans="1:6">
      <c r="A434" s="1">
        <v>45856</v>
      </c>
      <c r="B434" s="7" t="s">
        <v>238</v>
      </c>
      <c r="C434" t="s">
        <v>244</v>
      </c>
      <c r="D434" t="s">
        <v>26</v>
      </c>
      <c r="E434" s="2">
        <v>263078</v>
      </c>
      <c r="F434" t="s">
        <v>710</v>
      </c>
    </row>
    <row r="435" spans="1:6">
      <c r="A435" s="1">
        <v>45856</v>
      </c>
      <c r="B435" s="7" t="s">
        <v>238</v>
      </c>
      <c r="C435" t="s">
        <v>244</v>
      </c>
      <c r="D435" t="s">
        <v>3</v>
      </c>
      <c r="E435" s="2">
        <v>50</v>
      </c>
      <c r="F435" t="s">
        <v>710</v>
      </c>
    </row>
    <row r="436" spans="1:6">
      <c r="A436" s="1">
        <v>45856</v>
      </c>
      <c r="B436" s="7" t="s">
        <v>238</v>
      </c>
      <c r="C436" t="s">
        <v>244</v>
      </c>
      <c r="D436" t="s">
        <v>3</v>
      </c>
      <c r="E436" s="2">
        <v>3.75</v>
      </c>
      <c r="F436" t="s">
        <v>710</v>
      </c>
    </row>
    <row r="437" spans="1:6">
      <c r="A437" s="1">
        <v>45856</v>
      </c>
      <c r="B437" s="7" t="s">
        <v>238</v>
      </c>
      <c r="C437" t="s">
        <v>245</v>
      </c>
      <c r="D437" t="s">
        <v>11</v>
      </c>
      <c r="E437" s="2">
        <v>57000</v>
      </c>
      <c r="F437" t="s">
        <v>710</v>
      </c>
    </row>
    <row r="438" spans="1:6">
      <c r="A438" s="1">
        <v>45856</v>
      </c>
      <c r="B438" s="7" t="s">
        <v>238</v>
      </c>
      <c r="C438" t="s">
        <v>245</v>
      </c>
      <c r="D438" t="s">
        <v>3</v>
      </c>
      <c r="E438" s="2">
        <v>50</v>
      </c>
      <c r="F438" t="s">
        <v>710</v>
      </c>
    </row>
    <row r="439" spans="1:6">
      <c r="A439" s="1">
        <v>45856</v>
      </c>
      <c r="B439" s="7" t="s">
        <v>238</v>
      </c>
      <c r="C439" t="s">
        <v>245</v>
      </c>
      <c r="D439" t="s">
        <v>3</v>
      </c>
      <c r="E439" s="2">
        <v>3.75</v>
      </c>
      <c r="F439" t="s">
        <v>710</v>
      </c>
    </row>
    <row r="440" spans="1:6">
      <c r="A440" s="1">
        <v>45859</v>
      </c>
      <c r="B440" s="7" t="s">
        <v>246</v>
      </c>
      <c r="C440" t="s">
        <v>247</v>
      </c>
      <c r="D440" t="s">
        <v>15</v>
      </c>
      <c r="E440" s="2">
        <v>250400</v>
      </c>
      <c r="F440" t="s">
        <v>710</v>
      </c>
    </row>
    <row r="441" spans="1:6">
      <c r="A441" s="1">
        <v>45859</v>
      </c>
      <c r="B441" s="7" t="s">
        <v>246</v>
      </c>
      <c r="C441" t="s">
        <v>247</v>
      </c>
      <c r="D441" t="s">
        <v>3</v>
      </c>
      <c r="E441" s="2">
        <v>50</v>
      </c>
      <c r="F441" t="s">
        <v>710</v>
      </c>
    </row>
    <row r="442" spans="1:6">
      <c r="A442" s="1">
        <v>45859</v>
      </c>
      <c r="B442" s="7" t="s">
        <v>246</v>
      </c>
      <c r="C442" t="s">
        <v>247</v>
      </c>
      <c r="D442" t="s">
        <v>3</v>
      </c>
      <c r="E442" s="2">
        <v>3.75</v>
      </c>
      <c r="F442" t="s">
        <v>710</v>
      </c>
    </row>
    <row r="443" spans="1:6">
      <c r="A443" s="1">
        <v>45859</v>
      </c>
      <c r="B443" s="7" t="s">
        <v>246</v>
      </c>
      <c r="C443" t="s">
        <v>248</v>
      </c>
      <c r="D443" t="s">
        <v>11</v>
      </c>
      <c r="E443" s="2">
        <v>30000</v>
      </c>
      <c r="F443" t="s">
        <v>710</v>
      </c>
    </row>
    <row r="444" spans="1:6">
      <c r="A444" s="1">
        <v>45859</v>
      </c>
      <c r="B444" s="7" t="s">
        <v>246</v>
      </c>
      <c r="C444" t="s">
        <v>248</v>
      </c>
      <c r="D444" t="s">
        <v>3</v>
      </c>
      <c r="E444" s="2">
        <v>25</v>
      </c>
      <c r="F444" t="s">
        <v>710</v>
      </c>
    </row>
    <row r="445" spans="1:6">
      <c r="A445" s="1">
        <v>45859</v>
      </c>
      <c r="B445" s="7" t="s">
        <v>246</v>
      </c>
      <c r="C445" t="s">
        <v>248</v>
      </c>
      <c r="D445" t="s">
        <v>3</v>
      </c>
      <c r="E445" s="2">
        <v>1.8799999952316284</v>
      </c>
      <c r="F445" t="s">
        <v>710</v>
      </c>
    </row>
    <row r="446" spans="1:6">
      <c r="A446" s="1">
        <v>45860</v>
      </c>
      <c r="B446" s="7" t="s">
        <v>249</v>
      </c>
      <c r="C446" t="s">
        <v>250</v>
      </c>
      <c r="D446" t="s">
        <v>13</v>
      </c>
      <c r="E446" s="2">
        <v>370000</v>
      </c>
      <c r="F446" t="s">
        <v>710</v>
      </c>
    </row>
    <row r="447" spans="1:6">
      <c r="A447" s="1">
        <v>45860</v>
      </c>
      <c r="B447" s="7" t="s">
        <v>249</v>
      </c>
      <c r="C447" t="s">
        <v>250</v>
      </c>
      <c r="D447" t="s">
        <v>3</v>
      </c>
      <c r="E447" s="2">
        <v>50</v>
      </c>
      <c r="F447" t="s">
        <v>710</v>
      </c>
    </row>
    <row r="448" spans="1:6">
      <c r="A448" s="1">
        <v>45860</v>
      </c>
      <c r="B448" s="7" t="s">
        <v>249</v>
      </c>
      <c r="C448" t="s">
        <v>250</v>
      </c>
      <c r="D448" t="s">
        <v>3</v>
      </c>
      <c r="E448" s="2">
        <v>3.75</v>
      </c>
      <c r="F448" t="s">
        <v>710</v>
      </c>
    </row>
    <row r="449" spans="1:6">
      <c r="A449" s="1">
        <v>45860</v>
      </c>
      <c r="B449" s="7" t="s">
        <v>249</v>
      </c>
      <c r="C449" t="s">
        <v>251</v>
      </c>
      <c r="D449" t="s">
        <v>29</v>
      </c>
      <c r="E449" s="2">
        <v>120000</v>
      </c>
      <c r="F449" t="s">
        <v>710</v>
      </c>
    </row>
    <row r="450" spans="1:6">
      <c r="A450" s="1">
        <v>45860</v>
      </c>
      <c r="B450" s="7" t="s">
        <v>249</v>
      </c>
      <c r="C450" t="s">
        <v>251</v>
      </c>
      <c r="D450" t="s">
        <v>3</v>
      </c>
      <c r="E450" s="2">
        <v>50</v>
      </c>
      <c r="F450" t="s">
        <v>710</v>
      </c>
    </row>
    <row r="451" spans="1:6">
      <c r="A451" s="1">
        <v>45860</v>
      </c>
      <c r="B451" s="7" t="s">
        <v>249</v>
      </c>
      <c r="C451" t="s">
        <v>251</v>
      </c>
      <c r="D451" t="s">
        <v>3</v>
      </c>
      <c r="E451" s="2">
        <v>3.75</v>
      </c>
      <c r="F451" t="s">
        <v>710</v>
      </c>
    </row>
    <row r="452" spans="1:6">
      <c r="A452" s="1">
        <v>45861</v>
      </c>
      <c r="B452" s="7" t="s">
        <v>252</v>
      </c>
      <c r="C452" t="s">
        <v>253</v>
      </c>
      <c r="D452" t="s">
        <v>4</v>
      </c>
      <c r="E452" s="2">
        <v>48000</v>
      </c>
      <c r="F452" t="s">
        <v>710</v>
      </c>
    </row>
    <row r="453" spans="1:6">
      <c r="A453" s="1">
        <v>45861</v>
      </c>
      <c r="B453" s="7" t="s">
        <v>252</v>
      </c>
      <c r="C453" t="s">
        <v>253</v>
      </c>
      <c r="D453" t="s">
        <v>3</v>
      </c>
      <c r="E453" s="2">
        <v>25</v>
      </c>
      <c r="F453" t="s">
        <v>710</v>
      </c>
    </row>
    <row r="454" spans="1:6">
      <c r="A454" s="1">
        <v>45861</v>
      </c>
      <c r="B454" s="7" t="s">
        <v>252</v>
      </c>
      <c r="C454" t="s">
        <v>253</v>
      </c>
      <c r="D454" t="s">
        <v>3</v>
      </c>
      <c r="E454" s="2">
        <v>1.8799999952316284</v>
      </c>
      <c r="F454" t="s">
        <v>710</v>
      </c>
    </row>
    <row r="455" spans="1:6">
      <c r="A455" s="1">
        <v>45861</v>
      </c>
      <c r="B455" s="7" t="s">
        <v>252</v>
      </c>
      <c r="C455" t="s">
        <v>254</v>
      </c>
      <c r="D455" t="s">
        <v>4</v>
      </c>
      <c r="E455" s="2">
        <v>90000</v>
      </c>
      <c r="F455" t="s">
        <v>710</v>
      </c>
    </row>
    <row r="456" spans="1:6">
      <c r="A456" s="1">
        <v>45861</v>
      </c>
      <c r="B456" s="7" t="s">
        <v>252</v>
      </c>
      <c r="C456" t="s">
        <v>254</v>
      </c>
      <c r="D456" t="s">
        <v>3</v>
      </c>
      <c r="E456" s="2">
        <v>50</v>
      </c>
      <c r="F456" t="s">
        <v>710</v>
      </c>
    </row>
    <row r="457" spans="1:6">
      <c r="A457" s="1">
        <v>45861</v>
      </c>
      <c r="B457" s="7" t="s">
        <v>252</v>
      </c>
      <c r="C457" t="s">
        <v>254</v>
      </c>
      <c r="D457" t="s">
        <v>3</v>
      </c>
      <c r="E457" s="2">
        <v>3.75</v>
      </c>
      <c r="F457" t="s">
        <v>710</v>
      </c>
    </row>
    <row r="458" spans="1:6">
      <c r="A458" s="1">
        <v>45861</v>
      </c>
      <c r="B458" s="7" t="s">
        <v>252</v>
      </c>
      <c r="C458" t="s">
        <v>255</v>
      </c>
      <c r="D458" t="s">
        <v>4</v>
      </c>
      <c r="E458" s="2">
        <v>40000</v>
      </c>
      <c r="F458" t="s">
        <v>710</v>
      </c>
    </row>
    <row r="459" spans="1:6">
      <c r="A459" s="1">
        <v>45861</v>
      </c>
      <c r="B459" s="7" t="s">
        <v>252</v>
      </c>
      <c r="C459" t="s">
        <v>255</v>
      </c>
      <c r="D459" t="s">
        <v>3</v>
      </c>
      <c r="E459" s="2">
        <v>25</v>
      </c>
      <c r="F459" t="s">
        <v>710</v>
      </c>
    </row>
    <row r="460" spans="1:6">
      <c r="A460" s="1">
        <v>45861</v>
      </c>
      <c r="B460" s="7" t="s">
        <v>252</v>
      </c>
      <c r="C460" t="s">
        <v>255</v>
      </c>
      <c r="D460" t="s">
        <v>3</v>
      </c>
      <c r="E460" s="2">
        <v>1.8800000101327896</v>
      </c>
      <c r="F460" t="s">
        <v>710</v>
      </c>
    </row>
    <row r="461" spans="1:6">
      <c r="A461" s="1">
        <v>45862</v>
      </c>
      <c r="B461" s="7" t="s">
        <v>256</v>
      </c>
      <c r="C461" t="s">
        <v>257</v>
      </c>
      <c r="D461" t="s">
        <v>15</v>
      </c>
      <c r="E461" s="2">
        <v>223400</v>
      </c>
      <c r="F461" t="s">
        <v>710</v>
      </c>
    </row>
    <row r="462" spans="1:6">
      <c r="A462" s="1">
        <v>45862</v>
      </c>
      <c r="B462" s="7" t="s">
        <v>256</v>
      </c>
      <c r="C462" t="s">
        <v>257</v>
      </c>
      <c r="D462" t="s">
        <v>3</v>
      </c>
      <c r="E462" s="2">
        <v>50</v>
      </c>
      <c r="F462" t="s">
        <v>710</v>
      </c>
    </row>
    <row r="463" spans="1:6">
      <c r="A463" s="1">
        <v>45862</v>
      </c>
      <c r="B463" s="7" t="s">
        <v>256</v>
      </c>
      <c r="C463" t="s">
        <v>257</v>
      </c>
      <c r="D463" t="s">
        <v>3</v>
      </c>
      <c r="E463" s="2">
        <v>3.75</v>
      </c>
      <c r="F463" t="s">
        <v>710</v>
      </c>
    </row>
    <row r="464" spans="1:6">
      <c r="A464" s="1">
        <v>45862</v>
      </c>
      <c r="B464" s="7" t="s">
        <v>256</v>
      </c>
      <c r="C464" t="s">
        <v>258</v>
      </c>
      <c r="D464" t="s">
        <v>15</v>
      </c>
      <c r="E464" s="2">
        <v>34938</v>
      </c>
      <c r="F464" t="s">
        <v>710</v>
      </c>
    </row>
    <row r="465" spans="1:6">
      <c r="A465" s="1">
        <v>45862</v>
      </c>
      <c r="B465" s="7" t="s">
        <v>256</v>
      </c>
      <c r="C465" t="s">
        <v>258</v>
      </c>
      <c r="D465" t="s">
        <v>3</v>
      </c>
      <c r="E465" s="2">
        <v>25</v>
      </c>
      <c r="F465" t="s">
        <v>710</v>
      </c>
    </row>
    <row r="466" spans="1:6">
      <c r="A466" s="1">
        <v>45862</v>
      </c>
      <c r="B466" s="7" t="s">
        <v>256</v>
      </c>
      <c r="C466" t="s">
        <v>258</v>
      </c>
      <c r="D466" t="s">
        <v>3</v>
      </c>
      <c r="E466" s="2">
        <v>1.8799999952316284</v>
      </c>
      <c r="F466" t="s">
        <v>710</v>
      </c>
    </row>
    <row r="467" spans="1:6">
      <c r="A467" s="1">
        <v>45862</v>
      </c>
      <c r="B467" s="7" t="s">
        <v>256</v>
      </c>
      <c r="C467" t="s">
        <v>259</v>
      </c>
      <c r="D467" t="s">
        <v>15</v>
      </c>
      <c r="E467" s="2">
        <v>10000</v>
      </c>
      <c r="F467" t="s">
        <v>710</v>
      </c>
    </row>
    <row r="468" spans="1:6">
      <c r="A468" s="1">
        <v>45862</v>
      </c>
      <c r="B468" s="7" t="s">
        <v>256</v>
      </c>
      <c r="C468" t="s">
        <v>259</v>
      </c>
      <c r="D468" t="s">
        <v>3</v>
      </c>
      <c r="E468" s="2">
        <v>25</v>
      </c>
      <c r="F468" t="s">
        <v>710</v>
      </c>
    </row>
    <row r="469" spans="1:6">
      <c r="A469" s="1">
        <v>45862</v>
      </c>
      <c r="B469" s="7" t="s">
        <v>256</v>
      </c>
      <c r="C469" t="s">
        <v>259</v>
      </c>
      <c r="D469" t="s">
        <v>3</v>
      </c>
      <c r="E469" s="2">
        <v>1.8799999952316284</v>
      </c>
      <c r="F469" t="s">
        <v>710</v>
      </c>
    </row>
    <row r="470" spans="1:6">
      <c r="A470" s="1">
        <v>45862</v>
      </c>
      <c r="B470" s="7" t="s">
        <v>256</v>
      </c>
      <c r="C470" t="s">
        <v>260</v>
      </c>
      <c r="D470" t="s">
        <v>15</v>
      </c>
      <c r="E470" s="2">
        <v>12138</v>
      </c>
      <c r="F470" t="s">
        <v>710</v>
      </c>
    </row>
    <row r="471" spans="1:6">
      <c r="A471" s="1">
        <v>45862</v>
      </c>
      <c r="B471" s="7" t="s">
        <v>256</v>
      </c>
      <c r="C471" t="s">
        <v>260</v>
      </c>
      <c r="D471" t="s">
        <v>3</v>
      </c>
      <c r="E471" s="2">
        <v>25</v>
      </c>
      <c r="F471" t="s">
        <v>710</v>
      </c>
    </row>
    <row r="472" spans="1:6">
      <c r="A472" s="1">
        <v>45862</v>
      </c>
      <c r="B472" s="7" t="s">
        <v>256</v>
      </c>
      <c r="C472" t="s">
        <v>260</v>
      </c>
      <c r="D472" t="s">
        <v>3</v>
      </c>
      <c r="E472" s="2">
        <v>1.8800000101327896</v>
      </c>
      <c r="F472" t="s">
        <v>710</v>
      </c>
    </row>
    <row r="473" spans="1:6">
      <c r="A473" s="1">
        <v>45862</v>
      </c>
      <c r="B473" s="7" t="s">
        <v>256</v>
      </c>
      <c r="C473" t="s">
        <v>261</v>
      </c>
      <c r="D473" t="s">
        <v>15</v>
      </c>
      <c r="E473" s="2">
        <v>25900</v>
      </c>
      <c r="F473" t="s">
        <v>710</v>
      </c>
    </row>
    <row r="474" spans="1:6">
      <c r="A474" s="1">
        <v>45862</v>
      </c>
      <c r="B474" s="7" t="s">
        <v>256</v>
      </c>
      <c r="C474" t="s">
        <v>261</v>
      </c>
      <c r="D474" t="s">
        <v>3</v>
      </c>
      <c r="E474" s="2">
        <v>25</v>
      </c>
      <c r="F474" t="s">
        <v>710</v>
      </c>
    </row>
    <row r="475" spans="1:6">
      <c r="A475" s="1">
        <v>45862</v>
      </c>
      <c r="B475" s="7" t="s">
        <v>256</v>
      </c>
      <c r="C475" t="s">
        <v>261</v>
      </c>
      <c r="D475" t="s">
        <v>3</v>
      </c>
      <c r="E475" s="2">
        <v>1.8799999952316284</v>
      </c>
      <c r="F475" t="s">
        <v>710</v>
      </c>
    </row>
    <row r="476" spans="1:6">
      <c r="A476" s="1">
        <v>45862</v>
      </c>
      <c r="B476" s="7" t="s">
        <v>256</v>
      </c>
      <c r="C476" t="s">
        <v>262</v>
      </c>
      <c r="D476" t="s">
        <v>15</v>
      </c>
      <c r="E476" s="2">
        <v>13200</v>
      </c>
      <c r="F476" t="s">
        <v>710</v>
      </c>
    </row>
    <row r="477" spans="1:6">
      <c r="A477" s="1">
        <v>45862</v>
      </c>
      <c r="B477" s="7" t="s">
        <v>256</v>
      </c>
      <c r="C477" t="s">
        <v>262</v>
      </c>
      <c r="D477" t="s">
        <v>3</v>
      </c>
      <c r="E477" s="2">
        <v>25</v>
      </c>
      <c r="F477" t="s">
        <v>710</v>
      </c>
    </row>
    <row r="478" spans="1:6">
      <c r="A478" s="1">
        <v>45862</v>
      </c>
      <c r="B478" s="7" t="s">
        <v>256</v>
      </c>
      <c r="C478" t="s">
        <v>262</v>
      </c>
      <c r="D478" t="s">
        <v>3</v>
      </c>
      <c r="E478" s="2">
        <v>1.8799999952316284</v>
      </c>
      <c r="F478" t="s">
        <v>710</v>
      </c>
    </row>
    <row r="479" spans="1:6">
      <c r="A479" s="1">
        <v>45863</v>
      </c>
      <c r="B479" s="7" t="s">
        <v>263</v>
      </c>
      <c r="C479" t="s">
        <v>264</v>
      </c>
      <c r="D479" t="s">
        <v>15</v>
      </c>
      <c r="E479" s="2">
        <v>250400</v>
      </c>
      <c r="F479" t="s">
        <v>710</v>
      </c>
    </row>
    <row r="480" spans="1:6">
      <c r="A480" s="1">
        <v>45863</v>
      </c>
      <c r="B480" s="7" t="s">
        <v>263</v>
      </c>
      <c r="C480" t="s">
        <v>264</v>
      </c>
      <c r="D480" t="s">
        <v>3</v>
      </c>
      <c r="E480" s="2">
        <v>50</v>
      </c>
      <c r="F480" t="s">
        <v>710</v>
      </c>
    </row>
    <row r="481" spans="1:6">
      <c r="A481" s="1">
        <v>45863</v>
      </c>
      <c r="B481" s="7" t="s">
        <v>263</v>
      </c>
      <c r="C481" t="s">
        <v>264</v>
      </c>
      <c r="D481" t="s">
        <v>3</v>
      </c>
      <c r="E481" s="2">
        <v>3.75</v>
      </c>
      <c r="F481" t="s">
        <v>710</v>
      </c>
    </row>
    <row r="482" spans="1:6">
      <c r="A482" s="1">
        <v>45863</v>
      </c>
      <c r="B482" s="7" t="s">
        <v>263</v>
      </c>
      <c r="C482" t="s">
        <v>265</v>
      </c>
      <c r="D482" t="s">
        <v>8</v>
      </c>
      <c r="E482" s="2">
        <v>3570659.4399999976</v>
      </c>
      <c r="F482" t="s">
        <v>710</v>
      </c>
    </row>
    <row r="483" spans="1:6">
      <c r="A483" s="1">
        <v>45863</v>
      </c>
      <c r="B483" s="7" t="s">
        <v>263</v>
      </c>
      <c r="C483" t="s">
        <v>266</v>
      </c>
      <c r="D483" t="s">
        <v>3</v>
      </c>
      <c r="E483" s="2">
        <v>50</v>
      </c>
      <c r="F483" t="s">
        <v>710</v>
      </c>
    </row>
    <row r="484" spans="1:6">
      <c r="A484" s="1">
        <v>45863</v>
      </c>
      <c r="B484" s="7" t="s">
        <v>263</v>
      </c>
      <c r="C484" t="s">
        <v>267</v>
      </c>
      <c r="D484" t="s">
        <v>3</v>
      </c>
      <c r="E484" s="2">
        <v>3.75</v>
      </c>
      <c r="F484" t="s">
        <v>710</v>
      </c>
    </row>
    <row r="485" spans="1:6">
      <c r="A485" s="1">
        <v>45863</v>
      </c>
      <c r="B485" s="7" t="s">
        <v>263</v>
      </c>
      <c r="C485" t="s">
        <v>268</v>
      </c>
      <c r="D485" t="s">
        <v>8</v>
      </c>
      <c r="E485" s="2">
        <v>2070487.4800000042</v>
      </c>
      <c r="F485" t="s">
        <v>710</v>
      </c>
    </row>
    <row r="486" spans="1:6">
      <c r="A486" s="1">
        <v>45863</v>
      </c>
      <c r="B486" s="7" t="s">
        <v>263</v>
      </c>
      <c r="C486" t="s">
        <v>269</v>
      </c>
      <c r="D486" t="s">
        <v>3</v>
      </c>
      <c r="E486" s="2">
        <v>50</v>
      </c>
      <c r="F486" t="s">
        <v>710</v>
      </c>
    </row>
    <row r="487" spans="1:6">
      <c r="A487" s="1">
        <v>45863</v>
      </c>
      <c r="B487" s="7" t="s">
        <v>263</v>
      </c>
      <c r="C487" t="s">
        <v>270</v>
      </c>
      <c r="D487" t="s">
        <v>3</v>
      </c>
      <c r="E487" s="2">
        <v>3.75</v>
      </c>
      <c r="F487" t="s">
        <v>710</v>
      </c>
    </row>
    <row r="488" spans="1:6">
      <c r="A488" s="1">
        <v>45863</v>
      </c>
      <c r="B488" s="7" t="s">
        <v>263</v>
      </c>
      <c r="C488" t="s">
        <v>271</v>
      </c>
      <c r="D488" t="s">
        <v>8</v>
      </c>
      <c r="E488" s="2">
        <v>476225</v>
      </c>
      <c r="F488" t="s">
        <v>710</v>
      </c>
    </row>
    <row r="489" spans="1:6">
      <c r="A489" s="1">
        <v>45863</v>
      </c>
      <c r="B489" s="7" t="s">
        <v>263</v>
      </c>
      <c r="C489" t="s">
        <v>272</v>
      </c>
      <c r="D489" t="s">
        <v>3</v>
      </c>
      <c r="E489" s="2">
        <v>50</v>
      </c>
      <c r="F489" t="s">
        <v>710</v>
      </c>
    </row>
    <row r="490" spans="1:6">
      <c r="A490" s="1">
        <v>45863</v>
      </c>
      <c r="B490" s="7" t="s">
        <v>263</v>
      </c>
      <c r="C490" t="s">
        <v>273</v>
      </c>
      <c r="D490" t="s">
        <v>3</v>
      </c>
      <c r="E490" s="2">
        <v>3.75</v>
      </c>
      <c r="F490" t="s">
        <v>710</v>
      </c>
    </row>
    <row r="491" spans="1:6">
      <c r="A491" s="1">
        <v>45863</v>
      </c>
      <c r="B491" s="7" t="s">
        <v>263</v>
      </c>
      <c r="C491" t="s">
        <v>274</v>
      </c>
      <c r="D491" t="s">
        <v>8</v>
      </c>
      <c r="E491" s="2">
        <v>284491.57000000775</v>
      </c>
      <c r="F491" t="s">
        <v>710</v>
      </c>
    </row>
    <row r="492" spans="1:6">
      <c r="A492" s="1">
        <v>45863</v>
      </c>
      <c r="B492" s="7" t="s">
        <v>263</v>
      </c>
      <c r="C492" t="s">
        <v>275</v>
      </c>
      <c r="D492" t="s">
        <v>3</v>
      </c>
      <c r="E492" s="2">
        <v>50</v>
      </c>
      <c r="F492" t="s">
        <v>710</v>
      </c>
    </row>
    <row r="493" spans="1:6">
      <c r="A493" s="1">
        <v>45863</v>
      </c>
      <c r="B493" s="7" t="s">
        <v>263</v>
      </c>
      <c r="C493" t="s">
        <v>276</v>
      </c>
      <c r="D493" t="s">
        <v>3</v>
      </c>
      <c r="E493" s="2">
        <v>3.75</v>
      </c>
      <c r="F493" t="s">
        <v>710</v>
      </c>
    </row>
    <row r="494" spans="1:6">
      <c r="A494" s="1">
        <v>45863</v>
      </c>
      <c r="B494" s="7" t="s">
        <v>263</v>
      </c>
      <c r="C494" t="s">
        <v>277</v>
      </c>
      <c r="D494" t="s">
        <v>8</v>
      </c>
      <c r="E494" s="2">
        <v>284491.56999999285</v>
      </c>
      <c r="F494" t="s">
        <v>710</v>
      </c>
    </row>
    <row r="495" spans="1:6">
      <c r="A495" s="1">
        <v>45863</v>
      </c>
      <c r="B495" s="7" t="s">
        <v>263</v>
      </c>
      <c r="C495" t="s">
        <v>278</v>
      </c>
      <c r="D495" t="s">
        <v>3</v>
      </c>
      <c r="E495" s="2">
        <v>50</v>
      </c>
      <c r="F495" t="s">
        <v>710</v>
      </c>
    </row>
    <row r="496" spans="1:6">
      <c r="A496" s="1">
        <v>45863</v>
      </c>
      <c r="B496" s="7" t="s">
        <v>263</v>
      </c>
      <c r="C496" t="s">
        <v>279</v>
      </c>
      <c r="D496" t="s">
        <v>3</v>
      </c>
      <c r="E496" s="2">
        <v>3.75</v>
      </c>
      <c r="F496" t="s">
        <v>710</v>
      </c>
    </row>
    <row r="497" spans="1:6">
      <c r="A497" s="1">
        <v>45863</v>
      </c>
      <c r="B497" s="7" t="s">
        <v>263</v>
      </c>
      <c r="C497" t="s">
        <v>280</v>
      </c>
      <c r="D497" t="s">
        <v>8</v>
      </c>
      <c r="E497" s="2">
        <v>284491.57000000775</v>
      </c>
      <c r="F497" t="s">
        <v>710</v>
      </c>
    </row>
    <row r="498" spans="1:6">
      <c r="A498" s="1">
        <v>45863</v>
      </c>
      <c r="B498" s="7" t="s">
        <v>263</v>
      </c>
      <c r="C498" t="s">
        <v>281</v>
      </c>
      <c r="D498" t="s">
        <v>3</v>
      </c>
      <c r="E498" s="2">
        <v>50</v>
      </c>
      <c r="F498" t="s">
        <v>710</v>
      </c>
    </row>
    <row r="499" spans="1:6">
      <c r="A499" s="1">
        <v>45863</v>
      </c>
      <c r="B499" s="7" t="s">
        <v>263</v>
      </c>
      <c r="C499" t="s">
        <v>282</v>
      </c>
      <c r="D499" t="s">
        <v>3</v>
      </c>
      <c r="E499" s="2">
        <v>3.75</v>
      </c>
      <c r="F499" t="s">
        <v>710</v>
      </c>
    </row>
    <row r="500" spans="1:6">
      <c r="A500" s="1">
        <v>45863</v>
      </c>
      <c r="B500" s="7" t="s">
        <v>263</v>
      </c>
      <c r="C500" t="s">
        <v>283</v>
      </c>
      <c r="D500" t="s">
        <v>8</v>
      </c>
      <c r="E500" s="2">
        <v>284491.56999999285</v>
      </c>
      <c r="F500" t="s">
        <v>710</v>
      </c>
    </row>
    <row r="501" spans="1:6">
      <c r="A501" s="1">
        <v>45863</v>
      </c>
      <c r="B501" s="7" t="s">
        <v>263</v>
      </c>
      <c r="C501" t="s">
        <v>284</v>
      </c>
      <c r="D501" t="s">
        <v>3</v>
      </c>
      <c r="E501" s="2">
        <v>50</v>
      </c>
      <c r="F501" t="s">
        <v>710</v>
      </c>
    </row>
    <row r="502" spans="1:6">
      <c r="A502" s="1">
        <v>45863</v>
      </c>
      <c r="B502" s="7" t="s">
        <v>263</v>
      </c>
      <c r="C502" t="s">
        <v>285</v>
      </c>
      <c r="D502" t="s">
        <v>3</v>
      </c>
      <c r="E502" s="2">
        <v>3.75</v>
      </c>
      <c r="F502" t="s">
        <v>710</v>
      </c>
    </row>
    <row r="503" spans="1:6">
      <c r="A503" s="1">
        <v>45863</v>
      </c>
      <c r="B503" s="7" t="s">
        <v>263</v>
      </c>
      <c r="C503" t="s">
        <v>286</v>
      </c>
      <c r="D503" t="s">
        <v>8</v>
      </c>
      <c r="E503" s="2">
        <v>284491.57000000775</v>
      </c>
      <c r="F503" t="s">
        <v>710</v>
      </c>
    </row>
    <row r="504" spans="1:6">
      <c r="A504" s="1">
        <v>45863</v>
      </c>
      <c r="B504" s="7" t="s">
        <v>263</v>
      </c>
      <c r="C504" t="s">
        <v>287</v>
      </c>
      <c r="D504" t="s">
        <v>3</v>
      </c>
      <c r="E504" s="2">
        <v>50</v>
      </c>
      <c r="F504" t="s">
        <v>710</v>
      </c>
    </row>
    <row r="505" spans="1:6">
      <c r="A505" s="1">
        <v>45863</v>
      </c>
      <c r="B505" s="7" t="s">
        <v>263</v>
      </c>
      <c r="C505" t="s">
        <v>288</v>
      </c>
      <c r="D505" t="s">
        <v>3</v>
      </c>
      <c r="E505" s="2">
        <v>3.75</v>
      </c>
      <c r="F505" t="s">
        <v>710</v>
      </c>
    </row>
    <row r="506" spans="1:6">
      <c r="A506" s="1">
        <v>45863</v>
      </c>
      <c r="B506" s="7" t="s">
        <v>263</v>
      </c>
      <c r="C506" t="s">
        <v>289</v>
      </c>
      <c r="D506" t="s">
        <v>8</v>
      </c>
      <c r="E506" s="2">
        <v>284491.56999999285</v>
      </c>
      <c r="F506" t="s">
        <v>710</v>
      </c>
    </row>
    <row r="507" spans="1:6">
      <c r="A507" s="1">
        <v>45863</v>
      </c>
      <c r="B507" s="7" t="s">
        <v>263</v>
      </c>
      <c r="C507" t="s">
        <v>290</v>
      </c>
      <c r="D507" t="s">
        <v>3</v>
      </c>
      <c r="E507" s="2">
        <v>50</v>
      </c>
      <c r="F507" t="s">
        <v>710</v>
      </c>
    </row>
    <row r="508" spans="1:6">
      <c r="A508" s="1">
        <v>45863</v>
      </c>
      <c r="B508" s="7" t="s">
        <v>263</v>
      </c>
      <c r="C508" t="s">
        <v>291</v>
      </c>
      <c r="D508" t="s">
        <v>3</v>
      </c>
      <c r="E508" s="2">
        <v>3.75</v>
      </c>
      <c r="F508" t="s">
        <v>710</v>
      </c>
    </row>
    <row r="509" spans="1:6">
      <c r="A509" s="1">
        <v>45863</v>
      </c>
      <c r="B509" s="7" t="s">
        <v>263</v>
      </c>
      <c r="C509" t="s">
        <v>292</v>
      </c>
      <c r="D509" t="s">
        <v>8</v>
      </c>
      <c r="E509" s="2">
        <v>284491.57000000775</v>
      </c>
      <c r="F509" t="s">
        <v>710</v>
      </c>
    </row>
    <row r="510" spans="1:6">
      <c r="A510" s="1">
        <v>45863</v>
      </c>
      <c r="B510" s="7" t="s">
        <v>263</v>
      </c>
      <c r="C510" t="s">
        <v>293</v>
      </c>
      <c r="D510" t="s">
        <v>3</v>
      </c>
      <c r="E510" s="2">
        <v>50</v>
      </c>
      <c r="F510" t="s">
        <v>710</v>
      </c>
    </row>
    <row r="511" spans="1:6">
      <c r="A511" s="1">
        <v>45863</v>
      </c>
      <c r="B511" s="7" t="s">
        <v>263</v>
      </c>
      <c r="C511" t="s">
        <v>294</v>
      </c>
      <c r="D511" t="s">
        <v>3</v>
      </c>
      <c r="E511" s="2">
        <v>3.75</v>
      </c>
      <c r="F511" t="s">
        <v>710</v>
      </c>
    </row>
    <row r="512" spans="1:6">
      <c r="A512" s="1">
        <v>45863</v>
      </c>
      <c r="B512" s="7" t="s">
        <v>263</v>
      </c>
      <c r="C512" t="s">
        <v>295</v>
      </c>
      <c r="D512" t="s">
        <v>8</v>
      </c>
      <c r="E512" s="2">
        <v>284491.56999999285</v>
      </c>
      <c r="F512" t="s">
        <v>710</v>
      </c>
    </row>
    <row r="513" spans="1:6">
      <c r="A513" s="1">
        <v>45863</v>
      </c>
      <c r="B513" s="7" t="s">
        <v>263</v>
      </c>
      <c r="C513" t="s">
        <v>296</v>
      </c>
      <c r="D513" t="s">
        <v>3</v>
      </c>
      <c r="E513" s="2">
        <v>50</v>
      </c>
      <c r="F513" t="s">
        <v>710</v>
      </c>
    </row>
    <row r="514" spans="1:6">
      <c r="A514" s="1">
        <v>45863</v>
      </c>
      <c r="B514" s="7" t="s">
        <v>263</v>
      </c>
      <c r="C514" t="s">
        <v>297</v>
      </c>
      <c r="D514" t="s">
        <v>3</v>
      </c>
      <c r="E514" s="2">
        <v>3.75</v>
      </c>
      <c r="F514" t="s">
        <v>710</v>
      </c>
    </row>
    <row r="515" spans="1:6">
      <c r="A515" s="1">
        <v>45863</v>
      </c>
      <c r="B515" s="7" t="s">
        <v>263</v>
      </c>
      <c r="C515" t="s">
        <v>298</v>
      </c>
      <c r="D515" t="s">
        <v>8</v>
      </c>
      <c r="E515" s="2">
        <v>284491.57000000775</v>
      </c>
      <c r="F515" t="s">
        <v>710</v>
      </c>
    </row>
    <row r="516" spans="1:6">
      <c r="A516" s="1">
        <v>45863</v>
      </c>
      <c r="B516" s="7" t="s">
        <v>263</v>
      </c>
      <c r="C516" t="s">
        <v>299</v>
      </c>
      <c r="D516" t="s">
        <v>3</v>
      </c>
      <c r="E516" s="2">
        <v>50</v>
      </c>
      <c r="F516" t="s">
        <v>710</v>
      </c>
    </row>
    <row r="517" spans="1:6">
      <c r="A517" s="1">
        <v>45863</v>
      </c>
      <c r="B517" s="7" t="s">
        <v>263</v>
      </c>
      <c r="C517" t="s">
        <v>300</v>
      </c>
      <c r="D517" t="s">
        <v>3</v>
      </c>
      <c r="E517" s="2">
        <v>3.75</v>
      </c>
      <c r="F517" t="s">
        <v>710</v>
      </c>
    </row>
    <row r="518" spans="1:6">
      <c r="A518" s="1">
        <v>45863</v>
      </c>
      <c r="B518" s="7" t="s">
        <v>263</v>
      </c>
      <c r="C518" t="s">
        <v>301</v>
      </c>
      <c r="D518" t="s">
        <v>8</v>
      </c>
      <c r="E518" s="2">
        <v>152194.92999999225</v>
      </c>
      <c r="F518" t="s">
        <v>710</v>
      </c>
    </row>
    <row r="519" spans="1:6">
      <c r="A519" s="1">
        <v>45863</v>
      </c>
      <c r="B519" s="7" t="s">
        <v>263</v>
      </c>
      <c r="C519" t="s">
        <v>302</v>
      </c>
      <c r="D519" t="s">
        <v>3</v>
      </c>
      <c r="E519" s="2">
        <v>50</v>
      </c>
      <c r="F519" t="s">
        <v>710</v>
      </c>
    </row>
    <row r="520" spans="1:6">
      <c r="A520" s="1">
        <v>45863</v>
      </c>
      <c r="B520" s="7" t="s">
        <v>263</v>
      </c>
      <c r="C520" t="s">
        <v>303</v>
      </c>
      <c r="D520" t="s">
        <v>3</v>
      </c>
      <c r="E520" s="2">
        <v>3.75</v>
      </c>
      <c r="F520" t="s">
        <v>710</v>
      </c>
    </row>
    <row r="521" spans="1:6">
      <c r="A521" s="1">
        <v>45863</v>
      </c>
      <c r="B521" s="7" t="s">
        <v>263</v>
      </c>
      <c r="C521" t="s">
        <v>304</v>
      </c>
      <c r="D521" t="s">
        <v>8</v>
      </c>
      <c r="E521" s="2">
        <v>284491.57000000775</v>
      </c>
      <c r="F521" t="s">
        <v>710</v>
      </c>
    </row>
    <row r="522" spans="1:6">
      <c r="A522" s="1">
        <v>45863</v>
      </c>
      <c r="B522" s="7" t="s">
        <v>263</v>
      </c>
      <c r="C522" t="s">
        <v>305</v>
      </c>
      <c r="D522" t="s">
        <v>3</v>
      </c>
      <c r="E522" s="2">
        <v>50</v>
      </c>
      <c r="F522" t="s">
        <v>710</v>
      </c>
    </row>
    <row r="523" spans="1:6">
      <c r="A523" s="1">
        <v>45863</v>
      </c>
      <c r="B523" s="7" t="s">
        <v>263</v>
      </c>
      <c r="C523" t="s">
        <v>306</v>
      </c>
      <c r="D523" t="s">
        <v>3</v>
      </c>
      <c r="E523" s="2">
        <v>3.75</v>
      </c>
      <c r="F523" t="s">
        <v>710</v>
      </c>
    </row>
    <row r="524" spans="1:6">
      <c r="A524" s="1">
        <v>45863</v>
      </c>
      <c r="B524" s="7" t="s">
        <v>263</v>
      </c>
      <c r="C524" t="s">
        <v>307</v>
      </c>
      <c r="D524" t="s">
        <v>8</v>
      </c>
      <c r="E524" s="2">
        <v>152194.92999999225</v>
      </c>
      <c r="F524" t="s">
        <v>710</v>
      </c>
    </row>
    <row r="525" spans="1:6">
      <c r="A525" s="1">
        <v>45863</v>
      </c>
      <c r="B525" s="7" t="s">
        <v>263</v>
      </c>
      <c r="C525" t="s">
        <v>308</v>
      </c>
      <c r="D525" t="s">
        <v>3</v>
      </c>
      <c r="E525" s="2">
        <v>50</v>
      </c>
      <c r="F525" t="s">
        <v>710</v>
      </c>
    </row>
    <row r="526" spans="1:6">
      <c r="A526" s="1">
        <v>45863</v>
      </c>
      <c r="B526" s="7" t="s">
        <v>263</v>
      </c>
      <c r="C526" t="s">
        <v>309</v>
      </c>
      <c r="D526" t="s">
        <v>3</v>
      </c>
      <c r="E526" s="2">
        <v>3.75</v>
      </c>
      <c r="F526" t="s">
        <v>710</v>
      </c>
    </row>
    <row r="527" spans="1:6">
      <c r="A527" s="1">
        <v>45863</v>
      </c>
      <c r="B527" s="7" t="s">
        <v>263</v>
      </c>
      <c r="C527" t="s">
        <v>310</v>
      </c>
      <c r="D527" t="s">
        <v>8</v>
      </c>
      <c r="E527" s="2">
        <v>75000</v>
      </c>
      <c r="F527" t="s">
        <v>710</v>
      </c>
    </row>
    <row r="528" spans="1:6">
      <c r="A528" s="1">
        <v>45863</v>
      </c>
      <c r="B528" s="7" t="s">
        <v>263</v>
      </c>
      <c r="C528" t="s">
        <v>311</v>
      </c>
      <c r="D528" t="s">
        <v>3</v>
      </c>
      <c r="E528" s="2">
        <v>50</v>
      </c>
      <c r="F528" t="s">
        <v>710</v>
      </c>
    </row>
    <row r="529" spans="1:6">
      <c r="A529" s="1">
        <v>45863</v>
      </c>
      <c r="B529" s="7" t="s">
        <v>263</v>
      </c>
      <c r="C529" t="s">
        <v>312</v>
      </c>
      <c r="D529" t="s">
        <v>3</v>
      </c>
      <c r="E529" s="2">
        <v>3.75</v>
      </c>
      <c r="F529" t="s">
        <v>710</v>
      </c>
    </row>
    <row r="530" spans="1:6">
      <c r="A530" s="1">
        <v>45863</v>
      </c>
      <c r="B530" s="7" t="s">
        <v>263</v>
      </c>
      <c r="C530" t="s">
        <v>313</v>
      </c>
      <c r="D530" t="s">
        <v>8</v>
      </c>
      <c r="E530" s="2">
        <v>75000</v>
      </c>
      <c r="F530" t="s">
        <v>710</v>
      </c>
    </row>
    <row r="531" spans="1:6">
      <c r="A531" s="1">
        <v>45863</v>
      </c>
      <c r="B531" s="7" t="s">
        <v>263</v>
      </c>
      <c r="C531" t="s">
        <v>314</v>
      </c>
      <c r="D531" t="s">
        <v>3</v>
      </c>
      <c r="E531" s="2">
        <v>50</v>
      </c>
      <c r="F531" t="s">
        <v>710</v>
      </c>
    </row>
    <row r="532" spans="1:6">
      <c r="A532" s="1">
        <v>45863</v>
      </c>
      <c r="B532" s="7" t="s">
        <v>263</v>
      </c>
      <c r="C532" t="s">
        <v>315</v>
      </c>
      <c r="D532" t="s">
        <v>3</v>
      </c>
      <c r="E532" s="2">
        <v>3.75</v>
      </c>
      <c r="F532" t="s">
        <v>710</v>
      </c>
    </row>
    <row r="533" spans="1:6">
      <c r="A533" s="1">
        <v>45863</v>
      </c>
      <c r="B533" s="7" t="s">
        <v>263</v>
      </c>
      <c r="C533" t="s">
        <v>316</v>
      </c>
      <c r="D533" t="s">
        <v>8</v>
      </c>
      <c r="E533" s="2">
        <v>75000</v>
      </c>
      <c r="F533" t="s">
        <v>710</v>
      </c>
    </row>
    <row r="534" spans="1:6">
      <c r="A534" s="1">
        <v>45863</v>
      </c>
      <c r="B534" s="7" t="s">
        <v>263</v>
      </c>
      <c r="C534" t="s">
        <v>317</v>
      </c>
      <c r="D534" t="s">
        <v>3</v>
      </c>
      <c r="E534" s="2">
        <v>50</v>
      </c>
      <c r="F534" t="s">
        <v>710</v>
      </c>
    </row>
    <row r="535" spans="1:6">
      <c r="A535" s="1">
        <v>45863</v>
      </c>
      <c r="B535" s="7" t="s">
        <v>263</v>
      </c>
      <c r="C535" t="s">
        <v>318</v>
      </c>
      <c r="D535" t="s">
        <v>3</v>
      </c>
      <c r="E535" s="2">
        <v>3.75</v>
      </c>
      <c r="F535" t="s">
        <v>710</v>
      </c>
    </row>
    <row r="536" spans="1:6">
      <c r="A536" s="1">
        <v>45863</v>
      </c>
      <c r="B536" s="7" t="s">
        <v>263</v>
      </c>
      <c r="C536" t="s">
        <v>319</v>
      </c>
      <c r="D536" t="s">
        <v>8</v>
      </c>
      <c r="E536" s="2">
        <v>66000</v>
      </c>
      <c r="F536" t="s">
        <v>710</v>
      </c>
    </row>
    <row r="537" spans="1:6">
      <c r="A537" s="1">
        <v>45863</v>
      </c>
      <c r="B537" s="7" t="s">
        <v>263</v>
      </c>
      <c r="C537" t="s">
        <v>320</v>
      </c>
      <c r="D537" t="s">
        <v>3</v>
      </c>
      <c r="E537" s="2">
        <v>50</v>
      </c>
      <c r="F537" t="s">
        <v>710</v>
      </c>
    </row>
    <row r="538" spans="1:6">
      <c r="A538" s="1">
        <v>45863</v>
      </c>
      <c r="B538" s="7" t="s">
        <v>263</v>
      </c>
      <c r="C538" t="s">
        <v>321</v>
      </c>
      <c r="D538" t="s">
        <v>3</v>
      </c>
      <c r="E538" s="2">
        <v>3.75</v>
      </c>
      <c r="F538" t="s">
        <v>710</v>
      </c>
    </row>
    <row r="539" spans="1:6">
      <c r="A539" s="1">
        <v>45863</v>
      </c>
      <c r="B539" s="7" t="s">
        <v>263</v>
      </c>
      <c r="C539" t="s">
        <v>322</v>
      </c>
      <c r="D539" t="s">
        <v>8</v>
      </c>
      <c r="E539" s="2">
        <v>66000</v>
      </c>
      <c r="F539" t="s">
        <v>710</v>
      </c>
    </row>
    <row r="540" spans="1:6">
      <c r="A540" s="1">
        <v>45863</v>
      </c>
      <c r="B540" s="7" t="s">
        <v>263</v>
      </c>
      <c r="C540" t="s">
        <v>323</v>
      </c>
      <c r="D540" t="s">
        <v>3</v>
      </c>
      <c r="E540" s="2">
        <v>50</v>
      </c>
      <c r="F540" t="s">
        <v>710</v>
      </c>
    </row>
    <row r="541" spans="1:6">
      <c r="A541" s="1">
        <v>45863</v>
      </c>
      <c r="B541" s="7" t="s">
        <v>263</v>
      </c>
      <c r="C541" t="s">
        <v>324</v>
      </c>
      <c r="D541" t="s">
        <v>3</v>
      </c>
      <c r="E541" s="2">
        <v>3.75</v>
      </c>
      <c r="F541" t="s">
        <v>710</v>
      </c>
    </row>
    <row r="542" spans="1:6">
      <c r="A542" s="1">
        <v>45863</v>
      </c>
      <c r="B542" s="7" t="s">
        <v>263</v>
      </c>
      <c r="C542" t="s">
        <v>325</v>
      </c>
      <c r="D542" t="s">
        <v>8</v>
      </c>
      <c r="E542" s="2">
        <v>66000</v>
      </c>
      <c r="F542" t="s">
        <v>710</v>
      </c>
    </row>
    <row r="543" spans="1:6">
      <c r="A543" s="1">
        <v>45863</v>
      </c>
      <c r="B543" s="7" t="s">
        <v>263</v>
      </c>
      <c r="C543" t="s">
        <v>326</v>
      </c>
      <c r="D543" t="s">
        <v>3</v>
      </c>
      <c r="E543" s="2">
        <v>50</v>
      </c>
      <c r="F543" t="s">
        <v>710</v>
      </c>
    </row>
    <row r="544" spans="1:6">
      <c r="A544" s="1">
        <v>45863</v>
      </c>
      <c r="B544" s="7" t="s">
        <v>263</v>
      </c>
      <c r="C544" t="s">
        <v>327</v>
      </c>
      <c r="D544" t="s">
        <v>3</v>
      </c>
      <c r="E544" s="2">
        <v>3.75</v>
      </c>
      <c r="F544" t="s">
        <v>710</v>
      </c>
    </row>
    <row r="545" spans="1:6">
      <c r="A545" s="1">
        <v>45863</v>
      </c>
      <c r="B545" s="7" t="s">
        <v>263</v>
      </c>
      <c r="C545" t="s">
        <v>328</v>
      </c>
      <c r="D545" t="s">
        <v>8</v>
      </c>
      <c r="E545" s="2">
        <v>66000</v>
      </c>
      <c r="F545" t="s">
        <v>710</v>
      </c>
    </row>
    <row r="546" spans="1:6">
      <c r="A546" s="1">
        <v>45863</v>
      </c>
      <c r="B546" s="7" t="s">
        <v>263</v>
      </c>
      <c r="C546" t="s">
        <v>329</v>
      </c>
      <c r="D546" t="s">
        <v>3</v>
      </c>
      <c r="E546" s="2">
        <v>50</v>
      </c>
      <c r="F546" t="s">
        <v>710</v>
      </c>
    </row>
    <row r="547" spans="1:6">
      <c r="A547" s="1">
        <v>45863</v>
      </c>
      <c r="B547" s="7" t="s">
        <v>263</v>
      </c>
      <c r="C547" t="s">
        <v>330</v>
      </c>
      <c r="D547" t="s">
        <v>3</v>
      </c>
      <c r="E547" s="2">
        <v>3.75</v>
      </c>
      <c r="F547" t="s">
        <v>710</v>
      </c>
    </row>
    <row r="548" spans="1:6">
      <c r="A548" s="1">
        <v>45863</v>
      </c>
      <c r="B548" s="7" t="s">
        <v>263</v>
      </c>
      <c r="C548" t="s">
        <v>331</v>
      </c>
      <c r="D548" t="s">
        <v>8</v>
      </c>
      <c r="E548" s="2">
        <v>66000</v>
      </c>
      <c r="F548" t="s">
        <v>710</v>
      </c>
    </row>
    <row r="549" spans="1:6">
      <c r="A549" s="1">
        <v>45863</v>
      </c>
      <c r="B549" s="7" t="s">
        <v>263</v>
      </c>
      <c r="C549" t="s">
        <v>332</v>
      </c>
      <c r="D549" t="s">
        <v>3</v>
      </c>
      <c r="E549" s="2">
        <v>50</v>
      </c>
      <c r="F549" t="s">
        <v>710</v>
      </c>
    </row>
    <row r="550" spans="1:6">
      <c r="A550" s="1">
        <v>45863</v>
      </c>
      <c r="B550" s="7" t="s">
        <v>263</v>
      </c>
      <c r="C550" t="s">
        <v>333</v>
      </c>
      <c r="D550" t="s">
        <v>3</v>
      </c>
      <c r="E550" s="2">
        <v>3.75</v>
      </c>
      <c r="F550" t="s">
        <v>710</v>
      </c>
    </row>
    <row r="551" spans="1:6">
      <c r="A551" s="1">
        <v>45863</v>
      </c>
      <c r="B551" s="7" t="s">
        <v>263</v>
      </c>
      <c r="C551" t="s">
        <v>334</v>
      </c>
      <c r="D551" t="s">
        <v>8</v>
      </c>
      <c r="E551" s="2">
        <v>66000</v>
      </c>
      <c r="F551" t="s">
        <v>710</v>
      </c>
    </row>
    <row r="552" spans="1:6">
      <c r="A552" s="1">
        <v>45863</v>
      </c>
      <c r="B552" s="7" t="s">
        <v>263</v>
      </c>
      <c r="C552" t="s">
        <v>335</v>
      </c>
      <c r="D552" t="s">
        <v>3</v>
      </c>
      <c r="E552" s="2">
        <v>50</v>
      </c>
      <c r="F552" t="s">
        <v>710</v>
      </c>
    </row>
    <row r="553" spans="1:6">
      <c r="A553" s="1">
        <v>45863</v>
      </c>
      <c r="B553" s="7" t="s">
        <v>263</v>
      </c>
      <c r="C553" t="s">
        <v>336</v>
      </c>
      <c r="D553" t="s">
        <v>3</v>
      </c>
      <c r="E553" s="2">
        <v>3.75</v>
      </c>
      <c r="F553" t="s">
        <v>710</v>
      </c>
    </row>
    <row r="554" spans="1:6">
      <c r="A554" s="1">
        <v>45863</v>
      </c>
      <c r="B554" s="7" t="s">
        <v>263</v>
      </c>
      <c r="C554" t="s">
        <v>337</v>
      </c>
      <c r="D554" t="s">
        <v>8</v>
      </c>
      <c r="E554" s="2">
        <v>66000</v>
      </c>
      <c r="F554" t="s">
        <v>710</v>
      </c>
    </row>
    <row r="555" spans="1:6">
      <c r="A555" s="1">
        <v>45863</v>
      </c>
      <c r="B555" s="7" t="s">
        <v>263</v>
      </c>
      <c r="C555" t="s">
        <v>338</v>
      </c>
      <c r="D555" t="s">
        <v>3</v>
      </c>
      <c r="E555" s="2">
        <v>50</v>
      </c>
      <c r="F555" t="s">
        <v>710</v>
      </c>
    </row>
    <row r="556" spans="1:6">
      <c r="A556" s="1">
        <v>45863</v>
      </c>
      <c r="B556" s="7" t="s">
        <v>263</v>
      </c>
      <c r="C556" t="s">
        <v>339</v>
      </c>
      <c r="D556" t="s">
        <v>3</v>
      </c>
      <c r="E556" s="2">
        <v>3.75</v>
      </c>
      <c r="F556" t="s">
        <v>710</v>
      </c>
    </row>
    <row r="557" spans="1:6">
      <c r="A557" s="1">
        <v>45863</v>
      </c>
      <c r="B557" s="7" t="s">
        <v>263</v>
      </c>
      <c r="C557" t="s">
        <v>340</v>
      </c>
      <c r="D557" t="s">
        <v>8</v>
      </c>
      <c r="E557" s="2">
        <v>152194.93000000715</v>
      </c>
      <c r="F557" t="s">
        <v>710</v>
      </c>
    </row>
    <row r="558" spans="1:6">
      <c r="A558" s="1">
        <v>45863</v>
      </c>
      <c r="B558" s="7" t="s">
        <v>263</v>
      </c>
      <c r="C558" t="s">
        <v>341</v>
      </c>
      <c r="D558" t="s">
        <v>3</v>
      </c>
      <c r="E558" s="2">
        <v>50</v>
      </c>
      <c r="F558" t="s">
        <v>710</v>
      </c>
    </row>
    <row r="559" spans="1:6">
      <c r="A559" s="1">
        <v>45863</v>
      </c>
      <c r="B559" s="7" t="s">
        <v>263</v>
      </c>
      <c r="C559" t="s">
        <v>342</v>
      </c>
      <c r="D559" t="s">
        <v>3</v>
      </c>
      <c r="E559" s="2">
        <v>3.75</v>
      </c>
      <c r="F559" t="s">
        <v>710</v>
      </c>
    </row>
    <row r="560" spans="1:6">
      <c r="A560" s="1">
        <v>45866</v>
      </c>
      <c r="B560" s="7" t="s">
        <v>343</v>
      </c>
      <c r="C560" t="s">
        <v>344</v>
      </c>
      <c r="D560" t="s">
        <v>4</v>
      </c>
      <c r="E560" s="2">
        <v>150000</v>
      </c>
      <c r="F560" t="s">
        <v>710</v>
      </c>
    </row>
    <row r="561" spans="1:6">
      <c r="A561" s="1">
        <v>45866</v>
      </c>
      <c r="B561" s="7" t="s">
        <v>343</v>
      </c>
      <c r="C561" t="s">
        <v>344</v>
      </c>
      <c r="D561" t="s">
        <v>3</v>
      </c>
      <c r="E561" s="2">
        <v>50</v>
      </c>
      <c r="F561" t="s">
        <v>710</v>
      </c>
    </row>
    <row r="562" spans="1:6">
      <c r="A562" s="1">
        <v>45866</v>
      </c>
      <c r="B562" s="7" t="s">
        <v>343</v>
      </c>
      <c r="C562" t="s">
        <v>344</v>
      </c>
      <c r="D562" t="s">
        <v>3</v>
      </c>
      <c r="E562" s="2">
        <v>3.75</v>
      </c>
      <c r="F562" t="s">
        <v>710</v>
      </c>
    </row>
    <row r="563" spans="1:6">
      <c r="A563" s="1">
        <v>45867</v>
      </c>
      <c r="B563" s="7" t="s">
        <v>345</v>
      </c>
      <c r="C563" t="s">
        <v>346</v>
      </c>
      <c r="D563" t="s">
        <v>26</v>
      </c>
      <c r="E563" s="2">
        <v>302000</v>
      </c>
      <c r="F563" t="s">
        <v>710</v>
      </c>
    </row>
    <row r="564" spans="1:6">
      <c r="A564" s="1">
        <v>45867</v>
      </c>
      <c r="B564" s="7" t="s">
        <v>345</v>
      </c>
      <c r="C564" t="s">
        <v>346</v>
      </c>
      <c r="D564" t="s">
        <v>3</v>
      </c>
      <c r="E564" s="2">
        <v>50</v>
      </c>
      <c r="F564" t="s">
        <v>710</v>
      </c>
    </row>
    <row r="565" spans="1:6">
      <c r="A565" s="1">
        <v>45867</v>
      </c>
      <c r="B565" s="7" t="s">
        <v>345</v>
      </c>
      <c r="C565" t="s">
        <v>346</v>
      </c>
      <c r="D565" t="s">
        <v>3</v>
      </c>
      <c r="E565" s="2">
        <v>3.75</v>
      </c>
      <c r="F565" t="s">
        <v>710</v>
      </c>
    </row>
    <row r="566" spans="1:6">
      <c r="A566" s="1">
        <v>45867</v>
      </c>
      <c r="B566" s="7" t="s">
        <v>345</v>
      </c>
      <c r="C566" t="s">
        <v>347</v>
      </c>
      <c r="D566" t="s">
        <v>5</v>
      </c>
      <c r="E566" s="2">
        <v>44000</v>
      </c>
      <c r="F566" t="s">
        <v>710</v>
      </c>
    </row>
    <row r="567" spans="1:6">
      <c r="A567" s="1">
        <v>45867</v>
      </c>
      <c r="B567" s="7" t="s">
        <v>345</v>
      </c>
      <c r="C567" t="s">
        <v>348</v>
      </c>
      <c r="D567" t="s">
        <v>3</v>
      </c>
      <c r="E567" s="2">
        <v>25</v>
      </c>
      <c r="F567" t="s">
        <v>710</v>
      </c>
    </row>
    <row r="568" spans="1:6">
      <c r="A568" s="1">
        <v>45867</v>
      </c>
      <c r="B568" s="7" t="s">
        <v>345</v>
      </c>
      <c r="C568" t="s">
        <v>349</v>
      </c>
      <c r="D568" t="s">
        <v>3</v>
      </c>
      <c r="E568" s="2">
        <v>1.8799999952316284</v>
      </c>
      <c r="F568" t="s">
        <v>710</v>
      </c>
    </row>
    <row r="569" spans="1:6">
      <c r="A569" s="1">
        <v>45867</v>
      </c>
      <c r="B569" s="7" t="s">
        <v>345</v>
      </c>
      <c r="C569" t="s">
        <v>350</v>
      </c>
      <c r="D569" t="s">
        <v>30</v>
      </c>
      <c r="E569" s="2">
        <v>380000</v>
      </c>
      <c r="F569" t="s">
        <v>710</v>
      </c>
    </row>
    <row r="570" spans="1:6">
      <c r="A570" s="1">
        <v>45867</v>
      </c>
      <c r="B570" s="7" t="s">
        <v>345</v>
      </c>
      <c r="C570" t="s">
        <v>351</v>
      </c>
      <c r="D570" t="s">
        <v>3</v>
      </c>
      <c r="E570" s="2">
        <v>50</v>
      </c>
      <c r="F570" t="s">
        <v>710</v>
      </c>
    </row>
    <row r="571" spans="1:6">
      <c r="A571" s="1">
        <v>45867</v>
      </c>
      <c r="B571" s="7" t="s">
        <v>345</v>
      </c>
      <c r="C571" t="s">
        <v>352</v>
      </c>
      <c r="D571" t="s">
        <v>3</v>
      </c>
      <c r="E571" s="2">
        <v>3.75</v>
      </c>
      <c r="F571" t="s">
        <v>710</v>
      </c>
    </row>
    <row r="572" spans="1:6">
      <c r="A572" s="1">
        <v>45867</v>
      </c>
      <c r="B572" s="7" t="s">
        <v>345</v>
      </c>
      <c r="C572" t="s">
        <v>353</v>
      </c>
      <c r="D572" t="s">
        <v>30</v>
      </c>
      <c r="E572" s="2">
        <v>-380000</v>
      </c>
      <c r="F572" t="s">
        <v>710</v>
      </c>
    </row>
    <row r="573" spans="1:6">
      <c r="A573" s="1">
        <v>45867</v>
      </c>
      <c r="B573" s="7" t="s">
        <v>345</v>
      </c>
      <c r="C573" t="s">
        <v>354</v>
      </c>
      <c r="D573" t="s">
        <v>30</v>
      </c>
      <c r="E573" s="2">
        <v>120000</v>
      </c>
      <c r="F573" t="s">
        <v>710</v>
      </c>
    </row>
    <row r="574" spans="1:6">
      <c r="A574" s="1">
        <v>45867</v>
      </c>
      <c r="B574" s="7" t="s">
        <v>345</v>
      </c>
      <c r="C574" t="s">
        <v>354</v>
      </c>
      <c r="D574" t="s">
        <v>3</v>
      </c>
      <c r="E574" s="2">
        <v>50</v>
      </c>
      <c r="F574" t="s">
        <v>710</v>
      </c>
    </row>
    <row r="575" spans="1:6">
      <c r="A575" s="1">
        <v>45867</v>
      </c>
      <c r="B575" s="7" t="s">
        <v>345</v>
      </c>
      <c r="C575" t="s">
        <v>354</v>
      </c>
      <c r="D575" t="s">
        <v>3</v>
      </c>
      <c r="E575" s="2">
        <v>3.75</v>
      </c>
      <c r="F575" t="s">
        <v>710</v>
      </c>
    </row>
    <row r="576" spans="1:6">
      <c r="A576" s="1">
        <v>45867</v>
      </c>
      <c r="B576" s="7" t="s">
        <v>345</v>
      </c>
      <c r="C576" t="s">
        <v>355</v>
      </c>
      <c r="D576" t="s">
        <v>3</v>
      </c>
      <c r="E576" s="2">
        <v>50</v>
      </c>
      <c r="F576" t="s">
        <v>710</v>
      </c>
    </row>
    <row r="577" spans="1:6">
      <c r="A577" s="1">
        <v>45868</v>
      </c>
      <c r="B577" s="7" t="s">
        <v>356</v>
      </c>
      <c r="C577" t="s">
        <v>357</v>
      </c>
      <c r="D577" t="s">
        <v>15</v>
      </c>
      <c r="E577" s="2">
        <v>32000</v>
      </c>
      <c r="F577" t="s">
        <v>710</v>
      </c>
    </row>
    <row r="578" spans="1:6">
      <c r="A578" s="1">
        <v>45868</v>
      </c>
      <c r="B578" s="7" t="s">
        <v>356</v>
      </c>
      <c r="C578" t="s">
        <v>357</v>
      </c>
      <c r="D578" t="s">
        <v>3</v>
      </c>
      <c r="E578" s="2">
        <v>25</v>
      </c>
      <c r="F578" t="s">
        <v>710</v>
      </c>
    </row>
    <row r="579" spans="1:6">
      <c r="A579" s="1">
        <v>45868</v>
      </c>
      <c r="B579" s="7" t="s">
        <v>356</v>
      </c>
      <c r="C579" t="s">
        <v>357</v>
      </c>
      <c r="D579" t="s">
        <v>3</v>
      </c>
      <c r="E579" s="2">
        <v>1.8799999952316284</v>
      </c>
      <c r="F579" t="s">
        <v>710</v>
      </c>
    </row>
    <row r="580" spans="1:6">
      <c r="A580" s="1">
        <v>45868</v>
      </c>
      <c r="B580" s="7" t="s">
        <v>356</v>
      </c>
      <c r="C580" t="s">
        <v>358</v>
      </c>
      <c r="D580" t="s">
        <v>15</v>
      </c>
      <c r="E580" s="2">
        <v>136400</v>
      </c>
      <c r="F580" t="s">
        <v>710</v>
      </c>
    </row>
    <row r="581" spans="1:6">
      <c r="A581" s="1">
        <v>45868</v>
      </c>
      <c r="B581" s="7" t="s">
        <v>356</v>
      </c>
      <c r="C581" t="s">
        <v>358</v>
      </c>
      <c r="D581" t="s">
        <v>3</v>
      </c>
      <c r="E581" s="2">
        <v>50</v>
      </c>
      <c r="F581" t="s">
        <v>710</v>
      </c>
    </row>
    <row r="582" spans="1:6">
      <c r="A582" s="1">
        <v>45868</v>
      </c>
      <c r="B582" s="7" t="s">
        <v>356</v>
      </c>
      <c r="C582" t="s">
        <v>358</v>
      </c>
      <c r="D582" t="s">
        <v>3</v>
      </c>
      <c r="E582" s="2">
        <v>3.75</v>
      </c>
      <c r="F582" t="s">
        <v>710</v>
      </c>
    </row>
    <row r="583" spans="1:6">
      <c r="A583" s="1">
        <v>45868</v>
      </c>
      <c r="B583" s="7" t="s">
        <v>356</v>
      </c>
      <c r="C583" t="s">
        <v>359</v>
      </c>
      <c r="D583" t="s">
        <v>15</v>
      </c>
      <c r="E583" s="2">
        <v>13300</v>
      </c>
      <c r="F583" t="s">
        <v>710</v>
      </c>
    </row>
    <row r="584" spans="1:6">
      <c r="A584" s="1">
        <v>45868</v>
      </c>
      <c r="B584" s="7" t="s">
        <v>356</v>
      </c>
      <c r="C584" t="s">
        <v>359</v>
      </c>
      <c r="D584" t="s">
        <v>3</v>
      </c>
      <c r="E584" s="2">
        <v>25</v>
      </c>
      <c r="F584" t="s">
        <v>710</v>
      </c>
    </row>
    <row r="585" spans="1:6">
      <c r="A585" s="1">
        <v>45868</v>
      </c>
      <c r="B585" s="7" t="s">
        <v>356</v>
      </c>
      <c r="C585" t="s">
        <v>359</v>
      </c>
      <c r="D585" t="s">
        <v>3</v>
      </c>
      <c r="E585" s="2">
        <v>1.8800000101327896</v>
      </c>
      <c r="F585" t="s">
        <v>710</v>
      </c>
    </row>
    <row r="586" spans="1:6">
      <c r="A586" s="1">
        <v>45868</v>
      </c>
      <c r="B586" s="7" t="s">
        <v>356</v>
      </c>
      <c r="C586" t="s">
        <v>360</v>
      </c>
      <c r="D586" t="s">
        <v>15</v>
      </c>
      <c r="E586" s="2">
        <v>136400</v>
      </c>
      <c r="F586" t="s">
        <v>710</v>
      </c>
    </row>
    <row r="587" spans="1:6">
      <c r="A587" s="1">
        <v>45868</v>
      </c>
      <c r="B587" s="7" t="s">
        <v>356</v>
      </c>
      <c r="C587" t="s">
        <v>360</v>
      </c>
      <c r="D587" t="s">
        <v>3</v>
      </c>
      <c r="E587" s="2">
        <v>50</v>
      </c>
      <c r="F587" t="s">
        <v>710</v>
      </c>
    </row>
    <row r="588" spans="1:6">
      <c r="A588" s="1">
        <v>45868</v>
      </c>
      <c r="B588" s="7" t="s">
        <v>356</v>
      </c>
      <c r="C588" t="s">
        <v>360</v>
      </c>
      <c r="D588" t="s">
        <v>3</v>
      </c>
      <c r="E588" s="2">
        <v>3.75</v>
      </c>
      <c r="F588" t="s">
        <v>710</v>
      </c>
    </row>
    <row r="589" spans="1:6">
      <c r="A589" s="1">
        <v>45868</v>
      </c>
      <c r="B589" s="7" t="s">
        <v>356</v>
      </c>
      <c r="C589" t="s">
        <v>361</v>
      </c>
      <c r="D589" t="s">
        <v>15</v>
      </c>
      <c r="E589" s="2">
        <v>20000</v>
      </c>
      <c r="F589" t="s">
        <v>710</v>
      </c>
    </row>
    <row r="590" spans="1:6">
      <c r="A590" s="1">
        <v>45868</v>
      </c>
      <c r="B590" s="7" t="s">
        <v>356</v>
      </c>
      <c r="C590" t="s">
        <v>361</v>
      </c>
      <c r="D590" t="s">
        <v>3</v>
      </c>
      <c r="E590" s="2">
        <v>25</v>
      </c>
      <c r="F590" t="s">
        <v>710</v>
      </c>
    </row>
    <row r="591" spans="1:6">
      <c r="A591" s="1">
        <v>45868</v>
      </c>
      <c r="B591" s="7" t="s">
        <v>356</v>
      </c>
      <c r="C591" t="s">
        <v>361</v>
      </c>
      <c r="D591" t="s">
        <v>3</v>
      </c>
      <c r="E591" s="2">
        <v>1.8799999952316284</v>
      </c>
      <c r="F591" t="s">
        <v>710</v>
      </c>
    </row>
    <row r="592" spans="1:6">
      <c r="A592" s="1">
        <v>45869</v>
      </c>
      <c r="B592" s="7" t="s">
        <v>362</v>
      </c>
      <c r="C592" t="s">
        <v>363</v>
      </c>
      <c r="D592" t="s">
        <v>4</v>
      </c>
      <c r="E592" s="2">
        <v>40000</v>
      </c>
      <c r="F592" t="s">
        <v>710</v>
      </c>
    </row>
    <row r="593" spans="1:6">
      <c r="A593" s="1">
        <v>45869</v>
      </c>
      <c r="B593" s="7" t="s">
        <v>362</v>
      </c>
      <c r="C593" t="s">
        <v>363</v>
      </c>
      <c r="D593" t="s">
        <v>3</v>
      </c>
      <c r="E593" s="2">
        <v>25</v>
      </c>
      <c r="F593" t="s">
        <v>710</v>
      </c>
    </row>
    <row r="594" spans="1:6">
      <c r="A594" s="1">
        <v>45869</v>
      </c>
      <c r="B594" s="7" t="s">
        <v>362</v>
      </c>
      <c r="C594" t="s">
        <v>363</v>
      </c>
      <c r="D594" t="s">
        <v>3</v>
      </c>
      <c r="E594" s="2">
        <v>1.8799999952316284</v>
      </c>
      <c r="F594" t="s">
        <v>710</v>
      </c>
    </row>
    <row r="595" spans="1:6">
      <c r="A595" s="1">
        <v>45869</v>
      </c>
      <c r="B595" s="7" t="s">
        <v>362</v>
      </c>
      <c r="C595" t="s">
        <v>364</v>
      </c>
      <c r="D595" t="s">
        <v>22</v>
      </c>
      <c r="E595" s="2">
        <v>950000</v>
      </c>
      <c r="F595" t="s">
        <v>710</v>
      </c>
    </row>
    <row r="596" spans="1:6">
      <c r="A596" s="1">
        <v>45869</v>
      </c>
      <c r="B596" s="7" t="s">
        <v>362</v>
      </c>
      <c r="C596" t="s">
        <v>365</v>
      </c>
      <c r="D596" t="s">
        <v>3</v>
      </c>
      <c r="E596" s="2">
        <v>50</v>
      </c>
      <c r="F596" t="s">
        <v>710</v>
      </c>
    </row>
    <row r="597" spans="1:6">
      <c r="A597" s="1">
        <v>45869</v>
      </c>
      <c r="B597" s="7" t="s">
        <v>362</v>
      </c>
      <c r="C597" t="s">
        <v>366</v>
      </c>
      <c r="D597" t="s">
        <v>3</v>
      </c>
      <c r="E597" s="2">
        <v>3.75</v>
      </c>
      <c r="F597" t="s">
        <v>710</v>
      </c>
    </row>
    <row r="598" spans="1:6">
      <c r="A598" s="1">
        <v>45869</v>
      </c>
      <c r="B598" s="7" t="s">
        <v>362</v>
      </c>
      <c r="C598" t="s">
        <v>367</v>
      </c>
      <c r="D598" t="s">
        <v>3</v>
      </c>
      <c r="E598" s="2">
        <v>1670.1000000089407</v>
      </c>
      <c r="F598" t="s">
        <v>710</v>
      </c>
    </row>
    <row r="599" spans="1:6">
      <c r="A599" s="1">
        <v>45869</v>
      </c>
      <c r="B599" s="7" t="s">
        <v>362</v>
      </c>
      <c r="C599" t="s">
        <v>368</v>
      </c>
      <c r="D599" t="s">
        <v>3</v>
      </c>
      <c r="E599" s="2">
        <v>22267.04999999702</v>
      </c>
      <c r="F599" t="s">
        <v>710</v>
      </c>
    </row>
    <row r="600" spans="1:6">
      <c r="A600" s="1">
        <v>45870</v>
      </c>
      <c r="B600" s="7" t="s">
        <v>362</v>
      </c>
      <c r="C600" t="s">
        <v>369</v>
      </c>
      <c r="D600" t="s">
        <v>10</v>
      </c>
      <c r="E600" s="2">
        <v>230942.25</v>
      </c>
      <c r="F600" t="s">
        <v>710</v>
      </c>
    </row>
    <row r="601" spans="1:6">
      <c r="A601" s="1">
        <v>45870</v>
      </c>
      <c r="B601" s="7" t="s">
        <v>362</v>
      </c>
      <c r="C601" t="s">
        <v>369</v>
      </c>
      <c r="D601" t="s">
        <v>3</v>
      </c>
      <c r="E601" s="2">
        <v>50</v>
      </c>
      <c r="F601" t="s">
        <v>710</v>
      </c>
    </row>
    <row r="602" spans="1:6">
      <c r="A602" s="1">
        <v>45870</v>
      </c>
      <c r="B602" s="7" t="s">
        <v>362</v>
      </c>
      <c r="C602" t="s">
        <v>369</v>
      </c>
      <c r="D602" t="s">
        <v>3</v>
      </c>
      <c r="E602" s="2">
        <v>3.75</v>
      </c>
      <c r="F602" t="s">
        <v>710</v>
      </c>
    </row>
    <row r="603" spans="1:6" s="10" customFormat="1">
      <c r="A603" s="8">
        <v>45869</v>
      </c>
      <c r="B603" s="9" t="s">
        <v>362</v>
      </c>
      <c r="C603" s="10" t="s">
        <v>717</v>
      </c>
      <c r="D603" s="10" t="s">
        <v>714</v>
      </c>
      <c r="E603" s="11">
        <v>-22153745.299999997</v>
      </c>
      <c r="F603" s="10" t="s">
        <v>710</v>
      </c>
    </row>
    <row r="604" spans="1:6">
      <c r="A604" s="1">
        <v>45870</v>
      </c>
      <c r="B604" s="7" t="s">
        <v>370</v>
      </c>
      <c r="C604" t="s">
        <v>371</v>
      </c>
      <c r="D604" t="s">
        <v>13</v>
      </c>
      <c r="E604" s="2">
        <v>170000</v>
      </c>
      <c r="F604" t="s">
        <v>710</v>
      </c>
    </row>
    <row r="605" spans="1:6">
      <c r="A605" s="1">
        <v>45870</v>
      </c>
      <c r="B605" s="7" t="s">
        <v>370</v>
      </c>
      <c r="C605" t="s">
        <v>371</v>
      </c>
      <c r="D605" t="s">
        <v>3</v>
      </c>
      <c r="E605" s="2">
        <v>50</v>
      </c>
      <c r="F605" t="s">
        <v>710</v>
      </c>
    </row>
    <row r="606" spans="1:6">
      <c r="A606" s="1">
        <v>45870</v>
      </c>
      <c r="B606" s="7" t="s">
        <v>370</v>
      </c>
      <c r="C606" t="s">
        <v>371</v>
      </c>
      <c r="D606" t="s">
        <v>3</v>
      </c>
      <c r="E606" s="2">
        <v>3.75</v>
      </c>
      <c r="F606" t="s">
        <v>710</v>
      </c>
    </row>
    <row r="607" spans="1:6">
      <c r="A607" s="1">
        <v>45870</v>
      </c>
      <c r="B607" s="7" t="s">
        <v>370</v>
      </c>
      <c r="C607" t="s">
        <v>372</v>
      </c>
      <c r="D607" t="s">
        <v>3</v>
      </c>
      <c r="E607" s="2">
        <v>230.93999999761581</v>
      </c>
      <c r="F607" t="s">
        <v>710</v>
      </c>
    </row>
    <row r="608" spans="1:6">
      <c r="A608" s="1">
        <v>45870</v>
      </c>
      <c r="B608" s="7" t="s">
        <v>370</v>
      </c>
      <c r="C608" t="s">
        <v>373</v>
      </c>
      <c r="D608" t="s">
        <v>3</v>
      </c>
      <c r="E608" s="2">
        <v>17.319999992847443</v>
      </c>
      <c r="F608" t="s">
        <v>710</v>
      </c>
    </row>
    <row r="609" spans="1:6">
      <c r="A609" s="1">
        <v>45870</v>
      </c>
      <c r="B609" s="7" t="s">
        <v>370</v>
      </c>
      <c r="C609" t="s">
        <v>374</v>
      </c>
      <c r="D609" t="s">
        <v>6</v>
      </c>
      <c r="E609" s="2">
        <v>1300000</v>
      </c>
      <c r="F609" t="s">
        <v>710</v>
      </c>
    </row>
    <row r="610" spans="1:6">
      <c r="A610" s="1">
        <v>45870</v>
      </c>
      <c r="B610" s="7" t="s">
        <v>370</v>
      </c>
      <c r="C610" t="s">
        <v>375</v>
      </c>
      <c r="D610" t="s">
        <v>3</v>
      </c>
      <c r="E610" s="2">
        <v>50</v>
      </c>
      <c r="F610" t="s">
        <v>710</v>
      </c>
    </row>
    <row r="611" spans="1:6">
      <c r="A611" s="1">
        <v>45870</v>
      </c>
      <c r="B611" s="7" t="s">
        <v>370</v>
      </c>
      <c r="C611" t="s">
        <v>376</v>
      </c>
      <c r="D611" t="s">
        <v>3</v>
      </c>
      <c r="E611" s="2">
        <v>3.75</v>
      </c>
      <c r="F611" t="s">
        <v>710</v>
      </c>
    </row>
    <row r="612" spans="1:6">
      <c r="A612" s="1">
        <v>45870</v>
      </c>
      <c r="B612" s="7" t="s">
        <v>370</v>
      </c>
      <c r="C612" t="s">
        <v>377</v>
      </c>
      <c r="D612" t="s">
        <v>19</v>
      </c>
      <c r="E612" s="2">
        <v>36116.760000005364</v>
      </c>
      <c r="F612" t="s">
        <v>710</v>
      </c>
    </row>
    <row r="613" spans="1:6">
      <c r="A613" s="1">
        <v>45870</v>
      </c>
      <c r="B613" s="7" t="s">
        <v>370</v>
      </c>
      <c r="C613" t="s">
        <v>377</v>
      </c>
      <c r="D613" t="s">
        <v>3</v>
      </c>
      <c r="E613" s="2">
        <v>25</v>
      </c>
      <c r="F613" t="s">
        <v>710</v>
      </c>
    </row>
    <row r="614" spans="1:6">
      <c r="A614" s="1">
        <v>45870</v>
      </c>
      <c r="B614" s="7" t="s">
        <v>370</v>
      </c>
      <c r="C614" t="s">
        <v>377</v>
      </c>
      <c r="D614" t="s">
        <v>3</v>
      </c>
      <c r="E614" s="2">
        <v>1.8799999952316284</v>
      </c>
      <c r="F614" t="s">
        <v>710</v>
      </c>
    </row>
    <row r="615" spans="1:6">
      <c r="A615" s="1">
        <v>45870</v>
      </c>
      <c r="B615" s="7" t="s">
        <v>370</v>
      </c>
      <c r="C615" t="s">
        <v>378</v>
      </c>
      <c r="D615" t="s">
        <v>26</v>
      </c>
      <c r="E615" s="2">
        <v>-20700</v>
      </c>
      <c r="F615" t="s">
        <v>710</v>
      </c>
    </row>
    <row r="616" spans="1:6">
      <c r="A616" s="1">
        <v>45870</v>
      </c>
      <c r="B616" s="7" t="s">
        <v>370</v>
      </c>
      <c r="C616" t="s">
        <v>379</v>
      </c>
      <c r="D616" t="s">
        <v>3</v>
      </c>
      <c r="E616" s="2">
        <v>50</v>
      </c>
      <c r="F616" t="s">
        <v>710</v>
      </c>
    </row>
    <row r="617" spans="1:6">
      <c r="A617" s="1">
        <v>45873</v>
      </c>
      <c r="B617" s="7" t="s">
        <v>380</v>
      </c>
      <c r="C617" t="s">
        <v>381</v>
      </c>
      <c r="D617" t="s">
        <v>15</v>
      </c>
      <c r="E617" s="2">
        <v>146000</v>
      </c>
      <c r="F617" t="s">
        <v>710</v>
      </c>
    </row>
    <row r="618" spans="1:6">
      <c r="A618" s="1">
        <v>45873</v>
      </c>
      <c r="B618" s="7" t="s">
        <v>380</v>
      </c>
      <c r="C618" t="s">
        <v>381</v>
      </c>
      <c r="D618" t="s">
        <v>3</v>
      </c>
      <c r="E618" s="2">
        <v>50</v>
      </c>
      <c r="F618" t="s">
        <v>710</v>
      </c>
    </row>
    <row r="619" spans="1:6">
      <c r="A619" s="1">
        <v>45873</v>
      </c>
      <c r="B619" s="7" t="s">
        <v>380</v>
      </c>
      <c r="C619" t="s">
        <v>381</v>
      </c>
      <c r="D619" t="s">
        <v>3</v>
      </c>
      <c r="E619" s="2">
        <v>3.75</v>
      </c>
      <c r="F619" t="s">
        <v>710</v>
      </c>
    </row>
    <row r="620" spans="1:6">
      <c r="A620" s="1">
        <v>45873</v>
      </c>
      <c r="B620" s="7" t="s">
        <v>380</v>
      </c>
      <c r="C620" t="s">
        <v>382</v>
      </c>
      <c r="D620" t="s">
        <v>15</v>
      </c>
      <c r="E620" s="2">
        <v>25000</v>
      </c>
      <c r="F620" t="s">
        <v>710</v>
      </c>
    </row>
    <row r="621" spans="1:6">
      <c r="A621" s="1">
        <v>45873</v>
      </c>
      <c r="B621" s="7" t="s">
        <v>380</v>
      </c>
      <c r="C621" t="s">
        <v>382</v>
      </c>
      <c r="D621" t="s">
        <v>3</v>
      </c>
      <c r="E621" s="2">
        <v>25</v>
      </c>
      <c r="F621" t="s">
        <v>710</v>
      </c>
    </row>
    <row r="622" spans="1:6">
      <c r="A622" s="1">
        <v>45873</v>
      </c>
      <c r="B622" s="7" t="s">
        <v>380</v>
      </c>
      <c r="C622" t="s">
        <v>382</v>
      </c>
      <c r="D622" t="s">
        <v>3</v>
      </c>
      <c r="E622" s="2">
        <v>1.8800000101327896</v>
      </c>
      <c r="F622" t="s">
        <v>710</v>
      </c>
    </row>
    <row r="623" spans="1:6">
      <c r="A623" s="1">
        <v>45873</v>
      </c>
      <c r="B623" s="7" t="s">
        <v>380</v>
      </c>
      <c r="C623" t="s">
        <v>383</v>
      </c>
      <c r="D623" t="s">
        <v>19</v>
      </c>
      <c r="E623" s="2">
        <v>4791366</v>
      </c>
      <c r="F623" t="s">
        <v>710</v>
      </c>
    </row>
    <row r="624" spans="1:6">
      <c r="A624" s="1">
        <v>45873</v>
      </c>
      <c r="B624" s="7" t="s">
        <v>380</v>
      </c>
      <c r="C624" t="s">
        <v>384</v>
      </c>
      <c r="D624" t="s">
        <v>3</v>
      </c>
      <c r="E624" s="2">
        <v>50</v>
      </c>
      <c r="F624" t="s">
        <v>710</v>
      </c>
    </row>
    <row r="625" spans="1:6">
      <c r="A625" s="1">
        <v>45873</v>
      </c>
      <c r="B625" s="7" t="s">
        <v>380</v>
      </c>
      <c r="C625" t="s">
        <v>385</v>
      </c>
      <c r="D625" t="s">
        <v>3</v>
      </c>
      <c r="E625" s="2">
        <v>3.75</v>
      </c>
      <c r="F625" t="s">
        <v>710</v>
      </c>
    </row>
    <row r="626" spans="1:6">
      <c r="A626" s="1">
        <v>45873</v>
      </c>
      <c r="B626" s="7" t="s">
        <v>380</v>
      </c>
      <c r="C626" t="s">
        <v>383</v>
      </c>
      <c r="D626" t="s">
        <v>19</v>
      </c>
      <c r="E626" s="2">
        <v>-4791366</v>
      </c>
      <c r="F626" t="s">
        <v>710</v>
      </c>
    </row>
    <row r="627" spans="1:6">
      <c r="A627" s="1">
        <v>45873</v>
      </c>
      <c r="B627" s="7" t="s">
        <v>380</v>
      </c>
      <c r="C627" t="s">
        <v>384</v>
      </c>
      <c r="D627" t="s">
        <v>3</v>
      </c>
      <c r="E627" s="2">
        <v>-50</v>
      </c>
      <c r="F627" t="s">
        <v>710</v>
      </c>
    </row>
    <row r="628" spans="1:6">
      <c r="A628" s="1">
        <v>45873</v>
      </c>
      <c r="B628" s="7" t="s">
        <v>380</v>
      </c>
      <c r="C628" t="s">
        <v>385</v>
      </c>
      <c r="D628" t="s">
        <v>3</v>
      </c>
      <c r="E628" s="2">
        <v>-3.75</v>
      </c>
      <c r="F628" t="s">
        <v>710</v>
      </c>
    </row>
    <row r="629" spans="1:6">
      <c r="A629" s="1">
        <v>45873</v>
      </c>
      <c r="B629" s="7" t="s">
        <v>380</v>
      </c>
      <c r="C629" t="s">
        <v>386</v>
      </c>
      <c r="D629" t="s">
        <v>19</v>
      </c>
      <c r="E629" s="2">
        <v>4791366</v>
      </c>
      <c r="F629" t="s">
        <v>710</v>
      </c>
    </row>
    <row r="630" spans="1:6">
      <c r="A630" s="1">
        <v>45873</v>
      </c>
      <c r="B630" s="7" t="s">
        <v>380</v>
      </c>
      <c r="C630" t="s">
        <v>387</v>
      </c>
      <c r="D630" t="s">
        <v>3</v>
      </c>
      <c r="E630" s="2">
        <v>50</v>
      </c>
      <c r="F630" t="s">
        <v>710</v>
      </c>
    </row>
    <row r="631" spans="1:6">
      <c r="A631" s="1">
        <v>45873</v>
      </c>
      <c r="B631" s="7" t="s">
        <v>380</v>
      </c>
      <c r="C631" t="s">
        <v>388</v>
      </c>
      <c r="D631" t="s">
        <v>3</v>
      </c>
      <c r="E631" s="2">
        <v>3.75</v>
      </c>
      <c r="F631" t="s">
        <v>710</v>
      </c>
    </row>
    <row r="632" spans="1:6">
      <c r="A632" s="1">
        <v>45873</v>
      </c>
      <c r="B632" s="7" t="s">
        <v>380</v>
      </c>
      <c r="C632" t="s">
        <v>389</v>
      </c>
      <c r="D632" t="s">
        <v>31</v>
      </c>
      <c r="E632" s="2">
        <v>100000</v>
      </c>
      <c r="F632" t="s">
        <v>710</v>
      </c>
    </row>
    <row r="633" spans="1:6">
      <c r="A633" s="1">
        <v>45873</v>
      </c>
      <c r="B633" s="7" t="s">
        <v>380</v>
      </c>
      <c r="C633" t="s">
        <v>389</v>
      </c>
      <c r="D633" t="s">
        <v>3</v>
      </c>
      <c r="E633" s="2">
        <v>50</v>
      </c>
      <c r="F633" t="s">
        <v>710</v>
      </c>
    </row>
    <row r="634" spans="1:6">
      <c r="A634" s="1">
        <v>45873</v>
      </c>
      <c r="B634" s="7" t="s">
        <v>380</v>
      </c>
      <c r="C634" t="s">
        <v>389</v>
      </c>
      <c r="D634" t="s">
        <v>3</v>
      </c>
      <c r="E634" s="2">
        <v>3.75</v>
      </c>
      <c r="F634" t="s">
        <v>710</v>
      </c>
    </row>
    <row r="635" spans="1:6">
      <c r="A635" s="1">
        <v>45873</v>
      </c>
      <c r="B635" s="7" t="s">
        <v>380</v>
      </c>
      <c r="C635" t="s">
        <v>390</v>
      </c>
      <c r="D635" t="s">
        <v>8</v>
      </c>
      <c r="E635" s="2">
        <v>15750</v>
      </c>
      <c r="F635" t="s">
        <v>710</v>
      </c>
    </row>
    <row r="636" spans="1:6">
      <c r="A636" s="1">
        <v>45873</v>
      </c>
      <c r="B636" s="7" t="s">
        <v>380</v>
      </c>
      <c r="C636" t="s">
        <v>390</v>
      </c>
      <c r="D636" t="s">
        <v>3</v>
      </c>
      <c r="E636" s="2">
        <v>25</v>
      </c>
      <c r="F636" t="s">
        <v>710</v>
      </c>
    </row>
    <row r="637" spans="1:6">
      <c r="A637" s="1">
        <v>45873</v>
      </c>
      <c r="B637" s="7" t="s">
        <v>380</v>
      </c>
      <c r="C637" t="s">
        <v>390</v>
      </c>
      <c r="D637" t="s">
        <v>3</v>
      </c>
      <c r="E637" s="2">
        <v>1.8799999952316284</v>
      </c>
      <c r="F637" t="s">
        <v>710</v>
      </c>
    </row>
    <row r="638" spans="1:6">
      <c r="A638" s="1">
        <v>45873</v>
      </c>
      <c r="B638" s="7" t="s">
        <v>380</v>
      </c>
      <c r="C638" t="s">
        <v>391</v>
      </c>
      <c r="D638" t="s">
        <v>31</v>
      </c>
      <c r="E638" s="2">
        <v>80000</v>
      </c>
      <c r="F638" t="s">
        <v>710</v>
      </c>
    </row>
    <row r="639" spans="1:6">
      <c r="A639" s="1">
        <v>45873</v>
      </c>
      <c r="B639" s="7" t="s">
        <v>380</v>
      </c>
      <c r="C639" t="s">
        <v>391</v>
      </c>
      <c r="D639" t="s">
        <v>3</v>
      </c>
      <c r="E639" s="2">
        <v>50</v>
      </c>
      <c r="F639" t="s">
        <v>710</v>
      </c>
    </row>
    <row r="640" spans="1:6">
      <c r="A640" s="1">
        <v>45873</v>
      </c>
      <c r="B640" s="7" t="s">
        <v>380</v>
      </c>
      <c r="C640" t="s">
        <v>391</v>
      </c>
      <c r="D640" t="s">
        <v>3</v>
      </c>
      <c r="E640" s="2">
        <v>3.75</v>
      </c>
      <c r="F640" t="s">
        <v>710</v>
      </c>
    </row>
    <row r="641" spans="1:6">
      <c r="A641" s="1">
        <v>45873</v>
      </c>
      <c r="B641" s="7" t="s">
        <v>380</v>
      </c>
      <c r="C641" t="s">
        <v>392</v>
      </c>
      <c r="D641" t="s">
        <v>708</v>
      </c>
      <c r="E641" s="2">
        <v>240000</v>
      </c>
      <c r="F641" t="s">
        <v>710</v>
      </c>
    </row>
    <row r="642" spans="1:6">
      <c r="A642" s="1">
        <v>45873</v>
      </c>
      <c r="B642" s="7" t="s">
        <v>380</v>
      </c>
      <c r="C642" t="s">
        <v>392</v>
      </c>
      <c r="D642" t="s">
        <v>3</v>
      </c>
      <c r="E642" s="2">
        <v>50</v>
      </c>
      <c r="F642" t="s">
        <v>710</v>
      </c>
    </row>
    <row r="643" spans="1:6">
      <c r="A643" s="1">
        <v>45873</v>
      </c>
      <c r="B643" s="7" t="s">
        <v>380</v>
      </c>
      <c r="C643" t="s">
        <v>392</v>
      </c>
      <c r="D643" t="s">
        <v>3</v>
      </c>
      <c r="E643" s="2">
        <v>3.75</v>
      </c>
      <c r="F643" t="s">
        <v>710</v>
      </c>
    </row>
    <row r="644" spans="1:6">
      <c r="A644" s="1">
        <v>45874</v>
      </c>
      <c r="B644" s="7" t="s">
        <v>393</v>
      </c>
      <c r="C644" t="s">
        <v>394</v>
      </c>
      <c r="D644" t="s">
        <v>32</v>
      </c>
      <c r="E644" s="2">
        <v>2218342</v>
      </c>
      <c r="F644" t="s">
        <v>710</v>
      </c>
    </row>
    <row r="645" spans="1:6">
      <c r="A645" s="1">
        <v>45874</v>
      </c>
      <c r="B645" s="7" t="s">
        <v>393</v>
      </c>
      <c r="C645" t="s">
        <v>395</v>
      </c>
      <c r="D645" t="s">
        <v>3</v>
      </c>
      <c r="E645" s="2">
        <v>50</v>
      </c>
      <c r="F645" t="s">
        <v>710</v>
      </c>
    </row>
    <row r="646" spans="1:6">
      <c r="A646" s="1">
        <v>45874</v>
      </c>
      <c r="B646" s="7" t="s">
        <v>393</v>
      </c>
      <c r="C646" t="s">
        <v>396</v>
      </c>
      <c r="D646" t="s">
        <v>3</v>
      </c>
      <c r="E646" s="2">
        <v>3.75</v>
      </c>
      <c r="F646" t="s">
        <v>710</v>
      </c>
    </row>
    <row r="647" spans="1:6">
      <c r="A647" s="1">
        <v>45874</v>
      </c>
      <c r="B647" s="7" t="s">
        <v>393</v>
      </c>
      <c r="C647" t="s">
        <v>397</v>
      </c>
      <c r="D647" t="s">
        <v>29</v>
      </c>
      <c r="E647" s="2">
        <v>75600</v>
      </c>
      <c r="F647" t="s">
        <v>710</v>
      </c>
    </row>
    <row r="648" spans="1:6">
      <c r="A648" s="1">
        <v>45874</v>
      </c>
      <c r="B648" s="7" t="s">
        <v>393</v>
      </c>
      <c r="C648" t="s">
        <v>397</v>
      </c>
      <c r="D648" t="s">
        <v>3</v>
      </c>
      <c r="E648" s="2">
        <v>50</v>
      </c>
      <c r="F648" t="s">
        <v>710</v>
      </c>
    </row>
    <row r="649" spans="1:6">
      <c r="A649" s="1">
        <v>45874</v>
      </c>
      <c r="B649" s="7" t="s">
        <v>393</v>
      </c>
      <c r="C649" t="s">
        <v>397</v>
      </c>
      <c r="D649" t="s">
        <v>3</v>
      </c>
      <c r="E649" s="2">
        <v>3.75</v>
      </c>
      <c r="F649" t="s">
        <v>710</v>
      </c>
    </row>
    <row r="650" spans="1:6">
      <c r="A650" s="1">
        <v>45875</v>
      </c>
      <c r="B650" s="7" t="s">
        <v>398</v>
      </c>
      <c r="C650" t="s">
        <v>399</v>
      </c>
      <c r="D650" t="s">
        <v>8</v>
      </c>
      <c r="E650" s="2">
        <v>121281.25</v>
      </c>
      <c r="F650" t="s">
        <v>710</v>
      </c>
    </row>
    <row r="651" spans="1:6">
      <c r="A651" s="1">
        <v>45875</v>
      </c>
      <c r="B651" s="7" t="s">
        <v>398</v>
      </c>
      <c r="C651" t="s">
        <v>399</v>
      </c>
      <c r="D651" t="s">
        <v>3</v>
      </c>
      <c r="E651" s="2">
        <v>50</v>
      </c>
      <c r="F651" t="s">
        <v>710</v>
      </c>
    </row>
    <row r="652" spans="1:6">
      <c r="A652" s="1">
        <v>45875</v>
      </c>
      <c r="B652" s="7" t="s">
        <v>398</v>
      </c>
      <c r="C652" t="s">
        <v>399</v>
      </c>
      <c r="D652" t="s">
        <v>3</v>
      </c>
      <c r="E652" s="2">
        <v>3.75</v>
      </c>
      <c r="F652" t="s">
        <v>710</v>
      </c>
    </row>
    <row r="653" spans="1:6">
      <c r="A653" s="1">
        <v>45875</v>
      </c>
      <c r="B653" s="7" t="s">
        <v>398</v>
      </c>
      <c r="C653" t="s">
        <v>400</v>
      </c>
      <c r="D653" t="s">
        <v>19</v>
      </c>
      <c r="E653" s="2">
        <v>-729742</v>
      </c>
      <c r="F653" t="s">
        <v>710</v>
      </c>
    </row>
    <row r="654" spans="1:6">
      <c r="A654" s="1">
        <v>45876</v>
      </c>
      <c r="B654" s="7" t="s">
        <v>398</v>
      </c>
      <c r="C654" t="s">
        <v>401</v>
      </c>
      <c r="D654" t="s">
        <v>26</v>
      </c>
      <c r="E654" s="2">
        <v>322000</v>
      </c>
      <c r="F654" t="s">
        <v>710</v>
      </c>
    </row>
    <row r="655" spans="1:6">
      <c r="A655" s="1">
        <v>45876</v>
      </c>
      <c r="B655" s="7" t="s">
        <v>398</v>
      </c>
      <c r="C655" t="s">
        <v>401</v>
      </c>
      <c r="D655" t="s">
        <v>3</v>
      </c>
      <c r="E655" s="2">
        <v>50</v>
      </c>
      <c r="F655" t="s">
        <v>710</v>
      </c>
    </row>
    <row r="656" spans="1:6">
      <c r="A656" s="1">
        <v>45876</v>
      </c>
      <c r="B656" s="7" t="s">
        <v>398</v>
      </c>
      <c r="C656" t="s">
        <v>401</v>
      </c>
      <c r="D656" t="s">
        <v>3</v>
      </c>
      <c r="E656" s="2">
        <v>3.75</v>
      </c>
      <c r="F656" t="s">
        <v>710</v>
      </c>
    </row>
    <row r="657" spans="1:6">
      <c r="A657" s="1">
        <v>45876</v>
      </c>
      <c r="B657" s="7" t="s">
        <v>402</v>
      </c>
      <c r="C657" t="s">
        <v>403</v>
      </c>
      <c r="D657" t="s">
        <v>19</v>
      </c>
      <c r="E657" s="2">
        <v>1085847.8400000036</v>
      </c>
      <c r="F657" t="s">
        <v>710</v>
      </c>
    </row>
    <row r="658" spans="1:6">
      <c r="A658" s="1">
        <v>45876</v>
      </c>
      <c r="B658" s="7" t="s">
        <v>402</v>
      </c>
      <c r="C658" t="s">
        <v>404</v>
      </c>
      <c r="D658" t="s">
        <v>3</v>
      </c>
      <c r="E658" s="2">
        <v>50</v>
      </c>
      <c r="F658" t="s">
        <v>710</v>
      </c>
    </row>
    <row r="659" spans="1:6">
      <c r="A659" s="1">
        <v>45876</v>
      </c>
      <c r="B659" s="7" t="s">
        <v>402</v>
      </c>
      <c r="C659" t="s">
        <v>405</v>
      </c>
      <c r="D659" t="s">
        <v>3</v>
      </c>
      <c r="E659" s="2">
        <v>3.75</v>
      </c>
      <c r="F659" t="s">
        <v>710</v>
      </c>
    </row>
    <row r="660" spans="1:6">
      <c r="A660" s="1">
        <v>45876</v>
      </c>
      <c r="B660" s="7" t="s">
        <v>402</v>
      </c>
      <c r="C660" t="s">
        <v>406</v>
      </c>
      <c r="D660" t="s">
        <v>3</v>
      </c>
      <c r="E660" s="2">
        <v>50</v>
      </c>
      <c r="F660" t="s">
        <v>710</v>
      </c>
    </row>
    <row r="661" spans="1:6">
      <c r="A661" s="1">
        <v>45880</v>
      </c>
      <c r="B661" s="7" t="s">
        <v>407</v>
      </c>
      <c r="C661" t="s">
        <v>408</v>
      </c>
      <c r="D661" t="s">
        <v>26</v>
      </c>
      <c r="E661" s="2">
        <v>217000</v>
      </c>
      <c r="F661" t="s">
        <v>710</v>
      </c>
    </row>
    <row r="662" spans="1:6">
      <c r="A662" s="1">
        <v>45880</v>
      </c>
      <c r="B662" s="7" t="s">
        <v>407</v>
      </c>
      <c r="C662" t="s">
        <v>408</v>
      </c>
      <c r="D662" t="s">
        <v>3</v>
      </c>
      <c r="E662" s="2">
        <v>50</v>
      </c>
      <c r="F662" t="s">
        <v>710</v>
      </c>
    </row>
    <row r="663" spans="1:6">
      <c r="A663" s="1">
        <v>45880</v>
      </c>
      <c r="B663" s="7" t="s">
        <v>407</v>
      </c>
      <c r="C663" t="s">
        <v>408</v>
      </c>
      <c r="D663" t="s">
        <v>3</v>
      </c>
      <c r="E663" s="2">
        <v>3.75</v>
      </c>
      <c r="F663" t="s">
        <v>710</v>
      </c>
    </row>
    <row r="664" spans="1:6">
      <c r="A664" s="1">
        <v>45880</v>
      </c>
      <c r="B664" s="7" t="s">
        <v>407</v>
      </c>
      <c r="C664" t="s">
        <v>409</v>
      </c>
      <c r="D664" t="s">
        <v>26</v>
      </c>
      <c r="E664" s="2">
        <v>203000</v>
      </c>
      <c r="F664" t="s">
        <v>710</v>
      </c>
    </row>
    <row r="665" spans="1:6">
      <c r="A665" s="1">
        <v>45880</v>
      </c>
      <c r="B665" s="7" t="s">
        <v>407</v>
      </c>
      <c r="C665" t="s">
        <v>409</v>
      </c>
      <c r="D665" t="s">
        <v>3</v>
      </c>
      <c r="E665" s="2">
        <v>50</v>
      </c>
      <c r="F665" t="s">
        <v>710</v>
      </c>
    </row>
    <row r="666" spans="1:6">
      <c r="A666" s="1">
        <v>45880</v>
      </c>
      <c r="B666" s="7" t="s">
        <v>407</v>
      </c>
      <c r="C666" t="s">
        <v>409</v>
      </c>
      <c r="D666" t="s">
        <v>3</v>
      </c>
      <c r="E666" s="2">
        <v>3.75</v>
      </c>
      <c r="F666" t="s">
        <v>710</v>
      </c>
    </row>
    <row r="667" spans="1:6">
      <c r="A667" s="1">
        <v>45882</v>
      </c>
      <c r="B667" s="7" t="s">
        <v>410</v>
      </c>
      <c r="C667" t="s">
        <v>411</v>
      </c>
      <c r="D667" t="s">
        <v>29</v>
      </c>
      <c r="E667" s="2">
        <v>20000</v>
      </c>
      <c r="F667" t="s">
        <v>710</v>
      </c>
    </row>
    <row r="668" spans="1:6">
      <c r="A668" s="1">
        <v>45882</v>
      </c>
      <c r="B668" s="7" t="s">
        <v>410</v>
      </c>
      <c r="C668" t="s">
        <v>411</v>
      </c>
      <c r="D668" t="s">
        <v>3</v>
      </c>
      <c r="E668" s="2">
        <v>25</v>
      </c>
      <c r="F668" t="s">
        <v>710</v>
      </c>
    </row>
    <row r="669" spans="1:6">
      <c r="A669" s="1">
        <v>45882</v>
      </c>
      <c r="B669" s="7" t="s">
        <v>410</v>
      </c>
      <c r="C669" t="s">
        <v>411</v>
      </c>
      <c r="D669" t="s">
        <v>3</v>
      </c>
      <c r="E669" s="2">
        <v>1.8799999952316284</v>
      </c>
      <c r="F669" t="s">
        <v>710</v>
      </c>
    </row>
    <row r="670" spans="1:6">
      <c r="A670" s="1">
        <v>45882</v>
      </c>
      <c r="B670" s="7" t="s">
        <v>412</v>
      </c>
      <c r="C670" t="s">
        <v>413</v>
      </c>
      <c r="D670" t="s">
        <v>29</v>
      </c>
      <c r="E670" s="2">
        <v>110000</v>
      </c>
      <c r="F670" t="s">
        <v>710</v>
      </c>
    </row>
    <row r="671" spans="1:6">
      <c r="A671" s="1">
        <v>45882</v>
      </c>
      <c r="B671" s="7" t="s">
        <v>412</v>
      </c>
      <c r="C671" t="s">
        <v>413</v>
      </c>
      <c r="D671" t="s">
        <v>3</v>
      </c>
      <c r="E671" s="2">
        <v>50</v>
      </c>
      <c r="F671" t="s">
        <v>710</v>
      </c>
    </row>
    <row r="672" spans="1:6">
      <c r="A672" s="1">
        <v>45882</v>
      </c>
      <c r="B672" s="7" t="s">
        <v>412</v>
      </c>
      <c r="C672" t="s">
        <v>413</v>
      </c>
      <c r="D672" t="s">
        <v>3</v>
      </c>
      <c r="E672" s="2">
        <v>3.75</v>
      </c>
      <c r="F672" t="s">
        <v>710</v>
      </c>
    </row>
    <row r="673" spans="1:6">
      <c r="A673" s="1">
        <v>45883</v>
      </c>
      <c r="B673" s="7" t="s">
        <v>414</v>
      </c>
      <c r="C673" t="s">
        <v>415</v>
      </c>
      <c r="D673" t="s">
        <v>708</v>
      </c>
      <c r="E673" s="2">
        <v>320000</v>
      </c>
      <c r="F673" t="s">
        <v>710</v>
      </c>
    </row>
    <row r="674" spans="1:6">
      <c r="A674" s="1">
        <v>45883</v>
      </c>
      <c r="B674" s="7" t="s">
        <v>414</v>
      </c>
      <c r="C674" t="s">
        <v>415</v>
      </c>
      <c r="D674" t="s">
        <v>3</v>
      </c>
      <c r="E674" s="2">
        <v>50</v>
      </c>
      <c r="F674" t="s">
        <v>710</v>
      </c>
    </row>
    <row r="675" spans="1:6">
      <c r="A675" s="1">
        <v>45883</v>
      </c>
      <c r="B675" s="7" t="s">
        <v>414</v>
      </c>
      <c r="C675" t="s">
        <v>415</v>
      </c>
      <c r="D675" t="s">
        <v>3</v>
      </c>
      <c r="E675" s="2">
        <v>3.75</v>
      </c>
      <c r="F675" t="s">
        <v>710</v>
      </c>
    </row>
    <row r="676" spans="1:6">
      <c r="A676" s="1">
        <v>45884</v>
      </c>
      <c r="B676" s="7" t="s">
        <v>416</v>
      </c>
      <c r="C676" t="s">
        <v>417</v>
      </c>
      <c r="D676" t="s">
        <v>4</v>
      </c>
      <c r="E676" s="2">
        <v>32000</v>
      </c>
      <c r="F676" t="s">
        <v>710</v>
      </c>
    </row>
    <row r="677" spans="1:6">
      <c r="A677" s="1">
        <v>45884</v>
      </c>
      <c r="B677" s="7" t="s">
        <v>416</v>
      </c>
      <c r="C677" t="s">
        <v>417</v>
      </c>
      <c r="D677" t="s">
        <v>3</v>
      </c>
      <c r="E677" s="2">
        <v>25</v>
      </c>
      <c r="F677" t="s">
        <v>710</v>
      </c>
    </row>
    <row r="678" spans="1:6">
      <c r="A678" s="1">
        <v>45884</v>
      </c>
      <c r="B678" s="7" t="s">
        <v>416</v>
      </c>
      <c r="C678" t="s">
        <v>417</v>
      </c>
      <c r="D678" t="s">
        <v>3</v>
      </c>
      <c r="E678" s="2">
        <v>1.8799999952316284</v>
      </c>
      <c r="F678" t="s">
        <v>710</v>
      </c>
    </row>
    <row r="679" spans="1:6">
      <c r="A679" s="1">
        <v>45888</v>
      </c>
      <c r="B679" s="7" t="s">
        <v>418</v>
      </c>
      <c r="C679" t="s">
        <v>419</v>
      </c>
      <c r="D679" t="s">
        <v>4</v>
      </c>
      <c r="E679" s="2">
        <v>295000</v>
      </c>
      <c r="F679" t="s">
        <v>710</v>
      </c>
    </row>
    <row r="680" spans="1:6">
      <c r="A680" s="1">
        <v>45888</v>
      </c>
      <c r="B680" s="7" t="s">
        <v>418</v>
      </c>
      <c r="C680" t="s">
        <v>419</v>
      </c>
      <c r="D680" t="s">
        <v>3</v>
      </c>
      <c r="E680" s="2">
        <v>50</v>
      </c>
      <c r="F680" t="s">
        <v>710</v>
      </c>
    </row>
    <row r="681" spans="1:6">
      <c r="A681" s="1">
        <v>45888</v>
      </c>
      <c r="B681" s="7" t="s">
        <v>418</v>
      </c>
      <c r="C681" t="s">
        <v>419</v>
      </c>
      <c r="D681" t="s">
        <v>3</v>
      </c>
      <c r="E681" s="2">
        <v>3.75</v>
      </c>
      <c r="F681" t="s">
        <v>710</v>
      </c>
    </row>
    <row r="682" spans="1:6">
      <c r="A682" s="1">
        <v>45888</v>
      </c>
      <c r="B682" s="7" t="s">
        <v>418</v>
      </c>
      <c r="C682" t="s">
        <v>420</v>
      </c>
      <c r="D682" t="s">
        <v>29</v>
      </c>
      <c r="E682" s="2">
        <v>34500</v>
      </c>
      <c r="F682" t="s">
        <v>710</v>
      </c>
    </row>
    <row r="683" spans="1:6">
      <c r="A683" s="1">
        <v>45888</v>
      </c>
      <c r="B683" s="7" t="s">
        <v>418</v>
      </c>
      <c r="C683" t="s">
        <v>420</v>
      </c>
      <c r="D683" t="s">
        <v>3</v>
      </c>
      <c r="E683" s="2">
        <v>25</v>
      </c>
      <c r="F683" t="s">
        <v>710</v>
      </c>
    </row>
    <row r="684" spans="1:6">
      <c r="A684" s="1">
        <v>45888</v>
      </c>
      <c r="B684" s="7" t="s">
        <v>418</v>
      </c>
      <c r="C684" t="s">
        <v>420</v>
      </c>
      <c r="D684" t="s">
        <v>3</v>
      </c>
      <c r="E684" s="2">
        <v>1.8800000101327896</v>
      </c>
      <c r="F684" t="s">
        <v>710</v>
      </c>
    </row>
    <row r="685" spans="1:6">
      <c r="A685" s="1">
        <v>45888</v>
      </c>
      <c r="B685" s="7" t="s">
        <v>418</v>
      </c>
      <c r="C685" t="s">
        <v>421</v>
      </c>
      <c r="D685" t="s">
        <v>13</v>
      </c>
      <c r="E685" s="2">
        <v>400000</v>
      </c>
      <c r="F685" t="s">
        <v>710</v>
      </c>
    </row>
    <row r="686" spans="1:6">
      <c r="A686" s="1">
        <v>45888</v>
      </c>
      <c r="B686" s="7" t="s">
        <v>418</v>
      </c>
      <c r="C686" t="s">
        <v>422</v>
      </c>
      <c r="D686" t="s">
        <v>3</v>
      </c>
      <c r="E686" s="2">
        <v>50</v>
      </c>
      <c r="F686" t="s">
        <v>710</v>
      </c>
    </row>
    <row r="687" spans="1:6">
      <c r="A687" s="1">
        <v>45888</v>
      </c>
      <c r="B687" s="7" t="s">
        <v>418</v>
      </c>
      <c r="C687" t="s">
        <v>423</v>
      </c>
      <c r="D687" t="s">
        <v>3</v>
      </c>
      <c r="E687" s="2">
        <v>3.75</v>
      </c>
      <c r="F687" t="s">
        <v>710</v>
      </c>
    </row>
    <row r="688" spans="1:6">
      <c r="A688" s="1">
        <v>45888</v>
      </c>
      <c r="B688" s="7" t="s">
        <v>418</v>
      </c>
      <c r="C688" t="s">
        <v>424</v>
      </c>
      <c r="D688" t="s">
        <v>4</v>
      </c>
      <c r="E688" s="2">
        <v>27000</v>
      </c>
      <c r="F688" t="s">
        <v>710</v>
      </c>
    </row>
    <row r="689" spans="1:6">
      <c r="A689" s="1">
        <v>45888</v>
      </c>
      <c r="B689" s="7" t="s">
        <v>418</v>
      </c>
      <c r="C689" t="s">
        <v>424</v>
      </c>
      <c r="D689" t="s">
        <v>3</v>
      </c>
      <c r="E689" s="2">
        <v>25</v>
      </c>
      <c r="F689" t="s">
        <v>710</v>
      </c>
    </row>
    <row r="690" spans="1:6">
      <c r="A690" s="1">
        <v>45888</v>
      </c>
      <c r="B690" s="7" t="s">
        <v>418</v>
      </c>
      <c r="C690" t="s">
        <v>424</v>
      </c>
      <c r="D690" t="s">
        <v>3</v>
      </c>
      <c r="E690" s="2">
        <v>1.8799999952316284</v>
      </c>
      <c r="F690" t="s">
        <v>710</v>
      </c>
    </row>
    <row r="691" spans="1:6">
      <c r="A691" s="1">
        <v>45888</v>
      </c>
      <c r="B691" s="7" t="s">
        <v>418</v>
      </c>
      <c r="C691" t="s">
        <v>425</v>
      </c>
      <c r="D691" t="s">
        <v>10</v>
      </c>
      <c r="E691" s="2">
        <v>5394</v>
      </c>
      <c r="F691" t="s">
        <v>710</v>
      </c>
    </row>
    <row r="692" spans="1:6">
      <c r="A692" s="1">
        <v>45888</v>
      </c>
      <c r="B692" s="7" t="s">
        <v>418</v>
      </c>
      <c r="C692" t="s">
        <v>425</v>
      </c>
      <c r="D692" t="s">
        <v>3</v>
      </c>
      <c r="E692" s="2">
        <v>25</v>
      </c>
      <c r="F692" t="s">
        <v>710</v>
      </c>
    </row>
    <row r="693" spans="1:6">
      <c r="A693" s="1">
        <v>45888</v>
      </c>
      <c r="B693" s="7" t="s">
        <v>418</v>
      </c>
      <c r="C693" t="s">
        <v>425</v>
      </c>
      <c r="D693" t="s">
        <v>3</v>
      </c>
      <c r="E693" s="2">
        <v>1.8799999952316284</v>
      </c>
      <c r="F693" t="s">
        <v>710</v>
      </c>
    </row>
    <row r="694" spans="1:6">
      <c r="A694" s="1">
        <v>45894</v>
      </c>
      <c r="B694" s="7" t="s">
        <v>426</v>
      </c>
      <c r="C694" t="s">
        <v>427</v>
      </c>
      <c r="D694" t="s">
        <v>15</v>
      </c>
      <c r="E694" s="2">
        <v>25000</v>
      </c>
      <c r="F694" t="s">
        <v>710</v>
      </c>
    </row>
    <row r="695" spans="1:6">
      <c r="A695" s="1">
        <v>45894</v>
      </c>
      <c r="B695" s="7" t="s">
        <v>426</v>
      </c>
      <c r="C695" t="s">
        <v>427</v>
      </c>
      <c r="D695" t="s">
        <v>3</v>
      </c>
      <c r="E695" s="2">
        <v>25</v>
      </c>
      <c r="F695" t="s">
        <v>710</v>
      </c>
    </row>
    <row r="696" spans="1:6">
      <c r="A696" s="1">
        <v>45894</v>
      </c>
      <c r="B696" s="7" t="s">
        <v>426</v>
      </c>
      <c r="C696" t="s">
        <v>427</v>
      </c>
      <c r="D696" t="s">
        <v>3</v>
      </c>
      <c r="E696" s="2">
        <v>1.8800000101327896</v>
      </c>
      <c r="F696" t="s">
        <v>710</v>
      </c>
    </row>
    <row r="697" spans="1:6">
      <c r="A697" s="1">
        <v>45894</v>
      </c>
      <c r="B697" s="7" t="s">
        <v>426</v>
      </c>
      <c r="C697" t="s">
        <v>428</v>
      </c>
      <c r="D697" t="s">
        <v>19</v>
      </c>
      <c r="E697" s="2">
        <v>-450000</v>
      </c>
      <c r="F697" t="s">
        <v>710</v>
      </c>
    </row>
    <row r="698" spans="1:6">
      <c r="A698" s="1">
        <v>45894</v>
      </c>
      <c r="B698" s="7" t="s">
        <v>426</v>
      </c>
      <c r="C698" t="s">
        <v>429</v>
      </c>
      <c r="D698" t="s">
        <v>4</v>
      </c>
      <c r="E698" s="2">
        <v>140000</v>
      </c>
      <c r="F698" t="s">
        <v>710</v>
      </c>
    </row>
    <row r="699" spans="1:6">
      <c r="A699" s="1">
        <v>45894</v>
      </c>
      <c r="B699" s="7" t="s">
        <v>426</v>
      </c>
      <c r="C699" t="s">
        <v>429</v>
      </c>
      <c r="D699" t="s">
        <v>3</v>
      </c>
      <c r="E699" s="2">
        <v>50</v>
      </c>
      <c r="F699" t="s">
        <v>710</v>
      </c>
    </row>
    <row r="700" spans="1:6">
      <c r="A700" s="1">
        <v>45894</v>
      </c>
      <c r="B700" s="7" t="s">
        <v>426</v>
      </c>
      <c r="C700" t="s">
        <v>429</v>
      </c>
      <c r="D700" t="s">
        <v>3</v>
      </c>
      <c r="E700" s="2">
        <v>3.75</v>
      </c>
      <c r="F700" t="s">
        <v>710</v>
      </c>
    </row>
    <row r="701" spans="1:6">
      <c r="A701" s="1">
        <v>45894</v>
      </c>
      <c r="B701" s="7" t="s">
        <v>426</v>
      </c>
      <c r="C701" t="s">
        <v>430</v>
      </c>
      <c r="D701" t="s">
        <v>33</v>
      </c>
      <c r="E701" s="2">
        <v>20000</v>
      </c>
      <c r="F701" t="s">
        <v>710</v>
      </c>
    </row>
    <row r="702" spans="1:6">
      <c r="A702" s="1">
        <v>45894</v>
      </c>
      <c r="B702" s="7" t="s">
        <v>426</v>
      </c>
      <c r="C702" t="s">
        <v>431</v>
      </c>
      <c r="D702" t="s">
        <v>3</v>
      </c>
      <c r="E702" s="2">
        <v>25</v>
      </c>
      <c r="F702" t="s">
        <v>710</v>
      </c>
    </row>
    <row r="703" spans="1:6">
      <c r="A703" s="1">
        <v>45894</v>
      </c>
      <c r="B703" s="7" t="s">
        <v>426</v>
      </c>
      <c r="C703" t="s">
        <v>432</v>
      </c>
      <c r="D703" t="s">
        <v>3</v>
      </c>
      <c r="E703" s="2">
        <v>1.8799999952316284</v>
      </c>
      <c r="F703" t="s">
        <v>710</v>
      </c>
    </row>
    <row r="704" spans="1:6">
      <c r="A704" s="1">
        <v>45894</v>
      </c>
      <c r="B704" s="7" t="s">
        <v>426</v>
      </c>
      <c r="C704" t="s">
        <v>433</v>
      </c>
      <c r="D704" t="s">
        <v>33</v>
      </c>
      <c r="E704" s="2">
        <v>20000</v>
      </c>
      <c r="F704" t="s">
        <v>710</v>
      </c>
    </row>
    <row r="705" spans="1:6">
      <c r="A705" s="1">
        <v>45894</v>
      </c>
      <c r="B705" s="7" t="s">
        <v>426</v>
      </c>
      <c r="C705" t="s">
        <v>434</v>
      </c>
      <c r="D705" t="s">
        <v>3</v>
      </c>
      <c r="E705" s="2">
        <v>25</v>
      </c>
      <c r="F705" t="s">
        <v>710</v>
      </c>
    </row>
    <row r="706" spans="1:6">
      <c r="A706" s="1">
        <v>45894</v>
      </c>
      <c r="B706" s="7" t="s">
        <v>426</v>
      </c>
      <c r="C706" t="s">
        <v>435</v>
      </c>
      <c r="D706" t="s">
        <v>3</v>
      </c>
      <c r="E706" s="2">
        <v>1.8799999952316284</v>
      </c>
      <c r="F706" t="s">
        <v>710</v>
      </c>
    </row>
    <row r="707" spans="1:6">
      <c r="A707" s="1">
        <v>45894</v>
      </c>
      <c r="B707" s="7" t="s">
        <v>426</v>
      </c>
      <c r="C707" t="s">
        <v>436</v>
      </c>
      <c r="D707" t="s">
        <v>33</v>
      </c>
      <c r="E707" s="2">
        <v>35000</v>
      </c>
      <c r="F707" t="s">
        <v>710</v>
      </c>
    </row>
    <row r="708" spans="1:6">
      <c r="A708" s="1">
        <v>45894</v>
      </c>
      <c r="B708" s="7" t="s">
        <v>426</v>
      </c>
      <c r="C708" t="s">
        <v>437</v>
      </c>
      <c r="D708" t="s">
        <v>3</v>
      </c>
      <c r="E708" s="2">
        <v>25</v>
      </c>
      <c r="F708" t="s">
        <v>710</v>
      </c>
    </row>
    <row r="709" spans="1:6">
      <c r="A709" s="1">
        <v>45894</v>
      </c>
      <c r="B709" s="7" t="s">
        <v>426</v>
      </c>
      <c r="C709" t="s">
        <v>438</v>
      </c>
      <c r="D709" t="s">
        <v>3</v>
      </c>
      <c r="E709" s="2">
        <v>1.8800000101327896</v>
      </c>
      <c r="F709" t="s">
        <v>710</v>
      </c>
    </row>
    <row r="710" spans="1:6">
      <c r="A710" s="1">
        <v>45894</v>
      </c>
      <c r="B710" s="7" t="s">
        <v>426</v>
      </c>
      <c r="C710" t="s">
        <v>439</v>
      </c>
      <c r="D710" t="s">
        <v>8</v>
      </c>
      <c r="E710" s="2">
        <v>283172.19999998808</v>
      </c>
      <c r="F710" t="s">
        <v>710</v>
      </c>
    </row>
    <row r="711" spans="1:6">
      <c r="A711" s="1">
        <v>45894</v>
      </c>
      <c r="B711" s="7" t="s">
        <v>426</v>
      </c>
      <c r="C711" t="s">
        <v>440</v>
      </c>
      <c r="D711" t="s">
        <v>3</v>
      </c>
      <c r="E711" s="2">
        <v>50</v>
      </c>
      <c r="F711" t="s">
        <v>710</v>
      </c>
    </row>
    <row r="712" spans="1:6">
      <c r="A712" s="1">
        <v>45894</v>
      </c>
      <c r="B712" s="7" t="s">
        <v>426</v>
      </c>
      <c r="C712" t="s">
        <v>441</v>
      </c>
      <c r="D712" t="s">
        <v>3</v>
      </c>
      <c r="E712" s="2">
        <v>3.75</v>
      </c>
      <c r="F712" t="s">
        <v>710</v>
      </c>
    </row>
    <row r="713" spans="1:6">
      <c r="A713" s="1">
        <v>45894</v>
      </c>
      <c r="B713" s="7" t="s">
        <v>426</v>
      </c>
      <c r="C713" t="s">
        <v>442</v>
      </c>
      <c r="D713" t="s">
        <v>8</v>
      </c>
      <c r="E713" s="2">
        <v>283172.20000000298</v>
      </c>
      <c r="F713" t="s">
        <v>710</v>
      </c>
    </row>
    <row r="714" spans="1:6">
      <c r="A714" s="1">
        <v>45894</v>
      </c>
      <c r="B714" s="7" t="s">
        <v>426</v>
      </c>
      <c r="C714" t="s">
        <v>443</v>
      </c>
      <c r="D714" t="s">
        <v>3</v>
      </c>
      <c r="E714" s="2">
        <v>50</v>
      </c>
      <c r="F714" t="s">
        <v>710</v>
      </c>
    </row>
    <row r="715" spans="1:6">
      <c r="A715" s="1">
        <v>45894</v>
      </c>
      <c r="B715" s="7" t="s">
        <v>426</v>
      </c>
      <c r="C715" t="s">
        <v>444</v>
      </c>
      <c r="D715" t="s">
        <v>3</v>
      </c>
      <c r="E715" s="2">
        <v>3.75</v>
      </c>
      <c r="F715" t="s">
        <v>710</v>
      </c>
    </row>
    <row r="716" spans="1:6">
      <c r="A716" s="1">
        <v>45894</v>
      </c>
      <c r="B716" s="7" t="s">
        <v>426</v>
      </c>
      <c r="C716" t="s">
        <v>445</v>
      </c>
      <c r="D716" t="s">
        <v>8</v>
      </c>
      <c r="E716" s="2">
        <v>283172.20000000298</v>
      </c>
      <c r="F716" t="s">
        <v>710</v>
      </c>
    </row>
    <row r="717" spans="1:6">
      <c r="A717" s="1">
        <v>45894</v>
      </c>
      <c r="B717" s="7" t="s">
        <v>426</v>
      </c>
      <c r="C717" t="s">
        <v>446</v>
      </c>
      <c r="D717" t="s">
        <v>3</v>
      </c>
      <c r="E717" s="2">
        <v>50</v>
      </c>
      <c r="F717" t="s">
        <v>710</v>
      </c>
    </row>
    <row r="718" spans="1:6">
      <c r="A718" s="1">
        <v>45894</v>
      </c>
      <c r="B718" s="7" t="s">
        <v>426</v>
      </c>
      <c r="C718" t="s">
        <v>447</v>
      </c>
      <c r="D718" t="s">
        <v>3</v>
      </c>
      <c r="E718" s="2">
        <v>3.75</v>
      </c>
      <c r="F718" t="s">
        <v>710</v>
      </c>
    </row>
    <row r="719" spans="1:6">
      <c r="A719" s="1">
        <v>45894</v>
      </c>
      <c r="B719" s="7" t="s">
        <v>426</v>
      </c>
      <c r="C719" t="s">
        <v>448</v>
      </c>
      <c r="D719" t="s">
        <v>8</v>
      </c>
      <c r="E719" s="2">
        <v>52835</v>
      </c>
      <c r="F719" t="s">
        <v>710</v>
      </c>
    </row>
    <row r="720" spans="1:6">
      <c r="A720" s="1">
        <v>45894</v>
      </c>
      <c r="B720" s="7" t="s">
        <v>426</v>
      </c>
      <c r="C720" t="s">
        <v>449</v>
      </c>
      <c r="D720" t="s">
        <v>3</v>
      </c>
      <c r="E720" s="2">
        <v>50</v>
      </c>
      <c r="F720" t="s">
        <v>710</v>
      </c>
    </row>
    <row r="721" spans="1:6">
      <c r="A721" s="1">
        <v>45894</v>
      </c>
      <c r="B721" s="7" t="s">
        <v>426</v>
      </c>
      <c r="C721" t="s">
        <v>450</v>
      </c>
      <c r="D721" t="s">
        <v>3</v>
      </c>
      <c r="E721" s="2">
        <v>3.75</v>
      </c>
      <c r="F721" t="s">
        <v>710</v>
      </c>
    </row>
    <row r="722" spans="1:6">
      <c r="A722" s="1">
        <v>45894</v>
      </c>
      <c r="B722" s="7" t="s">
        <v>426</v>
      </c>
      <c r="C722" t="s">
        <v>451</v>
      </c>
      <c r="D722" t="s">
        <v>8</v>
      </c>
      <c r="E722" s="2">
        <v>283172.20000000298</v>
      </c>
      <c r="F722" t="s">
        <v>710</v>
      </c>
    </row>
    <row r="723" spans="1:6">
      <c r="A723" s="1">
        <v>45894</v>
      </c>
      <c r="B723" s="7" t="s">
        <v>426</v>
      </c>
      <c r="C723" t="s">
        <v>452</v>
      </c>
      <c r="D723" t="s">
        <v>3</v>
      </c>
      <c r="E723" s="2">
        <v>50</v>
      </c>
      <c r="F723" t="s">
        <v>710</v>
      </c>
    </row>
    <row r="724" spans="1:6">
      <c r="A724" s="1">
        <v>45894</v>
      </c>
      <c r="B724" s="7" t="s">
        <v>426</v>
      </c>
      <c r="C724" t="s">
        <v>453</v>
      </c>
      <c r="D724" t="s">
        <v>3</v>
      </c>
      <c r="E724" s="2">
        <v>3.75</v>
      </c>
      <c r="F724" t="s">
        <v>710</v>
      </c>
    </row>
    <row r="725" spans="1:6">
      <c r="A725" s="1">
        <v>45894</v>
      </c>
      <c r="B725" s="7" t="s">
        <v>426</v>
      </c>
      <c r="C725" t="s">
        <v>454</v>
      </c>
      <c r="D725" t="s">
        <v>8</v>
      </c>
      <c r="E725" s="2">
        <v>486614.59999999404</v>
      </c>
      <c r="F725" t="s">
        <v>710</v>
      </c>
    </row>
    <row r="726" spans="1:6">
      <c r="A726" s="1">
        <v>45894</v>
      </c>
      <c r="B726" s="7" t="s">
        <v>426</v>
      </c>
      <c r="C726" t="s">
        <v>455</v>
      </c>
      <c r="D726" t="s">
        <v>3</v>
      </c>
      <c r="E726" s="2">
        <v>50</v>
      </c>
      <c r="F726" t="s">
        <v>710</v>
      </c>
    </row>
    <row r="727" spans="1:6">
      <c r="A727" s="1">
        <v>45894</v>
      </c>
      <c r="B727" s="7" t="s">
        <v>426</v>
      </c>
      <c r="C727" t="s">
        <v>456</v>
      </c>
      <c r="D727" t="s">
        <v>3</v>
      </c>
      <c r="E727" s="2">
        <v>3.75</v>
      </c>
      <c r="F727" t="s">
        <v>710</v>
      </c>
    </row>
    <row r="728" spans="1:6">
      <c r="A728" s="1">
        <v>45894</v>
      </c>
      <c r="B728" s="7" t="s">
        <v>426</v>
      </c>
      <c r="C728" t="s">
        <v>457</v>
      </c>
      <c r="D728" t="s">
        <v>8</v>
      </c>
      <c r="E728" s="2">
        <v>52835</v>
      </c>
      <c r="F728" t="s">
        <v>710</v>
      </c>
    </row>
    <row r="729" spans="1:6">
      <c r="A729" s="1">
        <v>45894</v>
      </c>
      <c r="B729" s="7" t="s">
        <v>426</v>
      </c>
      <c r="C729" t="s">
        <v>458</v>
      </c>
      <c r="D729" t="s">
        <v>3</v>
      </c>
      <c r="E729" s="2">
        <v>50</v>
      </c>
      <c r="F729" t="s">
        <v>710</v>
      </c>
    </row>
    <row r="730" spans="1:6">
      <c r="A730" s="1">
        <v>45894</v>
      </c>
      <c r="B730" s="7" t="s">
        <v>426</v>
      </c>
      <c r="C730" t="s">
        <v>459</v>
      </c>
      <c r="D730" t="s">
        <v>3</v>
      </c>
      <c r="E730" s="2">
        <v>3.75</v>
      </c>
      <c r="F730" t="s">
        <v>710</v>
      </c>
    </row>
    <row r="731" spans="1:6">
      <c r="A731" s="1">
        <v>45894</v>
      </c>
      <c r="B731" s="7" t="s">
        <v>426</v>
      </c>
      <c r="C731" t="s">
        <v>460</v>
      </c>
      <c r="D731" t="s">
        <v>8</v>
      </c>
      <c r="E731" s="2">
        <v>283172.20000000298</v>
      </c>
      <c r="F731" t="s">
        <v>710</v>
      </c>
    </row>
    <row r="732" spans="1:6">
      <c r="A732" s="1">
        <v>45894</v>
      </c>
      <c r="B732" s="7" t="s">
        <v>426</v>
      </c>
      <c r="C732" t="s">
        <v>461</v>
      </c>
      <c r="D732" t="s">
        <v>3</v>
      </c>
      <c r="E732" s="2">
        <v>50</v>
      </c>
      <c r="F732" t="s">
        <v>710</v>
      </c>
    </row>
    <row r="733" spans="1:6">
      <c r="A733" s="1">
        <v>45894</v>
      </c>
      <c r="B733" s="7" t="s">
        <v>426</v>
      </c>
      <c r="C733" t="s">
        <v>462</v>
      </c>
      <c r="D733" t="s">
        <v>3</v>
      </c>
      <c r="E733" s="2">
        <v>3.75</v>
      </c>
      <c r="F733" t="s">
        <v>710</v>
      </c>
    </row>
    <row r="734" spans="1:6">
      <c r="A734" s="1">
        <v>45894</v>
      </c>
      <c r="B734" s="7" t="s">
        <v>426</v>
      </c>
      <c r="C734" t="s">
        <v>463</v>
      </c>
      <c r="D734" t="s">
        <v>8</v>
      </c>
      <c r="E734" s="2">
        <v>283172.20000000298</v>
      </c>
      <c r="F734" t="s">
        <v>710</v>
      </c>
    </row>
    <row r="735" spans="1:6">
      <c r="A735" s="1">
        <v>45894</v>
      </c>
      <c r="B735" s="7" t="s">
        <v>426</v>
      </c>
      <c r="C735" t="s">
        <v>464</v>
      </c>
      <c r="D735" t="s">
        <v>3</v>
      </c>
      <c r="E735" s="2">
        <v>50</v>
      </c>
      <c r="F735" t="s">
        <v>710</v>
      </c>
    </row>
    <row r="736" spans="1:6">
      <c r="A736" s="1">
        <v>45894</v>
      </c>
      <c r="B736" s="7" t="s">
        <v>426</v>
      </c>
      <c r="C736" t="s">
        <v>465</v>
      </c>
      <c r="D736" t="s">
        <v>3</v>
      </c>
      <c r="E736" s="2">
        <v>3.75</v>
      </c>
      <c r="F736" t="s">
        <v>710</v>
      </c>
    </row>
    <row r="737" spans="1:6">
      <c r="A737" s="1">
        <v>45894</v>
      </c>
      <c r="B737" s="7" t="s">
        <v>426</v>
      </c>
      <c r="C737" t="s">
        <v>466</v>
      </c>
      <c r="D737" t="s">
        <v>8</v>
      </c>
      <c r="E737" s="2">
        <v>283172.19999999553</v>
      </c>
      <c r="F737" t="s">
        <v>710</v>
      </c>
    </row>
    <row r="738" spans="1:6">
      <c r="A738" s="1">
        <v>45894</v>
      </c>
      <c r="B738" s="7" t="s">
        <v>426</v>
      </c>
      <c r="C738" t="s">
        <v>467</v>
      </c>
      <c r="D738" t="s">
        <v>3</v>
      </c>
      <c r="E738" s="2">
        <v>50</v>
      </c>
      <c r="F738" t="s">
        <v>710</v>
      </c>
    </row>
    <row r="739" spans="1:6">
      <c r="A739" s="1">
        <v>45894</v>
      </c>
      <c r="B739" s="7" t="s">
        <v>426</v>
      </c>
      <c r="C739" t="s">
        <v>468</v>
      </c>
      <c r="D739" t="s">
        <v>3</v>
      </c>
      <c r="E739" s="2">
        <v>3.75</v>
      </c>
      <c r="F739" t="s">
        <v>710</v>
      </c>
    </row>
    <row r="740" spans="1:6">
      <c r="A740" s="1">
        <v>45894</v>
      </c>
      <c r="B740" s="7" t="s">
        <v>426</v>
      </c>
      <c r="C740" t="s">
        <v>469</v>
      </c>
      <c r="D740" t="s">
        <v>8</v>
      </c>
      <c r="E740" s="2">
        <v>4019028.3599999994</v>
      </c>
      <c r="F740" t="s">
        <v>710</v>
      </c>
    </row>
    <row r="741" spans="1:6">
      <c r="A741" s="1">
        <v>45894</v>
      </c>
      <c r="B741" s="7" t="s">
        <v>426</v>
      </c>
      <c r="C741" t="s">
        <v>470</v>
      </c>
      <c r="D741" t="s">
        <v>3</v>
      </c>
      <c r="E741" s="2">
        <v>50</v>
      </c>
      <c r="F741" t="s">
        <v>710</v>
      </c>
    </row>
    <row r="742" spans="1:6">
      <c r="A742" s="1">
        <v>45894</v>
      </c>
      <c r="B742" s="7" t="s">
        <v>426</v>
      </c>
      <c r="C742" t="s">
        <v>471</v>
      </c>
      <c r="D742" t="s">
        <v>3</v>
      </c>
      <c r="E742" s="2">
        <v>3.75</v>
      </c>
      <c r="F742" t="s">
        <v>710</v>
      </c>
    </row>
    <row r="743" spans="1:6">
      <c r="A743" s="1">
        <v>45894</v>
      </c>
      <c r="B743" s="7" t="s">
        <v>426</v>
      </c>
      <c r="C743" t="s">
        <v>472</v>
      </c>
      <c r="D743" t="s">
        <v>8</v>
      </c>
      <c r="E743" s="2">
        <v>283172.20000000298</v>
      </c>
      <c r="F743" t="s">
        <v>710</v>
      </c>
    </row>
    <row r="744" spans="1:6">
      <c r="A744" s="1">
        <v>45894</v>
      </c>
      <c r="B744" s="7" t="s">
        <v>426</v>
      </c>
      <c r="C744" t="s">
        <v>473</v>
      </c>
      <c r="D744" t="s">
        <v>3</v>
      </c>
      <c r="E744" s="2">
        <v>50</v>
      </c>
      <c r="F744" t="s">
        <v>710</v>
      </c>
    </row>
    <row r="745" spans="1:6">
      <c r="A745" s="1">
        <v>45894</v>
      </c>
      <c r="B745" s="7" t="s">
        <v>426</v>
      </c>
      <c r="C745" t="s">
        <v>474</v>
      </c>
      <c r="D745" t="s">
        <v>3</v>
      </c>
      <c r="E745" s="2">
        <v>3.75</v>
      </c>
      <c r="F745" t="s">
        <v>710</v>
      </c>
    </row>
    <row r="746" spans="1:6">
      <c r="A746" s="1">
        <v>45894</v>
      </c>
      <c r="B746" s="7" t="s">
        <v>426</v>
      </c>
      <c r="C746" t="s">
        <v>475</v>
      </c>
      <c r="D746" t="s">
        <v>8</v>
      </c>
      <c r="E746" s="2">
        <v>52835</v>
      </c>
      <c r="F746" t="s">
        <v>710</v>
      </c>
    </row>
    <row r="747" spans="1:6">
      <c r="A747" s="1">
        <v>45894</v>
      </c>
      <c r="B747" s="7" t="s">
        <v>426</v>
      </c>
      <c r="C747" t="s">
        <v>476</v>
      </c>
      <c r="D747" t="s">
        <v>3</v>
      </c>
      <c r="E747" s="2">
        <v>50</v>
      </c>
      <c r="F747" t="s">
        <v>710</v>
      </c>
    </row>
    <row r="748" spans="1:6">
      <c r="A748" s="1">
        <v>45894</v>
      </c>
      <c r="B748" s="7" t="s">
        <v>426</v>
      </c>
      <c r="C748" t="s">
        <v>477</v>
      </c>
      <c r="D748" t="s">
        <v>3</v>
      </c>
      <c r="E748" s="2">
        <v>3.75</v>
      </c>
      <c r="F748" t="s">
        <v>710</v>
      </c>
    </row>
    <row r="749" spans="1:6">
      <c r="A749" s="1">
        <v>45894</v>
      </c>
      <c r="B749" s="7" t="s">
        <v>426</v>
      </c>
      <c r="C749" t="s">
        <v>478</v>
      </c>
      <c r="D749" t="s">
        <v>8</v>
      </c>
      <c r="E749" s="2">
        <v>2295519.5600000024</v>
      </c>
      <c r="F749" t="s">
        <v>710</v>
      </c>
    </row>
    <row r="750" spans="1:6">
      <c r="A750" s="1">
        <v>45894</v>
      </c>
      <c r="B750" s="7" t="s">
        <v>426</v>
      </c>
      <c r="C750" t="s">
        <v>479</v>
      </c>
      <c r="D750" t="s">
        <v>3</v>
      </c>
      <c r="E750" s="2">
        <v>50</v>
      </c>
      <c r="F750" t="s">
        <v>710</v>
      </c>
    </row>
    <row r="751" spans="1:6">
      <c r="A751" s="1">
        <v>45894</v>
      </c>
      <c r="B751" s="7" t="s">
        <v>426</v>
      </c>
      <c r="C751" t="s">
        <v>480</v>
      </c>
      <c r="D751" t="s">
        <v>3</v>
      </c>
      <c r="E751" s="2">
        <v>3.75</v>
      </c>
      <c r="F751" t="s">
        <v>710</v>
      </c>
    </row>
    <row r="752" spans="1:6">
      <c r="A752" s="1">
        <v>45894</v>
      </c>
      <c r="B752" s="7" t="s">
        <v>426</v>
      </c>
      <c r="C752" t="s">
        <v>481</v>
      </c>
      <c r="D752" t="s">
        <v>8</v>
      </c>
      <c r="E752" s="2">
        <v>71025</v>
      </c>
      <c r="F752" t="s">
        <v>710</v>
      </c>
    </row>
    <row r="753" spans="1:6">
      <c r="A753" s="1">
        <v>45894</v>
      </c>
      <c r="B753" s="7" t="s">
        <v>426</v>
      </c>
      <c r="C753" t="s">
        <v>482</v>
      </c>
      <c r="D753" t="s">
        <v>3</v>
      </c>
      <c r="E753" s="2">
        <v>50</v>
      </c>
      <c r="F753" t="s">
        <v>710</v>
      </c>
    </row>
    <row r="754" spans="1:6">
      <c r="A754" s="1">
        <v>45894</v>
      </c>
      <c r="B754" s="7" t="s">
        <v>426</v>
      </c>
      <c r="C754" t="s">
        <v>483</v>
      </c>
      <c r="D754" t="s">
        <v>3</v>
      </c>
      <c r="E754" s="2">
        <v>3.75</v>
      </c>
      <c r="F754" t="s">
        <v>710</v>
      </c>
    </row>
    <row r="755" spans="1:6">
      <c r="A755" s="1">
        <v>45894</v>
      </c>
      <c r="B755" s="7" t="s">
        <v>426</v>
      </c>
      <c r="C755" t="s">
        <v>484</v>
      </c>
      <c r="D755" t="s">
        <v>8</v>
      </c>
      <c r="E755" s="2">
        <v>283172.19999999553</v>
      </c>
      <c r="F755" t="s">
        <v>710</v>
      </c>
    </row>
    <row r="756" spans="1:6">
      <c r="A756" s="1">
        <v>45894</v>
      </c>
      <c r="B756" s="7" t="s">
        <v>426</v>
      </c>
      <c r="C756" t="s">
        <v>485</v>
      </c>
      <c r="D756" t="s">
        <v>3</v>
      </c>
      <c r="E756" s="2">
        <v>50</v>
      </c>
      <c r="F756" t="s">
        <v>710</v>
      </c>
    </row>
    <row r="757" spans="1:6">
      <c r="A757" s="1">
        <v>45894</v>
      </c>
      <c r="B757" s="7" t="s">
        <v>426</v>
      </c>
      <c r="C757" t="s">
        <v>486</v>
      </c>
      <c r="D757" t="s">
        <v>3</v>
      </c>
      <c r="E757" s="2">
        <v>3.75</v>
      </c>
      <c r="F757" t="s">
        <v>710</v>
      </c>
    </row>
    <row r="758" spans="1:6">
      <c r="A758" s="1">
        <v>45894</v>
      </c>
      <c r="B758" s="7" t="s">
        <v>426</v>
      </c>
      <c r="C758" t="s">
        <v>487</v>
      </c>
      <c r="D758" t="s">
        <v>33</v>
      </c>
      <c r="E758" s="2">
        <v>35000</v>
      </c>
      <c r="F758" t="s">
        <v>710</v>
      </c>
    </row>
    <row r="759" spans="1:6">
      <c r="A759" s="1">
        <v>45894</v>
      </c>
      <c r="B759" s="7" t="s">
        <v>426</v>
      </c>
      <c r="C759" t="s">
        <v>488</v>
      </c>
      <c r="D759" t="s">
        <v>3</v>
      </c>
      <c r="E759" s="2">
        <v>25</v>
      </c>
      <c r="F759" t="s">
        <v>710</v>
      </c>
    </row>
    <row r="760" spans="1:6">
      <c r="A760" s="1">
        <v>45894</v>
      </c>
      <c r="B760" s="7" t="s">
        <v>426</v>
      </c>
      <c r="C760" t="s">
        <v>489</v>
      </c>
      <c r="D760" t="s">
        <v>3</v>
      </c>
      <c r="E760" s="2">
        <v>1.880000002682209</v>
      </c>
      <c r="F760" t="s">
        <v>710</v>
      </c>
    </row>
    <row r="761" spans="1:6">
      <c r="A761" s="1">
        <v>45894</v>
      </c>
      <c r="B761" s="7" t="s">
        <v>426</v>
      </c>
      <c r="C761" t="s">
        <v>490</v>
      </c>
      <c r="D761" t="s">
        <v>33</v>
      </c>
      <c r="E761" s="2">
        <v>20000</v>
      </c>
      <c r="F761" t="s">
        <v>710</v>
      </c>
    </row>
    <row r="762" spans="1:6">
      <c r="A762" s="1">
        <v>45894</v>
      </c>
      <c r="B762" s="7" t="s">
        <v>426</v>
      </c>
      <c r="C762" t="s">
        <v>491</v>
      </c>
      <c r="D762" t="s">
        <v>3</v>
      </c>
      <c r="E762" s="2">
        <v>25</v>
      </c>
      <c r="F762" t="s">
        <v>710</v>
      </c>
    </row>
    <row r="763" spans="1:6">
      <c r="A763" s="1">
        <v>45894</v>
      </c>
      <c r="B763" s="7" t="s">
        <v>426</v>
      </c>
      <c r="C763" t="s">
        <v>492</v>
      </c>
      <c r="D763" t="s">
        <v>3</v>
      </c>
      <c r="E763" s="2">
        <v>1.880000002682209</v>
      </c>
      <c r="F763" t="s">
        <v>710</v>
      </c>
    </row>
    <row r="764" spans="1:6">
      <c r="A764" s="1">
        <v>45894</v>
      </c>
      <c r="B764" s="7" t="s">
        <v>426</v>
      </c>
      <c r="C764" t="s">
        <v>493</v>
      </c>
      <c r="D764" t="s">
        <v>33</v>
      </c>
      <c r="E764" s="2">
        <v>20000</v>
      </c>
      <c r="F764" t="s">
        <v>710</v>
      </c>
    </row>
    <row r="765" spans="1:6">
      <c r="A765" s="1">
        <v>45894</v>
      </c>
      <c r="B765" s="7" t="s">
        <v>426</v>
      </c>
      <c r="C765" t="s">
        <v>494</v>
      </c>
      <c r="D765" t="s">
        <v>3</v>
      </c>
      <c r="E765" s="2">
        <v>25</v>
      </c>
      <c r="F765" t="s">
        <v>710</v>
      </c>
    </row>
    <row r="766" spans="1:6">
      <c r="A766" s="1">
        <v>45894</v>
      </c>
      <c r="B766" s="7" t="s">
        <v>426</v>
      </c>
      <c r="C766" t="s">
        <v>495</v>
      </c>
      <c r="D766" t="s">
        <v>3</v>
      </c>
      <c r="E766" s="2">
        <v>1.8799999952316284</v>
      </c>
      <c r="F766" t="s">
        <v>710</v>
      </c>
    </row>
    <row r="767" spans="1:6">
      <c r="A767" s="1">
        <v>45894</v>
      </c>
      <c r="B767" s="7" t="s">
        <v>426</v>
      </c>
      <c r="C767" t="s">
        <v>496</v>
      </c>
      <c r="D767" t="s">
        <v>33</v>
      </c>
      <c r="E767" s="2">
        <v>27500</v>
      </c>
      <c r="F767" t="s">
        <v>710</v>
      </c>
    </row>
    <row r="768" spans="1:6">
      <c r="A768" s="1">
        <v>45894</v>
      </c>
      <c r="B768" s="7" t="s">
        <v>426</v>
      </c>
      <c r="C768" t="s">
        <v>497</v>
      </c>
      <c r="D768" t="s">
        <v>3</v>
      </c>
      <c r="E768" s="2">
        <v>25</v>
      </c>
      <c r="F768" t="s">
        <v>710</v>
      </c>
    </row>
    <row r="769" spans="1:6">
      <c r="A769" s="1">
        <v>45894</v>
      </c>
      <c r="B769" s="7" t="s">
        <v>426</v>
      </c>
      <c r="C769" t="s">
        <v>498</v>
      </c>
      <c r="D769" t="s">
        <v>3</v>
      </c>
      <c r="E769" s="2">
        <v>1.880000002682209</v>
      </c>
      <c r="F769" t="s">
        <v>710</v>
      </c>
    </row>
    <row r="770" spans="1:6">
      <c r="A770" s="1">
        <v>45894</v>
      </c>
      <c r="B770" s="7" t="s">
        <v>426</v>
      </c>
      <c r="C770" t="s">
        <v>499</v>
      </c>
      <c r="D770" t="s">
        <v>33</v>
      </c>
      <c r="E770" s="2">
        <v>35000</v>
      </c>
      <c r="F770" t="s">
        <v>710</v>
      </c>
    </row>
    <row r="771" spans="1:6">
      <c r="A771" s="1">
        <v>45894</v>
      </c>
      <c r="B771" s="7" t="s">
        <v>426</v>
      </c>
      <c r="C771" t="s">
        <v>500</v>
      </c>
      <c r="D771" t="s">
        <v>3</v>
      </c>
      <c r="E771" s="2">
        <v>25</v>
      </c>
      <c r="F771" t="s">
        <v>710</v>
      </c>
    </row>
    <row r="772" spans="1:6">
      <c r="A772" s="1">
        <v>45894</v>
      </c>
      <c r="B772" s="7" t="s">
        <v>426</v>
      </c>
      <c r="C772" t="s">
        <v>501</v>
      </c>
      <c r="D772" t="s">
        <v>3</v>
      </c>
      <c r="E772" s="2">
        <v>1.8799999952316284</v>
      </c>
      <c r="F772" t="s">
        <v>710</v>
      </c>
    </row>
    <row r="773" spans="1:6">
      <c r="A773" s="1">
        <v>45894</v>
      </c>
      <c r="B773" s="7" t="s">
        <v>426</v>
      </c>
      <c r="C773" t="s">
        <v>502</v>
      </c>
      <c r="D773" t="s">
        <v>33</v>
      </c>
      <c r="E773" s="2">
        <v>35000</v>
      </c>
      <c r="F773" t="s">
        <v>710</v>
      </c>
    </row>
    <row r="774" spans="1:6">
      <c r="A774" s="1">
        <v>45894</v>
      </c>
      <c r="B774" s="7" t="s">
        <v>426</v>
      </c>
      <c r="C774" t="s">
        <v>503</v>
      </c>
      <c r="D774" t="s">
        <v>3</v>
      </c>
      <c r="E774" s="2">
        <v>25</v>
      </c>
      <c r="F774" t="s">
        <v>710</v>
      </c>
    </row>
    <row r="775" spans="1:6">
      <c r="A775" s="1">
        <v>45894</v>
      </c>
      <c r="B775" s="7" t="s">
        <v>426</v>
      </c>
      <c r="C775" t="s">
        <v>504</v>
      </c>
      <c r="D775" t="s">
        <v>3</v>
      </c>
      <c r="E775" s="2">
        <v>1.880000002682209</v>
      </c>
      <c r="F775" t="s">
        <v>710</v>
      </c>
    </row>
    <row r="776" spans="1:6">
      <c r="A776" s="1">
        <v>45894</v>
      </c>
      <c r="B776" s="7" t="s">
        <v>426</v>
      </c>
      <c r="C776" t="s">
        <v>505</v>
      </c>
      <c r="D776" t="s">
        <v>33</v>
      </c>
      <c r="E776" s="2">
        <v>20000</v>
      </c>
      <c r="F776" t="s">
        <v>710</v>
      </c>
    </row>
    <row r="777" spans="1:6">
      <c r="A777" s="1">
        <v>45894</v>
      </c>
      <c r="B777" s="7" t="s">
        <v>426</v>
      </c>
      <c r="C777" t="s">
        <v>506</v>
      </c>
      <c r="D777" t="s">
        <v>3</v>
      </c>
      <c r="E777" s="2">
        <v>25</v>
      </c>
      <c r="F777" t="s">
        <v>710</v>
      </c>
    </row>
    <row r="778" spans="1:6">
      <c r="A778" s="1">
        <v>45894</v>
      </c>
      <c r="B778" s="7" t="s">
        <v>426</v>
      </c>
      <c r="C778" t="s">
        <v>507</v>
      </c>
      <c r="D778" t="s">
        <v>3</v>
      </c>
      <c r="E778" s="2">
        <v>1.880000002682209</v>
      </c>
      <c r="F778" t="s">
        <v>710</v>
      </c>
    </row>
    <row r="779" spans="1:6">
      <c r="A779" s="1">
        <v>45894</v>
      </c>
      <c r="B779" s="7" t="s">
        <v>426</v>
      </c>
      <c r="C779" t="s">
        <v>508</v>
      </c>
      <c r="D779" t="s">
        <v>33</v>
      </c>
      <c r="E779" s="2">
        <v>20000</v>
      </c>
      <c r="F779" t="s">
        <v>710</v>
      </c>
    </row>
    <row r="780" spans="1:6">
      <c r="A780" s="1">
        <v>45894</v>
      </c>
      <c r="B780" s="7" t="s">
        <v>426</v>
      </c>
      <c r="C780" t="s">
        <v>509</v>
      </c>
      <c r="D780" t="s">
        <v>3</v>
      </c>
      <c r="E780" s="2">
        <v>25</v>
      </c>
      <c r="F780" t="s">
        <v>710</v>
      </c>
    </row>
    <row r="781" spans="1:6">
      <c r="A781" s="1">
        <v>45894</v>
      </c>
      <c r="B781" s="7" t="s">
        <v>426</v>
      </c>
      <c r="C781" t="s">
        <v>510</v>
      </c>
      <c r="D781" t="s">
        <v>3</v>
      </c>
      <c r="E781" s="2">
        <v>1.8799999952316284</v>
      </c>
      <c r="F781" t="s">
        <v>710</v>
      </c>
    </row>
    <row r="782" spans="1:6">
      <c r="A782" s="1">
        <v>45894</v>
      </c>
      <c r="B782" s="7" t="s">
        <v>426</v>
      </c>
      <c r="C782" t="s">
        <v>511</v>
      </c>
      <c r="D782" t="s">
        <v>33</v>
      </c>
      <c r="E782" s="2">
        <v>20000</v>
      </c>
      <c r="F782" t="s">
        <v>710</v>
      </c>
    </row>
    <row r="783" spans="1:6">
      <c r="A783" s="1">
        <v>45894</v>
      </c>
      <c r="B783" s="7" t="s">
        <v>426</v>
      </c>
      <c r="C783" t="s">
        <v>512</v>
      </c>
      <c r="D783" t="s">
        <v>3</v>
      </c>
      <c r="E783" s="2">
        <v>25</v>
      </c>
      <c r="F783" t="s">
        <v>710</v>
      </c>
    </row>
    <row r="784" spans="1:6">
      <c r="A784" s="1">
        <v>45894</v>
      </c>
      <c r="B784" s="7" t="s">
        <v>426</v>
      </c>
      <c r="C784" t="s">
        <v>513</v>
      </c>
      <c r="D784" t="s">
        <v>3</v>
      </c>
      <c r="E784" s="2">
        <v>1.880000002682209</v>
      </c>
      <c r="F784" t="s">
        <v>710</v>
      </c>
    </row>
    <row r="785" spans="1:6">
      <c r="A785" s="1">
        <v>45894</v>
      </c>
      <c r="B785" s="7" t="s">
        <v>426</v>
      </c>
      <c r="C785" t="s">
        <v>514</v>
      </c>
      <c r="D785" t="s">
        <v>33</v>
      </c>
      <c r="E785" s="2">
        <v>35000</v>
      </c>
      <c r="F785" t="s">
        <v>710</v>
      </c>
    </row>
    <row r="786" spans="1:6">
      <c r="A786" s="1">
        <v>45894</v>
      </c>
      <c r="B786" s="7" t="s">
        <v>426</v>
      </c>
      <c r="C786" t="s">
        <v>515</v>
      </c>
      <c r="D786" t="s">
        <v>3</v>
      </c>
      <c r="E786" s="2">
        <v>25</v>
      </c>
      <c r="F786" t="s">
        <v>710</v>
      </c>
    </row>
    <row r="787" spans="1:6">
      <c r="A787" s="1">
        <v>45894</v>
      </c>
      <c r="B787" s="7" t="s">
        <v>426</v>
      </c>
      <c r="C787" t="s">
        <v>516</v>
      </c>
      <c r="D787" t="s">
        <v>3</v>
      </c>
      <c r="E787" s="2">
        <v>1.880000002682209</v>
      </c>
      <c r="F787" t="s">
        <v>710</v>
      </c>
    </row>
    <row r="788" spans="1:6">
      <c r="A788" s="1">
        <v>45894</v>
      </c>
      <c r="B788" s="7" t="s">
        <v>426</v>
      </c>
      <c r="C788" t="s">
        <v>517</v>
      </c>
      <c r="D788" t="s">
        <v>33</v>
      </c>
      <c r="E788" s="2">
        <v>35000</v>
      </c>
      <c r="F788" t="s">
        <v>710</v>
      </c>
    </row>
    <row r="789" spans="1:6">
      <c r="A789" s="1">
        <v>45894</v>
      </c>
      <c r="B789" s="7" t="s">
        <v>426</v>
      </c>
      <c r="C789" t="s">
        <v>518</v>
      </c>
      <c r="D789" t="s">
        <v>3</v>
      </c>
      <c r="E789" s="2">
        <v>25</v>
      </c>
      <c r="F789" t="s">
        <v>710</v>
      </c>
    </row>
    <row r="790" spans="1:6">
      <c r="A790" s="1">
        <v>45894</v>
      </c>
      <c r="B790" s="7" t="s">
        <v>426</v>
      </c>
      <c r="C790" t="s">
        <v>519</v>
      </c>
      <c r="D790" t="s">
        <v>3</v>
      </c>
      <c r="E790" s="2">
        <v>1.8799999952316284</v>
      </c>
      <c r="F790" t="s">
        <v>710</v>
      </c>
    </row>
    <row r="791" spans="1:6">
      <c r="A791" s="1">
        <v>45894</v>
      </c>
      <c r="B791" s="7" t="s">
        <v>426</v>
      </c>
      <c r="C791" t="s">
        <v>520</v>
      </c>
      <c r="D791" t="s">
        <v>33</v>
      </c>
      <c r="E791" s="2">
        <v>20000</v>
      </c>
      <c r="F791" t="s">
        <v>710</v>
      </c>
    </row>
    <row r="792" spans="1:6">
      <c r="A792" s="1">
        <v>45894</v>
      </c>
      <c r="B792" s="7" t="s">
        <v>426</v>
      </c>
      <c r="C792" t="s">
        <v>521</v>
      </c>
      <c r="D792" t="s">
        <v>3</v>
      </c>
      <c r="E792" s="2">
        <v>25</v>
      </c>
      <c r="F792" t="s">
        <v>710</v>
      </c>
    </row>
    <row r="793" spans="1:6">
      <c r="A793" s="1">
        <v>45894</v>
      </c>
      <c r="B793" s="7" t="s">
        <v>426</v>
      </c>
      <c r="C793" t="s">
        <v>522</v>
      </c>
      <c r="D793" t="s">
        <v>3</v>
      </c>
      <c r="E793" s="2">
        <v>1.880000002682209</v>
      </c>
      <c r="F793" t="s">
        <v>710</v>
      </c>
    </row>
    <row r="794" spans="1:6">
      <c r="A794" s="1">
        <v>45894</v>
      </c>
      <c r="B794" s="7" t="s">
        <v>426</v>
      </c>
      <c r="C794" t="s">
        <v>523</v>
      </c>
      <c r="D794" t="s">
        <v>33</v>
      </c>
      <c r="E794" s="2">
        <v>35000</v>
      </c>
      <c r="F794" t="s">
        <v>710</v>
      </c>
    </row>
    <row r="795" spans="1:6">
      <c r="A795" s="1">
        <v>45894</v>
      </c>
      <c r="B795" s="7" t="s">
        <v>426</v>
      </c>
      <c r="C795" t="s">
        <v>524</v>
      </c>
      <c r="D795" t="s">
        <v>3</v>
      </c>
      <c r="E795" s="2">
        <v>25</v>
      </c>
      <c r="F795" t="s">
        <v>710</v>
      </c>
    </row>
    <row r="796" spans="1:6">
      <c r="A796" s="1">
        <v>45894</v>
      </c>
      <c r="B796" s="7" t="s">
        <v>426</v>
      </c>
      <c r="C796" t="s">
        <v>525</v>
      </c>
      <c r="D796" t="s">
        <v>3</v>
      </c>
      <c r="E796" s="2">
        <v>1.880000002682209</v>
      </c>
      <c r="F796" t="s">
        <v>710</v>
      </c>
    </row>
    <row r="797" spans="1:6">
      <c r="A797" s="1">
        <v>45894</v>
      </c>
      <c r="B797" s="7" t="s">
        <v>426</v>
      </c>
      <c r="C797" t="s">
        <v>526</v>
      </c>
      <c r="D797" t="s">
        <v>33</v>
      </c>
      <c r="E797" s="2">
        <v>35000</v>
      </c>
      <c r="F797" t="s">
        <v>710</v>
      </c>
    </row>
    <row r="798" spans="1:6">
      <c r="A798" s="1">
        <v>45894</v>
      </c>
      <c r="B798" s="7" t="s">
        <v>426</v>
      </c>
      <c r="C798" t="s">
        <v>527</v>
      </c>
      <c r="D798" t="s">
        <v>3</v>
      </c>
      <c r="E798" s="2">
        <v>25</v>
      </c>
      <c r="F798" t="s">
        <v>710</v>
      </c>
    </row>
    <row r="799" spans="1:6">
      <c r="A799" s="1">
        <v>45894</v>
      </c>
      <c r="B799" s="7" t="s">
        <v>426</v>
      </c>
      <c r="C799" t="s">
        <v>528</v>
      </c>
      <c r="D799" t="s">
        <v>3</v>
      </c>
      <c r="E799" s="2">
        <v>1.8799999952316284</v>
      </c>
      <c r="F799" t="s">
        <v>710</v>
      </c>
    </row>
    <row r="800" spans="1:6">
      <c r="A800" s="1">
        <v>45894</v>
      </c>
      <c r="B800" s="7" t="s">
        <v>426</v>
      </c>
      <c r="C800" t="s">
        <v>529</v>
      </c>
      <c r="D800" t="s">
        <v>33</v>
      </c>
      <c r="E800" s="2">
        <v>27500</v>
      </c>
      <c r="F800" t="s">
        <v>710</v>
      </c>
    </row>
    <row r="801" spans="1:6">
      <c r="A801" s="1">
        <v>45894</v>
      </c>
      <c r="B801" s="7" t="s">
        <v>426</v>
      </c>
      <c r="C801" t="s">
        <v>530</v>
      </c>
      <c r="D801" t="s">
        <v>3</v>
      </c>
      <c r="E801" s="2">
        <v>25</v>
      </c>
      <c r="F801" t="s">
        <v>710</v>
      </c>
    </row>
    <row r="802" spans="1:6">
      <c r="A802" s="1">
        <v>45894</v>
      </c>
      <c r="B802" s="7" t="s">
        <v>426</v>
      </c>
      <c r="C802" t="s">
        <v>531</v>
      </c>
      <c r="D802" t="s">
        <v>3</v>
      </c>
      <c r="E802" s="2">
        <v>1.880000002682209</v>
      </c>
      <c r="F802" t="s">
        <v>710</v>
      </c>
    </row>
    <row r="803" spans="1:6">
      <c r="A803" s="1">
        <v>45894</v>
      </c>
      <c r="B803" s="7" t="s">
        <v>426</v>
      </c>
      <c r="C803" t="s">
        <v>532</v>
      </c>
      <c r="D803" t="s">
        <v>33</v>
      </c>
      <c r="E803" s="2">
        <v>35000</v>
      </c>
      <c r="F803" t="s">
        <v>710</v>
      </c>
    </row>
    <row r="804" spans="1:6">
      <c r="A804" s="1">
        <v>45894</v>
      </c>
      <c r="B804" s="7" t="s">
        <v>426</v>
      </c>
      <c r="C804" t="s">
        <v>533</v>
      </c>
      <c r="D804" t="s">
        <v>3</v>
      </c>
      <c r="E804" s="2">
        <v>25</v>
      </c>
      <c r="F804" t="s">
        <v>710</v>
      </c>
    </row>
    <row r="805" spans="1:6">
      <c r="A805" s="1">
        <v>45894</v>
      </c>
      <c r="B805" s="7" t="s">
        <v>426</v>
      </c>
      <c r="C805" t="s">
        <v>534</v>
      </c>
      <c r="D805" t="s">
        <v>3</v>
      </c>
      <c r="E805" s="2">
        <v>1.8799999952316284</v>
      </c>
      <c r="F805" t="s">
        <v>710</v>
      </c>
    </row>
    <row r="806" spans="1:6">
      <c r="A806" s="1">
        <v>45894</v>
      </c>
      <c r="B806" s="7" t="s">
        <v>426</v>
      </c>
      <c r="C806" t="s">
        <v>535</v>
      </c>
      <c r="D806" t="s">
        <v>33</v>
      </c>
      <c r="E806" s="2">
        <v>70000</v>
      </c>
      <c r="F806" t="s">
        <v>710</v>
      </c>
    </row>
    <row r="807" spans="1:6">
      <c r="A807" s="1">
        <v>45894</v>
      </c>
      <c r="B807" s="7" t="s">
        <v>426</v>
      </c>
      <c r="C807" t="s">
        <v>536</v>
      </c>
      <c r="D807" t="s">
        <v>3</v>
      </c>
      <c r="E807" s="2">
        <v>50</v>
      </c>
      <c r="F807" t="s">
        <v>710</v>
      </c>
    </row>
    <row r="808" spans="1:6">
      <c r="A808" s="1">
        <v>45894</v>
      </c>
      <c r="B808" s="7" t="s">
        <v>426</v>
      </c>
      <c r="C808" t="s">
        <v>537</v>
      </c>
      <c r="D808" t="s">
        <v>3</v>
      </c>
      <c r="E808" s="2">
        <v>3.75</v>
      </c>
      <c r="F808" t="s">
        <v>710</v>
      </c>
    </row>
    <row r="809" spans="1:6">
      <c r="A809" s="1">
        <v>45894</v>
      </c>
      <c r="B809" s="7" t="s">
        <v>426</v>
      </c>
      <c r="C809" t="s">
        <v>538</v>
      </c>
      <c r="D809" t="s">
        <v>33</v>
      </c>
      <c r="E809" s="2">
        <v>35000</v>
      </c>
      <c r="F809" t="s">
        <v>710</v>
      </c>
    </row>
    <row r="810" spans="1:6">
      <c r="A810" s="1">
        <v>45894</v>
      </c>
      <c r="B810" s="7" t="s">
        <v>426</v>
      </c>
      <c r="C810" t="s">
        <v>539</v>
      </c>
      <c r="D810" t="s">
        <v>3</v>
      </c>
      <c r="E810" s="2">
        <v>25</v>
      </c>
      <c r="F810" t="s">
        <v>710</v>
      </c>
    </row>
    <row r="811" spans="1:6">
      <c r="A811" s="1">
        <v>45894</v>
      </c>
      <c r="B811" s="7" t="s">
        <v>426</v>
      </c>
      <c r="C811" t="s">
        <v>540</v>
      </c>
      <c r="D811" t="s">
        <v>3</v>
      </c>
      <c r="E811" s="2">
        <v>1.880000002682209</v>
      </c>
      <c r="F811" t="s">
        <v>710</v>
      </c>
    </row>
    <row r="812" spans="1:6">
      <c r="A812" s="1">
        <v>45894</v>
      </c>
      <c r="B812" s="7" t="s">
        <v>426</v>
      </c>
      <c r="C812" t="s">
        <v>541</v>
      </c>
      <c r="D812" t="s">
        <v>33</v>
      </c>
      <c r="E812" s="2">
        <v>20000</v>
      </c>
      <c r="F812" t="s">
        <v>710</v>
      </c>
    </row>
    <row r="813" spans="1:6">
      <c r="A813" s="1">
        <v>45894</v>
      </c>
      <c r="B813" s="7" t="s">
        <v>426</v>
      </c>
      <c r="C813" t="s">
        <v>542</v>
      </c>
      <c r="D813" t="s">
        <v>3</v>
      </c>
      <c r="E813" s="2">
        <v>25</v>
      </c>
      <c r="F813" t="s">
        <v>710</v>
      </c>
    </row>
    <row r="814" spans="1:6">
      <c r="A814" s="1">
        <v>45894</v>
      </c>
      <c r="B814" s="7" t="s">
        <v>426</v>
      </c>
      <c r="C814" t="s">
        <v>543</v>
      </c>
      <c r="D814" t="s">
        <v>3</v>
      </c>
      <c r="E814" s="2">
        <v>1.880000002682209</v>
      </c>
      <c r="F814" t="s">
        <v>710</v>
      </c>
    </row>
    <row r="815" spans="1:6">
      <c r="A815" s="1">
        <v>45894</v>
      </c>
      <c r="B815" s="7" t="s">
        <v>426</v>
      </c>
      <c r="C815" t="s">
        <v>544</v>
      </c>
      <c r="D815" t="s">
        <v>33</v>
      </c>
      <c r="E815" s="2">
        <v>70000</v>
      </c>
      <c r="F815" t="s">
        <v>710</v>
      </c>
    </row>
    <row r="816" spans="1:6">
      <c r="A816" s="1">
        <v>45894</v>
      </c>
      <c r="B816" s="7" t="s">
        <v>426</v>
      </c>
      <c r="C816" t="s">
        <v>545</v>
      </c>
      <c r="D816" t="s">
        <v>3</v>
      </c>
      <c r="E816" s="2">
        <v>50</v>
      </c>
      <c r="F816" t="s">
        <v>710</v>
      </c>
    </row>
    <row r="817" spans="1:6">
      <c r="A817" s="1">
        <v>45894</v>
      </c>
      <c r="B817" s="7" t="s">
        <v>426</v>
      </c>
      <c r="C817" t="s">
        <v>546</v>
      </c>
      <c r="D817" t="s">
        <v>3</v>
      </c>
      <c r="E817" s="2">
        <v>3.75</v>
      </c>
      <c r="F817" t="s">
        <v>710</v>
      </c>
    </row>
    <row r="818" spans="1:6">
      <c r="A818" s="1">
        <v>45894</v>
      </c>
      <c r="B818" s="7" t="s">
        <v>426</v>
      </c>
      <c r="C818" t="s">
        <v>547</v>
      </c>
      <c r="D818" t="s">
        <v>33</v>
      </c>
      <c r="E818" s="2">
        <v>20000</v>
      </c>
      <c r="F818" t="s">
        <v>710</v>
      </c>
    </row>
    <row r="819" spans="1:6">
      <c r="A819" s="1">
        <v>45894</v>
      </c>
      <c r="B819" s="7" t="s">
        <v>426</v>
      </c>
      <c r="C819" t="s">
        <v>548</v>
      </c>
      <c r="D819" t="s">
        <v>3</v>
      </c>
      <c r="E819" s="2">
        <v>25</v>
      </c>
      <c r="F819" t="s">
        <v>710</v>
      </c>
    </row>
    <row r="820" spans="1:6">
      <c r="A820" s="1">
        <v>45894</v>
      </c>
      <c r="B820" s="7" t="s">
        <v>426</v>
      </c>
      <c r="C820" t="s">
        <v>549</v>
      </c>
      <c r="D820" t="s">
        <v>33</v>
      </c>
      <c r="E820" s="2">
        <v>20000</v>
      </c>
      <c r="F820" t="s">
        <v>710</v>
      </c>
    </row>
    <row r="821" spans="1:6">
      <c r="A821" s="1">
        <v>45894</v>
      </c>
      <c r="B821" s="7" t="s">
        <v>426</v>
      </c>
      <c r="C821" t="s">
        <v>550</v>
      </c>
      <c r="D821" t="s">
        <v>3</v>
      </c>
      <c r="E821" s="2">
        <v>1.8799999952316284</v>
      </c>
      <c r="F821" t="s">
        <v>710</v>
      </c>
    </row>
    <row r="822" spans="1:6">
      <c r="A822" s="1">
        <v>45894</v>
      </c>
      <c r="B822" s="7" t="s">
        <v>426</v>
      </c>
      <c r="C822" t="s">
        <v>551</v>
      </c>
      <c r="D822" t="s">
        <v>3</v>
      </c>
      <c r="E822" s="2">
        <v>25</v>
      </c>
      <c r="F822" t="s">
        <v>710</v>
      </c>
    </row>
    <row r="823" spans="1:6">
      <c r="A823" s="1">
        <v>45894</v>
      </c>
      <c r="B823" s="7" t="s">
        <v>426</v>
      </c>
      <c r="C823" t="s">
        <v>552</v>
      </c>
      <c r="D823" t="s">
        <v>3</v>
      </c>
      <c r="E823" s="2">
        <v>1.880000002682209</v>
      </c>
      <c r="F823" t="s">
        <v>710</v>
      </c>
    </row>
    <row r="824" spans="1:6">
      <c r="A824" s="1">
        <v>45894</v>
      </c>
      <c r="B824" s="7" t="s">
        <v>426</v>
      </c>
      <c r="C824" t="s">
        <v>553</v>
      </c>
      <c r="D824" t="s">
        <v>33</v>
      </c>
      <c r="E824" s="2">
        <v>27500</v>
      </c>
      <c r="F824" t="s">
        <v>710</v>
      </c>
    </row>
    <row r="825" spans="1:6">
      <c r="A825" s="1">
        <v>45894</v>
      </c>
      <c r="B825" s="7" t="s">
        <v>426</v>
      </c>
      <c r="C825" t="s">
        <v>554</v>
      </c>
      <c r="D825" t="s">
        <v>3</v>
      </c>
      <c r="E825" s="2">
        <v>25</v>
      </c>
      <c r="F825" t="s">
        <v>710</v>
      </c>
    </row>
    <row r="826" spans="1:6">
      <c r="A826" s="1">
        <v>45894</v>
      </c>
      <c r="B826" s="7" t="s">
        <v>426</v>
      </c>
      <c r="C826" t="s">
        <v>555</v>
      </c>
      <c r="D826" t="s">
        <v>3</v>
      </c>
      <c r="E826" s="2">
        <v>1.880000002682209</v>
      </c>
      <c r="F826" t="s">
        <v>710</v>
      </c>
    </row>
    <row r="827" spans="1:6">
      <c r="A827" s="1">
        <v>45894</v>
      </c>
      <c r="B827" s="7" t="s">
        <v>426</v>
      </c>
      <c r="C827" t="s">
        <v>556</v>
      </c>
      <c r="D827" t="s">
        <v>3</v>
      </c>
      <c r="E827" s="2">
        <v>50</v>
      </c>
      <c r="F827" t="s">
        <v>710</v>
      </c>
    </row>
    <row r="828" spans="1:6">
      <c r="A828" s="1">
        <v>45895</v>
      </c>
      <c r="B828" s="7" t="s">
        <v>557</v>
      </c>
      <c r="C828" t="s">
        <v>558</v>
      </c>
      <c r="D828" t="s">
        <v>33</v>
      </c>
      <c r="E828" s="2">
        <v>27500</v>
      </c>
      <c r="F828" t="s">
        <v>710</v>
      </c>
    </row>
    <row r="829" spans="1:6">
      <c r="A829" s="1">
        <v>45895</v>
      </c>
      <c r="B829" s="7" t="s">
        <v>557</v>
      </c>
      <c r="C829" t="s">
        <v>559</v>
      </c>
      <c r="D829" t="s">
        <v>3</v>
      </c>
      <c r="E829" s="2">
        <v>25</v>
      </c>
      <c r="F829" t="s">
        <v>710</v>
      </c>
    </row>
    <row r="830" spans="1:6">
      <c r="A830" s="1">
        <v>45895</v>
      </c>
      <c r="B830" s="7" t="s">
        <v>557</v>
      </c>
      <c r="C830" t="s">
        <v>560</v>
      </c>
      <c r="D830" t="s">
        <v>3</v>
      </c>
      <c r="E830" s="2">
        <v>1.8799999952316284</v>
      </c>
      <c r="F830" t="s">
        <v>710</v>
      </c>
    </row>
    <row r="831" spans="1:6">
      <c r="A831" s="1">
        <v>45895</v>
      </c>
      <c r="B831" s="7" t="s">
        <v>557</v>
      </c>
      <c r="C831" t="s">
        <v>561</v>
      </c>
      <c r="D831" t="s">
        <v>26</v>
      </c>
      <c r="E831" s="2">
        <v>100000</v>
      </c>
      <c r="F831" t="s">
        <v>710</v>
      </c>
    </row>
    <row r="832" spans="1:6">
      <c r="A832" s="1">
        <v>45895</v>
      </c>
      <c r="B832" s="7" t="s">
        <v>557</v>
      </c>
      <c r="C832" t="s">
        <v>561</v>
      </c>
      <c r="D832" t="s">
        <v>3</v>
      </c>
      <c r="E832" s="2">
        <v>50</v>
      </c>
      <c r="F832" t="s">
        <v>710</v>
      </c>
    </row>
    <row r="833" spans="1:6">
      <c r="A833" s="1">
        <v>45895</v>
      </c>
      <c r="B833" s="7" t="s">
        <v>557</v>
      </c>
      <c r="C833" t="s">
        <v>561</v>
      </c>
      <c r="D833" t="s">
        <v>3</v>
      </c>
      <c r="E833" s="2">
        <v>3.75</v>
      </c>
      <c r="F833" t="s">
        <v>710</v>
      </c>
    </row>
    <row r="834" spans="1:6">
      <c r="A834" s="1">
        <v>45895</v>
      </c>
      <c r="B834" s="7" t="s">
        <v>557</v>
      </c>
      <c r="C834" t="s">
        <v>562</v>
      </c>
      <c r="D834" t="s">
        <v>8</v>
      </c>
      <c r="E834" s="2">
        <v>44432.330000005662</v>
      </c>
      <c r="F834" t="s">
        <v>710</v>
      </c>
    </row>
    <row r="835" spans="1:6">
      <c r="A835" s="1">
        <v>45895</v>
      </c>
      <c r="B835" s="7" t="s">
        <v>557</v>
      </c>
      <c r="C835" t="s">
        <v>563</v>
      </c>
      <c r="D835" t="s">
        <v>3</v>
      </c>
      <c r="E835" s="2">
        <v>25</v>
      </c>
      <c r="F835" t="s">
        <v>710</v>
      </c>
    </row>
    <row r="836" spans="1:6">
      <c r="A836" s="1">
        <v>45895</v>
      </c>
      <c r="B836" s="7" t="s">
        <v>557</v>
      </c>
      <c r="C836" t="s">
        <v>564</v>
      </c>
      <c r="D836" t="s">
        <v>3</v>
      </c>
      <c r="E836" s="2">
        <v>1.8799999952316284</v>
      </c>
      <c r="F836" t="s">
        <v>710</v>
      </c>
    </row>
    <row r="837" spans="1:6">
      <c r="A837" s="1">
        <v>45895</v>
      </c>
      <c r="B837" s="7" t="s">
        <v>557</v>
      </c>
      <c r="C837" t="s">
        <v>565</v>
      </c>
      <c r="D837" t="s">
        <v>8</v>
      </c>
      <c r="E837" s="2">
        <v>44432.329999998212</v>
      </c>
      <c r="F837" t="s">
        <v>710</v>
      </c>
    </row>
    <row r="838" spans="1:6">
      <c r="A838" s="1">
        <v>45895</v>
      </c>
      <c r="B838" s="7" t="s">
        <v>557</v>
      </c>
      <c r="C838" t="s">
        <v>566</v>
      </c>
      <c r="D838" t="s">
        <v>3</v>
      </c>
      <c r="E838" s="2">
        <v>25</v>
      </c>
      <c r="F838" t="s">
        <v>710</v>
      </c>
    </row>
    <row r="839" spans="1:6">
      <c r="A839" s="1">
        <v>45895</v>
      </c>
      <c r="B839" s="7" t="s">
        <v>557</v>
      </c>
      <c r="C839" t="s">
        <v>567</v>
      </c>
      <c r="D839" t="s">
        <v>3</v>
      </c>
      <c r="E839" s="2">
        <v>1.880000002682209</v>
      </c>
      <c r="F839" t="s">
        <v>710</v>
      </c>
    </row>
    <row r="840" spans="1:6">
      <c r="A840" s="1">
        <v>45895</v>
      </c>
      <c r="B840" s="7" t="s">
        <v>557</v>
      </c>
      <c r="C840" t="s">
        <v>568</v>
      </c>
      <c r="D840" t="s">
        <v>8</v>
      </c>
      <c r="E840" s="2">
        <v>283172.20000000298</v>
      </c>
      <c r="F840" t="s">
        <v>710</v>
      </c>
    </row>
    <row r="841" spans="1:6">
      <c r="A841" s="1">
        <v>45895</v>
      </c>
      <c r="B841" s="7" t="s">
        <v>557</v>
      </c>
      <c r="C841" t="s">
        <v>569</v>
      </c>
      <c r="D841" t="s">
        <v>3</v>
      </c>
      <c r="E841" s="2">
        <v>50</v>
      </c>
      <c r="F841" t="s">
        <v>710</v>
      </c>
    </row>
    <row r="842" spans="1:6">
      <c r="A842" s="1">
        <v>45895</v>
      </c>
      <c r="B842" s="7" t="s">
        <v>557</v>
      </c>
      <c r="C842" t="s">
        <v>570</v>
      </c>
      <c r="D842" t="s">
        <v>3</v>
      </c>
      <c r="E842" s="2">
        <v>3.75</v>
      </c>
      <c r="F842" t="s">
        <v>710</v>
      </c>
    </row>
    <row r="843" spans="1:6">
      <c r="A843" s="1">
        <v>45895</v>
      </c>
      <c r="B843" s="7" t="s">
        <v>557</v>
      </c>
      <c r="C843" t="s">
        <v>571</v>
      </c>
      <c r="D843" t="s">
        <v>8</v>
      </c>
      <c r="E843" s="2">
        <v>140171.66999999434</v>
      </c>
      <c r="F843" t="s">
        <v>710</v>
      </c>
    </row>
    <row r="844" spans="1:6">
      <c r="A844" s="1">
        <v>45895</v>
      </c>
      <c r="B844" s="7" t="s">
        <v>557</v>
      </c>
      <c r="C844" t="s">
        <v>572</v>
      </c>
      <c r="D844" t="s">
        <v>3</v>
      </c>
      <c r="E844" s="2">
        <v>50</v>
      </c>
      <c r="F844" t="s">
        <v>710</v>
      </c>
    </row>
    <row r="845" spans="1:6">
      <c r="A845" s="1">
        <v>45895</v>
      </c>
      <c r="B845" s="7" t="s">
        <v>557</v>
      </c>
      <c r="C845" t="s">
        <v>573</v>
      </c>
      <c r="D845" t="s">
        <v>3</v>
      </c>
      <c r="E845" s="2">
        <v>3.75</v>
      </c>
      <c r="F845" t="s">
        <v>710</v>
      </c>
    </row>
    <row r="846" spans="1:6">
      <c r="A846" s="1">
        <v>45895</v>
      </c>
      <c r="B846" s="7" t="s">
        <v>557</v>
      </c>
      <c r="C846" t="s">
        <v>574</v>
      </c>
      <c r="D846" t="s">
        <v>8</v>
      </c>
      <c r="E846" s="2">
        <v>283172.20000000298</v>
      </c>
      <c r="F846" t="s">
        <v>710</v>
      </c>
    </row>
    <row r="847" spans="1:6">
      <c r="A847" s="1">
        <v>45895</v>
      </c>
      <c r="B847" s="7" t="s">
        <v>557</v>
      </c>
      <c r="C847" t="s">
        <v>575</v>
      </c>
      <c r="D847" t="s">
        <v>3</v>
      </c>
      <c r="E847" s="2">
        <v>50</v>
      </c>
      <c r="F847" t="s">
        <v>710</v>
      </c>
    </row>
    <row r="848" spans="1:6">
      <c r="A848" s="1">
        <v>45895</v>
      </c>
      <c r="B848" s="7" t="s">
        <v>557</v>
      </c>
      <c r="C848" t="s">
        <v>576</v>
      </c>
      <c r="D848" t="s">
        <v>3</v>
      </c>
      <c r="E848" s="2">
        <v>3.75</v>
      </c>
      <c r="F848" t="s">
        <v>710</v>
      </c>
    </row>
    <row r="849" spans="1:6">
      <c r="A849" s="1">
        <v>45895</v>
      </c>
      <c r="B849" s="7" t="s">
        <v>557</v>
      </c>
      <c r="C849" t="s">
        <v>577</v>
      </c>
      <c r="D849" t="s">
        <v>8</v>
      </c>
      <c r="E849" s="2">
        <v>283172.20000000298</v>
      </c>
      <c r="F849" t="s">
        <v>710</v>
      </c>
    </row>
    <row r="850" spans="1:6">
      <c r="A850" s="1">
        <v>45895</v>
      </c>
      <c r="B850" s="7" t="s">
        <v>557</v>
      </c>
      <c r="C850" t="s">
        <v>578</v>
      </c>
      <c r="D850" t="s">
        <v>3</v>
      </c>
      <c r="E850" s="2">
        <v>50</v>
      </c>
      <c r="F850" t="s">
        <v>710</v>
      </c>
    </row>
    <row r="851" spans="1:6">
      <c r="A851" s="1">
        <v>45895</v>
      </c>
      <c r="B851" s="7" t="s">
        <v>557</v>
      </c>
      <c r="C851" t="s">
        <v>579</v>
      </c>
      <c r="D851" t="s">
        <v>3</v>
      </c>
      <c r="E851" s="2">
        <v>3.75</v>
      </c>
      <c r="F851" t="s">
        <v>710</v>
      </c>
    </row>
    <row r="852" spans="1:6">
      <c r="A852" s="1">
        <v>45895</v>
      </c>
      <c r="B852" s="7" t="s">
        <v>557</v>
      </c>
      <c r="C852" t="s">
        <v>580</v>
      </c>
      <c r="D852" t="s">
        <v>8</v>
      </c>
      <c r="E852" s="2">
        <v>44432.329999998212</v>
      </c>
      <c r="F852" t="s">
        <v>710</v>
      </c>
    </row>
    <row r="853" spans="1:6">
      <c r="A853" s="1">
        <v>45895</v>
      </c>
      <c r="B853" s="7" t="s">
        <v>557</v>
      </c>
      <c r="C853" t="s">
        <v>581</v>
      </c>
      <c r="D853" t="s">
        <v>3</v>
      </c>
      <c r="E853" s="2">
        <v>25</v>
      </c>
      <c r="F853" t="s">
        <v>710</v>
      </c>
    </row>
    <row r="854" spans="1:6">
      <c r="A854" s="1">
        <v>45895</v>
      </c>
      <c r="B854" s="7" t="s">
        <v>557</v>
      </c>
      <c r="C854" t="s">
        <v>582</v>
      </c>
      <c r="D854" t="s">
        <v>3</v>
      </c>
      <c r="E854" s="2">
        <v>1.880000002682209</v>
      </c>
      <c r="F854" t="s">
        <v>710</v>
      </c>
    </row>
    <row r="855" spans="1:6">
      <c r="A855" s="1">
        <v>45895</v>
      </c>
      <c r="B855" s="7" t="s">
        <v>557</v>
      </c>
      <c r="C855" t="s">
        <v>583</v>
      </c>
      <c r="D855" t="s">
        <v>8</v>
      </c>
      <c r="E855" s="2">
        <v>44432.329999998212</v>
      </c>
      <c r="F855" t="s">
        <v>710</v>
      </c>
    </row>
    <row r="856" spans="1:6">
      <c r="A856" s="1">
        <v>45895</v>
      </c>
      <c r="B856" s="7" t="s">
        <v>557</v>
      </c>
      <c r="C856" t="s">
        <v>584</v>
      </c>
      <c r="D856" t="s">
        <v>3</v>
      </c>
      <c r="E856" s="2">
        <v>25</v>
      </c>
      <c r="F856" t="s">
        <v>710</v>
      </c>
    </row>
    <row r="857" spans="1:6">
      <c r="A857" s="1">
        <v>45895</v>
      </c>
      <c r="B857" s="7" t="s">
        <v>557</v>
      </c>
      <c r="C857" t="s">
        <v>585</v>
      </c>
      <c r="D857" t="s">
        <v>3</v>
      </c>
      <c r="E857" s="2">
        <v>1.8799999952316284</v>
      </c>
      <c r="F857" t="s">
        <v>710</v>
      </c>
    </row>
    <row r="858" spans="1:6">
      <c r="A858" s="1">
        <v>45895</v>
      </c>
      <c r="B858" s="7" t="s">
        <v>557</v>
      </c>
      <c r="C858" t="s">
        <v>586</v>
      </c>
      <c r="D858" t="s">
        <v>8</v>
      </c>
      <c r="E858" s="2">
        <v>52835</v>
      </c>
      <c r="F858" t="s">
        <v>710</v>
      </c>
    </row>
    <row r="859" spans="1:6">
      <c r="A859" s="1">
        <v>45895</v>
      </c>
      <c r="B859" s="7" t="s">
        <v>557</v>
      </c>
      <c r="C859" t="s">
        <v>587</v>
      </c>
      <c r="D859" t="s">
        <v>3</v>
      </c>
      <c r="E859" s="2">
        <v>50</v>
      </c>
      <c r="F859" t="s">
        <v>710</v>
      </c>
    </row>
    <row r="860" spans="1:6">
      <c r="A860" s="1">
        <v>45895</v>
      </c>
      <c r="B860" s="7" t="s">
        <v>557</v>
      </c>
      <c r="C860" t="s">
        <v>588</v>
      </c>
      <c r="D860" t="s">
        <v>3</v>
      </c>
      <c r="E860" s="2">
        <v>3.75</v>
      </c>
      <c r="F860" t="s">
        <v>710</v>
      </c>
    </row>
    <row r="861" spans="1:6">
      <c r="A861" s="1">
        <v>45895</v>
      </c>
      <c r="B861" s="7" t="s">
        <v>557</v>
      </c>
      <c r="C861" t="s">
        <v>589</v>
      </c>
      <c r="D861" t="s">
        <v>8</v>
      </c>
      <c r="E861" s="2">
        <v>283172.20000000298</v>
      </c>
      <c r="F861" t="s">
        <v>710</v>
      </c>
    </row>
    <row r="862" spans="1:6">
      <c r="A862" s="1">
        <v>45895</v>
      </c>
      <c r="B862" s="7" t="s">
        <v>557</v>
      </c>
      <c r="C862" t="s">
        <v>590</v>
      </c>
      <c r="D862" t="s">
        <v>3</v>
      </c>
      <c r="E862" s="2">
        <v>50</v>
      </c>
      <c r="F862" t="s">
        <v>710</v>
      </c>
    </row>
    <row r="863" spans="1:6">
      <c r="A863" s="1">
        <v>45895</v>
      </c>
      <c r="B863" s="7" t="s">
        <v>557</v>
      </c>
      <c r="C863" t="s">
        <v>591</v>
      </c>
      <c r="D863" t="s">
        <v>3</v>
      </c>
      <c r="E863" s="2">
        <v>3.75</v>
      </c>
      <c r="F863" t="s">
        <v>710</v>
      </c>
    </row>
    <row r="864" spans="1:6">
      <c r="A864" s="1">
        <v>45895</v>
      </c>
      <c r="B864" s="7" t="s">
        <v>557</v>
      </c>
      <c r="C864" t="s">
        <v>592</v>
      </c>
      <c r="D864" t="s">
        <v>8</v>
      </c>
      <c r="E864" s="2">
        <v>486614.60000000149</v>
      </c>
      <c r="F864" t="s">
        <v>710</v>
      </c>
    </row>
    <row r="865" spans="1:6">
      <c r="A865" s="1">
        <v>45895</v>
      </c>
      <c r="B865" s="7" t="s">
        <v>557</v>
      </c>
      <c r="C865" t="s">
        <v>593</v>
      </c>
      <c r="D865" t="s">
        <v>3</v>
      </c>
      <c r="E865" s="2">
        <v>50</v>
      </c>
      <c r="F865" t="s">
        <v>710</v>
      </c>
    </row>
    <row r="866" spans="1:6">
      <c r="A866" s="1">
        <v>45895</v>
      </c>
      <c r="B866" s="7" t="s">
        <v>557</v>
      </c>
      <c r="C866" t="s">
        <v>594</v>
      </c>
      <c r="D866" t="s">
        <v>3</v>
      </c>
      <c r="E866" s="2">
        <v>3.75</v>
      </c>
      <c r="F866" t="s">
        <v>710</v>
      </c>
    </row>
    <row r="867" spans="1:6">
      <c r="A867" s="1">
        <v>45895</v>
      </c>
      <c r="B867" s="7" t="s">
        <v>557</v>
      </c>
      <c r="C867" t="s">
        <v>595</v>
      </c>
      <c r="D867" t="s">
        <v>8</v>
      </c>
      <c r="E867" s="2">
        <v>52835</v>
      </c>
      <c r="F867" t="s">
        <v>710</v>
      </c>
    </row>
    <row r="868" spans="1:6">
      <c r="A868" s="1">
        <v>45895</v>
      </c>
      <c r="B868" s="7" t="s">
        <v>557</v>
      </c>
      <c r="C868" t="s">
        <v>596</v>
      </c>
      <c r="D868" t="s">
        <v>3</v>
      </c>
      <c r="E868" s="2">
        <v>50</v>
      </c>
      <c r="F868" t="s">
        <v>710</v>
      </c>
    </row>
    <row r="869" spans="1:6">
      <c r="A869" s="1">
        <v>45895</v>
      </c>
      <c r="B869" s="7" t="s">
        <v>557</v>
      </c>
      <c r="C869" t="s">
        <v>597</v>
      </c>
      <c r="D869" t="s">
        <v>3</v>
      </c>
      <c r="E869" s="2">
        <v>3.75</v>
      </c>
      <c r="F869" t="s">
        <v>710</v>
      </c>
    </row>
    <row r="870" spans="1:6">
      <c r="A870" s="1">
        <v>45895</v>
      </c>
      <c r="B870" s="7" t="s">
        <v>557</v>
      </c>
      <c r="C870" t="s">
        <v>598</v>
      </c>
      <c r="D870" t="s">
        <v>8</v>
      </c>
      <c r="E870" s="2">
        <v>283172.19999999553</v>
      </c>
      <c r="F870" t="s">
        <v>710</v>
      </c>
    </row>
    <row r="871" spans="1:6">
      <c r="A871" s="1">
        <v>45895</v>
      </c>
      <c r="B871" s="7" t="s">
        <v>557</v>
      </c>
      <c r="C871" t="s">
        <v>599</v>
      </c>
      <c r="D871" t="s">
        <v>3</v>
      </c>
      <c r="E871" s="2">
        <v>50</v>
      </c>
      <c r="F871" t="s">
        <v>710</v>
      </c>
    </row>
    <row r="872" spans="1:6">
      <c r="A872" s="1">
        <v>45895</v>
      </c>
      <c r="B872" s="7" t="s">
        <v>557</v>
      </c>
      <c r="C872" t="s">
        <v>600</v>
      </c>
      <c r="D872" t="s">
        <v>3</v>
      </c>
      <c r="E872" s="2">
        <v>3.75</v>
      </c>
      <c r="F872" t="s">
        <v>710</v>
      </c>
    </row>
    <row r="873" spans="1:6">
      <c r="A873" s="1">
        <v>45895</v>
      </c>
      <c r="B873" s="7" t="s">
        <v>557</v>
      </c>
      <c r="C873" t="s">
        <v>601</v>
      </c>
      <c r="D873" t="s">
        <v>8</v>
      </c>
      <c r="E873" s="2">
        <v>283172.20000000298</v>
      </c>
      <c r="F873" t="s">
        <v>710</v>
      </c>
    </row>
    <row r="874" spans="1:6">
      <c r="A874" s="1">
        <v>45895</v>
      </c>
      <c r="B874" s="7" t="s">
        <v>557</v>
      </c>
      <c r="C874" t="s">
        <v>602</v>
      </c>
      <c r="D874" t="s">
        <v>3</v>
      </c>
      <c r="E874" s="2">
        <v>50</v>
      </c>
      <c r="F874" t="s">
        <v>710</v>
      </c>
    </row>
    <row r="875" spans="1:6">
      <c r="A875" s="1">
        <v>45895</v>
      </c>
      <c r="B875" s="7" t="s">
        <v>557</v>
      </c>
      <c r="C875" t="s">
        <v>603</v>
      </c>
      <c r="D875" t="s">
        <v>3</v>
      </c>
      <c r="E875" s="2">
        <v>3.75</v>
      </c>
      <c r="F875" t="s">
        <v>710</v>
      </c>
    </row>
    <row r="876" spans="1:6">
      <c r="A876" s="1">
        <v>45895</v>
      </c>
      <c r="B876" s="7" t="s">
        <v>557</v>
      </c>
      <c r="C876" t="s">
        <v>604</v>
      </c>
      <c r="D876" t="s">
        <v>8</v>
      </c>
      <c r="E876" s="2">
        <v>140171.67000000179</v>
      </c>
      <c r="F876" t="s">
        <v>710</v>
      </c>
    </row>
    <row r="877" spans="1:6">
      <c r="A877" s="1">
        <v>45895</v>
      </c>
      <c r="B877" s="7" t="s">
        <v>557</v>
      </c>
      <c r="C877" t="s">
        <v>605</v>
      </c>
      <c r="D877" t="s">
        <v>3</v>
      </c>
      <c r="E877" s="2">
        <v>50</v>
      </c>
      <c r="F877" t="s">
        <v>710</v>
      </c>
    </row>
    <row r="878" spans="1:6">
      <c r="A878" s="1">
        <v>45895</v>
      </c>
      <c r="B878" s="7" t="s">
        <v>557</v>
      </c>
      <c r="C878" t="s">
        <v>606</v>
      </c>
      <c r="D878" t="s">
        <v>3</v>
      </c>
      <c r="E878" s="2">
        <v>3.75</v>
      </c>
      <c r="F878" t="s">
        <v>710</v>
      </c>
    </row>
    <row r="879" spans="1:6">
      <c r="A879" s="1">
        <v>45895</v>
      </c>
      <c r="B879" s="7" t="s">
        <v>557</v>
      </c>
      <c r="C879" t="s">
        <v>607</v>
      </c>
      <c r="D879" t="s">
        <v>8</v>
      </c>
      <c r="E879" s="2">
        <v>283172.19999999553</v>
      </c>
      <c r="F879" t="s">
        <v>710</v>
      </c>
    </row>
    <row r="880" spans="1:6">
      <c r="A880" s="1">
        <v>45895</v>
      </c>
      <c r="B880" s="7" t="s">
        <v>557</v>
      </c>
      <c r="C880" t="s">
        <v>608</v>
      </c>
      <c r="D880" t="s">
        <v>3</v>
      </c>
      <c r="E880" s="2">
        <v>50</v>
      </c>
      <c r="F880" t="s">
        <v>710</v>
      </c>
    </row>
    <row r="881" spans="1:6">
      <c r="A881" s="1">
        <v>45895</v>
      </c>
      <c r="B881" s="7" t="s">
        <v>557</v>
      </c>
      <c r="C881" t="s">
        <v>609</v>
      </c>
      <c r="D881" t="s">
        <v>3</v>
      </c>
      <c r="E881" s="2">
        <v>3.75</v>
      </c>
      <c r="F881" t="s">
        <v>710</v>
      </c>
    </row>
    <row r="882" spans="1:6">
      <c r="A882" s="1">
        <v>45895</v>
      </c>
      <c r="B882" s="7" t="s">
        <v>557</v>
      </c>
      <c r="C882" t="s">
        <v>610</v>
      </c>
      <c r="D882" t="s">
        <v>8</v>
      </c>
      <c r="E882" s="2">
        <v>4019028.3599999994</v>
      </c>
      <c r="F882" t="s">
        <v>710</v>
      </c>
    </row>
    <row r="883" spans="1:6">
      <c r="A883" s="1">
        <v>45895</v>
      </c>
      <c r="B883" s="7" t="s">
        <v>557</v>
      </c>
      <c r="C883" t="s">
        <v>611</v>
      </c>
      <c r="D883" t="s">
        <v>3</v>
      </c>
      <c r="E883" s="2">
        <v>50</v>
      </c>
      <c r="F883" t="s">
        <v>710</v>
      </c>
    </row>
    <row r="884" spans="1:6">
      <c r="A884" s="1">
        <v>45895</v>
      </c>
      <c r="B884" s="7" t="s">
        <v>557</v>
      </c>
      <c r="C884" t="s">
        <v>612</v>
      </c>
      <c r="D884" t="s">
        <v>3</v>
      </c>
      <c r="E884" s="2">
        <v>3.75</v>
      </c>
      <c r="F884" t="s">
        <v>710</v>
      </c>
    </row>
    <row r="885" spans="1:6">
      <c r="A885" s="1">
        <v>45895</v>
      </c>
      <c r="B885" s="7" t="s">
        <v>557</v>
      </c>
      <c r="C885" t="s">
        <v>613</v>
      </c>
      <c r="D885" t="s">
        <v>8</v>
      </c>
      <c r="E885" s="2">
        <v>283172.20000000298</v>
      </c>
      <c r="F885" t="s">
        <v>710</v>
      </c>
    </row>
    <row r="886" spans="1:6">
      <c r="A886" s="1">
        <v>45895</v>
      </c>
      <c r="B886" s="7" t="s">
        <v>557</v>
      </c>
      <c r="C886" t="s">
        <v>614</v>
      </c>
      <c r="D886" t="s">
        <v>3</v>
      </c>
      <c r="E886" s="2">
        <v>50</v>
      </c>
      <c r="F886" t="s">
        <v>710</v>
      </c>
    </row>
    <row r="887" spans="1:6">
      <c r="A887" s="1">
        <v>45895</v>
      </c>
      <c r="B887" s="7" t="s">
        <v>557</v>
      </c>
      <c r="C887" t="s">
        <v>615</v>
      </c>
      <c r="D887" t="s">
        <v>3</v>
      </c>
      <c r="E887" s="2">
        <v>3.75</v>
      </c>
      <c r="F887" t="s">
        <v>710</v>
      </c>
    </row>
    <row r="888" spans="1:6">
      <c r="A888" s="1">
        <v>45895</v>
      </c>
      <c r="B888" s="7" t="s">
        <v>557</v>
      </c>
      <c r="C888" t="s">
        <v>616</v>
      </c>
      <c r="D888" t="s">
        <v>8</v>
      </c>
      <c r="E888" s="2">
        <v>52835</v>
      </c>
      <c r="F888" t="s">
        <v>710</v>
      </c>
    </row>
    <row r="889" spans="1:6">
      <c r="A889" s="1">
        <v>45895</v>
      </c>
      <c r="B889" s="7" t="s">
        <v>557</v>
      </c>
      <c r="C889" t="s">
        <v>617</v>
      </c>
      <c r="D889" t="s">
        <v>3</v>
      </c>
      <c r="E889" s="2">
        <v>50</v>
      </c>
      <c r="F889" t="s">
        <v>710</v>
      </c>
    </row>
    <row r="890" spans="1:6">
      <c r="A890" s="1">
        <v>45895</v>
      </c>
      <c r="B890" s="7" t="s">
        <v>557</v>
      </c>
      <c r="C890" t="s">
        <v>618</v>
      </c>
      <c r="D890" t="s">
        <v>3</v>
      </c>
      <c r="E890" s="2">
        <v>3.75</v>
      </c>
      <c r="F890" t="s">
        <v>710</v>
      </c>
    </row>
    <row r="891" spans="1:6">
      <c r="A891" s="1">
        <v>45895</v>
      </c>
      <c r="B891" s="7" t="s">
        <v>557</v>
      </c>
      <c r="C891" t="s">
        <v>619</v>
      </c>
      <c r="D891" t="s">
        <v>8</v>
      </c>
      <c r="E891" s="2">
        <v>2295519.5600000024</v>
      </c>
      <c r="F891" t="s">
        <v>710</v>
      </c>
    </row>
    <row r="892" spans="1:6">
      <c r="A892" s="1">
        <v>45895</v>
      </c>
      <c r="B892" s="7" t="s">
        <v>557</v>
      </c>
      <c r="C892" t="s">
        <v>620</v>
      </c>
      <c r="D892" t="s">
        <v>3</v>
      </c>
      <c r="E892" s="2">
        <v>50</v>
      </c>
      <c r="F892" t="s">
        <v>710</v>
      </c>
    </row>
    <row r="893" spans="1:6">
      <c r="A893" s="1">
        <v>45895</v>
      </c>
      <c r="B893" s="7" t="s">
        <v>557</v>
      </c>
      <c r="C893" t="s">
        <v>621</v>
      </c>
      <c r="D893" t="s">
        <v>3</v>
      </c>
      <c r="E893" s="2">
        <v>3.75</v>
      </c>
      <c r="F893" t="s">
        <v>710</v>
      </c>
    </row>
    <row r="894" spans="1:6">
      <c r="A894" s="1">
        <v>45895</v>
      </c>
      <c r="B894" s="7" t="s">
        <v>557</v>
      </c>
      <c r="C894" t="s">
        <v>622</v>
      </c>
      <c r="D894" t="s">
        <v>8</v>
      </c>
      <c r="E894" s="2">
        <v>44432.329999998212</v>
      </c>
      <c r="F894" t="s">
        <v>710</v>
      </c>
    </row>
    <row r="895" spans="1:6">
      <c r="A895" s="1">
        <v>45895</v>
      </c>
      <c r="B895" s="7" t="s">
        <v>557</v>
      </c>
      <c r="C895" t="s">
        <v>623</v>
      </c>
      <c r="D895" t="s">
        <v>3</v>
      </c>
      <c r="E895" s="2">
        <v>25</v>
      </c>
      <c r="F895" t="s">
        <v>710</v>
      </c>
    </row>
    <row r="896" spans="1:6">
      <c r="A896" s="1">
        <v>45895</v>
      </c>
      <c r="B896" s="7" t="s">
        <v>557</v>
      </c>
      <c r="C896" t="s">
        <v>624</v>
      </c>
      <c r="D896" t="s">
        <v>3</v>
      </c>
      <c r="E896" s="2">
        <v>1.880000002682209</v>
      </c>
      <c r="F896" t="s">
        <v>710</v>
      </c>
    </row>
    <row r="897" spans="1:6">
      <c r="A897" s="1">
        <v>45895</v>
      </c>
      <c r="B897" s="7" t="s">
        <v>557</v>
      </c>
      <c r="C897" t="s">
        <v>625</v>
      </c>
      <c r="D897" t="s">
        <v>19</v>
      </c>
      <c r="E897" s="2">
        <v>44432.329999998212</v>
      </c>
      <c r="F897" t="s">
        <v>710</v>
      </c>
    </row>
    <row r="898" spans="1:6">
      <c r="A898" s="1">
        <v>45895</v>
      </c>
      <c r="B898" s="7" t="s">
        <v>557</v>
      </c>
      <c r="C898" t="s">
        <v>626</v>
      </c>
      <c r="D898" t="s">
        <v>3</v>
      </c>
      <c r="E898" s="2">
        <v>25</v>
      </c>
      <c r="F898" t="s">
        <v>710</v>
      </c>
    </row>
    <row r="899" spans="1:6">
      <c r="A899" s="1">
        <v>45895</v>
      </c>
      <c r="B899" s="7" t="s">
        <v>557</v>
      </c>
      <c r="C899" t="s">
        <v>627</v>
      </c>
      <c r="D899" t="s">
        <v>3</v>
      </c>
      <c r="E899" s="2">
        <v>1.8799999952316284</v>
      </c>
      <c r="F899" t="s">
        <v>710</v>
      </c>
    </row>
    <row r="900" spans="1:6">
      <c r="A900" s="1">
        <v>45895</v>
      </c>
      <c r="B900" s="7" t="s">
        <v>557</v>
      </c>
      <c r="C900" t="s">
        <v>628</v>
      </c>
      <c r="D900" t="s">
        <v>8</v>
      </c>
      <c r="E900" s="2">
        <v>140171.67000000179</v>
      </c>
      <c r="F900" t="s">
        <v>710</v>
      </c>
    </row>
    <row r="901" spans="1:6">
      <c r="A901" s="1">
        <v>45895</v>
      </c>
      <c r="B901" s="7" t="s">
        <v>557</v>
      </c>
      <c r="C901" t="s">
        <v>629</v>
      </c>
      <c r="D901" t="s">
        <v>3</v>
      </c>
      <c r="E901" s="2">
        <v>50</v>
      </c>
      <c r="F901" t="s">
        <v>710</v>
      </c>
    </row>
    <row r="902" spans="1:6">
      <c r="A902" s="1">
        <v>45895</v>
      </c>
      <c r="B902" s="7" t="s">
        <v>557</v>
      </c>
      <c r="C902" t="s">
        <v>630</v>
      </c>
      <c r="D902" t="s">
        <v>3</v>
      </c>
      <c r="E902" s="2">
        <v>3.75</v>
      </c>
      <c r="F902" t="s">
        <v>710</v>
      </c>
    </row>
    <row r="903" spans="1:6">
      <c r="A903" s="1">
        <v>45895</v>
      </c>
      <c r="B903" s="7" t="s">
        <v>557</v>
      </c>
      <c r="C903" t="s">
        <v>631</v>
      </c>
      <c r="D903" t="s">
        <v>8</v>
      </c>
      <c r="E903" s="2">
        <v>44432.329999998212</v>
      </c>
      <c r="F903" t="s">
        <v>710</v>
      </c>
    </row>
    <row r="904" spans="1:6">
      <c r="A904" s="1">
        <v>45895</v>
      </c>
      <c r="B904" s="7" t="s">
        <v>557</v>
      </c>
      <c r="C904" t="s">
        <v>632</v>
      </c>
      <c r="D904" t="s">
        <v>3</v>
      </c>
      <c r="E904" s="2">
        <v>25</v>
      </c>
      <c r="F904" t="s">
        <v>710</v>
      </c>
    </row>
    <row r="905" spans="1:6">
      <c r="A905" s="1">
        <v>45895</v>
      </c>
      <c r="B905" s="7" t="s">
        <v>557</v>
      </c>
      <c r="C905" t="s">
        <v>633</v>
      </c>
      <c r="D905" t="s">
        <v>3</v>
      </c>
      <c r="E905" s="2">
        <v>1.880000002682209</v>
      </c>
      <c r="F905" t="s">
        <v>710</v>
      </c>
    </row>
    <row r="906" spans="1:6">
      <c r="A906" s="1">
        <v>45895</v>
      </c>
      <c r="B906" s="7" t="s">
        <v>557</v>
      </c>
      <c r="C906" t="s">
        <v>634</v>
      </c>
      <c r="D906" t="s">
        <v>8</v>
      </c>
      <c r="E906" s="2">
        <v>283172.20000000298</v>
      </c>
      <c r="F906" t="s">
        <v>710</v>
      </c>
    </row>
    <row r="907" spans="1:6">
      <c r="A907" s="1">
        <v>45895</v>
      </c>
      <c r="B907" s="7" t="s">
        <v>557</v>
      </c>
      <c r="C907" t="s">
        <v>635</v>
      </c>
      <c r="D907" t="s">
        <v>3</v>
      </c>
      <c r="E907" s="2">
        <v>50</v>
      </c>
      <c r="F907" t="s">
        <v>710</v>
      </c>
    </row>
    <row r="908" spans="1:6">
      <c r="A908" s="1">
        <v>45895</v>
      </c>
      <c r="B908" s="7" t="s">
        <v>557</v>
      </c>
      <c r="C908" t="s">
        <v>636</v>
      </c>
      <c r="D908" t="s">
        <v>3</v>
      </c>
      <c r="E908" s="2">
        <v>3.75</v>
      </c>
      <c r="F908" t="s">
        <v>710</v>
      </c>
    </row>
    <row r="909" spans="1:6">
      <c r="A909" s="1">
        <v>45895</v>
      </c>
      <c r="B909" s="7" t="s">
        <v>557</v>
      </c>
      <c r="C909" t="s">
        <v>637</v>
      </c>
      <c r="D909" t="s">
        <v>13</v>
      </c>
      <c r="E909" s="2">
        <v>150000</v>
      </c>
      <c r="F909" t="s">
        <v>710</v>
      </c>
    </row>
    <row r="910" spans="1:6">
      <c r="A910" s="1">
        <v>45895</v>
      </c>
      <c r="B910" s="7" t="s">
        <v>557</v>
      </c>
      <c r="C910" t="s">
        <v>637</v>
      </c>
      <c r="D910" t="s">
        <v>3</v>
      </c>
      <c r="E910" s="2">
        <v>50</v>
      </c>
      <c r="F910" t="s">
        <v>710</v>
      </c>
    </row>
    <row r="911" spans="1:6">
      <c r="A911" s="1">
        <v>45895</v>
      </c>
      <c r="B911" s="7" t="s">
        <v>557</v>
      </c>
      <c r="C911" t="s">
        <v>637</v>
      </c>
      <c r="D911" t="s">
        <v>3</v>
      </c>
      <c r="E911" s="2">
        <v>3.75</v>
      </c>
      <c r="F911" t="s">
        <v>710</v>
      </c>
    </row>
    <row r="912" spans="1:6">
      <c r="A912" s="1">
        <v>45895</v>
      </c>
      <c r="B912" s="7" t="s">
        <v>557</v>
      </c>
      <c r="C912" t="s">
        <v>638</v>
      </c>
      <c r="D912" t="s">
        <v>33</v>
      </c>
      <c r="E912" s="2">
        <v>-9579242.3200000003</v>
      </c>
      <c r="F912" t="s">
        <v>710</v>
      </c>
    </row>
    <row r="913" spans="1:6">
      <c r="A913" s="1">
        <v>45895</v>
      </c>
      <c r="B913" s="7" t="s">
        <v>557</v>
      </c>
      <c r="C913" t="s">
        <v>639</v>
      </c>
      <c r="D913" t="s">
        <v>33</v>
      </c>
      <c r="E913" s="2">
        <v>-47500</v>
      </c>
      <c r="F913" t="s">
        <v>710</v>
      </c>
    </row>
    <row r="914" spans="1:6">
      <c r="A914" s="1">
        <v>45895</v>
      </c>
      <c r="B914" s="7" t="s">
        <v>557</v>
      </c>
      <c r="C914" t="s">
        <v>640</v>
      </c>
      <c r="D914" t="s">
        <v>26</v>
      </c>
      <c r="E914" s="2">
        <v>120000</v>
      </c>
      <c r="F914" t="s">
        <v>710</v>
      </c>
    </row>
    <row r="915" spans="1:6">
      <c r="A915" s="1">
        <v>45895</v>
      </c>
      <c r="B915" s="7" t="s">
        <v>557</v>
      </c>
      <c r="C915" t="s">
        <v>640</v>
      </c>
      <c r="D915" t="s">
        <v>3</v>
      </c>
      <c r="E915" s="2">
        <v>50</v>
      </c>
      <c r="F915" t="s">
        <v>710</v>
      </c>
    </row>
    <row r="916" spans="1:6">
      <c r="A916" s="1">
        <v>45895</v>
      </c>
      <c r="B916" s="7" t="s">
        <v>557</v>
      </c>
      <c r="C916" t="s">
        <v>640</v>
      </c>
      <c r="D916" t="s">
        <v>3</v>
      </c>
      <c r="E916" s="2">
        <v>3.75</v>
      </c>
      <c r="F916" t="s">
        <v>710</v>
      </c>
    </row>
    <row r="917" spans="1:6">
      <c r="A917" s="1">
        <v>45895</v>
      </c>
      <c r="B917" s="7" t="s">
        <v>557</v>
      </c>
      <c r="C917" t="s">
        <v>641</v>
      </c>
      <c r="D917" t="s">
        <v>8</v>
      </c>
      <c r="E917" s="2">
        <v>71025</v>
      </c>
      <c r="F917" t="s">
        <v>710</v>
      </c>
    </row>
    <row r="918" spans="1:6">
      <c r="A918" s="1">
        <v>45895</v>
      </c>
      <c r="B918" s="7" t="s">
        <v>557</v>
      </c>
      <c r="C918" t="s">
        <v>641</v>
      </c>
      <c r="D918" t="s">
        <v>3</v>
      </c>
      <c r="E918" s="2">
        <v>50</v>
      </c>
      <c r="F918" t="s">
        <v>710</v>
      </c>
    </row>
    <row r="919" spans="1:6">
      <c r="A919" s="1">
        <v>45895</v>
      </c>
      <c r="B919" s="7" t="s">
        <v>557</v>
      </c>
      <c r="C919" t="s">
        <v>641</v>
      </c>
      <c r="D919" t="s">
        <v>3</v>
      </c>
      <c r="E919" s="2">
        <v>3.75</v>
      </c>
      <c r="F919" t="s">
        <v>710</v>
      </c>
    </row>
    <row r="920" spans="1:6">
      <c r="A920" s="1">
        <v>45896</v>
      </c>
      <c r="B920" s="7" t="s">
        <v>642</v>
      </c>
      <c r="C920" t="s">
        <v>643</v>
      </c>
      <c r="D920" t="s">
        <v>11</v>
      </c>
      <c r="E920" s="2">
        <v>30000</v>
      </c>
      <c r="F920" t="s">
        <v>710</v>
      </c>
    </row>
    <row r="921" spans="1:6">
      <c r="A921" s="1">
        <v>45896</v>
      </c>
      <c r="B921" s="7" t="s">
        <v>642</v>
      </c>
      <c r="C921" t="s">
        <v>643</v>
      </c>
      <c r="D921" t="s">
        <v>3</v>
      </c>
      <c r="E921" s="2">
        <v>25</v>
      </c>
      <c r="F921" t="s">
        <v>710</v>
      </c>
    </row>
    <row r="922" spans="1:6">
      <c r="A922" s="1">
        <v>45896</v>
      </c>
      <c r="B922" s="7" t="s">
        <v>642</v>
      </c>
      <c r="C922" t="s">
        <v>643</v>
      </c>
      <c r="D922" t="s">
        <v>3</v>
      </c>
      <c r="E922" s="2">
        <v>1.8799999952316284</v>
      </c>
      <c r="F922" t="s">
        <v>710</v>
      </c>
    </row>
    <row r="923" spans="1:6">
      <c r="A923" s="1">
        <v>45896</v>
      </c>
      <c r="B923" s="7" t="s">
        <v>642</v>
      </c>
      <c r="C923" t="s">
        <v>644</v>
      </c>
      <c r="D923" t="s">
        <v>4</v>
      </c>
      <c r="E923" s="2">
        <v>167500</v>
      </c>
      <c r="F923" t="s">
        <v>710</v>
      </c>
    </row>
    <row r="924" spans="1:6">
      <c r="A924" s="1">
        <v>45896</v>
      </c>
      <c r="B924" s="7" t="s">
        <v>642</v>
      </c>
      <c r="C924" t="s">
        <v>644</v>
      </c>
      <c r="D924" t="s">
        <v>3</v>
      </c>
      <c r="E924" s="2">
        <v>50</v>
      </c>
      <c r="F924" t="s">
        <v>710</v>
      </c>
    </row>
    <row r="925" spans="1:6">
      <c r="A925" s="1">
        <v>45896</v>
      </c>
      <c r="B925" s="7" t="s">
        <v>642</v>
      </c>
      <c r="C925" t="s">
        <v>644</v>
      </c>
      <c r="D925" t="s">
        <v>3</v>
      </c>
      <c r="E925" s="2">
        <v>3.75</v>
      </c>
      <c r="F925" t="s">
        <v>710</v>
      </c>
    </row>
    <row r="926" spans="1:6">
      <c r="A926" s="1">
        <v>45896</v>
      </c>
      <c r="B926" s="7" t="s">
        <v>642</v>
      </c>
      <c r="C926" t="s">
        <v>645</v>
      </c>
      <c r="D926" t="s">
        <v>4</v>
      </c>
      <c r="E926" s="2">
        <v>32000</v>
      </c>
      <c r="F926" t="s">
        <v>710</v>
      </c>
    </row>
    <row r="927" spans="1:6">
      <c r="A927" s="1">
        <v>45896</v>
      </c>
      <c r="B927" s="7" t="s">
        <v>642</v>
      </c>
      <c r="C927" t="s">
        <v>645</v>
      </c>
      <c r="D927" t="s">
        <v>3</v>
      </c>
      <c r="E927" s="2">
        <v>25</v>
      </c>
      <c r="F927" t="s">
        <v>710</v>
      </c>
    </row>
    <row r="928" spans="1:6">
      <c r="A928" s="1">
        <v>45896</v>
      </c>
      <c r="B928" s="7" t="s">
        <v>642</v>
      </c>
      <c r="C928" t="s">
        <v>645</v>
      </c>
      <c r="D928" t="s">
        <v>3</v>
      </c>
      <c r="E928" s="2">
        <v>1.880000002682209</v>
      </c>
      <c r="F928" t="s">
        <v>710</v>
      </c>
    </row>
    <row r="929" spans="1:6">
      <c r="A929" s="1">
        <v>45896</v>
      </c>
      <c r="B929" s="7" t="s">
        <v>642</v>
      </c>
      <c r="C929" t="s">
        <v>646</v>
      </c>
      <c r="D929" t="s">
        <v>26</v>
      </c>
      <c r="E929" s="2">
        <v>202000</v>
      </c>
      <c r="F929" t="s">
        <v>710</v>
      </c>
    </row>
    <row r="930" spans="1:6">
      <c r="A930" s="1">
        <v>45896</v>
      </c>
      <c r="B930" s="7" t="s">
        <v>642</v>
      </c>
      <c r="C930" t="s">
        <v>646</v>
      </c>
      <c r="D930" t="s">
        <v>3</v>
      </c>
      <c r="E930" s="2">
        <v>50</v>
      </c>
      <c r="F930" t="s">
        <v>710</v>
      </c>
    </row>
    <row r="931" spans="1:6">
      <c r="A931" s="1">
        <v>45896</v>
      </c>
      <c r="B931" s="7" t="s">
        <v>642</v>
      </c>
      <c r="C931" t="s">
        <v>646</v>
      </c>
      <c r="D931" t="s">
        <v>3</v>
      </c>
      <c r="E931" s="2">
        <v>3.75</v>
      </c>
      <c r="F931" t="s">
        <v>710</v>
      </c>
    </row>
    <row r="932" spans="1:6">
      <c r="A932" s="1">
        <v>45896</v>
      </c>
      <c r="B932" s="7" t="s">
        <v>642</v>
      </c>
      <c r="C932" t="s">
        <v>647</v>
      </c>
      <c r="D932" t="s">
        <v>15</v>
      </c>
      <c r="E932" s="2">
        <v>63500</v>
      </c>
      <c r="F932" t="s">
        <v>710</v>
      </c>
    </row>
    <row r="933" spans="1:6">
      <c r="A933" s="1">
        <v>45896</v>
      </c>
      <c r="B933" s="7" t="s">
        <v>642</v>
      </c>
      <c r="C933" t="s">
        <v>647</v>
      </c>
      <c r="D933" t="s">
        <v>3</v>
      </c>
      <c r="E933" s="2">
        <v>50</v>
      </c>
      <c r="F933" t="s">
        <v>710</v>
      </c>
    </row>
    <row r="934" spans="1:6">
      <c r="A934" s="1">
        <v>45896</v>
      </c>
      <c r="B934" s="7" t="s">
        <v>642</v>
      </c>
      <c r="C934" t="s">
        <v>647</v>
      </c>
      <c r="D934" t="s">
        <v>3</v>
      </c>
      <c r="E934" s="2">
        <v>3.75</v>
      </c>
      <c r="F934" t="s">
        <v>710</v>
      </c>
    </row>
    <row r="935" spans="1:6">
      <c r="A935" s="1">
        <v>45898</v>
      </c>
      <c r="B935" s="7" t="s">
        <v>648</v>
      </c>
      <c r="C935" t="s">
        <v>649</v>
      </c>
      <c r="D935" t="s">
        <v>15</v>
      </c>
      <c r="E935" s="2">
        <v>70500</v>
      </c>
      <c r="F935" t="s">
        <v>710</v>
      </c>
    </row>
    <row r="936" spans="1:6">
      <c r="A936" s="1">
        <v>45898</v>
      </c>
      <c r="B936" s="7" t="s">
        <v>648</v>
      </c>
      <c r="C936" t="s">
        <v>649</v>
      </c>
      <c r="D936" t="s">
        <v>3</v>
      </c>
      <c r="E936" s="2">
        <v>50</v>
      </c>
      <c r="F936" t="s">
        <v>710</v>
      </c>
    </row>
    <row r="937" spans="1:6">
      <c r="A937" s="1">
        <v>45898</v>
      </c>
      <c r="B937" s="7" t="s">
        <v>648</v>
      </c>
      <c r="C937" t="s">
        <v>649</v>
      </c>
      <c r="D937" t="s">
        <v>3</v>
      </c>
      <c r="E937" s="2">
        <v>3.75</v>
      </c>
      <c r="F937" t="s">
        <v>710</v>
      </c>
    </row>
    <row r="938" spans="1:6">
      <c r="A938" s="1">
        <v>45898</v>
      </c>
      <c r="B938" s="7" t="s">
        <v>648</v>
      </c>
      <c r="C938" t="s">
        <v>650</v>
      </c>
      <c r="D938" t="s">
        <v>3</v>
      </c>
      <c r="E938" s="2">
        <v>2565.2100000008941</v>
      </c>
      <c r="F938" t="s">
        <v>710</v>
      </c>
    </row>
    <row r="939" spans="1:6">
      <c r="A939" s="1">
        <v>45898</v>
      </c>
      <c r="B939" s="7" t="s">
        <v>648</v>
      </c>
      <c r="C939" t="s">
        <v>651</v>
      </c>
      <c r="D939" t="s">
        <v>34</v>
      </c>
      <c r="E939" s="2">
        <v>34201.70000000298</v>
      </c>
      <c r="F939" t="s">
        <v>710</v>
      </c>
    </row>
    <row r="940" spans="1:6" s="10" customFormat="1">
      <c r="A940" s="8">
        <v>45900</v>
      </c>
      <c r="B940" s="9" t="s">
        <v>648</v>
      </c>
      <c r="C940" s="10" t="s">
        <v>718</v>
      </c>
      <c r="D940" s="10" t="s">
        <v>714</v>
      </c>
      <c r="E940" s="11">
        <v>-23416246.75</v>
      </c>
      <c r="F940" s="10" t="s">
        <v>710</v>
      </c>
    </row>
    <row r="941" spans="1:6">
      <c r="A941" s="1">
        <v>45901</v>
      </c>
      <c r="B941" s="7" t="s">
        <v>652</v>
      </c>
      <c r="C941" t="s">
        <v>653</v>
      </c>
      <c r="D941" t="s">
        <v>4</v>
      </c>
      <c r="E941" s="2">
        <v>108000</v>
      </c>
      <c r="F941" t="s">
        <v>710</v>
      </c>
    </row>
    <row r="942" spans="1:6">
      <c r="A942" s="1">
        <v>45901</v>
      </c>
      <c r="B942" s="7" t="s">
        <v>652</v>
      </c>
      <c r="C942" t="s">
        <v>653</v>
      </c>
      <c r="D942" t="s">
        <v>3</v>
      </c>
      <c r="E942" s="2">
        <v>50</v>
      </c>
      <c r="F942" t="s">
        <v>710</v>
      </c>
    </row>
    <row r="943" spans="1:6">
      <c r="A943" s="1">
        <v>45901</v>
      </c>
      <c r="B943" s="7" t="s">
        <v>652</v>
      </c>
      <c r="C943" t="s">
        <v>653</v>
      </c>
      <c r="D943" t="s">
        <v>3</v>
      </c>
      <c r="E943" s="2">
        <v>3.75</v>
      </c>
      <c r="F943" t="s">
        <v>710</v>
      </c>
    </row>
    <row r="944" spans="1:6">
      <c r="A944" s="1">
        <v>45901</v>
      </c>
      <c r="B944" s="7" t="s">
        <v>652</v>
      </c>
      <c r="C944" t="s">
        <v>654</v>
      </c>
      <c r="D944" t="s">
        <v>5</v>
      </c>
      <c r="E944" s="2">
        <v>40000</v>
      </c>
      <c r="F944" t="s">
        <v>710</v>
      </c>
    </row>
    <row r="945" spans="1:6">
      <c r="A945" s="1">
        <v>45901</v>
      </c>
      <c r="B945" s="7" t="s">
        <v>652</v>
      </c>
      <c r="C945" t="s">
        <v>654</v>
      </c>
      <c r="D945" t="s">
        <v>3</v>
      </c>
      <c r="E945" s="2">
        <v>25</v>
      </c>
      <c r="F945" t="s">
        <v>710</v>
      </c>
    </row>
    <row r="946" spans="1:6">
      <c r="A946" s="1">
        <v>45901</v>
      </c>
      <c r="B946" s="7" t="s">
        <v>652</v>
      </c>
      <c r="C946" t="s">
        <v>654</v>
      </c>
      <c r="D946" t="s">
        <v>3</v>
      </c>
      <c r="E946" s="2">
        <v>1.8799999952316284</v>
      </c>
      <c r="F946" t="s">
        <v>710</v>
      </c>
    </row>
    <row r="947" spans="1:6">
      <c r="A947" s="1">
        <v>45901</v>
      </c>
      <c r="B947" s="7" t="s">
        <v>652</v>
      </c>
      <c r="C947" t="s">
        <v>655</v>
      </c>
      <c r="D947" t="s">
        <v>26</v>
      </c>
      <c r="E947" s="2">
        <v>242000</v>
      </c>
      <c r="F947" t="s">
        <v>710</v>
      </c>
    </row>
    <row r="948" spans="1:6">
      <c r="A948" s="1">
        <v>45901</v>
      </c>
      <c r="B948" s="7" t="s">
        <v>652</v>
      </c>
      <c r="C948" t="s">
        <v>655</v>
      </c>
      <c r="D948" t="s">
        <v>3</v>
      </c>
      <c r="E948" s="2">
        <v>50</v>
      </c>
      <c r="F948" t="s">
        <v>710</v>
      </c>
    </row>
    <row r="949" spans="1:6">
      <c r="A949" s="1">
        <v>45901</v>
      </c>
      <c r="B949" s="7" t="s">
        <v>652</v>
      </c>
      <c r="C949" t="s">
        <v>655</v>
      </c>
      <c r="D949" t="s">
        <v>3</v>
      </c>
      <c r="E949" s="2">
        <v>3.75</v>
      </c>
      <c r="F949" t="s">
        <v>710</v>
      </c>
    </row>
    <row r="950" spans="1:6">
      <c r="A950" s="1">
        <v>45902</v>
      </c>
      <c r="B950" s="7" t="s">
        <v>656</v>
      </c>
      <c r="C950" t="s">
        <v>657</v>
      </c>
      <c r="D950" t="s">
        <v>16</v>
      </c>
      <c r="E950" s="2">
        <v>950000</v>
      </c>
      <c r="F950" t="s">
        <v>710</v>
      </c>
    </row>
    <row r="951" spans="1:6">
      <c r="A951" s="1">
        <v>45902</v>
      </c>
      <c r="B951" s="7" t="s">
        <v>656</v>
      </c>
      <c r="C951" t="s">
        <v>658</v>
      </c>
      <c r="D951" t="s">
        <v>3</v>
      </c>
      <c r="E951" s="2">
        <v>50</v>
      </c>
      <c r="F951" t="s">
        <v>710</v>
      </c>
    </row>
    <row r="952" spans="1:6">
      <c r="A952" s="1">
        <v>45902</v>
      </c>
      <c r="B952" s="7" t="s">
        <v>656</v>
      </c>
      <c r="C952" t="s">
        <v>659</v>
      </c>
      <c r="D952" t="s">
        <v>3</v>
      </c>
      <c r="E952" s="2">
        <v>3.75</v>
      </c>
      <c r="F952" t="s">
        <v>710</v>
      </c>
    </row>
    <row r="953" spans="1:6">
      <c r="A953" s="1">
        <v>45902</v>
      </c>
      <c r="B953" s="7" t="s">
        <v>656</v>
      </c>
      <c r="C953" t="s">
        <v>660</v>
      </c>
      <c r="D953" t="s">
        <v>30</v>
      </c>
      <c r="E953" s="2">
        <v>470000</v>
      </c>
      <c r="F953" t="s">
        <v>710</v>
      </c>
    </row>
    <row r="954" spans="1:6">
      <c r="A954" s="1">
        <v>45902</v>
      </c>
      <c r="B954" s="7" t="s">
        <v>656</v>
      </c>
      <c r="C954" t="s">
        <v>661</v>
      </c>
      <c r="D954" t="s">
        <v>3</v>
      </c>
      <c r="E954" s="2">
        <v>50</v>
      </c>
      <c r="F954" t="s">
        <v>710</v>
      </c>
    </row>
    <row r="955" spans="1:6">
      <c r="A955" s="1">
        <v>45902</v>
      </c>
      <c r="B955" s="7" t="s">
        <v>656</v>
      </c>
      <c r="C955" t="s">
        <v>662</v>
      </c>
      <c r="D955" t="s">
        <v>3</v>
      </c>
      <c r="E955" s="2">
        <v>3.75</v>
      </c>
      <c r="F955" t="s">
        <v>710</v>
      </c>
    </row>
    <row r="956" spans="1:6">
      <c r="A956" s="1">
        <v>45902</v>
      </c>
      <c r="B956" s="7" t="s">
        <v>656</v>
      </c>
      <c r="C956" t="s">
        <v>663</v>
      </c>
      <c r="D956" t="s">
        <v>8</v>
      </c>
      <c r="E956" s="2">
        <v>2035800</v>
      </c>
      <c r="F956" t="s">
        <v>710</v>
      </c>
    </row>
    <row r="957" spans="1:6">
      <c r="A957" s="1">
        <v>45902</v>
      </c>
      <c r="B957" s="7" t="s">
        <v>656</v>
      </c>
      <c r="C957" t="s">
        <v>664</v>
      </c>
      <c r="D957" t="s">
        <v>3</v>
      </c>
      <c r="E957" s="2">
        <v>50</v>
      </c>
      <c r="F957" t="s">
        <v>710</v>
      </c>
    </row>
    <row r="958" spans="1:6">
      <c r="A958" s="1">
        <v>45902</v>
      </c>
      <c r="B958" s="7" t="s">
        <v>656</v>
      </c>
      <c r="C958" t="s">
        <v>665</v>
      </c>
      <c r="D958" t="s">
        <v>3</v>
      </c>
      <c r="E958" s="2">
        <v>3.75</v>
      </c>
      <c r="F958" t="s">
        <v>710</v>
      </c>
    </row>
    <row r="959" spans="1:6">
      <c r="A959" s="1">
        <v>45902</v>
      </c>
      <c r="B959" s="7" t="s">
        <v>656</v>
      </c>
      <c r="C959" t="s">
        <v>666</v>
      </c>
      <c r="D959" t="s">
        <v>8</v>
      </c>
      <c r="E959" s="2">
        <v>2092500</v>
      </c>
      <c r="F959" t="s">
        <v>710</v>
      </c>
    </row>
    <row r="960" spans="1:6">
      <c r="A960" s="1">
        <v>45902</v>
      </c>
      <c r="B960" s="7" t="s">
        <v>656</v>
      </c>
      <c r="C960" t="s">
        <v>667</v>
      </c>
      <c r="D960" t="s">
        <v>3</v>
      </c>
      <c r="E960" s="2">
        <v>50</v>
      </c>
      <c r="F960" t="s">
        <v>710</v>
      </c>
    </row>
    <row r="961" spans="1:6">
      <c r="A961" s="1">
        <v>45902</v>
      </c>
      <c r="B961" s="7" t="s">
        <v>656</v>
      </c>
      <c r="C961" t="s">
        <v>668</v>
      </c>
      <c r="D961" t="s">
        <v>3</v>
      </c>
      <c r="E961" s="2">
        <v>3.75</v>
      </c>
      <c r="F961" t="s">
        <v>710</v>
      </c>
    </row>
    <row r="962" spans="1:6">
      <c r="A962" s="1">
        <v>45902</v>
      </c>
      <c r="B962" s="7" t="s">
        <v>656</v>
      </c>
      <c r="C962" t="s">
        <v>669</v>
      </c>
      <c r="D962" t="s">
        <v>8</v>
      </c>
      <c r="E962" s="2">
        <v>2066040</v>
      </c>
      <c r="F962" t="s">
        <v>710</v>
      </c>
    </row>
    <row r="963" spans="1:6">
      <c r="A963" s="1">
        <v>45902</v>
      </c>
      <c r="B963" s="7" t="s">
        <v>656</v>
      </c>
      <c r="C963" t="s">
        <v>670</v>
      </c>
      <c r="D963" t="s">
        <v>3</v>
      </c>
      <c r="E963" s="2">
        <v>50</v>
      </c>
      <c r="F963" t="s">
        <v>710</v>
      </c>
    </row>
    <row r="964" spans="1:6">
      <c r="A964" s="1">
        <v>45902</v>
      </c>
      <c r="B964" s="7" t="s">
        <v>656</v>
      </c>
      <c r="C964" t="s">
        <v>671</v>
      </c>
      <c r="D964" t="s">
        <v>3</v>
      </c>
      <c r="E964" s="2">
        <v>3.75</v>
      </c>
      <c r="F964" t="s">
        <v>710</v>
      </c>
    </row>
    <row r="965" spans="1:6">
      <c r="A965" s="1">
        <v>45902</v>
      </c>
      <c r="B965" s="7" t="s">
        <v>656</v>
      </c>
      <c r="C965" t="s">
        <v>672</v>
      </c>
      <c r="D965" t="s">
        <v>8</v>
      </c>
      <c r="E965" s="2">
        <v>1633064.4800000042</v>
      </c>
      <c r="F965" t="s">
        <v>710</v>
      </c>
    </row>
    <row r="966" spans="1:6">
      <c r="A966" s="1">
        <v>45902</v>
      </c>
      <c r="B966" s="7" t="s">
        <v>656</v>
      </c>
      <c r="C966" t="s">
        <v>673</v>
      </c>
      <c r="D966" t="s">
        <v>3</v>
      </c>
      <c r="E966" s="2">
        <v>50</v>
      </c>
      <c r="F966" t="s">
        <v>710</v>
      </c>
    </row>
    <row r="967" spans="1:6">
      <c r="A967" s="1">
        <v>45902</v>
      </c>
      <c r="B967" s="7" t="s">
        <v>656</v>
      </c>
      <c r="C967" t="s">
        <v>674</v>
      </c>
      <c r="D967" t="s">
        <v>3</v>
      </c>
      <c r="E967" s="2">
        <v>3.75</v>
      </c>
      <c r="F967" t="s">
        <v>710</v>
      </c>
    </row>
    <row r="968" spans="1:6">
      <c r="A968" s="1">
        <v>45902</v>
      </c>
      <c r="B968" s="7" t="s">
        <v>656</v>
      </c>
      <c r="C968" t="s">
        <v>675</v>
      </c>
      <c r="D968" t="s">
        <v>13</v>
      </c>
      <c r="E968" s="2">
        <v>400000</v>
      </c>
      <c r="F968" t="s">
        <v>710</v>
      </c>
    </row>
    <row r="969" spans="1:6">
      <c r="A969" s="1">
        <v>45902</v>
      </c>
      <c r="B969" s="7" t="s">
        <v>656</v>
      </c>
      <c r="C969" t="s">
        <v>676</v>
      </c>
      <c r="D969" t="s">
        <v>3</v>
      </c>
      <c r="E969" s="2">
        <v>50</v>
      </c>
      <c r="F969" t="s">
        <v>710</v>
      </c>
    </row>
    <row r="970" spans="1:6">
      <c r="A970" s="1">
        <v>45902</v>
      </c>
      <c r="B970" s="7" t="s">
        <v>656</v>
      </c>
      <c r="C970" t="s">
        <v>677</v>
      </c>
      <c r="D970" t="s">
        <v>3</v>
      </c>
      <c r="E970" s="2">
        <v>3.75</v>
      </c>
      <c r="F970" t="s">
        <v>710</v>
      </c>
    </row>
    <row r="971" spans="1:6">
      <c r="A971" s="1">
        <v>45902</v>
      </c>
      <c r="B971" s="7" t="s">
        <v>656</v>
      </c>
      <c r="C971" t="s">
        <v>678</v>
      </c>
      <c r="D971" t="s">
        <v>28</v>
      </c>
      <c r="E971" s="2">
        <v>300000</v>
      </c>
      <c r="F971" t="s">
        <v>710</v>
      </c>
    </row>
    <row r="972" spans="1:6">
      <c r="A972" s="1">
        <v>45902</v>
      </c>
      <c r="B972" s="7" t="s">
        <v>656</v>
      </c>
      <c r="C972" t="s">
        <v>678</v>
      </c>
      <c r="D972" t="s">
        <v>3</v>
      </c>
      <c r="E972" s="2">
        <v>50</v>
      </c>
      <c r="F972" t="s">
        <v>710</v>
      </c>
    </row>
    <row r="973" spans="1:6">
      <c r="A973" s="1">
        <v>45902</v>
      </c>
      <c r="B973" s="7" t="s">
        <v>656</v>
      </c>
      <c r="C973" t="s">
        <v>678</v>
      </c>
      <c r="D973" t="s">
        <v>3</v>
      </c>
      <c r="E973" s="2">
        <v>3.75</v>
      </c>
      <c r="F973" t="s">
        <v>710</v>
      </c>
    </row>
    <row r="974" spans="1:6">
      <c r="A974" s="1">
        <v>45902</v>
      </c>
      <c r="B974" s="7" t="s">
        <v>656</v>
      </c>
      <c r="C974" t="s">
        <v>679</v>
      </c>
      <c r="D974" t="s">
        <v>35</v>
      </c>
      <c r="E974" s="2">
        <v>883800</v>
      </c>
      <c r="F974" t="s">
        <v>710</v>
      </c>
    </row>
    <row r="975" spans="1:6">
      <c r="A975" s="1">
        <v>45902</v>
      </c>
      <c r="B975" s="7" t="s">
        <v>656</v>
      </c>
      <c r="C975" t="s">
        <v>680</v>
      </c>
      <c r="D975" t="s">
        <v>3</v>
      </c>
      <c r="E975" s="2">
        <v>50</v>
      </c>
      <c r="F975" t="s">
        <v>710</v>
      </c>
    </row>
    <row r="976" spans="1:6">
      <c r="A976" s="1">
        <v>45902</v>
      </c>
      <c r="B976" s="7" t="s">
        <v>656</v>
      </c>
      <c r="C976" t="s">
        <v>681</v>
      </c>
      <c r="D976" t="s">
        <v>3</v>
      </c>
      <c r="E976" s="2">
        <v>3.75</v>
      </c>
      <c r="F976" t="s">
        <v>710</v>
      </c>
    </row>
    <row r="977" spans="1:6">
      <c r="A977" s="1">
        <v>45902</v>
      </c>
      <c r="B977" s="7" t="s">
        <v>656</v>
      </c>
      <c r="C977" t="s">
        <v>682</v>
      </c>
      <c r="D977" t="s">
        <v>35</v>
      </c>
      <c r="E977" s="2">
        <v>883800</v>
      </c>
      <c r="F977" t="s">
        <v>710</v>
      </c>
    </row>
    <row r="978" spans="1:6">
      <c r="A978" s="1">
        <v>45902</v>
      </c>
      <c r="B978" s="7" t="s">
        <v>656</v>
      </c>
      <c r="C978" t="s">
        <v>683</v>
      </c>
      <c r="D978" t="s">
        <v>3</v>
      </c>
      <c r="E978" s="2">
        <v>50</v>
      </c>
      <c r="F978" t="s">
        <v>710</v>
      </c>
    </row>
    <row r="979" spans="1:6">
      <c r="A979" s="1">
        <v>45902</v>
      </c>
      <c r="B979" s="7" t="s">
        <v>656</v>
      </c>
      <c r="C979" t="s">
        <v>684</v>
      </c>
      <c r="D979" t="s">
        <v>3</v>
      </c>
      <c r="E979" s="2">
        <v>3.75</v>
      </c>
      <c r="F979" t="s">
        <v>710</v>
      </c>
    </row>
    <row r="980" spans="1:6">
      <c r="A980" s="1">
        <v>45903</v>
      </c>
      <c r="B980" s="7" t="s">
        <v>685</v>
      </c>
      <c r="C980" t="s">
        <v>686</v>
      </c>
      <c r="D980" t="s">
        <v>19</v>
      </c>
      <c r="E980" s="2">
        <v>450000</v>
      </c>
      <c r="F980" t="s">
        <v>710</v>
      </c>
    </row>
    <row r="981" spans="1:6">
      <c r="A981" s="1">
        <v>45903</v>
      </c>
      <c r="B981" s="7" t="s">
        <v>685</v>
      </c>
      <c r="C981" t="s">
        <v>687</v>
      </c>
      <c r="D981" t="s">
        <v>3</v>
      </c>
      <c r="E981" s="2">
        <v>50</v>
      </c>
      <c r="F981" t="s">
        <v>710</v>
      </c>
    </row>
    <row r="982" spans="1:6">
      <c r="A982" s="1">
        <v>45903</v>
      </c>
      <c r="B982" s="7" t="s">
        <v>685</v>
      </c>
      <c r="C982" t="s">
        <v>688</v>
      </c>
      <c r="D982" t="s">
        <v>3</v>
      </c>
      <c r="E982" s="2">
        <v>3.75</v>
      </c>
      <c r="F982" t="s">
        <v>710</v>
      </c>
    </row>
    <row r="983" spans="1:6">
      <c r="A983" s="1">
        <v>45903</v>
      </c>
      <c r="B983" s="7" t="s">
        <v>685</v>
      </c>
      <c r="C983" t="s">
        <v>689</v>
      </c>
      <c r="D983" t="s">
        <v>13</v>
      </c>
      <c r="E983" s="2">
        <v>27610</v>
      </c>
      <c r="F983" t="s">
        <v>710</v>
      </c>
    </row>
    <row r="984" spans="1:6">
      <c r="A984" s="1">
        <v>45903</v>
      </c>
      <c r="B984" s="7" t="s">
        <v>685</v>
      </c>
      <c r="C984" t="s">
        <v>689</v>
      </c>
      <c r="D984" t="s">
        <v>3</v>
      </c>
      <c r="E984" s="2">
        <v>25</v>
      </c>
      <c r="F984" t="s">
        <v>710</v>
      </c>
    </row>
    <row r="985" spans="1:6">
      <c r="A985" s="1">
        <v>45903</v>
      </c>
      <c r="B985" s="7" t="s">
        <v>685</v>
      </c>
      <c r="C985" t="s">
        <v>689</v>
      </c>
      <c r="D985" t="s">
        <v>3</v>
      </c>
      <c r="E985" s="2">
        <v>1.8799999952316284</v>
      </c>
      <c r="F985" t="s">
        <v>710</v>
      </c>
    </row>
    <row r="986" spans="1:6">
      <c r="A986" s="1">
        <v>45903</v>
      </c>
      <c r="B986" s="7" t="s">
        <v>685</v>
      </c>
      <c r="C986" t="s">
        <v>690</v>
      </c>
      <c r="D986" t="s">
        <v>15</v>
      </c>
      <c r="E986" s="2">
        <v>54000</v>
      </c>
      <c r="F986" t="s">
        <v>710</v>
      </c>
    </row>
    <row r="987" spans="1:6">
      <c r="A987" s="1">
        <v>45903</v>
      </c>
      <c r="B987" s="7" t="s">
        <v>685</v>
      </c>
      <c r="C987" t="s">
        <v>690</v>
      </c>
      <c r="D987" t="s">
        <v>3</v>
      </c>
      <c r="E987" s="2">
        <v>50</v>
      </c>
      <c r="F987" t="s">
        <v>710</v>
      </c>
    </row>
    <row r="988" spans="1:6">
      <c r="A988" s="1">
        <v>45903</v>
      </c>
      <c r="B988" s="7" t="s">
        <v>685</v>
      </c>
      <c r="C988" t="s">
        <v>690</v>
      </c>
      <c r="D988" t="s">
        <v>3</v>
      </c>
      <c r="E988" s="2">
        <v>3.75</v>
      </c>
      <c r="F988" t="s">
        <v>710</v>
      </c>
    </row>
    <row r="989" spans="1:6">
      <c r="A989" s="1">
        <v>45903</v>
      </c>
      <c r="B989" s="7" t="s">
        <v>685</v>
      </c>
      <c r="C989" t="s">
        <v>691</v>
      </c>
      <c r="D989" t="s">
        <v>15</v>
      </c>
      <c r="E989" s="2">
        <v>28000</v>
      </c>
      <c r="F989" t="s">
        <v>710</v>
      </c>
    </row>
    <row r="990" spans="1:6">
      <c r="A990" s="1">
        <v>45903</v>
      </c>
      <c r="B990" s="7" t="s">
        <v>685</v>
      </c>
      <c r="C990" t="s">
        <v>691</v>
      </c>
      <c r="D990" t="s">
        <v>3</v>
      </c>
      <c r="E990" s="2">
        <v>25</v>
      </c>
      <c r="F990" t="s">
        <v>710</v>
      </c>
    </row>
    <row r="991" spans="1:6">
      <c r="A991" s="1">
        <v>45903</v>
      </c>
      <c r="B991" s="7" t="s">
        <v>685</v>
      </c>
      <c r="C991" t="s">
        <v>691</v>
      </c>
      <c r="D991" t="s">
        <v>3</v>
      </c>
      <c r="E991" s="2">
        <v>1.880000002682209</v>
      </c>
      <c r="F991" t="s">
        <v>710</v>
      </c>
    </row>
    <row r="992" spans="1:6">
      <c r="A992" s="1">
        <v>45903</v>
      </c>
      <c r="B992" s="7" t="s">
        <v>685</v>
      </c>
      <c r="C992" t="s">
        <v>692</v>
      </c>
      <c r="D992" t="s">
        <v>33</v>
      </c>
      <c r="E992" s="2">
        <v>20000</v>
      </c>
      <c r="F992" t="s">
        <v>710</v>
      </c>
    </row>
    <row r="993" spans="1:6">
      <c r="A993" s="1">
        <v>45903</v>
      </c>
      <c r="B993" s="7" t="s">
        <v>685</v>
      </c>
      <c r="C993" t="s">
        <v>692</v>
      </c>
      <c r="D993" t="s">
        <v>3</v>
      </c>
      <c r="E993" s="2">
        <v>25</v>
      </c>
      <c r="F993" t="s">
        <v>710</v>
      </c>
    </row>
    <row r="994" spans="1:6">
      <c r="A994" s="1">
        <v>45903</v>
      </c>
      <c r="B994" s="7" t="s">
        <v>685</v>
      </c>
      <c r="C994" t="s">
        <v>692</v>
      </c>
      <c r="D994" t="s">
        <v>3</v>
      </c>
      <c r="E994" s="2">
        <v>1.880000002682209</v>
      </c>
      <c r="F994" t="s">
        <v>710</v>
      </c>
    </row>
    <row r="995" spans="1:6">
      <c r="A995" s="1">
        <v>45903</v>
      </c>
      <c r="B995" s="7" t="s">
        <v>685</v>
      </c>
      <c r="C995" t="s">
        <v>693</v>
      </c>
      <c r="D995" t="s">
        <v>6</v>
      </c>
      <c r="E995" s="2">
        <v>1300000</v>
      </c>
      <c r="F995" t="s">
        <v>710</v>
      </c>
    </row>
    <row r="996" spans="1:6">
      <c r="A996" s="1">
        <v>45903</v>
      </c>
      <c r="B996" s="7" t="s">
        <v>685</v>
      </c>
      <c r="C996" t="s">
        <v>694</v>
      </c>
      <c r="D996" t="s">
        <v>3</v>
      </c>
      <c r="E996" s="2">
        <v>50</v>
      </c>
      <c r="F996" t="s">
        <v>710</v>
      </c>
    </row>
    <row r="997" spans="1:6">
      <c r="A997" s="1">
        <v>45903</v>
      </c>
      <c r="B997" s="7" t="s">
        <v>685</v>
      </c>
      <c r="C997" t="s">
        <v>695</v>
      </c>
      <c r="D997" t="s">
        <v>3</v>
      </c>
      <c r="E997" s="2">
        <v>3.75</v>
      </c>
      <c r="F997" t="s">
        <v>710</v>
      </c>
    </row>
    <row r="998" spans="1:6">
      <c r="A998" s="1">
        <v>45903</v>
      </c>
      <c r="B998" s="7" t="s">
        <v>685</v>
      </c>
      <c r="C998" t="s">
        <v>696</v>
      </c>
      <c r="D998" t="s">
        <v>8</v>
      </c>
      <c r="E998" s="2">
        <v>1317857.0199999958</v>
      </c>
      <c r="F998" t="s">
        <v>710</v>
      </c>
    </row>
    <row r="999" spans="1:6">
      <c r="A999" s="1">
        <v>45903</v>
      </c>
      <c r="B999" s="7" t="s">
        <v>685</v>
      </c>
      <c r="C999" t="s">
        <v>697</v>
      </c>
      <c r="D999" t="s">
        <v>4</v>
      </c>
      <c r="E999" s="2">
        <v>150000</v>
      </c>
      <c r="F999" t="s">
        <v>710</v>
      </c>
    </row>
    <row r="1000" spans="1:6">
      <c r="A1000" s="1">
        <v>45903</v>
      </c>
      <c r="B1000" s="7" t="s">
        <v>685</v>
      </c>
      <c r="C1000" t="s">
        <v>697</v>
      </c>
      <c r="D1000" t="s">
        <v>3</v>
      </c>
      <c r="E1000" s="2">
        <v>50</v>
      </c>
      <c r="F1000" t="s">
        <v>710</v>
      </c>
    </row>
    <row r="1001" spans="1:6">
      <c r="A1001" s="1">
        <v>45903</v>
      </c>
      <c r="B1001" s="7" t="s">
        <v>685</v>
      </c>
      <c r="C1001" t="s">
        <v>697</v>
      </c>
      <c r="D1001" t="s">
        <v>3</v>
      </c>
      <c r="E1001" s="2">
        <v>3.75</v>
      </c>
      <c r="F1001" t="s">
        <v>710</v>
      </c>
    </row>
    <row r="1002" spans="1:6">
      <c r="A1002" s="1">
        <v>45904</v>
      </c>
      <c r="B1002" s="7" t="s">
        <v>698</v>
      </c>
      <c r="C1002" t="s">
        <v>699</v>
      </c>
      <c r="D1002" t="s">
        <v>15</v>
      </c>
      <c r="E1002" s="2">
        <v>180000</v>
      </c>
      <c r="F1002" t="s">
        <v>710</v>
      </c>
    </row>
    <row r="1003" spans="1:6">
      <c r="A1003" s="1">
        <v>45904</v>
      </c>
      <c r="B1003" s="7" t="s">
        <v>698</v>
      </c>
      <c r="C1003" t="s">
        <v>699</v>
      </c>
      <c r="D1003" t="s">
        <v>3</v>
      </c>
      <c r="E1003" s="2">
        <v>50</v>
      </c>
      <c r="F1003" t="s">
        <v>710</v>
      </c>
    </row>
    <row r="1004" spans="1:6">
      <c r="A1004" s="1">
        <v>45904</v>
      </c>
      <c r="B1004" s="7" t="s">
        <v>698</v>
      </c>
      <c r="C1004" t="s">
        <v>699</v>
      </c>
      <c r="D1004" t="s">
        <v>3</v>
      </c>
      <c r="E1004" s="2">
        <v>3.75</v>
      </c>
      <c r="F1004" t="s">
        <v>710</v>
      </c>
    </row>
    <row r="1005" spans="1:6">
      <c r="A1005" s="1">
        <v>45905</v>
      </c>
      <c r="B1005" s="7" t="s">
        <v>698</v>
      </c>
      <c r="C1005" t="s">
        <v>700</v>
      </c>
      <c r="D1005" t="s">
        <v>26</v>
      </c>
      <c r="E1005" s="2">
        <v>200000</v>
      </c>
      <c r="F1005" t="s">
        <v>710</v>
      </c>
    </row>
    <row r="1006" spans="1:6">
      <c r="A1006" s="1">
        <v>45905</v>
      </c>
      <c r="B1006" s="7" t="s">
        <v>698</v>
      </c>
      <c r="C1006" t="s">
        <v>700</v>
      </c>
      <c r="D1006" t="s">
        <v>3</v>
      </c>
      <c r="E1006" s="2">
        <v>50</v>
      </c>
      <c r="F1006" t="s">
        <v>710</v>
      </c>
    </row>
    <row r="1007" spans="1:6">
      <c r="A1007" s="1">
        <v>45905</v>
      </c>
      <c r="B1007" s="7" t="s">
        <v>698</v>
      </c>
      <c r="C1007" t="s">
        <v>700</v>
      </c>
      <c r="D1007" t="s">
        <v>3</v>
      </c>
      <c r="E1007" s="2">
        <v>3.75</v>
      </c>
      <c r="F1007" t="s">
        <v>710</v>
      </c>
    </row>
    <row r="1008" spans="1:6">
      <c r="A1008" s="1">
        <v>45908</v>
      </c>
      <c r="B1008" s="7" t="s">
        <v>701</v>
      </c>
      <c r="C1008" t="s">
        <v>702</v>
      </c>
      <c r="D1008" t="s">
        <v>15</v>
      </c>
      <c r="E1008" s="2">
        <v>50000</v>
      </c>
      <c r="F1008" t="s">
        <v>710</v>
      </c>
    </row>
    <row r="1009" spans="1:6">
      <c r="A1009" s="1">
        <v>45908</v>
      </c>
      <c r="B1009" s="7" t="s">
        <v>701</v>
      </c>
      <c r="C1009" t="s">
        <v>702</v>
      </c>
      <c r="D1009" t="s">
        <v>3</v>
      </c>
      <c r="E1009" s="2">
        <v>25</v>
      </c>
      <c r="F1009" t="s">
        <v>710</v>
      </c>
    </row>
    <row r="1010" spans="1:6">
      <c r="A1010" s="1">
        <v>45908</v>
      </c>
      <c r="B1010" s="7" t="s">
        <v>701</v>
      </c>
      <c r="C1010" t="s">
        <v>702</v>
      </c>
      <c r="D1010" t="s">
        <v>3</v>
      </c>
      <c r="E1010" s="2">
        <v>1.880000002682209</v>
      </c>
      <c r="F1010" t="s">
        <v>710</v>
      </c>
    </row>
    <row r="1011" spans="1:6">
      <c r="A1011" s="1">
        <v>45908</v>
      </c>
      <c r="B1011" s="7" t="s">
        <v>701</v>
      </c>
      <c r="C1011" t="s">
        <v>703</v>
      </c>
      <c r="D1011" t="s">
        <v>26</v>
      </c>
      <c r="E1011" s="2">
        <v>200000</v>
      </c>
      <c r="F1011" t="s">
        <v>710</v>
      </c>
    </row>
    <row r="1012" spans="1:6">
      <c r="A1012" s="1">
        <v>45908</v>
      </c>
      <c r="B1012" s="7" t="s">
        <v>701</v>
      </c>
      <c r="C1012" t="s">
        <v>703</v>
      </c>
      <c r="D1012" t="s">
        <v>3</v>
      </c>
      <c r="E1012" s="2">
        <v>50</v>
      </c>
      <c r="F1012" t="s">
        <v>710</v>
      </c>
    </row>
    <row r="1013" spans="1:6">
      <c r="A1013" s="1">
        <v>45908</v>
      </c>
      <c r="B1013" s="7" t="s">
        <v>701</v>
      </c>
      <c r="C1013" t="s">
        <v>703</v>
      </c>
      <c r="D1013" t="s">
        <v>3</v>
      </c>
      <c r="E1013" s="2">
        <v>3.75</v>
      </c>
      <c r="F1013" t="s">
        <v>710</v>
      </c>
    </row>
    <row r="1014" spans="1:6">
      <c r="A1014" s="1">
        <v>45908</v>
      </c>
      <c r="B1014" s="7" t="s">
        <v>701</v>
      </c>
      <c r="C1014" t="s">
        <v>704</v>
      </c>
      <c r="D1014" t="s">
        <v>28</v>
      </c>
      <c r="E1014" s="2">
        <v>220000</v>
      </c>
      <c r="F1014" t="s">
        <v>710</v>
      </c>
    </row>
    <row r="1015" spans="1:6">
      <c r="A1015" s="1">
        <v>45908</v>
      </c>
      <c r="B1015" s="7" t="s">
        <v>701</v>
      </c>
      <c r="C1015" t="s">
        <v>704</v>
      </c>
      <c r="D1015" t="s">
        <v>3</v>
      </c>
      <c r="E1015" s="2">
        <v>50</v>
      </c>
      <c r="F1015" t="s">
        <v>710</v>
      </c>
    </row>
    <row r="1016" spans="1:6">
      <c r="A1016" s="1">
        <v>45908</v>
      </c>
      <c r="B1016" s="7" t="s">
        <v>701</v>
      </c>
      <c r="C1016" t="s">
        <v>704</v>
      </c>
      <c r="D1016" t="s">
        <v>3</v>
      </c>
      <c r="E1016" s="2">
        <v>3.75</v>
      </c>
      <c r="F1016" t="s">
        <v>710</v>
      </c>
    </row>
    <row r="1017" spans="1:6">
      <c r="A1017" s="1">
        <v>45908</v>
      </c>
      <c r="B1017" s="7" t="s">
        <v>701</v>
      </c>
      <c r="C1017" t="s">
        <v>705</v>
      </c>
      <c r="D1017" t="s">
        <v>36</v>
      </c>
      <c r="E1017" s="2">
        <v>78846.75</v>
      </c>
      <c r="F1017" t="s">
        <v>710</v>
      </c>
    </row>
    <row r="1018" spans="1:6">
      <c r="A1018" s="1">
        <v>45908</v>
      </c>
      <c r="B1018" s="7" t="s">
        <v>701</v>
      </c>
      <c r="C1018" t="s">
        <v>705</v>
      </c>
      <c r="D1018" t="s">
        <v>3</v>
      </c>
      <c r="E1018" s="2">
        <v>50</v>
      </c>
      <c r="F1018" t="s">
        <v>710</v>
      </c>
    </row>
    <row r="1019" spans="1:6">
      <c r="A1019" s="1">
        <v>45908</v>
      </c>
      <c r="B1019" s="7" t="s">
        <v>701</v>
      </c>
      <c r="C1019" t="s">
        <v>705</v>
      </c>
      <c r="D1019" t="s">
        <v>3</v>
      </c>
      <c r="E1019" s="2">
        <v>3.75</v>
      </c>
      <c r="F1019" t="s">
        <v>710</v>
      </c>
    </row>
    <row r="1020" spans="1:6">
      <c r="A1020" s="1">
        <v>45908</v>
      </c>
      <c r="B1020" s="7" t="s">
        <v>701</v>
      </c>
      <c r="C1020" t="s">
        <v>706</v>
      </c>
      <c r="D1020" t="s">
        <v>36</v>
      </c>
      <c r="E1020" s="2">
        <v>23414</v>
      </c>
      <c r="F1020" t="s">
        <v>710</v>
      </c>
    </row>
    <row r="1021" spans="1:6">
      <c r="A1021" s="1">
        <v>45908</v>
      </c>
      <c r="B1021" s="7" t="s">
        <v>701</v>
      </c>
      <c r="C1021" t="s">
        <v>706</v>
      </c>
      <c r="D1021" t="s">
        <v>3</v>
      </c>
      <c r="E1021" s="2">
        <v>25</v>
      </c>
      <c r="F1021" t="s">
        <v>710</v>
      </c>
    </row>
    <row r="1022" spans="1:6">
      <c r="A1022" s="1">
        <v>45908</v>
      </c>
      <c r="B1022" s="7" t="s">
        <v>701</v>
      </c>
      <c r="C1022" t="s">
        <v>706</v>
      </c>
      <c r="D1022" t="s">
        <v>3</v>
      </c>
      <c r="E1022" s="2">
        <v>1.8799999952316284</v>
      </c>
      <c r="F1022" t="s">
        <v>710</v>
      </c>
    </row>
    <row r="1023" spans="1:6">
      <c r="A1023" s="1">
        <v>45908</v>
      </c>
      <c r="B1023" s="7" t="s">
        <v>701</v>
      </c>
      <c r="C1023" t="s">
        <v>707</v>
      </c>
      <c r="D1023" t="s">
        <v>28</v>
      </c>
      <c r="E1023" s="2">
        <v>320000</v>
      </c>
      <c r="F1023" t="s">
        <v>710</v>
      </c>
    </row>
    <row r="1024" spans="1:6">
      <c r="A1024" s="1">
        <v>45908</v>
      </c>
      <c r="B1024" s="7" t="s">
        <v>701</v>
      </c>
      <c r="C1024" t="s">
        <v>707</v>
      </c>
      <c r="D1024" t="s">
        <v>3</v>
      </c>
      <c r="E1024" s="2">
        <v>50</v>
      </c>
      <c r="F1024" t="s">
        <v>710</v>
      </c>
    </row>
    <row r="1025" spans="1:6">
      <c r="A1025" s="1">
        <v>45908</v>
      </c>
      <c r="B1025" s="7" t="s">
        <v>701</v>
      </c>
      <c r="C1025" t="s">
        <v>707</v>
      </c>
      <c r="D1025" t="s">
        <v>3</v>
      </c>
      <c r="E1025" s="2">
        <v>3.75</v>
      </c>
      <c r="F1025" t="s">
        <v>710</v>
      </c>
    </row>
  </sheetData>
  <autoFilter ref="A1:E102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F15:F17"/>
  <sheetViews>
    <sheetView showGridLines="0" view="pageBreakPreview" zoomScale="96" zoomScaleNormal="100" zoomScaleSheetLayoutView="96" workbookViewId="0">
      <selection activeCell="F18" sqref="F18"/>
    </sheetView>
  </sheetViews>
  <sheetFormatPr defaultRowHeight="13"/>
  <cols>
    <col min="1" max="3" width="10.5" customWidth="1"/>
  </cols>
  <sheetData>
    <row r="15" spans="6:6" ht="17.5">
      <c r="F15" s="74" t="s">
        <v>1094</v>
      </c>
    </row>
    <row r="16" spans="6:6" ht="17.5">
      <c r="F16" s="74" t="s">
        <v>1095</v>
      </c>
    </row>
    <row r="17" spans="6:6" ht="17.5">
      <c r="F17" s="74" t="s">
        <v>1713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19"/>
  <sheetViews>
    <sheetView showGridLines="0" view="pageBreakPreview" zoomScale="90" zoomScaleNormal="100" zoomScaleSheetLayoutView="90" workbookViewId="0">
      <selection activeCell="I20" sqref="I20"/>
    </sheetView>
  </sheetViews>
  <sheetFormatPr defaultColWidth="9.296875" defaultRowHeight="14.5"/>
  <cols>
    <col min="1" max="1" width="3.5" style="30" customWidth="1"/>
    <col min="2" max="2" width="47.5" style="30" customWidth="1"/>
    <col min="3" max="3" width="8.69921875" style="30" customWidth="1"/>
    <col min="4" max="4" width="15.5" style="30" customWidth="1"/>
    <col min="5" max="5" width="18.19921875" style="30" hidden="1" customWidth="1"/>
    <col min="6" max="16384" width="9.296875" style="30"/>
  </cols>
  <sheetData>
    <row r="2" spans="2:5">
      <c r="B2" s="29" t="s">
        <v>1004</v>
      </c>
      <c r="C2" s="29"/>
    </row>
    <row r="3" spans="2:5">
      <c r="B3" s="29" t="s">
        <v>1369</v>
      </c>
      <c r="C3" s="29"/>
    </row>
    <row r="4" spans="2:5" ht="15" thickBot="1">
      <c r="B4" s="31" t="s">
        <v>1712</v>
      </c>
      <c r="C4" s="31"/>
      <c r="D4" s="32"/>
      <c r="E4" s="32"/>
    </row>
    <row r="5" spans="2:5">
      <c r="B5" s="29"/>
      <c r="C5" s="29"/>
    </row>
    <row r="6" spans="2:5">
      <c r="D6" s="33">
        <v>45930</v>
      </c>
      <c r="E6" s="33" t="s">
        <v>1005</v>
      </c>
    </row>
    <row r="7" spans="2:5">
      <c r="C7" s="29" t="s">
        <v>1080</v>
      </c>
      <c r="D7" s="33" t="s">
        <v>1370</v>
      </c>
      <c r="E7" s="33" t="s">
        <v>1006</v>
      </c>
    </row>
    <row r="8" spans="2:5">
      <c r="B8" s="30" t="s">
        <v>12</v>
      </c>
      <c r="C8" s="56">
        <f>Notes!A6</f>
        <v>1</v>
      </c>
      <c r="D8" s="34">
        <f>Notes!D11</f>
        <v>617428.54819000012</v>
      </c>
      <c r="E8" s="35"/>
    </row>
    <row r="9" spans="2:5">
      <c r="B9" s="30" t="s">
        <v>940</v>
      </c>
      <c r="C9" s="56"/>
      <c r="D9" s="49">
        <v>0</v>
      </c>
      <c r="E9" s="36"/>
    </row>
    <row r="10" spans="2:5">
      <c r="B10" s="29" t="s">
        <v>1078</v>
      </c>
      <c r="C10" s="57"/>
      <c r="D10" s="71">
        <f>SUM(D8:D9)</f>
        <v>617428.54819000012</v>
      </c>
      <c r="E10" s="37">
        <f>SUM(E8:E9)</f>
        <v>0</v>
      </c>
    </row>
    <row r="11" spans="2:5">
      <c r="B11" s="30" t="s">
        <v>1003</v>
      </c>
      <c r="C11" s="56">
        <f>Notes!A14</f>
        <v>2</v>
      </c>
      <c r="D11" s="34">
        <f>-Notes!D31</f>
        <v>-390880.16685000004</v>
      </c>
      <c r="E11" s="36"/>
    </row>
    <row r="12" spans="2:5">
      <c r="B12" s="30" t="s">
        <v>1007</v>
      </c>
      <c r="C12" s="56">
        <f>Notes!A33</f>
        <v>3</v>
      </c>
      <c r="D12" s="34">
        <f>Notes!D37</f>
        <v>0</v>
      </c>
      <c r="E12" s="36"/>
    </row>
    <row r="13" spans="2:5">
      <c r="B13" s="29" t="s">
        <v>1077</v>
      </c>
      <c r="C13" s="29"/>
      <c r="D13" s="71">
        <f>SUM(D10:D12)</f>
        <v>226548.38134000008</v>
      </c>
      <c r="E13" s="37">
        <f>SUM(E10:E12)</f>
        <v>0</v>
      </c>
    </row>
    <row r="14" spans="2:5">
      <c r="B14" s="30" t="s">
        <v>1008</v>
      </c>
      <c r="D14" s="103">
        <v>0</v>
      </c>
      <c r="E14" s="36"/>
    </row>
    <row r="15" spans="2:5">
      <c r="B15" s="30" t="s">
        <v>1009</v>
      </c>
      <c r="D15" s="103">
        <v>0</v>
      </c>
      <c r="E15" s="36"/>
    </row>
    <row r="16" spans="2:5">
      <c r="B16" s="29" t="s">
        <v>1076</v>
      </c>
      <c r="C16" s="29"/>
      <c r="D16" s="71">
        <f>SUM(D13:D15)</f>
        <v>226548.38134000008</v>
      </c>
      <c r="E16" s="37">
        <f>SUM(E13:E15)</f>
        <v>0</v>
      </c>
    </row>
    <row r="17" spans="2:5">
      <c r="B17" s="30" t="s">
        <v>1010</v>
      </c>
      <c r="D17" s="103">
        <v>0</v>
      </c>
      <c r="E17" s="36"/>
    </row>
    <row r="18" spans="2:5" ht="15" thickBot="1">
      <c r="B18" s="29" t="s">
        <v>1075</v>
      </c>
      <c r="C18" s="29"/>
      <c r="D18" s="70">
        <f>SUM(D16:D17)</f>
        <v>226548.38134000008</v>
      </c>
      <c r="E18" s="38">
        <f>SUM(E16:E17)</f>
        <v>0</v>
      </c>
    </row>
    <row r="19" spans="2:5" ht="15" thickTop="1">
      <c r="D19" s="36"/>
      <c r="E19" s="36"/>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46"/>
  <sheetViews>
    <sheetView showGridLines="0" view="pageBreakPreview" topLeftCell="A13" zoomScale="90" zoomScaleNormal="100" zoomScaleSheetLayoutView="90" workbookViewId="0">
      <selection activeCell="D6" sqref="D6"/>
    </sheetView>
  </sheetViews>
  <sheetFormatPr defaultColWidth="9.296875" defaultRowHeight="14.5"/>
  <cols>
    <col min="1" max="1" width="4" style="30" customWidth="1"/>
    <col min="2" max="2" width="42.296875" style="30" customWidth="1"/>
    <col min="3" max="3" width="9.69921875" style="56" customWidth="1"/>
    <col min="4" max="4" width="17" style="30" customWidth="1"/>
    <col min="5" max="5" width="18.296875" style="30" hidden="1" customWidth="1"/>
    <col min="6" max="16384" width="9.296875" style="30"/>
  </cols>
  <sheetData>
    <row r="2" spans="2:5">
      <c r="B2" s="29" t="s">
        <v>1004</v>
      </c>
      <c r="C2" s="57"/>
    </row>
    <row r="3" spans="2:5">
      <c r="B3" s="29" t="s">
        <v>1368</v>
      </c>
      <c r="C3" s="57"/>
    </row>
    <row r="4" spans="2:5" ht="15" thickBot="1">
      <c r="B4" s="31" t="str">
        <f>SCI!B4</f>
        <v>For the 7-month period ended 30 September 2025</v>
      </c>
      <c r="C4" s="63"/>
      <c r="D4" s="32"/>
      <c r="E4" s="32"/>
    </row>
    <row r="5" spans="2:5">
      <c r="B5" s="29"/>
      <c r="C5" s="57"/>
    </row>
    <row r="6" spans="2:5">
      <c r="D6" s="33">
        <f>SCI!D6</f>
        <v>45930</v>
      </c>
      <c r="E6" s="33" t="s">
        <v>1005</v>
      </c>
    </row>
    <row r="7" spans="2:5">
      <c r="C7" s="57" t="s">
        <v>1080</v>
      </c>
      <c r="D7" s="33" t="s">
        <v>1370</v>
      </c>
      <c r="E7" s="33" t="s">
        <v>1006</v>
      </c>
    </row>
    <row r="8" spans="2:5">
      <c r="B8" s="29" t="s">
        <v>1011</v>
      </c>
      <c r="C8" s="57"/>
    </row>
    <row r="9" spans="2:5">
      <c r="B9" s="29" t="s">
        <v>1012</v>
      </c>
      <c r="C9" s="57"/>
    </row>
    <row r="10" spans="2:5">
      <c r="B10" s="30" t="s">
        <v>1013</v>
      </c>
      <c r="C10" s="56">
        <f>Notes!A40</f>
        <v>4</v>
      </c>
      <c r="D10" s="53">
        <f>Notes!D55</f>
        <v>6332</v>
      </c>
      <c r="E10" s="53"/>
    </row>
    <row r="11" spans="2:5" hidden="1">
      <c r="B11" s="30" t="s">
        <v>1014</v>
      </c>
      <c r="D11" s="53"/>
      <c r="E11" s="53"/>
    </row>
    <row r="12" spans="2:5" hidden="1">
      <c r="B12" s="30" t="s">
        <v>1015</v>
      </c>
      <c r="D12" s="53"/>
      <c r="E12" s="53"/>
    </row>
    <row r="13" spans="2:5">
      <c r="D13" s="72">
        <f>SUM(D10:D12)</f>
        <v>6332</v>
      </c>
      <c r="E13" s="54">
        <f>SUM(E10:E12)</f>
        <v>0</v>
      </c>
    </row>
    <row r="14" spans="2:5">
      <c r="D14" s="53"/>
      <c r="E14" s="53"/>
    </row>
    <row r="15" spans="2:5">
      <c r="B15" s="29" t="s">
        <v>1016</v>
      </c>
      <c r="C15" s="57"/>
      <c r="D15" s="53"/>
      <c r="E15" s="53"/>
    </row>
    <row r="16" spans="2:5">
      <c r="B16" s="30" t="s">
        <v>1018</v>
      </c>
      <c r="C16" s="56">
        <f>Notes!A59</f>
        <v>5</v>
      </c>
      <c r="D16" s="53">
        <f>Notes!D65</f>
        <v>0</v>
      </c>
      <c r="E16" s="53"/>
    </row>
    <row r="17" spans="2:5" hidden="1">
      <c r="B17" s="30" t="s">
        <v>1017</v>
      </c>
      <c r="C17" s="56">
        <f>Notes!A67</f>
        <v>6</v>
      </c>
      <c r="D17" s="53">
        <f>Notes!D72</f>
        <v>0</v>
      </c>
      <c r="E17" s="53"/>
    </row>
    <row r="18" spans="2:5">
      <c r="B18" s="30" t="s">
        <v>1019</v>
      </c>
      <c r="C18" s="56">
        <f>Notes!A74</f>
        <v>7</v>
      </c>
      <c r="D18" s="53">
        <f>Notes!D78</f>
        <v>217516.38133999979</v>
      </c>
      <c r="E18" s="53"/>
    </row>
    <row r="19" spans="2:5">
      <c r="D19" s="72">
        <f>SUM(D16:D18)</f>
        <v>217516.38133999979</v>
      </c>
      <c r="E19" s="54">
        <f>SUM(E16:E18)</f>
        <v>0</v>
      </c>
    </row>
    <row r="20" spans="2:5">
      <c r="D20" s="53"/>
      <c r="E20" s="53"/>
    </row>
    <row r="21" spans="2:5" ht="15" thickBot="1">
      <c r="B21" s="29" t="s">
        <v>1020</v>
      </c>
      <c r="C21" s="57"/>
      <c r="D21" s="73">
        <f>D19+D13</f>
        <v>223848.38133999979</v>
      </c>
      <c r="E21" s="55">
        <f>E19+E13</f>
        <v>0</v>
      </c>
    </row>
    <row r="22" spans="2:5">
      <c r="D22" s="53"/>
      <c r="E22" s="53"/>
    </row>
    <row r="23" spans="2:5">
      <c r="B23" s="29" t="s">
        <v>1021</v>
      </c>
      <c r="C23" s="57"/>
      <c r="D23" s="53"/>
      <c r="E23" s="53"/>
    </row>
    <row r="24" spans="2:5">
      <c r="B24" s="29" t="s">
        <v>1022</v>
      </c>
      <c r="C24" s="57"/>
      <c r="D24" s="53"/>
      <c r="E24" s="53"/>
    </row>
    <row r="25" spans="2:5">
      <c r="B25" s="30" t="s">
        <v>1023</v>
      </c>
      <c r="C25" s="56">
        <f>Notes!A80</f>
        <v>8</v>
      </c>
      <c r="D25" s="53">
        <f>Notes!D86</f>
        <v>-780</v>
      </c>
      <c r="E25" s="53"/>
    </row>
    <row r="26" spans="2:5" hidden="1">
      <c r="B26" s="30" t="s">
        <v>1024</v>
      </c>
      <c r="D26" s="53"/>
      <c r="E26" s="53"/>
    </row>
    <row r="27" spans="2:5" hidden="1">
      <c r="B27" s="30" t="s">
        <v>1025</v>
      </c>
      <c r="D27" s="53"/>
      <c r="E27" s="53"/>
    </row>
    <row r="28" spans="2:5" hidden="1">
      <c r="B28" s="30" t="s">
        <v>1026</v>
      </c>
      <c r="D28" s="53"/>
      <c r="E28" s="53"/>
    </row>
    <row r="29" spans="2:5">
      <c r="D29" s="72">
        <f>SUM(D25:D28)</f>
        <v>-780</v>
      </c>
      <c r="E29" s="54">
        <f>SUM(E25:E28)</f>
        <v>0</v>
      </c>
    </row>
    <row r="30" spans="2:5" hidden="1">
      <c r="D30" s="53"/>
      <c r="E30" s="53"/>
    </row>
    <row r="31" spans="2:5" hidden="1">
      <c r="B31" s="29" t="s">
        <v>1027</v>
      </c>
      <c r="C31" s="57"/>
      <c r="D31" s="53"/>
      <c r="E31" s="53"/>
    </row>
    <row r="32" spans="2:5" hidden="1">
      <c r="B32" s="30" t="s">
        <v>1024</v>
      </c>
      <c r="D32" s="53"/>
      <c r="E32" s="53"/>
    </row>
    <row r="33" spans="2:5" hidden="1">
      <c r="B33" s="30" t="s">
        <v>1025</v>
      </c>
      <c r="D33" s="53"/>
      <c r="E33" s="53"/>
    </row>
    <row r="34" spans="2:5" hidden="1">
      <c r="D34" s="54">
        <f>SUM(D32:D33)</f>
        <v>0</v>
      </c>
      <c r="E34" s="54">
        <f>SUM(E32:E33)</f>
        <v>0</v>
      </c>
    </row>
    <row r="35" spans="2:5">
      <c r="D35" s="53"/>
      <c r="E35" s="53"/>
    </row>
    <row r="36" spans="2:5" ht="15" thickBot="1">
      <c r="B36" s="29" t="s">
        <v>1028</v>
      </c>
      <c r="C36" s="57"/>
      <c r="D36" s="73">
        <f>D34+D29</f>
        <v>-780</v>
      </c>
      <c r="E36" s="55">
        <f>E34+E29</f>
        <v>0</v>
      </c>
    </row>
    <row r="37" spans="2:5">
      <c r="D37" s="53"/>
      <c r="E37" s="53"/>
    </row>
    <row r="38" spans="2:5" ht="15" thickBot="1">
      <c r="B38" s="29" t="s">
        <v>1029</v>
      </c>
      <c r="C38" s="57"/>
      <c r="D38" s="73">
        <f>D21-D36</f>
        <v>224628.38133999979</v>
      </c>
      <c r="E38" s="55">
        <f>E21-E36</f>
        <v>0</v>
      </c>
    </row>
    <row r="39" spans="2:5">
      <c r="D39" s="53"/>
      <c r="E39" s="53"/>
    </row>
    <row r="40" spans="2:5">
      <c r="B40" s="29" t="s">
        <v>1030</v>
      </c>
      <c r="C40" s="57"/>
      <c r="D40" s="53"/>
      <c r="E40" s="53"/>
    </row>
    <row r="41" spans="2:5">
      <c r="B41" s="30" t="s">
        <v>1031</v>
      </c>
      <c r="C41" s="56">
        <f>Notes!A88</f>
        <v>9</v>
      </c>
      <c r="D41" s="53">
        <f>Notes!C93</f>
        <v>226548.38134000008</v>
      </c>
      <c r="E41" s="53"/>
    </row>
    <row r="42" spans="2:5" hidden="1">
      <c r="B42" s="30" t="s">
        <v>997</v>
      </c>
      <c r="D42" s="53">
        <v>0</v>
      </c>
      <c r="E42" s="53"/>
    </row>
    <row r="43" spans="2:5">
      <c r="B43" s="30" t="s">
        <v>1032</v>
      </c>
      <c r="D43" s="72">
        <f>SUM(D41:D42)</f>
        <v>226548.38134000008</v>
      </c>
      <c r="E43" s="54">
        <f>SUM(E41:E42)</f>
        <v>0</v>
      </c>
    </row>
    <row r="44" spans="2:5">
      <c r="D44" s="53"/>
      <c r="E44" s="53"/>
    </row>
    <row r="45" spans="2:5" ht="15" thickBot="1">
      <c r="B45" s="29" t="s">
        <v>1033</v>
      </c>
      <c r="C45" s="57"/>
      <c r="D45" s="73">
        <f>D43+D36</f>
        <v>225768.38134000008</v>
      </c>
      <c r="E45" s="55">
        <f>E43+E36</f>
        <v>0</v>
      </c>
    </row>
    <row r="46" spans="2:5">
      <c r="B46" s="60" t="s">
        <v>1085</v>
      </c>
      <c r="C46" s="64"/>
      <c r="D46" s="61">
        <f>D45-D21</f>
        <v>1920.000000000291</v>
      </c>
    </row>
  </sheetData>
  <pageMargins left="0.7" right="0.7" top="0.75" bottom="0.75" header="0.3" footer="0.3"/>
  <pageSetup scale="98"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45"/>
  <sheetViews>
    <sheetView showGridLines="0" view="pageBreakPreview" topLeftCell="A13" zoomScale="90" zoomScaleNormal="100" zoomScaleSheetLayoutView="90" workbookViewId="0">
      <selection activeCell="C16" sqref="C16"/>
    </sheetView>
  </sheetViews>
  <sheetFormatPr defaultColWidth="9.296875" defaultRowHeight="14.5"/>
  <cols>
    <col min="1" max="1" width="5.796875" style="30" customWidth="1"/>
    <col min="2" max="2" width="54.69921875" style="30" customWidth="1"/>
    <col min="3" max="3" width="17.796875" style="30" customWidth="1"/>
    <col min="4" max="4" width="19.69921875" style="30" hidden="1" customWidth="1"/>
    <col min="5" max="16384" width="9.296875" style="30"/>
  </cols>
  <sheetData>
    <row r="2" spans="2:4">
      <c r="B2" s="29" t="s">
        <v>1004</v>
      </c>
    </row>
    <row r="3" spans="2:4">
      <c r="B3" s="29" t="s">
        <v>1367</v>
      </c>
    </row>
    <row r="4" spans="2:4" ht="15" thickBot="1">
      <c r="B4" s="31" t="str">
        <f>SFP!B4</f>
        <v>For the 7-month period ended 30 September 2025</v>
      </c>
      <c r="C4" s="32"/>
      <c r="D4" s="32"/>
    </row>
    <row r="5" spans="2:4">
      <c r="B5" s="29"/>
    </row>
    <row r="6" spans="2:4">
      <c r="C6" s="33">
        <f>SFP!D6</f>
        <v>45930</v>
      </c>
      <c r="D6" s="33" t="s">
        <v>1005</v>
      </c>
    </row>
    <row r="7" spans="2:4">
      <c r="B7" s="29" t="s">
        <v>1034</v>
      </c>
      <c r="C7" s="33" t="s">
        <v>1370</v>
      </c>
      <c r="D7" s="33" t="s">
        <v>1006</v>
      </c>
    </row>
    <row r="8" spans="2:4">
      <c r="B8" s="30" t="s">
        <v>1075</v>
      </c>
      <c r="C8" s="53">
        <f>SCI!D18</f>
        <v>226548.38134000008</v>
      </c>
      <c r="D8" s="33"/>
    </row>
    <row r="9" spans="2:4">
      <c r="C9" s="33"/>
      <c r="D9" s="33"/>
    </row>
    <row r="10" spans="2:4">
      <c r="B10" s="29" t="s">
        <v>1087</v>
      </c>
      <c r="C10" s="33"/>
      <c r="D10" s="33"/>
    </row>
    <row r="11" spans="2:4">
      <c r="B11" s="30" t="s">
        <v>1088</v>
      </c>
      <c r="C11" s="67">
        <f>Notes!D50</f>
        <v>0</v>
      </c>
      <c r="D11" s="33"/>
    </row>
    <row r="12" spans="2:4" hidden="1">
      <c r="B12" s="30" t="s">
        <v>1043</v>
      </c>
      <c r="C12" s="67">
        <f>-Notes!D35</f>
        <v>0</v>
      </c>
      <c r="D12" s="33"/>
    </row>
    <row r="13" spans="2:4">
      <c r="C13" s="68">
        <f>SUM(C8:C11)</f>
        <v>226548.38134000008</v>
      </c>
      <c r="D13" s="65"/>
    </row>
    <row r="14" spans="2:4">
      <c r="B14" s="29" t="s">
        <v>1089</v>
      </c>
      <c r="C14" s="33"/>
      <c r="D14" s="33"/>
    </row>
    <row r="15" spans="2:4">
      <c r="B15" s="30" t="s">
        <v>1090</v>
      </c>
      <c r="C15" s="53">
        <f>SFP!E16-SFP!D16</f>
        <v>0</v>
      </c>
      <c r="D15" s="33"/>
    </row>
    <row r="16" spans="2:4">
      <c r="B16" s="30" t="s">
        <v>1091</v>
      </c>
      <c r="C16" s="66">
        <f>SFP!D25-SFP!E25</f>
        <v>-780</v>
      </c>
      <c r="D16" s="33"/>
    </row>
    <row r="17" spans="2:4" hidden="1">
      <c r="B17" s="30" t="s">
        <v>1092</v>
      </c>
      <c r="C17" s="66">
        <f>SFP!E17-SFP!D17</f>
        <v>0</v>
      </c>
      <c r="D17" s="33"/>
    </row>
    <row r="18" spans="2:4">
      <c r="C18" s="54">
        <f>SUM(C15:C17)</f>
        <v>-780</v>
      </c>
      <c r="D18" s="54">
        <f>SUM(D15:D16)</f>
        <v>0</v>
      </c>
    </row>
    <row r="20" spans="2:4">
      <c r="B20" s="30" t="s">
        <v>1035</v>
      </c>
      <c r="C20" s="58">
        <f>C18+C13</f>
        <v>225768.38134000008</v>
      </c>
    </row>
    <row r="21" spans="2:4" hidden="1">
      <c r="B21" s="30" t="s">
        <v>1036</v>
      </c>
    </row>
    <row r="22" spans="2:4" ht="15" thickBot="1">
      <c r="B22" s="29" t="s">
        <v>1037</v>
      </c>
      <c r="C22" s="50">
        <f>SUM(C20:C21)</f>
        <v>225768.38134000008</v>
      </c>
      <c r="D22" s="39"/>
    </row>
    <row r="23" spans="2:4" ht="15" thickTop="1"/>
    <row r="24" spans="2:4">
      <c r="B24" s="29" t="s">
        <v>1038</v>
      </c>
    </row>
    <row r="25" spans="2:4">
      <c r="B25" s="30" t="s">
        <v>1039</v>
      </c>
      <c r="C25" s="46">
        <f>-Notes!C44</f>
        <v>-6332</v>
      </c>
    </row>
    <row r="26" spans="2:4" hidden="1">
      <c r="B26" s="30" t="s">
        <v>1040</v>
      </c>
    </row>
    <row r="27" spans="2:4" hidden="1">
      <c r="B27" s="30" t="s">
        <v>1041</v>
      </c>
    </row>
    <row r="28" spans="2:4" hidden="1">
      <c r="B28" s="30" t="s">
        <v>1042</v>
      </c>
    </row>
    <row r="29" spans="2:4" hidden="1">
      <c r="B29" s="30" t="s">
        <v>1043</v>
      </c>
      <c r="C29" s="44">
        <f>Notes!D35</f>
        <v>0</v>
      </c>
    </row>
    <row r="30" spans="2:4" hidden="1">
      <c r="B30" s="30" t="s">
        <v>1044</v>
      </c>
    </row>
    <row r="31" spans="2:4" ht="15" thickBot="1">
      <c r="B31" s="29" t="s">
        <v>1045</v>
      </c>
      <c r="C31" s="51">
        <f>SUM(C25:C30)</f>
        <v>-6332</v>
      </c>
      <c r="D31" s="39"/>
    </row>
    <row r="32" spans="2:4" ht="15" thickTop="1"/>
    <row r="33" spans="2:4">
      <c r="B33" s="29" t="s">
        <v>1046</v>
      </c>
    </row>
    <row r="34" spans="2:4" hidden="1">
      <c r="B34" s="30" t="s">
        <v>1047</v>
      </c>
      <c r="C34" s="44">
        <v>0</v>
      </c>
    </row>
    <row r="35" spans="2:4" hidden="1">
      <c r="B35" s="30" t="s">
        <v>1048</v>
      </c>
      <c r="C35" s="44">
        <v>0</v>
      </c>
    </row>
    <row r="36" spans="2:4" hidden="1">
      <c r="B36" s="30" t="s">
        <v>1049</v>
      </c>
      <c r="C36" s="44">
        <v>0</v>
      </c>
    </row>
    <row r="37" spans="2:4" hidden="1">
      <c r="B37" s="30" t="s">
        <v>1050</v>
      </c>
      <c r="C37" s="44">
        <v>0</v>
      </c>
    </row>
    <row r="38" spans="2:4" hidden="1">
      <c r="B38" s="30" t="s">
        <v>1051</v>
      </c>
      <c r="C38" s="44">
        <v>0</v>
      </c>
    </row>
    <row r="39" spans="2:4" hidden="1">
      <c r="B39" s="30" t="s">
        <v>1052</v>
      </c>
      <c r="C39" s="44">
        <v>0</v>
      </c>
    </row>
    <row r="40" spans="2:4" ht="15" thickBot="1">
      <c r="B40" s="29" t="s">
        <v>1053</v>
      </c>
      <c r="C40" s="79">
        <f>SUM(C34:C39)</f>
        <v>0</v>
      </c>
      <c r="D40" s="39"/>
    </row>
    <row r="41" spans="2:4" ht="15" thickTop="1"/>
    <row r="42" spans="2:4">
      <c r="B42" s="30" t="s">
        <v>1054</v>
      </c>
      <c r="C42" s="58">
        <f>C40+C31+C22</f>
        <v>219436.38134000008</v>
      </c>
    </row>
    <row r="43" spans="2:4">
      <c r="B43" s="30" t="s">
        <v>1055</v>
      </c>
      <c r="C43" s="44">
        <v>0</v>
      </c>
    </row>
    <row r="44" spans="2:4" ht="15" thickBot="1">
      <c r="B44" s="29" t="s">
        <v>1056</v>
      </c>
      <c r="C44" s="51">
        <f>SUM(C42:C43)</f>
        <v>219436.38134000008</v>
      </c>
      <c r="D44" s="39"/>
    </row>
    <row r="45" spans="2:4" ht="15" thickTop="1">
      <c r="B45" s="60" t="s">
        <v>1085</v>
      </c>
      <c r="C45" s="69">
        <f>C44-SFP!D18</f>
        <v>1920.000000000291</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94"/>
  <sheetViews>
    <sheetView showGridLines="0" view="pageBreakPreview" topLeftCell="A69" zoomScale="90" zoomScaleNormal="100" zoomScaleSheetLayoutView="90" workbookViewId="0">
      <selection activeCell="D82" sqref="D82"/>
    </sheetView>
  </sheetViews>
  <sheetFormatPr defaultColWidth="9.296875" defaultRowHeight="14.5"/>
  <cols>
    <col min="1" max="1" width="7.296875" style="30" customWidth="1"/>
    <col min="2" max="2" width="53.296875" style="30" customWidth="1"/>
    <col min="3" max="3" width="15.796875" style="30" customWidth="1"/>
    <col min="4" max="4" width="17.69921875" style="30" customWidth="1"/>
    <col min="5" max="5" width="17.19921875" style="30" hidden="1" customWidth="1"/>
    <col min="6" max="16384" width="9.296875" style="30"/>
  </cols>
  <sheetData>
    <row r="2" spans="1:5">
      <c r="B2" s="29" t="s">
        <v>1004</v>
      </c>
      <c r="C2" s="29"/>
    </row>
    <row r="3" spans="1:5">
      <c r="B3" s="29" t="s">
        <v>1366</v>
      </c>
      <c r="C3" s="29"/>
    </row>
    <row r="4" spans="1:5" ht="15" thickBot="1">
      <c r="B4" s="31" t="str">
        <f>SCF!B4</f>
        <v>For the 7-month period ended 30 September 2025</v>
      </c>
      <c r="C4" s="31"/>
      <c r="D4" s="32"/>
      <c r="E4" s="32"/>
    </row>
    <row r="5" spans="1:5">
      <c r="B5" s="29"/>
      <c r="C5" s="29"/>
    </row>
    <row r="6" spans="1:5">
      <c r="A6" s="29">
        <v>1</v>
      </c>
      <c r="B6" s="29" t="s">
        <v>12</v>
      </c>
      <c r="C6" s="29"/>
      <c r="D6" s="33">
        <f>SCF!C6</f>
        <v>45930</v>
      </c>
      <c r="E6" s="33" t="s">
        <v>1005</v>
      </c>
    </row>
    <row r="7" spans="1:5">
      <c r="D7" s="33" t="str">
        <f>SCF!C7</f>
        <v>₦’000</v>
      </c>
      <c r="E7" s="33" t="s">
        <v>1006</v>
      </c>
    </row>
    <row r="8" spans="1:5">
      <c r="B8" s="91" t="s">
        <v>1352</v>
      </c>
      <c r="D8" s="46">
        <f>-SUMIF('Trial Balance'!E:E,B8,'Trial Balance'!C:C)/1000</f>
        <v>593624.74819000007</v>
      </c>
    </row>
    <row r="9" spans="1:5">
      <c r="B9" s="30" t="s">
        <v>2</v>
      </c>
      <c r="D9" s="46">
        <f>-SUMIF('Trial Balance'!E:E,B9,'Trial Balance'!C:C)/1000</f>
        <v>23803.8</v>
      </c>
    </row>
    <row r="10" spans="1:5">
      <c r="B10" s="30" t="s">
        <v>1071</v>
      </c>
      <c r="D10" s="46">
        <f>-SUMIF('Trial Balance'!E:E,B10,'Trial Balance'!C:C)/1000</f>
        <v>0</v>
      </c>
    </row>
    <row r="11" spans="1:5" ht="15" thickBot="1">
      <c r="D11" s="50">
        <f>SUM(D8:D10)</f>
        <v>617428.54819000012</v>
      </c>
      <c r="E11" s="40">
        <f>SUM(E8:E10)</f>
        <v>0</v>
      </c>
    </row>
    <row r="12" spans="1:5" ht="15" thickTop="1"/>
    <row r="14" spans="1:5">
      <c r="A14" s="29">
        <f>A6+1</f>
        <v>2</v>
      </c>
      <c r="B14" s="29" t="s">
        <v>1003</v>
      </c>
      <c r="C14" s="29"/>
      <c r="D14" s="33">
        <f>D6</f>
        <v>45930</v>
      </c>
      <c r="E14" s="33" t="s">
        <v>1005</v>
      </c>
    </row>
    <row r="15" spans="1:5">
      <c r="D15" s="33" t="str">
        <f>D7</f>
        <v>₦’000</v>
      </c>
      <c r="E15" s="33" t="s">
        <v>1006</v>
      </c>
    </row>
    <row r="16" spans="1:5">
      <c r="B16" s="30" t="s">
        <v>1072</v>
      </c>
      <c r="D16" s="46">
        <f>SUMIF('Trial Balance'!E:E,B16,'Trial Balance'!C:C)/1000</f>
        <v>92080.833050000088</v>
      </c>
    </row>
    <row r="17" spans="2:5">
      <c r="B17" s="30" t="s">
        <v>800</v>
      </c>
      <c r="D17" s="46">
        <f>SUMIF('Trial Balance'!E:E,B17,'Trial Balance'!C:C)/1000</f>
        <v>16291.762500000001</v>
      </c>
    </row>
    <row r="18" spans="2:5">
      <c r="B18" s="30" t="s">
        <v>1353</v>
      </c>
      <c r="D18" s="46">
        <f>SUMIF('Trial Balance'!E:E,B18,'Trial Balance'!C:C)/1000</f>
        <v>11368.79125</v>
      </c>
    </row>
    <row r="19" spans="2:5">
      <c r="B19" s="30" t="s">
        <v>976</v>
      </c>
      <c r="D19" s="46">
        <f>SUMIF('Trial Balance'!E:E,B19,'Trial Balance'!C:C)/1000</f>
        <v>7716.4579999999996</v>
      </c>
    </row>
    <row r="20" spans="2:5">
      <c r="B20" s="30" t="s">
        <v>977</v>
      </c>
      <c r="D20" s="46">
        <f>SUMIF('Trial Balance'!E:E,B20,'Trial Balance'!C:C)/1000</f>
        <v>12846.480840000004</v>
      </c>
    </row>
    <row r="21" spans="2:5">
      <c r="B21" s="30" t="s">
        <v>1073</v>
      </c>
      <c r="D21" s="46">
        <f>SUMIF('Trial Balance'!E:E,B21,'Trial Balance'!C:C)/1000</f>
        <v>7882</v>
      </c>
    </row>
    <row r="22" spans="2:5">
      <c r="B22" s="30" t="s">
        <v>953</v>
      </c>
      <c r="D22" s="46">
        <f>SUMIF('Trial Balance'!E:E,B22,'Trial Balance'!C:C)/1000</f>
        <v>7440.7991699999975</v>
      </c>
    </row>
    <row r="23" spans="2:5">
      <c r="B23" s="30" t="s">
        <v>874</v>
      </c>
      <c r="D23" s="46">
        <f>SUMIF('Trial Balance'!E:E,B23,'Trial Balance'!C:C)/1000</f>
        <v>6723.9247500000001</v>
      </c>
    </row>
    <row r="24" spans="2:5">
      <c r="B24" s="30" t="s">
        <v>871</v>
      </c>
      <c r="D24" s="46">
        <f>SUMIF('Trial Balance'!E:E,B24,'Trial Balance'!C:C)/1000</f>
        <v>4020</v>
      </c>
    </row>
    <row r="25" spans="2:5">
      <c r="B25" s="30" t="s">
        <v>865</v>
      </c>
      <c r="D25" s="46">
        <f>SUMIF('Trial Balance'!E:E,B25,'Trial Balance'!C:C)/1000</f>
        <v>515.71797999998739</v>
      </c>
    </row>
    <row r="26" spans="2:5">
      <c r="B26" s="30" t="s">
        <v>974</v>
      </c>
      <c r="D26" s="46">
        <f>SUMIF('Trial Balance'!E:E,B26,'Trial Balance'!C:C)/1000</f>
        <v>6462.3</v>
      </c>
    </row>
    <row r="27" spans="2:5">
      <c r="B27" s="30" t="s">
        <v>960</v>
      </c>
      <c r="D27" s="46">
        <f>SUMIF('Trial Balance'!E:E,B27,'Trial Balance'!C:C)/1000</f>
        <v>507.71</v>
      </c>
    </row>
    <row r="28" spans="2:5">
      <c r="B28" s="30" t="s">
        <v>956</v>
      </c>
      <c r="D28" s="46">
        <f>SUMIF('Trial Balance'!E:E,B28,'Trial Balance'!C:C)/1000</f>
        <v>1623.1935499999988</v>
      </c>
    </row>
    <row r="29" spans="2:5">
      <c r="B29" s="30" t="s">
        <v>1074</v>
      </c>
      <c r="D29" s="46">
        <f>SUMIF('Trial Balance'!E:E,B29,'Trial Balance'!C:C)/1000</f>
        <v>210109.67924999999</v>
      </c>
    </row>
    <row r="30" spans="2:5">
      <c r="B30" s="30" t="s">
        <v>5</v>
      </c>
      <c r="D30" s="46">
        <f>SUMIF('Trial Balance'!E:E,B30,'Trial Balance'!C:C)/1000</f>
        <v>5290.5165100000049</v>
      </c>
    </row>
    <row r="31" spans="2:5" ht="15" thickBot="1">
      <c r="D31" s="51">
        <f>SUM(D16:D30)</f>
        <v>390880.16685000004</v>
      </c>
      <c r="E31" s="39"/>
    </row>
    <row r="32" spans="2:5" ht="15" thickTop="1">
      <c r="E32" s="58"/>
    </row>
    <row r="33" spans="1:5">
      <c r="A33" s="29">
        <f>A14+1</f>
        <v>3</v>
      </c>
      <c r="B33" s="29" t="s">
        <v>1007</v>
      </c>
      <c r="C33" s="29"/>
      <c r="D33" s="33">
        <f>D14</f>
        <v>45930</v>
      </c>
      <c r="E33" s="33" t="s">
        <v>1005</v>
      </c>
    </row>
    <row r="34" spans="1:5">
      <c r="D34" s="33" t="str">
        <f>D15</f>
        <v>₦’000</v>
      </c>
      <c r="E34" s="33" t="s">
        <v>1006</v>
      </c>
    </row>
    <row r="35" spans="1:5">
      <c r="B35" s="30" t="s">
        <v>880</v>
      </c>
      <c r="D35" s="46">
        <f>SUMIF('Trial Balance'!E:E,B35,'Trial Balance'!C:C)/1000</f>
        <v>0</v>
      </c>
    </row>
    <row r="37" spans="1:5" ht="15" thickBot="1">
      <c r="D37" s="48">
        <f>SUM(D35:D36)</f>
        <v>0</v>
      </c>
      <c r="E37" s="39"/>
    </row>
    <row r="38" spans="1:5" ht="15" thickTop="1"/>
    <row r="40" spans="1:5">
      <c r="A40" s="29">
        <f>A33+1</f>
        <v>4</v>
      </c>
      <c r="B40" s="29" t="s">
        <v>1013</v>
      </c>
      <c r="C40" s="29"/>
    </row>
    <row r="41" spans="1:5" ht="29">
      <c r="C41" s="98" t="s">
        <v>1079</v>
      </c>
      <c r="D41" s="99" t="s">
        <v>1058</v>
      </c>
    </row>
    <row r="42" spans="1:5">
      <c r="B42" s="29" t="s">
        <v>1057</v>
      </c>
      <c r="C42" s="100" t="str">
        <f>D34</f>
        <v>₦’000</v>
      </c>
      <c r="D42" s="101" t="str">
        <f>C42</f>
        <v>₦’000</v>
      </c>
    </row>
    <row r="43" spans="1:5">
      <c r="B43" s="30" t="s">
        <v>1059</v>
      </c>
      <c r="C43" s="46">
        <v>0</v>
      </c>
      <c r="D43" s="46">
        <f>SUM(C43)</f>
        <v>0</v>
      </c>
    </row>
    <row r="44" spans="1:5">
      <c r="B44" s="30" t="s">
        <v>1060</v>
      </c>
      <c r="C44" s="46">
        <f>'Trial Balance'!C53/1000</f>
        <v>6332</v>
      </c>
      <c r="D44" s="46">
        <f>SUM(C44)</f>
        <v>6332</v>
      </c>
    </row>
    <row r="45" spans="1:5">
      <c r="B45" s="30" t="s">
        <v>1061</v>
      </c>
      <c r="C45" s="46"/>
      <c r="D45" s="46"/>
    </row>
    <row r="46" spans="1:5" ht="15" thickBot="1">
      <c r="B46" s="30" t="s">
        <v>1062</v>
      </c>
      <c r="C46" s="51">
        <f>SUM(C44:C45)</f>
        <v>6332</v>
      </c>
      <c r="D46" s="51">
        <f>SUM(D44:D45)</f>
        <v>6332</v>
      </c>
    </row>
    <row r="47" spans="1:5" ht="15" thickTop="1">
      <c r="C47" s="41"/>
      <c r="D47" s="41"/>
    </row>
    <row r="48" spans="1:5">
      <c r="B48" s="29" t="s">
        <v>1063</v>
      </c>
      <c r="C48" s="41"/>
      <c r="D48" s="41"/>
    </row>
    <row r="49" spans="1:5">
      <c r="B49" s="30" t="s">
        <v>1059</v>
      </c>
      <c r="C49" s="41">
        <v>0</v>
      </c>
      <c r="D49" s="46">
        <f>SUM(C49)</f>
        <v>0</v>
      </c>
    </row>
    <row r="50" spans="1:5">
      <c r="B50" s="30" t="s">
        <v>1064</v>
      </c>
      <c r="C50" s="41">
        <f>'Trial Balance'!C54/1000</f>
        <v>0</v>
      </c>
      <c r="D50" s="46">
        <f>SUM(C50)</f>
        <v>0</v>
      </c>
    </row>
    <row r="51" spans="1:5">
      <c r="B51" s="30" t="s">
        <v>1061</v>
      </c>
      <c r="C51" s="41"/>
      <c r="D51" s="41"/>
    </row>
    <row r="52" spans="1:5" ht="15" thickBot="1">
      <c r="B52" s="30" t="s">
        <v>1062</v>
      </c>
      <c r="C52" s="51">
        <f>SUM(C50:C51)</f>
        <v>0</v>
      </c>
      <c r="D52" s="51">
        <f>SUM(D50:D51)</f>
        <v>0</v>
      </c>
    </row>
    <row r="53" spans="1:5" ht="15" thickTop="1">
      <c r="C53" s="41"/>
      <c r="D53" s="41"/>
    </row>
    <row r="54" spans="1:5">
      <c r="B54" s="29" t="s">
        <v>1065</v>
      </c>
      <c r="C54" s="41"/>
      <c r="D54" s="41"/>
    </row>
    <row r="55" spans="1:5" ht="15" thickBot="1">
      <c r="B55" s="42" t="s">
        <v>1066</v>
      </c>
      <c r="C55" s="52">
        <f>C46-C52</f>
        <v>6332</v>
      </c>
      <c r="D55" s="52">
        <f>D46-D52</f>
        <v>6332</v>
      </c>
    </row>
    <row r="56" spans="1:5" ht="15.5" hidden="1" thickTop="1" thickBot="1">
      <c r="B56" s="42" t="s">
        <v>1067</v>
      </c>
      <c r="C56" s="43">
        <f>C43-C49</f>
        <v>0</v>
      </c>
      <c r="D56" s="43">
        <f>D43-D49</f>
        <v>0</v>
      </c>
    </row>
    <row r="57" spans="1:5" ht="15" thickTop="1"/>
    <row r="59" spans="1:5">
      <c r="A59" s="29">
        <f>A40+1</f>
        <v>5</v>
      </c>
      <c r="B59" s="29" t="s">
        <v>1018</v>
      </c>
      <c r="C59" s="29"/>
      <c r="D59" s="33">
        <f>D33</f>
        <v>45930</v>
      </c>
      <c r="E59" s="33" t="s">
        <v>1005</v>
      </c>
    </row>
    <row r="60" spans="1:5">
      <c r="D60" s="33" t="str">
        <f>D34</f>
        <v>₦’000</v>
      </c>
      <c r="E60" s="33" t="s">
        <v>1006</v>
      </c>
    </row>
    <row r="61" spans="1:5">
      <c r="B61" s="30" t="s">
        <v>1082</v>
      </c>
      <c r="D61" s="46">
        <f>SUMIF('Trial Balance'!E:E,B61,'Trial Balance'!C:C)/1000</f>
        <v>0</v>
      </c>
    </row>
    <row r="62" spans="1:5">
      <c r="B62" s="30" t="s">
        <v>1083</v>
      </c>
      <c r="D62" s="46">
        <f>SUMIF('Trial Balance'!E:E,B62,'Trial Balance'!C:C)/1000</f>
        <v>0</v>
      </c>
    </row>
    <row r="63" spans="1:5">
      <c r="B63" s="30" t="s">
        <v>1081</v>
      </c>
      <c r="D63" s="46">
        <f>SUMIF('Trial Balance'!E:E,B63,'Trial Balance'!C:C)/1000</f>
        <v>0</v>
      </c>
    </row>
    <row r="65" spans="1:5" ht="15" thickBot="1">
      <c r="D65" s="48">
        <f>SUM(D61:D64)</f>
        <v>0</v>
      </c>
      <c r="E65" s="39"/>
    </row>
    <row r="66" spans="1:5" ht="15" thickTop="1"/>
    <row r="67" spans="1:5">
      <c r="A67" s="29">
        <f>A59+1</f>
        <v>6</v>
      </c>
      <c r="B67" s="29" t="s">
        <v>1017</v>
      </c>
      <c r="C67" s="29"/>
      <c r="D67" s="33">
        <f>D59</f>
        <v>45930</v>
      </c>
      <c r="E67" s="33" t="s">
        <v>1005</v>
      </c>
    </row>
    <row r="68" spans="1:5">
      <c r="D68" s="33" t="str">
        <f>D60</f>
        <v>₦’000</v>
      </c>
      <c r="E68" s="33" t="s">
        <v>1006</v>
      </c>
    </row>
    <row r="69" spans="1:5">
      <c r="B69" s="30" t="s">
        <v>1084</v>
      </c>
      <c r="D69" s="44">
        <v>0</v>
      </c>
    </row>
    <row r="70" spans="1:5">
      <c r="B70" s="30" t="s">
        <v>1060</v>
      </c>
    </row>
    <row r="71" spans="1:5">
      <c r="B71" s="30" t="s">
        <v>1086</v>
      </c>
    </row>
    <row r="72" spans="1:5" ht="15" thickBot="1">
      <c r="D72" s="45">
        <f>SUM(D69:D71)</f>
        <v>0</v>
      </c>
      <c r="E72" s="39"/>
    </row>
    <row r="73" spans="1:5" ht="15" thickTop="1">
      <c r="D73" s="62"/>
    </row>
    <row r="74" spans="1:5">
      <c r="A74" s="29">
        <f>A67+1</f>
        <v>7</v>
      </c>
      <c r="B74" s="29" t="s">
        <v>1019</v>
      </c>
      <c r="C74" s="29"/>
      <c r="D74" s="33">
        <f>D67</f>
        <v>45930</v>
      </c>
      <c r="E74" s="33" t="s">
        <v>1005</v>
      </c>
    </row>
    <row r="75" spans="1:5">
      <c r="D75" s="33" t="str">
        <f>D68</f>
        <v>₦’000</v>
      </c>
      <c r="E75" s="33" t="s">
        <v>1006</v>
      </c>
    </row>
    <row r="76" spans="1:5">
      <c r="B76" s="30" t="s">
        <v>709</v>
      </c>
      <c r="D76" s="46">
        <f>SUMIF('Trial Balance'!E:E,B76,'Trial Balance'!C:C)/1000</f>
        <v>217516.38133999979</v>
      </c>
    </row>
    <row r="77" spans="1:5">
      <c r="B77" s="30" t="s">
        <v>916</v>
      </c>
      <c r="D77" s="46">
        <f>SUMIF('Trial Balance'!E:E,B77,'Trial Balance'!C:C)/1000</f>
        <v>0</v>
      </c>
    </row>
    <row r="78" spans="1:5" ht="15" thickBot="1">
      <c r="D78" s="47">
        <f>SUM(D76:D77)</f>
        <v>217516.38133999979</v>
      </c>
      <c r="E78" s="39"/>
    </row>
    <row r="79" spans="1:5" ht="15" thickTop="1"/>
    <row r="80" spans="1:5">
      <c r="A80" s="29">
        <f>A74+1</f>
        <v>8</v>
      </c>
      <c r="B80" s="29" t="s">
        <v>1023</v>
      </c>
      <c r="C80" s="29"/>
      <c r="D80" s="33">
        <f>D74</f>
        <v>45930</v>
      </c>
      <c r="E80" s="33" t="s">
        <v>1005</v>
      </c>
    </row>
    <row r="81" spans="1:5">
      <c r="D81" s="33" t="str">
        <f>D75</f>
        <v>₦’000</v>
      </c>
      <c r="E81" s="33" t="s">
        <v>1006</v>
      </c>
    </row>
    <row r="82" spans="1:5">
      <c r="B82" s="30" t="s">
        <v>903</v>
      </c>
      <c r="D82" s="46">
        <f>-SUMIF('Trial Balance'!E:E,B82,'Trial Balance'!C:C)/1000</f>
        <v>-780</v>
      </c>
    </row>
    <row r="83" spans="1:5">
      <c r="B83" s="30" t="s">
        <v>901</v>
      </c>
      <c r="D83" s="46">
        <f>-SUMIF('Trial Balance'!E:E,B83,'Trial Balance'!C:C)/1000</f>
        <v>0</v>
      </c>
    </row>
    <row r="84" spans="1:5">
      <c r="B84" s="30" t="s">
        <v>883</v>
      </c>
      <c r="D84" s="46">
        <f>-SUMIF('Trial Balance'!E:E,B84,'Trial Balance'!C:C)/1000</f>
        <v>0</v>
      </c>
    </row>
    <row r="85" spans="1:5">
      <c r="B85" s="30" t="s">
        <v>1070</v>
      </c>
      <c r="D85" s="46">
        <f>-SUMIF('Trial Balance'!E:E,B85,'Trial Balance'!C:C)/1000</f>
        <v>0</v>
      </c>
    </row>
    <row r="86" spans="1:5" ht="15" thickBot="1">
      <c r="D86" s="48">
        <f>SUM(D82:D85)</f>
        <v>-780</v>
      </c>
      <c r="E86" s="39"/>
    </row>
    <row r="87" spans="1:5" ht="15" thickTop="1"/>
    <row r="88" spans="1:5" ht="29">
      <c r="A88" s="29">
        <f>A80+1</f>
        <v>9</v>
      </c>
      <c r="B88" s="29" t="s">
        <v>943</v>
      </c>
      <c r="C88" s="59" t="s">
        <v>1093</v>
      </c>
      <c r="D88" s="33" t="s">
        <v>1058</v>
      </c>
    </row>
    <row r="89" spans="1:5">
      <c r="C89" s="33" t="str">
        <f>D81</f>
        <v>₦’000</v>
      </c>
      <c r="D89" s="33" t="str">
        <f>C89</f>
        <v>₦’000</v>
      </c>
    </row>
    <row r="90" spans="1:5">
      <c r="B90" s="30" t="s">
        <v>1084</v>
      </c>
      <c r="C90" s="46"/>
      <c r="D90" s="46">
        <f>SUM(C90:C90)</f>
        <v>0</v>
      </c>
    </row>
    <row r="91" spans="1:5">
      <c r="B91" s="91" t="s">
        <v>1371</v>
      </c>
      <c r="C91" s="46">
        <f>SCI!D18</f>
        <v>226548.38134000008</v>
      </c>
      <c r="D91" s="46">
        <f>SUM(C91:C91)</f>
        <v>226548.38134000008</v>
      </c>
    </row>
    <row r="92" spans="1:5">
      <c r="B92" s="30" t="s">
        <v>997</v>
      </c>
      <c r="C92" s="46">
        <f>-SUMIF('Trial Balance'!E:E,B92,'Trial Balance'!C:C)/1000</f>
        <v>0</v>
      </c>
      <c r="D92" s="46"/>
    </row>
    <row r="93" spans="1:5" ht="15" thickBot="1">
      <c r="C93" s="48">
        <f>SUM(C90:C92)</f>
        <v>226548.38134000008</v>
      </c>
      <c r="D93" s="47">
        <f>SUM(D90:D92)</f>
        <v>226548.38134000008</v>
      </c>
    </row>
    <row r="94" spans="1:5" ht="15" thickTop="1"/>
  </sheetData>
  <conditionalFormatting sqref="B16:B30">
    <cfRule type="duplicateValues" dxfId="15" priority="1"/>
  </conditionalFormatting>
  <pageMargins left="0.7" right="0.7" top="0.75" bottom="0.75" header="0.3" footer="0.3"/>
  <pageSetup scale="80" orientation="portrait" r:id="rId1"/>
  <rowBreaks count="1" manualBreakCount="1">
    <brk id="38"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election activeCell="J19" sqref="J19"/>
    </sheetView>
  </sheetViews>
  <sheetFormatPr defaultRowHeight="13"/>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sheetPr>
  <dimension ref="A1:F82"/>
  <sheetViews>
    <sheetView showGridLines="0" tabSelected="1" workbookViewId="0">
      <pane ySplit="2" topLeftCell="A45" activePane="bottomLeft" state="frozen"/>
      <selection activeCell="F703" sqref="F703:F1012"/>
      <selection pane="bottomLeft" activeCell="C56" sqref="C56"/>
    </sheetView>
  </sheetViews>
  <sheetFormatPr defaultRowHeight="13"/>
  <cols>
    <col min="1" max="1" width="17.296875" customWidth="1"/>
    <col min="2" max="2" width="36.19921875" customWidth="1"/>
    <col min="3" max="3" width="19" customWidth="1"/>
    <col min="4" max="5" width="29.69921875" customWidth="1"/>
    <col min="6" max="6" width="30.796875" customWidth="1"/>
  </cols>
  <sheetData>
    <row r="1" spans="1:6">
      <c r="C1" s="2">
        <f>SUBTOTAL(9,C3:C80)</f>
        <v>-1920000.0000002682</v>
      </c>
    </row>
    <row r="2" spans="1:6" ht="11.25" customHeight="1">
      <c r="A2" s="15" t="s">
        <v>937</v>
      </c>
      <c r="B2" s="15" t="s">
        <v>938</v>
      </c>
      <c r="C2" s="15" t="s">
        <v>988</v>
      </c>
      <c r="D2" s="15" t="s">
        <v>936</v>
      </c>
      <c r="E2" s="15" t="s">
        <v>0</v>
      </c>
      <c r="F2" s="15" t="s">
        <v>942</v>
      </c>
    </row>
    <row r="3" spans="1:6">
      <c r="B3" s="13" t="s">
        <v>1352</v>
      </c>
      <c r="C3" s="2">
        <f>SUMIF(GL_Transactions!E:E,'Trial Balance'!B3,GL_Transactions!F:F)</f>
        <v>-593624748.19000006</v>
      </c>
      <c r="D3" t="str">
        <f>VLOOKUP(B3,'Chart of Accounts'!B:F,4,0)</f>
        <v>Income</v>
      </c>
      <c r="E3" s="28" t="s">
        <v>1352</v>
      </c>
      <c r="F3" t="str">
        <f>VLOOKUP(B3,'Chart of Accounts'!B:F,5,0)</f>
        <v>Income</v>
      </c>
    </row>
    <row r="4" spans="1:6">
      <c r="B4" s="13" t="s">
        <v>2</v>
      </c>
      <c r="C4" s="2">
        <f>SUMIF(GL_Transactions!E:E,'Trial Balance'!B4,GL_Transactions!F:F)</f>
        <v>-12737150</v>
      </c>
      <c r="D4" t="str">
        <f>VLOOKUP(B4,'Chart of Accounts'!B:F,4,0)</f>
        <v>Income</v>
      </c>
      <c r="E4" t="s">
        <v>2</v>
      </c>
      <c r="F4" t="str">
        <f>VLOOKUP(B4,'Chart of Accounts'!B:F,5,0)</f>
        <v>Income</v>
      </c>
    </row>
    <row r="5" spans="1:6">
      <c r="B5" s="13" t="s">
        <v>1354</v>
      </c>
      <c r="C5" s="2">
        <f>SUMIF(GL_Transactions!E:E,'Trial Balance'!B5,GL_Transactions!F:F)</f>
        <v>-11066650</v>
      </c>
      <c r="D5" t="str">
        <f>VLOOKUP(B5,'Chart of Accounts'!B:F,4,0)</f>
        <v>Income</v>
      </c>
      <c r="E5" t="s">
        <v>2</v>
      </c>
      <c r="F5" t="str">
        <f>VLOOKUP(B5,'Chart of Accounts'!B:F,5,0)</f>
        <v>Income</v>
      </c>
    </row>
    <row r="6" spans="1:6">
      <c r="B6" s="13" t="s">
        <v>868</v>
      </c>
      <c r="C6" s="2">
        <f>SUMIF(GL_Transactions!E:E,'Trial Balance'!B6,GL_Transactions!F:F)</f>
        <v>0</v>
      </c>
      <c r="D6" t="str">
        <f>VLOOKUP(B6,'Chart of Accounts'!B:F,4,0)</f>
        <v>Income</v>
      </c>
      <c r="E6" t="s">
        <v>2</v>
      </c>
      <c r="F6" t="str">
        <f>VLOOKUP(B6,'Chart of Accounts'!B:F,5,0)</f>
        <v>Income</v>
      </c>
    </row>
    <row r="7" spans="1:6">
      <c r="B7" s="13" t="s">
        <v>927</v>
      </c>
      <c r="C7" s="2">
        <f>SUMIF(GL_Transactions!E:E,'Trial Balance'!B7,GL_Transactions!F:F)</f>
        <v>0</v>
      </c>
      <c r="D7" t="str">
        <f>VLOOKUP(B7,'Chart of Accounts'!B:F,4,0)</f>
        <v>Income</v>
      </c>
      <c r="E7" s="28" t="s">
        <v>1071</v>
      </c>
      <c r="F7" t="str">
        <f>VLOOKUP(B7,'Chart of Accounts'!B:F,5,0)</f>
        <v>Income</v>
      </c>
    </row>
    <row r="8" spans="1:6">
      <c r="B8" s="13" t="s">
        <v>889</v>
      </c>
      <c r="C8" s="2">
        <f>SUMIF(GL_Transactions!E:E,'Trial Balance'!B8,GL_Transactions!F:F)</f>
        <v>0</v>
      </c>
      <c r="D8" t="str">
        <f>VLOOKUP(B8,'Chart of Accounts'!B:F,4,0)</f>
        <v>Income</v>
      </c>
      <c r="E8" s="28" t="s">
        <v>1071</v>
      </c>
      <c r="F8" t="str">
        <f>VLOOKUP(B8,'Chart of Accounts'!B:F,5,0)</f>
        <v>Income</v>
      </c>
    </row>
    <row r="9" spans="1:6">
      <c r="B9" s="13" t="s">
        <v>886</v>
      </c>
      <c r="C9" s="2">
        <f>SUMIF(GL_Transactions!E:E,'Trial Balance'!B9,GL_Transactions!F:F)</f>
        <v>0</v>
      </c>
      <c r="D9" t="str">
        <f>VLOOKUP(B9,'Chart of Accounts'!B:F,4,0)</f>
        <v>Income</v>
      </c>
      <c r="E9" s="28" t="s">
        <v>1071</v>
      </c>
      <c r="F9" t="str">
        <f>VLOOKUP(B9,'Chart of Accounts'!B:F,5,0)</f>
        <v>Income</v>
      </c>
    </row>
    <row r="10" spans="1:6">
      <c r="B10" s="13" t="s">
        <v>880</v>
      </c>
      <c r="C10" s="2">
        <f>SUMIF(GL_Transactions!E:E,'Trial Balance'!B10,GL_Transactions!F:F)</f>
        <v>0</v>
      </c>
      <c r="D10" t="str">
        <f>VLOOKUP(B10,'Chart of Accounts'!B:F,4,0)</f>
        <v>Income</v>
      </c>
      <c r="E10" s="28" t="s">
        <v>880</v>
      </c>
      <c r="F10" t="s">
        <v>1068</v>
      </c>
    </row>
    <row r="11" spans="1:6">
      <c r="B11" s="13" t="s">
        <v>877</v>
      </c>
      <c r="C11" s="2">
        <f>SUMIF(GL_Transactions!E:E,'Trial Balance'!B11,GL_Transactions!F:F)</f>
        <v>0</v>
      </c>
      <c r="D11" t="str">
        <f>VLOOKUP(B11,'Chart of Accounts'!B:F,4,0)</f>
        <v>Income</v>
      </c>
      <c r="E11" s="28" t="s">
        <v>1071</v>
      </c>
      <c r="F11" t="str">
        <f>VLOOKUP(B11,'Chart of Accounts'!B:F,5,0)</f>
        <v>Income</v>
      </c>
    </row>
    <row r="12" spans="1:6">
      <c r="B12" s="13" t="s">
        <v>837</v>
      </c>
      <c r="C12" s="2">
        <f>SUMIF(GL_Transactions!E:E,'Trial Balance'!B12,GL_Transactions!F:F)</f>
        <v>0</v>
      </c>
      <c r="D12" t="str">
        <f>VLOOKUP(B12,'Chart of Accounts'!B:F,4,0)</f>
        <v>Income</v>
      </c>
      <c r="E12" s="28" t="s">
        <v>1071</v>
      </c>
      <c r="F12" t="str">
        <f>VLOOKUP(B12,'Chart of Accounts'!B:F,5,0)</f>
        <v>Income</v>
      </c>
    </row>
    <row r="13" spans="1:6">
      <c r="B13" s="13" t="s">
        <v>787</v>
      </c>
      <c r="C13" s="2">
        <f>SUMIF(GL_Transactions!E:E,'Trial Balance'!B13,GL_Transactions!F:F)</f>
        <v>0</v>
      </c>
      <c r="D13" t="str">
        <f>VLOOKUP(B13,'Chart of Accounts'!B:F,4,0)</f>
        <v>Cost Of Goods Sold</v>
      </c>
      <c r="E13" s="28" t="s">
        <v>1069</v>
      </c>
      <c r="F13" t="str">
        <f>VLOOKUP(B13,'Chart of Accounts'!B:F,5,0)</f>
        <v>Cost of sales</v>
      </c>
    </row>
    <row r="14" spans="1:6">
      <c r="B14" s="13" t="s">
        <v>1353</v>
      </c>
      <c r="C14" s="2">
        <f>SUMIF(GL_Transactions!E:E,'Trial Balance'!B14,GL_Transactions!F:F)</f>
        <v>11368791.25</v>
      </c>
      <c r="D14" t="str">
        <f>VLOOKUP(B14,'Chart of Accounts'!B:F,4,0)</f>
        <v>Expense</v>
      </c>
      <c r="E14" s="28" t="s">
        <v>1353</v>
      </c>
      <c r="F14" t="s">
        <v>1003</v>
      </c>
    </row>
    <row r="15" spans="1:6">
      <c r="B15" s="13" t="s">
        <v>924</v>
      </c>
      <c r="C15" s="2">
        <f>SUMIF(GL_Transactions!E:E,'Trial Balance'!B15,GL_Transactions!F:F)</f>
        <v>0</v>
      </c>
      <c r="D15" t="str">
        <f>VLOOKUP(B15,'Chart of Accounts'!B:F,4,0)</f>
        <v>Expense</v>
      </c>
      <c r="E15" t="s">
        <v>5</v>
      </c>
      <c r="F15" t="str">
        <f>VLOOKUP(B15,'Chart of Accounts'!B:F,5,0)</f>
        <v>Administrative expenses</v>
      </c>
    </row>
    <row r="16" spans="1:6">
      <c r="B16" s="13" t="s">
        <v>874</v>
      </c>
      <c r="C16" s="2">
        <f>SUMIF(GL_Transactions!E:E,'Trial Balance'!B16,GL_Transactions!F:F)</f>
        <v>6723924.75</v>
      </c>
      <c r="D16" t="str">
        <f>VLOOKUP(B16,'Chart of Accounts'!B:F,4,0)</f>
        <v>Expense</v>
      </c>
      <c r="E16" t="s">
        <v>874</v>
      </c>
      <c r="F16" t="str">
        <f>VLOOKUP(B16,'Chart of Accounts'!B:F,5,0)</f>
        <v>Administrative expenses</v>
      </c>
    </row>
    <row r="17" spans="2:6">
      <c r="B17" s="13" t="s">
        <v>871</v>
      </c>
      <c r="C17" s="2">
        <f>SUMIF(GL_Transactions!E:E,'Trial Balance'!B17,GL_Transactions!F:F)</f>
        <v>4020000</v>
      </c>
      <c r="D17" t="str">
        <f>VLOOKUP(B17,'Chart of Accounts'!B:F,4,0)</f>
        <v>Expense</v>
      </c>
      <c r="E17" t="s">
        <v>871</v>
      </c>
      <c r="F17" t="str">
        <f>VLOOKUP(B17,'Chart of Accounts'!B:F,5,0)</f>
        <v>Administrative expenses</v>
      </c>
    </row>
    <row r="18" spans="2:6">
      <c r="B18" s="13" t="s">
        <v>865</v>
      </c>
      <c r="C18" s="2">
        <f>SUMIF(GL_Transactions!E:E,'Trial Balance'!B18,GL_Transactions!F:F)</f>
        <v>515717.97999998735</v>
      </c>
      <c r="D18" t="str">
        <f>VLOOKUP(B18,'Chart of Accounts'!B:F,4,0)</f>
        <v>Expense</v>
      </c>
      <c r="E18" t="s">
        <v>865</v>
      </c>
      <c r="F18" t="str">
        <f>VLOOKUP(B18,'Chart of Accounts'!B:F,5,0)</f>
        <v>Administrative expenses</v>
      </c>
    </row>
    <row r="19" spans="2:6">
      <c r="B19" s="13" t="s">
        <v>862</v>
      </c>
      <c r="C19" s="2">
        <f>SUMIF(GL_Transactions!E:E,'Trial Balance'!B19,GL_Transactions!F:F)</f>
        <v>0</v>
      </c>
      <c r="D19" t="str">
        <f>VLOOKUP(B19,'Chart of Accounts'!B:F,4,0)</f>
        <v>Expense</v>
      </c>
      <c r="E19" t="s">
        <v>5</v>
      </c>
      <c r="F19" t="str">
        <f>VLOOKUP(B19,'Chart of Accounts'!B:F,5,0)</f>
        <v>Administrative expenses</v>
      </c>
    </row>
    <row r="20" spans="2:6">
      <c r="B20" s="13" t="s">
        <v>953</v>
      </c>
      <c r="C20" s="2">
        <f>SUMIF(GL_Transactions!E:E,'Trial Balance'!B20,GL_Transactions!F:F)</f>
        <v>7440799.1699999971</v>
      </c>
      <c r="D20" t="str">
        <f>VLOOKUP(B20,'Chart of Accounts'!B:F,4,0)</f>
        <v>Expense</v>
      </c>
      <c r="E20" t="s">
        <v>953</v>
      </c>
      <c r="F20" t="str">
        <f>VLOOKUP(B20,'Chart of Accounts'!B:F,5,0)</f>
        <v>Administrative expenses</v>
      </c>
    </row>
    <row r="21" spans="2:6">
      <c r="B21" s="13" t="s">
        <v>956</v>
      </c>
      <c r="C21" s="2">
        <f>SUMIF(GL_Transactions!E:E,'Trial Balance'!B21,GL_Transactions!F:F)</f>
        <v>1623193.5499999989</v>
      </c>
      <c r="D21" t="str">
        <f>VLOOKUP(B21,'Chart of Accounts'!B:F,4,0)</f>
        <v>Expense</v>
      </c>
      <c r="E21" t="s">
        <v>956</v>
      </c>
      <c r="F21" t="str">
        <f>VLOOKUP(B21,'Chart of Accounts'!B:F,5,0)</f>
        <v>Administrative expenses</v>
      </c>
    </row>
    <row r="22" spans="2:6">
      <c r="B22" s="13" t="s">
        <v>859</v>
      </c>
      <c r="C22" s="2">
        <f>SUMIF(GL_Transactions!E:E,'Trial Balance'!B22,GL_Transactions!F:F)</f>
        <v>0</v>
      </c>
      <c r="D22" t="str">
        <f>VLOOKUP(B22,'Chart of Accounts'!B:F,4,0)</f>
        <v>Other Expense</v>
      </c>
      <c r="E22" t="s">
        <v>5</v>
      </c>
      <c r="F22" t="str">
        <f>VLOOKUP(B22,'Chart of Accounts'!B:F,5,0)</f>
        <v>Administrative expenses</v>
      </c>
    </row>
    <row r="23" spans="2:6">
      <c r="B23" s="13" t="s">
        <v>855</v>
      </c>
      <c r="C23" s="2">
        <f>SUMIF(GL_Transactions!E:E,'Trial Balance'!B23,GL_Transactions!F:F)</f>
        <v>0</v>
      </c>
      <c r="D23" t="str">
        <f>VLOOKUP(B23,'Chart of Accounts'!B:F,4,0)</f>
        <v>Expense</v>
      </c>
      <c r="E23" t="s">
        <v>5</v>
      </c>
      <c r="F23" t="str">
        <f>VLOOKUP(B23,'Chart of Accounts'!B:F,5,0)</f>
        <v>Administrative expenses</v>
      </c>
    </row>
    <row r="24" spans="2:6">
      <c r="B24" s="13" t="s">
        <v>852</v>
      </c>
      <c r="C24" s="2">
        <f>SUMIF(GL_Transactions!E:E,'Trial Balance'!B24,GL_Transactions!F:F)</f>
        <v>0</v>
      </c>
      <c r="D24" t="str">
        <f>VLOOKUP(B24,'Chart of Accounts'!B:F,4,0)</f>
        <v>Expense</v>
      </c>
      <c r="E24" t="s">
        <v>5</v>
      </c>
      <c r="F24" t="str">
        <f>VLOOKUP(B24,'Chart of Accounts'!B:F,5,0)</f>
        <v>Administrative expenses</v>
      </c>
    </row>
    <row r="25" spans="2:6">
      <c r="B25" s="13" t="s">
        <v>849</v>
      </c>
      <c r="C25" s="2">
        <f>SUMIF(GL_Transactions!E:E,'Trial Balance'!B25,GL_Transactions!F:F)</f>
        <v>0</v>
      </c>
      <c r="D25" t="str">
        <f>VLOOKUP(B25,'Chart of Accounts'!B:F,4,0)</f>
        <v>Expense</v>
      </c>
      <c r="E25" t="s">
        <v>5</v>
      </c>
      <c r="F25" t="str">
        <f>VLOOKUP(B25,'Chart of Accounts'!B:F,5,0)</f>
        <v>Administrative expenses</v>
      </c>
    </row>
    <row r="26" spans="2:6">
      <c r="B26" s="13" t="s">
        <v>846</v>
      </c>
      <c r="C26" s="2">
        <f>SUMIF(GL_Transactions!E:E,'Trial Balance'!B26,GL_Transactions!F:F)</f>
        <v>870116.76000000536</v>
      </c>
      <c r="D26" t="str">
        <f>VLOOKUP(B26,'Chart of Accounts'!B:F,4,0)</f>
        <v>Expense</v>
      </c>
      <c r="E26" t="s">
        <v>5</v>
      </c>
      <c r="F26" t="str">
        <f>VLOOKUP(B26,'Chart of Accounts'!B:F,5,0)</f>
        <v>Administrative expenses</v>
      </c>
    </row>
    <row r="27" spans="2:6">
      <c r="B27" s="13" t="s">
        <v>843</v>
      </c>
      <c r="C27" s="2">
        <f>SUMIF(GL_Transactions!E:E,'Trial Balance'!B27,GL_Transactions!F:F)</f>
        <v>0</v>
      </c>
      <c r="D27" t="str">
        <f>VLOOKUP(B27,'Chart of Accounts'!B:F,4,0)</f>
        <v>Expense</v>
      </c>
      <c r="E27" t="s">
        <v>5</v>
      </c>
      <c r="F27" t="str">
        <f>VLOOKUP(B27,'Chart of Accounts'!B:F,5,0)</f>
        <v>Administrative expenses</v>
      </c>
    </row>
    <row r="28" spans="2:6">
      <c r="B28" s="13" t="s">
        <v>840</v>
      </c>
      <c r="C28" s="2">
        <f>SUMIF(GL_Transactions!E:E,'Trial Balance'!B28,GL_Transactions!F:F)</f>
        <v>7882000</v>
      </c>
      <c r="D28" t="str">
        <f>VLOOKUP(B28,'Chart of Accounts'!B:F,4,0)</f>
        <v>Expense</v>
      </c>
      <c r="E28" s="28" t="s">
        <v>1073</v>
      </c>
      <c r="F28" t="str">
        <f>VLOOKUP(B28,'Chart of Accounts'!B:F,5,0)</f>
        <v>Administrative expenses</v>
      </c>
    </row>
    <row r="29" spans="2:6">
      <c r="B29" s="13" t="s">
        <v>834</v>
      </c>
      <c r="C29" s="2">
        <f>SUMIF(GL_Transactions!E:E,'Trial Balance'!B29,GL_Transactions!F:F)</f>
        <v>0</v>
      </c>
      <c r="D29" t="str">
        <f>VLOOKUP(B29,'Chart of Accounts'!B:F,4,0)</f>
        <v>Expense</v>
      </c>
      <c r="E29" t="s">
        <v>5</v>
      </c>
      <c r="F29" t="str">
        <f>VLOOKUP(B29,'Chart of Accounts'!B:F,5,0)</f>
        <v>Administrative expenses</v>
      </c>
    </row>
    <row r="30" spans="2:6">
      <c r="B30" s="13" t="s">
        <v>831</v>
      </c>
      <c r="C30" s="2">
        <f>SUMIF(GL_Transactions!E:E,'Trial Balance'!B30,GL_Transactions!F:F)</f>
        <v>0</v>
      </c>
      <c r="D30" t="str">
        <f>VLOOKUP(B30,'Chart of Accounts'!B:F,4,0)</f>
        <v>Expense</v>
      </c>
      <c r="E30" t="s">
        <v>5</v>
      </c>
      <c r="F30" t="str">
        <f>VLOOKUP(B30,'Chart of Accounts'!B:F,5,0)</f>
        <v>Administrative expenses</v>
      </c>
    </row>
    <row r="31" spans="2:6">
      <c r="B31" s="13" t="s">
        <v>960</v>
      </c>
      <c r="C31" s="2">
        <f>SUMIF(GL_Transactions!E:E,'Trial Balance'!B31,GL_Transactions!F:F)</f>
        <v>507710</v>
      </c>
      <c r="D31" t="str">
        <f>VLOOKUP(B31,'Chart of Accounts'!B:F,4,0)</f>
        <v>Expense</v>
      </c>
      <c r="E31" s="28" t="s">
        <v>960</v>
      </c>
      <c r="F31" t="str">
        <f>VLOOKUP(B31,'Chart of Accounts'!B:F,5,0)</f>
        <v>Administrative expenses</v>
      </c>
    </row>
    <row r="32" spans="2:6">
      <c r="B32" s="13" t="s">
        <v>963</v>
      </c>
      <c r="C32" s="2">
        <f>SUMIF(GL_Transactions!E:E,'Trial Balance'!B32,GL_Transactions!F:F)</f>
        <v>320161.25</v>
      </c>
      <c r="D32" t="str">
        <f>VLOOKUP(B32,'Chart of Accounts'!B:F,4,0)</f>
        <v>Expense</v>
      </c>
      <c r="E32" t="s">
        <v>1074</v>
      </c>
      <c r="F32" t="str">
        <f>VLOOKUP(B32,'Chart of Accounts'!B:F,5,0)</f>
        <v>Administrative expenses</v>
      </c>
    </row>
    <row r="33" spans="2:6">
      <c r="B33" s="13" t="s">
        <v>974</v>
      </c>
      <c r="C33" s="2">
        <f>SUMIF(GL_Transactions!E:E,'Trial Balance'!B33,GL_Transactions!F:F)</f>
        <v>6462300</v>
      </c>
      <c r="D33" t="str">
        <f>VLOOKUP(B33,'Chart of Accounts'!B:F,4,0)</f>
        <v>Expense</v>
      </c>
      <c r="E33" t="s">
        <v>974</v>
      </c>
      <c r="F33" t="str">
        <f>VLOOKUP(B33,'Chart of Accounts'!B:F,5,0)</f>
        <v>Administrative expenses</v>
      </c>
    </row>
    <row r="34" spans="2:6">
      <c r="B34" s="13" t="s">
        <v>976</v>
      </c>
      <c r="C34" s="2">
        <f>SUMIF(GL_Transactions!E:E,'Trial Balance'!B34,GL_Transactions!F:F)</f>
        <v>7716458</v>
      </c>
      <c r="D34" t="str">
        <f>VLOOKUP(B34,'Chart of Accounts'!B:F,4,0)</f>
        <v>Expense</v>
      </c>
      <c r="E34" t="s">
        <v>976</v>
      </c>
      <c r="F34" t="str">
        <f>VLOOKUP(B34,'Chart of Accounts'!B:F,5,0)</f>
        <v>Administrative expenses</v>
      </c>
    </row>
    <row r="35" spans="2:6">
      <c r="B35" s="13" t="s">
        <v>977</v>
      </c>
      <c r="C35" s="2">
        <f>SUMIF(GL_Transactions!E:E,'Trial Balance'!B35,GL_Transactions!F:F)</f>
        <v>12846480.840000004</v>
      </c>
      <c r="D35" t="str">
        <f>VLOOKUP(B35,'Chart of Accounts'!B:F,4,0)</f>
        <v>Expense</v>
      </c>
      <c r="E35" t="s">
        <v>977</v>
      </c>
      <c r="F35" t="str">
        <f>VLOOKUP(B35,'Chart of Accounts'!B:F,5,0)</f>
        <v>Administrative expenses</v>
      </c>
    </row>
    <row r="36" spans="2:6">
      <c r="B36" s="13" t="s">
        <v>32</v>
      </c>
      <c r="C36" s="2">
        <f>SUMIF(GL_Transactions!E:E,'Trial Balance'!B36,GL_Transactions!F:F)</f>
        <v>205568667</v>
      </c>
      <c r="D36" t="str">
        <f>VLOOKUP(B36,'Chart of Accounts'!B:F,4,0)</f>
        <v>Expense</v>
      </c>
      <c r="E36" t="s">
        <v>1074</v>
      </c>
      <c r="F36" t="str">
        <f>VLOOKUP(B36,'Chart of Accounts'!B:F,5,0)</f>
        <v>Administrative expenses</v>
      </c>
    </row>
    <row r="37" spans="2:6">
      <c r="B37" s="13" t="s">
        <v>27</v>
      </c>
      <c r="C37" s="2">
        <f>SUMIF(GL_Transactions!E:E,'Trial Balance'!B37,GL_Transactions!F:F)</f>
        <v>4220851</v>
      </c>
      <c r="D37" t="str">
        <f>VLOOKUP(B37,'Chart of Accounts'!B:F,4,0)</f>
        <v>Expense</v>
      </c>
      <c r="E37" t="s">
        <v>1074</v>
      </c>
      <c r="F37" t="str">
        <f>VLOOKUP(B37,'Chart of Accounts'!B:F,5,0)</f>
        <v>Administrative expenses</v>
      </c>
    </row>
    <row r="38" spans="2:6">
      <c r="B38" s="105" t="s">
        <v>1702</v>
      </c>
      <c r="C38" s="2">
        <f>SUMIF(GL_Transactions!E:E,'Trial Balance'!B38,GL_Transactions!F:F)</f>
        <v>9595004.4800000004</v>
      </c>
      <c r="D38" t="str">
        <f>VLOOKUP(B38,'Chart of Accounts'!B:F,4,0)</f>
        <v>Expense</v>
      </c>
      <c r="E38" t="s">
        <v>1072</v>
      </c>
      <c r="F38" t="str">
        <f>VLOOKUP(B38,'Chart of Accounts'!B:F,5,0)</f>
        <v>Administrative expenses</v>
      </c>
    </row>
    <row r="39" spans="2:6">
      <c r="B39" s="13" t="s">
        <v>982</v>
      </c>
      <c r="C39" s="2">
        <f>SUMIF(GL_Transactions!E:E,'Trial Balance'!B39,GL_Transactions!F:F)</f>
        <v>1982500</v>
      </c>
      <c r="D39" t="str">
        <f>VLOOKUP(B39,'Chart of Accounts'!B:F,4,0)</f>
        <v>Expense</v>
      </c>
      <c r="E39" t="s">
        <v>1072</v>
      </c>
      <c r="F39" t="str">
        <f>VLOOKUP(B39,'Chart of Accounts'!B:F,5,0)</f>
        <v>Administrative expenses</v>
      </c>
    </row>
    <row r="40" spans="2:6">
      <c r="B40" s="105" t="s">
        <v>1704</v>
      </c>
      <c r="C40" s="2">
        <f>SUMIF(GL_Transactions!E:E,'Trial Balance'!B40,GL_Transactions!F:F)</f>
        <v>1600768.27</v>
      </c>
      <c r="D40" t="str">
        <f>VLOOKUP(B40,'Chart of Accounts'!B:F,4,0)</f>
        <v>Expense</v>
      </c>
      <c r="E40" t="s">
        <v>1072</v>
      </c>
      <c r="F40" t="str">
        <f>VLOOKUP(B40,'Chart of Accounts'!B:F,5,0)</f>
        <v>Administrative expenses</v>
      </c>
    </row>
    <row r="41" spans="2:6">
      <c r="B41" s="13" t="s">
        <v>984</v>
      </c>
      <c r="C41" s="2">
        <f>SUMIF(GL_Transactions!E:E,'Trial Balance'!B41,GL_Transactions!F:F)</f>
        <v>3900000</v>
      </c>
      <c r="D41" t="str">
        <f>VLOOKUP(B41,'Chart of Accounts'!B:F,4,0)</f>
        <v>Expense</v>
      </c>
      <c r="E41" t="s">
        <v>5</v>
      </c>
      <c r="F41" t="str">
        <f>VLOOKUP(B41,'Chart of Accounts'!B:F,5,0)</f>
        <v>Administrative expenses</v>
      </c>
    </row>
    <row r="42" spans="2:6">
      <c r="B42" s="13" t="s">
        <v>822</v>
      </c>
      <c r="C42" s="2">
        <f>SUMIF(GL_Transactions!E:E,'Trial Balance'!B42,GL_Transactions!F:F)</f>
        <v>0</v>
      </c>
      <c r="D42" t="str">
        <f>VLOOKUP(B42,'Chart of Accounts'!B:F,4,0)</f>
        <v>Expense</v>
      </c>
      <c r="E42" t="s">
        <v>5</v>
      </c>
      <c r="F42" t="str">
        <f>VLOOKUP(B42,'Chart of Accounts'!B:F,5,0)</f>
        <v>Administrative expenses</v>
      </c>
    </row>
    <row r="43" spans="2:6">
      <c r="B43" s="13" t="s">
        <v>815</v>
      </c>
      <c r="C43" s="2">
        <f>SUMIF(GL_Transactions!E:E,'Trial Balance'!B43,GL_Transactions!F:F)</f>
        <v>78902560.300000086</v>
      </c>
      <c r="D43" t="str">
        <f>VLOOKUP(B43,'Chart of Accounts'!B:F,4,0)</f>
        <v>Expense</v>
      </c>
      <c r="E43" s="28" t="s">
        <v>1072</v>
      </c>
      <c r="F43" t="str">
        <f>VLOOKUP(B43,'Chart of Accounts'!B:F,5,0)</f>
        <v>Administrative expenses</v>
      </c>
    </row>
    <row r="44" spans="2:6">
      <c r="B44" s="13" t="s">
        <v>812</v>
      </c>
      <c r="C44" s="2">
        <f>SUMIF(GL_Transactions!E:E,'Trial Balance'!B44,GL_Transactions!F:F)</f>
        <v>0</v>
      </c>
      <c r="D44" t="str">
        <f>VLOOKUP(B44,'Chart of Accounts'!B:F,4,0)</f>
        <v>Expense</v>
      </c>
      <c r="E44" t="s">
        <v>5</v>
      </c>
      <c r="F44" t="str">
        <f>VLOOKUP(B44,'Chart of Accounts'!B:F,5,0)</f>
        <v>Administrative expenses</v>
      </c>
    </row>
    <row r="45" spans="2:6">
      <c r="B45" s="13" t="s">
        <v>809</v>
      </c>
      <c r="C45" s="2">
        <f>SUMIF(GL_Transactions!E:E,'Trial Balance'!B45,GL_Transactions!F:F)</f>
        <v>714776</v>
      </c>
      <c r="D45" t="str">
        <f>VLOOKUP(B45,'Chart of Accounts'!B:F,4,0)</f>
        <v>Expense</v>
      </c>
      <c r="E45" t="s">
        <v>5</v>
      </c>
      <c r="F45" t="str">
        <f>VLOOKUP(B45,'Chart of Accounts'!B:F,5,0)</f>
        <v>Administrative expenses</v>
      </c>
    </row>
    <row r="46" spans="2:6">
      <c r="B46" s="13" t="s">
        <v>806</v>
      </c>
      <c r="C46" s="2">
        <f>SUMIF(GL_Transactions!E:E,'Trial Balance'!B46,GL_Transactions!F:F)</f>
        <v>0</v>
      </c>
      <c r="D46" t="str">
        <f>VLOOKUP(B46,'Chart of Accounts'!B:F,4,0)</f>
        <v>Expense</v>
      </c>
      <c r="E46" t="s">
        <v>5</v>
      </c>
      <c r="F46" t="str">
        <f>VLOOKUP(B46,'Chart of Accounts'!B:F,5,0)</f>
        <v>Administrative expenses</v>
      </c>
    </row>
    <row r="47" spans="2:6">
      <c r="B47" s="13" t="s">
        <v>803</v>
      </c>
      <c r="C47" s="2">
        <f>SUMIF(GL_Transactions!E:E,'Trial Balance'!B47,GL_Transactions!F:F)</f>
        <v>0</v>
      </c>
      <c r="D47" t="str">
        <f>VLOOKUP(B47,'Chart of Accounts'!B:F,4,0)</f>
        <v>Expense</v>
      </c>
      <c r="E47" t="s">
        <v>5</v>
      </c>
      <c r="F47" t="str">
        <f>VLOOKUP(B47,'Chart of Accounts'!B:F,5,0)</f>
        <v>Administrative expenses</v>
      </c>
    </row>
    <row r="48" spans="2:6">
      <c r="B48" s="13" t="s">
        <v>800</v>
      </c>
      <c r="C48" s="2">
        <f>SUMIF(GL_Transactions!E:E,'Trial Balance'!B48,GL_Transactions!F:F)</f>
        <v>16291762.5</v>
      </c>
      <c r="D48" t="str">
        <f>VLOOKUP(B48,'Chart of Accounts'!B:F,4,0)</f>
        <v>Expense</v>
      </c>
      <c r="E48" t="s">
        <v>800</v>
      </c>
      <c r="F48" t="str">
        <f>VLOOKUP(B48,'Chart of Accounts'!B:F,5,0)</f>
        <v>Administrative expenses</v>
      </c>
    </row>
    <row r="49" spans="2:6">
      <c r="B49" s="13" t="s">
        <v>5</v>
      </c>
      <c r="C49" s="2">
        <f>SUMIF(GL_Transactions!E:E,'Trial Balance'!B49,GL_Transactions!F:F)</f>
        <v>255623.75</v>
      </c>
      <c r="D49" t="str">
        <f>VLOOKUP(B49,'Chart of Accounts'!B:F,4,0)</f>
        <v>Expense</v>
      </c>
      <c r="E49" t="s">
        <v>5</v>
      </c>
      <c r="F49" t="str">
        <f>VLOOKUP(B49,'Chart of Accounts'!B:F,5,0)</f>
        <v>Administrative expenses</v>
      </c>
    </row>
    <row r="50" spans="2:6">
      <c r="B50" s="13" t="s">
        <v>779</v>
      </c>
      <c r="C50" s="2">
        <f>SUMIF(GL_Transactions!E:E,'Trial Balance'!B50,GL_Transactions!F:F)</f>
        <v>0</v>
      </c>
      <c r="D50" t="str">
        <f>VLOOKUP(B50,'Chart of Accounts'!B:F,4,0)</f>
        <v>Expense</v>
      </c>
      <c r="E50" t="s">
        <v>5</v>
      </c>
      <c r="F50" t="str">
        <f>VLOOKUP(B50,'Chart of Accounts'!B:F,5,0)</f>
        <v>Administrative expenses</v>
      </c>
    </row>
    <row r="51" spans="2:6">
      <c r="B51" s="13" t="s">
        <v>772</v>
      </c>
      <c r="C51" s="2">
        <f>SUMIF(GL_Transactions!E:E,'Trial Balance'!B51,GL_Transactions!F:F)</f>
        <v>0</v>
      </c>
      <c r="D51" t="str">
        <f>VLOOKUP(B51,'Chart of Accounts'!B:F,4,0)</f>
        <v>Expense</v>
      </c>
      <c r="E51" t="s">
        <v>5</v>
      </c>
      <c r="F51" t="str">
        <f>VLOOKUP(B51,'Chart of Accounts'!B:F,5,0)</f>
        <v>Administrative expenses</v>
      </c>
    </row>
    <row r="52" spans="2:6">
      <c r="B52" s="13" t="s">
        <v>769</v>
      </c>
      <c r="C52" s="2">
        <f>SUMIF(GL_Transactions!E:E,'Trial Balance'!B52,GL_Transactions!F:F)</f>
        <v>0</v>
      </c>
      <c r="D52" t="str">
        <f>VLOOKUP(B52,'Chart of Accounts'!B:F,4,0)</f>
        <v>Expense</v>
      </c>
      <c r="E52" t="s">
        <v>5</v>
      </c>
      <c r="F52" t="str">
        <f>VLOOKUP(B52,'Chart of Accounts'!B:F,5,0)</f>
        <v>Administrative expenses</v>
      </c>
    </row>
    <row r="53" spans="2:6">
      <c r="B53" s="13" t="s">
        <v>911</v>
      </c>
      <c r="C53" s="2">
        <f>SUMIF(GL_Transactions!E:E,'Trial Balance'!B53,GL_Transactions!F:F)</f>
        <v>6332000</v>
      </c>
      <c r="D53" t="str">
        <f>VLOOKUP(B53,'Chart of Accounts'!B:F,4,0)</f>
        <v>Fixed Asset</v>
      </c>
      <c r="E53" t="s">
        <v>1013</v>
      </c>
      <c r="F53" t="str">
        <f>VLOOKUP(B53,'Chart of Accounts'!B:F,5,0)</f>
        <v>Non-current asset</v>
      </c>
    </row>
    <row r="54" spans="2:6">
      <c r="B54" s="13" t="s">
        <v>994</v>
      </c>
      <c r="C54" s="2">
        <f>SUMIF(GL_Transactions!E:E,'Trial Balance'!B54,GL_Transactions!F:F)</f>
        <v>0</v>
      </c>
      <c r="D54" t="str">
        <f>VLOOKUP(B54,'Chart of Accounts'!B:F,4,0)</f>
        <v>Fixed Asset</v>
      </c>
      <c r="E54" t="s">
        <v>1013</v>
      </c>
      <c r="F54" t="str">
        <f>VLOOKUP(B54,'Chart of Accounts'!B:F,5,0)</f>
        <v>Non-current asset</v>
      </c>
    </row>
    <row r="55" spans="2:6">
      <c r="B55" s="13" t="s">
        <v>766</v>
      </c>
      <c r="C55" s="2">
        <f>SUMIF(GL_Transactions!E:E,'Trial Balance'!B55,GL_Transactions!F:F)</f>
        <v>0</v>
      </c>
      <c r="D55" t="str">
        <f>VLOOKUP(B55,'Chart of Accounts'!B:F,4,0)</f>
        <v>Bank</v>
      </c>
      <c r="E55" t="s">
        <v>709</v>
      </c>
      <c r="F55" t="str">
        <f>VLOOKUP(B55,'Chart of Accounts'!B:F,5,0)</f>
        <v>Current Asset</v>
      </c>
    </row>
    <row r="56" spans="2:6">
      <c r="B56" s="13" t="s">
        <v>949</v>
      </c>
      <c r="C56" s="112">
        <f>SUMIF(GL_Transactions!E:E,'Trial Balance'!B56,GL_Transactions!F:F)</f>
        <v>3023302.4399998933</v>
      </c>
      <c r="D56" t="str">
        <f>VLOOKUP(B56,'Chart of Accounts'!B:F,4,0)</f>
        <v>Bank</v>
      </c>
      <c r="E56" t="s">
        <v>709</v>
      </c>
      <c r="F56" t="str">
        <f>VLOOKUP(B56,'Chart of Accounts'!B:F,5,0)</f>
        <v>Current Asset</v>
      </c>
    </row>
    <row r="57" spans="2:6">
      <c r="B57" s="13" t="s">
        <v>950</v>
      </c>
      <c r="C57" s="112">
        <f>SUMIF(GL_Transactions!E:E,'Trial Balance'!B57,GL_Transactions!F:F)</f>
        <v>214493076.39999989</v>
      </c>
      <c r="D57" t="str">
        <f>VLOOKUP(B57,'Chart of Accounts'!B:F,4,0)</f>
        <v>Bank</v>
      </c>
      <c r="E57" t="s">
        <v>709</v>
      </c>
      <c r="F57" t="str">
        <f>VLOOKUP(B57,'Chart of Accounts'!B:F,5,0)</f>
        <v>Current Asset</v>
      </c>
    </row>
    <row r="58" spans="2:6">
      <c r="B58" s="13" t="s">
        <v>951</v>
      </c>
      <c r="C58" s="112">
        <f>SUMIF(GL_Transactions!E:E,'Trial Balance'!B58,GL_Transactions!F:F)</f>
        <v>2.5</v>
      </c>
      <c r="D58" t="str">
        <f>VLOOKUP(B58,'Chart of Accounts'!B:F,4,0)</f>
        <v>Bank</v>
      </c>
      <c r="E58" t="s">
        <v>709</v>
      </c>
      <c r="F58" t="str">
        <f>VLOOKUP(B58,'Chart of Accounts'!B:F,5,0)</f>
        <v>Current Asset</v>
      </c>
    </row>
    <row r="59" spans="2:6">
      <c r="B59" s="13" t="s">
        <v>921</v>
      </c>
      <c r="C59" s="2">
        <f>SUMIF(GL_Transactions!E:E,'Trial Balance'!B59,GL_Transactions!F:F)</f>
        <v>0</v>
      </c>
      <c r="D59" t="str">
        <f>VLOOKUP(B59,'Chart of Accounts'!B:F,4,0)</f>
        <v>Cash</v>
      </c>
      <c r="E59" t="s">
        <v>916</v>
      </c>
      <c r="F59" t="str">
        <f>VLOOKUP(B59,'Chart of Accounts'!B:F,5,0)</f>
        <v>Current Asset</v>
      </c>
    </row>
    <row r="60" spans="2:6">
      <c r="B60" s="13" t="s">
        <v>918</v>
      </c>
      <c r="C60" s="2">
        <f>SUMIF(GL_Transactions!E:E,'Trial Balance'!B60,GL_Transactions!F:F)</f>
        <v>0</v>
      </c>
      <c r="D60" t="str">
        <f>VLOOKUP(B60,'Chart of Accounts'!B:F,4,0)</f>
        <v>Cash</v>
      </c>
      <c r="E60" t="s">
        <v>916</v>
      </c>
      <c r="F60" t="str">
        <f>VLOOKUP(B60,'Chart of Accounts'!B:F,5,0)</f>
        <v>Current Asset</v>
      </c>
    </row>
    <row r="61" spans="2:6">
      <c r="B61" s="13" t="s">
        <v>913</v>
      </c>
      <c r="C61" s="2">
        <f>SUMIF(GL_Transactions!E:E,'Trial Balance'!B61,GL_Transactions!F:F)</f>
        <v>0</v>
      </c>
      <c r="D61" t="str">
        <f>VLOOKUP(B61,'Chart of Accounts'!B:F,4,0)</f>
        <v>Accounts Receivable</v>
      </c>
      <c r="E61" s="28" t="s">
        <v>1082</v>
      </c>
      <c r="F61" t="str">
        <f>VLOOKUP(B61,'Chart of Accounts'!B:F,5,0)</f>
        <v>Current Asset</v>
      </c>
    </row>
    <row r="62" spans="2:6">
      <c r="B62" s="13" t="s">
        <v>791</v>
      </c>
      <c r="C62" s="2">
        <f>SUMIF(GL_Transactions!E:E,'Trial Balance'!B62,GL_Transactions!F:F)</f>
        <v>0</v>
      </c>
      <c r="D62" t="str">
        <f>VLOOKUP(B62,'Chart of Accounts'!B:F,4,0)</f>
        <v>Stock</v>
      </c>
      <c r="E62" s="28" t="s">
        <v>1017</v>
      </c>
      <c r="F62" t="str">
        <f>VLOOKUP(B62,'Chart of Accounts'!B:F,5,0)</f>
        <v>Current Asset</v>
      </c>
    </row>
    <row r="63" spans="2:6">
      <c r="B63" s="13" t="s">
        <v>907</v>
      </c>
      <c r="C63" s="2">
        <f>SUMIF(GL_Transactions!E:E,'Trial Balance'!B63,GL_Transactions!F:F)</f>
        <v>0</v>
      </c>
      <c r="D63" t="str">
        <f>VLOOKUP(B63,'Chart of Accounts'!B:F,4,0)</f>
        <v>Other Current Asset</v>
      </c>
      <c r="E63" s="28" t="s">
        <v>1083</v>
      </c>
      <c r="F63" t="str">
        <f>VLOOKUP(B63,'Chart of Accounts'!B:F,5,0)</f>
        <v>Current Asset</v>
      </c>
    </row>
    <row r="64" spans="2:6">
      <c r="B64" s="13" t="s">
        <v>825</v>
      </c>
      <c r="C64" s="2">
        <f>SUMIF(GL_Transactions!E:E,'Trial Balance'!B64,GL_Transactions!F:F)</f>
        <v>0</v>
      </c>
      <c r="D64" t="str">
        <f>VLOOKUP(B64,'Chart of Accounts'!B:F,4,0)</f>
        <v>Other Current Asset</v>
      </c>
      <c r="E64" s="28" t="s">
        <v>1083</v>
      </c>
      <c r="F64" t="str">
        <f>VLOOKUP(B64,'Chart of Accounts'!B:F,5,0)</f>
        <v>Current Asset</v>
      </c>
    </row>
    <row r="65" spans="2:6">
      <c r="B65" s="13" t="s">
        <v>776</v>
      </c>
      <c r="C65" s="2">
        <f>SUMIF(GL_Transactions!E:E,'Trial Balance'!B65,GL_Transactions!F:F)</f>
        <v>0</v>
      </c>
      <c r="D65" t="str">
        <f>VLOOKUP(B65,'Chart of Accounts'!B:F,4,0)</f>
        <v>Other Current Asset</v>
      </c>
      <c r="E65" s="28" t="s">
        <v>1081</v>
      </c>
      <c r="F65" t="str">
        <f>VLOOKUP(B65,'Chart of Accounts'!B:F,5,0)</f>
        <v>Current Asset</v>
      </c>
    </row>
    <row r="66" spans="2:6">
      <c r="B66" s="13" t="s">
        <v>903</v>
      </c>
      <c r="C66" s="2">
        <f>SUMIF(GL_Transactions!E:E,'Trial Balance'!B66,GL_Transactions!F:F)</f>
        <v>0</v>
      </c>
      <c r="D66" t="str">
        <f>VLOOKUP(B66,'Chart of Accounts'!B:F,4,0)</f>
        <v>Accounts Payable</v>
      </c>
      <c r="E66" t="s">
        <v>903</v>
      </c>
      <c r="F66" t="str">
        <f>VLOOKUP(B66,'Chart of Accounts'!B:F,5,0)</f>
        <v>Current Liabilities</v>
      </c>
    </row>
    <row r="67" spans="2:6">
      <c r="B67" s="13" t="s">
        <v>986</v>
      </c>
      <c r="C67" s="2">
        <f>SUMIF(GL_Transactions!E:E,'Trial Balance'!B67,GL_Transactions!F:F)</f>
        <v>780000</v>
      </c>
      <c r="D67" t="str">
        <f>VLOOKUP(B67,'Chart of Accounts'!B:F,4,0)</f>
        <v>Accounts Payable</v>
      </c>
      <c r="E67" t="s">
        <v>903</v>
      </c>
      <c r="F67" t="str">
        <f>VLOOKUP(B67,'Chart of Accounts'!B:F,5,0)</f>
        <v>Current Liabilities</v>
      </c>
    </row>
    <row r="68" spans="2:6">
      <c r="B68" s="13" t="s">
        <v>901</v>
      </c>
      <c r="C68" s="2">
        <f>SUMIF(GL_Transactions!E:E,'Trial Balance'!B68,GL_Transactions!F:F)</f>
        <v>0</v>
      </c>
      <c r="D68" t="str">
        <f>VLOOKUP(B68,'Chart of Accounts'!B:F,4,0)</f>
        <v>Other Current Liability</v>
      </c>
      <c r="E68" s="28" t="s">
        <v>901</v>
      </c>
      <c r="F68" t="str">
        <f>VLOOKUP(B68,'Chart of Accounts'!B:F,5,0)</f>
        <v>Current Liabilities</v>
      </c>
    </row>
    <row r="69" spans="2:6">
      <c r="B69" s="13" t="s">
        <v>883</v>
      </c>
      <c r="C69" s="2">
        <f>SUMIF(GL_Transactions!E:E,'Trial Balance'!B69,GL_Transactions!F:F)</f>
        <v>0</v>
      </c>
      <c r="D69" t="str">
        <f>VLOOKUP(B69,'Chart of Accounts'!B:F,4,0)</f>
        <v>Other Current Liability</v>
      </c>
      <c r="E69" s="28" t="s">
        <v>883</v>
      </c>
      <c r="F69" t="str">
        <f>VLOOKUP(B69,'Chart of Accounts'!B:F,5,0)</f>
        <v>Current Liabilities</v>
      </c>
    </row>
    <row r="70" spans="2:6">
      <c r="B70" s="13" t="s">
        <v>797</v>
      </c>
      <c r="C70" s="2">
        <f>SUMIF(GL_Transactions!E:E,'Trial Balance'!B70,GL_Transactions!F:F)</f>
        <v>0</v>
      </c>
      <c r="D70" t="str">
        <f>VLOOKUP(B70,'Chart of Accounts'!B:F,4,0)</f>
        <v>Other Liability</v>
      </c>
      <c r="E70" s="28" t="s">
        <v>1070</v>
      </c>
      <c r="F70" t="str">
        <f>VLOOKUP(B70,'Chart of Accounts'!B:F,5,0)</f>
        <v>Current Liabilities</v>
      </c>
    </row>
    <row r="71" spans="2:6">
      <c r="B71" s="13" t="s">
        <v>828</v>
      </c>
      <c r="C71" s="2">
        <f>SUMIF(GL_Transactions!E:E,'Trial Balance'!B71,GL_Transactions!F:F)</f>
        <v>0</v>
      </c>
      <c r="D71" t="str">
        <f>VLOOKUP(B71,'Chart of Accounts'!B:F,4,0)</f>
        <v>Other Current Liability</v>
      </c>
      <c r="E71" s="28" t="s">
        <v>1070</v>
      </c>
      <c r="F71" t="str">
        <f>VLOOKUP(B71,'Chart of Accounts'!B:F,5,0)</f>
        <v>Current Liabilities</v>
      </c>
    </row>
    <row r="72" spans="2:6">
      <c r="B72" s="13" t="s">
        <v>819</v>
      </c>
      <c r="C72" s="2">
        <f>SUMIF(GL_Transactions!E:E,'Trial Balance'!B72,GL_Transactions!F:F)</f>
        <v>0</v>
      </c>
      <c r="D72" t="str">
        <f>VLOOKUP(B72,'Chart of Accounts'!B:F,4,0)</f>
        <v>Other Current Liability</v>
      </c>
      <c r="E72" s="28" t="s">
        <v>1070</v>
      </c>
      <c r="F72" t="str">
        <f>VLOOKUP(B72,'Chart of Accounts'!B:F,5,0)</f>
        <v>Current Liabilities</v>
      </c>
    </row>
    <row r="73" spans="2:6">
      <c r="B73" s="13" t="s">
        <v>995</v>
      </c>
      <c r="C73" s="2">
        <f>SUMIF(GL_Transactions!E:E,'Trial Balance'!B73,GL_Transactions!F:F)</f>
        <v>0</v>
      </c>
      <c r="D73" t="str">
        <f>VLOOKUP(B73,'Chart of Accounts'!B:F,4,0)</f>
        <v xml:space="preserve">Surplus/Deficit </v>
      </c>
      <c r="E73" t="s">
        <v>995</v>
      </c>
      <c r="F73" t="str">
        <f>VLOOKUP(B73,'Chart of Accounts'!B:F,5,0)</f>
        <v>Accumulated funds</v>
      </c>
    </row>
    <row r="74" spans="2:6">
      <c r="B74" s="13" t="s">
        <v>943</v>
      </c>
      <c r="C74" s="2">
        <f>SUMIF(GL_Transactions!E:E,'Trial Balance'!B74,GL_Transactions!F:F)</f>
        <v>0</v>
      </c>
      <c r="D74" t="str">
        <f>VLOOKUP(B74,'Chart of Accounts'!B:F,4,0)</f>
        <v>Accumulated funds</v>
      </c>
      <c r="E74" t="s">
        <v>943</v>
      </c>
      <c r="F74" t="str">
        <f>VLOOKUP(B74,'Chart of Accounts'!B:F,5,0)</f>
        <v>Accumulated funds</v>
      </c>
    </row>
    <row r="75" spans="2:6">
      <c r="B75" s="13" t="s">
        <v>997</v>
      </c>
      <c r="C75" s="2">
        <f>SUMIF(GL_Transactions!E:E,'Trial Balance'!B75,GL_Transactions!F:F)</f>
        <v>0</v>
      </c>
      <c r="D75" t="str">
        <f>VLOOKUP(B75,'Chart of Accounts'!B:F,4,0)</f>
        <v>Reserves</v>
      </c>
      <c r="E75" t="s">
        <v>997</v>
      </c>
      <c r="F75" t="str">
        <f>VLOOKUP(B75,'Chart of Accounts'!B:F,5,0)</f>
        <v>Accumulated funds</v>
      </c>
    </row>
    <row r="76" spans="2:6">
      <c r="B76" s="13" t="s">
        <v>898</v>
      </c>
      <c r="C76" s="2">
        <f>SUMIF(GL_Transactions!E:E,'Trial Balance'!B76,GL_Transactions!F:F)</f>
        <v>0</v>
      </c>
      <c r="D76" t="str">
        <f>VLOOKUP(B76,'Chart of Accounts'!B:F,4,0)</f>
        <v>Equity</v>
      </c>
      <c r="E76" s="28" t="s">
        <v>1071</v>
      </c>
      <c r="F76" t="str">
        <f>VLOOKUP(B76,'Chart of Accounts'!B:F,5,0)</f>
        <v>Accumulated funds</v>
      </c>
    </row>
    <row r="77" spans="2:6">
      <c r="B77" s="13" t="s">
        <v>895</v>
      </c>
      <c r="C77" s="2">
        <f>SUMIF(GL_Transactions!E:E,'Trial Balance'!B77,GL_Transactions!F:F)</f>
        <v>0</v>
      </c>
      <c r="D77" t="str">
        <f>VLOOKUP(B77,'Chart of Accounts'!B:F,4,0)</f>
        <v>Equity</v>
      </c>
      <c r="E77" s="28" t="s">
        <v>1071</v>
      </c>
      <c r="F77" t="str">
        <f>VLOOKUP(B77,'Chart of Accounts'!B:F,5,0)</f>
        <v>Accumulated funds</v>
      </c>
    </row>
    <row r="78" spans="2:6">
      <c r="B78" s="13" t="s">
        <v>892</v>
      </c>
      <c r="C78" s="2">
        <f>SUMIF(GL_Transactions!E:E,'Trial Balance'!B78,GL_Transactions!F:F)</f>
        <v>0</v>
      </c>
      <c r="D78" t="str">
        <f>VLOOKUP(B78,'Chart of Accounts'!B:F,4,0)</f>
        <v>Equity</v>
      </c>
      <c r="E78" s="28" t="s">
        <v>1071</v>
      </c>
      <c r="F78" t="str">
        <f>VLOOKUP(B78,'Chart of Accounts'!B:F,5,0)</f>
        <v>Accumulated funds</v>
      </c>
    </row>
    <row r="79" spans="2:6">
      <c r="B79" s="13" t="s">
        <v>783</v>
      </c>
      <c r="C79" s="2">
        <f>SUMIF(GL_Transactions!E:E,'Trial Balance'!B79,GL_Transactions!F:F)</f>
        <v>0</v>
      </c>
      <c r="D79" t="str">
        <f>VLOOKUP(B79,'Chart of Accounts'!B:F,4,0)</f>
        <v>Equity</v>
      </c>
      <c r="E79" s="28" t="s">
        <v>1071</v>
      </c>
      <c r="F79" t="str">
        <f>VLOOKUP(B79,'Chart of Accounts'!B:F,5,0)</f>
        <v>Accumulated funds</v>
      </c>
    </row>
    <row r="80" spans="2:6">
      <c r="B80" s="13" t="s">
        <v>991</v>
      </c>
      <c r="C80" s="112">
        <f>SUMIF(GL_Transactions!E:E,'Trial Balance'!B80,GL_Transactions!F:F)</f>
        <v>-450000</v>
      </c>
      <c r="D80" t="str">
        <f>VLOOKUP(B80,'Chart of Accounts'!B:F,4,0)</f>
        <v>Expense</v>
      </c>
      <c r="E80" t="s">
        <v>5</v>
      </c>
      <c r="F80" t="str">
        <f>VLOOKUP(B80,'Chart of Accounts'!B:F,5,0)</f>
        <v>Administrative expenses</v>
      </c>
    </row>
    <row r="82" spans="2:3">
      <c r="B82" s="23" t="s">
        <v>989</v>
      </c>
      <c r="C82" s="24">
        <f>SUM(C3:C81)</f>
        <v>-1920000.0000002682</v>
      </c>
    </row>
  </sheetData>
  <autoFilter ref="A2:F80"/>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sheetPr>
  <dimension ref="A1:I2103"/>
  <sheetViews>
    <sheetView workbookViewId="0">
      <pane ySplit="1" topLeftCell="A1827" activePane="bottomLeft" state="frozen"/>
      <selection pane="bottomLeft" activeCell="D1827" sqref="D1827"/>
    </sheetView>
  </sheetViews>
  <sheetFormatPr defaultRowHeight="13"/>
  <cols>
    <col min="1" max="1" width="12.796875" style="1" bestFit="1" customWidth="1"/>
    <col min="2" max="2" width="11.796875" customWidth="1"/>
    <col min="3" max="3" width="81.796875" customWidth="1"/>
    <col min="4" max="4" width="25.5" bestFit="1" customWidth="1"/>
    <col min="5" max="5" width="31.69921875" customWidth="1"/>
    <col min="6" max="6" width="15.69921875" style="2" bestFit="1" customWidth="1"/>
    <col min="7" max="7" width="11.296875" customWidth="1"/>
    <col min="8" max="8" width="52.19921875" customWidth="1"/>
    <col min="9" max="9" width="37.296875" customWidth="1"/>
  </cols>
  <sheetData>
    <row r="1" spans="1:9" s="21" customFormat="1">
      <c r="A1" s="19" t="s">
        <v>37</v>
      </c>
      <c r="B1" s="21" t="s">
        <v>1100</v>
      </c>
      <c r="C1" s="21" t="s">
        <v>39</v>
      </c>
      <c r="D1" s="21" t="s">
        <v>0</v>
      </c>
      <c r="E1" s="104" t="s">
        <v>947</v>
      </c>
      <c r="F1" s="22" t="s">
        <v>1</v>
      </c>
      <c r="G1" s="21" t="s">
        <v>709</v>
      </c>
      <c r="H1" s="20" t="s">
        <v>749</v>
      </c>
      <c r="I1" s="21" t="s">
        <v>1705</v>
      </c>
    </row>
    <row r="2" spans="1:9">
      <c r="A2" s="1">
        <v>45798</v>
      </c>
      <c r="B2" s="78">
        <v>45808</v>
      </c>
      <c r="C2" t="s">
        <v>41</v>
      </c>
      <c r="D2" t="s">
        <v>2</v>
      </c>
      <c r="E2" t="s">
        <v>2</v>
      </c>
      <c r="F2" s="2">
        <v>-444000</v>
      </c>
      <c r="G2" t="s">
        <v>710</v>
      </c>
      <c r="H2" t="s">
        <v>1320</v>
      </c>
      <c r="I2" t="str">
        <f>VLOOKUP(E2,'Trial Balance'!B:B,1,0)</f>
        <v>Facility rentals</v>
      </c>
    </row>
    <row r="3" spans="1:9">
      <c r="A3" s="1">
        <v>45798</v>
      </c>
      <c r="B3" s="78">
        <v>45808</v>
      </c>
      <c r="C3" t="s">
        <v>42</v>
      </c>
      <c r="D3" t="s">
        <v>3</v>
      </c>
      <c r="E3" t="s">
        <v>865</v>
      </c>
      <c r="F3" s="2">
        <v>50</v>
      </c>
      <c r="G3" t="s">
        <v>710</v>
      </c>
      <c r="I3" t="str">
        <f>VLOOKUP(E3,'Trial Balance'!B:B,1,0)</f>
        <v>Bank Fees and Charges</v>
      </c>
    </row>
    <row r="4" spans="1:9">
      <c r="A4" s="1">
        <v>45807</v>
      </c>
      <c r="B4" s="78">
        <v>45808</v>
      </c>
      <c r="C4" t="s">
        <v>44</v>
      </c>
      <c r="D4" t="s">
        <v>4</v>
      </c>
      <c r="E4" t="s">
        <v>874</v>
      </c>
      <c r="F4" s="2">
        <v>40000</v>
      </c>
      <c r="G4" t="s">
        <v>710</v>
      </c>
      <c r="I4" t="str">
        <f>VLOOKUP(E4,'Trial Balance'!B:B,1,0)</f>
        <v>Office Supplies</v>
      </c>
    </row>
    <row r="5" spans="1:9">
      <c r="A5" s="1">
        <v>45807</v>
      </c>
      <c r="B5" s="78">
        <v>45808</v>
      </c>
      <c r="C5" t="s">
        <v>44</v>
      </c>
      <c r="D5" t="s">
        <v>3</v>
      </c>
      <c r="E5" t="s">
        <v>865</v>
      </c>
      <c r="F5" s="2">
        <v>25</v>
      </c>
      <c r="G5" t="s">
        <v>710</v>
      </c>
      <c r="I5" t="str">
        <f>VLOOKUP(E5,'Trial Balance'!B:B,1,0)</f>
        <v>Bank Fees and Charges</v>
      </c>
    </row>
    <row r="6" spans="1:9">
      <c r="A6" s="1">
        <v>45807</v>
      </c>
      <c r="B6" s="78">
        <v>45808</v>
      </c>
      <c r="C6" t="s">
        <v>44</v>
      </c>
      <c r="D6" t="s">
        <v>3</v>
      </c>
      <c r="E6" t="s">
        <v>865</v>
      </c>
      <c r="F6" s="2">
        <v>1.8800000000046566</v>
      </c>
      <c r="G6" t="s">
        <v>710</v>
      </c>
      <c r="I6" t="str">
        <f>VLOOKUP(E6,'Trial Balance'!B:B,1,0)</f>
        <v>Bank Fees and Charges</v>
      </c>
    </row>
    <row r="7" spans="1:9">
      <c r="A7" s="1">
        <v>45807</v>
      </c>
      <c r="B7" s="78">
        <v>45808</v>
      </c>
      <c r="C7" t="s">
        <v>45</v>
      </c>
      <c r="D7" t="s">
        <v>3</v>
      </c>
      <c r="E7" t="s">
        <v>865</v>
      </c>
      <c r="F7" s="2">
        <v>10750</v>
      </c>
      <c r="G7" t="s">
        <v>710</v>
      </c>
      <c r="I7" t="str">
        <f>VLOOKUP(E7,'Trial Balance'!B:B,1,0)</f>
        <v>Bank Fees and Charges</v>
      </c>
    </row>
    <row r="8" spans="1:9">
      <c r="A8" s="1">
        <v>45807</v>
      </c>
      <c r="B8" s="78">
        <v>45808</v>
      </c>
      <c r="C8" t="s">
        <v>46</v>
      </c>
      <c r="D8" t="s">
        <v>6</v>
      </c>
      <c r="E8" t="s">
        <v>840</v>
      </c>
      <c r="F8" s="2">
        <v>12000</v>
      </c>
      <c r="G8" t="s">
        <v>710</v>
      </c>
      <c r="I8" t="str">
        <f>VLOOKUP(E8,'Trial Balance'!B:B,1,0)</f>
        <v>Janitorial Expense</v>
      </c>
    </row>
    <row r="9" spans="1:9">
      <c r="A9" s="1">
        <v>45807</v>
      </c>
      <c r="B9" s="78">
        <v>45808</v>
      </c>
      <c r="C9" t="s">
        <v>46</v>
      </c>
      <c r="D9" t="s">
        <v>3</v>
      </c>
      <c r="E9" t="s">
        <v>865</v>
      </c>
      <c r="F9" s="2">
        <v>25</v>
      </c>
      <c r="G9" t="s">
        <v>710</v>
      </c>
      <c r="I9" t="str">
        <f>VLOOKUP(E9,'Trial Balance'!B:B,1,0)</f>
        <v>Bank Fees and Charges</v>
      </c>
    </row>
    <row r="10" spans="1:9">
      <c r="A10" s="1">
        <v>45807</v>
      </c>
      <c r="B10" s="78">
        <v>45808</v>
      </c>
      <c r="C10" t="s">
        <v>46</v>
      </c>
      <c r="D10" t="s">
        <v>3</v>
      </c>
      <c r="E10" t="s">
        <v>865</v>
      </c>
      <c r="F10" s="2">
        <v>1.8800000000046566</v>
      </c>
      <c r="G10" t="s">
        <v>710</v>
      </c>
      <c r="I10" t="str">
        <f>VLOOKUP(E10,'Trial Balance'!B:B,1,0)</f>
        <v>Bank Fees and Charges</v>
      </c>
    </row>
    <row r="11" spans="1:9">
      <c r="A11" s="1">
        <v>45807</v>
      </c>
      <c r="B11" s="78">
        <v>45808</v>
      </c>
      <c r="C11" t="s">
        <v>47</v>
      </c>
      <c r="D11" t="s">
        <v>5</v>
      </c>
      <c r="E11" t="s">
        <v>5</v>
      </c>
      <c r="F11" s="2">
        <v>15300</v>
      </c>
      <c r="G11" t="s">
        <v>710</v>
      </c>
      <c r="I11" t="str">
        <f>VLOOKUP(E11,'Trial Balance'!B:B,1,0)</f>
        <v>Other Expenses</v>
      </c>
    </row>
    <row r="12" spans="1:9">
      <c r="A12" s="1">
        <v>45807</v>
      </c>
      <c r="B12" s="78">
        <v>45808</v>
      </c>
      <c r="C12" t="s">
        <v>48</v>
      </c>
      <c r="D12" t="s">
        <v>3</v>
      </c>
      <c r="E12" t="s">
        <v>865</v>
      </c>
      <c r="F12" s="2">
        <v>25</v>
      </c>
      <c r="G12" t="s">
        <v>710</v>
      </c>
      <c r="I12" t="str">
        <f>VLOOKUP(E12,'Trial Balance'!B:B,1,0)</f>
        <v>Bank Fees and Charges</v>
      </c>
    </row>
    <row r="13" spans="1:9">
      <c r="A13" s="1">
        <v>45807</v>
      </c>
      <c r="B13" s="78">
        <v>45808</v>
      </c>
      <c r="C13" t="s">
        <v>48</v>
      </c>
      <c r="D13" t="s">
        <v>3</v>
      </c>
      <c r="E13" t="s">
        <v>865</v>
      </c>
      <c r="F13" s="2">
        <v>1.8800000000046566</v>
      </c>
      <c r="G13" t="s">
        <v>710</v>
      </c>
      <c r="I13" t="str">
        <f>VLOOKUP(E13,'Trial Balance'!B:B,1,0)</f>
        <v>Bank Fees and Charges</v>
      </c>
    </row>
    <row r="14" spans="1:9">
      <c r="A14" s="1">
        <v>45807</v>
      </c>
      <c r="B14" s="78">
        <v>45808</v>
      </c>
      <c r="C14" t="s">
        <v>49</v>
      </c>
      <c r="D14" t="s">
        <v>3</v>
      </c>
      <c r="E14" t="s">
        <v>865</v>
      </c>
      <c r="F14" s="2">
        <v>67.299999999988358</v>
      </c>
      <c r="G14" t="s">
        <v>710</v>
      </c>
      <c r="I14" t="str">
        <f>VLOOKUP(E14,'Trial Balance'!B:B,1,0)</f>
        <v>Bank Fees and Charges</v>
      </c>
    </row>
    <row r="15" spans="1:9">
      <c r="A15" s="1">
        <v>45807</v>
      </c>
      <c r="B15" s="78">
        <v>45808</v>
      </c>
      <c r="C15" t="s">
        <v>50</v>
      </c>
      <c r="D15" t="s">
        <v>3</v>
      </c>
      <c r="E15" t="s">
        <v>865</v>
      </c>
      <c r="F15" s="2">
        <v>5.0499999999883585</v>
      </c>
      <c r="G15" t="s">
        <v>710</v>
      </c>
      <c r="I15" t="str">
        <f>VLOOKUP(E15,'Trial Balance'!B:B,1,0)</f>
        <v>Bank Fees and Charges</v>
      </c>
    </row>
    <row r="16" spans="1:9" s="5" customFormat="1">
      <c r="A16" s="4">
        <v>45808</v>
      </c>
      <c r="B16" s="78">
        <v>45808</v>
      </c>
      <c r="C16" s="5" t="s">
        <v>713</v>
      </c>
      <c r="D16" s="5" t="s">
        <v>714</v>
      </c>
      <c r="E16" s="5" t="s">
        <v>950</v>
      </c>
      <c r="F16" s="6">
        <v>365747.01</v>
      </c>
      <c r="G16" s="5" t="s">
        <v>710</v>
      </c>
      <c r="I16" t="str">
        <f>VLOOKUP(E16,'Trial Balance'!B:B,1,0)</f>
        <v>Premium Trust bank</v>
      </c>
    </row>
    <row r="17" spans="1:9">
      <c r="A17" s="1">
        <v>45810</v>
      </c>
      <c r="B17" s="78">
        <v>45838</v>
      </c>
      <c r="C17" t="s">
        <v>51</v>
      </c>
      <c r="D17" t="s">
        <v>4</v>
      </c>
      <c r="E17" t="s">
        <v>874</v>
      </c>
      <c r="F17" s="2">
        <v>200000</v>
      </c>
      <c r="G17" t="s">
        <v>710</v>
      </c>
      <c r="I17" t="str">
        <f>VLOOKUP(E17,'Trial Balance'!B:B,1,0)</f>
        <v>Office Supplies</v>
      </c>
    </row>
    <row r="18" spans="1:9">
      <c r="A18" s="1">
        <v>45810</v>
      </c>
      <c r="B18" s="78">
        <v>45838</v>
      </c>
      <c r="C18" t="s">
        <v>51</v>
      </c>
      <c r="D18" t="s">
        <v>3</v>
      </c>
      <c r="E18" t="s">
        <v>865</v>
      </c>
      <c r="F18" s="2">
        <v>50</v>
      </c>
      <c r="G18" t="s">
        <v>710</v>
      </c>
      <c r="I18" t="str">
        <f>VLOOKUP(E18,'Trial Balance'!B:B,1,0)</f>
        <v>Bank Fees and Charges</v>
      </c>
    </row>
    <row r="19" spans="1:9">
      <c r="A19" s="1">
        <v>45810</v>
      </c>
      <c r="B19" s="78">
        <v>45838</v>
      </c>
      <c r="C19" t="s">
        <v>51</v>
      </c>
      <c r="D19" t="s">
        <v>3</v>
      </c>
      <c r="E19" t="s">
        <v>865</v>
      </c>
      <c r="F19" s="2">
        <v>3.75</v>
      </c>
      <c r="G19" t="s">
        <v>710</v>
      </c>
      <c r="I19" t="str">
        <f>VLOOKUP(E19,'Trial Balance'!B:B,1,0)</f>
        <v>Bank Fees and Charges</v>
      </c>
    </row>
    <row r="20" spans="1:9">
      <c r="A20" s="1">
        <v>45810</v>
      </c>
      <c r="B20" s="78">
        <v>45838</v>
      </c>
      <c r="C20" t="s">
        <v>53</v>
      </c>
      <c r="D20" t="s">
        <v>7</v>
      </c>
      <c r="E20" s="28" t="s">
        <v>1352</v>
      </c>
      <c r="F20" s="2">
        <v>-44499369.340000004</v>
      </c>
      <c r="G20" t="s">
        <v>710</v>
      </c>
      <c r="H20" s="28" t="s">
        <v>1326</v>
      </c>
      <c r="I20" t="str">
        <f>VLOOKUP(E20,'Trial Balance'!B:B,1,0)</f>
        <v>Donations</v>
      </c>
    </row>
    <row r="21" spans="1:9">
      <c r="A21" s="1">
        <v>45810</v>
      </c>
      <c r="B21" s="78">
        <v>45838</v>
      </c>
      <c r="C21" t="s">
        <v>54</v>
      </c>
      <c r="D21" t="s">
        <v>8</v>
      </c>
      <c r="E21" t="s">
        <v>815</v>
      </c>
      <c r="F21" s="2">
        <v>249491.56000000238</v>
      </c>
      <c r="G21" t="s">
        <v>710</v>
      </c>
      <c r="I21" t="str">
        <f>VLOOKUP(E21,'Trial Balance'!B:B,1,0)</f>
        <v>Salaries and Employee Wages</v>
      </c>
    </row>
    <row r="22" spans="1:9">
      <c r="A22" s="1">
        <v>45810</v>
      </c>
      <c r="B22" s="78">
        <v>45838</v>
      </c>
      <c r="C22" t="s">
        <v>54</v>
      </c>
      <c r="D22" t="s">
        <v>3</v>
      </c>
      <c r="E22" t="s">
        <v>865</v>
      </c>
      <c r="F22" s="2">
        <v>50</v>
      </c>
      <c r="G22" t="s">
        <v>710</v>
      </c>
      <c r="I22" t="str">
        <f>VLOOKUP(E22,'Trial Balance'!B:B,1,0)</f>
        <v>Bank Fees and Charges</v>
      </c>
    </row>
    <row r="23" spans="1:9">
      <c r="A23" s="1">
        <v>45810</v>
      </c>
      <c r="B23" s="78">
        <v>45838</v>
      </c>
      <c r="C23" t="s">
        <v>54</v>
      </c>
      <c r="D23" t="s">
        <v>3</v>
      </c>
      <c r="E23" t="s">
        <v>865</v>
      </c>
      <c r="F23" s="2">
        <v>3.75</v>
      </c>
      <c r="G23" t="s">
        <v>710</v>
      </c>
      <c r="I23" t="str">
        <f>VLOOKUP(E23,'Trial Balance'!B:B,1,0)</f>
        <v>Bank Fees and Charges</v>
      </c>
    </row>
    <row r="24" spans="1:9">
      <c r="A24" s="1">
        <v>45810</v>
      </c>
      <c r="B24" s="78">
        <v>45838</v>
      </c>
      <c r="C24" t="s">
        <v>55</v>
      </c>
      <c r="D24" t="s">
        <v>8</v>
      </c>
      <c r="E24" t="s">
        <v>815</v>
      </c>
      <c r="F24" s="2">
        <v>35000</v>
      </c>
      <c r="G24" t="s">
        <v>710</v>
      </c>
      <c r="I24" t="str">
        <f>VLOOKUP(E24,'Trial Balance'!B:B,1,0)</f>
        <v>Salaries and Employee Wages</v>
      </c>
    </row>
    <row r="25" spans="1:9">
      <c r="A25" s="1">
        <v>45810</v>
      </c>
      <c r="B25" s="78">
        <v>45838</v>
      </c>
      <c r="C25" t="s">
        <v>55</v>
      </c>
      <c r="D25" t="s">
        <v>3</v>
      </c>
      <c r="E25" t="s">
        <v>865</v>
      </c>
      <c r="F25" s="2">
        <v>25</v>
      </c>
      <c r="G25" t="s">
        <v>710</v>
      </c>
      <c r="I25" t="str">
        <f>VLOOKUP(E25,'Trial Balance'!B:B,1,0)</f>
        <v>Bank Fees and Charges</v>
      </c>
    </row>
    <row r="26" spans="1:9">
      <c r="A26" s="1">
        <v>45810</v>
      </c>
      <c r="B26" s="78">
        <v>45838</v>
      </c>
      <c r="C26" t="s">
        <v>55</v>
      </c>
      <c r="D26" t="s">
        <v>3</v>
      </c>
      <c r="E26" t="s">
        <v>865</v>
      </c>
      <c r="F26" s="2">
        <v>1.880000002682209</v>
      </c>
      <c r="G26" t="s">
        <v>710</v>
      </c>
      <c r="I26" t="str">
        <f>VLOOKUP(E26,'Trial Balance'!B:B,1,0)</f>
        <v>Bank Fees and Charges</v>
      </c>
    </row>
    <row r="27" spans="1:9">
      <c r="A27" s="1">
        <v>45810</v>
      </c>
      <c r="B27" s="78">
        <v>45838</v>
      </c>
      <c r="C27" t="s">
        <v>56</v>
      </c>
      <c r="D27" t="s">
        <v>8</v>
      </c>
      <c r="E27" t="s">
        <v>815</v>
      </c>
      <c r="F27" s="2">
        <v>284491.55999999493</v>
      </c>
      <c r="G27" t="s">
        <v>710</v>
      </c>
      <c r="I27" t="str">
        <f>VLOOKUP(E27,'Trial Balance'!B:B,1,0)</f>
        <v>Salaries and Employee Wages</v>
      </c>
    </row>
    <row r="28" spans="1:9">
      <c r="A28" s="1">
        <v>45810</v>
      </c>
      <c r="B28" s="78">
        <v>45838</v>
      </c>
      <c r="C28" t="s">
        <v>56</v>
      </c>
      <c r="D28" t="s">
        <v>3</v>
      </c>
      <c r="E28" t="s">
        <v>865</v>
      </c>
      <c r="F28" s="2">
        <v>50</v>
      </c>
      <c r="G28" t="s">
        <v>710</v>
      </c>
      <c r="I28" t="str">
        <f>VLOOKUP(E28,'Trial Balance'!B:B,1,0)</f>
        <v>Bank Fees and Charges</v>
      </c>
    </row>
    <row r="29" spans="1:9">
      <c r="A29" s="1">
        <v>45810</v>
      </c>
      <c r="B29" s="78">
        <v>45838</v>
      </c>
      <c r="C29" t="s">
        <v>56</v>
      </c>
      <c r="D29" t="s">
        <v>3</v>
      </c>
      <c r="E29" t="s">
        <v>865</v>
      </c>
      <c r="F29" s="2">
        <v>3.75</v>
      </c>
      <c r="G29" t="s">
        <v>710</v>
      </c>
      <c r="I29" t="str">
        <f>VLOOKUP(E29,'Trial Balance'!B:B,1,0)</f>
        <v>Bank Fees and Charges</v>
      </c>
    </row>
    <row r="30" spans="1:9">
      <c r="A30" s="1">
        <v>45810</v>
      </c>
      <c r="B30" s="78">
        <v>45838</v>
      </c>
      <c r="C30" t="s">
        <v>57</v>
      </c>
      <c r="D30" t="s">
        <v>8</v>
      </c>
      <c r="E30" t="s">
        <v>815</v>
      </c>
      <c r="F30" s="2">
        <v>3570659.4400000051</v>
      </c>
      <c r="G30" t="s">
        <v>710</v>
      </c>
      <c r="I30" t="str">
        <f>VLOOKUP(E30,'Trial Balance'!B:B,1,0)</f>
        <v>Salaries and Employee Wages</v>
      </c>
    </row>
    <row r="31" spans="1:9">
      <c r="A31" s="1">
        <v>45810</v>
      </c>
      <c r="B31" s="78">
        <v>45838</v>
      </c>
      <c r="C31" t="s">
        <v>57</v>
      </c>
      <c r="D31" t="s">
        <v>3</v>
      </c>
      <c r="E31" t="s">
        <v>865</v>
      </c>
      <c r="F31" s="2">
        <v>50</v>
      </c>
      <c r="G31" t="s">
        <v>710</v>
      </c>
      <c r="I31" t="str">
        <f>VLOOKUP(E31,'Trial Balance'!B:B,1,0)</f>
        <v>Bank Fees and Charges</v>
      </c>
    </row>
    <row r="32" spans="1:9">
      <c r="A32" s="1">
        <v>45810</v>
      </c>
      <c r="B32" s="78">
        <v>45838</v>
      </c>
      <c r="C32" t="s">
        <v>57</v>
      </c>
      <c r="D32" t="s">
        <v>3</v>
      </c>
      <c r="E32" t="s">
        <v>865</v>
      </c>
      <c r="F32" s="2">
        <v>3.75</v>
      </c>
      <c r="G32" t="s">
        <v>710</v>
      </c>
      <c r="I32" t="str">
        <f>VLOOKUP(E32,'Trial Balance'!B:B,1,0)</f>
        <v>Bank Fees and Charges</v>
      </c>
    </row>
    <row r="33" spans="1:9">
      <c r="A33" s="1">
        <v>45810</v>
      </c>
      <c r="B33" s="78">
        <v>45838</v>
      </c>
      <c r="C33" t="s">
        <v>58</v>
      </c>
      <c r="D33" t="s">
        <v>8</v>
      </c>
      <c r="E33" t="s">
        <v>815</v>
      </c>
      <c r="F33" s="2">
        <v>2070487.4699999988</v>
      </c>
      <c r="G33" t="s">
        <v>710</v>
      </c>
      <c r="I33" t="str">
        <f>VLOOKUP(E33,'Trial Balance'!B:B,1,0)</f>
        <v>Salaries and Employee Wages</v>
      </c>
    </row>
    <row r="34" spans="1:9">
      <c r="A34" s="1">
        <v>45810</v>
      </c>
      <c r="B34" s="78">
        <v>45838</v>
      </c>
      <c r="C34" t="s">
        <v>58</v>
      </c>
      <c r="D34" t="s">
        <v>3</v>
      </c>
      <c r="E34" t="s">
        <v>865</v>
      </c>
      <c r="F34" s="2">
        <v>50</v>
      </c>
      <c r="G34" t="s">
        <v>710</v>
      </c>
      <c r="I34" t="str">
        <f>VLOOKUP(E34,'Trial Balance'!B:B,1,0)</f>
        <v>Bank Fees and Charges</v>
      </c>
    </row>
    <row r="35" spans="1:9">
      <c r="A35" s="1">
        <v>45810</v>
      </c>
      <c r="B35" s="78">
        <v>45838</v>
      </c>
      <c r="C35" t="s">
        <v>58</v>
      </c>
      <c r="D35" t="s">
        <v>3</v>
      </c>
      <c r="E35" t="s">
        <v>865</v>
      </c>
      <c r="F35" s="2">
        <v>3.75</v>
      </c>
      <c r="G35" t="s">
        <v>710</v>
      </c>
      <c r="I35" t="str">
        <f>VLOOKUP(E35,'Trial Balance'!B:B,1,0)</f>
        <v>Bank Fees and Charges</v>
      </c>
    </row>
    <row r="36" spans="1:9">
      <c r="A36" s="1">
        <v>45810</v>
      </c>
      <c r="B36" s="78">
        <v>45838</v>
      </c>
      <c r="C36" t="s">
        <v>59</v>
      </c>
      <c r="D36" t="s">
        <v>8</v>
      </c>
      <c r="E36" t="s">
        <v>815</v>
      </c>
      <c r="F36" s="2">
        <v>152194.91999999434</v>
      </c>
      <c r="G36" t="s">
        <v>710</v>
      </c>
      <c r="I36" t="str">
        <f>VLOOKUP(E36,'Trial Balance'!B:B,1,0)</f>
        <v>Salaries and Employee Wages</v>
      </c>
    </row>
    <row r="37" spans="1:9">
      <c r="A37" s="1">
        <v>45810</v>
      </c>
      <c r="B37" s="78">
        <v>45838</v>
      </c>
      <c r="C37" t="s">
        <v>59</v>
      </c>
      <c r="D37" t="s">
        <v>3</v>
      </c>
      <c r="E37" t="s">
        <v>865</v>
      </c>
      <c r="F37" s="2">
        <v>50</v>
      </c>
      <c r="G37" t="s">
        <v>710</v>
      </c>
      <c r="I37" t="str">
        <f>VLOOKUP(E37,'Trial Balance'!B:B,1,0)</f>
        <v>Bank Fees and Charges</v>
      </c>
    </row>
    <row r="38" spans="1:9">
      <c r="A38" s="1">
        <v>45810</v>
      </c>
      <c r="B38" s="78">
        <v>45838</v>
      </c>
      <c r="C38" t="s">
        <v>59</v>
      </c>
      <c r="D38" t="s">
        <v>3</v>
      </c>
      <c r="E38" t="s">
        <v>865</v>
      </c>
      <c r="F38" s="2">
        <v>3.75</v>
      </c>
      <c r="G38" t="s">
        <v>710</v>
      </c>
      <c r="I38" t="str">
        <f>VLOOKUP(E38,'Trial Balance'!B:B,1,0)</f>
        <v>Bank Fees and Charges</v>
      </c>
    </row>
    <row r="39" spans="1:9">
      <c r="A39" s="1">
        <v>45810</v>
      </c>
      <c r="B39" s="78">
        <v>45838</v>
      </c>
      <c r="C39" t="s">
        <v>60</v>
      </c>
      <c r="D39" t="s">
        <v>3</v>
      </c>
      <c r="E39" t="s">
        <v>865</v>
      </c>
      <c r="F39" s="2">
        <v>50</v>
      </c>
      <c r="G39" t="s">
        <v>710</v>
      </c>
      <c r="I39" t="str">
        <f>VLOOKUP(E39,'Trial Balance'!B:B,1,0)</f>
        <v>Bank Fees and Charges</v>
      </c>
    </row>
    <row r="40" spans="1:9">
      <c r="A40" s="1">
        <v>45811</v>
      </c>
      <c r="B40" s="78">
        <v>45838</v>
      </c>
      <c r="C40" t="s">
        <v>62</v>
      </c>
      <c r="D40" t="s">
        <v>8</v>
      </c>
      <c r="E40" t="s">
        <v>815</v>
      </c>
      <c r="F40" s="2">
        <v>252957.21000000089</v>
      </c>
      <c r="G40" t="s">
        <v>710</v>
      </c>
      <c r="I40" t="str">
        <f>VLOOKUP(E40,'Trial Balance'!B:B,1,0)</f>
        <v>Salaries and Employee Wages</v>
      </c>
    </row>
    <row r="41" spans="1:9">
      <c r="A41" s="1">
        <v>45811</v>
      </c>
      <c r="B41" s="78">
        <v>45838</v>
      </c>
      <c r="C41" t="s">
        <v>62</v>
      </c>
      <c r="D41" t="s">
        <v>3</v>
      </c>
      <c r="E41" t="s">
        <v>865</v>
      </c>
      <c r="F41" s="2">
        <v>50</v>
      </c>
      <c r="G41" t="s">
        <v>710</v>
      </c>
      <c r="I41" t="str">
        <f>VLOOKUP(E41,'Trial Balance'!B:B,1,0)</f>
        <v>Bank Fees and Charges</v>
      </c>
    </row>
    <row r="42" spans="1:9">
      <c r="A42" s="1">
        <v>45811</v>
      </c>
      <c r="B42" s="78">
        <v>45838</v>
      </c>
      <c r="C42" t="s">
        <v>62</v>
      </c>
      <c r="D42" t="s">
        <v>3</v>
      </c>
      <c r="E42" t="s">
        <v>865</v>
      </c>
      <c r="F42" s="2">
        <v>3.75</v>
      </c>
      <c r="G42" t="s">
        <v>710</v>
      </c>
      <c r="I42" t="str">
        <f>VLOOKUP(E42,'Trial Balance'!B:B,1,0)</f>
        <v>Bank Fees and Charges</v>
      </c>
    </row>
    <row r="43" spans="1:9">
      <c r="A43" s="1">
        <v>45811</v>
      </c>
      <c r="B43" s="78">
        <v>45838</v>
      </c>
      <c r="C43" t="s">
        <v>63</v>
      </c>
      <c r="D43" t="s">
        <v>8</v>
      </c>
      <c r="E43" t="s">
        <v>815</v>
      </c>
      <c r="F43" s="2">
        <v>156011.73000000417</v>
      </c>
      <c r="G43" t="s">
        <v>710</v>
      </c>
      <c r="I43" t="str">
        <f>VLOOKUP(E43,'Trial Balance'!B:B,1,0)</f>
        <v>Salaries and Employee Wages</v>
      </c>
    </row>
    <row r="44" spans="1:9">
      <c r="A44" s="1">
        <v>45811</v>
      </c>
      <c r="B44" s="78">
        <v>45838</v>
      </c>
      <c r="C44" t="s">
        <v>63</v>
      </c>
      <c r="D44" t="s">
        <v>3</v>
      </c>
      <c r="E44" t="s">
        <v>865</v>
      </c>
      <c r="F44" s="2">
        <v>50</v>
      </c>
      <c r="G44" t="s">
        <v>710</v>
      </c>
      <c r="I44" t="str">
        <f>VLOOKUP(E44,'Trial Balance'!B:B,1,0)</f>
        <v>Bank Fees and Charges</v>
      </c>
    </row>
    <row r="45" spans="1:9">
      <c r="A45" s="1">
        <v>45811</v>
      </c>
      <c r="B45" s="78">
        <v>45838</v>
      </c>
      <c r="C45" t="s">
        <v>63</v>
      </c>
      <c r="D45" t="s">
        <v>3</v>
      </c>
      <c r="E45" t="s">
        <v>865</v>
      </c>
      <c r="F45" s="2">
        <v>3.75</v>
      </c>
      <c r="G45" t="s">
        <v>710</v>
      </c>
      <c r="I45" t="str">
        <f>VLOOKUP(E45,'Trial Balance'!B:B,1,0)</f>
        <v>Bank Fees and Charges</v>
      </c>
    </row>
    <row r="46" spans="1:9">
      <c r="A46" s="1">
        <v>45811</v>
      </c>
      <c r="B46" s="78">
        <v>45838</v>
      </c>
      <c r="C46" t="s">
        <v>64</v>
      </c>
      <c r="D46" t="s">
        <v>8</v>
      </c>
      <c r="E46" t="s">
        <v>815</v>
      </c>
      <c r="F46" s="2">
        <v>156011.72999999672</v>
      </c>
      <c r="G46" t="s">
        <v>710</v>
      </c>
      <c r="I46" t="str">
        <f>VLOOKUP(E46,'Trial Balance'!B:B,1,0)</f>
        <v>Salaries and Employee Wages</v>
      </c>
    </row>
    <row r="47" spans="1:9">
      <c r="A47" s="1">
        <v>45811</v>
      </c>
      <c r="B47" s="78">
        <v>45838</v>
      </c>
      <c r="C47" t="s">
        <v>64</v>
      </c>
      <c r="D47" t="s">
        <v>3</v>
      </c>
      <c r="E47" t="s">
        <v>865</v>
      </c>
      <c r="F47" s="2">
        <v>50</v>
      </c>
      <c r="G47" t="s">
        <v>710</v>
      </c>
      <c r="I47" t="str">
        <f>VLOOKUP(E47,'Trial Balance'!B:B,1,0)</f>
        <v>Bank Fees and Charges</v>
      </c>
    </row>
    <row r="48" spans="1:9">
      <c r="A48" s="1">
        <v>45811</v>
      </c>
      <c r="B48" s="78">
        <v>45838</v>
      </c>
      <c r="C48" t="s">
        <v>64</v>
      </c>
      <c r="D48" t="s">
        <v>3</v>
      </c>
      <c r="E48" t="s">
        <v>865</v>
      </c>
      <c r="F48" s="2">
        <v>3.75</v>
      </c>
      <c r="G48" t="s">
        <v>710</v>
      </c>
      <c r="I48" t="str">
        <f>VLOOKUP(E48,'Trial Balance'!B:B,1,0)</f>
        <v>Bank Fees and Charges</v>
      </c>
    </row>
    <row r="49" spans="1:9">
      <c r="A49" s="1">
        <v>45811</v>
      </c>
      <c r="B49" s="78">
        <v>45838</v>
      </c>
      <c r="C49" t="s">
        <v>65</v>
      </c>
      <c r="D49" t="s">
        <v>8</v>
      </c>
      <c r="E49" t="s">
        <v>815</v>
      </c>
      <c r="F49" s="2">
        <v>156011.73000000417</v>
      </c>
      <c r="G49" t="s">
        <v>710</v>
      </c>
      <c r="I49" t="str">
        <f>VLOOKUP(E49,'Trial Balance'!B:B,1,0)</f>
        <v>Salaries and Employee Wages</v>
      </c>
    </row>
    <row r="50" spans="1:9">
      <c r="A50" s="1">
        <v>45811</v>
      </c>
      <c r="B50" s="78">
        <v>45838</v>
      </c>
      <c r="C50" t="s">
        <v>65</v>
      </c>
      <c r="D50" t="s">
        <v>3</v>
      </c>
      <c r="E50" t="s">
        <v>865</v>
      </c>
      <c r="F50" s="2">
        <v>50</v>
      </c>
      <c r="G50" t="s">
        <v>710</v>
      </c>
      <c r="I50" t="str">
        <f>VLOOKUP(E50,'Trial Balance'!B:B,1,0)</f>
        <v>Bank Fees and Charges</v>
      </c>
    </row>
    <row r="51" spans="1:9">
      <c r="A51" s="1">
        <v>45811</v>
      </c>
      <c r="B51" s="78">
        <v>45838</v>
      </c>
      <c r="C51" t="s">
        <v>65</v>
      </c>
      <c r="D51" t="s">
        <v>3</v>
      </c>
      <c r="E51" t="s">
        <v>865</v>
      </c>
      <c r="F51" s="2">
        <v>3.75</v>
      </c>
      <c r="G51" t="s">
        <v>710</v>
      </c>
      <c r="I51" t="str">
        <f>VLOOKUP(E51,'Trial Balance'!B:B,1,0)</f>
        <v>Bank Fees and Charges</v>
      </c>
    </row>
    <row r="52" spans="1:9">
      <c r="A52" s="1">
        <v>45811</v>
      </c>
      <c r="B52" s="78">
        <v>45838</v>
      </c>
      <c r="C52" t="s">
        <v>66</v>
      </c>
      <c r="D52" t="s">
        <v>7</v>
      </c>
      <c r="E52" s="28" t="s">
        <v>1352</v>
      </c>
      <c r="F52" s="2">
        <v>-6935800</v>
      </c>
      <c r="G52" t="s">
        <v>710</v>
      </c>
      <c r="H52" s="28" t="s">
        <v>1323</v>
      </c>
      <c r="I52" t="str">
        <f>VLOOKUP(E52,'Trial Balance'!B:B,1,0)</f>
        <v>Donations</v>
      </c>
    </row>
    <row r="53" spans="1:9">
      <c r="A53" s="1">
        <v>45811</v>
      </c>
      <c r="B53" s="78">
        <v>45838</v>
      </c>
      <c r="C53" t="s">
        <v>67</v>
      </c>
      <c r="D53" t="s">
        <v>7</v>
      </c>
      <c r="E53" s="28" t="s">
        <v>1352</v>
      </c>
      <c r="F53" s="2">
        <v>-94692772.219999999</v>
      </c>
      <c r="G53" t="s">
        <v>710</v>
      </c>
      <c r="H53" s="28" t="s">
        <v>1328</v>
      </c>
      <c r="I53" t="str">
        <f>VLOOKUP(E53,'Trial Balance'!B:B,1,0)</f>
        <v>Donations</v>
      </c>
    </row>
    <row r="54" spans="1:9">
      <c r="A54" s="1">
        <v>45811</v>
      </c>
      <c r="B54" s="78">
        <v>45838</v>
      </c>
      <c r="C54" t="s">
        <v>68</v>
      </c>
      <c r="D54" t="s">
        <v>9</v>
      </c>
      <c r="E54" t="s">
        <v>986</v>
      </c>
      <c r="F54" s="2">
        <v>100000</v>
      </c>
      <c r="G54" t="s">
        <v>710</v>
      </c>
      <c r="H54" t="s">
        <v>1320</v>
      </c>
      <c r="I54" t="str">
        <f>VLOOKUP(E54,'Trial Balance'!B:B,1,0)</f>
        <v>Refundable security deposit</v>
      </c>
    </row>
    <row r="55" spans="1:9">
      <c r="A55" s="1">
        <v>45811</v>
      </c>
      <c r="B55" s="78">
        <v>45838</v>
      </c>
      <c r="C55" t="s">
        <v>68</v>
      </c>
      <c r="D55" t="s">
        <v>3</v>
      </c>
      <c r="E55" t="s">
        <v>865</v>
      </c>
      <c r="F55" s="2">
        <v>50</v>
      </c>
      <c r="G55" t="s">
        <v>710</v>
      </c>
      <c r="I55" t="str">
        <f>VLOOKUP(E55,'Trial Balance'!B:B,1,0)</f>
        <v>Bank Fees and Charges</v>
      </c>
    </row>
    <row r="56" spans="1:9">
      <c r="A56" s="1">
        <v>45811</v>
      </c>
      <c r="B56" s="78">
        <v>45838</v>
      </c>
      <c r="C56" t="s">
        <v>68</v>
      </c>
      <c r="D56" t="s">
        <v>3</v>
      </c>
      <c r="E56" t="s">
        <v>865</v>
      </c>
      <c r="F56" s="2">
        <v>3.75</v>
      </c>
      <c r="G56" t="s">
        <v>710</v>
      </c>
      <c r="I56" t="str">
        <f>VLOOKUP(E56,'Trial Balance'!B:B,1,0)</f>
        <v>Bank Fees and Charges</v>
      </c>
    </row>
    <row r="57" spans="1:9">
      <c r="A57" s="1">
        <v>45811</v>
      </c>
      <c r="B57" s="78">
        <v>45838</v>
      </c>
      <c r="C57" t="s">
        <v>69</v>
      </c>
      <c r="D57" t="s">
        <v>4</v>
      </c>
      <c r="E57" t="s">
        <v>874</v>
      </c>
      <c r="F57" s="2">
        <v>150000</v>
      </c>
      <c r="G57" t="s">
        <v>710</v>
      </c>
      <c r="I57" t="str">
        <f>VLOOKUP(E57,'Trial Balance'!B:B,1,0)</f>
        <v>Office Supplies</v>
      </c>
    </row>
    <row r="58" spans="1:9">
      <c r="A58" s="1">
        <v>45811</v>
      </c>
      <c r="B58" s="78">
        <v>45838</v>
      </c>
      <c r="C58" t="s">
        <v>69</v>
      </c>
      <c r="D58" t="s">
        <v>3</v>
      </c>
      <c r="E58" t="s">
        <v>865</v>
      </c>
      <c r="F58" s="2">
        <v>50</v>
      </c>
      <c r="G58" t="s">
        <v>710</v>
      </c>
      <c r="I58" t="str">
        <f>VLOOKUP(E58,'Trial Balance'!B:B,1,0)</f>
        <v>Bank Fees and Charges</v>
      </c>
    </row>
    <row r="59" spans="1:9">
      <c r="A59" s="1">
        <v>45811</v>
      </c>
      <c r="B59" s="78">
        <v>45838</v>
      </c>
      <c r="C59" t="s">
        <v>69</v>
      </c>
      <c r="D59" t="s">
        <v>3</v>
      </c>
      <c r="E59" t="s">
        <v>865</v>
      </c>
      <c r="F59" s="2">
        <v>3.75</v>
      </c>
      <c r="G59" t="s">
        <v>710</v>
      </c>
      <c r="I59" t="str">
        <f>VLOOKUP(E59,'Trial Balance'!B:B,1,0)</f>
        <v>Bank Fees and Charges</v>
      </c>
    </row>
    <row r="60" spans="1:9">
      <c r="A60" s="1">
        <v>45811</v>
      </c>
      <c r="B60" s="78">
        <v>45838</v>
      </c>
      <c r="C60" t="s">
        <v>70</v>
      </c>
      <c r="D60" t="s">
        <v>6</v>
      </c>
      <c r="E60" t="s">
        <v>840</v>
      </c>
      <c r="F60" s="2">
        <v>650000</v>
      </c>
      <c r="G60" t="s">
        <v>710</v>
      </c>
      <c r="I60" t="str">
        <f>VLOOKUP(E60,'Trial Balance'!B:B,1,0)</f>
        <v>Janitorial Expense</v>
      </c>
    </row>
    <row r="61" spans="1:9">
      <c r="A61" s="1">
        <v>45811</v>
      </c>
      <c r="B61" s="78">
        <v>45838</v>
      </c>
      <c r="C61" t="s">
        <v>70</v>
      </c>
      <c r="D61" t="s">
        <v>3</v>
      </c>
      <c r="E61" t="s">
        <v>865</v>
      </c>
      <c r="F61" s="2">
        <v>50</v>
      </c>
      <c r="G61" t="s">
        <v>710</v>
      </c>
      <c r="I61" t="str">
        <f>VLOOKUP(E61,'Trial Balance'!B:B,1,0)</f>
        <v>Bank Fees and Charges</v>
      </c>
    </row>
    <row r="62" spans="1:9">
      <c r="A62" s="1">
        <v>45811</v>
      </c>
      <c r="B62" s="78">
        <v>45838</v>
      </c>
      <c r="C62" t="s">
        <v>70</v>
      </c>
      <c r="D62" t="s">
        <v>3</v>
      </c>
      <c r="E62" t="s">
        <v>865</v>
      </c>
      <c r="F62" s="2">
        <v>3.75</v>
      </c>
      <c r="G62" t="s">
        <v>710</v>
      </c>
      <c r="I62" t="str">
        <f>VLOOKUP(E62,'Trial Balance'!B:B,1,0)</f>
        <v>Bank Fees and Charges</v>
      </c>
    </row>
    <row r="63" spans="1:9">
      <c r="A63" s="1">
        <v>45811</v>
      </c>
      <c r="B63" s="78">
        <v>45838</v>
      </c>
      <c r="C63" t="s">
        <v>71</v>
      </c>
      <c r="D63" t="s">
        <v>3</v>
      </c>
      <c r="E63" t="s">
        <v>865</v>
      </c>
      <c r="F63" s="2">
        <v>50</v>
      </c>
      <c r="G63" t="s">
        <v>710</v>
      </c>
      <c r="I63" t="str">
        <f>VLOOKUP(E63,'Trial Balance'!B:B,1,0)</f>
        <v>Bank Fees and Charges</v>
      </c>
    </row>
    <row r="64" spans="1:9">
      <c r="A64" s="1">
        <v>45811</v>
      </c>
      <c r="B64" s="78">
        <v>45838</v>
      </c>
      <c r="C64" t="s">
        <v>72</v>
      </c>
      <c r="D64" t="s">
        <v>3</v>
      </c>
      <c r="E64" t="s">
        <v>865</v>
      </c>
      <c r="F64" s="2">
        <v>50</v>
      </c>
      <c r="G64" t="s">
        <v>710</v>
      </c>
      <c r="I64" t="str">
        <f>VLOOKUP(E64,'Trial Balance'!B:B,1,0)</f>
        <v>Bank Fees and Charges</v>
      </c>
    </row>
    <row r="65" spans="1:9">
      <c r="A65" s="1">
        <v>45812</v>
      </c>
      <c r="B65" s="78">
        <v>45838</v>
      </c>
      <c r="C65" t="s">
        <v>73</v>
      </c>
      <c r="D65" t="s">
        <v>8</v>
      </c>
      <c r="E65" t="s">
        <v>815</v>
      </c>
      <c r="F65" s="2">
        <v>3570659.4300000072</v>
      </c>
      <c r="G65" t="s">
        <v>710</v>
      </c>
      <c r="I65" t="str">
        <f>VLOOKUP(E65,'Trial Balance'!B:B,1,0)</f>
        <v>Salaries and Employee Wages</v>
      </c>
    </row>
    <row r="66" spans="1:9">
      <c r="A66" s="1">
        <v>45812</v>
      </c>
      <c r="B66" s="78">
        <v>45838</v>
      </c>
      <c r="C66" t="s">
        <v>73</v>
      </c>
      <c r="D66" t="s">
        <v>3</v>
      </c>
      <c r="E66" t="s">
        <v>865</v>
      </c>
      <c r="F66" s="2">
        <v>50</v>
      </c>
      <c r="G66" t="s">
        <v>710</v>
      </c>
      <c r="I66" t="str">
        <f>VLOOKUP(E66,'Trial Balance'!B:B,1,0)</f>
        <v>Bank Fees and Charges</v>
      </c>
    </row>
    <row r="67" spans="1:9">
      <c r="A67" s="1">
        <v>45812</v>
      </c>
      <c r="B67" s="78">
        <v>45838</v>
      </c>
      <c r="C67" t="s">
        <v>73</v>
      </c>
      <c r="D67" t="s">
        <v>3</v>
      </c>
      <c r="E67" t="s">
        <v>865</v>
      </c>
      <c r="F67" s="2">
        <v>3.75</v>
      </c>
      <c r="G67" t="s">
        <v>710</v>
      </c>
      <c r="I67" t="str">
        <f>VLOOKUP(E67,'Trial Balance'!B:B,1,0)</f>
        <v>Bank Fees and Charges</v>
      </c>
    </row>
    <row r="68" spans="1:9">
      <c r="A68" s="1">
        <v>45812</v>
      </c>
      <c r="B68" s="78">
        <v>45838</v>
      </c>
      <c r="C68" t="s">
        <v>74</v>
      </c>
      <c r="D68" t="s">
        <v>8</v>
      </c>
      <c r="E68" t="s">
        <v>815</v>
      </c>
      <c r="F68" s="2">
        <v>152194.91999998689</v>
      </c>
      <c r="G68" t="s">
        <v>710</v>
      </c>
      <c r="I68" t="str">
        <f>VLOOKUP(E68,'Trial Balance'!B:B,1,0)</f>
        <v>Salaries and Employee Wages</v>
      </c>
    </row>
    <row r="69" spans="1:9">
      <c r="A69" s="1">
        <v>45812</v>
      </c>
      <c r="B69" s="78">
        <v>45838</v>
      </c>
      <c r="C69" t="s">
        <v>74</v>
      </c>
      <c r="D69" t="s">
        <v>3</v>
      </c>
      <c r="E69" t="s">
        <v>865</v>
      </c>
      <c r="F69" s="2">
        <v>50</v>
      </c>
      <c r="G69" t="s">
        <v>710</v>
      </c>
      <c r="I69" t="str">
        <f>VLOOKUP(E69,'Trial Balance'!B:B,1,0)</f>
        <v>Bank Fees and Charges</v>
      </c>
    </row>
    <row r="70" spans="1:9">
      <c r="A70" s="1">
        <v>45812</v>
      </c>
      <c r="B70" s="78">
        <v>45838</v>
      </c>
      <c r="C70" t="s">
        <v>74</v>
      </c>
      <c r="D70" t="s">
        <v>3</v>
      </c>
      <c r="E70" t="s">
        <v>865</v>
      </c>
      <c r="F70" s="2">
        <v>3.75</v>
      </c>
      <c r="G70" t="s">
        <v>710</v>
      </c>
      <c r="I70" t="str">
        <f>VLOOKUP(E70,'Trial Balance'!B:B,1,0)</f>
        <v>Bank Fees and Charges</v>
      </c>
    </row>
    <row r="71" spans="1:9">
      <c r="A71" s="1">
        <v>45812</v>
      </c>
      <c r="B71" s="78">
        <v>45838</v>
      </c>
      <c r="C71" t="s">
        <v>75</v>
      </c>
      <c r="D71" t="s">
        <v>8</v>
      </c>
      <c r="E71" t="s">
        <v>815</v>
      </c>
      <c r="F71" s="2">
        <v>3570659.4300000072</v>
      </c>
      <c r="G71" t="s">
        <v>710</v>
      </c>
      <c r="I71" t="str">
        <f>VLOOKUP(E71,'Trial Balance'!B:B,1,0)</f>
        <v>Salaries and Employee Wages</v>
      </c>
    </row>
    <row r="72" spans="1:9">
      <c r="A72" s="1">
        <v>45812</v>
      </c>
      <c r="B72" s="78">
        <v>45838</v>
      </c>
      <c r="C72" t="s">
        <v>75</v>
      </c>
      <c r="D72" t="s">
        <v>3</v>
      </c>
      <c r="E72" t="s">
        <v>865</v>
      </c>
      <c r="F72" s="2">
        <v>50</v>
      </c>
      <c r="G72" t="s">
        <v>710</v>
      </c>
      <c r="I72" t="str">
        <f>VLOOKUP(E72,'Trial Balance'!B:B,1,0)</f>
        <v>Bank Fees and Charges</v>
      </c>
    </row>
    <row r="73" spans="1:9">
      <c r="A73" s="1">
        <v>45812</v>
      </c>
      <c r="B73" s="78">
        <v>45838</v>
      </c>
      <c r="C73" t="s">
        <v>75</v>
      </c>
      <c r="D73" t="s">
        <v>3</v>
      </c>
      <c r="E73" t="s">
        <v>865</v>
      </c>
      <c r="F73" s="2">
        <v>3.75</v>
      </c>
      <c r="G73" t="s">
        <v>710</v>
      </c>
      <c r="I73" t="str">
        <f>VLOOKUP(E73,'Trial Balance'!B:B,1,0)</f>
        <v>Bank Fees and Charges</v>
      </c>
    </row>
    <row r="74" spans="1:9">
      <c r="A74" s="1">
        <v>45812</v>
      </c>
      <c r="B74" s="78">
        <v>45838</v>
      </c>
      <c r="C74" t="s">
        <v>76</v>
      </c>
      <c r="D74" t="s">
        <v>8</v>
      </c>
      <c r="E74" t="s">
        <v>815</v>
      </c>
      <c r="F74" s="2">
        <v>152194.92000000179</v>
      </c>
      <c r="G74" t="s">
        <v>710</v>
      </c>
      <c r="I74" t="str">
        <f>VLOOKUP(E74,'Trial Balance'!B:B,1,0)</f>
        <v>Salaries and Employee Wages</v>
      </c>
    </row>
    <row r="75" spans="1:9">
      <c r="A75" s="1">
        <v>45812</v>
      </c>
      <c r="B75" s="78">
        <v>45838</v>
      </c>
      <c r="C75" t="s">
        <v>76</v>
      </c>
      <c r="D75" t="s">
        <v>3</v>
      </c>
      <c r="E75" t="s">
        <v>865</v>
      </c>
      <c r="F75" s="2">
        <v>50</v>
      </c>
      <c r="G75" t="s">
        <v>710</v>
      </c>
      <c r="I75" t="str">
        <f>VLOOKUP(E75,'Trial Balance'!B:B,1,0)</f>
        <v>Bank Fees and Charges</v>
      </c>
    </row>
    <row r="76" spans="1:9">
      <c r="A76" s="1">
        <v>45812</v>
      </c>
      <c r="B76" s="78">
        <v>45838</v>
      </c>
      <c r="C76" t="s">
        <v>76</v>
      </c>
      <c r="D76" t="s">
        <v>3</v>
      </c>
      <c r="E76" t="s">
        <v>865</v>
      </c>
      <c r="F76" s="2">
        <v>3.75</v>
      </c>
      <c r="G76" t="s">
        <v>710</v>
      </c>
      <c r="I76" t="str">
        <f>VLOOKUP(E76,'Trial Balance'!B:B,1,0)</f>
        <v>Bank Fees and Charges</v>
      </c>
    </row>
    <row r="77" spans="1:9">
      <c r="A77" s="1">
        <v>45812</v>
      </c>
      <c r="B77" s="78">
        <v>45838</v>
      </c>
      <c r="C77" t="s">
        <v>78</v>
      </c>
      <c r="D77" t="s">
        <v>10</v>
      </c>
      <c r="E77" t="s">
        <v>956</v>
      </c>
      <c r="F77" s="2">
        <v>46440</v>
      </c>
      <c r="G77" t="s">
        <v>710</v>
      </c>
      <c r="I77" t="str">
        <f>VLOOKUP(E77,'Trial Balance'!B:B,1,0)</f>
        <v>Software expense</v>
      </c>
    </row>
    <row r="78" spans="1:9">
      <c r="A78" s="1">
        <v>45812</v>
      </c>
      <c r="B78" s="78">
        <v>45838</v>
      </c>
      <c r="C78" t="s">
        <v>78</v>
      </c>
      <c r="D78" t="s">
        <v>3</v>
      </c>
      <c r="E78" t="s">
        <v>865</v>
      </c>
      <c r="F78" s="2">
        <v>25</v>
      </c>
      <c r="G78" t="s">
        <v>710</v>
      </c>
      <c r="I78" t="str">
        <f>VLOOKUP(E78,'Trial Balance'!B:B,1,0)</f>
        <v>Bank Fees and Charges</v>
      </c>
    </row>
    <row r="79" spans="1:9">
      <c r="A79" s="1">
        <v>45812</v>
      </c>
      <c r="B79" s="78">
        <v>45838</v>
      </c>
      <c r="C79" t="s">
        <v>78</v>
      </c>
      <c r="D79" t="s">
        <v>3</v>
      </c>
      <c r="E79" t="s">
        <v>865</v>
      </c>
      <c r="F79" s="2">
        <v>1.8799999952316284</v>
      </c>
      <c r="G79" t="s">
        <v>710</v>
      </c>
      <c r="I79" t="str">
        <f>VLOOKUP(E79,'Trial Balance'!B:B,1,0)</f>
        <v>Bank Fees and Charges</v>
      </c>
    </row>
    <row r="80" spans="1:9">
      <c r="A80" s="1">
        <v>45812</v>
      </c>
      <c r="B80" s="78">
        <v>45838</v>
      </c>
      <c r="C80" t="s">
        <v>79</v>
      </c>
      <c r="D80" t="s">
        <v>10</v>
      </c>
      <c r="E80" t="s">
        <v>956</v>
      </c>
      <c r="F80" s="2">
        <v>49392.859999999404</v>
      </c>
      <c r="G80" t="s">
        <v>710</v>
      </c>
      <c r="I80" t="str">
        <f>VLOOKUP(E80,'Trial Balance'!B:B,1,0)</f>
        <v>Software expense</v>
      </c>
    </row>
    <row r="81" spans="1:9">
      <c r="A81" s="1">
        <v>45812</v>
      </c>
      <c r="B81" s="78">
        <v>45838</v>
      </c>
      <c r="C81" t="s">
        <v>79</v>
      </c>
      <c r="D81" t="s">
        <v>3</v>
      </c>
      <c r="E81" t="s">
        <v>865</v>
      </c>
      <c r="F81" s="2">
        <v>25</v>
      </c>
      <c r="G81" t="s">
        <v>710</v>
      </c>
      <c r="I81" t="str">
        <f>VLOOKUP(E81,'Trial Balance'!B:B,1,0)</f>
        <v>Bank Fees and Charges</v>
      </c>
    </row>
    <row r="82" spans="1:9">
      <c r="A82" s="1">
        <v>45812</v>
      </c>
      <c r="B82" s="78">
        <v>45838</v>
      </c>
      <c r="C82" t="s">
        <v>79</v>
      </c>
      <c r="D82" t="s">
        <v>3</v>
      </c>
      <c r="E82" t="s">
        <v>865</v>
      </c>
      <c r="F82" s="2">
        <v>1.8800000101327896</v>
      </c>
      <c r="G82" t="s">
        <v>710</v>
      </c>
      <c r="I82" t="str">
        <f>VLOOKUP(E82,'Trial Balance'!B:B,1,0)</f>
        <v>Bank Fees and Charges</v>
      </c>
    </row>
    <row r="83" spans="1:9">
      <c r="A83" s="1">
        <v>45813</v>
      </c>
      <c r="B83" s="78">
        <v>45838</v>
      </c>
      <c r="C83" t="s">
        <v>81</v>
      </c>
      <c r="D83" t="s">
        <v>3</v>
      </c>
      <c r="E83" t="s">
        <v>865</v>
      </c>
      <c r="F83" s="2">
        <v>10750</v>
      </c>
      <c r="G83" t="s">
        <v>710</v>
      </c>
      <c r="I83" t="str">
        <f>VLOOKUP(E83,'Trial Balance'!B:B,1,0)</f>
        <v>Bank Fees and Charges</v>
      </c>
    </row>
    <row r="84" spans="1:9">
      <c r="A84" s="1">
        <v>45813</v>
      </c>
      <c r="B84" s="78">
        <v>45838</v>
      </c>
      <c r="C84" t="s">
        <v>82</v>
      </c>
      <c r="D84" t="s">
        <v>11</v>
      </c>
      <c r="E84" t="s">
        <v>953</v>
      </c>
      <c r="F84" s="2">
        <v>725000</v>
      </c>
      <c r="G84" t="s">
        <v>710</v>
      </c>
      <c r="I84" t="str">
        <f>VLOOKUP(E84,'Trial Balance'!B:B,1,0)</f>
        <v>Telephone and Data expense</v>
      </c>
    </row>
    <row r="85" spans="1:9">
      <c r="A85" s="1">
        <v>45813</v>
      </c>
      <c r="B85" s="78">
        <v>45838</v>
      </c>
      <c r="C85" t="s">
        <v>82</v>
      </c>
      <c r="D85" t="s">
        <v>3</v>
      </c>
      <c r="E85" t="s">
        <v>865</v>
      </c>
      <c r="F85" s="2">
        <v>50</v>
      </c>
      <c r="G85" t="s">
        <v>710</v>
      </c>
      <c r="I85" t="str">
        <f>VLOOKUP(E85,'Trial Balance'!B:B,1,0)</f>
        <v>Bank Fees and Charges</v>
      </c>
    </row>
    <row r="86" spans="1:9">
      <c r="A86" s="1">
        <v>45813</v>
      </c>
      <c r="B86" s="78">
        <v>45838</v>
      </c>
      <c r="C86" t="s">
        <v>82</v>
      </c>
      <c r="D86" t="s">
        <v>3</v>
      </c>
      <c r="E86" t="s">
        <v>865</v>
      </c>
      <c r="F86" s="2">
        <v>3.75</v>
      </c>
      <c r="G86" t="s">
        <v>710</v>
      </c>
      <c r="I86" t="str">
        <f>VLOOKUP(E86,'Trial Balance'!B:B,1,0)</f>
        <v>Bank Fees and Charges</v>
      </c>
    </row>
    <row r="87" spans="1:9">
      <c r="A87" s="1">
        <v>45818</v>
      </c>
      <c r="B87" s="78">
        <v>45838</v>
      </c>
      <c r="C87" t="s">
        <v>83</v>
      </c>
      <c r="D87" t="s">
        <v>12</v>
      </c>
      <c r="E87" s="26" t="s">
        <v>1354</v>
      </c>
      <c r="F87" s="2">
        <v>-135300</v>
      </c>
      <c r="G87" t="s">
        <v>710</v>
      </c>
      <c r="H87" t="s">
        <v>1315</v>
      </c>
      <c r="I87" t="str">
        <f>VLOOKUP(E87,'Trial Balance'!B:B,1,0)</f>
        <v>Guest entertainment (Income)</v>
      </c>
    </row>
    <row r="88" spans="1:9">
      <c r="A88" s="1">
        <v>45818</v>
      </c>
      <c r="B88" s="78">
        <v>45838</v>
      </c>
      <c r="C88" t="s">
        <v>85</v>
      </c>
      <c r="D88" t="s">
        <v>4</v>
      </c>
      <c r="E88" t="s">
        <v>874</v>
      </c>
      <c r="F88" s="2">
        <v>36000</v>
      </c>
      <c r="G88" t="s">
        <v>710</v>
      </c>
      <c r="I88" t="str">
        <f>VLOOKUP(E88,'Trial Balance'!B:B,1,0)</f>
        <v>Office Supplies</v>
      </c>
    </row>
    <row r="89" spans="1:9">
      <c r="A89" s="1">
        <v>45818</v>
      </c>
      <c r="B89" s="78">
        <v>45838</v>
      </c>
      <c r="C89" t="s">
        <v>85</v>
      </c>
      <c r="D89" t="s">
        <v>3</v>
      </c>
      <c r="E89" t="s">
        <v>865</v>
      </c>
      <c r="F89" s="2">
        <v>25</v>
      </c>
      <c r="G89" t="s">
        <v>710</v>
      </c>
      <c r="I89" t="str">
        <f>VLOOKUP(E89,'Trial Balance'!B:B,1,0)</f>
        <v>Bank Fees and Charges</v>
      </c>
    </row>
    <row r="90" spans="1:9">
      <c r="A90" s="1">
        <v>45818</v>
      </c>
      <c r="B90" s="78">
        <v>45838</v>
      </c>
      <c r="C90" t="s">
        <v>85</v>
      </c>
      <c r="D90" t="s">
        <v>3</v>
      </c>
      <c r="E90" t="s">
        <v>865</v>
      </c>
      <c r="F90" s="2">
        <v>1.8799999952316284</v>
      </c>
      <c r="G90" t="s">
        <v>710</v>
      </c>
      <c r="I90" t="str">
        <f>VLOOKUP(E90,'Trial Balance'!B:B,1,0)</f>
        <v>Bank Fees and Charges</v>
      </c>
    </row>
    <row r="91" spans="1:9">
      <c r="A91" s="1">
        <v>45818</v>
      </c>
      <c r="B91" s="78">
        <v>45838</v>
      </c>
      <c r="C91" t="s">
        <v>86</v>
      </c>
      <c r="D91" t="s">
        <v>5</v>
      </c>
      <c r="E91" t="s">
        <v>5</v>
      </c>
      <c r="F91" s="2">
        <v>25000</v>
      </c>
      <c r="G91" t="s">
        <v>710</v>
      </c>
      <c r="I91" t="str">
        <f>VLOOKUP(E91,'Trial Balance'!B:B,1,0)</f>
        <v>Other Expenses</v>
      </c>
    </row>
    <row r="92" spans="1:9">
      <c r="A92" s="1">
        <v>45818</v>
      </c>
      <c r="B92" s="78">
        <v>45838</v>
      </c>
      <c r="C92" t="s">
        <v>86</v>
      </c>
      <c r="D92" t="s">
        <v>3</v>
      </c>
      <c r="E92" t="s">
        <v>865</v>
      </c>
      <c r="F92" s="2">
        <v>25</v>
      </c>
      <c r="G92" t="s">
        <v>710</v>
      </c>
      <c r="I92" t="str">
        <f>VLOOKUP(E92,'Trial Balance'!B:B,1,0)</f>
        <v>Bank Fees and Charges</v>
      </c>
    </row>
    <row r="93" spans="1:9">
      <c r="A93" s="1">
        <v>45818</v>
      </c>
      <c r="B93" s="78">
        <v>45838</v>
      </c>
      <c r="C93" t="s">
        <v>86</v>
      </c>
      <c r="D93" t="s">
        <v>3</v>
      </c>
      <c r="E93" t="s">
        <v>865</v>
      </c>
      <c r="F93" s="2">
        <v>1.8799999952316284</v>
      </c>
      <c r="G93" t="s">
        <v>710</v>
      </c>
      <c r="I93" t="str">
        <f>VLOOKUP(E93,'Trial Balance'!B:B,1,0)</f>
        <v>Bank Fees and Charges</v>
      </c>
    </row>
    <row r="94" spans="1:9">
      <c r="A94" s="1">
        <v>45818</v>
      </c>
      <c r="B94" s="78">
        <v>45838</v>
      </c>
      <c r="C94" t="s">
        <v>87</v>
      </c>
      <c r="D94" t="s">
        <v>13</v>
      </c>
      <c r="E94" t="s">
        <v>800</v>
      </c>
      <c r="F94" s="2">
        <v>13000</v>
      </c>
      <c r="G94" t="s">
        <v>710</v>
      </c>
      <c r="I94" t="str">
        <f>VLOOKUP(E94,'Trial Balance'!B:B,1,0)</f>
        <v>Repairs and Maintenance</v>
      </c>
    </row>
    <row r="95" spans="1:9">
      <c r="A95" s="1">
        <v>45818</v>
      </c>
      <c r="B95" s="78">
        <v>45838</v>
      </c>
      <c r="C95" t="s">
        <v>87</v>
      </c>
      <c r="D95" t="s">
        <v>3</v>
      </c>
      <c r="E95" t="s">
        <v>865</v>
      </c>
      <c r="F95" s="2">
        <v>25</v>
      </c>
      <c r="G95" t="s">
        <v>710</v>
      </c>
      <c r="I95" t="str">
        <f>VLOOKUP(E95,'Trial Balance'!B:B,1,0)</f>
        <v>Bank Fees and Charges</v>
      </c>
    </row>
    <row r="96" spans="1:9">
      <c r="A96" s="1">
        <v>45818</v>
      </c>
      <c r="B96" s="78">
        <v>45838</v>
      </c>
      <c r="C96" t="s">
        <v>87</v>
      </c>
      <c r="D96" t="s">
        <v>3</v>
      </c>
      <c r="E96" t="s">
        <v>865</v>
      </c>
      <c r="F96" s="2">
        <v>1.8800000101327896</v>
      </c>
      <c r="G96" t="s">
        <v>710</v>
      </c>
      <c r="I96" t="str">
        <f>VLOOKUP(E96,'Trial Balance'!B:B,1,0)</f>
        <v>Bank Fees and Charges</v>
      </c>
    </row>
    <row r="97" spans="1:9">
      <c r="A97" s="1">
        <v>45818</v>
      </c>
      <c r="B97" s="78">
        <v>45838</v>
      </c>
      <c r="C97" t="s">
        <v>88</v>
      </c>
      <c r="D97" t="s">
        <v>5</v>
      </c>
      <c r="E97" t="s">
        <v>5</v>
      </c>
      <c r="F97" s="2">
        <v>25000</v>
      </c>
      <c r="G97" t="s">
        <v>710</v>
      </c>
      <c r="I97" t="str">
        <f>VLOOKUP(E97,'Trial Balance'!B:B,1,0)</f>
        <v>Other Expenses</v>
      </c>
    </row>
    <row r="98" spans="1:9">
      <c r="A98" s="1">
        <v>45818</v>
      </c>
      <c r="B98" s="78">
        <v>45838</v>
      </c>
      <c r="C98" t="s">
        <v>88</v>
      </c>
      <c r="D98" t="s">
        <v>3</v>
      </c>
      <c r="E98" t="s">
        <v>865</v>
      </c>
      <c r="F98" s="2">
        <v>25</v>
      </c>
      <c r="G98" t="s">
        <v>710</v>
      </c>
      <c r="I98" t="str">
        <f>VLOOKUP(E98,'Trial Balance'!B:B,1,0)</f>
        <v>Bank Fees and Charges</v>
      </c>
    </row>
    <row r="99" spans="1:9">
      <c r="A99" s="1">
        <v>45818</v>
      </c>
      <c r="B99" s="78">
        <v>45838</v>
      </c>
      <c r="C99" t="s">
        <v>88</v>
      </c>
      <c r="D99" t="s">
        <v>3</v>
      </c>
      <c r="E99" t="s">
        <v>865</v>
      </c>
      <c r="F99" s="2">
        <v>1.8799999952316284</v>
      </c>
      <c r="G99" t="s">
        <v>710</v>
      </c>
      <c r="I99" t="str">
        <f>VLOOKUP(E99,'Trial Balance'!B:B,1,0)</f>
        <v>Bank Fees and Charges</v>
      </c>
    </row>
    <row r="100" spans="1:9">
      <c r="A100" s="1">
        <v>45818</v>
      </c>
      <c r="B100" s="78">
        <v>45838</v>
      </c>
      <c r="C100" t="s">
        <v>89</v>
      </c>
      <c r="D100" t="s">
        <v>11</v>
      </c>
      <c r="E100" t="s">
        <v>953</v>
      </c>
      <c r="F100" s="2">
        <v>2969175.799999997</v>
      </c>
      <c r="G100" t="s">
        <v>710</v>
      </c>
      <c r="I100" t="str">
        <f>VLOOKUP(E100,'Trial Balance'!B:B,1,0)</f>
        <v>Telephone and Data expense</v>
      </c>
    </row>
    <row r="101" spans="1:9">
      <c r="A101" s="1">
        <v>45818</v>
      </c>
      <c r="B101" s="78">
        <v>45838</v>
      </c>
      <c r="C101" t="s">
        <v>89</v>
      </c>
      <c r="D101" t="s">
        <v>3</v>
      </c>
      <c r="E101" t="s">
        <v>865</v>
      </c>
      <c r="F101" s="2">
        <v>50</v>
      </c>
      <c r="G101" t="s">
        <v>710</v>
      </c>
      <c r="I101" t="str">
        <f>VLOOKUP(E101,'Trial Balance'!B:B,1,0)</f>
        <v>Bank Fees and Charges</v>
      </c>
    </row>
    <row r="102" spans="1:9">
      <c r="A102" s="1">
        <v>45818</v>
      </c>
      <c r="B102" s="78">
        <v>45838</v>
      </c>
      <c r="C102" t="s">
        <v>89</v>
      </c>
      <c r="D102" t="s">
        <v>3</v>
      </c>
      <c r="E102" t="s">
        <v>865</v>
      </c>
      <c r="F102" s="2">
        <v>3.75</v>
      </c>
      <c r="G102" t="s">
        <v>710</v>
      </c>
      <c r="I102" t="str">
        <f>VLOOKUP(E102,'Trial Balance'!B:B,1,0)</f>
        <v>Bank Fees and Charges</v>
      </c>
    </row>
    <row r="103" spans="1:9">
      <c r="A103" s="1">
        <v>45818</v>
      </c>
      <c r="B103" s="78">
        <v>45838</v>
      </c>
      <c r="C103" t="s">
        <v>90</v>
      </c>
      <c r="D103" t="s">
        <v>4</v>
      </c>
      <c r="E103" t="s">
        <v>874</v>
      </c>
      <c r="F103" s="2">
        <v>22000</v>
      </c>
      <c r="G103" t="s">
        <v>710</v>
      </c>
      <c r="I103" t="str">
        <f>VLOOKUP(E103,'Trial Balance'!B:B,1,0)</f>
        <v>Office Supplies</v>
      </c>
    </row>
    <row r="104" spans="1:9">
      <c r="A104" s="1">
        <v>45818</v>
      </c>
      <c r="B104" s="78">
        <v>45838</v>
      </c>
      <c r="C104" t="s">
        <v>90</v>
      </c>
      <c r="D104" t="s">
        <v>3</v>
      </c>
      <c r="E104" t="s">
        <v>865</v>
      </c>
      <c r="F104" s="2">
        <v>25</v>
      </c>
      <c r="G104" t="s">
        <v>710</v>
      </c>
      <c r="I104" t="str">
        <f>VLOOKUP(E104,'Trial Balance'!B:B,1,0)</f>
        <v>Bank Fees and Charges</v>
      </c>
    </row>
    <row r="105" spans="1:9">
      <c r="A105" s="1">
        <v>45818</v>
      </c>
      <c r="B105" s="78">
        <v>45838</v>
      </c>
      <c r="C105" t="s">
        <v>90</v>
      </c>
      <c r="D105" t="s">
        <v>3</v>
      </c>
      <c r="E105" t="s">
        <v>865</v>
      </c>
      <c r="F105" s="2">
        <v>1.8800000101327896</v>
      </c>
      <c r="G105" t="s">
        <v>710</v>
      </c>
      <c r="I105" t="str">
        <f>VLOOKUP(E105,'Trial Balance'!B:B,1,0)</f>
        <v>Bank Fees and Charges</v>
      </c>
    </row>
    <row r="106" spans="1:9">
      <c r="A106" s="1">
        <v>45818</v>
      </c>
      <c r="B106" s="78">
        <v>45838</v>
      </c>
      <c r="C106" t="s">
        <v>91</v>
      </c>
      <c r="D106" t="s">
        <v>14</v>
      </c>
      <c r="E106" t="s">
        <v>953</v>
      </c>
      <c r="F106" s="2">
        <v>2230000</v>
      </c>
      <c r="G106" t="s">
        <v>710</v>
      </c>
      <c r="I106" t="str">
        <f>VLOOKUP(E106,'Trial Balance'!B:B,1,0)</f>
        <v>Telephone and Data expense</v>
      </c>
    </row>
    <row r="107" spans="1:9">
      <c r="A107" s="1">
        <v>45818</v>
      </c>
      <c r="B107" s="78">
        <v>45838</v>
      </c>
      <c r="C107" t="s">
        <v>91</v>
      </c>
      <c r="D107" t="s">
        <v>3</v>
      </c>
      <c r="E107" t="s">
        <v>865</v>
      </c>
      <c r="F107" s="2">
        <v>50</v>
      </c>
      <c r="G107" t="s">
        <v>710</v>
      </c>
      <c r="I107" t="str">
        <f>VLOOKUP(E107,'Trial Balance'!B:B,1,0)</f>
        <v>Bank Fees and Charges</v>
      </c>
    </row>
    <row r="108" spans="1:9">
      <c r="A108" s="1">
        <v>45818</v>
      </c>
      <c r="B108" s="78">
        <v>45838</v>
      </c>
      <c r="C108" t="s">
        <v>91</v>
      </c>
      <c r="D108" t="s">
        <v>3</v>
      </c>
      <c r="E108" t="s">
        <v>865</v>
      </c>
      <c r="F108" s="2">
        <v>3.75</v>
      </c>
      <c r="G108" t="s">
        <v>710</v>
      </c>
      <c r="I108" t="str">
        <f>VLOOKUP(E108,'Trial Balance'!B:B,1,0)</f>
        <v>Bank Fees and Charges</v>
      </c>
    </row>
    <row r="109" spans="1:9">
      <c r="A109" s="1">
        <v>45818</v>
      </c>
      <c r="B109" s="78">
        <v>45838</v>
      </c>
      <c r="C109" t="s">
        <v>92</v>
      </c>
      <c r="D109" t="s">
        <v>13</v>
      </c>
      <c r="E109" t="s">
        <v>800</v>
      </c>
      <c r="F109" s="2">
        <v>1581325</v>
      </c>
      <c r="G109" t="s">
        <v>710</v>
      </c>
      <c r="I109" t="str">
        <f>VLOOKUP(E109,'Trial Balance'!B:B,1,0)</f>
        <v>Repairs and Maintenance</v>
      </c>
    </row>
    <row r="110" spans="1:9">
      <c r="A110" s="1">
        <v>45818</v>
      </c>
      <c r="B110" s="78">
        <v>45838</v>
      </c>
      <c r="C110" t="s">
        <v>92</v>
      </c>
      <c r="D110" t="s">
        <v>3</v>
      </c>
      <c r="E110" t="s">
        <v>865</v>
      </c>
      <c r="F110" s="2">
        <v>50</v>
      </c>
      <c r="G110" t="s">
        <v>710</v>
      </c>
      <c r="I110" t="str">
        <f>VLOOKUP(E110,'Trial Balance'!B:B,1,0)</f>
        <v>Bank Fees and Charges</v>
      </c>
    </row>
    <row r="111" spans="1:9">
      <c r="A111" s="1">
        <v>45818</v>
      </c>
      <c r="B111" s="78">
        <v>45838</v>
      </c>
      <c r="C111" t="s">
        <v>92</v>
      </c>
      <c r="D111" t="s">
        <v>3</v>
      </c>
      <c r="E111" t="s">
        <v>865</v>
      </c>
      <c r="F111" s="2">
        <v>3.75</v>
      </c>
      <c r="G111" t="s">
        <v>710</v>
      </c>
      <c r="I111" t="str">
        <f>VLOOKUP(E111,'Trial Balance'!B:B,1,0)</f>
        <v>Bank Fees and Charges</v>
      </c>
    </row>
    <row r="112" spans="1:9">
      <c r="A112" s="1">
        <v>45818</v>
      </c>
      <c r="B112" s="78">
        <v>45838</v>
      </c>
      <c r="C112" t="s">
        <v>93</v>
      </c>
      <c r="D112" t="s">
        <v>3</v>
      </c>
      <c r="E112" t="s">
        <v>865</v>
      </c>
      <c r="F112" s="2">
        <v>50</v>
      </c>
      <c r="G112" t="s">
        <v>710</v>
      </c>
      <c r="I112" t="str">
        <f>VLOOKUP(E112,'Trial Balance'!B:B,1,0)</f>
        <v>Bank Fees and Charges</v>
      </c>
    </row>
    <row r="113" spans="1:9">
      <c r="A113" s="1">
        <v>45819</v>
      </c>
      <c r="B113" s="78">
        <v>45838</v>
      </c>
      <c r="C113" t="s">
        <v>94</v>
      </c>
      <c r="D113" t="s">
        <v>15</v>
      </c>
      <c r="E113" t="s">
        <v>1353</v>
      </c>
      <c r="F113" s="2">
        <v>120000</v>
      </c>
      <c r="G113" t="s">
        <v>710</v>
      </c>
      <c r="I113" t="str">
        <f>VLOOKUP(E113,'Trial Balance'!B:B,1,0)</f>
        <v>Guest entertainment</v>
      </c>
    </row>
    <row r="114" spans="1:9">
      <c r="A114" s="1">
        <v>45819</v>
      </c>
      <c r="B114" s="78">
        <v>45838</v>
      </c>
      <c r="C114" t="s">
        <v>94</v>
      </c>
      <c r="D114" t="s">
        <v>3</v>
      </c>
      <c r="E114" t="s">
        <v>865</v>
      </c>
      <c r="F114" s="2">
        <v>50</v>
      </c>
      <c r="G114" t="s">
        <v>710</v>
      </c>
      <c r="I114" t="str">
        <f>VLOOKUP(E114,'Trial Balance'!B:B,1,0)</f>
        <v>Bank Fees and Charges</v>
      </c>
    </row>
    <row r="115" spans="1:9">
      <c r="A115" s="1">
        <v>45819</v>
      </c>
      <c r="B115" s="78">
        <v>45838</v>
      </c>
      <c r="C115" t="s">
        <v>94</v>
      </c>
      <c r="D115" t="s">
        <v>3</v>
      </c>
      <c r="E115" t="s">
        <v>865</v>
      </c>
      <c r="F115" s="2">
        <v>3.75</v>
      </c>
      <c r="G115" t="s">
        <v>710</v>
      </c>
      <c r="I115" t="str">
        <f>VLOOKUP(E115,'Trial Balance'!B:B,1,0)</f>
        <v>Bank Fees and Charges</v>
      </c>
    </row>
    <row r="116" spans="1:9">
      <c r="A116" s="1">
        <v>45819</v>
      </c>
      <c r="B116" s="78">
        <v>45838</v>
      </c>
      <c r="C116" t="s">
        <v>96</v>
      </c>
      <c r="D116" t="s">
        <v>10</v>
      </c>
      <c r="E116" t="s">
        <v>956</v>
      </c>
      <c r="F116" s="2">
        <v>715176</v>
      </c>
      <c r="G116" t="s">
        <v>710</v>
      </c>
      <c r="I116" t="str">
        <f>VLOOKUP(E116,'Trial Balance'!B:B,1,0)</f>
        <v>Software expense</v>
      </c>
    </row>
    <row r="117" spans="1:9">
      <c r="A117" s="1">
        <v>45819</v>
      </c>
      <c r="B117" s="78">
        <v>45838</v>
      </c>
      <c r="C117" t="s">
        <v>96</v>
      </c>
      <c r="D117" t="s">
        <v>3</v>
      </c>
      <c r="E117" t="s">
        <v>865</v>
      </c>
      <c r="F117" s="2">
        <v>50</v>
      </c>
      <c r="G117" t="s">
        <v>710</v>
      </c>
      <c r="I117" t="str">
        <f>VLOOKUP(E117,'Trial Balance'!B:B,1,0)</f>
        <v>Bank Fees and Charges</v>
      </c>
    </row>
    <row r="118" spans="1:9">
      <c r="A118" s="1">
        <v>45819</v>
      </c>
      <c r="B118" s="78">
        <v>45838</v>
      </c>
      <c r="C118" t="s">
        <v>96</v>
      </c>
      <c r="D118" t="s">
        <v>3</v>
      </c>
      <c r="E118" t="s">
        <v>865</v>
      </c>
      <c r="F118" s="2">
        <v>3.75</v>
      </c>
      <c r="G118" t="s">
        <v>710</v>
      </c>
      <c r="I118" t="str">
        <f>VLOOKUP(E118,'Trial Balance'!B:B,1,0)</f>
        <v>Bank Fees and Charges</v>
      </c>
    </row>
    <row r="119" spans="1:9">
      <c r="A119" s="1">
        <v>45821</v>
      </c>
      <c r="B119" s="78">
        <v>45838</v>
      </c>
      <c r="C119" t="s">
        <v>98</v>
      </c>
      <c r="D119" t="s">
        <v>16</v>
      </c>
      <c r="E119" t="s">
        <v>974</v>
      </c>
      <c r="F119" s="2">
        <v>475000</v>
      </c>
      <c r="G119" t="s">
        <v>710</v>
      </c>
      <c r="I119" t="str">
        <f>VLOOKUP(E119,'Trial Balance'!B:B,1,0)</f>
        <v>Security expense</v>
      </c>
    </row>
    <row r="120" spans="1:9">
      <c r="A120" s="1">
        <v>45821</v>
      </c>
      <c r="B120" s="78">
        <v>45838</v>
      </c>
      <c r="C120" t="s">
        <v>98</v>
      </c>
      <c r="D120" t="s">
        <v>3</v>
      </c>
      <c r="E120" t="s">
        <v>865</v>
      </c>
      <c r="F120" s="2">
        <v>50</v>
      </c>
      <c r="G120" t="s">
        <v>710</v>
      </c>
      <c r="I120" t="str">
        <f>VLOOKUP(E120,'Trial Balance'!B:B,1,0)</f>
        <v>Bank Fees and Charges</v>
      </c>
    </row>
    <row r="121" spans="1:9">
      <c r="A121" s="1">
        <v>45821</v>
      </c>
      <c r="B121" s="78">
        <v>45838</v>
      </c>
      <c r="C121" t="s">
        <v>98</v>
      </c>
      <c r="D121" t="s">
        <v>3</v>
      </c>
      <c r="E121" t="s">
        <v>865</v>
      </c>
      <c r="F121" s="2">
        <v>3.75</v>
      </c>
      <c r="G121" t="s">
        <v>710</v>
      </c>
      <c r="I121" t="str">
        <f>VLOOKUP(E121,'Trial Balance'!B:B,1,0)</f>
        <v>Bank Fees and Charges</v>
      </c>
    </row>
    <row r="122" spans="1:9">
      <c r="A122" s="1">
        <v>45824</v>
      </c>
      <c r="B122" s="78">
        <v>45838</v>
      </c>
      <c r="C122" t="s">
        <v>100</v>
      </c>
      <c r="D122" t="s">
        <v>15</v>
      </c>
      <c r="E122" t="s">
        <v>809</v>
      </c>
      <c r="F122" s="2">
        <v>153400</v>
      </c>
      <c r="G122" t="s">
        <v>710</v>
      </c>
      <c r="I122" t="str">
        <f>VLOOKUP(E122,'Trial Balance'!B:B,1,0)</f>
        <v>Meals and Entertainment</v>
      </c>
    </row>
    <row r="123" spans="1:9">
      <c r="A123" s="1">
        <v>45824</v>
      </c>
      <c r="B123" s="78">
        <v>45838</v>
      </c>
      <c r="C123" t="s">
        <v>100</v>
      </c>
      <c r="D123" t="s">
        <v>3</v>
      </c>
      <c r="E123" t="s">
        <v>865</v>
      </c>
      <c r="F123" s="2">
        <v>50</v>
      </c>
      <c r="G123" t="s">
        <v>710</v>
      </c>
      <c r="I123" t="str">
        <f>VLOOKUP(E123,'Trial Balance'!B:B,1,0)</f>
        <v>Bank Fees and Charges</v>
      </c>
    </row>
    <row r="124" spans="1:9">
      <c r="A124" s="1">
        <v>45824</v>
      </c>
      <c r="B124" s="78">
        <v>45838</v>
      </c>
      <c r="C124" t="s">
        <v>100</v>
      </c>
      <c r="D124" t="s">
        <v>3</v>
      </c>
      <c r="E124" t="s">
        <v>865</v>
      </c>
      <c r="F124" s="2">
        <v>3.75</v>
      </c>
      <c r="G124" t="s">
        <v>710</v>
      </c>
      <c r="I124" t="str">
        <f>VLOOKUP(E124,'Trial Balance'!B:B,1,0)</f>
        <v>Bank Fees and Charges</v>
      </c>
    </row>
    <row r="125" spans="1:9">
      <c r="A125" s="1">
        <v>45824</v>
      </c>
      <c r="B125" s="78">
        <v>45838</v>
      </c>
      <c r="C125" t="s">
        <v>101</v>
      </c>
      <c r="D125" t="s">
        <v>8</v>
      </c>
      <c r="E125" t="s">
        <v>815</v>
      </c>
      <c r="F125" s="2">
        <v>72993.329999998212</v>
      </c>
      <c r="G125" t="s">
        <v>710</v>
      </c>
      <c r="I125" t="str">
        <f>VLOOKUP(E125,'Trial Balance'!B:B,1,0)</f>
        <v>Salaries and Employee Wages</v>
      </c>
    </row>
    <row r="126" spans="1:9">
      <c r="A126" s="1">
        <v>45824</v>
      </c>
      <c r="B126" s="78">
        <v>45838</v>
      </c>
      <c r="C126" t="s">
        <v>101</v>
      </c>
      <c r="D126" t="s">
        <v>3</v>
      </c>
      <c r="E126" t="s">
        <v>865</v>
      </c>
      <c r="F126" s="2">
        <v>50</v>
      </c>
      <c r="G126" t="s">
        <v>710</v>
      </c>
      <c r="I126" t="str">
        <f>VLOOKUP(E126,'Trial Balance'!B:B,1,0)</f>
        <v>Bank Fees and Charges</v>
      </c>
    </row>
    <row r="127" spans="1:9">
      <c r="A127" s="1">
        <v>45824</v>
      </c>
      <c r="B127" s="78">
        <v>45838</v>
      </c>
      <c r="C127" t="s">
        <v>101</v>
      </c>
      <c r="D127" t="s">
        <v>3</v>
      </c>
      <c r="E127" t="s">
        <v>865</v>
      </c>
      <c r="F127" s="2">
        <v>3.75</v>
      </c>
      <c r="G127" t="s">
        <v>710</v>
      </c>
      <c r="I127" t="str">
        <f>VLOOKUP(E127,'Trial Balance'!B:B,1,0)</f>
        <v>Bank Fees and Charges</v>
      </c>
    </row>
    <row r="128" spans="1:9">
      <c r="A128" s="1">
        <v>45824</v>
      </c>
      <c r="B128" s="78">
        <v>45838</v>
      </c>
      <c r="C128" t="s">
        <v>102</v>
      </c>
      <c r="D128" t="s">
        <v>17</v>
      </c>
      <c r="E128" t="s">
        <v>911</v>
      </c>
      <c r="F128" s="2">
        <v>902000</v>
      </c>
      <c r="G128" t="s">
        <v>710</v>
      </c>
      <c r="I128" t="str">
        <f>VLOOKUP(E128,'Trial Balance'!B:B,1,0)</f>
        <v>Furniture and Equipment</v>
      </c>
    </row>
    <row r="129" spans="1:9">
      <c r="A129" s="1">
        <v>45824</v>
      </c>
      <c r="B129" s="78">
        <v>45838</v>
      </c>
      <c r="C129" t="s">
        <v>102</v>
      </c>
      <c r="D129" t="s">
        <v>3</v>
      </c>
      <c r="E129" t="s">
        <v>865</v>
      </c>
      <c r="F129" s="2">
        <v>50</v>
      </c>
      <c r="G129" t="s">
        <v>710</v>
      </c>
      <c r="I129" t="str">
        <f>VLOOKUP(E129,'Trial Balance'!B:B,1,0)</f>
        <v>Bank Fees and Charges</v>
      </c>
    </row>
    <row r="130" spans="1:9">
      <c r="A130" s="1">
        <v>45824</v>
      </c>
      <c r="B130" s="78">
        <v>45838</v>
      </c>
      <c r="C130" t="s">
        <v>102</v>
      </c>
      <c r="D130" t="s">
        <v>3</v>
      </c>
      <c r="E130" t="s">
        <v>865</v>
      </c>
      <c r="F130" s="2">
        <v>3.75</v>
      </c>
      <c r="G130" t="s">
        <v>710</v>
      </c>
      <c r="I130" t="str">
        <f>VLOOKUP(E130,'Trial Balance'!B:B,1,0)</f>
        <v>Bank Fees and Charges</v>
      </c>
    </row>
    <row r="131" spans="1:9">
      <c r="A131" s="1">
        <v>45824</v>
      </c>
      <c r="B131" s="78">
        <v>45838</v>
      </c>
      <c r="C131" t="s">
        <v>103</v>
      </c>
      <c r="D131" t="s">
        <v>4</v>
      </c>
      <c r="E131" t="s">
        <v>874</v>
      </c>
      <c r="F131" s="2">
        <v>40000</v>
      </c>
      <c r="G131" t="s">
        <v>710</v>
      </c>
      <c r="I131" t="str">
        <f>VLOOKUP(E131,'Trial Balance'!B:B,1,0)</f>
        <v>Office Supplies</v>
      </c>
    </row>
    <row r="132" spans="1:9">
      <c r="A132" s="1">
        <v>45824</v>
      </c>
      <c r="B132" s="78">
        <v>45838</v>
      </c>
      <c r="C132" t="s">
        <v>103</v>
      </c>
      <c r="D132" t="s">
        <v>3</v>
      </c>
      <c r="E132" t="s">
        <v>865</v>
      </c>
      <c r="F132" s="2">
        <v>25</v>
      </c>
      <c r="G132" t="s">
        <v>710</v>
      </c>
      <c r="I132" t="str">
        <f>VLOOKUP(E132,'Trial Balance'!B:B,1,0)</f>
        <v>Bank Fees and Charges</v>
      </c>
    </row>
    <row r="133" spans="1:9">
      <c r="A133" s="1">
        <v>45824</v>
      </c>
      <c r="B133" s="78">
        <v>45838</v>
      </c>
      <c r="C133" t="s">
        <v>103</v>
      </c>
      <c r="D133" t="s">
        <v>3</v>
      </c>
      <c r="E133" t="s">
        <v>865</v>
      </c>
      <c r="F133" s="2">
        <v>1.8799999952316284</v>
      </c>
      <c r="G133" t="s">
        <v>710</v>
      </c>
      <c r="I133" t="str">
        <f>VLOOKUP(E133,'Trial Balance'!B:B,1,0)</f>
        <v>Bank Fees and Charges</v>
      </c>
    </row>
    <row r="134" spans="1:9">
      <c r="A134" s="1">
        <v>45824</v>
      </c>
      <c r="B134" s="78">
        <v>45838</v>
      </c>
      <c r="C134" t="s">
        <v>104</v>
      </c>
      <c r="D134" t="s">
        <v>13</v>
      </c>
      <c r="E134" t="s">
        <v>800</v>
      </c>
      <c r="F134" s="2">
        <v>14700</v>
      </c>
      <c r="G134" t="s">
        <v>710</v>
      </c>
      <c r="I134" t="str">
        <f>VLOOKUP(E134,'Trial Balance'!B:B,1,0)</f>
        <v>Repairs and Maintenance</v>
      </c>
    </row>
    <row r="135" spans="1:9">
      <c r="A135" s="1">
        <v>45824</v>
      </c>
      <c r="B135" s="78">
        <v>45838</v>
      </c>
      <c r="C135" t="s">
        <v>104</v>
      </c>
      <c r="D135" t="s">
        <v>3</v>
      </c>
      <c r="E135" t="s">
        <v>865</v>
      </c>
      <c r="F135" s="2">
        <v>25</v>
      </c>
      <c r="G135" t="s">
        <v>710</v>
      </c>
      <c r="I135" t="str">
        <f>VLOOKUP(E135,'Trial Balance'!B:B,1,0)</f>
        <v>Bank Fees and Charges</v>
      </c>
    </row>
    <row r="136" spans="1:9">
      <c r="A136" s="1">
        <v>45824</v>
      </c>
      <c r="B136" s="78">
        <v>45838</v>
      </c>
      <c r="C136" t="s">
        <v>104</v>
      </c>
      <c r="D136" t="s">
        <v>3</v>
      </c>
      <c r="E136" t="s">
        <v>865</v>
      </c>
      <c r="F136" s="2">
        <v>1.8799999952316284</v>
      </c>
      <c r="G136" t="s">
        <v>710</v>
      </c>
      <c r="I136" t="str">
        <f>VLOOKUP(E136,'Trial Balance'!B:B,1,0)</f>
        <v>Bank Fees and Charges</v>
      </c>
    </row>
    <row r="137" spans="1:9">
      <c r="A137" s="1">
        <v>45824</v>
      </c>
      <c r="B137" s="78">
        <v>45838</v>
      </c>
      <c r="C137" t="s">
        <v>105</v>
      </c>
      <c r="D137" t="s">
        <v>13</v>
      </c>
      <c r="E137" t="s">
        <v>800</v>
      </c>
      <c r="F137" s="2">
        <v>20000</v>
      </c>
      <c r="G137" t="s">
        <v>710</v>
      </c>
      <c r="I137" t="str">
        <f>VLOOKUP(E137,'Trial Balance'!B:B,1,0)</f>
        <v>Repairs and Maintenance</v>
      </c>
    </row>
    <row r="138" spans="1:9">
      <c r="A138" s="1">
        <v>45824</v>
      </c>
      <c r="B138" s="78">
        <v>45838</v>
      </c>
      <c r="C138" t="s">
        <v>105</v>
      </c>
      <c r="D138" t="s">
        <v>3</v>
      </c>
      <c r="E138" t="s">
        <v>865</v>
      </c>
      <c r="F138" s="2">
        <v>25</v>
      </c>
      <c r="G138" t="s">
        <v>710</v>
      </c>
      <c r="I138" t="str">
        <f>VLOOKUP(E138,'Trial Balance'!B:B,1,0)</f>
        <v>Bank Fees and Charges</v>
      </c>
    </row>
    <row r="139" spans="1:9">
      <c r="A139" s="1">
        <v>45824</v>
      </c>
      <c r="B139" s="78">
        <v>45838</v>
      </c>
      <c r="C139" t="s">
        <v>105</v>
      </c>
      <c r="D139" t="s">
        <v>3</v>
      </c>
      <c r="E139" t="s">
        <v>865</v>
      </c>
      <c r="F139" s="2">
        <v>1.8800000101327896</v>
      </c>
      <c r="G139" t="s">
        <v>710</v>
      </c>
      <c r="I139" t="str">
        <f>VLOOKUP(E139,'Trial Balance'!B:B,1,0)</f>
        <v>Bank Fees and Charges</v>
      </c>
    </row>
    <row r="140" spans="1:9">
      <c r="A140" s="1">
        <v>45825</v>
      </c>
      <c r="B140" s="78">
        <v>45838</v>
      </c>
      <c r="C140" t="s">
        <v>107</v>
      </c>
      <c r="D140" t="s">
        <v>11</v>
      </c>
      <c r="E140" t="s">
        <v>953</v>
      </c>
      <c r="F140" s="2">
        <v>100000</v>
      </c>
      <c r="G140" t="s">
        <v>710</v>
      </c>
      <c r="I140" t="str">
        <f>VLOOKUP(E140,'Trial Balance'!B:B,1,0)</f>
        <v>Telephone and Data expense</v>
      </c>
    </row>
    <row r="141" spans="1:9">
      <c r="A141" s="1">
        <v>45825</v>
      </c>
      <c r="B141" s="78">
        <v>45838</v>
      </c>
      <c r="C141" t="s">
        <v>107</v>
      </c>
      <c r="D141" t="s">
        <v>3</v>
      </c>
      <c r="E141" t="s">
        <v>865</v>
      </c>
      <c r="F141" s="2">
        <v>50</v>
      </c>
      <c r="G141" t="s">
        <v>710</v>
      </c>
      <c r="I141" t="str">
        <f>VLOOKUP(E141,'Trial Balance'!B:B,1,0)</f>
        <v>Bank Fees and Charges</v>
      </c>
    </row>
    <row r="142" spans="1:9">
      <c r="A142" s="1">
        <v>45825</v>
      </c>
      <c r="B142" s="78">
        <v>45838</v>
      </c>
      <c r="C142" t="s">
        <v>107</v>
      </c>
      <c r="D142" t="s">
        <v>3</v>
      </c>
      <c r="E142" t="s">
        <v>865</v>
      </c>
      <c r="F142" s="2">
        <v>3.75</v>
      </c>
      <c r="G142" t="s">
        <v>710</v>
      </c>
      <c r="I142" t="str">
        <f>VLOOKUP(E142,'Trial Balance'!B:B,1,0)</f>
        <v>Bank Fees and Charges</v>
      </c>
    </row>
    <row r="143" spans="1:9">
      <c r="A143" s="1">
        <v>45825</v>
      </c>
      <c r="B143" s="78">
        <v>45838</v>
      </c>
      <c r="C143" t="s">
        <v>18</v>
      </c>
      <c r="D143" t="s">
        <v>19</v>
      </c>
      <c r="E143" t="s">
        <v>5</v>
      </c>
      <c r="F143" s="2">
        <v>162100</v>
      </c>
      <c r="G143" t="s">
        <v>710</v>
      </c>
      <c r="H143" t="s">
        <v>746</v>
      </c>
      <c r="I143" t="str">
        <f>VLOOKUP(E143,'Trial Balance'!B:B,1,0)</f>
        <v>Other Expenses</v>
      </c>
    </row>
    <row r="144" spans="1:9">
      <c r="A144" s="1">
        <v>45825</v>
      </c>
      <c r="B144" s="78">
        <v>45838</v>
      </c>
      <c r="C144" t="s">
        <v>18</v>
      </c>
      <c r="D144" t="s">
        <v>3</v>
      </c>
      <c r="E144" t="s">
        <v>865</v>
      </c>
      <c r="F144" s="2">
        <v>50</v>
      </c>
      <c r="G144" t="s">
        <v>710</v>
      </c>
      <c r="I144" t="str">
        <f>VLOOKUP(E144,'Trial Balance'!B:B,1,0)</f>
        <v>Bank Fees and Charges</v>
      </c>
    </row>
    <row r="145" spans="1:9">
      <c r="A145" s="1">
        <v>45825</v>
      </c>
      <c r="B145" s="78">
        <v>45838</v>
      </c>
      <c r="C145" t="s">
        <v>18</v>
      </c>
      <c r="D145" t="s">
        <v>3</v>
      </c>
      <c r="E145" t="s">
        <v>865</v>
      </c>
      <c r="F145" s="2">
        <v>3.75</v>
      </c>
      <c r="G145" t="s">
        <v>710</v>
      </c>
      <c r="I145" t="str">
        <f>VLOOKUP(E145,'Trial Balance'!B:B,1,0)</f>
        <v>Bank Fees and Charges</v>
      </c>
    </row>
    <row r="146" spans="1:9">
      <c r="A146" s="1">
        <v>45825</v>
      </c>
      <c r="B146" s="78">
        <v>45838</v>
      </c>
      <c r="C146" t="s">
        <v>108</v>
      </c>
      <c r="D146" t="s">
        <v>4</v>
      </c>
      <c r="E146" t="s">
        <v>874</v>
      </c>
      <c r="F146" s="2">
        <v>164000</v>
      </c>
      <c r="G146" t="s">
        <v>710</v>
      </c>
      <c r="I146" t="str">
        <f>VLOOKUP(E146,'Trial Balance'!B:B,1,0)</f>
        <v>Office Supplies</v>
      </c>
    </row>
    <row r="147" spans="1:9">
      <c r="A147" s="1">
        <v>45825</v>
      </c>
      <c r="B147" s="78">
        <v>45838</v>
      </c>
      <c r="C147" t="s">
        <v>108</v>
      </c>
      <c r="D147" t="s">
        <v>3</v>
      </c>
      <c r="E147" t="s">
        <v>865</v>
      </c>
      <c r="F147" s="2">
        <v>50</v>
      </c>
      <c r="G147" t="s">
        <v>710</v>
      </c>
      <c r="I147" t="str">
        <f>VLOOKUP(E147,'Trial Balance'!B:B,1,0)</f>
        <v>Bank Fees and Charges</v>
      </c>
    </row>
    <row r="148" spans="1:9">
      <c r="A148" s="1">
        <v>45825</v>
      </c>
      <c r="B148" s="78">
        <v>45838</v>
      </c>
      <c r="C148" t="s">
        <v>108</v>
      </c>
      <c r="D148" t="s">
        <v>3</v>
      </c>
      <c r="E148" t="s">
        <v>865</v>
      </c>
      <c r="F148" s="2">
        <v>3.75</v>
      </c>
      <c r="G148" t="s">
        <v>710</v>
      </c>
      <c r="I148" t="str">
        <f>VLOOKUP(E148,'Trial Balance'!B:B,1,0)</f>
        <v>Bank Fees and Charges</v>
      </c>
    </row>
    <row r="149" spans="1:9">
      <c r="A149" s="1">
        <v>45826</v>
      </c>
      <c r="B149" s="78">
        <v>45838</v>
      </c>
      <c r="C149" t="s">
        <v>110</v>
      </c>
      <c r="D149" t="s">
        <v>10</v>
      </c>
      <c r="E149" t="s">
        <v>956</v>
      </c>
      <c r="F149" s="2">
        <v>198660</v>
      </c>
      <c r="G149" t="s">
        <v>710</v>
      </c>
      <c r="I149" t="str">
        <f>VLOOKUP(E149,'Trial Balance'!B:B,1,0)</f>
        <v>Software expense</v>
      </c>
    </row>
    <row r="150" spans="1:9">
      <c r="A150" s="1">
        <v>45826</v>
      </c>
      <c r="B150" s="78">
        <v>45838</v>
      </c>
      <c r="C150" t="s">
        <v>110</v>
      </c>
      <c r="D150" t="s">
        <v>3</v>
      </c>
      <c r="E150" t="s">
        <v>865</v>
      </c>
      <c r="F150" s="2">
        <v>50</v>
      </c>
      <c r="G150" t="s">
        <v>710</v>
      </c>
      <c r="I150" t="str">
        <f>VLOOKUP(E150,'Trial Balance'!B:B,1,0)</f>
        <v>Bank Fees and Charges</v>
      </c>
    </row>
    <row r="151" spans="1:9">
      <c r="A151" s="1">
        <v>45826</v>
      </c>
      <c r="B151" s="78">
        <v>45838</v>
      </c>
      <c r="C151" t="s">
        <v>110</v>
      </c>
      <c r="D151" t="s">
        <v>3</v>
      </c>
      <c r="E151" t="s">
        <v>865</v>
      </c>
      <c r="F151" s="2">
        <v>3.75</v>
      </c>
      <c r="G151" t="s">
        <v>710</v>
      </c>
      <c r="I151" t="str">
        <f>VLOOKUP(E151,'Trial Balance'!B:B,1,0)</f>
        <v>Bank Fees and Charges</v>
      </c>
    </row>
    <row r="152" spans="1:9">
      <c r="A152" s="1">
        <v>45826</v>
      </c>
      <c r="B152" s="78">
        <v>45838</v>
      </c>
      <c r="C152" t="s">
        <v>111</v>
      </c>
      <c r="D152" t="s">
        <v>12</v>
      </c>
      <c r="E152" s="26" t="s">
        <v>2</v>
      </c>
      <c r="F152" s="2">
        <v>-420000</v>
      </c>
      <c r="G152" t="s">
        <v>710</v>
      </c>
      <c r="H152" t="s">
        <v>1309</v>
      </c>
      <c r="I152" t="str">
        <f>VLOOKUP(E152,'Trial Balance'!B:B,1,0)</f>
        <v>Facility rentals</v>
      </c>
    </row>
    <row r="153" spans="1:9">
      <c r="A153" s="1">
        <v>45826</v>
      </c>
      <c r="B153" s="78">
        <v>45838</v>
      </c>
      <c r="C153" t="s">
        <v>112</v>
      </c>
      <c r="D153" t="s">
        <v>3</v>
      </c>
      <c r="E153" t="s">
        <v>865</v>
      </c>
      <c r="F153" s="2">
        <v>50</v>
      </c>
      <c r="G153" t="s">
        <v>710</v>
      </c>
      <c r="I153" t="str">
        <f>VLOOKUP(E153,'Trial Balance'!B:B,1,0)</f>
        <v>Bank Fees and Charges</v>
      </c>
    </row>
    <row r="154" spans="1:9">
      <c r="A154" s="1">
        <v>45827</v>
      </c>
      <c r="B154" s="78">
        <v>45838</v>
      </c>
      <c r="C154" t="s">
        <v>114</v>
      </c>
      <c r="D154" t="s">
        <v>12</v>
      </c>
      <c r="E154" s="26" t="s">
        <v>1354</v>
      </c>
      <c r="F154" s="2">
        <v>-18000</v>
      </c>
      <c r="G154" t="s">
        <v>710</v>
      </c>
      <c r="H154" t="s">
        <v>1303</v>
      </c>
      <c r="I154" t="str">
        <f>VLOOKUP(E154,'Trial Balance'!B:B,1,0)</f>
        <v>Guest entertainment (Income)</v>
      </c>
    </row>
    <row r="155" spans="1:9">
      <c r="A155" s="1">
        <v>45827</v>
      </c>
      <c r="B155" s="78">
        <v>45838</v>
      </c>
      <c r="C155" t="s">
        <v>115</v>
      </c>
      <c r="D155" t="s">
        <v>11</v>
      </c>
      <c r="E155" t="s">
        <v>953</v>
      </c>
      <c r="F155" s="2">
        <v>12000</v>
      </c>
      <c r="G155" t="s">
        <v>710</v>
      </c>
      <c r="I155" t="str">
        <f>VLOOKUP(E155,'Trial Balance'!B:B,1,0)</f>
        <v>Telephone and Data expense</v>
      </c>
    </row>
    <row r="156" spans="1:9">
      <c r="A156" s="1">
        <v>45827</v>
      </c>
      <c r="B156" s="78">
        <v>45838</v>
      </c>
      <c r="C156" t="s">
        <v>115</v>
      </c>
      <c r="D156" t="s">
        <v>3</v>
      </c>
      <c r="E156" t="s">
        <v>865</v>
      </c>
      <c r="F156" s="2">
        <v>25</v>
      </c>
      <c r="G156" t="s">
        <v>710</v>
      </c>
      <c r="I156" t="str">
        <f>VLOOKUP(E156,'Trial Balance'!B:B,1,0)</f>
        <v>Bank Fees and Charges</v>
      </c>
    </row>
    <row r="157" spans="1:9">
      <c r="A157" s="1">
        <v>45827</v>
      </c>
      <c r="B157" s="78">
        <v>45838</v>
      </c>
      <c r="C157" t="s">
        <v>115</v>
      </c>
      <c r="D157" t="s">
        <v>3</v>
      </c>
      <c r="E157" t="s">
        <v>865</v>
      </c>
      <c r="F157" s="2">
        <v>1.8799999952316284</v>
      </c>
      <c r="G157" t="s">
        <v>710</v>
      </c>
      <c r="I157" t="str">
        <f>VLOOKUP(E157,'Trial Balance'!B:B,1,0)</f>
        <v>Bank Fees and Charges</v>
      </c>
    </row>
    <row r="158" spans="1:9">
      <c r="A158" s="1">
        <v>45827</v>
      </c>
      <c r="B158" s="78">
        <v>45838</v>
      </c>
      <c r="C158" t="s">
        <v>116</v>
      </c>
      <c r="D158" t="s">
        <v>4</v>
      </c>
      <c r="E158" t="s">
        <v>874</v>
      </c>
      <c r="F158" s="2">
        <v>304000</v>
      </c>
      <c r="G158" t="s">
        <v>710</v>
      </c>
      <c r="I158" t="str">
        <f>VLOOKUP(E158,'Trial Balance'!B:B,1,0)</f>
        <v>Office Supplies</v>
      </c>
    </row>
    <row r="159" spans="1:9">
      <c r="A159" s="1">
        <v>45827</v>
      </c>
      <c r="B159" s="78">
        <v>45838</v>
      </c>
      <c r="C159" t="s">
        <v>116</v>
      </c>
      <c r="D159" t="s">
        <v>3</v>
      </c>
      <c r="E159" t="s">
        <v>865</v>
      </c>
      <c r="F159" s="2">
        <v>50</v>
      </c>
      <c r="G159" t="s">
        <v>710</v>
      </c>
      <c r="I159" t="str">
        <f>VLOOKUP(E159,'Trial Balance'!B:B,1,0)</f>
        <v>Bank Fees and Charges</v>
      </c>
    </row>
    <row r="160" spans="1:9">
      <c r="A160" s="1">
        <v>45827</v>
      </c>
      <c r="B160" s="78">
        <v>45838</v>
      </c>
      <c r="C160" t="s">
        <v>116</v>
      </c>
      <c r="D160" t="s">
        <v>3</v>
      </c>
      <c r="E160" t="s">
        <v>865</v>
      </c>
      <c r="F160" s="2">
        <v>3.75</v>
      </c>
      <c r="G160" t="s">
        <v>710</v>
      </c>
      <c r="I160" t="str">
        <f>VLOOKUP(E160,'Trial Balance'!B:B,1,0)</f>
        <v>Bank Fees and Charges</v>
      </c>
    </row>
    <row r="161" spans="1:9">
      <c r="A161" s="1">
        <v>45827</v>
      </c>
      <c r="B161" s="78">
        <v>45838</v>
      </c>
      <c r="C161" t="s">
        <v>117</v>
      </c>
      <c r="D161" t="s">
        <v>10</v>
      </c>
      <c r="E161" t="s">
        <v>956</v>
      </c>
      <c r="F161" s="2">
        <v>9470.359999999404</v>
      </c>
      <c r="G161" t="s">
        <v>710</v>
      </c>
      <c r="I161" t="str">
        <f>VLOOKUP(E161,'Trial Balance'!B:B,1,0)</f>
        <v>Software expense</v>
      </c>
    </row>
    <row r="162" spans="1:9">
      <c r="A162" s="1">
        <v>45827</v>
      </c>
      <c r="B162" s="78">
        <v>45838</v>
      </c>
      <c r="C162" t="s">
        <v>117</v>
      </c>
      <c r="D162" t="s">
        <v>3</v>
      </c>
      <c r="E162" t="s">
        <v>865</v>
      </c>
      <c r="F162" s="2">
        <v>25</v>
      </c>
      <c r="G162" t="s">
        <v>710</v>
      </c>
      <c r="I162" t="str">
        <f>VLOOKUP(E162,'Trial Balance'!B:B,1,0)</f>
        <v>Bank Fees and Charges</v>
      </c>
    </row>
    <row r="163" spans="1:9">
      <c r="A163" s="1">
        <v>45827</v>
      </c>
      <c r="B163" s="78">
        <v>45838</v>
      </c>
      <c r="C163" t="s">
        <v>117</v>
      </c>
      <c r="D163" t="s">
        <v>3</v>
      </c>
      <c r="E163" t="s">
        <v>865</v>
      </c>
      <c r="F163" s="2">
        <v>1.8799999952316284</v>
      </c>
      <c r="G163" t="s">
        <v>710</v>
      </c>
      <c r="I163" t="str">
        <f>VLOOKUP(E163,'Trial Balance'!B:B,1,0)</f>
        <v>Bank Fees and Charges</v>
      </c>
    </row>
    <row r="164" spans="1:9">
      <c r="A164" s="1">
        <v>45827</v>
      </c>
      <c r="B164" s="78">
        <v>45838</v>
      </c>
      <c r="C164" t="s">
        <v>118</v>
      </c>
      <c r="D164" t="s">
        <v>4</v>
      </c>
      <c r="E164" t="s">
        <v>874</v>
      </c>
      <c r="F164" s="2">
        <v>150000</v>
      </c>
      <c r="G164" t="s">
        <v>710</v>
      </c>
      <c r="I164" t="str">
        <f>VLOOKUP(E164,'Trial Balance'!B:B,1,0)</f>
        <v>Office Supplies</v>
      </c>
    </row>
    <row r="165" spans="1:9">
      <c r="A165" s="1">
        <v>45827</v>
      </c>
      <c r="B165" s="78">
        <v>45838</v>
      </c>
      <c r="C165" t="s">
        <v>118</v>
      </c>
      <c r="D165" t="s">
        <v>3</v>
      </c>
      <c r="E165" t="s">
        <v>865</v>
      </c>
      <c r="F165" s="2">
        <v>50</v>
      </c>
      <c r="G165" t="s">
        <v>710</v>
      </c>
      <c r="I165" t="str">
        <f>VLOOKUP(E165,'Trial Balance'!B:B,1,0)</f>
        <v>Bank Fees and Charges</v>
      </c>
    </row>
    <row r="166" spans="1:9">
      <c r="A166" s="1">
        <v>45827</v>
      </c>
      <c r="B166" s="78">
        <v>45838</v>
      </c>
      <c r="C166" t="s">
        <v>118</v>
      </c>
      <c r="D166" t="s">
        <v>3</v>
      </c>
      <c r="E166" t="s">
        <v>865</v>
      </c>
      <c r="F166" s="2">
        <v>3.75</v>
      </c>
      <c r="G166" t="s">
        <v>710</v>
      </c>
      <c r="I166" t="str">
        <f>VLOOKUP(E166,'Trial Balance'!B:B,1,0)</f>
        <v>Bank Fees and Charges</v>
      </c>
    </row>
    <row r="167" spans="1:9">
      <c r="A167" s="1">
        <v>45827</v>
      </c>
      <c r="B167" s="78">
        <v>45838</v>
      </c>
      <c r="C167" t="s">
        <v>119</v>
      </c>
      <c r="D167" t="s">
        <v>19</v>
      </c>
      <c r="E167" t="s">
        <v>800</v>
      </c>
      <c r="F167" s="2">
        <v>720000</v>
      </c>
      <c r="G167" t="s">
        <v>710</v>
      </c>
      <c r="H167" t="s">
        <v>745</v>
      </c>
      <c r="I167" t="str">
        <f>VLOOKUP(E167,'Trial Balance'!B:B,1,0)</f>
        <v>Repairs and Maintenance</v>
      </c>
    </row>
    <row r="168" spans="1:9">
      <c r="A168" s="1">
        <v>45827</v>
      </c>
      <c r="B168" s="78">
        <v>45838</v>
      </c>
      <c r="C168" t="s">
        <v>119</v>
      </c>
      <c r="D168" t="s">
        <v>3</v>
      </c>
      <c r="E168" t="s">
        <v>865</v>
      </c>
      <c r="F168" s="2">
        <v>50</v>
      </c>
      <c r="G168" t="s">
        <v>710</v>
      </c>
      <c r="I168" t="str">
        <f>VLOOKUP(E168,'Trial Balance'!B:B,1,0)</f>
        <v>Bank Fees and Charges</v>
      </c>
    </row>
    <row r="169" spans="1:9">
      <c r="A169" s="1">
        <v>45827</v>
      </c>
      <c r="B169" s="78">
        <v>45838</v>
      </c>
      <c r="C169" t="s">
        <v>119</v>
      </c>
      <c r="D169" t="s">
        <v>3</v>
      </c>
      <c r="E169" t="s">
        <v>865</v>
      </c>
      <c r="F169" s="2">
        <v>3.75</v>
      </c>
      <c r="G169" t="s">
        <v>710</v>
      </c>
      <c r="I169" t="str">
        <f>VLOOKUP(E169,'Trial Balance'!B:B,1,0)</f>
        <v>Bank Fees and Charges</v>
      </c>
    </row>
    <row r="170" spans="1:9">
      <c r="A170" s="1">
        <v>45827</v>
      </c>
      <c r="B170" s="78">
        <v>45838</v>
      </c>
      <c r="C170" t="s">
        <v>120</v>
      </c>
      <c r="D170" t="s">
        <v>3</v>
      </c>
      <c r="E170" t="s">
        <v>865</v>
      </c>
      <c r="F170" s="2">
        <v>50</v>
      </c>
      <c r="G170" t="s">
        <v>710</v>
      </c>
      <c r="I170" t="str">
        <f>VLOOKUP(E170,'Trial Balance'!B:B,1,0)</f>
        <v>Bank Fees and Charges</v>
      </c>
    </row>
    <row r="171" spans="1:9">
      <c r="A171" s="1">
        <v>45828</v>
      </c>
      <c r="B171" s="78">
        <v>45838</v>
      </c>
      <c r="C171" t="s">
        <v>122</v>
      </c>
      <c r="D171" t="s">
        <v>19</v>
      </c>
      <c r="E171" t="s">
        <v>963</v>
      </c>
      <c r="F171" s="2">
        <v>320161.25</v>
      </c>
      <c r="G171" t="s">
        <v>710</v>
      </c>
      <c r="H171" t="s">
        <v>747</v>
      </c>
      <c r="I171" t="str">
        <f>VLOOKUP(E171,'Trial Balance'!B:B,1,0)</f>
        <v>Employee related costs</v>
      </c>
    </row>
    <row r="172" spans="1:9">
      <c r="A172" s="1">
        <v>45828</v>
      </c>
      <c r="B172" s="78">
        <v>45838</v>
      </c>
      <c r="C172" t="s">
        <v>123</v>
      </c>
      <c r="D172" t="s">
        <v>12</v>
      </c>
      <c r="E172" s="26" t="s">
        <v>1354</v>
      </c>
      <c r="F172" s="2">
        <v>-48000</v>
      </c>
      <c r="G172" t="s">
        <v>710</v>
      </c>
      <c r="H172" t="s">
        <v>1312</v>
      </c>
      <c r="I172" t="str">
        <f>VLOOKUP(E172,'Trial Balance'!B:B,1,0)</f>
        <v>Guest entertainment (Income)</v>
      </c>
    </row>
    <row r="173" spans="1:9">
      <c r="A173" s="1">
        <v>45828</v>
      </c>
      <c r="B173" s="78">
        <v>45838</v>
      </c>
      <c r="C173" t="s">
        <v>124</v>
      </c>
      <c r="D173" t="s">
        <v>15</v>
      </c>
      <c r="E173" t="s">
        <v>1353</v>
      </c>
      <c r="F173" s="2">
        <v>48000</v>
      </c>
      <c r="G173" t="s">
        <v>710</v>
      </c>
      <c r="I173" t="str">
        <f>VLOOKUP(E173,'Trial Balance'!B:B,1,0)</f>
        <v>Guest entertainment</v>
      </c>
    </row>
    <row r="174" spans="1:9">
      <c r="A174" s="1">
        <v>45828</v>
      </c>
      <c r="B174" s="78">
        <v>45838</v>
      </c>
      <c r="C174" t="s">
        <v>125</v>
      </c>
      <c r="D174" t="s">
        <v>3</v>
      </c>
      <c r="E174" t="s">
        <v>865</v>
      </c>
      <c r="F174" s="2">
        <v>25</v>
      </c>
      <c r="G174" t="s">
        <v>710</v>
      </c>
      <c r="I174" t="str">
        <f>VLOOKUP(E174,'Trial Balance'!B:B,1,0)</f>
        <v>Bank Fees and Charges</v>
      </c>
    </row>
    <row r="175" spans="1:9">
      <c r="A175" s="1">
        <v>45828</v>
      </c>
      <c r="B175" s="78">
        <v>45838</v>
      </c>
      <c r="C175" t="s">
        <v>125</v>
      </c>
      <c r="D175" t="s">
        <v>3</v>
      </c>
      <c r="E175" t="s">
        <v>865</v>
      </c>
      <c r="F175" s="2">
        <v>1.8800000101327896</v>
      </c>
      <c r="G175" t="s">
        <v>710</v>
      </c>
      <c r="I175" t="str">
        <f>VLOOKUP(E175,'Trial Balance'!B:B,1,0)</f>
        <v>Bank Fees and Charges</v>
      </c>
    </row>
    <row r="176" spans="1:9">
      <c r="A176" s="1">
        <v>45828</v>
      </c>
      <c r="B176" s="78">
        <v>45838</v>
      </c>
      <c r="C176" t="s">
        <v>126</v>
      </c>
      <c r="D176" t="s">
        <v>3</v>
      </c>
      <c r="E176" t="s">
        <v>865</v>
      </c>
      <c r="F176" s="2">
        <v>50</v>
      </c>
      <c r="G176" t="s">
        <v>710</v>
      </c>
      <c r="I176" t="str">
        <f>VLOOKUP(E176,'Trial Balance'!B:B,1,0)</f>
        <v>Bank Fees and Charges</v>
      </c>
    </row>
    <row r="177" spans="1:9">
      <c r="A177" s="1">
        <v>45831</v>
      </c>
      <c r="B177" s="78">
        <v>45838</v>
      </c>
      <c r="C177" t="s">
        <v>128</v>
      </c>
      <c r="D177" t="s">
        <v>15</v>
      </c>
      <c r="E177" t="s">
        <v>1353</v>
      </c>
      <c r="F177" s="2">
        <v>142500</v>
      </c>
      <c r="G177" t="s">
        <v>710</v>
      </c>
      <c r="I177" t="str">
        <f>VLOOKUP(E177,'Trial Balance'!B:B,1,0)</f>
        <v>Guest entertainment</v>
      </c>
    </row>
    <row r="178" spans="1:9">
      <c r="A178" s="1">
        <v>45831</v>
      </c>
      <c r="B178" s="78">
        <v>45838</v>
      </c>
      <c r="C178" t="s">
        <v>128</v>
      </c>
      <c r="D178" t="s">
        <v>3</v>
      </c>
      <c r="E178" t="s">
        <v>865</v>
      </c>
      <c r="F178" s="2">
        <v>50</v>
      </c>
      <c r="G178" t="s">
        <v>710</v>
      </c>
      <c r="I178" t="str">
        <f>VLOOKUP(E178,'Trial Balance'!B:B,1,0)</f>
        <v>Bank Fees and Charges</v>
      </c>
    </row>
    <row r="179" spans="1:9">
      <c r="A179" s="1">
        <v>45831</v>
      </c>
      <c r="B179" s="78">
        <v>45838</v>
      </c>
      <c r="C179" t="s">
        <v>128</v>
      </c>
      <c r="D179" t="s">
        <v>3</v>
      </c>
      <c r="E179" t="s">
        <v>865</v>
      </c>
      <c r="F179" s="2">
        <v>3.75</v>
      </c>
      <c r="G179" t="s">
        <v>710</v>
      </c>
      <c r="I179" t="str">
        <f>VLOOKUP(E179,'Trial Balance'!B:B,1,0)</f>
        <v>Bank Fees and Charges</v>
      </c>
    </row>
    <row r="180" spans="1:9">
      <c r="A180" s="1">
        <v>45831</v>
      </c>
      <c r="B180" s="78">
        <v>45838</v>
      </c>
      <c r="C180" t="s">
        <v>129</v>
      </c>
      <c r="D180" t="s">
        <v>11</v>
      </c>
      <c r="E180" t="s">
        <v>953</v>
      </c>
      <c r="F180" s="2">
        <v>30000</v>
      </c>
      <c r="G180" t="s">
        <v>710</v>
      </c>
      <c r="I180" t="str">
        <f>VLOOKUP(E180,'Trial Balance'!B:B,1,0)</f>
        <v>Telephone and Data expense</v>
      </c>
    </row>
    <row r="181" spans="1:9">
      <c r="A181" s="1">
        <v>45831</v>
      </c>
      <c r="B181" s="78">
        <v>45838</v>
      </c>
      <c r="C181" t="s">
        <v>129</v>
      </c>
      <c r="D181" t="s">
        <v>3</v>
      </c>
      <c r="E181" t="s">
        <v>865</v>
      </c>
      <c r="F181" s="2">
        <v>25</v>
      </c>
      <c r="G181" t="s">
        <v>710</v>
      </c>
      <c r="I181" t="str">
        <f>VLOOKUP(E181,'Trial Balance'!B:B,1,0)</f>
        <v>Bank Fees and Charges</v>
      </c>
    </row>
    <row r="182" spans="1:9">
      <c r="A182" s="1">
        <v>45831</v>
      </c>
      <c r="B182" s="78">
        <v>45838</v>
      </c>
      <c r="C182" t="s">
        <v>129</v>
      </c>
      <c r="D182" t="s">
        <v>3</v>
      </c>
      <c r="E182" t="s">
        <v>865</v>
      </c>
      <c r="F182" s="2">
        <v>1.8799999952316284</v>
      </c>
      <c r="G182" t="s">
        <v>710</v>
      </c>
      <c r="I182" t="str">
        <f>VLOOKUP(E182,'Trial Balance'!B:B,1,0)</f>
        <v>Bank Fees and Charges</v>
      </c>
    </row>
    <row r="183" spans="1:9">
      <c r="A183" s="1">
        <v>45831</v>
      </c>
      <c r="B183" s="78">
        <v>45838</v>
      </c>
      <c r="C183" t="s">
        <v>130</v>
      </c>
      <c r="D183" t="s">
        <v>4</v>
      </c>
      <c r="E183" t="s">
        <v>874</v>
      </c>
      <c r="F183" s="2">
        <v>149000</v>
      </c>
      <c r="G183" t="s">
        <v>710</v>
      </c>
      <c r="I183" t="str">
        <f>VLOOKUP(E183,'Trial Balance'!B:B,1,0)</f>
        <v>Office Supplies</v>
      </c>
    </row>
    <row r="184" spans="1:9">
      <c r="A184" s="1">
        <v>45831</v>
      </c>
      <c r="B184" s="78">
        <v>45838</v>
      </c>
      <c r="C184" t="s">
        <v>130</v>
      </c>
      <c r="D184" t="s">
        <v>3</v>
      </c>
      <c r="E184" t="s">
        <v>865</v>
      </c>
      <c r="F184" s="2">
        <v>50</v>
      </c>
      <c r="G184" t="s">
        <v>710</v>
      </c>
      <c r="I184" t="str">
        <f>VLOOKUP(E184,'Trial Balance'!B:B,1,0)</f>
        <v>Bank Fees and Charges</v>
      </c>
    </row>
    <row r="185" spans="1:9">
      <c r="A185" s="1">
        <v>45831</v>
      </c>
      <c r="B185" s="78">
        <v>45838</v>
      </c>
      <c r="C185" t="s">
        <v>130</v>
      </c>
      <c r="D185" t="s">
        <v>3</v>
      </c>
      <c r="E185" t="s">
        <v>865</v>
      </c>
      <c r="F185" s="2">
        <v>3.75</v>
      </c>
      <c r="G185" t="s">
        <v>710</v>
      </c>
      <c r="I185" t="str">
        <f>VLOOKUP(E185,'Trial Balance'!B:B,1,0)</f>
        <v>Bank Fees and Charges</v>
      </c>
    </row>
    <row r="186" spans="1:9">
      <c r="A186" s="1">
        <v>45831</v>
      </c>
      <c r="B186" s="78">
        <v>45838</v>
      </c>
      <c r="C186" t="s">
        <v>131</v>
      </c>
      <c r="D186" t="s">
        <v>4</v>
      </c>
      <c r="E186" t="s">
        <v>874</v>
      </c>
      <c r="F186" s="2">
        <v>50000</v>
      </c>
      <c r="G186" t="s">
        <v>710</v>
      </c>
      <c r="I186" t="str">
        <f>VLOOKUP(E186,'Trial Balance'!B:B,1,0)</f>
        <v>Office Supplies</v>
      </c>
    </row>
    <row r="187" spans="1:9">
      <c r="A187" s="1">
        <v>45831</v>
      </c>
      <c r="B187" s="78">
        <v>45838</v>
      </c>
      <c r="C187" t="s">
        <v>131</v>
      </c>
      <c r="D187" t="s">
        <v>3</v>
      </c>
      <c r="E187" t="s">
        <v>865</v>
      </c>
      <c r="F187" s="2">
        <v>25</v>
      </c>
      <c r="G187" t="s">
        <v>710</v>
      </c>
      <c r="I187" t="str">
        <f>VLOOKUP(E187,'Trial Balance'!B:B,1,0)</f>
        <v>Bank Fees and Charges</v>
      </c>
    </row>
    <row r="188" spans="1:9">
      <c r="A188" s="1">
        <v>45831</v>
      </c>
      <c r="B188" s="78">
        <v>45838</v>
      </c>
      <c r="C188" t="s">
        <v>131</v>
      </c>
      <c r="D188" t="s">
        <v>3</v>
      </c>
      <c r="E188" t="s">
        <v>865</v>
      </c>
      <c r="F188" s="2">
        <v>1.8799999952316284</v>
      </c>
      <c r="G188" t="s">
        <v>710</v>
      </c>
      <c r="I188" t="str">
        <f>VLOOKUP(E188,'Trial Balance'!B:B,1,0)</f>
        <v>Bank Fees and Charges</v>
      </c>
    </row>
    <row r="189" spans="1:9">
      <c r="A189" s="1">
        <v>45831</v>
      </c>
      <c r="B189" s="78">
        <v>45838</v>
      </c>
      <c r="C189" t="s">
        <v>132</v>
      </c>
      <c r="D189" t="s">
        <v>10</v>
      </c>
      <c r="E189" t="s">
        <v>956</v>
      </c>
      <c r="F189" s="2">
        <v>99330</v>
      </c>
      <c r="G189" t="s">
        <v>710</v>
      </c>
      <c r="I189" t="str">
        <f>VLOOKUP(E189,'Trial Balance'!B:B,1,0)</f>
        <v>Software expense</v>
      </c>
    </row>
    <row r="190" spans="1:9">
      <c r="A190" s="1">
        <v>45831</v>
      </c>
      <c r="B190" s="78">
        <v>45838</v>
      </c>
      <c r="C190" t="s">
        <v>132</v>
      </c>
      <c r="D190" t="s">
        <v>3</v>
      </c>
      <c r="E190" t="s">
        <v>865</v>
      </c>
      <c r="F190" s="2">
        <v>50</v>
      </c>
      <c r="G190" t="s">
        <v>710</v>
      </c>
      <c r="I190" t="str">
        <f>VLOOKUP(E190,'Trial Balance'!B:B,1,0)</f>
        <v>Bank Fees and Charges</v>
      </c>
    </row>
    <row r="191" spans="1:9">
      <c r="A191" s="1">
        <v>45831</v>
      </c>
      <c r="B191" s="78">
        <v>45838</v>
      </c>
      <c r="C191" t="s">
        <v>132</v>
      </c>
      <c r="D191" t="s">
        <v>3</v>
      </c>
      <c r="E191" t="s">
        <v>865</v>
      </c>
      <c r="F191" s="2">
        <v>3.75</v>
      </c>
      <c r="G191" t="s">
        <v>710</v>
      </c>
      <c r="I191" t="str">
        <f>VLOOKUP(E191,'Trial Balance'!B:B,1,0)</f>
        <v>Bank Fees and Charges</v>
      </c>
    </row>
    <row r="192" spans="1:9">
      <c r="A192" s="1">
        <v>45831</v>
      </c>
      <c r="B192" s="78">
        <v>45838</v>
      </c>
      <c r="C192" t="s">
        <v>133</v>
      </c>
      <c r="D192" t="s">
        <v>4</v>
      </c>
      <c r="E192" t="s">
        <v>874</v>
      </c>
      <c r="F192" s="2">
        <v>10400</v>
      </c>
      <c r="G192" t="s">
        <v>710</v>
      </c>
      <c r="I192" t="str">
        <f>VLOOKUP(E192,'Trial Balance'!B:B,1,0)</f>
        <v>Office Supplies</v>
      </c>
    </row>
    <row r="193" spans="1:9">
      <c r="A193" s="1">
        <v>45831</v>
      </c>
      <c r="B193" s="78">
        <v>45838</v>
      </c>
      <c r="C193" t="s">
        <v>133</v>
      </c>
      <c r="D193" t="s">
        <v>3</v>
      </c>
      <c r="E193" t="s">
        <v>865</v>
      </c>
      <c r="F193" s="2">
        <v>25</v>
      </c>
      <c r="G193" t="s">
        <v>710</v>
      </c>
      <c r="I193" t="str">
        <f>VLOOKUP(E193,'Trial Balance'!B:B,1,0)</f>
        <v>Bank Fees and Charges</v>
      </c>
    </row>
    <row r="194" spans="1:9">
      <c r="A194" s="1">
        <v>45831</v>
      </c>
      <c r="B194" s="78">
        <v>45838</v>
      </c>
      <c r="C194" t="s">
        <v>133</v>
      </c>
      <c r="D194" t="s">
        <v>3</v>
      </c>
      <c r="E194" t="s">
        <v>865</v>
      </c>
      <c r="F194" s="2">
        <v>1.8800000101327896</v>
      </c>
      <c r="G194" t="s">
        <v>710</v>
      </c>
      <c r="I194" t="str">
        <f>VLOOKUP(E194,'Trial Balance'!B:B,1,0)</f>
        <v>Bank Fees and Charges</v>
      </c>
    </row>
    <row r="195" spans="1:9">
      <c r="A195" s="1">
        <v>45831</v>
      </c>
      <c r="B195" s="78">
        <v>45838</v>
      </c>
      <c r="C195" t="s">
        <v>134</v>
      </c>
      <c r="D195" t="s">
        <v>20</v>
      </c>
      <c r="E195" t="s">
        <v>911</v>
      </c>
      <c r="F195" s="2">
        <v>465000</v>
      </c>
      <c r="G195" t="s">
        <v>710</v>
      </c>
      <c r="I195" t="str">
        <f>VLOOKUP(E195,'Trial Balance'!B:B,1,0)</f>
        <v>Furniture and Equipment</v>
      </c>
    </row>
    <row r="196" spans="1:9">
      <c r="A196" s="1">
        <v>45831</v>
      </c>
      <c r="B196" s="78">
        <v>45838</v>
      </c>
      <c r="C196" t="s">
        <v>134</v>
      </c>
      <c r="D196" t="s">
        <v>3</v>
      </c>
      <c r="E196" t="s">
        <v>865</v>
      </c>
      <c r="F196" s="2">
        <v>50</v>
      </c>
      <c r="G196" t="s">
        <v>710</v>
      </c>
      <c r="I196" t="str">
        <f>VLOOKUP(E196,'Trial Balance'!B:B,1,0)</f>
        <v>Bank Fees and Charges</v>
      </c>
    </row>
    <row r="197" spans="1:9">
      <c r="A197" s="1">
        <v>45831</v>
      </c>
      <c r="B197" s="78">
        <v>45838</v>
      </c>
      <c r="C197" t="s">
        <v>134</v>
      </c>
      <c r="D197" t="s">
        <v>3</v>
      </c>
      <c r="E197" t="s">
        <v>865</v>
      </c>
      <c r="F197" s="2">
        <v>3.75</v>
      </c>
      <c r="G197" t="s">
        <v>710</v>
      </c>
      <c r="I197" t="str">
        <f>VLOOKUP(E197,'Trial Balance'!B:B,1,0)</f>
        <v>Bank Fees and Charges</v>
      </c>
    </row>
    <row r="198" spans="1:9">
      <c r="A198" s="1">
        <v>45832</v>
      </c>
      <c r="B198" s="78">
        <v>45838</v>
      </c>
      <c r="C198" t="s">
        <v>136</v>
      </c>
      <c r="D198" t="s">
        <v>15</v>
      </c>
      <c r="E198" t="s">
        <v>1353</v>
      </c>
      <c r="F198" s="2">
        <v>8000</v>
      </c>
      <c r="G198" t="s">
        <v>710</v>
      </c>
      <c r="I198" t="str">
        <f>VLOOKUP(E198,'Trial Balance'!B:B,1,0)</f>
        <v>Guest entertainment</v>
      </c>
    </row>
    <row r="199" spans="1:9">
      <c r="A199" s="1">
        <v>45832</v>
      </c>
      <c r="B199" s="78">
        <v>45838</v>
      </c>
      <c r="C199" t="s">
        <v>136</v>
      </c>
      <c r="D199" t="s">
        <v>3</v>
      </c>
      <c r="E199" t="s">
        <v>865</v>
      </c>
      <c r="F199" s="2">
        <v>25</v>
      </c>
      <c r="G199" t="s">
        <v>710</v>
      </c>
      <c r="I199" t="str">
        <f>VLOOKUP(E199,'Trial Balance'!B:B,1,0)</f>
        <v>Bank Fees and Charges</v>
      </c>
    </row>
    <row r="200" spans="1:9">
      <c r="A200" s="1">
        <v>45832</v>
      </c>
      <c r="B200" s="78">
        <v>45838</v>
      </c>
      <c r="C200" t="s">
        <v>136</v>
      </c>
      <c r="D200" t="s">
        <v>3</v>
      </c>
      <c r="E200" t="s">
        <v>865</v>
      </c>
      <c r="F200" s="2">
        <v>1.8799999952316284</v>
      </c>
      <c r="G200" t="s">
        <v>710</v>
      </c>
      <c r="I200" t="str">
        <f>VLOOKUP(E200,'Trial Balance'!B:B,1,0)</f>
        <v>Bank Fees and Charges</v>
      </c>
    </row>
    <row r="201" spans="1:9">
      <c r="A201" s="1">
        <v>45832</v>
      </c>
      <c r="B201" s="78">
        <v>45838</v>
      </c>
      <c r="C201" t="s">
        <v>137</v>
      </c>
      <c r="D201" t="s">
        <v>8</v>
      </c>
      <c r="E201" t="s">
        <v>815</v>
      </c>
      <c r="F201" s="2">
        <v>39000</v>
      </c>
      <c r="G201" t="s">
        <v>710</v>
      </c>
      <c r="I201" t="str">
        <f>VLOOKUP(E201,'Trial Balance'!B:B,1,0)</f>
        <v>Salaries and Employee Wages</v>
      </c>
    </row>
    <row r="202" spans="1:9">
      <c r="A202" s="1">
        <v>45832</v>
      </c>
      <c r="B202" s="78">
        <v>45838</v>
      </c>
      <c r="C202" t="s">
        <v>137</v>
      </c>
      <c r="D202" t="s">
        <v>3</v>
      </c>
      <c r="E202" t="s">
        <v>865</v>
      </c>
      <c r="F202" s="2">
        <v>25</v>
      </c>
      <c r="G202" t="s">
        <v>710</v>
      </c>
      <c r="I202" t="str">
        <f>VLOOKUP(E202,'Trial Balance'!B:B,1,0)</f>
        <v>Bank Fees and Charges</v>
      </c>
    </row>
    <row r="203" spans="1:9">
      <c r="A203" s="1">
        <v>45832</v>
      </c>
      <c r="B203" s="78">
        <v>45838</v>
      </c>
      <c r="C203" t="s">
        <v>137</v>
      </c>
      <c r="D203" t="s">
        <v>3</v>
      </c>
      <c r="E203" t="s">
        <v>865</v>
      </c>
      <c r="F203" s="2">
        <v>1.8799999952316284</v>
      </c>
      <c r="G203" t="s">
        <v>710</v>
      </c>
      <c r="I203" t="str">
        <f>VLOOKUP(E203,'Trial Balance'!B:B,1,0)</f>
        <v>Bank Fees and Charges</v>
      </c>
    </row>
    <row r="204" spans="1:9">
      <c r="A204" s="1">
        <v>45832</v>
      </c>
      <c r="B204" s="78">
        <v>45838</v>
      </c>
      <c r="C204" t="s">
        <v>138</v>
      </c>
      <c r="D204" t="s">
        <v>15</v>
      </c>
      <c r="E204" t="s">
        <v>809</v>
      </c>
      <c r="F204" s="2">
        <v>15200</v>
      </c>
      <c r="G204" t="s">
        <v>710</v>
      </c>
      <c r="I204" t="str">
        <f>VLOOKUP(E204,'Trial Balance'!B:B,1,0)</f>
        <v>Meals and Entertainment</v>
      </c>
    </row>
    <row r="205" spans="1:9">
      <c r="A205" s="1">
        <v>45832</v>
      </c>
      <c r="B205" s="78">
        <v>45838</v>
      </c>
      <c r="C205" t="s">
        <v>138</v>
      </c>
      <c r="D205" t="s">
        <v>3</v>
      </c>
      <c r="E205" t="s">
        <v>865</v>
      </c>
      <c r="F205" s="2">
        <v>25</v>
      </c>
      <c r="G205" t="s">
        <v>710</v>
      </c>
      <c r="I205" t="str">
        <f>VLOOKUP(E205,'Trial Balance'!B:B,1,0)</f>
        <v>Bank Fees and Charges</v>
      </c>
    </row>
    <row r="206" spans="1:9">
      <c r="A206" s="1">
        <v>45832</v>
      </c>
      <c r="B206" s="78">
        <v>45838</v>
      </c>
      <c r="C206" t="s">
        <v>138</v>
      </c>
      <c r="D206" t="s">
        <v>3</v>
      </c>
      <c r="E206" t="s">
        <v>865</v>
      </c>
      <c r="F206" s="2">
        <v>1.8800000101327896</v>
      </c>
      <c r="G206" t="s">
        <v>710</v>
      </c>
      <c r="I206" t="str">
        <f>VLOOKUP(E206,'Trial Balance'!B:B,1,0)</f>
        <v>Bank Fees and Charges</v>
      </c>
    </row>
    <row r="207" spans="1:9">
      <c r="A207" s="1">
        <v>45832</v>
      </c>
      <c r="B207" s="78">
        <v>45838</v>
      </c>
      <c r="C207" t="s">
        <v>139</v>
      </c>
      <c r="D207" t="s">
        <v>15</v>
      </c>
      <c r="E207" t="s">
        <v>1353</v>
      </c>
      <c r="F207" s="2">
        <v>18900</v>
      </c>
      <c r="G207" t="s">
        <v>710</v>
      </c>
      <c r="I207" t="str">
        <f>VLOOKUP(E207,'Trial Balance'!B:B,1,0)</f>
        <v>Guest entertainment</v>
      </c>
    </row>
    <row r="208" spans="1:9">
      <c r="A208" s="1">
        <v>45832</v>
      </c>
      <c r="B208" s="78">
        <v>45838</v>
      </c>
      <c r="C208" t="s">
        <v>139</v>
      </c>
      <c r="D208" t="s">
        <v>3</v>
      </c>
      <c r="E208" t="s">
        <v>865</v>
      </c>
      <c r="F208" s="2">
        <v>25</v>
      </c>
      <c r="G208" t="s">
        <v>710</v>
      </c>
      <c r="I208" t="str">
        <f>VLOOKUP(E208,'Trial Balance'!B:B,1,0)</f>
        <v>Bank Fees and Charges</v>
      </c>
    </row>
    <row r="209" spans="1:9">
      <c r="A209" s="1">
        <v>45832</v>
      </c>
      <c r="B209" s="78">
        <v>45838</v>
      </c>
      <c r="C209" t="s">
        <v>139</v>
      </c>
      <c r="D209" t="s">
        <v>3</v>
      </c>
      <c r="E209" t="s">
        <v>865</v>
      </c>
      <c r="F209" s="2">
        <v>1.8799999952316284</v>
      </c>
      <c r="G209" t="s">
        <v>710</v>
      </c>
      <c r="I209" t="str">
        <f>VLOOKUP(E209,'Trial Balance'!B:B,1,0)</f>
        <v>Bank Fees and Charges</v>
      </c>
    </row>
    <row r="210" spans="1:9">
      <c r="A210" s="1">
        <v>45832</v>
      </c>
      <c r="B210" s="78">
        <v>45838</v>
      </c>
      <c r="C210" t="s">
        <v>140</v>
      </c>
      <c r="D210" t="s">
        <v>26</v>
      </c>
      <c r="E210" t="s">
        <v>976</v>
      </c>
      <c r="F210" s="2">
        <v>3600</v>
      </c>
      <c r="G210" t="s">
        <v>710</v>
      </c>
      <c r="I210" t="str">
        <f>VLOOKUP(E210,'Trial Balance'!B:B,1,0)</f>
        <v>Travel expense - Local</v>
      </c>
    </row>
    <row r="211" spans="1:9">
      <c r="A211" s="1">
        <v>45832</v>
      </c>
      <c r="B211" s="78">
        <v>45838</v>
      </c>
      <c r="C211" t="s">
        <v>140</v>
      </c>
      <c r="D211" t="s">
        <v>3</v>
      </c>
      <c r="E211" t="s">
        <v>865</v>
      </c>
      <c r="F211" s="2">
        <v>10</v>
      </c>
      <c r="G211" t="s">
        <v>710</v>
      </c>
      <c r="I211" t="str">
        <f>VLOOKUP(E211,'Trial Balance'!B:B,1,0)</f>
        <v>Bank Fees and Charges</v>
      </c>
    </row>
    <row r="212" spans="1:9">
      <c r="A212" s="1">
        <v>45832</v>
      </c>
      <c r="B212" s="78">
        <v>45838</v>
      </c>
      <c r="C212" t="s">
        <v>140</v>
      </c>
      <c r="D212" t="s">
        <v>3</v>
      </c>
      <c r="E212" t="s">
        <v>865</v>
      </c>
      <c r="F212" s="2">
        <v>0.75</v>
      </c>
      <c r="G212" t="s">
        <v>710</v>
      </c>
      <c r="I212" t="str">
        <f>VLOOKUP(E212,'Trial Balance'!B:B,1,0)</f>
        <v>Bank Fees and Charges</v>
      </c>
    </row>
    <row r="213" spans="1:9">
      <c r="A213" s="1">
        <v>45832</v>
      </c>
      <c r="B213" s="78">
        <v>45838</v>
      </c>
      <c r="C213" t="s">
        <v>141</v>
      </c>
      <c r="D213" t="s">
        <v>13</v>
      </c>
      <c r="E213" t="s">
        <v>800</v>
      </c>
      <c r="F213" s="2">
        <v>15000</v>
      </c>
      <c r="G213" t="s">
        <v>710</v>
      </c>
      <c r="I213" t="str">
        <f>VLOOKUP(E213,'Trial Balance'!B:B,1,0)</f>
        <v>Repairs and Maintenance</v>
      </c>
    </row>
    <row r="214" spans="1:9">
      <c r="A214" s="1">
        <v>45832</v>
      </c>
      <c r="B214" s="78">
        <v>45838</v>
      </c>
      <c r="C214" t="s">
        <v>141</v>
      </c>
      <c r="D214" t="s">
        <v>3</v>
      </c>
      <c r="E214" t="s">
        <v>865</v>
      </c>
      <c r="F214" s="2">
        <v>25</v>
      </c>
      <c r="G214" t="s">
        <v>710</v>
      </c>
      <c r="I214" t="str">
        <f>VLOOKUP(E214,'Trial Balance'!B:B,1,0)</f>
        <v>Bank Fees and Charges</v>
      </c>
    </row>
    <row r="215" spans="1:9">
      <c r="A215" s="1">
        <v>45832</v>
      </c>
      <c r="B215" s="78">
        <v>45838</v>
      </c>
      <c r="C215" t="s">
        <v>141</v>
      </c>
      <c r="D215" t="s">
        <v>3</v>
      </c>
      <c r="E215" t="s">
        <v>865</v>
      </c>
      <c r="F215" s="2">
        <v>1.8799999952316284</v>
      </c>
      <c r="G215" t="s">
        <v>710</v>
      </c>
      <c r="I215" t="str">
        <f>VLOOKUP(E215,'Trial Balance'!B:B,1,0)</f>
        <v>Bank Fees and Charges</v>
      </c>
    </row>
    <row r="216" spans="1:9">
      <c r="A216" s="1">
        <v>45832</v>
      </c>
      <c r="B216" s="78">
        <v>45838</v>
      </c>
      <c r="C216" t="s">
        <v>142</v>
      </c>
      <c r="D216" t="s">
        <v>4</v>
      </c>
      <c r="E216" t="s">
        <v>874</v>
      </c>
      <c r="F216" s="2">
        <v>13600</v>
      </c>
      <c r="G216" t="s">
        <v>710</v>
      </c>
      <c r="I216" t="str">
        <f>VLOOKUP(E216,'Trial Balance'!B:B,1,0)</f>
        <v>Office Supplies</v>
      </c>
    </row>
    <row r="217" spans="1:9">
      <c r="A217" s="1">
        <v>45832</v>
      </c>
      <c r="B217" s="78">
        <v>45838</v>
      </c>
      <c r="C217" t="s">
        <v>142</v>
      </c>
      <c r="D217" t="s">
        <v>3</v>
      </c>
      <c r="E217" t="s">
        <v>865</v>
      </c>
      <c r="F217" s="2">
        <v>25</v>
      </c>
      <c r="G217" t="s">
        <v>710</v>
      </c>
      <c r="I217" t="str">
        <f>VLOOKUP(E217,'Trial Balance'!B:B,1,0)</f>
        <v>Bank Fees and Charges</v>
      </c>
    </row>
    <row r="218" spans="1:9">
      <c r="A218" s="1">
        <v>45832</v>
      </c>
      <c r="B218" s="78">
        <v>45838</v>
      </c>
      <c r="C218" t="s">
        <v>142</v>
      </c>
      <c r="D218" t="s">
        <v>3</v>
      </c>
      <c r="E218" t="s">
        <v>865</v>
      </c>
      <c r="F218" s="2">
        <v>1.8799999952316284</v>
      </c>
      <c r="G218" t="s">
        <v>710</v>
      </c>
      <c r="I218" t="str">
        <f>VLOOKUP(E218,'Trial Balance'!B:B,1,0)</f>
        <v>Bank Fees and Charges</v>
      </c>
    </row>
    <row r="219" spans="1:9">
      <c r="A219" s="1">
        <v>45832</v>
      </c>
      <c r="B219" s="78">
        <v>45838</v>
      </c>
      <c r="C219" t="s">
        <v>143</v>
      </c>
      <c r="D219" t="s">
        <v>13</v>
      </c>
      <c r="E219" t="s">
        <v>800</v>
      </c>
      <c r="F219" s="2">
        <v>40000</v>
      </c>
      <c r="G219" t="s">
        <v>710</v>
      </c>
      <c r="I219" t="str">
        <f>VLOOKUP(E219,'Trial Balance'!B:B,1,0)</f>
        <v>Repairs and Maintenance</v>
      </c>
    </row>
    <row r="220" spans="1:9">
      <c r="A220" s="1">
        <v>45832</v>
      </c>
      <c r="B220" s="78">
        <v>45838</v>
      </c>
      <c r="C220" t="s">
        <v>143</v>
      </c>
      <c r="D220" t="s">
        <v>3</v>
      </c>
      <c r="E220" t="s">
        <v>865</v>
      </c>
      <c r="F220" s="2">
        <v>25</v>
      </c>
      <c r="G220" t="s">
        <v>710</v>
      </c>
      <c r="I220" t="str">
        <f>VLOOKUP(E220,'Trial Balance'!B:B,1,0)</f>
        <v>Bank Fees and Charges</v>
      </c>
    </row>
    <row r="221" spans="1:9">
      <c r="A221" s="1">
        <v>45832</v>
      </c>
      <c r="B221" s="78">
        <v>45838</v>
      </c>
      <c r="C221" t="s">
        <v>143</v>
      </c>
      <c r="D221" t="s">
        <v>3</v>
      </c>
      <c r="E221" t="s">
        <v>865</v>
      </c>
      <c r="F221" s="2">
        <v>1.8800000101327896</v>
      </c>
      <c r="G221" t="s">
        <v>710</v>
      </c>
      <c r="I221" t="str">
        <f>VLOOKUP(E221,'Trial Balance'!B:B,1,0)</f>
        <v>Bank Fees and Charges</v>
      </c>
    </row>
    <row r="222" spans="1:9">
      <c r="A222" s="1">
        <v>45832</v>
      </c>
      <c r="B222" s="78">
        <v>45838</v>
      </c>
      <c r="C222" t="s">
        <v>144</v>
      </c>
      <c r="D222" t="s">
        <v>15</v>
      </c>
      <c r="E222" t="s">
        <v>809</v>
      </c>
      <c r="F222" s="2">
        <v>5800</v>
      </c>
      <c r="G222" t="s">
        <v>710</v>
      </c>
      <c r="I222" t="str">
        <f>VLOOKUP(E222,'Trial Balance'!B:B,1,0)</f>
        <v>Meals and Entertainment</v>
      </c>
    </row>
    <row r="223" spans="1:9">
      <c r="A223" s="1">
        <v>45832</v>
      </c>
      <c r="B223" s="78">
        <v>45838</v>
      </c>
      <c r="C223" t="s">
        <v>144</v>
      </c>
      <c r="D223" t="s">
        <v>3</v>
      </c>
      <c r="E223" t="s">
        <v>865</v>
      </c>
      <c r="F223" s="2">
        <v>25</v>
      </c>
      <c r="G223" t="s">
        <v>710</v>
      </c>
      <c r="I223" t="str">
        <f>VLOOKUP(E223,'Trial Balance'!B:B,1,0)</f>
        <v>Bank Fees and Charges</v>
      </c>
    </row>
    <row r="224" spans="1:9">
      <c r="A224" s="1">
        <v>45832</v>
      </c>
      <c r="B224" s="78">
        <v>45838</v>
      </c>
      <c r="C224" t="s">
        <v>144</v>
      </c>
      <c r="D224" t="s">
        <v>3</v>
      </c>
      <c r="E224" t="s">
        <v>865</v>
      </c>
      <c r="F224" s="2">
        <v>1.8799999952316284</v>
      </c>
      <c r="G224" t="s">
        <v>710</v>
      </c>
      <c r="I224" t="str">
        <f>VLOOKUP(E224,'Trial Balance'!B:B,1,0)</f>
        <v>Bank Fees and Charges</v>
      </c>
    </row>
    <row r="225" spans="1:9">
      <c r="A225" s="1">
        <v>45833</v>
      </c>
      <c r="B225" s="78">
        <v>45838</v>
      </c>
      <c r="C225" t="s">
        <v>146</v>
      </c>
      <c r="D225" t="s">
        <v>21</v>
      </c>
      <c r="E225" t="s">
        <v>871</v>
      </c>
      <c r="F225" s="2">
        <v>1770000</v>
      </c>
      <c r="G225" t="s">
        <v>710</v>
      </c>
      <c r="I225" t="str">
        <f>VLOOKUP(E225,'Trial Balance'!B:B,1,0)</f>
        <v>Advertising And Marketing</v>
      </c>
    </row>
    <row r="226" spans="1:9">
      <c r="A226" s="1">
        <v>45833</v>
      </c>
      <c r="B226" s="78">
        <v>45838</v>
      </c>
      <c r="C226" t="s">
        <v>146</v>
      </c>
      <c r="D226" t="s">
        <v>3</v>
      </c>
      <c r="E226" t="s">
        <v>865</v>
      </c>
      <c r="F226" s="2">
        <v>50</v>
      </c>
      <c r="G226" t="s">
        <v>710</v>
      </c>
      <c r="I226" t="str">
        <f>VLOOKUP(E226,'Trial Balance'!B:B,1,0)</f>
        <v>Bank Fees and Charges</v>
      </c>
    </row>
    <row r="227" spans="1:9">
      <c r="A227" s="1">
        <v>45833</v>
      </c>
      <c r="B227" s="78">
        <v>45838</v>
      </c>
      <c r="C227" t="s">
        <v>146</v>
      </c>
      <c r="D227" t="s">
        <v>3</v>
      </c>
      <c r="E227" t="s">
        <v>865</v>
      </c>
      <c r="F227" s="2">
        <v>3.75</v>
      </c>
      <c r="G227" t="s">
        <v>710</v>
      </c>
      <c r="I227" t="str">
        <f>VLOOKUP(E227,'Trial Balance'!B:B,1,0)</f>
        <v>Bank Fees and Charges</v>
      </c>
    </row>
    <row r="228" spans="1:9">
      <c r="A228" s="1">
        <v>45833</v>
      </c>
      <c r="B228" s="78">
        <v>45838</v>
      </c>
      <c r="C228" t="s">
        <v>147</v>
      </c>
      <c r="D228" t="s">
        <v>4</v>
      </c>
      <c r="E228" t="s">
        <v>874</v>
      </c>
      <c r="F228" s="2">
        <v>169000</v>
      </c>
      <c r="G228" t="s">
        <v>710</v>
      </c>
      <c r="I228" t="str">
        <f>VLOOKUP(E228,'Trial Balance'!B:B,1,0)</f>
        <v>Office Supplies</v>
      </c>
    </row>
    <row r="229" spans="1:9">
      <c r="A229" s="1">
        <v>45833</v>
      </c>
      <c r="B229" s="78">
        <v>45838</v>
      </c>
      <c r="C229" t="s">
        <v>147</v>
      </c>
      <c r="D229" t="s">
        <v>3</v>
      </c>
      <c r="E229" t="s">
        <v>865</v>
      </c>
      <c r="F229" s="2">
        <v>50</v>
      </c>
      <c r="G229" t="s">
        <v>710</v>
      </c>
      <c r="I229" t="str">
        <f>VLOOKUP(E229,'Trial Balance'!B:B,1,0)</f>
        <v>Bank Fees and Charges</v>
      </c>
    </row>
    <row r="230" spans="1:9">
      <c r="A230" s="1">
        <v>45833</v>
      </c>
      <c r="B230" s="78">
        <v>45838</v>
      </c>
      <c r="C230" t="s">
        <v>147</v>
      </c>
      <c r="D230" t="s">
        <v>3</v>
      </c>
      <c r="E230" t="s">
        <v>865</v>
      </c>
      <c r="F230" s="2">
        <v>3.75</v>
      </c>
      <c r="G230" t="s">
        <v>710</v>
      </c>
      <c r="I230" t="str">
        <f>VLOOKUP(E230,'Trial Balance'!B:B,1,0)</f>
        <v>Bank Fees and Charges</v>
      </c>
    </row>
    <row r="231" spans="1:9">
      <c r="A231" s="1">
        <v>45833</v>
      </c>
      <c r="B231" s="78">
        <v>45838</v>
      </c>
      <c r="C231" t="s">
        <v>148</v>
      </c>
      <c r="D231" t="s">
        <v>8</v>
      </c>
      <c r="E231" t="s">
        <v>815</v>
      </c>
      <c r="F231" s="2">
        <v>3570659.4399999976</v>
      </c>
      <c r="G231" t="s">
        <v>710</v>
      </c>
      <c r="I231" t="str">
        <f>VLOOKUP(E231,'Trial Balance'!B:B,1,0)</f>
        <v>Salaries and Employee Wages</v>
      </c>
    </row>
    <row r="232" spans="1:9">
      <c r="A232" s="1">
        <v>45833</v>
      </c>
      <c r="B232" s="78">
        <v>45838</v>
      </c>
      <c r="C232" t="s">
        <v>148</v>
      </c>
      <c r="D232" t="s">
        <v>3</v>
      </c>
      <c r="E232" t="s">
        <v>865</v>
      </c>
      <c r="F232" s="2">
        <v>50</v>
      </c>
      <c r="G232" t="s">
        <v>710</v>
      </c>
      <c r="I232" t="str">
        <f>VLOOKUP(E232,'Trial Balance'!B:B,1,0)</f>
        <v>Bank Fees and Charges</v>
      </c>
    </row>
    <row r="233" spans="1:9">
      <c r="A233" s="1">
        <v>45833</v>
      </c>
      <c r="B233" s="78">
        <v>45838</v>
      </c>
      <c r="C233" t="s">
        <v>148</v>
      </c>
      <c r="D233" t="s">
        <v>3</v>
      </c>
      <c r="E233" t="s">
        <v>865</v>
      </c>
      <c r="F233" s="2">
        <v>3.75</v>
      </c>
      <c r="G233" t="s">
        <v>710</v>
      </c>
      <c r="I233" t="str">
        <f>VLOOKUP(E233,'Trial Balance'!B:B,1,0)</f>
        <v>Bank Fees and Charges</v>
      </c>
    </row>
    <row r="234" spans="1:9">
      <c r="A234" s="1">
        <v>45833</v>
      </c>
      <c r="B234" s="78">
        <v>45838</v>
      </c>
      <c r="C234" t="s">
        <v>149</v>
      </c>
      <c r="D234" t="s">
        <v>8</v>
      </c>
      <c r="E234" t="s">
        <v>815</v>
      </c>
      <c r="F234" s="2">
        <v>2070487.4800000042</v>
      </c>
      <c r="G234" t="s">
        <v>710</v>
      </c>
      <c r="I234" t="str">
        <f>VLOOKUP(E234,'Trial Balance'!B:B,1,0)</f>
        <v>Salaries and Employee Wages</v>
      </c>
    </row>
    <row r="235" spans="1:9">
      <c r="A235" s="1">
        <v>45833</v>
      </c>
      <c r="B235" s="78">
        <v>45838</v>
      </c>
      <c r="C235" t="s">
        <v>149</v>
      </c>
      <c r="D235" t="s">
        <v>3</v>
      </c>
      <c r="E235" t="s">
        <v>865</v>
      </c>
      <c r="F235" s="2">
        <v>50</v>
      </c>
      <c r="G235" t="s">
        <v>710</v>
      </c>
      <c r="I235" t="str">
        <f>VLOOKUP(E235,'Trial Balance'!B:B,1,0)</f>
        <v>Bank Fees and Charges</v>
      </c>
    </row>
    <row r="236" spans="1:9">
      <c r="A236" s="1">
        <v>45833</v>
      </c>
      <c r="B236" s="78">
        <v>45838</v>
      </c>
      <c r="C236" t="s">
        <v>149</v>
      </c>
      <c r="D236" t="s">
        <v>3</v>
      </c>
      <c r="E236" t="s">
        <v>865</v>
      </c>
      <c r="F236" s="2">
        <v>3.75</v>
      </c>
      <c r="G236" t="s">
        <v>710</v>
      </c>
      <c r="I236" t="str">
        <f>VLOOKUP(E236,'Trial Balance'!B:B,1,0)</f>
        <v>Bank Fees and Charges</v>
      </c>
    </row>
    <row r="237" spans="1:9">
      <c r="A237" s="1">
        <v>45833</v>
      </c>
      <c r="B237" s="78">
        <v>45838</v>
      </c>
      <c r="C237" t="s">
        <v>150</v>
      </c>
      <c r="D237" t="s">
        <v>8</v>
      </c>
      <c r="E237" t="s">
        <v>815</v>
      </c>
      <c r="F237" s="2">
        <v>476225</v>
      </c>
      <c r="G237" t="s">
        <v>710</v>
      </c>
      <c r="I237" t="str">
        <f>VLOOKUP(E237,'Trial Balance'!B:B,1,0)</f>
        <v>Salaries and Employee Wages</v>
      </c>
    </row>
    <row r="238" spans="1:9">
      <c r="A238" s="1">
        <v>45833</v>
      </c>
      <c r="B238" s="78">
        <v>45838</v>
      </c>
      <c r="C238" t="s">
        <v>150</v>
      </c>
      <c r="D238" t="s">
        <v>3</v>
      </c>
      <c r="E238" t="s">
        <v>865</v>
      </c>
      <c r="F238" s="2">
        <v>50</v>
      </c>
      <c r="G238" t="s">
        <v>710</v>
      </c>
      <c r="I238" t="str">
        <f>VLOOKUP(E238,'Trial Balance'!B:B,1,0)</f>
        <v>Bank Fees and Charges</v>
      </c>
    </row>
    <row r="239" spans="1:9">
      <c r="A239" s="1">
        <v>45833</v>
      </c>
      <c r="B239" s="78">
        <v>45838</v>
      </c>
      <c r="C239" t="s">
        <v>150</v>
      </c>
      <c r="D239" t="s">
        <v>3</v>
      </c>
      <c r="E239" t="s">
        <v>865</v>
      </c>
      <c r="F239" s="2">
        <v>3.75</v>
      </c>
      <c r="G239" t="s">
        <v>710</v>
      </c>
      <c r="I239" t="str">
        <f>VLOOKUP(E239,'Trial Balance'!B:B,1,0)</f>
        <v>Bank Fees and Charges</v>
      </c>
    </row>
    <row r="240" spans="1:9">
      <c r="A240" s="1">
        <v>45833</v>
      </c>
      <c r="B240" s="78">
        <v>45838</v>
      </c>
      <c r="C240" t="s">
        <v>151</v>
      </c>
      <c r="D240" t="s">
        <v>8</v>
      </c>
      <c r="E240" t="s">
        <v>815</v>
      </c>
      <c r="F240" s="2">
        <v>284491.56999999285</v>
      </c>
      <c r="G240" t="s">
        <v>710</v>
      </c>
      <c r="I240" t="str">
        <f>VLOOKUP(E240,'Trial Balance'!B:B,1,0)</f>
        <v>Salaries and Employee Wages</v>
      </c>
    </row>
    <row r="241" spans="1:9">
      <c r="A241" s="1">
        <v>45833</v>
      </c>
      <c r="B241" s="78">
        <v>45838</v>
      </c>
      <c r="C241" t="s">
        <v>151</v>
      </c>
      <c r="D241" t="s">
        <v>3</v>
      </c>
      <c r="E241" t="s">
        <v>865</v>
      </c>
      <c r="F241" s="2">
        <v>50</v>
      </c>
      <c r="G241" t="s">
        <v>710</v>
      </c>
      <c r="I241" t="str">
        <f>VLOOKUP(E241,'Trial Balance'!B:B,1,0)</f>
        <v>Bank Fees and Charges</v>
      </c>
    </row>
    <row r="242" spans="1:9">
      <c r="A242" s="1">
        <v>45833</v>
      </c>
      <c r="B242" s="78">
        <v>45838</v>
      </c>
      <c r="C242" t="s">
        <v>151</v>
      </c>
      <c r="D242" t="s">
        <v>3</v>
      </c>
      <c r="E242" t="s">
        <v>865</v>
      </c>
      <c r="F242" s="2">
        <v>3.75</v>
      </c>
      <c r="G242" t="s">
        <v>710</v>
      </c>
      <c r="I242" t="str">
        <f>VLOOKUP(E242,'Trial Balance'!B:B,1,0)</f>
        <v>Bank Fees and Charges</v>
      </c>
    </row>
    <row r="243" spans="1:9">
      <c r="A243" s="1">
        <v>45833</v>
      </c>
      <c r="B243" s="78">
        <v>45838</v>
      </c>
      <c r="C243" t="s">
        <v>152</v>
      </c>
      <c r="D243" t="s">
        <v>8</v>
      </c>
      <c r="E243" t="s">
        <v>815</v>
      </c>
      <c r="F243" s="2">
        <v>284491.57000000775</v>
      </c>
      <c r="G243" t="s">
        <v>710</v>
      </c>
      <c r="I243" t="str">
        <f>VLOOKUP(E243,'Trial Balance'!B:B,1,0)</f>
        <v>Salaries and Employee Wages</v>
      </c>
    </row>
    <row r="244" spans="1:9">
      <c r="A244" s="1">
        <v>45833</v>
      </c>
      <c r="B244" s="78">
        <v>45838</v>
      </c>
      <c r="C244" t="s">
        <v>152</v>
      </c>
      <c r="D244" t="s">
        <v>3</v>
      </c>
      <c r="E244" t="s">
        <v>865</v>
      </c>
      <c r="F244" s="2">
        <v>50</v>
      </c>
      <c r="G244" t="s">
        <v>710</v>
      </c>
      <c r="I244" t="str">
        <f>VLOOKUP(E244,'Trial Balance'!B:B,1,0)</f>
        <v>Bank Fees and Charges</v>
      </c>
    </row>
    <row r="245" spans="1:9">
      <c r="A245" s="1">
        <v>45833</v>
      </c>
      <c r="B245" s="78">
        <v>45838</v>
      </c>
      <c r="C245" t="s">
        <v>152</v>
      </c>
      <c r="D245" t="s">
        <v>3</v>
      </c>
      <c r="E245" t="s">
        <v>865</v>
      </c>
      <c r="F245" s="2">
        <v>3.75</v>
      </c>
      <c r="G245" t="s">
        <v>710</v>
      </c>
      <c r="I245" t="str">
        <f>VLOOKUP(E245,'Trial Balance'!B:B,1,0)</f>
        <v>Bank Fees and Charges</v>
      </c>
    </row>
    <row r="246" spans="1:9">
      <c r="A246" s="1">
        <v>45833</v>
      </c>
      <c r="B246" s="78">
        <v>45838</v>
      </c>
      <c r="C246" t="s">
        <v>153</v>
      </c>
      <c r="D246" t="s">
        <v>8</v>
      </c>
      <c r="E246" t="s">
        <v>815</v>
      </c>
      <c r="F246" s="2">
        <v>284491.56999999285</v>
      </c>
      <c r="G246" t="s">
        <v>710</v>
      </c>
      <c r="I246" t="str">
        <f>VLOOKUP(E246,'Trial Balance'!B:B,1,0)</f>
        <v>Salaries and Employee Wages</v>
      </c>
    </row>
    <row r="247" spans="1:9">
      <c r="A247" s="1">
        <v>45833</v>
      </c>
      <c r="B247" s="78">
        <v>45838</v>
      </c>
      <c r="C247" t="s">
        <v>153</v>
      </c>
      <c r="D247" t="s">
        <v>3</v>
      </c>
      <c r="E247" t="s">
        <v>865</v>
      </c>
      <c r="F247" s="2">
        <v>50</v>
      </c>
      <c r="G247" t="s">
        <v>710</v>
      </c>
      <c r="I247" t="str">
        <f>VLOOKUP(E247,'Trial Balance'!B:B,1,0)</f>
        <v>Bank Fees and Charges</v>
      </c>
    </row>
    <row r="248" spans="1:9">
      <c r="A248" s="1">
        <v>45833</v>
      </c>
      <c r="B248" s="78">
        <v>45838</v>
      </c>
      <c r="C248" t="s">
        <v>153</v>
      </c>
      <c r="D248" t="s">
        <v>3</v>
      </c>
      <c r="E248" t="s">
        <v>865</v>
      </c>
      <c r="F248" s="2">
        <v>3.75</v>
      </c>
      <c r="G248" t="s">
        <v>710</v>
      </c>
      <c r="I248" t="str">
        <f>VLOOKUP(E248,'Trial Balance'!B:B,1,0)</f>
        <v>Bank Fees and Charges</v>
      </c>
    </row>
    <row r="249" spans="1:9">
      <c r="A249" s="1">
        <v>45833</v>
      </c>
      <c r="B249" s="78">
        <v>45838</v>
      </c>
      <c r="C249" t="s">
        <v>154</v>
      </c>
      <c r="D249" t="s">
        <v>8</v>
      </c>
      <c r="E249" t="s">
        <v>815</v>
      </c>
      <c r="F249" s="2">
        <v>284491.57000000775</v>
      </c>
      <c r="G249" t="s">
        <v>710</v>
      </c>
      <c r="I249" t="str">
        <f>VLOOKUP(E249,'Trial Balance'!B:B,1,0)</f>
        <v>Salaries and Employee Wages</v>
      </c>
    </row>
    <row r="250" spans="1:9">
      <c r="A250" s="1">
        <v>45833</v>
      </c>
      <c r="B250" s="78">
        <v>45838</v>
      </c>
      <c r="C250" t="s">
        <v>154</v>
      </c>
      <c r="D250" t="s">
        <v>3</v>
      </c>
      <c r="E250" t="s">
        <v>865</v>
      </c>
      <c r="F250" s="2">
        <v>50</v>
      </c>
      <c r="G250" t="s">
        <v>710</v>
      </c>
      <c r="I250" t="str">
        <f>VLOOKUP(E250,'Trial Balance'!B:B,1,0)</f>
        <v>Bank Fees and Charges</v>
      </c>
    </row>
    <row r="251" spans="1:9">
      <c r="A251" s="1">
        <v>45833</v>
      </c>
      <c r="B251" s="78">
        <v>45838</v>
      </c>
      <c r="C251" t="s">
        <v>154</v>
      </c>
      <c r="D251" t="s">
        <v>3</v>
      </c>
      <c r="E251" t="s">
        <v>865</v>
      </c>
      <c r="F251" s="2">
        <v>3.75</v>
      </c>
      <c r="G251" t="s">
        <v>710</v>
      </c>
      <c r="I251" t="str">
        <f>VLOOKUP(E251,'Trial Balance'!B:B,1,0)</f>
        <v>Bank Fees and Charges</v>
      </c>
    </row>
    <row r="252" spans="1:9">
      <c r="A252" s="1">
        <v>45833</v>
      </c>
      <c r="B252" s="78">
        <v>45838</v>
      </c>
      <c r="C252" t="s">
        <v>155</v>
      </c>
      <c r="D252" t="s">
        <v>8</v>
      </c>
      <c r="E252" t="s">
        <v>815</v>
      </c>
      <c r="F252" s="2">
        <v>284491.56999999285</v>
      </c>
      <c r="G252" t="s">
        <v>710</v>
      </c>
      <c r="I252" t="str">
        <f>VLOOKUP(E252,'Trial Balance'!B:B,1,0)</f>
        <v>Salaries and Employee Wages</v>
      </c>
    </row>
    <row r="253" spans="1:9">
      <c r="A253" s="1">
        <v>45833</v>
      </c>
      <c r="B253" s="78">
        <v>45838</v>
      </c>
      <c r="C253" t="s">
        <v>155</v>
      </c>
      <c r="D253" t="s">
        <v>3</v>
      </c>
      <c r="E253" t="s">
        <v>865</v>
      </c>
      <c r="F253" s="2">
        <v>50</v>
      </c>
      <c r="G253" t="s">
        <v>710</v>
      </c>
      <c r="I253" t="str">
        <f>VLOOKUP(E253,'Trial Balance'!B:B,1,0)</f>
        <v>Bank Fees and Charges</v>
      </c>
    </row>
    <row r="254" spans="1:9">
      <c r="A254" s="1">
        <v>45833</v>
      </c>
      <c r="B254" s="78">
        <v>45838</v>
      </c>
      <c r="C254" t="s">
        <v>155</v>
      </c>
      <c r="D254" t="s">
        <v>3</v>
      </c>
      <c r="E254" t="s">
        <v>865</v>
      </c>
      <c r="F254" s="2">
        <v>3.75</v>
      </c>
      <c r="G254" t="s">
        <v>710</v>
      </c>
      <c r="I254" t="str">
        <f>VLOOKUP(E254,'Trial Balance'!B:B,1,0)</f>
        <v>Bank Fees and Charges</v>
      </c>
    </row>
    <row r="255" spans="1:9">
      <c r="A255" s="1">
        <v>45833</v>
      </c>
      <c r="B255" s="78">
        <v>45838</v>
      </c>
      <c r="C255" t="s">
        <v>156</v>
      </c>
      <c r="D255" t="s">
        <v>8</v>
      </c>
      <c r="E255" t="s">
        <v>815</v>
      </c>
      <c r="F255" s="2">
        <v>284491.57000000775</v>
      </c>
      <c r="G255" t="s">
        <v>710</v>
      </c>
      <c r="I255" t="str">
        <f>VLOOKUP(E255,'Trial Balance'!B:B,1,0)</f>
        <v>Salaries and Employee Wages</v>
      </c>
    </row>
    <row r="256" spans="1:9">
      <c r="A256" s="1">
        <v>45833</v>
      </c>
      <c r="B256" s="78">
        <v>45838</v>
      </c>
      <c r="C256" t="s">
        <v>156</v>
      </c>
      <c r="D256" t="s">
        <v>3</v>
      </c>
      <c r="E256" t="s">
        <v>865</v>
      </c>
      <c r="F256" s="2">
        <v>50</v>
      </c>
      <c r="G256" t="s">
        <v>710</v>
      </c>
      <c r="I256" t="str">
        <f>VLOOKUP(E256,'Trial Balance'!B:B,1,0)</f>
        <v>Bank Fees and Charges</v>
      </c>
    </row>
    <row r="257" spans="1:9">
      <c r="A257" s="1">
        <v>45833</v>
      </c>
      <c r="B257" s="78">
        <v>45838</v>
      </c>
      <c r="C257" t="s">
        <v>156</v>
      </c>
      <c r="D257" t="s">
        <v>3</v>
      </c>
      <c r="E257" t="s">
        <v>865</v>
      </c>
      <c r="F257" s="2">
        <v>3.75</v>
      </c>
      <c r="G257" t="s">
        <v>710</v>
      </c>
      <c r="I257" t="str">
        <f>VLOOKUP(E257,'Trial Balance'!B:B,1,0)</f>
        <v>Bank Fees and Charges</v>
      </c>
    </row>
    <row r="258" spans="1:9">
      <c r="A258" s="1">
        <v>45833</v>
      </c>
      <c r="B258" s="78">
        <v>45838</v>
      </c>
      <c r="C258" t="s">
        <v>157</v>
      </c>
      <c r="D258" t="s">
        <v>8</v>
      </c>
      <c r="E258" t="s">
        <v>815</v>
      </c>
      <c r="F258" s="2">
        <v>284491.56999999285</v>
      </c>
      <c r="G258" t="s">
        <v>710</v>
      </c>
      <c r="I258" t="str">
        <f>VLOOKUP(E258,'Trial Balance'!B:B,1,0)</f>
        <v>Salaries and Employee Wages</v>
      </c>
    </row>
    <row r="259" spans="1:9">
      <c r="A259" s="1">
        <v>45833</v>
      </c>
      <c r="B259" s="78">
        <v>45838</v>
      </c>
      <c r="C259" t="s">
        <v>157</v>
      </c>
      <c r="D259" t="s">
        <v>3</v>
      </c>
      <c r="E259" t="s">
        <v>865</v>
      </c>
      <c r="F259" s="2">
        <v>50</v>
      </c>
      <c r="G259" t="s">
        <v>710</v>
      </c>
      <c r="I259" t="str">
        <f>VLOOKUP(E259,'Trial Balance'!B:B,1,0)</f>
        <v>Bank Fees and Charges</v>
      </c>
    </row>
    <row r="260" spans="1:9">
      <c r="A260" s="1">
        <v>45833</v>
      </c>
      <c r="B260" s="78">
        <v>45838</v>
      </c>
      <c r="C260" t="s">
        <v>157</v>
      </c>
      <c r="D260" t="s">
        <v>3</v>
      </c>
      <c r="E260" t="s">
        <v>865</v>
      </c>
      <c r="F260" s="2">
        <v>3.75</v>
      </c>
      <c r="G260" t="s">
        <v>710</v>
      </c>
      <c r="I260" t="str">
        <f>VLOOKUP(E260,'Trial Balance'!B:B,1,0)</f>
        <v>Bank Fees and Charges</v>
      </c>
    </row>
    <row r="261" spans="1:9">
      <c r="A261" s="1">
        <v>45833</v>
      </c>
      <c r="B261" s="78">
        <v>45838</v>
      </c>
      <c r="C261" t="s">
        <v>158</v>
      </c>
      <c r="D261" t="s">
        <v>8</v>
      </c>
      <c r="E261" t="s">
        <v>815</v>
      </c>
      <c r="F261" s="2">
        <v>152226.67000000179</v>
      </c>
      <c r="G261" t="s">
        <v>710</v>
      </c>
      <c r="I261" t="str">
        <f>VLOOKUP(E261,'Trial Balance'!B:B,1,0)</f>
        <v>Salaries and Employee Wages</v>
      </c>
    </row>
    <row r="262" spans="1:9">
      <c r="A262" s="1">
        <v>45833</v>
      </c>
      <c r="B262" s="78">
        <v>45838</v>
      </c>
      <c r="C262" t="s">
        <v>158</v>
      </c>
      <c r="D262" t="s">
        <v>3</v>
      </c>
      <c r="E262" t="s">
        <v>865</v>
      </c>
      <c r="F262" s="2">
        <v>50</v>
      </c>
      <c r="G262" t="s">
        <v>710</v>
      </c>
      <c r="I262" t="str">
        <f>VLOOKUP(E262,'Trial Balance'!B:B,1,0)</f>
        <v>Bank Fees and Charges</v>
      </c>
    </row>
    <row r="263" spans="1:9">
      <c r="A263" s="1">
        <v>45833</v>
      </c>
      <c r="B263" s="78">
        <v>45838</v>
      </c>
      <c r="C263" t="s">
        <v>158</v>
      </c>
      <c r="D263" t="s">
        <v>3</v>
      </c>
      <c r="E263" t="s">
        <v>865</v>
      </c>
      <c r="F263" s="2">
        <v>3.75</v>
      </c>
      <c r="G263" t="s">
        <v>710</v>
      </c>
      <c r="I263" t="str">
        <f>VLOOKUP(E263,'Trial Balance'!B:B,1,0)</f>
        <v>Bank Fees and Charges</v>
      </c>
    </row>
    <row r="264" spans="1:9">
      <c r="A264" s="1">
        <v>45833</v>
      </c>
      <c r="B264" s="78">
        <v>45838</v>
      </c>
      <c r="C264" t="s">
        <v>159</v>
      </c>
      <c r="D264" t="s">
        <v>8</v>
      </c>
      <c r="E264" t="s">
        <v>815</v>
      </c>
      <c r="F264" s="2">
        <v>284491.57000000775</v>
      </c>
      <c r="G264" t="s">
        <v>710</v>
      </c>
      <c r="I264" t="str">
        <f>VLOOKUP(E264,'Trial Balance'!B:B,1,0)</f>
        <v>Salaries and Employee Wages</v>
      </c>
    </row>
    <row r="265" spans="1:9">
      <c r="A265" s="1">
        <v>45833</v>
      </c>
      <c r="B265" s="78">
        <v>45838</v>
      </c>
      <c r="C265" t="s">
        <v>159</v>
      </c>
      <c r="D265" t="s">
        <v>3</v>
      </c>
      <c r="E265" t="s">
        <v>865</v>
      </c>
      <c r="F265" s="2">
        <v>50</v>
      </c>
      <c r="G265" t="s">
        <v>710</v>
      </c>
      <c r="I265" t="str">
        <f>VLOOKUP(E265,'Trial Balance'!B:B,1,0)</f>
        <v>Bank Fees and Charges</v>
      </c>
    </row>
    <row r="266" spans="1:9">
      <c r="A266" s="1">
        <v>45833</v>
      </c>
      <c r="B266" s="78">
        <v>45838</v>
      </c>
      <c r="C266" t="s">
        <v>159</v>
      </c>
      <c r="D266" t="s">
        <v>3</v>
      </c>
      <c r="E266" t="s">
        <v>865</v>
      </c>
      <c r="F266" s="2">
        <v>3.75</v>
      </c>
      <c r="G266" t="s">
        <v>710</v>
      </c>
      <c r="I266" t="str">
        <f>VLOOKUP(E266,'Trial Balance'!B:B,1,0)</f>
        <v>Bank Fees and Charges</v>
      </c>
    </row>
    <row r="267" spans="1:9">
      <c r="A267" s="1">
        <v>45833</v>
      </c>
      <c r="B267" s="78">
        <v>45838</v>
      </c>
      <c r="C267" t="s">
        <v>160</v>
      </c>
      <c r="D267" t="s">
        <v>8</v>
      </c>
      <c r="E267" t="s">
        <v>815</v>
      </c>
      <c r="F267" s="2">
        <v>152194.92999999225</v>
      </c>
      <c r="G267" t="s">
        <v>710</v>
      </c>
      <c r="I267" t="str">
        <f>VLOOKUP(E267,'Trial Balance'!B:B,1,0)</f>
        <v>Salaries and Employee Wages</v>
      </c>
    </row>
    <row r="268" spans="1:9">
      <c r="A268" s="1">
        <v>45833</v>
      </c>
      <c r="B268" s="78">
        <v>45838</v>
      </c>
      <c r="C268" t="s">
        <v>160</v>
      </c>
      <c r="D268" t="s">
        <v>3</v>
      </c>
      <c r="E268" t="s">
        <v>865</v>
      </c>
      <c r="F268" s="2">
        <v>50</v>
      </c>
      <c r="G268" t="s">
        <v>710</v>
      </c>
      <c r="I268" t="str">
        <f>VLOOKUP(E268,'Trial Balance'!B:B,1,0)</f>
        <v>Bank Fees and Charges</v>
      </c>
    </row>
    <row r="269" spans="1:9">
      <c r="A269" s="1">
        <v>45833</v>
      </c>
      <c r="B269" s="78">
        <v>45838</v>
      </c>
      <c r="C269" t="s">
        <v>160</v>
      </c>
      <c r="D269" t="s">
        <v>3</v>
      </c>
      <c r="E269" t="s">
        <v>865</v>
      </c>
      <c r="F269" s="2">
        <v>3.75</v>
      </c>
      <c r="G269" t="s">
        <v>710</v>
      </c>
      <c r="I269" t="str">
        <f>VLOOKUP(E269,'Trial Balance'!B:B,1,0)</f>
        <v>Bank Fees and Charges</v>
      </c>
    </row>
    <row r="270" spans="1:9">
      <c r="A270" s="1">
        <v>45833</v>
      </c>
      <c r="B270" s="78">
        <v>45838</v>
      </c>
      <c r="C270" t="s">
        <v>161</v>
      </c>
      <c r="D270" t="s">
        <v>8</v>
      </c>
      <c r="E270" t="s">
        <v>815</v>
      </c>
      <c r="F270" s="2">
        <v>284491.57000000775</v>
      </c>
      <c r="G270" t="s">
        <v>710</v>
      </c>
      <c r="I270" t="str">
        <f>VLOOKUP(E270,'Trial Balance'!B:B,1,0)</f>
        <v>Salaries and Employee Wages</v>
      </c>
    </row>
    <row r="271" spans="1:9">
      <c r="A271" s="1">
        <v>45833</v>
      </c>
      <c r="B271" s="78">
        <v>45838</v>
      </c>
      <c r="C271" t="s">
        <v>161</v>
      </c>
      <c r="D271" t="s">
        <v>3</v>
      </c>
      <c r="E271" t="s">
        <v>865</v>
      </c>
      <c r="F271" s="2">
        <v>50</v>
      </c>
      <c r="G271" t="s">
        <v>710</v>
      </c>
      <c r="I271" t="str">
        <f>VLOOKUP(E271,'Trial Balance'!B:B,1,0)</f>
        <v>Bank Fees and Charges</v>
      </c>
    </row>
    <row r="272" spans="1:9">
      <c r="A272" s="1">
        <v>45833</v>
      </c>
      <c r="B272" s="78">
        <v>45838</v>
      </c>
      <c r="C272" t="s">
        <v>161</v>
      </c>
      <c r="D272" t="s">
        <v>3</v>
      </c>
      <c r="E272" t="s">
        <v>865</v>
      </c>
      <c r="F272" s="2">
        <v>3.75</v>
      </c>
      <c r="G272" t="s">
        <v>710</v>
      </c>
      <c r="I272" t="str">
        <f>VLOOKUP(E272,'Trial Balance'!B:B,1,0)</f>
        <v>Bank Fees and Charges</v>
      </c>
    </row>
    <row r="273" spans="1:9">
      <c r="A273" s="1">
        <v>45833</v>
      </c>
      <c r="B273" s="78">
        <v>45838</v>
      </c>
      <c r="C273" t="s">
        <v>162</v>
      </c>
      <c r="D273" t="s">
        <v>8</v>
      </c>
      <c r="E273" t="s">
        <v>815</v>
      </c>
      <c r="F273" s="2">
        <v>152194.92999999225</v>
      </c>
      <c r="G273" t="s">
        <v>710</v>
      </c>
      <c r="I273" t="str">
        <f>VLOOKUP(E273,'Trial Balance'!B:B,1,0)</f>
        <v>Salaries and Employee Wages</v>
      </c>
    </row>
    <row r="274" spans="1:9">
      <c r="A274" s="1">
        <v>45833</v>
      </c>
      <c r="B274" s="78">
        <v>45838</v>
      </c>
      <c r="C274" t="s">
        <v>162</v>
      </c>
      <c r="D274" t="s">
        <v>3</v>
      </c>
      <c r="E274" t="s">
        <v>865</v>
      </c>
      <c r="F274" s="2">
        <v>50</v>
      </c>
      <c r="G274" t="s">
        <v>710</v>
      </c>
      <c r="I274" t="str">
        <f>VLOOKUP(E274,'Trial Balance'!B:B,1,0)</f>
        <v>Bank Fees and Charges</v>
      </c>
    </row>
    <row r="275" spans="1:9">
      <c r="A275" s="1">
        <v>45833</v>
      </c>
      <c r="B275" s="78">
        <v>45838</v>
      </c>
      <c r="C275" t="s">
        <v>162</v>
      </c>
      <c r="D275" t="s">
        <v>3</v>
      </c>
      <c r="E275" t="s">
        <v>865</v>
      </c>
      <c r="F275" s="2">
        <v>3.75</v>
      </c>
      <c r="G275" t="s">
        <v>710</v>
      </c>
      <c r="I275" t="str">
        <f>VLOOKUP(E275,'Trial Balance'!B:B,1,0)</f>
        <v>Bank Fees and Charges</v>
      </c>
    </row>
    <row r="276" spans="1:9">
      <c r="A276" s="1">
        <v>45833</v>
      </c>
      <c r="B276" s="78">
        <v>45838</v>
      </c>
      <c r="C276" t="s">
        <v>163</v>
      </c>
      <c r="D276" t="s">
        <v>8</v>
      </c>
      <c r="E276" t="s">
        <v>815</v>
      </c>
      <c r="F276" s="2">
        <v>152194.93000000715</v>
      </c>
      <c r="G276" t="s">
        <v>710</v>
      </c>
      <c r="I276" t="str">
        <f>VLOOKUP(E276,'Trial Balance'!B:B,1,0)</f>
        <v>Salaries and Employee Wages</v>
      </c>
    </row>
    <row r="277" spans="1:9">
      <c r="A277" s="1">
        <v>45833</v>
      </c>
      <c r="B277" s="78">
        <v>45838</v>
      </c>
      <c r="C277" t="s">
        <v>163</v>
      </c>
      <c r="D277" t="s">
        <v>3</v>
      </c>
      <c r="E277" t="s">
        <v>865</v>
      </c>
      <c r="F277" s="2">
        <v>50</v>
      </c>
      <c r="G277" t="s">
        <v>710</v>
      </c>
      <c r="I277" t="str">
        <f>VLOOKUP(E277,'Trial Balance'!B:B,1,0)</f>
        <v>Bank Fees and Charges</v>
      </c>
    </row>
    <row r="278" spans="1:9">
      <c r="A278" s="1">
        <v>45833</v>
      </c>
      <c r="B278" s="78">
        <v>45838</v>
      </c>
      <c r="C278" t="s">
        <v>163</v>
      </c>
      <c r="D278" t="s">
        <v>3</v>
      </c>
      <c r="E278" t="s">
        <v>865</v>
      </c>
      <c r="F278" s="2">
        <v>3.75</v>
      </c>
      <c r="G278" t="s">
        <v>710</v>
      </c>
      <c r="I278" t="str">
        <f>VLOOKUP(E278,'Trial Balance'!B:B,1,0)</f>
        <v>Bank Fees and Charges</v>
      </c>
    </row>
    <row r="279" spans="1:9">
      <c r="A279" s="1">
        <v>45833</v>
      </c>
      <c r="B279" s="78">
        <v>45838</v>
      </c>
      <c r="C279" t="s">
        <v>164</v>
      </c>
      <c r="D279" t="s">
        <v>8</v>
      </c>
      <c r="E279" t="s">
        <v>815</v>
      </c>
      <c r="F279" s="2">
        <v>75000</v>
      </c>
      <c r="G279" t="s">
        <v>710</v>
      </c>
      <c r="I279" t="str">
        <f>VLOOKUP(E279,'Trial Balance'!B:B,1,0)</f>
        <v>Salaries and Employee Wages</v>
      </c>
    </row>
    <row r="280" spans="1:9">
      <c r="A280" s="1">
        <v>45833</v>
      </c>
      <c r="B280" s="78">
        <v>45838</v>
      </c>
      <c r="C280" t="s">
        <v>164</v>
      </c>
      <c r="D280" t="s">
        <v>3</v>
      </c>
      <c r="E280" t="s">
        <v>865</v>
      </c>
      <c r="F280" s="2">
        <v>50</v>
      </c>
      <c r="G280" t="s">
        <v>710</v>
      </c>
      <c r="I280" t="str">
        <f>VLOOKUP(E280,'Trial Balance'!B:B,1,0)</f>
        <v>Bank Fees and Charges</v>
      </c>
    </row>
    <row r="281" spans="1:9">
      <c r="A281" s="1">
        <v>45833</v>
      </c>
      <c r="B281" s="78">
        <v>45838</v>
      </c>
      <c r="C281" t="s">
        <v>164</v>
      </c>
      <c r="D281" t="s">
        <v>3</v>
      </c>
      <c r="E281" t="s">
        <v>865</v>
      </c>
      <c r="F281" s="2">
        <v>3.75</v>
      </c>
      <c r="G281" t="s">
        <v>710</v>
      </c>
      <c r="I281" t="str">
        <f>VLOOKUP(E281,'Trial Balance'!B:B,1,0)</f>
        <v>Bank Fees and Charges</v>
      </c>
    </row>
    <row r="282" spans="1:9">
      <c r="A282" s="1">
        <v>45833</v>
      </c>
      <c r="B282" s="78">
        <v>45838</v>
      </c>
      <c r="C282" t="s">
        <v>165</v>
      </c>
      <c r="D282" t="s">
        <v>8</v>
      </c>
      <c r="E282" t="s">
        <v>815</v>
      </c>
      <c r="F282" s="2">
        <v>75000</v>
      </c>
      <c r="G282" t="s">
        <v>710</v>
      </c>
      <c r="I282" t="str">
        <f>VLOOKUP(E282,'Trial Balance'!B:B,1,0)</f>
        <v>Salaries and Employee Wages</v>
      </c>
    </row>
    <row r="283" spans="1:9">
      <c r="A283" s="1">
        <v>45833</v>
      </c>
      <c r="B283" s="78">
        <v>45838</v>
      </c>
      <c r="C283" t="s">
        <v>165</v>
      </c>
      <c r="D283" t="s">
        <v>3</v>
      </c>
      <c r="E283" t="s">
        <v>865</v>
      </c>
      <c r="F283" s="2">
        <v>50</v>
      </c>
      <c r="G283" t="s">
        <v>710</v>
      </c>
      <c r="I283" t="str">
        <f>VLOOKUP(E283,'Trial Balance'!B:B,1,0)</f>
        <v>Bank Fees and Charges</v>
      </c>
    </row>
    <row r="284" spans="1:9">
      <c r="A284" s="1">
        <v>45833</v>
      </c>
      <c r="B284" s="78">
        <v>45838</v>
      </c>
      <c r="C284" t="s">
        <v>165</v>
      </c>
      <c r="D284" t="s">
        <v>3</v>
      </c>
      <c r="E284" t="s">
        <v>865</v>
      </c>
      <c r="F284" s="2">
        <v>3.75</v>
      </c>
      <c r="G284" t="s">
        <v>710</v>
      </c>
      <c r="I284" t="str">
        <f>VLOOKUP(E284,'Trial Balance'!B:B,1,0)</f>
        <v>Bank Fees and Charges</v>
      </c>
    </row>
    <row r="285" spans="1:9">
      <c r="A285" s="1">
        <v>45833</v>
      </c>
      <c r="B285" s="78">
        <v>45838</v>
      </c>
      <c r="C285" t="s">
        <v>166</v>
      </c>
      <c r="D285" t="s">
        <v>8</v>
      </c>
      <c r="E285" t="s">
        <v>815</v>
      </c>
      <c r="F285" s="2">
        <v>75000</v>
      </c>
      <c r="G285" t="s">
        <v>710</v>
      </c>
      <c r="I285" t="str">
        <f>VLOOKUP(E285,'Trial Balance'!B:B,1,0)</f>
        <v>Salaries and Employee Wages</v>
      </c>
    </row>
    <row r="286" spans="1:9">
      <c r="A286" s="1">
        <v>45833</v>
      </c>
      <c r="B286" s="78">
        <v>45838</v>
      </c>
      <c r="C286" t="s">
        <v>166</v>
      </c>
      <c r="D286" t="s">
        <v>3</v>
      </c>
      <c r="E286" t="s">
        <v>865</v>
      </c>
      <c r="F286" s="2">
        <v>50</v>
      </c>
      <c r="G286" t="s">
        <v>710</v>
      </c>
      <c r="I286" t="str">
        <f>VLOOKUP(E286,'Trial Balance'!B:B,1,0)</f>
        <v>Bank Fees and Charges</v>
      </c>
    </row>
    <row r="287" spans="1:9">
      <c r="A287" s="1">
        <v>45833</v>
      </c>
      <c r="B287" s="78">
        <v>45838</v>
      </c>
      <c r="C287" t="s">
        <v>166</v>
      </c>
      <c r="D287" t="s">
        <v>3</v>
      </c>
      <c r="E287" t="s">
        <v>865</v>
      </c>
      <c r="F287" s="2">
        <v>3.75</v>
      </c>
      <c r="G287" t="s">
        <v>710</v>
      </c>
      <c r="I287" t="str">
        <f>VLOOKUP(E287,'Trial Balance'!B:B,1,0)</f>
        <v>Bank Fees and Charges</v>
      </c>
    </row>
    <row r="288" spans="1:9">
      <c r="A288" s="1">
        <v>45833</v>
      </c>
      <c r="B288" s="78">
        <v>45838</v>
      </c>
      <c r="C288" t="s">
        <v>167</v>
      </c>
      <c r="D288" t="s">
        <v>8</v>
      </c>
      <c r="E288" t="s">
        <v>815</v>
      </c>
      <c r="F288" s="2">
        <v>66000</v>
      </c>
      <c r="G288" t="s">
        <v>710</v>
      </c>
      <c r="I288" t="str">
        <f>VLOOKUP(E288,'Trial Balance'!B:B,1,0)</f>
        <v>Salaries and Employee Wages</v>
      </c>
    </row>
    <row r="289" spans="1:9">
      <c r="A289" s="1">
        <v>45833</v>
      </c>
      <c r="B289" s="78">
        <v>45838</v>
      </c>
      <c r="C289" t="s">
        <v>167</v>
      </c>
      <c r="D289" t="s">
        <v>3</v>
      </c>
      <c r="E289" t="s">
        <v>865</v>
      </c>
      <c r="F289" s="2">
        <v>50</v>
      </c>
      <c r="G289" t="s">
        <v>710</v>
      </c>
      <c r="I289" t="str">
        <f>VLOOKUP(E289,'Trial Balance'!B:B,1,0)</f>
        <v>Bank Fees and Charges</v>
      </c>
    </row>
    <row r="290" spans="1:9">
      <c r="A290" s="1">
        <v>45833</v>
      </c>
      <c r="B290" s="78">
        <v>45838</v>
      </c>
      <c r="C290" t="s">
        <v>167</v>
      </c>
      <c r="D290" t="s">
        <v>3</v>
      </c>
      <c r="E290" t="s">
        <v>865</v>
      </c>
      <c r="F290" s="2">
        <v>3.75</v>
      </c>
      <c r="G290" t="s">
        <v>710</v>
      </c>
      <c r="I290" t="str">
        <f>VLOOKUP(E290,'Trial Balance'!B:B,1,0)</f>
        <v>Bank Fees and Charges</v>
      </c>
    </row>
    <row r="291" spans="1:9">
      <c r="A291" s="1">
        <v>45833</v>
      </c>
      <c r="B291" s="78">
        <v>45838</v>
      </c>
      <c r="C291" t="s">
        <v>168</v>
      </c>
      <c r="D291" t="s">
        <v>8</v>
      </c>
      <c r="E291" t="s">
        <v>815</v>
      </c>
      <c r="F291" s="2">
        <v>66000</v>
      </c>
      <c r="G291" t="s">
        <v>710</v>
      </c>
      <c r="I291" t="str">
        <f>VLOOKUP(E291,'Trial Balance'!B:B,1,0)</f>
        <v>Salaries and Employee Wages</v>
      </c>
    </row>
    <row r="292" spans="1:9">
      <c r="A292" s="1">
        <v>45833</v>
      </c>
      <c r="B292" s="78">
        <v>45838</v>
      </c>
      <c r="C292" t="s">
        <v>168</v>
      </c>
      <c r="D292" t="s">
        <v>3</v>
      </c>
      <c r="E292" t="s">
        <v>865</v>
      </c>
      <c r="F292" s="2">
        <v>50</v>
      </c>
      <c r="G292" t="s">
        <v>710</v>
      </c>
      <c r="I292" t="str">
        <f>VLOOKUP(E292,'Trial Balance'!B:B,1,0)</f>
        <v>Bank Fees and Charges</v>
      </c>
    </row>
    <row r="293" spans="1:9">
      <c r="A293" s="1">
        <v>45833</v>
      </c>
      <c r="B293" s="78">
        <v>45838</v>
      </c>
      <c r="C293" t="s">
        <v>168</v>
      </c>
      <c r="D293" t="s">
        <v>3</v>
      </c>
      <c r="E293" t="s">
        <v>865</v>
      </c>
      <c r="F293" s="2">
        <v>3.75</v>
      </c>
      <c r="G293" t="s">
        <v>710</v>
      </c>
      <c r="I293" t="str">
        <f>VLOOKUP(E293,'Trial Balance'!B:B,1,0)</f>
        <v>Bank Fees and Charges</v>
      </c>
    </row>
    <row r="294" spans="1:9">
      <c r="A294" s="1">
        <v>45833</v>
      </c>
      <c r="B294" s="78">
        <v>45838</v>
      </c>
      <c r="C294" t="s">
        <v>169</v>
      </c>
      <c r="D294" t="s">
        <v>8</v>
      </c>
      <c r="E294" t="s">
        <v>815</v>
      </c>
      <c r="F294" s="2">
        <v>66000</v>
      </c>
      <c r="G294" t="s">
        <v>710</v>
      </c>
      <c r="I294" t="str">
        <f>VLOOKUP(E294,'Trial Balance'!B:B,1,0)</f>
        <v>Salaries and Employee Wages</v>
      </c>
    </row>
    <row r="295" spans="1:9">
      <c r="A295" s="1">
        <v>45833</v>
      </c>
      <c r="B295" s="78">
        <v>45838</v>
      </c>
      <c r="C295" t="s">
        <v>169</v>
      </c>
      <c r="D295" t="s">
        <v>3</v>
      </c>
      <c r="E295" t="s">
        <v>865</v>
      </c>
      <c r="F295" s="2">
        <v>50</v>
      </c>
      <c r="G295" t="s">
        <v>710</v>
      </c>
      <c r="I295" t="str">
        <f>VLOOKUP(E295,'Trial Balance'!B:B,1,0)</f>
        <v>Bank Fees and Charges</v>
      </c>
    </row>
    <row r="296" spans="1:9">
      <c r="A296" s="1">
        <v>45833</v>
      </c>
      <c r="B296" s="78">
        <v>45838</v>
      </c>
      <c r="C296" t="s">
        <v>169</v>
      </c>
      <c r="D296" t="s">
        <v>3</v>
      </c>
      <c r="E296" t="s">
        <v>865</v>
      </c>
      <c r="F296" s="2">
        <v>3.75</v>
      </c>
      <c r="G296" t="s">
        <v>710</v>
      </c>
      <c r="I296" t="str">
        <f>VLOOKUP(E296,'Trial Balance'!B:B,1,0)</f>
        <v>Bank Fees and Charges</v>
      </c>
    </row>
    <row r="297" spans="1:9">
      <c r="A297" s="1">
        <v>45833</v>
      </c>
      <c r="B297" s="78">
        <v>45838</v>
      </c>
      <c r="C297" t="s">
        <v>170</v>
      </c>
      <c r="D297" t="s">
        <v>8</v>
      </c>
      <c r="E297" t="s">
        <v>815</v>
      </c>
      <c r="F297" s="2">
        <v>66000</v>
      </c>
      <c r="G297" t="s">
        <v>710</v>
      </c>
      <c r="I297" t="str">
        <f>VLOOKUP(E297,'Trial Balance'!B:B,1,0)</f>
        <v>Salaries and Employee Wages</v>
      </c>
    </row>
    <row r="298" spans="1:9">
      <c r="A298" s="1">
        <v>45833</v>
      </c>
      <c r="B298" s="78">
        <v>45838</v>
      </c>
      <c r="C298" t="s">
        <v>170</v>
      </c>
      <c r="D298" t="s">
        <v>3</v>
      </c>
      <c r="E298" t="s">
        <v>865</v>
      </c>
      <c r="F298" s="2">
        <v>50</v>
      </c>
      <c r="G298" t="s">
        <v>710</v>
      </c>
      <c r="I298" t="str">
        <f>VLOOKUP(E298,'Trial Balance'!B:B,1,0)</f>
        <v>Bank Fees and Charges</v>
      </c>
    </row>
    <row r="299" spans="1:9">
      <c r="A299" s="1">
        <v>45833</v>
      </c>
      <c r="B299" s="78">
        <v>45838</v>
      </c>
      <c r="C299" t="s">
        <v>170</v>
      </c>
      <c r="D299" t="s">
        <v>3</v>
      </c>
      <c r="E299" t="s">
        <v>865</v>
      </c>
      <c r="F299" s="2">
        <v>3.75</v>
      </c>
      <c r="G299" t="s">
        <v>710</v>
      </c>
      <c r="I299" t="str">
        <f>VLOOKUP(E299,'Trial Balance'!B:B,1,0)</f>
        <v>Bank Fees and Charges</v>
      </c>
    </row>
    <row r="300" spans="1:9">
      <c r="A300" s="1">
        <v>45833</v>
      </c>
      <c r="B300" s="78">
        <v>45838</v>
      </c>
      <c r="C300" t="s">
        <v>171</v>
      </c>
      <c r="D300" t="s">
        <v>8</v>
      </c>
      <c r="E300" t="s">
        <v>815</v>
      </c>
      <c r="F300" s="2">
        <v>66000</v>
      </c>
      <c r="G300" t="s">
        <v>710</v>
      </c>
      <c r="I300" t="str">
        <f>VLOOKUP(E300,'Trial Balance'!B:B,1,0)</f>
        <v>Salaries and Employee Wages</v>
      </c>
    </row>
    <row r="301" spans="1:9">
      <c r="A301" s="1">
        <v>45833</v>
      </c>
      <c r="B301" s="78">
        <v>45838</v>
      </c>
      <c r="C301" t="s">
        <v>171</v>
      </c>
      <c r="D301" t="s">
        <v>3</v>
      </c>
      <c r="E301" t="s">
        <v>865</v>
      </c>
      <c r="F301" s="2">
        <v>50</v>
      </c>
      <c r="G301" t="s">
        <v>710</v>
      </c>
      <c r="I301" t="str">
        <f>VLOOKUP(E301,'Trial Balance'!B:B,1,0)</f>
        <v>Bank Fees and Charges</v>
      </c>
    </row>
    <row r="302" spans="1:9">
      <c r="A302" s="1">
        <v>45833</v>
      </c>
      <c r="B302" s="78">
        <v>45838</v>
      </c>
      <c r="C302" t="s">
        <v>171</v>
      </c>
      <c r="D302" t="s">
        <v>3</v>
      </c>
      <c r="E302" t="s">
        <v>865</v>
      </c>
      <c r="F302" s="2">
        <v>3.75</v>
      </c>
      <c r="G302" t="s">
        <v>710</v>
      </c>
      <c r="I302" t="str">
        <f>VLOOKUP(E302,'Trial Balance'!B:B,1,0)</f>
        <v>Bank Fees and Charges</v>
      </c>
    </row>
    <row r="303" spans="1:9">
      <c r="A303" s="1">
        <v>45833</v>
      </c>
      <c r="B303" s="78">
        <v>45838</v>
      </c>
      <c r="C303" t="s">
        <v>172</v>
      </c>
      <c r="D303" t="s">
        <v>8</v>
      </c>
      <c r="E303" t="s">
        <v>815</v>
      </c>
      <c r="F303" s="2">
        <v>66000</v>
      </c>
      <c r="G303" t="s">
        <v>710</v>
      </c>
      <c r="I303" t="str">
        <f>VLOOKUP(E303,'Trial Balance'!B:B,1,0)</f>
        <v>Salaries and Employee Wages</v>
      </c>
    </row>
    <row r="304" spans="1:9">
      <c r="A304" s="1">
        <v>45833</v>
      </c>
      <c r="B304" s="78">
        <v>45838</v>
      </c>
      <c r="C304" t="s">
        <v>172</v>
      </c>
      <c r="D304" t="s">
        <v>3</v>
      </c>
      <c r="E304" t="s">
        <v>865</v>
      </c>
      <c r="F304" s="2">
        <v>50</v>
      </c>
      <c r="G304" t="s">
        <v>710</v>
      </c>
      <c r="I304" t="str">
        <f>VLOOKUP(E304,'Trial Balance'!B:B,1,0)</f>
        <v>Bank Fees and Charges</v>
      </c>
    </row>
    <row r="305" spans="1:9">
      <c r="A305" s="1">
        <v>45833</v>
      </c>
      <c r="B305" s="78">
        <v>45838</v>
      </c>
      <c r="C305" t="s">
        <v>172</v>
      </c>
      <c r="D305" t="s">
        <v>3</v>
      </c>
      <c r="E305" t="s">
        <v>865</v>
      </c>
      <c r="F305" s="2">
        <v>3.75</v>
      </c>
      <c r="G305" t="s">
        <v>710</v>
      </c>
      <c r="I305" t="str">
        <f>VLOOKUP(E305,'Trial Balance'!B:B,1,0)</f>
        <v>Bank Fees and Charges</v>
      </c>
    </row>
    <row r="306" spans="1:9">
      <c r="A306" s="1">
        <v>45833</v>
      </c>
      <c r="B306" s="78">
        <v>45838</v>
      </c>
      <c r="C306" t="s">
        <v>172</v>
      </c>
      <c r="D306" t="s">
        <v>8</v>
      </c>
      <c r="E306" t="s">
        <v>815</v>
      </c>
      <c r="F306" s="2">
        <v>-66000</v>
      </c>
      <c r="G306" t="s">
        <v>710</v>
      </c>
      <c r="I306" t="str">
        <f>VLOOKUP(E306,'Trial Balance'!B:B,1,0)</f>
        <v>Salaries and Employee Wages</v>
      </c>
    </row>
    <row r="307" spans="1:9">
      <c r="A307" s="1">
        <v>45833</v>
      </c>
      <c r="B307" s="78">
        <v>45838</v>
      </c>
      <c r="C307" t="s">
        <v>172</v>
      </c>
      <c r="D307" t="s">
        <v>3</v>
      </c>
      <c r="E307" t="s">
        <v>865</v>
      </c>
      <c r="F307" s="2">
        <v>-50</v>
      </c>
      <c r="G307" t="s">
        <v>710</v>
      </c>
      <c r="I307" t="str">
        <f>VLOOKUP(E307,'Trial Balance'!B:B,1,0)</f>
        <v>Bank Fees and Charges</v>
      </c>
    </row>
    <row r="308" spans="1:9">
      <c r="A308" s="1">
        <v>45833</v>
      </c>
      <c r="B308" s="78">
        <v>45838</v>
      </c>
      <c r="C308" t="s">
        <v>172</v>
      </c>
      <c r="D308" t="s">
        <v>3</v>
      </c>
      <c r="E308" t="s">
        <v>865</v>
      </c>
      <c r="F308" s="2">
        <v>-3.75</v>
      </c>
      <c r="G308" t="s">
        <v>710</v>
      </c>
      <c r="I308" t="str">
        <f>VLOOKUP(E308,'Trial Balance'!B:B,1,0)</f>
        <v>Bank Fees and Charges</v>
      </c>
    </row>
    <row r="309" spans="1:9">
      <c r="A309" s="1">
        <v>45835</v>
      </c>
      <c r="B309" s="78">
        <v>45838</v>
      </c>
      <c r="C309" t="s">
        <v>174</v>
      </c>
      <c r="D309" t="s">
        <v>5</v>
      </c>
      <c r="E309" t="s">
        <v>5</v>
      </c>
      <c r="F309" s="2">
        <v>20161.25</v>
      </c>
      <c r="G309" t="s">
        <v>710</v>
      </c>
      <c r="I309" t="str">
        <f>VLOOKUP(E309,'Trial Balance'!B:B,1,0)</f>
        <v>Other Expenses</v>
      </c>
    </row>
    <row r="310" spans="1:9">
      <c r="A310" s="1">
        <v>45835</v>
      </c>
      <c r="B310" s="78">
        <v>45838</v>
      </c>
      <c r="C310" t="s">
        <v>174</v>
      </c>
      <c r="D310" t="s">
        <v>3</v>
      </c>
      <c r="E310" t="s">
        <v>865</v>
      </c>
      <c r="F310" s="2">
        <v>25</v>
      </c>
      <c r="G310" t="s">
        <v>710</v>
      </c>
      <c r="I310" t="str">
        <f>VLOOKUP(E310,'Trial Balance'!B:B,1,0)</f>
        <v>Bank Fees and Charges</v>
      </c>
    </row>
    <row r="311" spans="1:9">
      <c r="A311" s="1">
        <v>45835</v>
      </c>
      <c r="B311" s="78">
        <v>45838</v>
      </c>
      <c r="C311" t="s">
        <v>174</v>
      </c>
      <c r="D311" t="s">
        <v>3</v>
      </c>
      <c r="E311" t="s">
        <v>865</v>
      </c>
      <c r="F311" s="2">
        <v>1.8799999952316284</v>
      </c>
      <c r="G311" t="s">
        <v>710</v>
      </c>
      <c r="I311" t="str">
        <f>VLOOKUP(E311,'Trial Balance'!B:B,1,0)</f>
        <v>Bank Fees and Charges</v>
      </c>
    </row>
    <row r="312" spans="1:9">
      <c r="A312" s="1">
        <v>45835</v>
      </c>
      <c r="B312" s="78">
        <v>45838</v>
      </c>
      <c r="C312" t="s">
        <v>175</v>
      </c>
      <c r="D312" t="s">
        <v>4</v>
      </c>
      <c r="E312" t="s">
        <v>874</v>
      </c>
      <c r="F312" s="2">
        <v>66000</v>
      </c>
      <c r="G312" t="s">
        <v>710</v>
      </c>
      <c r="I312" t="str">
        <f>VLOOKUP(E312,'Trial Balance'!B:B,1,0)</f>
        <v>Office Supplies</v>
      </c>
    </row>
    <row r="313" spans="1:9">
      <c r="A313" s="1">
        <v>45835</v>
      </c>
      <c r="B313" s="78">
        <v>45838</v>
      </c>
      <c r="C313" t="s">
        <v>175</v>
      </c>
      <c r="D313" t="s">
        <v>3</v>
      </c>
      <c r="E313" t="s">
        <v>865</v>
      </c>
      <c r="F313" s="2">
        <v>50</v>
      </c>
      <c r="G313" t="s">
        <v>710</v>
      </c>
      <c r="I313" t="str">
        <f>VLOOKUP(E313,'Trial Balance'!B:B,1,0)</f>
        <v>Bank Fees and Charges</v>
      </c>
    </row>
    <row r="314" spans="1:9">
      <c r="A314" s="1">
        <v>45835</v>
      </c>
      <c r="B314" s="78">
        <v>45838</v>
      </c>
      <c r="C314" t="s">
        <v>175</v>
      </c>
      <c r="D314" t="s">
        <v>3</v>
      </c>
      <c r="E314" t="s">
        <v>865</v>
      </c>
      <c r="F314" s="2">
        <v>3.75</v>
      </c>
      <c r="G314" t="s">
        <v>710</v>
      </c>
      <c r="I314" t="str">
        <f>VLOOKUP(E314,'Trial Balance'!B:B,1,0)</f>
        <v>Bank Fees and Charges</v>
      </c>
    </row>
    <row r="315" spans="1:9">
      <c r="A315" s="1">
        <v>45835</v>
      </c>
      <c r="B315" s="78">
        <v>45838</v>
      </c>
      <c r="C315" t="s">
        <v>176</v>
      </c>
      <c r="D315" t="s">
        <v>4</v>
      </c>
      <c r="E315" t="s">
        <v>874</v>
      </c>
      <c r="F315" s="2">
        <v>66000</v>
      </c>
      <c r="G315" t="s">
        <v>710</v>
      </c>
      <c r="I315" t="str">
        <f>VLOOKUP(E315,'Trial Balance'!B:B,1,0)</f>
        <v>Office Supplies</v>
      </c>
    </row>
    <row r="316" spans="1:9">
      <c r="A316" s="1">
        <v>45835</v>
      </c>
      <c r="B316" s="78">
        <v>45838</v>
      </c>
      <c r="C316" t="s">
        <v>176</v>
      </c>
      <c r="D316" t="s">
        <v>3</v>
      </c>
      <c r="E316" t="s">
        <v>865</v>
      </c>
      <c r="F316" s="2">
        <v>50</v>
      </c>
      <c r="G316" t="s">
        <v>710</v>
      </c>
      <c r="I316" t="str">
        <f>VLOOKUP(E316,'Trial Balance'!B:B,1,0)</f>
        <v>Bank Fees and Charges</v>
      </c>
    </row>
    <row r="317" spans="1:9">
      <c r="A317" s="1">
        <v>45835</v>
      </c>
      <c r="B317" s="78">
        <v>45838</v>
      </c>
      <c r="C317" t="s">
        <v>176</v>
      </c>
      <c r="D317" t="s">
        <v>3</v>
      </c>
      <c r="E317" t="s">
        <v>865</v>
      </c>
      <c r="F317" s="2">
        <v>3.75</v>
      </c>
      <c r="G317" t="s">
        <v>710</v>
      </c>
      <c r="I317" t="str">
        <f>VLOOKUP(E317,'Trial Balance'!B:B,1,0)</f>
        <v>Bank Fees and Charges</v>
      </c>
    </row>
    <row r="318" spans="1:9">
      <c r="A318" s="1">
        <v>45835</v>
      </c>
      <c r="B318" s="78">
        <v>45838</v>
      </c>
      <c r="C318" t="s">
        <v>177</v>
      </c>
      <c r="D318" t="s">
        <v>22</v>
      </c>
      <c r="E318" t="s">
        <v>974</v>
      </c>
      <c r="F318" s="2">
        <v>619300</v>
      </c>
      <c r="G318" t="s">
        <v>710</v>
      </c>
      <c r="I318" t="str">
        <f>VLOOKUP(E318,'Trial Balance'!B:B,1,0)</f>
        <v>Security expense</v>
      </c>
    </row>
    <row r="319" spans="1:9">
      <c r="A319" s="1">
        <v>45835</v>
      </c>
      <c r="B319" s="78">
        <v>45838</v>
      </c>
      <c r="C319" t="s">
        <v>177</v>
      </c>
      <c r="D319" t="s">
        <v>3</v>
      </c>
      <c r="E319" t="s">
        <v>865</v>
      </c>
      <c r="F319" s="2">
        <v>50</v>
      </c>
      <c r="G319" t="s">
        <v>710</v>
      </c>
      <c r="I319" t="str">
        <f>VLOOKUP(E319,'Trial Balance'!B:B,1,0)</f>
        <v>Bank Fees and Charges</v>
      </c>
    </row>
    <row r="320" spans="1:9">
      <c r="A320" s="1">
        <v>45835</v>
      </c>
      <c r="B320" s="78">
        <v>45838</v>
      </c>
      <c r="C320" t="s">
        <v>177</v>
      </c>
      <c r="D320" t="s">
        <v>3</v>
      </c>
      <c r="E320" t="s">
        <v>865</v>
      </c>
      <c r="F320" s="2">
        <v>3.75</v>
      </c>
      <c r="G320" t="s">
        <v>710</v>
      </c>
      <c r="I320" t="str">
        <f>VLOOKUP(E320,'Trial Balance'!B:B,1,0)</f>
        <v>Bank Fees and Charges</v>
      </c>
    </row>
    <row r="321" spans="1:9">
      <c r="A321" s="1">
        <v>45835</v>
      </c>
      <c r="B321" s="78">
        <v>45838</v>
      </c>
      <c r="C321" t="s">
        <v>178</v>
      </c>
      <c r="D321" t="s">
        <v>15</v>
      </c>
      <c r="E321" t="s">
        <v>1353</v>
      </c>
      <c r="F321" s="2">
        <v>17000</v>
      </c>
      <c r="G321" t="s">
        <v>710</v>
      </c>
      <c r="I321" t="str">
        <f>VLOOKUP(E321,'Trial Balance'!B:B,1,0)</f>
        <v>Guest entertainment</v>
      </c>
    </row>
    <row r="322" spans="1:9">
      <c r="A322" s="1">
        <v>45835</v>
      </c>
      <c r="B322" s="78">
        <v>45838</v>
      </c>
      <c r="C322" t="s">
        <v>178</v>
      </c>
      <c r="D322" t="s">
        <v>3</v>
      </c>
      <c r="E322" t="s">
        <v>865</v>
      </c>
      <c r="F322" s="2">
        <v>25</v>
      </c>
      <c r="G322" t="s">
        <v>710</v>
      </c>
      <c r="I322" t="str">
        <f>VLOOKUP(E322,'Trial Balance'!B:B,1,0)</f>
        <v>Bank Fees and Charges</v>
      </c>
    </row>
    <row r="323" spans="1:9">
      <c r="A323" s="1">
        <v>45835</v>
      </c>
      <c r="B323" s="78">
        <v>45838</v>
      </c>
      <c r="C323" t="s">
        <v>178</v>
      </c>
      <c r="D323" t="s">
        <v>3</v>
      </c>
      <c r="E323" t="s">
        <v>865</v>
      </c>
      <c r="F323" s="2">
        <v>1.8799999952316284</v>
      </c>
      <c r="G323" t="s">
        <v>710</v>
      </c>
      <c r="I323" t="str">
        <f>VLOOKUP(E323,'Trial Balance'!B:B,1,0)</f>
        <v>Bank Fees and Charges</v>
      </c>
    </row>
    <row r="324" spans="1:9">
      <c r="A324" s="1">
        <v>45835</v>
      </c>
      <c r="B324" s="78">
        <v>45838</v>
      </c>
      <c r="C324" t="s">
        <v>179</v>
      </c>
      <c r="D324" t="s">
        <v>16</v>
      </c>
      <c r="E324" t="s">
        <v>974</v>
      </c>
      <c r="F324" s="2">
        <v>250000</v>
      </c>
      <c r="G324" t="s">
        <v>710</v>
      </c>
      <c r="I324" t="str">
        <f>VLOOKUP(E324,'Trial Balance'!B:B,1,0)</f>
        <v>Security expense</v>
      </c>
    </row>
    <row r="325" spans="1:9">
      <c r="A325" s="1">
        <v>45835</v>
      </c>
      <c r="B325" s="78">
        <v>45838</v>
      </c>
      <c r="C325" t="s">
        <v>179</v>
      </c>
      <c r="D325" t="s">
        <v>3</v>
      </c>
      <c r="E325" t="s">
        <v>865</v>
      </c>
      <c r="F325" s="2">
        <v>50</v>
      </c>
      <c r="G325" t="s">
        <v>710</v>
      </c>
      <c r="I325" t="str">
        <f>VLOOKUP(E325,'Trial Balance'!B:B,1,0)</f>
        <v>Bank Fees and Charges</v>
      </c>
    </row>
    <row r="326" spans="1:9">
      <c r="A326" s="1">
        <v>45835</v>
      </c>
      <c r="B326" s="78">
        <v>45838</v>
      </c>
      <c r="C326" t="s">
        <v>179</v>
      </c>
      <c r="D326" t="s">
        <v>3</v>
      </c>
      <c r="E326" t="s">
        <v>865</v>
      </c>
      <c r="F326" s="2">
        <v>3.75</v>
      </c>
      <c r="G326" t="s">
        <v>710</v>
      </c>
      <c r="I326" t="str">
        <f>VLOOKUP(E326,'Trial Balance'!B:B,1,0)</f>
        <v>Bank Fees and Charges</v>
      </c>
    </row>
    <row r="327" spans="1:9">
      <c r="A327" s="1">
        <v>45835</v>
      </c>
      <c r="B327" s="78">
        <v>45838</v>
      </c>
      <c r="C327" t="s">
        <v>180</v>
      </c>
      <c r="D327" t="s">
        <v>4</v>
      </c>
      <c r="E327" t="s">
        <v>874</v>
      </c>
      <c r="F327" s="2">
        <v>32500</v>
      </c>
      <c r="G327" t="s">
        <v>710</v>
      </c>
      <c r="I327" t="str">
        <f>VLOOKUP(E327,'Trial Balance'!B:B,1,0)</f>
        <v>Office Supplies</v>
      </c>
    </row>
    <row r="328" spans="1:9">
      <c r="A328" s="1">
        <v>45835</v>
      </c>
      <c r="B328" s="78">
        <v>45838</v>
      </c>
      <c r="C328" t="s">
        <v>180</v>
      </c>
      <c r="D328" t="s">
        <v>3</v>
      </c>
      <c r="E328" t="s">
        <v>865</v>
      </c>
      <c r="F328" s="2">
        <v>25</v>
      </c>
      <c r="G328" t="s">
        <v>710</v>
      </c>
      <c r="I328" t="str">
        <f>VLOOKUP(E328,'Trial Balance'!B:B,1,0)</f>
        <v>Bank Fees and Charges</v>
      </c>
    </row>
    <row r="329" spans="1:9">
      <c r="A329" s="1">
        <v>45835</v>
      </c>
      <c r="B329" s="78">
        <v>45838</v>
      </c>
      <c r="C329" t="s">
        <v>180</v>
      </c>
      <c r="D329" t="s">
        <v>3</v>
      </c>
      <c r="E329" t="s">
        <v>865</v>
      </c>
      <c r="F329" s="2">
        <v>1.8800000101327896</v>
      </c>
      <c r="G329" t="s">
        <v>710</v>
      </c>
      <c r="I329" t="str">
        <f>VLOOKUP(E329,'Trial Balance'!B:B,1,0)</f>
        <v>Bank Fees and Charges</v>
      </c>
    </row>
    <row r="330" spans="1:9">
      <c r="A330" s="1">
        <v>45838</v>
      </c>
      <c r="B330" s="78">
        <v>45838</v>
      </c>
      <c r="C330" t="s">
        <v>182</v>
      </c>
      <c r="D330" t="s">
        <v>13</v>
      </c>
      <c r="E330" t="s">
        <v>800</v>
      </c>
      <c r="F330" s="2">
        <v>550000</v>
      </c>
      <c r="G330" t="s">
        <v>710</v>
      </c>
      <c r="I330" t="str">
        <f>VLOOKUP(E330,'Trial Balance'!B:B,1,0)</f>
        <v>Repairs and Maintenance</v>
      </c>
    </row>
    <row r="331" spans="1:9">
      <c r="A331" s="1">
        <v>45838</v>
      </c>
      <c r="B331" s="78">
        <v>45838</v>
      </c>
      <c r="C331" t="s">
        <v>182</v>
      </c>
      <c r="D331" t="s">
        <v>3</v>
      </c>
      <c r="E331" t="s">
        <v>865</v>
      </c>
      <c r="F331" s="2">
        <v>50</v>
      </c>
      <c r="G331" t="s">
        <v>710</v>
      </c>
      <c r="I331" t="str">
        <f>VLOOKUP(E331,'Trial Balance'!B:B,1,0)</f>
        <v>Bank Fees and Charges</v>
      </c>
    </row>
    <row r="332" spans="1:9">
      <c r="A332" s="1">
        <v>45838</v>
      </c>
      <c r="B332" s="78">
        <v>45838</v>
      </c>
      <c r="C332" t="s">
        <v>182</v>
      </c>
      <c r="D332" t="s">
        <v>3</v>
      </c>
      <c r="E332" t="s">
        <v>865</v>
      </c>
      <c r="F332" s="2">
        <v>3.75</v>
      </c>
      <c r="G332" t="s">
        <v>710</v>
      </c>
      <c r="I332" t="str">
        <f>VLOOKUP(E332,'Trial Balance'!B:B,1,0)</f>
        <v>Bank Fees and Charges</v>
      </c>
    </row>
    <row r="333" spans="1:9">
      <c r="A333" s="1">
        <v>45838</v>
      </c>
      <c r="B333" s="78">
        <v>45838</v>
      </c>
      <c r="C333" t="s">
        <v>183</v>
      </c>
      <c r="D333" t="s">
        <v>13</v>
      </c>
      <c r="E333" t="s">
        <v>800</v>
      </c>
      <c r="F333" s="2">
        <v>15000</v>
      </c>
      <c r="G333" t="s">
        <v>710</v>
      </c>
      <c r="I333" t="str">
        <f>VLOOKUP(E333,'Trial Balance'!B:B,1,0)</f>
        <v>Repairs and Maintenance</v>
      </c>
    </row>
    <row r="334" spans="1:9">
      <c r="A334" s="1">
        <v>45838</v>
      </c>
      <c r="B334" s="78">
        <v>45838</v>
      </c>
      <c r="C334" t="s">
        <v>183</v>
      </c>
      <c r="D334" t="s">
        <v>3</v>
      </c>
      <c r="E334" t="s">
        <v>865</v>
      </c>
      <c r="F334" s="2">
        <v>25</v>
      </c>
      <c r="G334" t="s">
        <v>710</v>
      </c>
      <c r="I334" t="str">
        <f>VLOOKUP(E334,'Trial Balance'!B:B,1,0)</f>
        <v>Bank Fees and Charges</v>
      </c>
    </row>
    <row r="335" spans="1:9">
      <c r="A335" s="1">
        <v>45838</v>
      </c>
      <c r="B335" s="78">
        <v>45838</v>
      </c>
      <c r="C335" t="s">
        <v>183</v>
      </c>
      <c r="D335" t="s">
        <v>3</v>
      </c>
      <c r="E335" t="s">
        <v>865</v>
      </c>
      <c r="F335" s="2">
        <v>1.8799999952316284</v>
      </c>
      <c r="G335" t="s">
        <v>710</v>
      </c>
      <c r="I335" t="str">
        <f>VLOOKUP(E335,'Trial Balance'!B:B,1,0)</f>
        <v>Bank Fees and Charges</v>
      </c>
    </row>
    <row r="336" spans="1:9">
      <c r="A336" s="1">
        <v>45838</v>
      </c>
      <c r="B336" s="78">
        <v>45838</v>
      </c>
      <c r="C336" t="s">
        <v>184</v>
      </c>
      <c r="D336" t="s">
        <v>23</v>
      </c>
      <c r="E336" t="s">
        <v>846</v>
      </c>
      <c r="F336" s="2">
        <v>370000</v>
      </c>
      <c r="G336" t="s">
        <v>710</v>
      </c>
      <c r="I336" t="str">
        <f>VLOOKUP(E336,'Trial Balance'!B:B,1,0)</f>
        <v>IT and Internet Expenses</v>
      </c>
    </row>
    <row r="337" spans="1:9">
      <c r="A337" s="1">
        <v>45838</v>
      </c>
      <c r="B337" s="78">
        <v>45838</v>
      </c>
      <c r="C337" t="s">
        <v>184</v>
      </c>
      <c r="D337" t="s">
        <v>3</v>
      </c>
      <c r="E337" t="s">
        <v>865</v>
      </c>
      <c r="F337" s="2">
        <v>50</v>
      </c>
      <c r="G337" t="s">
        <v>710</v>
      </c>
      <c r="I337" t="str">
        <f>VLOOKUP(E337,'Trial Balance'!B:B,1,0)</f>
        <v>Bank Fees and Charges</v>
      </c>
    </row>
    <row r="338" spans="1:9">
      <c r="A338" s="1">
        <v>45838</v>
      </c>
      <c r="B338" s="78">
        <v>45838</v>
      </c>
      <c r="C338" t="s">
        <v>184</v>
      </c>
      <c r="D338" t="s">
        <v>3</v>
      </c>
      <c r="E338" t="s">
        <v>865</v>
      </c>
      <c r="F338" s="2">
        <v>3.75</v>
      </c>
      <c r="G338" t="s">
        <v>710</v>
      </c>
      <c r="I338" t="str">
        <f>VLOOKUP(E338,'Trial Balance'!B:B,1,0)</f>
        <v>Bank Fees and Charges</v>
      </c>
    </row>
    <row r="339" spans="1:9">
      <c r="A339" s="1">
        <v>45838</v>
      </c>
      <c r="B339" s="78">
        <v>45838</v>
      </c>
      <c r="C339" t="s">
        <v>185</v>
      </c>
      <c r="D339" t="s">
        <v>8</v>
      </c>
      <c r="E339" t="s">
        <v>815</v>
      </c>
      <c r="F339" s="2">
        <v>119811.25</v>
      </c>
      <c r="G339" t="s">
        <v>710</v>
      </c>
      <c r="I339" t="str">
        <f>VLOOKUP(E339,'Trial Balance'!B:B,1,0)</f>
        <v>Salaries and Employee Wages</v>
      </c>
    </row>
    <row r="340" spans="1:9">
      <c r="A340" s="1">
        <v>45838</v>
      </c>
      <c r="B340" s="78">
        <v>45838</v>
      </c>
      <c r="C340" t="s">
        <v>185</v>
      </c>
      <c r="D340" t="s">
        <v>3</v>
      </c>
      <c r="E340" t="s">
        <v>865</v>
      </c>
      <c r="F340" s="2">
        <v>50</v>
      </c>
      <c r="G340" t="s">
        <v>710</v>
      </c>
      <c r="I340" t="str">
        <f>VLOOKUP(E340,'Trial Balance'!B:B,1,0)</f>
        <v>Bank Fees and Charges</v>
      </c>
    </row>
    <row r="341" spans="1:9">
      <c r="A341" s="1">
        <v>45838</v>
      </c>
      <c r="B341" s="78">
        <v>45838</v>
      </c>
      <c r="C341" t="s">
        <v>185</v>
      </c>
      <c r="D341" t="s">
        <v>3</v>
      </c>
      <c r="E341" t="s">
        <v>865</v>
      </c>
      <c r="F341" s="2">
        <v>3.75</v>
      </c>
      <c r="G341" t="s">
        <v>710</v>
      </c>
      <c r="I341" t="str">
        <f>VLOOKUP(E341,'Trial Balance'!B:B,1,0)</f>
        <v>Bank Fees and Charges</v>
      </c>
    </row>
    <row r="342" spans="1:9">
      <c r="A342" s="1">
        <v>45838</v>
      </c>
      <c r="B342" s="78">
        <v>45838</v>
      </c>
      <c r="C342" t="s">
        <v>186</v>
      </c>
      <c r="D342" t="s">
        <v>3</v>
      </c>
      <c r="E342" t="s">
        <v>865</v>
      </c>
      <c r="F342" s="2">
        <v>200</v>
      </c>
      <c r="G342" t="s">
        <v>710</v>
      </c>
      <c r="I342" t="str">
        <f>VLOOKUP(E342,'Trial Balance'!B:B,1,0)</f>
        <v>Bank Fees and Charges</v>
      </c>
    </row>
    <row r="343" spans="1:9">
      <c r="A343" s="1">
        <v>45838</v>
      </c>
      <c r="B343" s="78">
        <v>45838</v>
      </c>
      <c r="C343" t="s">
        <v>187</v>
      </c>
      <c r="D343" t="s">
        <v>3</v>
      </c>
      <c r="E343" t="s">
        <v>865</v>
      </c>
      <c r="F343" s="2">
        <v>15</v>
      </c>
      <c r="G343" t="s">
        <v>710</v>
      </c>
      <c r="I343" t="str">
        <f>VLOOKUP(E343,'Trial Balance'!B:B,1,0)</f>
        <v>Bank Fees and Charges</v>
      </c>
    </row>
    <row r="344" spans="1:9">
      <c r="A344" s="1">
        <v>45838</v>
      </c>
      <c r="B344" s="78">
        <v>45838</v>
      </c>
      <c r="C344" t="s">
        <v>188</v>
      </c>
      <c r="D344" t="s">
        <v>24</v>
      </c>
      <c r="E344" t="s">
        <v>986</v>
      </c>
      <c r="F344" s="2">
        <v>100000</v>
      </c>
      <c r="G344" t="s">
        <v>710</v>
      </c>
      <c r="H344" t="s">
        <v>1309</v>
      </c>
      <c r="I344" t="str">
        <f>VLOOKUP(E344,'Trial Balance'!B:B,1,0)</f>
        <v>Refundable security deposit</v>
      </c>
    </row>
    <row r="345" spans="1:9">
      <c r="A345" s="1">
        <v>45838</v>
      </c>
      <c r="B345" s="78">
        <v>45838</v>
      </c>
      <c r="C345" t="s">
        <v>188</v>
      </c>
      <c r="D345" t="s">
        <v>3</v>
      </c>
      <c r="E345" t="s">
        <v>865</v>
      </c>
      <c r="F345" s="2">
        <v>50</v>
      </c>
      <c r="G345" t="s">
        <v>710</v>
      </c>
      <c r="I345" t="str">
        <f>VLOOKUP(E345,'Trial Balance'!B:B,1,0)</f>
        <v>Bank Fees and Charges</v>
      </c>
    </row>
    <row r="346" spans="1:9">
      <c r="A346" s="1">
        <v>45838</v>
      </c>
      <c r="B346" s="78">
        <v>45838</v>
      </c>
      <c r="C346" t="s">
        <v>188</v>
      </c>
      <c r="D346" t="s">
        <v>3</v>
      </c>
      <c r="E346" t="s">
        <v>865</v>
      </c>
      <c r="F346" s="2">
        <v>3.75</v>
      </c>
      <c r="G346" t="s">
        <v>710</v>
      </c>
      <c r="I346" t="str">
        <f>VLOOKUP(E346,'Trial Balance'!B:B,1,0)</f>
        <v>Bank Fees and Charges</v>
      </c>
    </row>
    <row r="347" spans="1:9">
      <c r="A347" s="1">
        <v>45838</v>
      </c>
      <c r="B347" s="78">
        <v>45838</v>
      </c>
      <c r="C347" t="s">
        <v>25</v>
      </c>
      <c r="D347" t="s">
        <v>19</v>
      </c>
      <c r="E347" t="s">
        <v>840</v>
      </c>
      <c r="F347" s="2">
        <v>1357550</v>
      </c>
      <c r="G347" t="s">
        <v>710</v>
      </c>
      <c r="H347" t="s">
        <v>750</v>
      </c>
      <c r="I347" t="str">
        <f>VLOOKUP(E347,'Trial Balance'!B:B,1,0)</f>
        <v>Janitorial Expense</v>
      </c>
    </row>
    <row r="348" spans="1:9">
      <c r="A348" s="1">
        <v>45838</v>
      </c>
      <c r="B348" s="78">
        <v>45838</v>
      </c>
      <c r="C348" t="s">
        <v>973</v>
      </c>
      <c r="E348" t="s">
        <v>840</v>
      </c>
      <c r="F348" s="2">
        <f>-F347</f>
        <v>-1357550</v>
      </c>
      <c r="G348" t="s">
        <v>710</v>
      </c>
      <c r="I348" t="str">
        <f>VLOOKUP(E348,'Trial Balance'!B:B,1,0)</f>
        <v>Janitorial Expense</v>
      </c>
    </row>
    <row r="349" spans="1:9">
      <c r="A349" s="1">
        <v>45838</v>
      </c>
      <c r="B349" s="78">
        <v>45838</v>
      </c>
      <c r="C349" t="s">
        <v>25</v>
      </c>
      <c r="E349" t="s">
        <v>956</v>
      </c>
      <c r="F349" s="2">
        <v>122550</v>
      </c>
      <c r="G349" t="s">
        <v>710</v>
      </c>
      <c r="I349" t="str">
        <f>VLOOKUP(E349,'Trial Balance'!B:B,1,0)</f>
        <v>Software expense</v>
      </c>
    </row>
    <row r="350" spans="1:9">
      <c r="A350" s="1">
        <v>45838</v>
      </c>
      <c r="B350" s="78">
        <v>45838</v>
      </c>
      <c r="C350" t="s">
        <v>25</v>
      </c>
      <c r="E350" t="s">
        <v>809</v>
      </c>
      <c r="F350" s="2">
        <v>70000</v>
      </c>
      <c r="G350" t="s">
        <v>710</v>
      </c>
      <c r="I350" t="str">
        <f>VLOOKUP(E350,'Trial Balance'!B:B,1,0)</f>
        <v>Meals and Entertainment</v>
      </c>
    </row>
    <row r="351" spans="1:9">
      <c r="A351" s="1">
        <v>45838</v>
      </c>
      <c r="B351" s="78">
        <v>45838</v>
      </c>
      <c r="C351" t="s">
        <v>25</v>
      </c>
      <c r="E351" t="s">
        <v>840</v>
      </c>
      <c r="F351" s="2">
        <v>1040000</v>
      </c>
      <c r="G351" t="s">
        <v>710</v>
      </c>
      <c r="I351" t="str">
        <f>VLOOKUP(E351,'Trial Balance'!B:B,1,0)</f>
        <v>Janitorial Expense</v>
      </c>
    </row>
    <row r="352" spans="1:9">
      <c r="A352" s="1">
        <v>45838</v>
      </c>
      <c r="B352" s="78">
        <v>45838</v>
      </c>
      <c r="C352" t="s">
        <v>25</v>
      </c>
      <c r="E352" t="s">
        <v>1353</v>
      </c>
      <c r="F352" s="2">
        <v>68000</v>
      </c>
      <c r="G352" t="s">
        <v>710</v>
      </c>
      <c r="I352" t="str">
        <f>VLOOKUP(E352,'Trial Balance'!B:B,1,0)</f>
        <v>Guest entertainment</v>
      </c>
    </row>
    <row r="353" spans="1:9">
      <c r="A353" s="1">
        <v>45838</v>
      </c>
      <c r="B353" s="78">
        <v>45838</v>
      </c>
      <c r="C353" t="s">
        <v>25</v>
      </c>
      <c r="E353" t="s">
        <v>953</v>
      </c>
      <c r="F353" s="2">
        <v>57000</v>
      </c>
      <c r="G353" t="s">
        <v>710</v>
      </c>
      <c r="I353" t="str">
        <f>VLOOKUP(E353,'Trial Balance'!B:B,1,0)</f>
        <v>Telephone and Data expense</v>
      </c>
    </row>
    <row r="354" spans="1:9">
      <c r="A354" s="1">
        <v>45838</v>
      </c>
      <c r="B354" s="78">
        <v>45838</v>
      </c>
      <c r="C354" t="s">
        <v>25</v>
      </c>
      <c r="D354" t="s">
        <v>3</v>
      </c>
      <c r="E354" t="s">
        <v>865</v>
      </c>
      <c r="F354" s="2">
        <v>50</v>
      </c>
      <c r="G354" t="s">
        <v>710</v>
      </c>
      <c r="I354" t="str">
        <f>VLOOKUP(E354,'Trial Balance'!B:B,1,0)</f>
        <v>Bank Fees and Charges</v>
      </c>
    </row>
    <row r="355" spans="1:9">
      <c r="A355" s="1">
        <v>45838</v>
      </c>
      <c r="B355" s="78">
        <v>45838</v>
      </c>
      <c r="C355" t="s">
        <v>25</v>
      </c>
      <c r="D355" t="s">
        <v>3</v>
      </c>
      <c r="E355" t="s">
        <v>865</v>
      </c>
      <c r="F355" s="2">
        <v>3.75</v>
      </c>
      <c r="G355" t="s">
        <v>710</v>
      </c>
      <c r="I355" t="str">
        <f>VLOOKUP(E355,'Trial Balance'!B:B,1,0)</f>
        <v>Bank Fees and Charges</v>
      </c>
    </row>
    <row r="356" spans="1:9">
      <c r="A356" s="1">
        <v>45838</v>
      </c>
      <c r="B356" s="78">
        <v>45838</v>
      </c>
      <c r="C356" t="s">
        <v>189</v>
      </c>
      <c r="D356" t="s">
        <v>26</v>
      </c>
      <c r="E356" t="s">
        <v>976</v>
      </c>
      <c r="F356" s="2">
        <v>832000</v>
      </c>
      <c r="G356" t="s">
        <v>710</v>
      </c>
      <c r="I356" t="str">
        <f>VLOOKUP(E356,'Trial Balance'!B:B,1,0)</f>
        <v>Travel expense - Local</v>
      </c>
    </row>
    <row r="357" spans="1:9">
      <c r="A357" s="1">
        <v>45838</v>
      </c>
      <c r="B357" s="78">
        <v>45838</v>
      </c>
      <c r="C357" t="s">
        <v>189</v>
      </c>
      <c r="D357" t="s">
        <v>3</v>
      </c>
      <c r="E357" t="s">
        <v>865</v>
      </c>
      <c r="F357" s="2">
        <v>50</v>
      </c>
      <c r="G357" t="s">
        <v>710</v>
      </c>
      <c r="I357" t="str">
        <f>VLOOKUP(E357,'Trial Balance'!B:B,1,0)</f>
        <v>Bank Fees and Charges</v>
      </c>
    </row>
    <row r="358" spans="1:9">
      <c r="A358" s="1">
        <v>45838</v>
      </c>
      <c r="B358" s="78">
        <v>45838</v>
      </c>
      <c r="C358" t="s">
        <v>189</v>
      </c>
      <c r="D358" t="s">
        <v>3</v>
      </c>
      <c r="E358" t="s">
        <v>865</v>
      </c>
      <c r="F358" s="2">
        <v>3.75</v>
      </c>
      <c r="G358" t="s">
        <v>710</v>
      </c>
      <c r="I358" t="str">
        <f>VLOOKUP(E358,'Trial Balance'!B:B,1,0)</f>
        <v>Bank Fees and Charges</v>
      </c>
    </row>
    <row r="359" spans="1:9">
      <c r="A359" s="1">
        <v>45838</v>
      </c>
      <c r="B359" s="78">
        <v>45838</v>
      </c>
      <c r="C359" t="s">
        <v>190</v>
      </c>
      <c r="D359" t="s">
        <v>3</v>
      </c>
      <c r="E359" t="s">
        <v>865</v>
      </c>
      <c r="F359" s="2">
        <v>45154.25</v>
      </c>
      <c r="G359" t="s">
        <v>710</v>
      </c>
      <c r="I359" t="str">
        <f>VLOOKUP(E359,'Trial Balance'!B:B,1,0)</f>
        <v>Bank Fees and Charges</v>
      </c>
    </row>
    <row r="360" spans="1:9">
      <c r="A360" s="1">
        <v>45838</v>
      </c>
      <c r="B360" s="78">
        <v>45838</v>
      </c>
      <c r="C360" t="s">
        <v>191</v>
      </c>
      <c r="D360" t="s">
        <v>3</v>
      </c>
      <c r="E360" t="s">
        <v>865</v>
      </c>
      <c r="F360" s="2">
        <v>3386.6800000071526</v>
      </c>
      <c r="G360" t="s">
        <v>710</v>
      </c>
      <c r="H360" t="s">
        <v>716</v>
      </c>
      <c r="I360" t="str">
        <f>VLOOKUP(E360,'Trial Balance'!B:B,1,0)</f>
        <v>Bank Fees and Charges</v>
      </c>
    </row>
    <row r="361" spans="1:9">
      <c r="A361" s="8">
        <v>45838</v>
      </c>
      <c r="B361" s="78">
        <v>45838</v>
      </c>
      <c r="C361" s="10" t="s">
        <v>715</v>
      </c>
      <c r="D361" s="10" t="s">
        <v>714</v>
      </c>
      <c r="E361" s="5" t="s">
        <v>950</v>
      </c>
      <c r="F361" s="3">
        <f>-SUM(F17:F360)</f>
        <v>101330337.19999997</v>
      </c>
      <c r="G361" t="s">
        <v>710</v>
      </c>
      <c r="H361" t="s">
        <v>709</v>
      </c>
      <c r="I361" t="str">
        <f>VLOOKUP(E361,'Trial Balance'!B:B,1,0)</f>
        <v>Premium Trust bank</v>
      </c>
    </row>
    <row r="362" spans="1:9">
      <c r="A362" s="1">
        <v>45839</v>
      </c>
      <c r="B362" s="78">
        <v>45869</v>
      </c>
      <c r="C362" t="s">
        <v>193</v>
      </c>
      <c r="D362" t="s">
        <v>6</v>
      </c>
      <c r="E362" t="s">
        <v>840</v>
      </c>
      <c r="F362" s="2">
        <v>650000</v>
      </c>
      <c r="G362" t="s">
        <v>710</v>
      </c>
      <c r="I362" t="str">
        <f>VLOOKUP(E362,'Trial Balance'!B:B,1,0)</f>
        <v>Janitorial Expense</v>
      </c>
    </row>
    <row r="363" spans="1:9">
      <c r="A363" s="1">
        <v>45839</v>
      </c>
      <c r="B363" s="78">
        <v>45869</v>
      </c>
      <c r="C363" t="s">
        <v>193</v>
      </c>
      <c r="D363" t="s">
        <v>3</v>
      </c>
      <c r="E363" t="s">
        <v>865</v>
      </c>
      <c r="F363" s="2">
        <v>50</v>
      </c>
      <c r="G363" t="s">
        <v>710</v>
      </c>
      <c r="I363" t="str">
        <f>VLOOKUP(E363,'Trial Balance'!B:B,1,0)</f>
        <v>Bank Fees and Charges</v>
      </c>
    </row>
    <row r="364" spans="1:9">
      <c r="A364" s="1">
        <v>45839</v>
      </c>
      <c r="B364" s="78">
        <v>45869</v>
      </c>
      <c r="C364" t="s">
        <v>193</v>
      </c>
      <c r="D364" t="s">
        <v>3</v>
      </c>
      <c r="E364" t="s">
        <v>865</v>
      </c>
      <c r="F364" s="2">
        <v>3.75</v>
      </c>
      <c r="G364" t="s">
        <v>710</v>
      </c>
      <c r="I364" t="str">
        <f>VLOOKUP(E364,'Trial Balance'!B:B,1,0)</f>
        <v>Bank Fees and Charges</v>
      </c>
    </row>
    <row r="365" spans="1:9">
      <c r="A365" s="1">
        <v>45840</v>
      </c>
      <c r="B365" s="78">
        <v>45869</v>
      </c>
      <c r="C365" t="s">
        <v>195</v>
      </c>
      <c r="D365" t="s">
        <v>15</v>
      </c>
      <c r="E365" t="s">
        <v>1353</v>
      </c>
      <c r="F365" s="2">
        <v>190200</v>
      </c>
      <c r="G365" t="s">
        <v>710</v>
      </c>
      <c r="I365" t="str">
        <f>VLOOKUP(E365,'Trial Balance'!B:B,1,0)</f>
        <v>Guest entertainment</v>
      </c>
    </row>
    <row r="366" spans="1:9">
      <c r="A366" s="1">
        <v>45840</v>
      </c>
      <c r="B366" s="78">
        <v>45869</v>
      </c>
      <c r="C366" t="s">
        <v>195</v>
      </c>
      <c r="D366" t="s">
        <v>3</v>
      </c>
      <c r="E366" t="s">
        <v>865</v>
      </c>
      <c r="F366" s="2">
        <v>50</v>
      </c>
      <c r="G366" t="s">
        <v>710</v>
      </c>
      <c r="I366" t="str">
        <f>VLOOKUP(E366,'Trial Balance'!B:B,1,0)</f>
        <v>Bank Fees and Charges</v>
      </c>
    </row>
    <row r="367" spans="1:9">
      <c r="A367" s="1">
        <v>45840</v>
      </c>
      <c r="B367" s="78">
        <v>45869</v>
      </c>
      <c r="C367" t="s">
        <v>195</v>
      </c>
      <c r="D367" t="s">
        <v>3</v>
      </c>
      <c r="E367" t="s">
        <v>865</v>
      </c>
      <c r="F367" s="2">
        <v>3.75</v>
      </c>
      <c r="G367" t="s">
        <v>710</v>
      </c>
      <c r="I367" t="str">
        <f>VLOOKUP(E367,'Trial Balance'!B:B,1,0)</f>
        <v>Bank Fees and Charges</v>
      </c>
    </row>
    <row r="368" spans="1:9">
      <c r="A368" s="1">
        <v>45841</v>
      </c>
      <c r="B368" s="78">
        <v>45869</v>
      </c>
      <c r="C368" t="s">
        <v>197</v>
      </c>
      <c r="D368" t="s">
        <v>15</v>
      </c>
      <c r="E368" t="s">
        <v>1353</v>
      </c>
      <c r="F368" s="2">
        <v>37500</v>
      </c>
      <c r="G368" t="s">
        <v>710</v>
      </c>
      <c r="I368" t="str">
        <f>VLOOKUP(E368,'Trial Balance'!B:B,1,0)</f>
        <v>Guest entertainment</v>
      </c>
    </row>
    <row r="369" spans="1:9">
      <c r="A369" s="1">
        <v>45841</v>
      </c>
      <c r="B369" s="78">
        <v>45869</v>
      </c>
      <c r="C369" t="s">
        <v>197</v>
      </c>
      <c r="D369" t="s">
        <v>3</v>
      </c>
      <c r="E369" t="s">
        <v>865</v>
      </c>
      <c r="F369" s="2">
        <v>25</v>
      </c>
      <c r="G369" t="s">
        <v>710</v>
      </c>
      <c r="I369" t="str">
        <f>VLOOKUP(E369,'Trial Balance'!B:B,1,0)</f>
        <v>Bank Fees and Charges</v>
      </c>
    </row>
    <row r="370" spans="1:9">
      <c r="A370" s="1">
        <v>45841</v>
      </c>
      <c r="B370" s="78">
        <v>45869</v>
      </c>
      <c r="C370" t="s">
        <v>197</v>
      </c>
      <c r="D370" t="s">
        <v>3</v>
      </c>
      <c r="E370" t="s">
        <v>865</v>
      </c>
      <c r="F370" s="2">
        <v>1.8799999952316284</v>
      </c>
      <c r="G370" t="s">
        <v>710</v>
      </c>
      <c r="I370" t="str">
        <f>VLOOKUP(E370,'Trial Balance'!B:B,1,0)</f>
        <v>Bank Fees and Charges</v>
      </c>
    </row>
    <row r="371" spans="1:9">
      <c r="A371" s="1">
        <v>45841</v>
      </c>
      <c r="B371" s="78">
        <v>45869</v>
      </c>
      <c r="C371" t="s">
        <v>198</v>
      </c>
      <c r="D371" t="s">
        <v>15</v>
      </c>
      <c r="E371" t="s">
        <v>1353</v>
      </c>
      <c r="F371" s="2">
        <v>100200</v>
      </c>
      <c r="G371" t="s">
        <v>710</v>
      </c>
      <c r="I371" t="str">
        <f>VLOOKUP(E371,'Trial Balance'!B:B,1,0)</f>
        <v>Guest entertainment</v>
      </c>
    </row>
    <row r="372" spans="1:9">
      <c r="A372" s="1">
        <v>45841</v>
      </c>
      <c r="B372" s="78">
        <v>45869</v>
      </c>
      <c r="C372" t="s">
        <v>198</v>
      </c>
      <c r="D372" t="s">
        <v>3</v>
      </c>
      <c r="E372" t="s">
        <v>865</v>
      </c>
      <c r="F372" s="2">
        <v>50</v>
      </c>
      <c r="G372" t="s">
        <v>710</v>
      </c>
      <c r="I372" t="str">
        <f>VLOOKUP(E372,'Trial Balance'!B:B,1,0)</f>
        <v>Bank Fees and Charges</v>
      </c>
    </row>
    <row r="373" spans="1:9">
      <c r="A373" s="1">
        <v>45841</v>
      </c>
      <c r="B373" s="78">
        <v>45869</v>
      </c>
      <c r="C373" t="s">
        <v>198</v>
      </c>
      <c r="D373" t="s">
        <v>3</v>
      </c>
      <c r="E373" t="s">
        <v>865</v>
      </c>
      <c r="F373" s="2">
        <v>3.75</v>
      </c>
      <c r="G373" t="s">
        <v>710</v>
      </c>
      <c r="I373" t="str">
        <f>VLOOKUP(E373,'Trial Balance'!B:B,1,0)</f>
        <v>Bank Fees and Charges</v>
      </c>
    </row>
    <row r="374" spans="1:9">
      <c r="A374" s="1">
        <v>45841</v>
      </c>
      <c r="B374" s="78">
        <v>45869</v>
      </c>
      <c r="C374" t="s">
        <v>199</v>
      </c>
      <c r="D374" t="s">
        <v>4</v>
      </c>
      <c r="E374" t="s">
        <v>874</v>
      </c>
      <c r="F374" s="2">
        <v>23414</v>
      </c>
      <c r="G374" t="s">
        <v>710</v>
      </c>
      <c r="I374" t="str">
        <f>VLOOKUP(E374,'Trial Balance'!B:B,1,0)</f>
        <v>Office Supplies</v>
      </c>
    </row>
    <row r="375" spans="1:9">
      <c r="A375" s="1">
        <v>45841</v>
      </c>
      <c r="B375" s="78">
        <v>45869</v>
      </c>
      <c r="C375" t="s">
        <v>199</v>
      </c>
      <c r="D375" t="s">
        <v>3</v>
      </c>
      <c r="E375" t="s">
        <v>865</v>
      </c>
      <c r="F375" s="2">
        <v>25</v>
      </c>
      <c r="G375" t="s">
        <v>710</v>
      </c>
      <c r="I375" t="str">
        <f>VLOOKUP(E375,'Trial Balance'!B:B,1,0)</f>
        <v>Bank Fees and Charges</v>
      </c>
    </row>
    <row r="376" spans="1:9">
      <c r="A376" s="1">
        <v>45841</v>
      </c>
      <c r="B376" s="78">
        <v>45869</v>
      </c>
      <c r="C376" t="s">
        <v>199</v>
      </c>
      <c r="D376" t="s">
        <v>3</v>
      </c>
      <c r="E376" t="s">
        <v>865</v>
      </c>
      <c r="F376" s="2">
        <v>1.8799999952316284</v>
      </c>
      <c r="G376" t="s">
        <v>710</v>
      </c>
      <c r="I376" t="str">
        <f>VLOOKUP(E376,'Trial Balance'!B:B,1,0)</f>
        <v>Bank Fees and Charges</v>
      </c>
    </row>
    <row r="377" spans="1:9">
      <c r="A377" s="1">
        <v>45841</v>
      </c>
      <c r="B377" s="78">
        <v>45869</v>
      </c>
      <c r="C377" t="s">
        <v>200</v>
      </c>
      <c r="D377" t="s">
        <v>26</v>
      </c>
      <c r="E377" t="s">
        <v>976</v>
      </c>
      <c r="F377" s="2">
        <v>362000</v>
      </c>
      <c r="G377" t="s">
        <v>710</v>
      </c>
      <c r="I377" t="str">
        <f>VLOOKUP(E377,'Trial Balance'!B:B,1,0)</f>
        <v>Travel expense - Local</v>
      </c>
    </row>
    <row r="378" spans="1:9">
      <c r="A378" s="1">
        <v>45841</v>
      </c>
      <c r="B378" s="78">
        <v>45869</v>
      </c>
      <c r="C378" t="s">
        <v>200</v>
      </c>
      <c r="D378" t="s">
        <v>3</v>
      </c>
      <c r="E378" t="s">
        <v>865</v>
      </c>
      <c r="F378" s="2">
        <v>50</v>
      </c>
      <c r="G378" t="s">
        <v>710</v>
      </c>
      <c r="I378" t="str">
        <f>VLOOKUP(E378,'Trial Balance'!B:B,1,0)</f>
        <v>Bank Fees and Charges</v>
      </c>
    </row>
    <row r="379" spans="1:9">
      <c r="A379" s="1">
        <v>45841</v>
      </c>
      <c r="B379" s="78">
        <v>45869</v>
      </c>
      <c r="C379" t="s">
        <v>200</v>
      </c>
      <c r="D379" t="s">
        <v>3</v>
      </c>
      <c r="E379" t="s">
        <v>865</v>
      </c>
      <c r="F379" s="2">
        <v>3.75</v>
      </c>
      <c r="G379" t="s">
        <v>710</v>
      </c>
      <c r="I379" t="str">
        <f>VLOOKUP(E379,'Trial Balance'!B:B,1,0)</f>
        <v>Bank Fees and Charges</v>
      </c>
    </row>
    <row r="380" spans="1:9">
      <c r="A380" s="1">
        <v>45842</v>
      </c>
      <c r="B380" s="78">
        <v>45869</v>
      </c>
      <c r="C380" t="s">
        <v>202</v>
      </c>
      <c r="D380" t="s">
        <v>15</v>
      </c>
      <c r="E380" t="s">
        <v>1353</v>
      </c>
      <c r="F380" s="2">
        <v>54350</v>
      </c>
      <c r="G380" t="s">
        <v>710</v>
      </c>
      <c r="I380" t="str">
        <f>VLOOKUP(E380,'Trial Balance'!B:B,1,0)</f>
        <v>Guest entertainment</v>
      </c>
    </row>
    <row r="381" spans="1:9">
      <c r="A381" s="1">
        <v>45842</v>
      </c>
      <c r="B381" s="78">
        <v>45869</v>
      </c>
      <c r="C381" t="s">
        <v>202</v>
      </c>
      <c r="D381" t="s">
        <v>3</v>
      </c>
      <c r="E381" t="s">
        <v>865</v>
      </c>
      <c r="F381" s="2">
        <v>50</v>
      </c>
      <c r="G381" t="s">
        <v>710</v>
      </c>
      <c r="I381" t="str">
        <f>VLOOKUP(E381,'Trial Balance'!B:B,1,0)</f>
        <v>Bank Fees and Charges</v>
      </c>
    </row>
    <row r="382" spans="1:9">
      <c r="A382" s="1">
        <v>45842</v>
      </c>
      <c r="B382" s="78">
        <v>45869</v>
      </c>
      <c r="C382" t="s">
        <v>202</v>
      </c>
      <c r="D382" t="s">
        <v>3</v>
      </c>
      <c r="E382" t="s">
        <v>865</v>
      </c>
      <c r="F382" s="2">
        <v>3.75</v>
      </c>
      <c r="G382" t="s">
        <v>710</v>
      </c>
      <c r="I382" t="str">
        <f>VLOOKUP(E382,'Trial Balance'!B:B,1,0)</f>
        <v>Bank Fees and Charges</v>
      </c>
    </row>
    <row r="383" spans="1:9">
      <c r="A383" s="1">
        <v>45842</v>
      </c>
      <c r="B383" s="78">
        <v>45869</v>
      </c>
      <c r="C383" t="s">
        <v>203</v>
      </c>
      <c r="D383" t="s">
        <v>15</v>
      </c>
      <c r="E383" t="s">
        <v>1353</v>
      </c>
      <c r="F383" s="2">
        <v>32500</v>
      </c>
      <c r="G383" t="s">
        <v>710</v>
      </c>
      <c r="I383" t="str">
        <f>VLOOKUP(E383,'Trial Balance'!B:B,1,0)</f>
        <v>Guest entertainment</v>
      </c>
    </row>
    <row r="384" spans="1:9">
      <c r="A384" s="1">
        <v>45842</v>
      </c>
      <c r="B384" s="78">
        <v>45869</v>
      </c>
      <c r="C384" t="s">
        <v>203</v>
      </c>
      <c r="D384" t="s">
        <v>3</v>
      </c>
      <c r="E384" t="s">
        <v>865</v>
      </c>
      <c r="F384" s="2">
        <v>25</v>
      </c>
      <c r="G384" t="s">
        <v>710</v>
      </c>
      <c r="I384" t="str">
        <f>VLOOKUP(E384,'Trial Balance'!B:B,1,0)</f>
        <v>Bank Fees and Charges</v>
      </c>
    </row>
    <row r="385" spans="1:9">
      <c r="A385" s="1">
        <v>45842</v>
      </c>
      <c r="B385" s="78">
        <v>45869</v>
      </c>
      <c r="C385" t="s">
        <v>203</v>
      </c>
      <c r="D385" t="s">
        <v>3</v>
      </c>
      <c r="E385" t="s">
        <v>865</v>
      </c>
      <c r="F385" s="2">
        <v>1.8800000101327896</v>
      </c>
      <c r="G385" t="s">
        <v>710</v>
      </c>
      <c r="I385" t="str">
        <f>VLOOKUP(E385,'Trial Balance'!B:B,1,0)</f>
        <v>Bank Fees and Charges</v>
      </c>
    </row>
    <row r="386" spans="1:9">
      <c r="A386" s="1">
        <v>45842</v>
      </c>
      <c r="B386" s="78">
        <v>45869</v>
      </c>
      <c r="C386" t="s">
        <v>204</v>
      </c>
      <c r="D386" t="s">
        <v>21</v>
      </c>
      <c r="E386" t="s">
        <v>871</v>
      </c>
      <c r="F386" s="2">
        <v>1000000</v>
      </c>
      <c r="G386" t="s">
        <v>710</v>
      </c>
      <c r="I386" t="str">
        <f>VLOOKUP(E386,'Trial Balance'!B:B,1,0)</f>
        <v>Advertising And Marketing</v>
      </c>
    </row>
    <row r="387" spans="1:9">
      <c r="A387" s="1">
        <v>45842</v>
      </c>
      <c r="B387" s="78">
        <v>45869</v>
      </c>
      <c r="C387" t="s">
        <v>204</v>
      </c>
      <c r="D387" t="s">
        <v>3</v>
      </c>
      <c r="E387" t="s">
        <v>865</v>
      </c>
      <c r="F387" s="2">
        <v>50</v>
      </c>
      <c r="G387" t="s">
        <v>710</v>
      </c>
      <c r="I387" t="str">
        <f>VLOOKUP(E387,'Trial Balance'!B:B,1,0)</f>
        <v>Bank Fees and Charges</v>
      </c>
    </row>
    <row r="388" spans="1:9">
      <c r="A388" s="1">
        <v>45842</v>
      </c>
      <c r="B388" s="78">
        <v>45869</v>
      </c>
      <c r="C388" t="s">
        <v>204</v>
      </c>
      <c r="D388" t="s">
        <v>3</v>
      </c>
      <c r="E388" t="s">
        <v>865</v>
      </c>
      <c r="F388" s="2">
        <v>3.75</v>
      </c>
      <c r="G388" t="s">
        <v>710</v>
      </c>
      <c r="I388" t="str">
        <f>VLOOKUP(E388,'Trial Balance'!B:B,1,0)</f>
        <v>Bank Fees and Charges</v>
      </c>
    </row>
    <row r="389" spans="1:9">
      <c r="A389" s="1">
        <v>45842</v>
      </c>
      <c r="B389" s="78">
        <v>45869</v>
      </c>
      <c r="C389" t="s">
        <v>205</v>
      </c>
      <c r="D389" t="s">
        <v>15</v>
      </c>
      <c r="E389" t="s">
        <v>1353</v>
      </c>
      <c r="F389" s="2">
        <v>28000</v>
      </c>
      <c r="G389" t="s">
        <v>710</v>
      </c>
      <c r="I389" t="str">
        <f>VLOOKUP(E389,'Trial Balance'!B:B,1,0)</f>
        <v>Guest entertainment</v>
      </c>
    </row>
    <row r="390" spans="1:9">
      <c r="A390" s="1">
        <v>45842</v>
      </c>
      <c r="B390" s="78">
        <v>45869</v>
      </c>
      <c r="C390" t="s">
        <v>205</v>
      </c>
      <c r="D390" t="s">
        <v>3</v>
      </c>
      <c r="E390" t="s">
        <v>865</v>
      </c>
      <c r="F390" s="2">
        <v>25</v>
      </c>
      <c r="G390" t="s">
        <v>710</v>
      </c>
      <c r="I390" t="str">
        <f>VLOOKUP(E390,'Trial Balance'!B:B,1,0)</f>
        <v>Bank Fees and Charges</v>
      </c>
    </row>
    <row r="391" spans="1:9">
      <c r="A391" s="1">
        <v>45842</v>
      </c>
      <c r="B391" s="78">
        <v>45869</v>
      </c>
      <c r="C391" t="s">
        <v>205</v>
      </c>
      <c r="D391" t="s">
        <v>3</v>
      </c>
      <c r="E391" t="s">
        <v>865</v>
      </c>
      <c r="F391" s="2">
        <v>1.8799999952316284</v>
      </c>
      <c r="G391" t="s">
        <v>710</v>
      </c>
      <c r="I391" t="str">
        <f>VLOOKUP(E391,'Trial Balance'!B:B,1,0)</f>
        <v>Bank Fees and Charges</v>
      </c>
    </row>
    <row r="392" spans="1:9">
      <c r="A392" s="1">
        <v>45842</v>
      </c>
      <c r="B392" s="78">
        <v>45869</v>
      </c>
      <c r="C392" t="s">
        <v>206</v>
      </c>
      <c r="D392" t="s">
        <v>27</v>
      </c>
      <c r="E392" t="s">
        <v>27</v>
      </c>
      <c r="F392" s="2">
        <v>2174811</v>
      </c>
      <c r="G392" t="s">
        <v>710</v>
      </c>
      <c r="I392" t="str">
        <f>VLOOKUP(E392,'Trial Balance'!B:B,1,0)</f>
        <v>Staff welfare</v>
      </c>
    </row>
    <row r="393" spans="1:9">
      <c r="A393" s="1">
        <v>45842</v>
      </c>
      <c r="B393" s="78">
        <v>45869</v>
      </c>
      <c r="C393" t="s">
        <v>206</v>
      </c>
      <c r="D393" t="s">
        <v>3</v>
      </c>
      <c r="E393" t="s">
        <v>865</v>
      </c>
      <c r="F393" s="2">
        <v>50</v>
      </c>
      <c r="G393" t="s">
        <v>710</v>
      </c>
      <c r="I393" t="str">
        <f>VLOOKUP(E393,'Trial Balance'!B:B,1,0)</f>
        <v>Bank Fees and Charges</v>
      </c>
    </row>
    <row r="394" spans="1:9">
      <c r="A394" s="1">
        <v>45842</v>
      </c>
      <c r="B394" s="78">
        <v>45869</v>
      </c>
      <c r="C394" t="s">
        <v>206</v>
      </c>
      <c r="D394" t="s">
        <v>3</v>
      </c>
      <c r="E394" t="s">
        <v>865</v>
      </c>
      <c r="F394" s="2">
        <v>3.75</v>
      </c>
      <c r="G394" t="s">
        <v>710</v>
      </c>
      <c r="I394" t="str">
        <f>VLOOKUP(E394,'Trial Balance'!B:B,1,0)</f>
        <v>Bank Fees and Charges</v>
      </c>
    </row>
    <row r="395" spans="1:9">
      <c r="A395" s="1">
        <v>45845</v>
      </c>
      <c r="B395" s="78">
        <v>45869</v>
      </c>
      <c r="C395" t="s">
        <v>208</v>
      </c>
      <c r="D395" t="s">
        <v>15</v>
      </c>
      <c r="E395" t="s">
        <v>1353</v>
      </c>
      <c r="F395" s="2">
        <v>36000</v>
      </c>
      <c r="G395" t="s">
        <v>710</v>
      </c>
      <c r="I395" t="str">
        <f>VLOOKUP(E395,'Trial Balance'!B:B,1,0)</f>
        <v>Guest entertainment</v>
      </c>
    </row>
    <row r="396" spans="1:9">
      <c r="A396" s="1">
        <v>45845</v>
      </c>
      <c r="B396" s="78">
        <v>45869</v>
      </c>
      <c r="C396" t="s">
        <v>208</v>
      </c>
      <c r="D396" t="s">
        <v>3</v>
      </c>
      <c r="E396" t="s">
        <v>865</v>
      </c>
      <c r="F396" s="2">
        <v>25</v>
      </c>
      <c r="G396" t="s">
        <v>710</v>
      </c>
      <c r="I396" t="str">
        <f>VLOOKUP(E396,'Trial Balance'!B:B,1,0)</f>
        <v>Bank Fees and Charges</v>
      </c>
    </row>
    <row r="397" spans="1:9">
      <c r="A397" s="1">
        <v>45845</v>
      </c>
      <c r="B397" s="78">
        <v>45869</v>
      </c>
      <c r="C397" t="s">
        <v>208</v>
      </c>
      <c r="D397" t="s">
        <v>3</v>
      </c>
      <c r="E397" t="s">
        <v>865</v>
      </c>
      <c r="F397" s="2">
        <v>1.8799999952316284</v>
      </c>
      <c r="G397" t="s">
        <v>710</v>
      </c>
      <c r="I397" t="str">
        <f>VLOOKUP(E397,'Trial Balance'!B:B,1,0)</f>
        <v>Bank Fees and Charges</v>
      </c>
    </row>
    <row r="398" spans="1:9">
      <c r="A398" s="1">
        <v>45845</v>
      </c>
      <c r="B398" s="78">
        <v>45869</v>
      </c>
      <c r="C398" t="s">
        <v>209</v>
      </c>
      <c r="D398" t="s">
        <v>15</v>
      </c>
      <c r="E398" t="s">
        <v>1353</v>
      </c>
      <c r="F398" s="2">
        <v>103000</v>
      </c>
      <c r="G398" t="s">
        <v>710</v>
      </c>
      <c r="I398" t="str">
        <f>VLOOKUP(E398,'Trial Balance'!B:B,1,0)</f>
        <v>Guest entertainment</v>
      </c>
    </row>
    <row r="399" spans="1:9">
      <c r="A399" s="1">
        <v>45845</v>
      </c>
      <c r="B399" s="78">
        <v>45869</v>
      </c>
      <c r="C399" t="s">
        <v>209</v>
      </c>
      <c r="D399" t="s">
        <v>3</v>
      </c>
      <c r="E399" t="s">
        <v>865</v>
      </c>
      <c r="F399" s="2">
        <v>50</v>
      </c>
      <c r="G399" t="s">
        <v>710</v>
      </c>
      <c r="I399" t="str">
        <f>VLOOKUP(E399,'Trial Balance'!B:B,1,0)</f>
        <v>Bank Fees and Charges</v>
      </c>
    </row>
    <row r="400" spans="1:9">
      <c r="A400" s="1">
        <v>45845</v>
      </c>
      <c r="B400" s="78">
        <v>45869</v>
      </c>
      <c r="C400" t="s">
        <v>209</v>
      </c>
      <c r="D400" t="s">
        <v>3</v>
      </c>
      <c r="E400" t="s">
        <v>865</v>
      </c>
      <c r="F400" s="2">
        <v>3.75</v>
      </c>
      <c r="G400" t="s">
        <v>710</v>
      </c>
      <c r="I400" t="str">
        <f>VLOOKUP(E400,'Trial Balance'!B:B,1,0)</f>
        <v>Bank Fees and Charges</v>
      </c>
    </row>
    <row r="401" spans="1:9">
      <c r="A401" s="1">
        <v>45845</v>
      </c>
      <c r="B401" s="78">
        <v>45869</v>
      </c>
      <c r="C401" t="s">
        <v>210</v>
      </c>
      <c r="D401" t="s">
        <v>15</v>
      </c>
      <c r="E401" t="s">
        <v>1353</v>
      </c>
      <c r="F401" s="2">
        <v>16000</v>
      </c>
      <c r="G401" t="s">
        <v>710</v>
      </c>
      <c r="I401" t="str">
        <f>VLOOKUP(E401,'Trial Balance'!B:B,1,0)</f>
        <v>Guest entertainment</v>
      </c>
    </row>
    <row r="402" spans="1:9">
      <c r="A402" s="1">
        <v>45845</v>
      </c>
      <c r="B402" s="78">
        <v>45869</v>
      </c>
      <c r="C402" t="s">
        <v>210</v>
      </c>
      <c r="D402" t="s">
        <v>3</v>
      </c>
      <c r="E402" t="s">
        <v>865</v>
      </c>
      <c r="F402" s="2">
        <v>25</v>
      </c>
      <c r="G402" t="s">
        <v>710</v>
      </c>
      <c r="I402" t="str">
        <f>VLOOKUP(E402,'Trial Balance'!B:B,1,0)</f>
        <v>Bank Fees and Charges</v>
      </c>
    </row>
    <row r="403" spans="1:9">
      <c r="A403" s="1">
        <v>45845</v>
      </c>
      <c r="B403" s="78">
        <v>45869</v>
      </c>
      <c r="C403" t="s">
        <v>210</v>
      </c>
      <c r="D403" t="s">
        <v>3</v>
      </c>
      <c r="E403" t="s">
        <v>865</v>
      </c>
      <c r="F403" s="2">
        <v>1.8799999952316284</v>
      </c>
      <c r="G403" t="s">
        <v>710</v>
      </c>
      <c r="I403" t="str">
        <f>VLOOKUP(E403,'Trial Balance'!B:B,1,0)</f>
        <v>Bank Fees and Charges</v>
      </c>
    </row>
    <row r="404" spans="1:9">
      <c r="A404" s="1">
        <v>45845</v>
      </c>
      <c r="B404" s="78">
        <v>45869</v>
      </c>
      <c r="C404" t="s">
        <v>211</v>
      </c>
      <c r="D404" t="s">
        <v>4</v>
      </c>
      <c r="E404" t="s">
        <v>874</v>
      </c>
      <c r="F404" s="2">
        <v>50000</v>
      </c>
      <c r="G404" t="s">
        <v>710</v>
      </c>
      <c r="I404" t="str">
        <f>VLOOKUP(E404,'Trial Balance'!B:B,1,0)</f>
        <v>Office Supplies</v>
      </c>
    </row>
    <row r="405" spans="1:9">
      <c r="A405" s="1">
        <v>45845</v>
      </c>
      <c r="B405" s="78">
        <v>45869</v>
      </c>
      <c r="C405" t="s">
        <v>211</v>
      </c>
      <c r="D405" t="s">
        <v>3</v>
      </c>
      <c r="E405" t="s">
        <v>865</v>
      </c>
      <c r="F405" s="2">
        <v>25</v>
      </c>
      <c r="G405" t="s">
        <v>710</v>
      </c>
      <c r="I405" t="str">
        <f>VLOOKUP(E405,'Trial Balance'!B:B,1,0)</f>
        <v>Bank Fees and Charges</v>
      </c>
    </row>
    <row r="406" spans="1:9">
      <c r="A406" s="1">
        <v>45845</v>
      </c>
      <c r="B406" s="78">
        <v>45869</v>
      </c>
      <c r="C406" t="s">
        <v>211</v>
      </c>
      <c r="D406" t="s">
        <v>3</v>
      </c>
      <c r="E406" t="s">
        <v>865</v>
      </c>
      <c r="F406" s="2">
        <v>1.8800000101327896</v>
      </c>
      <c r="G406" t="s">
        <v>710</v>
      </c>
      <c r="I406" t="str">
        <f>VLOOKUP(E406,'Trial Balance'!B:B,1,0)</f>
        <v>Bank Fees and Charges</v>
      </c>
    </row>
    <row r="407" spans="1:9">
      <c r="A407" s="1">
        <v>45847</v>
      </c>
      <c r="B407" s="78">
        <v>45869</v>
      </c>
      <c r="C407" t="s">
        <v>213</v>
      </c>
      <c r="D407" t="s">
        <v>26</v>
      </c>
      <c r="E407" t="s">
        <v>976</v>
      </c>
      <c r="F407" s="2">
        <v>20700</v>
      </c>
      <c r="G407" t="s">
        <v>710</v>
      </c>
      <c r="I407" t="str">
        <f>VLOOKUP(E407,'Trial Balance'!B:B,1,0)</f>
        <v>Travel expense - Local</v>
      </c>
    </row>
    <row r="408" spans="1:9">
      <c r="A408" s="1">
        <v>45847</v>
      </c>
      <c r="B408" s="78">
        <v>45869</v>
      </c>
      <c r="C408" t="s">
        <v>213</v>
      </c>
      <c r="D408" t="s">
        <v>3</v>
      </c>
      <c r="E408" t="s">
        <v>865</v>
      </c>
      <c r="F408" s="2">
        <v>25</v>
      </c>
      <c r="G408" t="s">
        <v>710</v>
      </c>
      <c r="I408" t="str">
        <f>VLOOKUP(E408,'Trial Balance'!B:B,1,0)</f>
        <v>Bank Fees and Charges</v>
      </c>
    </row>
    <row r="409" spans="1:9">
      <c r="A409" s="1">
        <v>45847</v>
      </c>
      <c r="B409" s="78">
        <v>45869</v>
      </c>
      <c r="C409" t="s">
        <v>213</v>
      </c>
      <c r="D409" t="s">
        <v>3</v>
      </c>
      <c r="E409" t="s">
        <v>865</v>
      </c>
      <c r="F409" s="2">
        <v>1.8799999952316284</v>
      </c>
      <c r="G409" t="s">
        <v>710</v>
      </c>
      <c r="I409" t="str">
        <f>VLOOKUP(E409,'Trial Balance'!B:B,1,0)</f>
        <v>Bank Fees and Charges</v>
      </c>
    </row>
    <row r="410" spans="1:9">
      <c r="A410" s="1">
        <v>45848</v>
      </c>
      <c r="B410" s="78">
        <v>45869</v>
      </c>
      <c r="C410" t="s">
        <v>215</v>
      </c>
      <c r="D410" t="s">
        <v>4</v>
      </c>
      <c r="E410" t="s">
        <v>874</v>
      </c>
      <c r="F410" s="2">
        <v>53750</v>
      </c>
      <c r="G410" t="s">
        <v>710</v>
      </c>
      <c r="I410" t="str">
        <f>VLOOKUP(E410,'Trial Balance'!B:B,1,0)</f>
        <v>Office Supplies</v>
      </c>
    </row>
    <row r="411" spans="1:9">
      <c r="A411" s="1">
        <v>45848</v>
      </c>
      <c r="B411" s="78">
        <v>45869</v>
      </c>
      <c r="C411" t="s">
        <v>216</v>
      </c>
      <c r="D411" t="s">
        <v>3</v>
      </c>
      <c r="E411" t="s">
        <v>865</v>
      </c>
      <c r="F411" s="2">
        <v>50</v>
      </c>
      <c r="G411" t="s">
        <v>710</v>
      </c>
      <c r="I411" t="str">
        <f>VLOOKUP(E411,'Trial Balance'!B:B,1,0)</f>
        <v>Bank Fees and Charges</v>
      </c>
    </row>
    <row r="412" spans="1:9">
      <c r="A412" s="1">
        <v>45848</v>
      </c>
      <c r="B412" s="78">
        <v>45869</v>
      </c>
      <c r="C412" t="s">
        <v>217</v>
      </c>
      <c r="D412" t="s">
        <v>3</v>
      </c>
      <c r="E412" t="s">
        <v>865</v>
      </c>
      <c r="F412" s="2">
        <v>3.75</v>
      </c>
      <c r="G412" t="s">
        <v>710</v>
      </c>
      <c r="I412" t="str">
        <f>VLOOKUP(E412,'Trial Balance'!B:B,1,0)</f>
        <v>Bank Fees and Charges</v>
      </c>
    </row>
    <row r="413" spans="1:9">
      <c r="A413" s="1">
        <v>45848</v>
      </c>
      <c r="B413" s="78">
        <v>45869</v>
      </c>
      <c r="C413" t="s">
        <v>218</v>
      </c>
      <c r="D413" t="s">
        <v>5</v>
      </c>
      <c r="E413" t="s">
        <v>5</v>
      </c>
      <c r="F413" s="2">
        <v>2687.5</v>
      </c>
      <c r="G413" t="s">
        <v>710</v>
      </c>
      <c r="I413" t="str">
        <f>VLOOKUP(E413,'Trial Balance'!B:B,1,0)</f>
        <v>Other Expenses</v>
      </c>
    </row>
    <row r="414" spans="1:9">
      <c r="A414" s="1">
        <v>45848</v>
      </c>
      <c r="B414" s="78">
        <v>45869</v>
      </c>
      <c r="C414" t="s">
        <v>219</v>
      </c>
      <c r="D414" t="s">
        <v>5</v>
      </c>
      <c r="E414" t="s">
        <v>5</v>
      </c>
      <c r="F414" s="2">
        <v>2687.5</v>
      </c>
      <c r="G414" t="s">
        <v>710</v>
      </c>
      <c r="I414" t="str">
        <f>VLOOKUP(E414,'Trial Balance'!B:B,1,0)</f>
        <v>Other Expenses</v>
      </c>
    </row>
    <row r="415" spans="1:9">
      <c r="A415" s="1">
        <v>45848</v>
      </c>
      <c r="B415" s="78">
        <v>45869</v>
      </c>
      <c r="C415" t="s">
        <v>220</v>
      </c>
      <c r="D415" t="s">
        <v>5</v>
      </c>
      <c r="E415" t="s">
        <v>5</v>
      </c>
      <c r="F415" s="2">
        <v>2687.5</v>
      </c>
      <c r="G415" t="s">
        <v>710</v>
      </c>
      <c r="I415" t="str">
        <f>VLOOKUP(E415,'Trial Balance'!B:B,1,0)</f>
        <v>Other Expenses</v>
      </c>
    </row>
    <row r="416" spans="1:9">
      <c r="A416" s="1">
        <v>45848</v>
      </c>
      <c r="B416" s="78">
        <v>45869</v>
      </c>
      <c r="C416" t="s">
        <v>221</v>
      </c>
      <c r="D416" t="s">
        <v>19</v>
      </c>
      <c r="E416" t="s">
        <v>1353</v>
      </c>
      <c r="F416" s="2">
        <v>65000</v>
      </c>
      <c r="G416" t="s">
        <v>710</v>
      </c>
      <c r="H416" t="s">
        <v>751</v>
      </c>
      <c r="I416" t="str">
        <f>VLOOKUP(E416,'Trial Balance'!B:B,1,0)</f>
        <v>Guest entertainment</v>
      </c>
    </row>
    <row r="417" spans="1:9">
      <c r="A417" s="1">
        <v>45848</v>
      </c>
      <c r="B417" s="78">
        <v>45869</v>
      </c>
      <c r="C417" t="s">
        <v>222</v>
      </c>
      <c r="D417" t="s">
        <v>3</v>
      </c>
      <c r="E417" t="s">
        <v>865</v>
      </c>
      <c r="F417" s="2">
        <v>50</v>
      </c>
      <c r="G417" t="s">
        <v>710</v>
      </c>
      <c r="I417" t="str">
        <f>VLOOKUP(E417,'Trial Balance'!B:B,1,0)</f>
        <v>Bank Fees and Charges</v>
      </c>
    </row>
    <row r="418" spans="1:9">
      <c r="A418" s="1">
        <v>45848</v>
      </c>
      <c r="B418" s="78">
        <v>45869</v>
      </c>
      <c r="C418" t="s">
        <v>223</v>
      </c>
      <c r="D418" t="s">
        <v>3</v>
      </c>
      <c r="E418" t="s">
        <v>865</v>
      </c>
      <c r="F418" s="2">
        <v>3.75</v>
      </c>
      <c r="G418" t="s">
        <v>710</v>
      </c>
      <c r="I418" t="str">
        <f>VLOOKUP(E418,'Trial Balance'!B:B,1,0)</f>
        <v>Bank Fees and Charges</v>
      </c>
    </row>
    <row r="419" spans="1:9">
      <c r="A419" s="1">
        <v>45849</v>
      </c>
      <c r="B419" s="78">
        <v>45869</v>
      </c>
      <c r="C419" t="s">
        <v>225</v>
      </c>
      <c r="D419" t="s">
        <v>19</v>
      </c>
      <c r="E419" t="s">
        <v>871</v>
      </c>
      <c r="F419" s="2">
        <v>1250000</v>
      </c>
      <c r="G419" t="s">
        <v>710</v>
      </c>
      <c r="H419" t="s">
        <v>748</v>
      </c>
      <c r="I419" t="str">
        <f>VLOOKUP(E419,'Trial Balance'!B:B,1,0)</f>
        <v>Advertising And Marketing</v>
      </c>
    </row>
    <row r="420" spans="1:9">
      <c r="A420" s="1">
        <v>45849</v>
      </c>
      <c r="B420" s="78">
        <v>45869</v>
      </c>
      <c r="C420" t="s">
        <v>226</v>
      </c>
      <c r="D420" t="s">
        <v>3</v>
      </c>
      <c r="E420" t="s">
        <v>865</v>
      </c>
      <c r="F420" s="2">
        <v>50</v>
      </c>
      <c r="G420" t="s">
        <v>710</v>
      </c>
      <c r="I420" t="str">
        <f>VLOOKUP(E420,'Trial Balance'!B:B,1,0)</f>
        <v>Bank Fees and Charges</v>
      </c>
    </row>
    <row r="421" spans="1:9">
      <c r="A421" s="1">
        <v>45849</v>
      </c>
      <c r="B421" s="78">
        <v>45869</v>
      </c>
      <c r="C421" t="s">
        <v>227</v>
      </c>
      <c r="D421" t="s">
        <v>3</v>
      </c>
      <c r="E421" t="s">
        <v>865</v>
      </c>
      <c r="F421" s="2">
        <v>3.75</v>
      </c>
      <c r="G421" t="s">
        <v>710</v>
      </c>
      <c r="I421" t="str">
        <f>VLOOKUP(E421,'Trial Balance'!B:B,1,0)</f>
        <v>Bank Fees and Charges</v>
      </c>
    </row>
    <row r="422" spans="1:9">
      <c r="A422" s="1">
        <v>45855</v>
      </c>
      <c r="B422" s="78">
        <v>45869</v>
      </c>
      <c r="C422" t="s">
        <v>229</v>
      </c>
      <c r="D422" t="s">
        <v>19</v>
      </c>
      <c r="E422" t="s">
        <v>976</v>
      </c>
      <c r="F422" s="2">
        <v>240000</v>
      </c>
      <c r="G422" t="s">
        <v>710</v>
      </c>
      <c r="H422" t="s">
        <v>752</v>
      </c>
      <c r="I422" t="str">
        <f>VLOOKUP(E422,'Trial Balance'!B:B,1,0)</f>
        <v>Travel expense - Local</v>
      </c>
    </row>
    <row r="423" spans="1:9">
      <c r="A423" s="1">
        <v>45855</v>
      </c>
      <c r="B423" s="78">
        <v>45869</v>
      </c>
      <c r="C423" t="s">
        <v>230</v>
      </c>
      <c r="D423" t="s">
        <v>3</v>
      </c>
      <c r="E423" t="s">
        <v>865</v>
      </c>
      <c r="F423" s="2">
        <v>50</v>
      </c>
      <c r="G423" t="s">
        <v>710</v>
      </c>
      <c r="I423" t="str">
        <f>VLOOKUP(E423,'Trial Balance'!B:B,1,0)</f>
        <v>Bank Fees and Charges</v>
      </c>
    </row>
    <row r="424" spans="1:9">
      <c r="A424" s="1">
        <v>45855</v>
      </c>
      <c r="B424" s="78">
        <v>45869</v>
      </c>
      <c r="C424" t="s">
        <v>231</v>
      </c>
      <c r="D424" t="s">
        <v>3</v>
      </c>
      <c r="E424" t="s">
        <v>865</v>
      </c>
      <c r="F424" s="2">
        <v>3.75</v>
      </c>
      <c r="G424" t="s">
        <v>710</v>
      </c>
      <c r="I424" t="str">
        <f>VLOOKUP(E424,'Trial Balance'!B:B,1,0)</f>
        <v>Bank Fees and Charges</v>
      </c>
    </row>
    <row r="425" spans="1:9">
      <c r="A425" s="1">
        <v>45855</v>
      </c>
      <c r="B425" s="78">
        <v>45869</v>
      </c>
      <c r="C425" t="s">
        <v>232</v>
      </c>
      <c r="D425" t="s">
        <v>28</v>
      </c>
      <c r="E425" t="s">
        <v>976</v>
      </c>
      <c r="F425" s="2">
        <v>420180</v>
      </c>
      <c r="G425" t="s">
        <v>710</v>
      </c>
      <c r="I425" t="str">
        <f>VLOOKUP(E425,'Trial Balance'!B:B,1,0)</f>
        <v>Travel expense - Local</v>
      </c>
    </row>
    <row r="426" spans="1:9">
      <c r="A426" s="1">
        <v>45855</v>
      </c>
      <c r="B426" s="78">
        <v>45869</v>
      </c>
      <c r="C426" t="s">
        <v>233</v>
      </c>
      <c r="D426" t="s">
        <v>3</v>
      </c>
      <c r="E426" t="s">
        <v>865</v>
      </c>
      <c r="F426" s="2">
        <v>50</v>
      </c>
      <c r="G426" t="s">
        <v>710</v>
      </c>
      <c r="I426" t="str">
        <f>VLOOKUP(E426,'Trial Balance'!B:B,1,0)</f>
        <v>Bank Fees and Charges</v>
      </c>
    </row>
    <row r="427" spans="1:9">
      <c r="A427" s="1">
        <v>45855</v>
      </c>
      <c r="B427" s="78">
        <v>45869</v>
      </c>
      <c r="C427" t="s">
        <v>234</v>
      </c>
      <c r="D427" t="s">
        <v>3</v>
      </c>
      <c r="E427" t="s">
        <v>865</v>
      </c>
      <c r="F427" s="2">
        <v>3.75</v>
      </c>
      <c r="G427" t="s">
        <v>710</v>
      </c>
      <c r="I427" t="str">
        <f>VLOOKUP(E427,'Trial Balance'!B:B,1,0)</f>
        <v>Bank Fees and Charges</v>
      </c>
    </row>
    <row r="428" spans="1:9">
      <c r="A428" s="1">
        <v>45855</v>
      </c>
      <c r="B428" s="78">
        <v>45869</v>
      </c>
      <c r="C428" t="s">
        <v>235</v>
      </c>
      <c r="D428" t="s">
        <v>13</v>
      </c>
      <c r="E428" t="s">
        <v>800</v>
      </c>
      <c r="F428" s="2">
        <v>785000</v>
      </c>
      <c r="G428" t="s">
        <v>710</v>
      </c>
      <c r="I428" t="str">
        <f>VLOOKUP(E428,'Trial Balance'!B:B,1,0)</f>
        <v>Repairs and Maintenance</v>
      </c>
    </row>
    <row r="429" spans="1:9">
      <c r="A429" s="1">
        <v>45855</v>
      </c>
      <c r="B429" s="78">
        <v>45869</v>
      </c>
      <c r="C429" t="s">
        <v>236</v>
      </c>
      <c r="D429" t="s">
        <v>3</v>
      </c>
      <c r="E429" t="s">
        <v>865</v>
      </c>
      <c r="F429" s="2">
        <v>50</v>
      </c>
      <c r="G429" t="s">
        <v>710</v>
      </c>
      <c r="I429" t="str">
        <f>VLOOKUP(E429,'Trial Balance'!B:B,1,0)</f>
        <v>Bank Fees and Charges</v>
      </c>
    </row>
    <row r="430" spans="1:9">
      <c r="A430" s="1">
        <v>45855</v>
      </c>
      <c r="B430" s="78">
        <v>45869</v>
      </c>
      <c r="C430" t="s">
        <v>237</v>
      </c>
      <c r="D430" t="s">
        <v>3</v>
      </c>
      <c r="E430" t="s">
        <v>865</v>
      </c>
      <c r="F430" s="2">
        <v>3.75</v>
      </c>
      <c r="G430" t="s">
        <v>710</v>
      </c>
      <c r="I430" t="str">
        <f>VLOOKUP(E430,'Trial Balance'!B:B,1,0)</f>
        <v>Bank Fees and Charges</v>
      </c>
    </row>
    <row r="431" spans="1:9">
      <c r="A431" s="1">
        <v>45856</v>
      </c>
      <c r="B431" s="78">
        <v>45869</v>
      </c>
      <c r="C431" t="s">
        <v>239</v>
      </c>
      <c r="D431" t="s">
        <v>4</v>
      </c>
      <c r="E431" t="s">
        <v>874</v>
      </c>
      <c r="F431" s="2">
        <v>260000</v>
      </c>
      <c r="G431" t="s">
        <v>710</v>
      </c>
      <c r="I431" t="str">
        <f>VLOOKUP(E431,'Trial Balance'!B:B,1,0)</f>
        <v>Office Supplies</v>
      </c>
    </row>
    <row r="432" spans="1:9">
      <c r="A432" s="1">
        <v>45856</v>
      </c>
      <c r="B432" s="78">
        <v>45869</v>
      </c>
      <c r="C432" t="s">
        <v>240</v>
      </c>
      <c r="D432" t="s">
        <v>3</v>
      </c>
      <c r="E432" t="s">
        <v>865</v>
      </c>
      <c r="F432" s="2">
        <v>50</v>
      </c>
      <c r="G432" t="s">
        <v>710</v>
      </c>
      <c r="I432" t="str">
        <f>VLOOKUP(E432,'Trial Balance'!B:B,1,0)</f>
        <v>Bank Fees and Charges</v>
      </c>
    </row>
    <row r="433" spans="1:9">
      <c r="A433" s="1">
        <v>45856</v>
      </c>
      <c r="B433" s="78">
        <v>45869</v>
      </c>
      <c r="C433" t="s">
        <v>241</v>
      </c>
      <c r="D433" t="s">
        <v>3</v>
      </c>
      <c r="E433" t="s">
        <v>865</v>
      </c>
      <c r="F433" s="2">
        <v>3.75</v>
      </c>
      <c r="G433" t="s">
        <v>710</v>
      </c>
      <c r="I433" t="str">
        <f>VLOOKUP(E433,'Trial Balance'!B:B,1,0)</f>
        <v>Bank Fees and Charges</v>
      </c>
    </row>
    <row r="434" spans="1:9">
      <c r="A434" s="1">
        <v>45856</v>
      </c>
      <c r="B434" s="78">
        <v>45869</v>
      </c>
      <c r="C434" t="s">
        <v>242</v>
      </c>
      <c r="D434" t="s">
        <v>27</v>
      </c>
      <c r="E434" t="s">
        <v>27</v>
      </c>
      <c r="F434" s="2">
        <v>31500</v>
      </c>
      <c r="G434" t="s">
        <v>710</v>
      </c>
      <c r="I434" t="str">
        <f>VLOOKUP(E434,'Trial Balance'!B:B,1,0)</f>
        <v>Staff welfare</v>
      </c>
    </row>
    <row r="435" spans="1:9">
      <c r="A435" s="1">
        <v>45856</v>
      </c>
      <c r="B435" s="78">
        <v>45869</v>
      </c>
      <c r="C435" t="s">
        <v>242</v>
      </c>
      <c r="D435" t="s">
        <v>3</v>
      </c>
      <c r="E435" t="s">
        <v>865</v>
      </c>
      <c r="F435" s="2">
        <v>25</v>
      </c>
      <c r="G435" t="s">
        <v>710</v>
      </c>
      <c r="I435" t="str">
        <f>VLOOKUP(E435,'Trial Balance'!B:B,1,0)</f>
        <v>Bank Fees and Charges</v>
      </c>
    </row>
    <row r="436" spans="1:9">
      <c r="A436" s="1">
        <v>45856</v>
      </c>
      <c r="B436" s="78">
        <v>45869</v>
      </c>
      <c r="C436" t="s">
        <v>242</v>
      </c>
      <c r="D436" t="s">
        <v>3</v>
      </c>
      <c r="E436" t="s">
        <v>865</v>
      </c>
      <c r="F436" s="2">
        <v>1.8799999952316284</v>
      </c>
      <c r="G436" t="s">
        <v>710</v>
      </c>
      <c r="I436" t="str">
        <f>VLOOKUP(E436,'Trial Balance'!B:B,1,0)</f>
        <v>Bank Fees and Charges</v>
      </c>
    </row>
    <row r="437" spans="1:9">
      <c r="A437" s="1">
        <v>45856</v>
      </c>
      <c r="B437" s="78">
        <v>45869</v>
      </c>
      <c r="C437" t="s">
        <v>243</v>
      </c>
      <c r="D437" t="s">
        <v>27</v>
      </c>
      <c r="E437" t="s">
        <v>27</v>
      </c>
      <c r="F437" s="2">
        <v>14540</v>
      </c>
      <c r="G437" t="s">
        <v>710</v>
      </c>
      <c r="I437" t="str">
        <f>VLOOKUP(E437,'Trial Balance'!B:B,1,0)</f>
        <v>Staff welfare</v>
      </c>
    </row>
    <row r="438" spans="1:9">
      <c r="A438" s="1">
        <v>45856</v>
      </c>
      <c r="B438" s="78">
        <v>45869</v>
      </c>
      <c r="C438" t="s">
        <v>243</v>
      </c>
      <c r="D438" t="s">
        <v>3</v>
      </c>
      <c r="E438" t="s">
        <v>865</v>
      </c>
      <c r="F438" s="2">
        <v>25</v>
      </c>
      <c r="G438" t="s">
        <v>710</v>
      </c>
      <c r="I438" t="str">
        <f>VLOOKUP(E438,'Trial Balance'!B:B,1,0)</f>
        <v>Bank Fees and Charges</v>
      </c>
    </row>
    <row r="439" spans="1:9">
      <c r="A439" s="1">
        <v>45856</v>
      </c>
      <c r="B439" s="78">
        <v>45869</v>
      </c>
      <c r="C439" t="s">
        <v>243</v>
      </c>
      <c r="D439" t="s">
        <v>3</v>
      </c>
      <c r="E439" t="s">
        <v>865</v>
      </c>
      <c r="F439" s="2">
        <v>1.8800000101327896</v>
      </c>
      <c r="G439" t="s">
        <v>710</v>
      </c>
      <c r="I439" t="str">
        <f>VLOOKUP(E439,'Trial Balance'!B:B,1,0)</f>
        <v>Bank Fees and Charges</v>
      </c>
    </row>
    <row r="440" spans="1:9">
      <c r="A440" s="1">
        <v>45856</v>
      </c>
      <c r="B440" s="78">
        <v>45869</v>
      </c>
      <c r="C440" t="s">
        <v>244</v>
      </c>
      <c r="D440" t="s">
        <v>26</v>
      </c>
      <c r="E440" t="s">
        <v>976</v>
      </c>
      <c r="F440" s="2">
        <v>263078</v>
      </c>
      <c r="G440" t="s">
        <v>710</v>
      </c>
      <c r="I440" t="str">
        <f>VLOOKUP(E440,'Trial Balance'!B:B,1,0)</f>
        <v>Travel expense - Local</v>
      </c>
    </row>
    <row r="441" spans="1:9">
      <c r="A441" s="1">
        <v>45856</v>
      </c>
      <c r="B441" s="78">
        <v>45869</v>
      </c>
      <c r="C441" t="s">
        <v>244</v>
      </c>
      <c r="D441" t="s">
        <v>3</v>
      </c>
      <c r="E441" t="s">
        <v>865</v>
      </c>
      <c r="F441" s="2">
        <v>50</v>
      </c>
      <c r="G441" t="s">
        <v>710</v>
      </c>
      <c r="I441" t="str">
        <f>VLOOKUP(E441,'Trial Balance'!B:B,1,0)</f>
        <v>Bank Fees and Charges</v>
      </c>
    </row>
    <row r="442" spans="1:9">
      <c r="A442" s="1">
        <v>45856</v>
      </c>
      <c r="B442" s="78">
        <v>45869</v>
      </c>
      <c r="C442" t="s">
        <v>244</v>
      </c>
      <c r="D442" t="s">
        <v>3</v>
      </c>
      <c r="E442" t="s">
        <v>865</v>
      </c>
      <c r="F442" s="2">
        <v>3.75</v>
      </c>
      <c r="G442" t="s">
        <v>710</v>
      </c>
      <c r="I442" t="str">
        <f>VLOOKUP(E442,'Trial Balance'!B:B,1,0)</f>
        <v>Bank Fees and Charges</v>
      </c>
    </row>
    <row r="443" spans="1:9">
      <c r="A443" s="1">
        <v>45856</v>
      </c>
      <c r="B443" s="78">
        <v>45869</v>
      </c>
      <c r="C443" t="s">
        <v>245</v>
      </c>
      <c r="D443" t="s">
        <v>11</v>
      </c>
      <c r="E443" t="s">
        <v>953</v>
      </c>
      <c r="F443" s="2">
        <v>57000</v>
      </c>
      <c r="G443" t="s">
        <v>710</v>
      </c>
      <c r="I443" t="str">
        <f>VLOOKUP(E443,'Trial Balance'!B:B,1,0)</f>
        <v>Telephone and Data expense</v>
      </c>
    </row>
    <row r="444" spans="1:9">
      <c r="A444" s="1">
        <v>45856</v>
      </c>
      <c r="B444" s="78">
        <v>45869</v>
      </c>
      <c r="C444" t="s">
        <v>245</v>
      </c>
      <c r="D444" t="s">
        <v>3</v>
      </c>
      <c r="E444" t="s">
        <v>865</v>
      </c>
      <c r="F444" s="2">
        <v>50</v>
      </c>
      <c r="G444" t="s">
        <v>710</v>
      </c>
      <c r="I444" t="str">
        <f>VLOOKUP(E444,'Trial Balance'!B:B,1,0)</f>
        <v>Bank Fees and Charges</v>
      </c>
    </row>
    <row r="445" spans="1:9">
      <c r="A445" s="1">
        <v>45856</v>
      </c>
      <c r="B445" s="78">
        <v>45869</v>
      </c>
      <c r="C445" t="s">
        <v>245</v>
      </c>
      <c r="D445" t="s">
        <v>3</v>
      </c>
      <c r="E445" t="s">
        <v>865</v>
      </c>
      <c r="F445" s="2">
        <v>3.75</v>
      </c>
      <c r="G445" t="s">
        <v>710</v>
      </c>
      <c r="I445" t="str">
        <f>VLOOKUP(E445,'Trial Balance'!B:B,1,0)</f>
        <v>Bank Fees and Charges</v>
      </c>
    </row>
    <row r="446" spans="1:9">
      <c r="A446" s="1">
        <v>45859</v>
      </c>
      <c r="B446" s="78">
        <v>45869</v>
      </c>
      <c r="C446" t="s">
        <v>247</v>
      </c>
      <c r="D446" t="s">
        <v>15</v>
      </c>
      <c r="E446" t="s">
        <v>1353</v>
      </c>
      <c r="F446" s="2">
        <v>250400</v>
      </c>
      <c r="G446" t="s">
        <v>710</v>
      </c>
      <c r="I446" t="str">
        <f>VLOOKUP(E446,'Trial Balance'!B:B,1,0)</f>
        <v>Guest entertainment</v>
      </c>
    </row>
    <row r="447" spans="1:9">
      <c r="A447" s="1">
        <v>45859</v>
      </c>
      <c r="B447" s="78">
        <v>45869</v>
      </c>
      <c r="C447" t="s">
        <v>247</v>
      </c>
      <c r="D447" t="s">
        <v>3</v>
      </c>
      <c r="E447" t="s">
        <v>865</v>
      </c>
      <c r="F447" s="2">
        <v>50</v>
      </c>
      <c r="G447" t="s">
        <v>710</v>
      </c>
      <c r="I447" t="str">
        <f>VLOOKUP(E447,'Trial Balance'!B:B,1,0)</f>
        <v>Bank Fees and Charges</v>
      </c>
    </row>
    <row r="448" spans="1:9">
      <c r="A448" s="1">
        <v>45859</v>
      </c>
      <c r="B448" s="78">
        <v>45869</v>
      </c>
      <c r="C448" t="s">
        <v>247</v>
      </c>
      <c r="D448" t="s">
        <v>3</v>
      </c>
      <c r="E448" t="s">
        <v>865</v>
      </c>
      <c r="F448" s="2">
        <v>3.75</v>
      </c>
      <c r="G448" t="s">
        <v>710</v>
      </c>
      <c r="I448" t="str">
        <f>VLOOKUP(E448,'Trial Balance'!B:B,1,0)</f>
        <v>Bank Fees and Charges</v>
      </c>
    </row>
    <row r="449" spans="1:9">
      <c r="A449" s="1">
        <v>45859</v>
      </c>
      <c r="B449" s="78">
        <v>45869</v>
      </c>
      <c r="C449" t="s">
        <v>248</v>
      </c>
      <c r="D449" t="s">
        <v>11</v>
      </c>
      <c r="E449" t="s">
        <v>953</v>
      </c>
      <c r="F449" s="2">
        <v>30000</v>
      </c>
      <c r="G449" t="s">
        <v>710</v>
      </c>
      <c r="I449" t="str">
        <f>VLOOKUP(E449,'Trial Balance'!B:B,1,0)</f>
        <v>Telephone and Data expense</v>
      </c>
    </row>
    <row r="450" spans="1:9">
      <c r="A450" s="1">
        <v>45859</v>
      </c>
      <c r="B450" s="78">
        <v>45869</v>
      </c>
      <c r="C450" t="s">
        <v>248</v>
      </c>
      <c r="D450" t="s">
        <v>3</v>
      </c>
      <c r="E450" t="s">
        <v>865</v>
      </c>
      <c r="F450" s="2">
        <v>25</v>
      </c>
      <c r="G450" t="s">
        <v>710</v>
      </c>
      <c r="I450" t="str">
        <f>VLOOKUP(E450,'Trial Balance'!B:B,1,0)</f>
        <v>Bank Fees and Charges</v>
      </c>
    </row>
    <row r="451" spans="1:9">
      <c r="A451" s="1">
        <v>45859</v>
      </c>
      <c r="B451" s="78">
        <v>45869</v>
      </c>
      <c r="C451" t="s">
        <v>248</v>
      </c>
      <c r="D451" t="s">
        <v>3</v>
      </c>
      <c r="E451" t="s">
        <v>865</v>
      </c>
      <c r="F451" s="2">
        <v>1.8799999952316284</v>
      </c>
      <c r="G451" t="s">
        <v>710</v>
      </c>
      <c r="I451" t="str">
        <f>VLOOKUP(E451,'Trial Balance'!B:B,1,0)</f>
        <v>Bank Fees and Charges</v>
      </c>
    </row>
    <row r="452" spans="1:9">
      <c r="A452" s="1">
        <v>45860</v>
      </c>
      <c r="B452" s="78">
        <v>45869</v>
      </c>
      <c r="C452" t="s">
        <v>250</v>
      </c>
      <c r="D452" t="s">
        <v>13</v>
      </c>
      <c r="E452" t="s">
        <v>800</v>
      </c>
      <c r="F452" s="2">
        <v>370000</v>
      </c>
      <c r="G452" t="s">
        <v>710</v>
      </c>
      <c r="I452" t="str">
        <f>VLOOKUP(E452,'Trial Balance'!B:B,1,0)</f>
        <v>Repairs and Maintenance</v>
      </c>
    </row>
    <row r="453" spans="1:9">
      <c r="A453" s="1">
        <v>45860</v>
      </c>
      <c r="B453" s="78">
        <v>45869</v>
      </c>
      <c r="C453" t="s">
        <v>250</v>
      </c>
      <c r="D453" t="s">
        <v>3</v>
      </c>
      <c r="E453" t="s">
        <v>865</v>
      </c>
      <c r="F453" s="2">
        <v>50</v>
      </c>
      <c r="G453" t="s">
        <v>710</v>
      </c>
      <c r="I453" t="str">
        <f>VLOOKUP(E453,'Trial Balance'!B:B,1,0)</f>
        <v>Bank Fees and Charges</v>
      </c>
    </row>
    <row r="454" spans="1:9">
      <c r="A454" s="1">
        <v>45860</v>
      </c>
      <c r="B454" s="78">
        <v>45869</v>
      </c>
      <c r="C454" t="s">
        <v>250</v>
      </c>
      <c r="D454" t="s">
        <v>3</v>
      </c>
      <c r="E454" t="s">
        <v>865</v>
      </c>
      <c r="F454" s="2">
        <v>3.75</v>
      </c>
      <c r="G454" t="s">
        <v>710</v>
      </c>
      <c r="I454" t="str">
        <f>VLOOKUP(E454,'Trial Balance'!B:B,1,0)</f>
        <v>Bank Fees and Charges</v>
      </c>
    </row>
    <row r="455" spans="1:9">
      <c r="A455" s="1">
        <v>45860</v>
      </c>
      <c r="B455" s="78">
        <v>45869</v>
      </c>
      <c r="C455" t="s">
        <v>251</v>
      </c>
      <c r="D455" t="s">
        <v>29</v>
      </c>
      <c r="E455" t="s">
        <v>960</v>
      </c>
      <c r="F455" s="2">
        <v>120000</v>
      </c>
      <c r="G455" t="s">
        <v>710</v>
      </c>
      <c r="I455" t="str">
        <f>VLOOKUP(E455,'Trial Balance'!B:B,1,0)</f>
        <v>Fuel/Diesel Expenses</v>
      </c>
    </row>
    <row r="456" spans="1:9">
      <c r="A456" s="1">
        <v>45860</v>
      </c>
      <c r="B456" s="78">
        <v>45869</v>
      </c>
      <c r="C456" t="s">
        <v>251</v>
      </c>
      <c r="D456" t="s">
        <v>3</v>
      </c>
      <c r="E456" t="s">
        <v>865</v>
      </c>
      <c r="F456" s="2">
        <v>50</v>
      </c>
      <c r="G456" t="s">
        <v>710</v>
      </c>
      <c r="I456" t="str">
        <f>VLOOKUP(E456,'Trial Balance'!B:B,1,0)</f>
        <v>Bank Fees and Charges</v>
      </c>
    </row>
    <row r="457" spans="1:9">
      <c r="A457" s="1">
        <v>45860</v>
      </c>
      <c r="B457" s="78">
        <v>45869</v>
      </c>
      <c r="C457" t="s">
        <v>251</v>
      </c>
      <c r="D457" t="s">
        <v>3</v>
      </c>
      <c r="E457" t="s">
        <v>865</v>
      </c>
      <c r="F457" s="2">
        <v>3.75</v>
      </c>
      <c r="G457" t="s">
        <v>710</v>
      </c>
      <c r="I457" t="str">
        <f>VLOOKUP(E457,'Trial Balance'!B:B,1,0)</f>
        <v>Bank Fees and Charges</v>
      </c>
    </row>
    <row r="458" spans="1:9">
      <c r="A458" s="1">
        <v>45861</v>
      </c>
      <c r="B458" s="78">
        <v>45869</v>
      </c>
      <c r="C458" t="s">
        <v>253</v>
      </c>
      <c r="D458" t="s">
        <v>4</v>
      </c>
      <c r="E458" t="s">
        <v>874</v>
      </c>
      <c r="F458" s="2">
        <v>48000</v>
      </c>
      <c r="G458" t="s">
        <v>710</v>
      </c>
      <c r="I458" t="str">
        <f>VLOOKUP(E458,'Trial Balance'!B:B,1,0)</f>
        <v>Office Supplies</v>
      </c>
    </row>
    <row r="459" spans="1:9">
      <c r="A459" s="1">
        <v>45861</v>
      </c>
      <c r="B459" s="78">
        <v>45869</v>
      </c>
      <c r="C459" t="s">
        <v>253</v>
      </c>
      <c r="D459" t="s">
        <v>3</v>
      </c>
      <c r="E459" t="s">
        <v>865</v>
      </c>
      <c r="F459" s="2">
        <v>25</v>
      </c>
      <c r="G459" t="s">
        <v>710</v>
      </c>
      <c r="I459" t="str">
        <f>VLOOKUP(E459,'Trial Balance'!B:B,1,0)</f>
        <v>Bank Fees and Charges</v>
      </c>
    </row>
    <row r="460" spans="1:9">
      <c r="A460" s="1">
        <v>45861</v>
      </c>
      <c r="B460" s="78">
        <v>45869</v>
      </c>
      <c r="C460" t="s">
        <v>253</v>
      </c>
      <c r="D460" t="s">
        <v>3</v>
      </c>
      <c r="E460" t="s">
        <v>865</v>
      </c>
      <c r="F460" s="2">
        <v>1.8799999952316284</v>
      </c>
      <c r="G460" t="s">
        <v>710</v>
      </c>
      <c r="I460" t="str">
        <f>VLOOKUP(E460,'Trial Balance'!B:B,1,0)</f>
        <v>Bank Fees and Charges</v>
      </c>
    </row>
    <row r="461" spans="1:9">
      <c r="A461" s="1">
        <v>45861</v>
      </c>
      <c r="B461" s="78">
        <v>45869</v>
      </c>
      <c r="C461" t="s">
        <v>254</v>
      </c>
      <c r="D461" t="s">
        <v>4</v>
      </c>
      <c r="E461" t="s">
        <v>874</v>
      </c>
      <c r="F461" s="2">
        <v>90000</v>
      </c>
      <c r="G461" t="s">
        <v>710</v>
      </c>
      <c r="I461" t="str">
        <f>VLOOKUP(E461,'Trial Balance'!B:B,1,0)</f>
        <v>Office Supplies</v>
      </c>
    </row>
    <row r="462" spans="1:9">
      <c r="A462" s="1">
        <v>45861</v>
      </c>
      <c r="B462" s="78">
        <v>45869</v>
      </c>
      <c r="C462" t="s">
        <v>254</v>
      </c>
      <c r="D462" t="s">
        <v>3</v>
      </c>
      <c r="E462" t="s">
        <v>865</v>
      </c>
      <c r="F462" s="2">
        <v>50</v>
      </c>
      <c r="G462" t="s">
        <v>710</v>
      </c>
      <c r="I462" t="str">
        <f>VLOOKUP(E462,'Trial Balance'!B:B,1,0)</f>
        <v>Bank Fees and Charges</v>
      </c>
    </row>
    <row r="463" spans="1:9">
      <c r="A463" s="1">
        <v>45861</v>
      </c>
      <c r="B463" s="78">
        <v>45869</v>
      </c>
      <c r="C463" t="s">
        <v>254</v>
      </c>
      <c r="D463" t="s">
        <v>3</v>
      </c>
      <c r="E463" t="s">
        <v>865</v>
      </c>
      <c r="F463" s="2">
        <v>3.75</v>
      </c>
      <c r="G463" t="s">
        <v>710</v>
      </c>
      <c r="I463" t="str">
        <f>VLOOKUP(E463,'Trial Balance'!B:B,1,0)</f>
        <v>Bank Fees and Charges</v>
      </c>
    </row>
    <row r="464" spans="1:9">
      <c r="A464" s="1">
        <v>45861</v>
      </c>
      <c r="B464" s="78">
        <v>45869</v>
      </c>
      <c r="C464" t="s">
        <v>255</v>
      </c>
      <c r="D464" t="s">
        <v>4</v>
      </c>
      <c r="E464" t="s">
        <v>874</v>
      </c>
      <c r="F464" s="2">
        <v>40000</v>
      </c>
      <c r="G464" t="s">
        <v>710</v>
      </c>
      <c r="I464" t="str">
        <f>VLOOKUP(E464,'Trial Balance'!B:B,1,0)</f>
        <v>Office Supplies</v>
      </c>
    </row>
    <row r="465" spans="1:9">
      <c r="A465" s="1">
        <v>45861</v>
      </c>
      <c r="B465" s="78">
        <v>45869</v>
      </c>
      <c r="C465" t="s">
        <v>255</v>
      </c>
      <c r="D465" t="s">
        <v>3</v>
      </c>
      <c r="E465" t="s">
        <v>865</v>
      </c>
      <c r="F465" s="2">
        <v>25</v>
      </c>
      <c r="G465" t="s">
        <v>710</v>
      </c>
      <c r="I465" t="str">
        <f>VLOOKUP(E465,'Trial Balance'!B:B,1,0)</f>
        <v>Bank Fees and Charges</v>
      </c>
    </row>
    <row r="466" spans="1:9">
      <c r="A466" s="1">
        <v>45861</v>
      </c>
      <c r="B466" s="78">
        <v>45869</v>
      </c>
      <c r="C466" t="s">
        <v>255</v>
      </c>
      <c r="D466" t="s">
        <v>3</v>
      </c>
      <c r="E466" t="s">
        <v>865</v>
      </c>
      <c r="F466" s="2">
        <v>1.8800000101327896</v>
      </c>
      <c r="G466" t="s">
        <v>710</v>
      </c>
      <c r="I466" t="str">
        <f>VLOOKUP(E466,'Trial Balance'!B:B,1,0)</f>
        <v>Bank Fees and Charges</v>
      </c>
    </row>
    <row r="467" spans="1:9">
      <c r="A467" s="1">
        <v>45862</v>
      </c>
      <c r="B467" s="78">
        <v>45869</v>
      </c>
      <c r="C467" t="s">
        <v>257</v>
      </c>
      <c r="D467" t="s">
        <v>15</v>
      </c>
      <c r="E467" t="s">
        <v>1353</v>
      </c>
      <c r="F467" s="2">
        <v>223400</v>
      </c>
      <c r="G467" t="s">
        <v>710</v>
      </c>
      <c r="I467" t="str">
        <f>VLOOKUP(E467,'Trial Balance'!B:B,1,0)</f>
        <v>Guest entertainment</v>
      </c>
    </row>
    <row r="468" spans="1:9">
      <c r="A468" s="1">
        <v>45862</v>
      </c>
      <c r="B468" s="78">
        <v>45869</v>
      </c>
      <c r="C468" t="s">
        <v>257</v>
      </c>
      <c r="D468" t="s">
        <v>3</v>
      </c>
      <c r="E468" t="s">
        <v>865</v>
      </c>
      <c r="F468" s="2">
        <v>50</v>
      </c>
      <c r="G468" t="s">
        <v>710</v>
      </c>
      <c r="I468" t="str">
        <f>VLOOKUP(E468,'Trial Balance'!B:B,1,0)</f>
        <v>Bank Fees and Charges</v>
      </c>
    </row>
    <row r="469" spans="1:9">
      <c r="A469" s="1">
        <v>45862</v>
      </c>
      <c r="B469" s="78">
        <v>45869</v>
      </c>
      <c r="C469" t="s">
        <v>257</v>
      </c>
      <c r="D469" t="s">
        <v>3</v>
      </c>
      <c r="E469" t="s">
        <v>865</v>
      </c>
      <c r="F469" s="2">
        <v>3.75</v>
      </c>
      <c r="G469" t="s">
        <v>710</v>
      </c>
      <c r="I469" t="str">
        <f>VLOOKUP(E469,'Trial Balance'!B:B,1,0)</f>
        <v>Bank Fees and Charges</v>
      </c>
    </row>
    <row r="470" spans="1:9">
      <c r="A470" s="1">
        <v>45862</v>
      </c>
      <c r="B470" s="78">
        <v>45869</v>
      </c>
      <c r="C470" t="s">
        <v>258</v>
      </c>
      <c r="D470" t="s">
        <v>15</v>
      </c>
      <c r="E470" t="s">
        <v>809</v>
      </c>
      <c r="F470" s="2">
        <v>34938</v>
      </c>
      <c r="G470" t="s">
        <v>710</v>
      </c>
      <c r="I470" t="str">
        <f>VLOOKUP(E470,'Trial Balance'!B:B,1,0)</f>
        <v>Meals and Entertainment</v>
      </c>
    </row>
    <row r="471" spans="1:9">
      <c r="A471" s="1">
        <v>45862</v>
      </c>
      <c r="B471" s="78">
        <v>45869</v>
      </c>
      <c r="C471" t="s">
        <v>258</v>
      </c>
      <c r="D471" t="s">
        <v>3</v>
      </c>
      <c r="E471" t="s">
        <v>865</v>
      </c>
      <c r="F471" s="2">
        <v>25</v>
      </c>
      <c r="G471" t="s">
        <v>710</v>
      </c>
      <c r="I471" t="str">
        <f>VLOOKUP(E471,'Trial Balance'!B:B,1,0)</f>
        <v>Bank Fees and Charges</v>
      </c>
    </row>
    <row r="472" spans="1:9">
      <c r="A472" s="1">
        <v>45862</v>
      </c>
      <c r="B472" s="78">
        <v>45869</v>
      </c>
      <c r="C472" t="s">
        <v>258</v>
      </c>
      <c r="D472" t="s">
        <v>3</v>
      </c>
      <c r="E472" t="s">
        <v>865</v>
      </c>
      <c r="F472" s="2">
        <v>1.8799999952316284</v>
      </c>
      <c r="G472" t="s">
        <v>710</v>
      </c>
      <c r="I472" t="str">
        <f>VLOOKUP(E472,'Trial Balance'!B:B,1,0)</f>
        <v>Bank Fees and Charges</v>
      </c>
    </row>
    <row r="473" spans="1:9">
      <c r="A473" s="1">
        <v>45862</v>
      </c>
      <c r="B473" s="78">
        <v>45869</v>
      </c>
      <c r="C473" t="s">
        <v>259</v>
      </c>
      <c r="D473" t="s">
        <v>15</v>
      </c>
      <c r="E473" t="s">
        <v>809</v>
      </c>
      <c r="F473" s="2">
        <v>10000</v>
      </c>
      <c r="G473" t="s">
        <v>710</v>
      </c>
      <c r="I473" t="str">
        <f>VLOOKUP(E473,'Trial Balance'!B:B,1,0)</f>
        <v>Meals and Entertainment</v>
      </c>
    </row>
    <row r="474" spans="1:9">
      <c r="A474" s="1">
        <v>45862</v>
      </c>
      <c r="B474" s="78">
        <v>45869</v>
      </c>
      <c r="C474" t="s">
        <v>259</v>
      </c>
      <c r="D474" t="s">
        <v>3</v>
      </c>
      <c r="E474" t="s">
        <v>865</v>
      </c>
      <c r="F474" s="2">
        <v>25</v>
      </c>
      <c r="G474" t="s">
        <v>710</v>
      </c>
      <c r="I474" t="str">
        <f>VLOOKUP(E474,'Trial Balance'!B:B,1,0)</f>
        <v>Bank Fees and Charges</v>
      </c>
    </row>
    <row r="475" spans="1:9">
      <c r="A475" s="1">
        <v>45862</v>
      </c>
      <c r="B475" s="78">
        <v>45869</v>
      </c>
      <c r="C475" t="s">
        <v>259</v>
      </c>
      <c r="D475" t="s">
        <v>3</v>
      </c>
      <c r="E475" t="s">
        <v>865</v>
      </c>
      <c r="F475" s="2">
        <v>1.8799999952316284</v>
      </c>
      <c r="G475" t="s">
        <v>710</v>
      </c>
      <c r="I475" t="str">
        <f>VLOOKUP(E475,'Trial Balance'!B:B,1,0)</f>
        <v>Bank Fees and Charges</v>
      </c>
    </row>
    <row r="476" spans="1:9">
      <c r="A476" s="1">
        <v>45862</v>
      </c>
      <c r="B476" s="78">
        <v>45869</v>
      </c>
      <c r="C476" t="s">
        <v>260</v>
      </c>
      <c r="D476" t="s">
        <v>15</v>
      </c>
      <c r="E476" t="s">
        <v>809</v>
      </c>
      <c r="F476" s="2">
        <v>12138</v>
      </c>
      <c r="G476" t="s">
        <v>710</v>
      </c>
      <c r="I476" t="str">
        <f>VLOOKUP(E476,'Trial Balance'!B:B,1,0)</f>
        <v>Meals and Entertainment</v>
      </c>
    </row>
    <row r="477" spans="1:9">
      <c r="A477" s="1">
        <v>45862</v>
      </c>
      <c r="B477" s="78">
        <v>45869</v>
      </c>
      <c r="C477" t="s">
        <v>260</v>
      </c>
      <c r="D477" t="s">
        <v>3</v>
      </c>
      <c r="E477" t="s">
        <v>865</v>
      </c>
      <c r="F477" s="2">
        <v>25</v>
      </c>
      <c r="G477" t="s">
        <v>710</v>
      </c>
      <c r="I477" t="str">
        <f>VLOOKUP(E477,'Trial Balance'!B:B,1,0)</f>
        <v>Bank Fees and Charges</v>
      </c>
    </row>
    <row r="478" spans="1:9">
      <c r="A478" s="1">
        <v>45862</v>
      </c>
      <c r="B478" s="78">
        <v>45869</v>
      </c>
      <c r="C478" t="s">
        <v>260</v>
      </c>
      <c r="D478" t="s">
        <v>3</v>
      </c>
      <c r="E478" t="s">
        <v>865</v>
      </c>
      <c r="F478" s="2">
        <v>1.8800000101327896</v>
      </c>
      <c r="G478" t="s">
        <v>710</v>
      </c>
      <c r="I478" t="str">
        <f>VLOOKUP(E478,'Trial Balance'!B:B,1,0)</f>
        <v>Bank Fees and Charges</v>
      </c>
    </row>
    <row r="479" spans="1:9">
      <c r="A479" s="1">
        <v>45862</v>
      </c>
      <c r="B479" s="78">
        <v>45869</v>
      </c>
      <c r="C479" t="s">
        <v>261</v>
      </c>
      <c r="D479" t="s">
        <v>15</v>
      </c>
      <c r="E479" t="s">
        <v>1353</v>
      </c>
      <c r="F479" s="2">
        <v>25900</v>
      </c>
      <c r="G479" t="s">
        <v>710</v>
      </c>
      <c r="I479" t="str">
        <f>VLOOKUP(E479,'Trial Balance'!B:B,1,0)</f>
        <v>Guest entertainment</v>
      </c>
    </row>
    <row r="480" spans="1:9">
      <c r="A480" s="1">
        <v>45862</v>
      </c>
      <c r="B480" s="78">
        <v>45869</v>
      </c>
      <c r="C480" t="s">
        <v>261</v>
      </c>
      <c r="D480" t="s">
        <v>3</v>
      </c>
      <c r="E480" t="s">
        <v>865</v>
      </c>
      <c r="F480" s="2">
        <v>25</v>
      </c>
      <c r="G480" t="s">
        <v>710</v>
      </c>
      <c r="I480" t="str">
        <f>VLOOKUP(E480,'Trial Balance'!B:B,1,0)</f>
        <v>Bank Fees and Charges</v>
      </c>
    </row>
    <row r="481" spans="1:9">
      <c r="A481" s="1">
        <v>45862</v>
      </c>
      <c r="B481" s="78">
        <v>45869</v>
      </c>
      <c r="C481" t="s">
        <v>261</v>
      </c>
      <c r="D481" t="s">
        <v>3</v>
      </c>
      <c r="E481" t="s">
        <v>865</v>
      </c>
      <c r="F481" s="2">
        <v>1.8799999952316284</v>
      </c>
      <c r="G481" t="s">
        <v>710</v>
      </c>
      <c r="I481" t="str">
        <f>VLOOKUP(E481,'Trial Balance'!B:B,1,0)</f>
        <v>Bank Fees and Charges</v>
      </c>
    </row>
    <row r="482" spans="1:9">
      <c r="A482" s="1">
        <v>45862</v>
      </c>
      <c r="B482" s="78">
        <v>45869</v>
      </c>
      <c r="C482" t="s">
        <v>262</v>
      </c>
      <c r="D482" t="s">
        <v>15</v>
      </c>
      <c r="E482" t="s">
        <v>1353</v>
      </c>
      <c r="F482" s="2">
        <v>13200</v>
      </c>
      <c r="G482" t="s">
        <v>710</v>
      </c>
      <c r="I482" t="str">
        <f>VLOOKUP(E482,'Trial Balance'!B:B,1,0)</f>
        <v>Guest entertainment</v>
      </c>
    </row>
    <row r="483" spans="1:9">
      <c r="A483" s="1">
        <v>45862</v>
      </c>
      <c r="B483" s="78">
        <v>45869</v>
      </c>
      <c r="C483" t="s">
        <v>262</v>
      </c>
      <c r="D483" t="s">
        <v>3</v>
      </c>
      <c r="E483" t="s">
        <v>865</v>
      </c>
      <c r="F483" s="2">
        <v>25</v>
      </c>
      <c r="G483" t="s">
        <v>710</v>
      </c>
      <c r="I483" t="str">
        <f>VLOOKUP(E483,'Trial Balance'!B:B,1,0)</f>
        <v>Bank Fees and Charges</v>
      </c>
    </row>
    <row r="484" spans="1:9">
      <c r="A484" s="1">
        <v>45862</v>
      </c>
      <c r="B484" s="78">
        <v>45869</v>
      </c>
      <c r="C484" t="s">
        <v>262</v>
      </c>
      <c r="D484" t="s">
        <v>3</v>
      </c>
      <c r="E484" t="s">
        <v>865</v>
      </c>
      <c r="F484" s="2">
        <v>1.8799999952316284</v>
      </c>
      <c r="G484" t="s">
        <v>710</v>
      </c>
      <c r="I484" t="str">
        <f>VLOOKUP(E484,'Trial Balance'!B:B,1,0)</f>
        <v>Bank Fees and Charges</v>
      </c>
    </row>
    <row r="485" spans="1:9">
      <c r="A485" s="1">
        <v>45863</v>
      </c>
      <c r="B485" s="78">
        <v>45869</v>
      </c>
      <c r="C485" t="s">
        <v>264</v>
      </c>
      <c r="D485" t="s">
        <v>15</v>
      </c>
      <c r="E485" t="s">
        <v>1353</v>
      </c>
      <c r="F485" s="2">
        <v>250400</v>
      </c>
      <c r="G485" t="s">
        <v>710</v>
      </c>
      <c r="I485" t="str">
        <f>VLOOKUP(E485,'Trial Balance'!B:B,1,0)</f>
        <v>Guest entertainment</v>
      </c>
    </row>
    <row r="486" spans="1:9">
      <c r="A486" s="1">
        <v>45863</v>
      </c>
      <c r="B486" s="78">
        <v>45869</v>
      </c>
      <c r="C486" t="s">
        <v>264</v>
      </c>
      <c r="D486" t="s">
        <v>3</v>
      </c>
      <c r="E486" t="s">
        <v>865</v>
      </c>
      <c r="F486" s="2">
        <v>50</v>
      </c>
      <c r="G486" t="s">
        <v>710</v>
      </c>
      <c r="I486" t="str">
        <f>VLOOKUP(E486,'Trial Balance'!B:B,1,0)</f>
        <v>Bank Fees and Charges</v>
      </c>
    </row>
    <row r="487" spans="1:9">
      <c r="A487" s="1">
        <v>45863</v>
      </c>
      <c r="B487" s="78">
        <v>45869</v>
      </c>
      <c r="C487" t="s">
        <v>264</v>
      </c>
      <c r="D487" t="s">
        <v>3</v>
      </c>
      <c r="E487" t="s">
        <v>865</v>
      </c>
      <c r="F487" s="2">
        <v>3.75</v>
      </c>
      <c r="G487" t="s">
        <v>710</v>
      </c>
      <c r="I487" t="str">
        <f>VLOOKUP(E487,'Trial Balance'!B:B,1,0)</f>
        <v>Bank Fees and Charges</v>
      </c>
    </row>
    <row r="488" spans="1:9">
      <c r="A488" s="1">
        <v>45863</v>
      </c>
      <c r="B488" s="78">
        <v>45869</v>
      </c>
      <c r="C488" t="s">
        <v>265</v>
      </c>
      <c r="D488" t="s">
        <v>8</v>
      </c>
      <c r="E488" t="s">
        <v>815</v>
      </c>
      <c r="F488" s="2">
        <v>3570659.4399999976</v>
      </c>
      <c r="G488" t="s">
        <v>710</v>
      </c>
      <c r="I488" t="str">
        <f>VLOOKUP(E488,'Trial Balance'!B:B,1,0)</f>
        <v>Salaries and Employee Wages</v>
      </c>
    </row>
    <row r="489" spans="1:9">
      <c r="A489" s="1">
        <v>45863</v>
      </c>
      <c r="B489" s="78">
        <v>45869</v>
      </c>
      <c r="C489" t="s">
        <v>266</v>
      </c>
      <c r="D489" t="s">
        <v>3</v>
      </c>
      <c r="E489" t="s">
        <v>865</v>
      </c>
      <c r="F489" s="2">
        <v>50</v>
      </c>
      <c r="G489" t="s">
        <v>710</v>
      </c>
      <c r="I489" t="str">
        <f>VLOOKUP(E489,'Trial Balance'!B:B,1,0)</f>
        <v>Bank Fees and Charges</v>
      </c>
    </row>
    <row r="490" spans="1:9">
      <c r="A490" s="1">
        <v>45863</v>
      </c>
      <c r="B490" s="78">
        <v>45869</v>
      </c>
      <c r="C490" t="s">
        <v>267</v>
      </c>
      <c r="D490" t="s">
        <v>3</v>
      </c>
      <c r="E490" t="s">
        <v>865</v>
      </c>
      <c r="F490" s="2">
        <v>3.75</v>
      </c>
      <c r="G490" t="s">
        <v>710</v>
      </c>
      <c r="I490" t="str">
        <f>VLOOKUP(E490,'Trial Balance'!B:B,1,0)</f>
        <v>Bank Fees and Charges</v>
      </c>
    </row>
    <row r="491" spans="1:9">
      <c r="A491" s="1">
        <v>45863</v>
      </c>
      <c r="B491" s="78">
        <v>45869</v>
      </c>
      <c r="C491" t="s">
        <v>268</v>
      </c>
      <c r="D491" t="s">
        <v>8</v>
      </c>
      <c r="E491" t="s">
        <v>815</v>
      </c>
      <c r="F491" s="2">
        <v>2070487.4800000042</v>
      </c>
      <c r="G491" t="s">
        <v>710</v>
      </c>
      <c r="I491" t="str">
        <f>VLOOKUP(E491,'Trial Balance'!B:B,1,0)</f>
        <v>Salaries and Employee Wages</v>
      </c>
    </row>
    <row r="492" spans="1:9">
      <c r="A492" s="1">
        <v>45863</v>
      </c>
      <c r="B492" s="78">
        <v>45869</v>
      </c>
      <c r="C492" t="s">
        <v>269</v>
      </c>
      <c r="D492" t="s">
        <v>3</v>
      </c>
      <c r="E492" t="s">
        <v>865</v>
      </c>
      <c r="F492" s="2">
        <v>50</v>
      </c>
      <c r="G492" t="s">
        <v>710</v>
      </c>
      <c r="I492" t="str">
        <f>VLOOKUP(E492,'Trial Balance'!B:B,1,0)</f>
        <v>Bank Fees and Charges</v>
      </c>
    </row>
    <row r="493" spans="1:9">
      <c r="A493" s="1">
        <v>45863</v>
      </c>
      <c r="B493" s="78">
        <v>45869</v>
      </c>
      <c r="C493" t="s">
        <v>270</v>
      </c>
      <c r="D493" t="s">
        <v>3</v>
      </c>
      <c r="E493" t="s">
        <v>865</v>
      </c>
      <c r="F493" s="2">
        <v>3.75</v>
      </c>
      <c r="G493" t="s">
        <v>710</v>
      </c>
      <c r="I493" t="str">
        <f>VLOOKUP(E493,'Trial Balance'!B:B,1,0)</f>
        <v>Bank Fees and Charges</v>
      </c>
    </row>
    <row r="494" spans="1:9">
      <c r="A494" s="1">
        <v>45863</v>
      </c>
      <c r="B494" s="78">
        <v>45869</v>
      </c>
      <c r="C494" t="s">
        <v>271</v>
      </c>
      <c r="D494" t="s">
        <v>8</v>
      </c>
      <c r="E494" t="s">
        <v>815</v>
      </c>
      <c r="F494" s="2">
        <v>476225</v>
      </c>
      <c r="G494" t="s">
        <v>710</v>
      </c>
      <c r="I494" t="str">
        <f>VLOOKUP(E494,'Trial Balance'!B:B,1,0)</f>
        <v>Salaries and Employee Wages</v>
      </c>
    </row>
    <row r="495" spans="1:9">
      <c r="A495" s="1">
        <v>45863</v>
      </c>
      <c r="B495" s="78">
        <v>45869</v>
      </c>
      <c r="C495" t="s">
        <v>272</v>
      </c>
      <c r="D495" t="s">
        <v>3</v>
      </c>
      <c r="E495" t="s">
        <v>865</v>
      </c>
      <c r="F495" s="2">
        <v>50</v>
      </c>
      <c r="G495" t="s">
        <v>710</v>
      </c>
      <c r="I495" t="str">
        <f>VLOOKUP(E495,'Trial Balance'!B:B,1,0)</f>
        <v>Bank Fees and Charges</v>
      </c>
    </row>
    <row r="496" spans="1:9">
      <c r="A496" s="1">
        <v>45863</v>
      </c>
      <c r="B496" s="78">
        <v>45869</v>
      </c>
      <c r="C496" t="s">
        <v>273</v>
      </c>
      <c r="D496" t="s">
        <v>3</v>
      </c>
      <c r="E496" t="s">
        <v>865</v>
      </c>
      <c r="F496" s="2">
        <v>3.75</v>
      </c>
      <c r="G496" t="s">
        <v>710</v>
      </c>
      <c r="I496" t="str">
        <f>VLOOKUP(E496,'Trial Balance'!B:B,1,0)</f>
        <v>Bank Fees and Charges</v>
      </c>
    </row>
    <row r="497" spans="1:9">
      <c r="A497" s="1">
        <v>45863</v>
      </c>
      <c r="B497" s="78">
        <v>45869</v>
      </c>
      <c r="C497" t="s">
        <v>274</v>
      </c>
      <c r="D497" t="s">
        <v>8</v>
      </c>
      <c r="E497" t="s">
        <v>815</v>
      </c>
      <c r="F497" s="2">
        <v>284491.57000000775</v>
      </c>
      <c r="G497" t="s">
        <v>710</v>
      </c>
      <c r="I497" t="str">
        <f>VLOOKUP(E497,'Trial Balance'!B:B,1,0)</f>
        <v>Salaries and Employee Wages</v>
      </c>
    </row>
    <row r="498" spans="1:9">
      <c r="A498" s="1">
        <v>45863</v>
      </c>
      <c r="B498" s="78">
        <v>45869</v>
      </c>
      <c r="C498" t="s">
        <v>275</v>
      </c>
      <c r="D498" t="s">
        <v>3</v>
      </c>
      <c r="E498" t="s">
        <v>865</v>
      </c>
      <c r="F498" s="2">
        <v>50</v>
      </c>
      <c r="G498" t="s">
        <v>710</v>
      </c>
      <c r="I498" t="str">
        <f>VLOOKUP(E498,'Trial Balance'!B:B,1,0)</f>
        <v>Bank Fees and Charges</v>
      </c>
    </row>
    <row r="499" spans="1:9">
      <c r="A499" s="1">
        <v>45863</v>
      </c>
      <c r="B499" s="78">
        <v>45869</v>
      </c>
      <c r="C499" t="s">
        <v>276</v>
      </c>
      <c r="D499" t="s">
        <v>3</v>
      </c>
      <c r="E499" t="s">
        <v>865</v>
      </c>
      <c r="F499" s="2">
        <v>3.75</v>
      </c>
      <c r="G499" t="s">
        <v>710</v>
      </c>
      <c r="I499" t="str">
        <f>VLOOKUP(E499,'Trial Balance'!B:B,1,0)</f>
        <v>Bank Fees and Charges</v>
      </c>
    </row>
    <row r="500" spans="1:9">
      <c r="A500" s="1">
        <v>45863</v>
      </c>
      <c r="B500" s="78">
        <v>45869</v>
      </c>
      <c r="C500" t="s">
        <v>277</v>
      </c>
      <c r="D500" t="s">
        <v>8</v>
      </c>
      <c r="E500" t="s">
        <v>815</v>
      </c>
      <c r="F500" s="2">
        <v>284491.56999999285</v>
      </c>
      <c r="G500" t="s">
        <v>710</v>
      </c>
      <c r="I500" t="str">
        <f>VLOOKUP(E500,'Trial Balance'!B:B,1,0)</f>
        <v>Salaries and Employee Wages</v>
      </c>
    </row>
    <row r="501" spans="1:9">
      <c r="A501" s="1">
        <v>45863</v>
      </c>
      <c r="B501" s="78">
        <v>45869</v>
      </c>
      <c r="C501" t="s">
        <v>278</v>
      </c>
      <c r="D501" t="s">
        <v>3</v>
      </c>
      <c r="E501" t="s">
        <v>865</v>
      </c>
      <c r="F501" s="2">
        <v>50</v>
      </c>
      <c r="G501" t="s">
        <v>710</v>
      </c>
      <c r="I501" t="str">
        <f>VLOOKUP(E501,'Trial Balance'!B:B,1,0)</f>
        <v>Bank Fees and Charges</v>
      </c>
    </row>
    <row r="502" spans="1:9">
      <c r="A502" s="1">
        <v>45863</v>
      </c>
      <c r="B502" s="78">
        <v>45869</v>
      </c>
      <c r="C502" t="s">
        <v>279</v>
      </c>
      <c r="D502" t="s">
        <v>3</v>
      </c>
      <c r="E502" t="s">
        <v>865</v>
      </c>
      <c r="F502" s="2">
        <v>3.75</v>
      </c>
      <c r="G502" t="s">
        <v>710</v>
      </c>
      <c r="I502" t="str">
        <f>VLOOKUP(E502,'Trial Balance'!B:B,1,0)</f>
        <v>Bank Fees and Charges</v>
      </c>
    </row>
    <row r="503" spans="1:9">
      <c r="A503" s="1">
        <v>45863</v>
      </c>
      <c r="B503" s="78">
        <v>45869</v>
      </c>
      <c r="C503" t="s">
        <v>280</v>
      </c>
      <c r="D503" t="s">
        <v>8</v>
      </c>
      <c r="E503" t="s">
        <v>815</v>
      </c>
      <c r="F503" s="2">
        <v>284491.57000000775</v>
      </c>
      <c r="G503" t="s">
        <v>710</v>
      </c>
      <c r="I503" t="str">
        <f>VLOOKUP(E503,'Trial Balance'!B:B,1,0)</f>
        <v>Salaries and Employee Wages</v>
      </c>
    </row>
    <row r="504" spans="1:9">
      <c r="A504" s="1">
        <v>45863</v>
      </c>
      <c r="B504" s="78">
        <v>45869</v>
      </c>
      <c r="C504" t="s">
        <v>281</v>
      </c>
      <c r="D504" t="s">
        <v>3</v>
      </c>
      <c r="E504" t="s">
        <v>865</v>
      </c>
      <c r="F504" s="2">
        <v>50</v>
      </c>
      <c r="G504" t="s">
        <v>710</v>
      </c>
      <c r="I504" t="str">
        <f>VLOOKUP(E504,'Trial Balance'!B:B,1,0)</f>
        <v>Bank Fees and Charges</v>
      </c>
    </row>
    <row r="505" spans="1:9">
      <c r="A505" s="1">
        <v>45863</v>
      </c>
      <c r="B505" s="78">
        <v>45869</v>
      </c>
      <c r="C505" t="s">
        <v>282</v>
      </c>
      <c r="D505" t="s">
        <v>3</v>
      </c>
      <c r="E505" t="s">
        <v>865</v>
      </c>
      <c r="F505" s="2">
        <v>3.75</v>
      </c>
      <c r="G505" t="s">
        <v>710</v>
      </c>
      <c r="I505" t="str">
        <f>VLOOKUP(E505,'Trial Balance'!B:B,1,0)</f>
        <v>Bank Fees and Charges</v>
      </c>
    </row>
    <row r="506" spans="1:9">
      <c r="A506" s="1">
        <v>45863</v>
      </c>
      <c r="B506" s="78">
        <v>45869</v>
      </c>
      <c r="C506" t="s">
        <v>283</v>
      </c>
      <c r="D506" t="s">
        <v>8</v>
      </c>
      <c r="E506" t="s">
        <v>815</v>
      </c>
      <c r="F506" s="2">
        <v>284491.56999999285</v>
      </c>
      <c r="G506" t="s">
        <v>710</v>
      </c>
      <c r="I506" t="str">
        <f>VLOOKUP(E506,'Trial Balance'!B:B,1,0)</f>
        <v>Salaries and Employee Wages</v>
      </c>
    </row>
    <row r="507" spans="1:9">
      <c r="A507" s="1">
        <v>45863</v>
      </c>
      <c r="B507" s="78">
        <v>45869</v>
      </c>
      <c r="C507" t="s">
        <v>284</v>
      </c>
      <c r="D507" t="s">
        <v>3</v>
      </c>
      <c r="E507" t="s">
        <v>865</v>
      </c>
      <c r="F507" s="2">
        <v>50</v>
      </c>
      <c r="G507" t="s">
        <v>710</v>
      </c>
      <c r="I507" t="str">
        <f>VLOOKUP(E507,'Trial Balance'!B:B,1,0)</f>
        <v>Bank Fees and Charges</v>
      </c>
    </row>
    <row r="508" spans="1:9">
      <c r="A508" s="1">
        <v>45863</v>
      </c>
      <c r="B508" s="78">
        <v>45869</v>
      </c>
      <c r="C508" t="s">
        <v>285</v>
      </c>
      <c r="D508" t="s">
        <v>3</v>
      </c>
      <c r="E508" t="s">
        <v>865</v>
      </c>
      <c r="F508" s="2">
        <v>3.75</v>
      </c>
      <c r="G508" t="s">
        <v>710</v>
      </c>
      <c r="I508" t="str">
        <f>VLOOKUP(E508,'Trial Balance'!B:B,1,0)</f>
        <v>Bank Fees and Charges</v>
      </c>
    </row>
    <row r="509" spans="1:9">
      <c r="A509" s="1">
        <v>45863</v>
      </c>
      <c r="B509" s="78">
        <v>45869</v>
      </c>
      <c r="C509" t="s">
        <v>286</v>
      </c>
      <c r="D509" t="s">
        <v>8</v>
      </c>
      <c r="E509" t="s">
        <v>815</v>
      </c>
      <c r="F509" s="2">
        <v>284491.57000000775</v>
      </c>
      <c r="G509" t="s">
        <v>710</v>
      </c>
      <c r="I509" t="str">
        <f>VLOOKUP(E509,'Trial Balance'!B:B,1,0)</f>
        <v>Salaries and Employee Wages</v>
      </c>
    </row>
    <row r="510" spans="1:9">
      <c r="A510" s="1">
        <v>45863</v>
      </c>
      <c r="B510" s="78">
        <v>45869</v>
      </c>
      <c r="C510" t="s">
        <v>287</v>
      </c>
      <c r="D510" t="s">
        <v>3</v>
      </c>
      <c r="E510" t="s">
        <v>865</v>
      </c>
      <c r="F510" s="2">
        <v>50</v>
      </c>
      <c r="G510" t="s">
        <v>710</v>
      </c>
      <c r="I510" t="str">
        <f>VLOOKUP(E510,'Trial Balance'!B:B,1,0)</f>
        <v>Bank Fees and Charges</v>
      </c>
    </row>
    <row r="511" spans="1:9">
      <c r="A511" s="1">
        <v>45863</v>
      </c>
      <c r="B511" s="78">
        <v>45869</v>
      </c>
      <c r="C511" t="s">
        <v>288</v>
      </c>
      <c r="D511" t="s">
        <v>3</v>
      </c>
      <c r="E511" t="s">
        <v>865</v>
      </c>
      <c r="F511" s="2">
        <v>3.75</v>
      </c>
      <c r="G511" t="s">
        <v>710</v>
      </c>
      <c r="I511" t="str">
        <f>VLOOKUP(E511,'Trial Balance'!B:B,1,0)</f>
        <v>Bank Fees and Charges</v>
      </c>
    </row>
    <row r="512" spans="1:9">
      <c r="A512" s="1">
        <v>45863</v>
      </c>
      <c r="B512" s="78">
        <v>45869</v>
      </c>
      <c r="C512" t="s">
        <v>289</v>
      </c>
      <c r="D512" t="s">
        <v>8</v>
      </c>
      <c r="E512" t="s">
        <v>815</v>
      </c>
      <c r="F512" s="2">
        <v>284491.56999999285</v>
      </c>
      <c r="G512" t="s">
        <v>710</v>
      </c>
      <c r="I512" t="str">
        <f>VLOOKUP(E512,'Trial Balance'!B:B,1,0)</f>
        <v>Salaries and Employee Wages</v>
      </c>
    </row>
    <row r="513" spans="1:9">
      <c r="A513" s="1">
        <v>45863</v>
      </c>
      <c r="B513" s="78">
        <v>45869</v>
      </c>
      <c r="C513" t="s">
        <v>290</v>
      </c>
      <c r="D513" t="s">
        <v>3</v>
      </c>
      <c r="E513" t="s">
        <v>865</v>
      </c>
      <c r="F513" s="2">
        <v>50</v>
      </c>
      <c r="G513" t="s">
        <v>710</v>
      </c>
      <c r="I513" t="str">
        <f>VLOOKUP(E513,'Trial Balance'!B:B,1,0)</f>
        <v>Bank Fees and Charges</v>
      </c>
    </row>
    <row r="514" spans="1:9">
      <c r="A514" s="1">
        <v>45863</v>
      </c>
      <c r="B514" s="78">
        <v>45869</v>
      </c>
      <c r="C514" t="s">
        <v>291</v>
      </c>
      <c r="D514" t="s">
        <v>3</v>
      </c>
      <c r="E514" t="s">
        <v>865</v>
      </c>
      <c r="F514" s="2">
        <v>3.75</v>
      </c>
      <c r="G514" t="s">
        <v>710</v>
      </c>
      <c r="I514" t="str">
        <f>VLOOKUP(E514,'Trial Balance'!B:B,1,0)</f>
        <v>Bank Fees and Charges</v>
      </c>
    </row>
    <row r="515" spans="1:9">
      <c r="A515" s="1">
        <v>45863</v>
      </c>
      <c r="B515" s="78">
        <v>45869</v>
      </c>
      <c r="C515" t="s">
        <v>292</v>
      </c>
      <c r="D515" t="s">
        <v>8</v>
      </c>
      <c r="E515" t="s">
        <v>815</v>
      </c>
      <c r="F515" s="2">
        <v>284491.57000000775</v>
      </c>
      <c r="G515" t="s">
        <v>710</v>
      </c>
      <c r="I515" t="str">
        <f>VLOOKUP(E515,'Trial Balance'!B:B,1,0)</f>
        <v>Salaries and Employee Wages</v>
      </c>
    </row>
    <row r="516" spans="1:9">
      <c r="A516" s="1">
        <v>45863</v>
      </c>
      <c r="B516" s="78">
        <v>45869</v>
      </c>
      <c r="C516" t="s">
        <v>293</v>
      </c>
      <c r="D516" t="s">
        <v>3</v>
      </c>
      <c r="E516" t="s">
        <v>865</v>
      </c>
      <c r="F516" s="2">
        <v>50</v>
      </c>
      <c r="G516" t="s">
        <v>710</v>
      </c>
      <c r="I516" t="str">
        <f>VLOOKUP(E516,'Trial Balance'!B:B,1,0)</f>
        <v>Bank Fees and Charges</v>
      </c>
    </row>
    <row r="517" spans="1:9">
      <c r="A517" s="1">
        <v>45863</v>
      </c>
      <c r="B517" s="78">
        <v>45869</v>
      </c>
      <c r="C517" t="s">
        <v>294</v>
      </c>
      <c r="D517" t="s">
        <v>3</v>
      </c>
      <c r="E517" t="s">
        <v>865</v>
      </c>
      <c r="F517" s="2">
        <v>3.75</v>
      </c>
      <c r="G517" t="s">
        <v>710</v>
      </c>
      <c r="I517" t="str">
        <f>VLOOKUP(E517,'Trial Balance'!B:B,1,0)</f>
        <v>Bank Fees and Charges</v>
      </c>
    </row>
    <row r="518" spans="1:9">
      <c r="A518" s="1">
        <v>45863</v>
      </c>
      <c r="B518" s="78">
        <v>45869</v>
      </c>
      <c r="C518" t="s">
        <v>295</v>
      </c>
      <c r="D518" t="s">
        <v>8</v>
      </c>
      <c r="E518" t="s">
        <v>815</v>
      </c>
      <c r="F518" s="2">
        <v>284491.56999999285</v>
      </c>
      <c r="G518" t="s">
        <v>710</v>
      </c>
      <c r="I518" t="str">
        <f>VLOOKUP(E518,'Trial Balance'!B:B,1,0)</f>
        <v>Salaries and Employee Wages</v>
      </c>
    </row>
    <row r="519" spans="1:9">
      <c r="A519" s="1">
        <v>45863</v>
      </c>
      <c r="B519" s="78">
        <v>45869</v>
      </c>
      <c r="C519" t="s">
        <v>296</v>
      </c>
      <c r="D519" t="s">
        <v>3</v>
      </c>
      <c r="E519" t="s">
        <v>865</v>
      </c>
      <c r="F519" s="2">
        <v>50</v>
      </c>
      <c r="G519" t="s">
        <v>710</v>
      </c>
      <c r="I519" t="str">
        <f>VLOOKUP(E519,'Trial Balance'!B:B,1,0)</f>
        <v>Bank Fees and Charges</v>
      </c>
    </row>
    <row r="520" spans="1:9">
      <c r="A520" s="1">
        <v>45863</v>
      </c>
      <c r="B520" s="78">
        <v>45869</v>
      </c>
      <c r="C520" t="s">
        <v>297</v>
      </c>
      <c r="D520" t="s">
        <v>3</v>
      </c>
      <c r="E520" t="s">
        <v>865</v>
      </c>
      <c r="F520" s="2">
        <v>3.75</v>
      </c>
      <c r="G520" t="s">
        <v>710</v>
      </c>
      <c r="I520" t="str">
        <f>VLOOKUP(E520,'Trial Balance'!B:B,1,0)</f>
        <v>Bank Fees and Charges</v>
      </c>
    </row>
    <row r="521" spans="1:9">
      <c r="A521" s="1">
        <v>45863</v>
      </c>
      <c r="B521" s="78">
        <v>45869</v>
      </c>
      <c r="C521" t="s">
        <v>298</v>
      </c>
      <c r="D521" t="s">
        <v>8</v>
      </c>
      <c r="E521" t="s">
        <v>815</v>
      </c>
      <c r="F521" s="2">
        <v>284491.57000000775</v>
      </c>
      <c r="G521" t="s">
        <v>710</v>
      </c>
      <c r="I521" t="str">
        <f>VLOOKUP(E521,'Trial Balance'!B:B,1,0)</f>
        <v>Salaries and Employee Wages</v>
      </c>
    </row>
    <row r="522" spans="1:9">
      <c r="A522" s="1">
        <v>45863</v>
      </c>
      <c r="B522" s="78">
        <v>45869</v>
      </c>
      <c r="C522" t="s">
        <v>299</v>
      </c>
      <c r="D522" t="s">
        <v>3</v>
      </c>
      <c r="E522" t="s">
        <v>865</v>
      </c>
      <c r="F522" s="2">
        <v>50</v>
      </c>
      <c r="G522" t="s">
        <v>710</v>
      </c>
      <c r="I522" t="str">
        <f>VLOOKUP(E522,'Trial Balance'!B:B,1,0)</f>
        <v>Bank Fees and Charges</v>
      </c>
    </row>
    <row r="523" spans="1:9">
      <c r="A523" s="1">
        <v>45863</v>
      </c>
      <c r="B523" s="78">
        <v>45869</v>
      </c>
      <c r="C523" t="s">
        <v>300</v>
      </c>
      <c r="D523" t="s">
        <v>3</v>
      </c>
      <c r="E523" t="s">
        <v>865</v>
      </c>
      <c r="F523" s="2">
        <v>3.75</v>
      </c>
      <c r="G523" t="s">
        <v>710</v>
      </c>
      <c r="I523" t="str">
        <f>VLOOKUP(E523,'Trial Balance'!B:B,1,0)</f>
        <v>Bank Fees and Charges</v>
      </c>
    </row>
    <row r="524" spans="1:9">
      <c r="A524" s="1">
        <v>45863</v>
      </c>
      <c r="B524" s="78">
        <v>45869</v>
      </c>
      <c r="C524" t="s">
        <v>301</v>
      </c>
      <c r="D524" t="s">
        <v>8</v>
      </c>
      <c r="E524" t="s">
        <v>815</v>
      </c>
      <c r="F524" s="2">
        <v>152194.92999999225</v>
      </c>
      <c r="G524" t="s">
        <v>710</v>
      </c>
      <c r="I524" t="str">
        <f>VLOOKUP(E524,'Trial Balance'!B:B,1,0)</f>
        <v>Salaries and Employee Wages</v>
      </c>
    </row>
    <row r="525" spans="1:9">
      <c r="A525" s="1">
        <v>45863</v>
      </c>
      <c r="B525" s="78">
        <v>45869</v>
      </c>
      <c r="C525" t="s">
        <v>302</v>
      </c>
      <c r="D525" t="s">
        <v>3</v>
      </c>
      <c r="E525" t="s">
        <v>865</v>
      </c>
      <c r="F525" s="2">
        <v>50</v>
      </c>
      <c r="G525" t="s">
        <v>710</v>
      </c>
      <c r="I525" t="str">
        <f>VLOOKUP(E525,'Trial Balance'!B:B,1,0)</f>
        <v>Bank Fees and Charges</v>
      </c>
    </row>
    <row r="526" spans="1:9">
      <c r="A526" s="1">
        <v>45863</v>
      </c>
      <c r="B526" s="78">
        <v>45869</v>
      </c>
      <c r="C526" t="s">
        <v>303</v>
      </c>
      <c r="D526" t="s">
        <v>3</v>
      </c>
      <c r="E526" t="s">
        <v>865</v>
      </c>
      <c r="F526" s="2">
        <v>3.75</v>
      </c>
      <c r="G526" t="s">
        <v>710</v>
      </c>
      <c r="I526" t="str">
        <f>VLOOKUP(E526,'Trial Balance'!B:B,1,0)</f>
        <v>Bank Fees and Charges</v>
      </c>
    </row>
    <row r="527" spans="1:9">
      <c r="A527" s="1">
        <v>45863</v>
      </c>
      <c r="B527" s="78">
        <v>45869</v>
      </c>
      <c r="C527" t="s">
        <v>304</v>
      </c>
      <c r="D527" t="s">
        <v>8</v>
      </c>
      <c r="E527" t="s">
        <v>815</v>
      </c>
      <c r="F527" s="2">
        <v>284491.57000000775</v>
      </c>
      <c r="G527" t="s">
        <v>710</v>
      </c>
      <c r="I527" t="str">
        <f>VLOOKUP(E527,'Trial Balance'!B:B,1,0)</f>
        <v>Salaries and Employee Wages</v>
      </c>
    </row>
    <row r="528" spans="1:9">
      <c r="A528" s="1">
        <v>45863</v>
      </c>
      <c r="B528" s="78">
        <v>45869</v>
      </c>
      <c r="C528" t="s">
        <v>305</v>
      </c>
      <c r="D528" t="s">
        <v>3</v>
      </c>
      <c r="E528" t="s">
        <v>865</v>
      </c>
      <c r="F528" s="2">
        <v>50</v>
      </c>
      <c r="G528" t="s">
        <v>710</v>
      </c>
      <c r="I528" t="str">
        <f>VLOOKUP(E528,'Trial Balance'!B:B,1,0)</f>
        <v>Bank Fees and Charges</v>
      </c>
    </row>
    <row r="529" spans="1:9">
      <c r="A529" s="1">
        <v>45863</v>
      </c>
      <c r="B529" s="78">
        <v>45869</v>
      </c>
      <c r="C529" t="s">
        <v>306</v>
      </c>
      <c r="D529" t="s">
        <v>3</v>
      </c>
      <c r="E529" t="s">
        <v>865</v>
      </c>
      <c r="F529" s="2">
        <v>3.75</v>
      </c>
      <c r="G529" t="s">
        <v>710</v>
      </c>
      <c r="I529" t="str">
        <f>VLOOKUP(E529,'Trial Balance'!B:B,1,0)</f>
        <v>Bank Fees and Charges</v>
      </c>
    </row>
    <row r="530" spans="1:9">
      <c r="A530" s="1">
        <v>45863</v>
      </c>
      <c r="B530" s="78">
        <v>45869</v>
      </c>
      <c r="C530" t="s">
        <v>307</v>
      </c>
      <c r="D530" t="s">
        <v>8</v>
      </c>
      <c r="E530" t="s">
        <v>815</v>
      </c>
      <c r="F530" s="2">
        <v>152194.92999999225</v>
      </c>
      <c r="G530" t="s">
        <v>710</v>
      </c>
      <c r="I530" t="str">
        <f>VLOOKUP(E530,'Trial Balance'!B:B,1,0)</f>
        <v>Salaries and Employee Wages</v>
      </c>
    </row>
    <row r="531" spans="1:9">
      <c r="A531" s="1">
        <v>45863</v>
      </c>
      <c r="B531" s="78">
        <v>45869</v>
      </c>
      <c r="C531" t="s">
        <v>308</v>
      </c>
      <c r="D531" t="s">
        <v>3</v>
      </c>
      <c r="E531" t="s">
        <v>865</v>
      </c>
      <c r="F531" s="2">
        <v>50</v>
      </c>
      <c r="G531" t="s">
        <v>710</v>
      </c>
      <c r="I531" t="str">
        <f>VLOOKUP(E531,'Trial Balance'!B:B,1,0)</f>
        <v>Bank Fees and Charges</v>
      </c>
    </row>
    <row r="532" spans="1:9">
      <c r="A532" s="1">
        <v>45863</v>
      </c>
      <c r="B532" s="78">
        <v>45869</v>
      </c>
      <c r="C532" t="s">
        <v>309</v>
      </c>
      <c r="D532" t="s">
        <v>3</v>
      </c>
      <c r="E532" t="s">
        <v>865</v>
      </c>
      <c r="F532" s="2">
        <v>3.75</v>
      </c>
      <c r="G532" t="s">
        <v>710</v>
      </c>
      <c r="I532" t="str">
        <f>VLOOKUP(E532,'Trial Balance'!B:B,1,0)</f>
        <v>Bank Fees and Charges</v>
      </c>
    </row>
    <row r="533" spans="1:9">
      <c r="A533" s="1">
        <v>45863</v>
      </c>
      <c r="B533" s="78">
        <v>45869</v>
      </c>
      <c r="C533" t="s">
        <v>310</v>
      </c>
      <c r="D533" t="s">
        <v>8</v>
      </c>
      <c r="E533" t="s">
        <v>815</v>
      </c>
      <c r="F533" s="2">
        <v>75000</v>
      </c>
      <c r="G533" t="s">
        <v>710</v>
      </c>
      <c r="I533" t="str">
        <f>VLOOKUP(E533,'Trial Balance'!B:B,1,0)</f>
        <v>Salaries and Employee Wages</v>
      </c>
    </row>
    <row r="534" spans="1:9">
      <c r="A534" s="1">
        <v>45863</v>
      </c>
      <c r="B534" s="78">
        <v>45869</v>
      </c>
      <c r="C534" t="s">
        <v>311</v>
      </c>
      <c r="D534" t="s">
        <v>3</v>
      </c>
      <c r="E534" t="s">
        <v>865</v>
      </c>
      <c r="F534" s="2">
        <v>50</v>
      </c>
      <c r="G534" t="s">
        <v>710</v>
      </c>
      <c r="I534" t="str">
        <f>VLOOKUP(E534,'Trial Balance'!B:B,1,0)</f>
        <v>Bank Fees and Charges</v>
      </c>
    </row>
    <row r="535" spans="1:9">
      <c r="A535" s="1">
        <v>45863</v>
      </c>
      <c r="B535" s="78">
        <v>45869</v>
      </c>
      <c r="C535" t="s">
        <v>312</v>
      </c>
      <c r="D535" t="s">
        <v>3</v>
      </c>
      <c r="E535" t="s">
        <v>865</v>
      </c>
      <c r="F535" s="2">
        <v>3.75</v>
      </c>
      <c r="G535" t="s">
        <v>710</v>
      </c>
      <c r="I535" t="str">
        <f>VLOOKUP(E535,'Trial Balance'!B:B,1,0)</f>
        <v>Bank Fees and Charges</v>
      </c>
    </row>
    <row r="536" spans="1:9">
      <c r="A536" s="1">
        <v>45863</v>
      </c>
      <c r="B536" s="78">
        <v>45869</v>
      </c>
      <c r="C536" t="s">
        <v>313</v>
      </c>
      <c r="D536" t="s">
        <v>8</v>
      </c>
      <c r="E536" t="s">
        <v>815</v>
      </c>
      <c r="F536" s="2">
        <v>75000</v>
      </c>
      <c r="G536" t="s">
        <v>710</v>
      </c>
      <c r="I536" t="str">
        <f>VLOOKUP(E536,'Trial Balance'!B:B,1,0)</f>
        <v>Salaries and Employee Wages</v>
      </c>
    </row>
    <row r="537" spans="1:9">
      <c r="A537" s="1">
        <v>45863</v>
      </c>
      <c r="B537" s="78">
        <v>45869</v>
      </c>
      <c r="C537" t="s">
        <v>314</v>
      </c>
      <c r="D537" t="s">
        <v>3</v>
      </c>
      <c r="E537" t="s">
        <v>865</v>
      </c>
      <c r="F537" s="2">
        <v>50</v>
      </c>
      <c r="G537" t="s">
        <v>710</v>
      </c>
      <c r="I537" t="str">
        <f>VLOOKUP(E537,'Trial Balance'!B:B,1,0)</f>
        <v>Bank Fees and Charges</v>
      </c>
    </row>
    <row r="538" spans="1:9">
      <c r="A538" s="1">
        <v>45863</v>
      </c>
      <c r="B538" s="78">
        <v>45869</v>
      </c>
      <c r="C538" t="s">
        <v>315</v>
      </c>
      <c r="D538" t="s">
        <v>3</v>
      </c>
      <c r="E538" t="s">
        <v>865</v>
      </c>
      <c r="F538" s="2">
        <v>3.75</v>
      </c>
      <c r="G538" t="s">
        <v>710</v>
      </c>
      <c r="I538" t="str">
        <f>VLOOKUP(E538,'Trial Balance'!B:B,1,0)</f>
        <v>Bank Fees and Charges</v>
      </c>
    </row>
    <row r="539" spans="1:9">
      <c r="A539" s="1">
        <v>45863</v>
      </c>
      <c r="B539" s="78">
        <v>45869</v>
      </c>
      <c r="C539" t="s">
        <v>316</v>
      </c>
      <c r="D539" t="s">
        <v>8</v>
      </c>
      <c r="E539" t="s">
        <v>815</v>
      </c>
      <c r="F539" s="2">
        <v>75000</v>
      </c>
      <c r="G539" t="s">
        <v>710</v>
      </c>
      <c r="I539" t="str">
        <f>VLOOKUP(E539,'Trial Balance'!B:B,1,0)</f>
        <v>Salaries and Employee Wages</v>
      </c>
    </row>
    <row r="540" spans="1:9">
      <c r="A540" s="1">
        <v>45863</v>
      </c>
      <c r="B540" s="78">
        <v>45869</v>
      </c>
      <c r="C540" t="s">
        <v>317</v>
      </c>
      <c r="D540" t="s">
        <v>3</v>
      </c>
      <c r="E540" t="s">
        <v>865</v>
      </c>
      <c r="F540" s="2">
        <v>50</v>
      </c>
      <c r="G540" t="s">
        <v>710</v>
      </c>
      <c r="I540" t="str">
        <f>VLOOKUP(E540,'Trial Balance'!B:B,1,0)</f>
        <v>Bank Fees and Charges</v>
      </c>
    </row>
    <row r="541" spans="1:9">
      <c r="A541" s="1">
        <v>45863</v>
      </c>
      <c r="B541" s="78">
        <v>45869</v>
      </c>
      <c r="C541" t="s">
        <v>318</v>
      </c>
      <c r="D541" t="s">
        <v>3</v>
      </c>
      <c r="E541" t="s">
        <v>865</v>
      </c>
      <c r="F541" s="2">
        <v>3.75</v>
      </c>
      <c r="G541" t="s">
        <v>710</v>
      </c>
      <c r="I541" t="str">
        <f>VLOOKUP(E541,'Trial Balance'!B:B,1,0)</f>
        <v>Bank Fees and Charges</v>
      </c>
    </row>
    <row r="542" spans="1:9">
      <c r="A542" s="1">
        <v>45863</v>
      </c>
      <c r="B542" s="78">
        <v>45869</v>
      </c>
      <c r="C542" t="s">
        <v>319</v>
      </c>
      <c r="D542" t="s">
        <v>8</v>
      </c>
      <c r="E542" t="s">
        <v>815</v>
      </c>
      <c r="F542" s="2">
        <v>66000</v>
      </c>
      <c r="G542" t="s">
        <v>710</v>
      </c>
      <c r="I542" t="str">
        <f>VLOOKUP(E542,'Trial Balance'!B:B,1,0)</f>
        <v>Salaries and Employee Wages</v>
      </c>
    </row>
    <row r="543" spans="1:9">
      <c r="A543" s="1">
        <v>45863</v>
      </c>
      <c r="B543" s="78">
        <v>45869</v>
      </c>
      <c r="C543" t="s">
        <v>320</v>
      </c>
      <c r="D543" t="s">
        <v>3</v>
      </c>
      <c r="E543" t="s">
        <v>865</v>
      </c>
      <c r="F543" s="2">
        <v>50</v>
      </c>
      <c r="G543" t="s">
        <v>710</v>
      </c>
      <c r="I543" t="str">
        <f>VLOOKUP(E543,'Trial Balance'!B:B,1,0)</f>
        <v>Bank Fees and Charges</v>
      </c>
    </row>
    <row r="544" spans="1:9">
      <c r="A544" s="1">
        <v>45863</v>
      </c>
      <c r="B544" s="78">
        <v>45869</v>
      </c>
      <c r="C544" t="s">
        <v>321</v>
      </c>
      <c r="D544" t="s">
        <v>3</v>
      </c>
      <c r="E544" t="s">
        <v>865</v>
      </c>
      <c r="F544" s="2">
        <v>3.75</v>
      </c>
      <c r="G544" t="s">
        <v>710</v>
      </c>
      <c r="I544" t="str">
        <f>VLOOKUP(E544,'Trial Balance'!B:B,1,0)</f>
        <v>Bank Fees and Charges</v>
      </c>
    </row>
    <row r="545" spans="1:9">
      <c r="A545" s="1">
        <v>45863</v>
      </c>
      <c r="B545" s="78">
        <v>45869</v>
      </c>
      <c r="C545" t="s">
        <v>322</v>
      </c>
      <c r="D545" t="s">
        <v>8</v>
      </c>
      <c r="E545" t="s">
        <v>815</v>
      </c>
      <c r="F545" s="2">
        <v>66000</v>
      </c>
      <c r="G545" t="s">
        <v>710</v>
      </c>
      <c r="I545" t="str">
        <f>VLOOKUP(E545,'Trial Balance'!B:B,1,0)</f>
        <v>Salaries and Employee Wages</v>
      </c>
    </row>
    <row r="546" spans="1:9">
      <c r="A546" s="1">
        <v>45863</v>
      </c>
      <c r="B546" s="78">
        <v>45869</v>
      </c>
      <c r="C546" t="s">
        <v>323</v>
      </c>
      <c r="D546" t="s">
        <v>3</v>
      </c>
      <c r="E546" t="s">
        <v>865</v>
      </c>
      <c r="F546" s="2">
        <v>50</v>
      </c>
      <c r="G546" t="s">
        <v>710</v>
      </c>
      <c r="I546" t="str">
        <f>VLOOKUP(E546,'Trial Balance'!B:B,1,0)</f>
        <v>Bank Fees and Charges</v>
      </c>
    </row>
    <row r="547" spans="1:9">
      <c r="A547" s="1">
        <v>45863</v>
      </c>
      <c r="B547" s="78">
        <v>45869</v>
      </c>
      <c r="C547" t="s">
        <v>324</v>
      </c>
      <c r="D547" t="s">
        <v>3</v>
      </c>
      <c r="E547" t="s">
        <v>865</v>
      </c>
      <c r="F547" s="2">
        <v>3.75</v>
      </c>
      <c r="G547" t="s">
        <v>710</v>
      </c>
      <c r="I547" t="str">
        <f>VLOOKUP(E547,'Trial Balance'!B:B,1,0)</f>
        <v>Bank Fees and Charges</v>
      </c>
    </row>
    <row r="548" spans="1:9">
      <c r="A548" s="1">
        <v>45863</v>
      </c>
      <c r="B548" s="78">
        <v>45869</v>
      </c>
      <c r="C548" t="s">
        <v>325</v>
      </c>
      <c r="D548" t="s">
        <v>8</v>
      </c>
      <c r="E548" t="s">
        <v>815</v>
      </c>
      <c r="F548" s="2">
        <v>66000</v>
      </c>
      <c r="G548" t="s">
        <v>710</v>
      </c>
      <c r="I548" t="str">
        <f>VLOOKUP(E548,'Trial Balance'!B:B,1,0)</f>
        <v>Salaries and Employee Wages</v>
      </c>
    </row>
    <row r="549" spans="1:9">
      <c r="A549" s="1">
        <v>45863</v>
      </c>
      <c r="B549" s="78">
        <v>45869</v>
      </c>
      <c r="C549" t="s">
        <v>326</v>
      </c>
      <c r="D549" t="s">
        <v>3</v>
      </c>
      <c r="E549" t="s">
        <v>865</v>
      </c>
      <c r="F549" s="2">
        <v>50</v>
      </c>
      <c r="G549" t="s">
        <v>710</v>
      </c>
      <c r="I549" t="str">
        <f>VLOOKUP(E549,'Trial Balance'!B:B,1,0)</f>
        <v>Bank Fees and Charges</v>
      </c>
    </row>
    <row r="550" spans="1:9">
      <c r="A550" s="1">
        <v>45863</v>
      </c>
      <c r="B550" s="78">
        <v>45869</v>
      </c>
      <c r="C550" t="s">
        <v>327</v>
      </c>
      <c r="D550" t="s">
        <v>3</v>
      </c>
      <c r="E550" t="s">
        <v>865</v>
      </c>
      <c r="F550" s="2">
        <v>3.75</v>
      </c>
      <c r="G550" t="s">
        <v>710</v>
      </c>
      <c r="I550" t="str">
        <f>VLOOKUP(E550,'Trial Balance'!B:B,1,0)</f>
        <v>Bank Fees and Charges</v>
      </c>
    </row>
    <row r="551" spans="1:9">
      <c r="A551" s="1">
        <v>45863</v>
      </c>
      <c r="B551" s="78">
        <v>45869</v>
      </c>
      <c r="C551" t="s">
        <v>328</v>
      </c>
      <c r="D551" t="s">
        <v>8</v>
      </c>
      <c r="E551" t="s">
        <v>815</v>
      </c>
      <c r="F551" s="2">
        <v>66000</v>
      </c>
      <c r="G551" t="s">
        <v>710</v>
      </c>
      <c r="I551" t="str">
        <f>VLOOKUP(E551,'Trial Balance'!B:B,1,0)</f>
        <v>Salaries and Employee Wages</v>
      </c>
    </row>
    <row r="552" spans="1:9">
      <c r="A552" s="1">
        <v>45863</v>
      </c>
      <c r="B552" s="78">
        <v>45869</v>
      </c>
      <c r="C552" t="s">
        <v>329</v>
      </c>
      <c r="D552" t="s">
        <v>3</v>
      </c>
      <c r="E552" t="s">
        <v>865</v>
      </c>
      <c r="F552" s="2">
        <v>50</v>
      </c>
      <c r="G552" t="s">
        <v>710</v>
      </c>
      <c r="I552" t="str">
        <f>VLOOKUP(E552,'Trial Balance'!B:B,1,0)</f>
        <v>Bank Fees and Charges</v>
      </c>
    </row>
    <row r="553" spans="1:9">
      <c r="A553" s="1">
        <v>45863</v>
      </c>
      <c r="B553" s="78">
        <v>45869</v>
      </c>
      <c r="C553" t="s">
        <v>330</v>
      </c>
      <c r="D553" t="s">
        <v>3</v>
      </c>
      <c r="E553" t="s">
        <v>865</v>
      </c>
      <c r="F553" s="2">
        <v>3.75</v>
      </c>
      <c r="G553" t="s">
        <v>710</v>
      </c>
      <c r="I553" t="str">
        <f>VLOOKUP(E553,'Trial Balance'!B:B,1,0)</f>
        <v>Bank Fees and Charges</v>
      </c>
    </row>
    <row r="554" spans="1:9">
      <c r="A554" s="1">
        <v>45863</v>
      </c>
      <c r="B554" s="78">
        <v>45869</v>
      </c>
      <c r="C554" t="s">
        <v>331</v>
      </c>
      <c r="D554" t="s">
        <v>8</v>
      </c>
      <c r="E554" t="s">
        <v>815</v>
      </c>
      <c r="F554" s="2">
        <v>66000</v>
      </c>
      <c r="G554" t="s">
        <v>710</v>
      </c>
      <c r="I554" t="str">
        <f>VLOOKUP(E554,'Trial Balance'!B:B,1,0)</f>
        <v>Salaries and Employee Wages</v>
      </c>
    </row>
    <row r="555" spans="1:9">
      <c r="A555" s="1">
        <v>45863</v>
      </c>
      <c r="B555" s="78">
        <v>45869</v>
      </c>
      <c r="C555" t="s">
        <v>332</v>
      </c>
      <c r="D555" t="s">
        <v>3</v>
      </c>
      <c r="E555" t="s">
        <v>865</v>
      </c>
      <c r="F555" s="2">
        <v>50</v>
      </c>
      <c r="G555" t="s">
        <v>710</v>
      </c>
      <c r="I555" t="str">
        <f>VLOOKUP(E555,'Trial Balance'!B:B,1,0)</f>
        <v>Bank Fees and Charges</v>
      </c>
    </row>
    <row r="556" spans="1:9">
      <c r="A556" s="1">
        <v>45863</v>
      </c>
      <c r="B556" s="78">
        <v>45869</v>
      </c>
      <c r="C556" t="s">
        <v>333</v>
      </c>
      <c r="D556" t="s">
        <v>3</v>
      </c>
      <c r="E556" t="s">
        <v>865</v>
      </c>
      <c r="F556" s="2">
        <v>3.75</v>
      </c>
      <c r="G556" t="s">
        <v>710</v>
      </c>
      <c r="I556" t="str">
        <f>VLOOKUP(E556,'Trial Balance'!B:B,1,0)</f>
        <v>Bank Fees and Charges</v>
      </c>
    </row>
    <row r="557" spans="1:9">
      <c r="A557" s="1">
        <v>45863</v>
      </c>
      <c r="B557" s="78">
        <v>45869</v>
      </c>
      <c r="C557" t="s">
        <v>334</v>
      </c>
      <c r="D557" t="s">
        <v>8</v>
      </c>
      <c r="E557" t="s">
        <v>815</v>
      </c>
      <c r="F557" s="2">
        <v>66000</v>
      </c>
      <c r="G557" t="s">
        <v>710</v>
      </c>
      <c r="I557" t="str">
        <f>VLOOKUP(E557,'Trial Balance'!B:B,1,0)</f>
        <v>Salaries and Employee Wages</v>
      </c>
    </row>
    <row r="558" spans="1:9">
      <c r="A558" s="1">
        <v>45863</v>
      </c>
      <c r="B558" s="78">
        <v>45869</v>
      </c>
      <c r="C558" t="s">
        <v>335</v>
      </c>
      <c r="D558" t="s">
        <v>3</v>
      </c>
      <c r="E558" t="s">
        <v>865</v>
      </c>
      <c r="F558" s="2">
        <v>50</v>
      </c>
      <c r="G558" t="s">
        <v>710</v>
      </c>
      <c r="I558" t="str">
        <f>VLOOKUP(E558,'Trial Balance'!B:B,1,0)</f>
        <v>Bank Fees and Charges</v>
      </c>
    </row>
    <row r="559" spans="1:9">
      <c r="A559" s="1">
        <v>45863</v>
      </c>
      <c r="B559" s="78">
        <v>45869</v>
      </c>
      <c r="C559" t="s">
        <v>336</v>
      </c>
      <c r="D559" t="s">
        <v>3</v>
      </c>
      <c r="E559" t="s">
        <v>865</v>
      </c>
      <c r="F559" s="2">
        <v>3.75</v>
      </c>
      <c r="G559" t="s">
        <v>710</v>
      </c>
      <c r="I559" t="str">
        <f>VLOOKUP(E559,'Trial Balance'!B:B,1,0)</f>
        <v>Bank Fees and Charges</v>
      </c>
    </row>
    <row r="560" spans="1:9">
      <c r="A560" s="1">
        <v>45863</v>
      </c>
      <c r="B560" s="78">
        <v>45869</v>
      </c>
      <c r="C560" t="s">
        <v>337</v>
      </c>
      <c r="D560" t="s">
        <v>8</v>
      </c>
      <c r="E560" t="s">
        <v>815</v>
      </c>
      <c r="F560" s="2">
        <v>66000</v>
      </c>
      <c r="G560" t="s">
        <v>710</v>
      </c>
      <c r="I560" t="str">
        <f>VLOOKUP(E560,'Trial Balance'!B:B,1,0)</f>
        <v>Salaries and Employee Wages</v>
      </c>
    </row>
    <row r="561" spans="1:9">
      <c r="A561" s="1">
        <v>45863</v>
      </c>
      <c r="B561" s="78">
        <v>45869</v>
      </c>
      <c r="C561" t="s">
        <v>338</v>
      </c>
      <c r="D561" t="s">
        <v>3</v>
      </c>
      <c r="E561" t="s">
        <v>865</v>
      </c>
      <c r="F561" s="2">
        <v>50</v>
      </c>
      <c r="G561" t="s">
        <v>710</v>
      </c>
      <c r="I561" t="str">
        <f>VLOOKUP(E561,'Trial Balance'!B:B,1,0)</f>
        <v>Bank Fees and Charges</v>
      </c>
    </row>
    <row r="562" spans="1:9">
      <c r="A562" s="1">
        <v>45863</v>
      </c>
      <c r="B562" s="78">
        <v>45869</v>
      </c>
      <c r="C562" t="s">
        <v>339</v>
      </c>
      <c r="D562" t="s">
        <v>3</v>
      </c>
      <c r="E562" t="s">
        <v>865</v>
      </c>
      <c r="F562" s="2">
        <v>3.75</v>
      </c>
      <c r="G562" t="s">
        <v>710</v>
      </c>
      <c r="I562" t="str">
        <f>VLOOKUP(E562,'Trial Balance'!B:B,1,0)</f>
        <v>Bank Fees and Charges</v>
      </c>
    </row>
    <row r="563" spans="1:9">
      <c r="A563" s="1">
        <v>45863</v>
      </c>
      <c r="B563" s="78">
        <v>45869</v>
      </c>
      <c r="C563" t="s">
        <v>340</v>
      </c>
      <c r="D563" t="s">
        <v>8</v>
      </c>
      <c r="E563" t="s">
        <v>815</v>
      </c>
      <c r="F563" s="2">
        <v>152194.93000000715</v>
      </c>
      <c r="G563" t="s">
        <v>710</v>
      </c>
      <c r="I563" t="str">
        <f>VLOOKUP(E563,'Trial Balance'!B:B,1,0)</f>
        <v>Salaries and Employee Wages</v>
      </c>
    </row>
    <row r="564" spans="1:9">
      <c r="A564" s="1">
        <v>45863</v>
      </c>
      <c r="B564" s="78">
        <v>45869</v>
      </c>
      <c r="C564" t="s">
        <v>341</v>
      </c>
      <c r="D564" t="s">
        <v>3</v>
      </c>
      <c r="E564" t="s">
        <v>865</v>
      </c>
      <c r="F564" s="2">
        <v>50</v>
      </c>
      <c r="G564" t="s">
        <v>710</v>
      </c>
      <c r="I564" t="str">
        <f>VLOOKUP(E564,'Trial Balance'!B:B,1,0)</f>
        <v>Bank Fees and Charges</v>
      </c>
    </row>
    <row r="565" spans="1:9">
      <c r="A565" s="1">
        <v>45863</v>
      </c>
      <c r="B565" s="78">
        <v>45869</v>
      </c>
      <c r="C565" t="s">
        <v>342</v>
      </c>
      <c r="D565" t="s">
        <v>3</v>
      </c>
      <c r="E565" t="s">
        <v>865</v>
      </c>
      <c r="F565" s="2">
        <v>3.75</v>
      </c>
      <c r="G565" t="s">
        <v>710</v>
      </c>
      <c r="I565" t="str">
        <f>VLOOKUP(E565,'Trial Balance'!B:B,1,0)</f>
        <v>Bank Fees and Charges</v>
      </c>
    </row>
    <row r="566" spans="1:9">
      <c r="A566" s="1">
        <v>45866</v>
      </c>
      <c r="B566" s="78">
        <v>45869</v>
      </c>
      <c r="C566" t="s">
        <v>344</v>
      </c>
      <c r="D566" t="s">
        <v>4</v>
      </c>
      <c r="E566" t="s">
        <v>874</v>
      </c>
      <c r="F566" s="2">
        <v>150000</v>
      </c>
      <c r="G566" t="s">
        <v>710</v>
      </c>
      <c r="I566" t="str">
        <f>VLOOKUP(E566,'Trial Balance'!B:B,1,0)</f>
        <v>Office Supplies</v>
      </c>
    </row>
    <row r="567" spans="1:9">
      <c r="A567" s="1">
        <v>45866</v>
      </c>
      <c r="B567" s="78">
        <v>45869</v>
      </c>
      <c r="C567" t="s">
        <v>344</v>
      </c>
      <c r="D567" t="s">
        <v>3</v>
      </c>
      <c r="E567" t="s">
        <v>865</v>
      </c>
      <c r="F567" s="2">
        <v>50</v>
      </c>
      <c r="G567" t="s">
        <v>710</v>
      </c>
      <c r="I567" t="str">
        <f>VLOOKUP(E567,'Trial Balance'!B:B,1,0)</f>
        <v>Bank Fees and Charges</v>
      </c>
    </row>
    <row r="568" spans="1:9">
      <c r="A568" s="1">
        <v>45866</v>
      </c>
      <c r="B568" s="78">
        <v>45869</v>
      </c>
      <c r="C568" t="s">
        <v>344</v>
      </c>
      <c r="D568" t="s">
        <v>3</v>
      </c>
      <c r="E568" t="s">
        <v>865</v>
      </c>
      <c r="F568" s="2">
        <v>3.75</v>
      </c>
      <c r="G568" t="s">
        <v>710</v>
      </c>
      <c r="I568" t="str">
        <f>VLOOKUP(E568,'Trial Balance'!B:B,1,0)</f>
        <v>Bank Fees and Charges</v>
      </c>
    </row>
    <row r="569" spans="1:9">
      <c r="A569" s="1">
        <v>45867</v>
      </c>
      <c r="B569" s="78">
        <v>45869</v>
      </c>
      <c r="C569" t="s">
        <v>346</v>
      </c>
      <c r="D569" t="s">
        <v>26</v>
      </c>
      <c r="E569" t="s">
        <v>976</v>
      </c>
      <c r="F569" s="2">
        <v>302000</v>
      </c>
      <c r="G569" t="s">
        <v>710</v>
      </c>
      <c r="I569" t="str">
        <f>VLOOKUP(E569,'Trial Balance'!B:B,1,0)</f>
        <v>Travel expense - Local</v>
      </c>
    </row>
    <row r="570" spans="1:9">
      <c r="A570" s="1">
        <v>45867</v>
      </c>
      <c r="B570" s="78">
        <v>45869</v>
      </c>
      <c r="C570" t="s">
        <v>346</v>
      </c>
      <c r="D570" t="s">
        <v>3</v>
      </c>
      <c r="E570" t="s">
        <v>865</v>
      </c>
      <c r="F570" s="2">
        <v>50</v>
      </c>
      <c r="G570" t="s">
        <v>710</v>
      </c>
      <c r="I570" t="str">
        <f>VLOOKUP(E570,'Trial Balance'!B:B,1,0)</f>
        <v>Bank Fees and Charges</v>
      </c>
    </row>
    <row r="571" spans="1:9">
      <c r="A571" s="1">
        <v>45867</v>
      </c>
      <c r="B571" s="78">
        <v>45869</v>
      </c>
      <c r="C571" t="s">
        <v>346</v>
      </c>
      <c r="D571" t="s">
        <v>3</v>
      </c>
      <c r="E571" t="s">
        <v>865</v>
      </c>
      <c r="F571" s="2">
        <v>3.75</v>
      </c>
      <c r="G571" t="s">
        <v>710</v>
      </c>
      <c r="I571" t="str">
        <f>VLOOKUP(E571,'Trial Balance'!B:B,1,0)</f>
        <v>Bank Fees and Charges</v>
      </c>
    </row>
    <row r="572" spans="1:9">
      <c r="A572" s="1">
        <v>45867</v>
      </c>
      <c r="B572" s="78">
        <v>45869</v>
      </c>
      <c r="C572" t="s">
        <v>347</v>
      </c>
      <c r="D572" t="s">
        <v>13</v>
      </c>
      <c r="E572" t="s">
        <v>800</v>
      </c>
      <c r="F572" s="2">
        <v>44000</v>
      </c>
      <c r="G572" t="s">
        <v>710</v>
      </c>
      <c r="I572" t="str">
        <f>VLOOKUP(E572,'Trial Balance'!B:B,1,0)</f>
        <v>Repairs and Maintenance</v>
      </c>
    </row>
    <row r="573" spans="1:9">
      <c r="A573" s="1">
        <v>45867</v>
      </c>
      <c r="B573" s="78">
        <v>45869</v>
      </c>
      <c r="C573" t="s">
        <v>348</v>
      </c>
      <c r="D573" t="s">
        <v>3</v>
      </c>
      <c r="E573" t="s">
        <v>865</v>
      </c>
      <c r="F573" s="2">
        <v>25</v>
      </c>
      <c r="G573" t="s">
        <v>710</v>
      </c>
      <c r="I573" t="str">
        <f>VLOOKUP(E573,'Trial Balance'!B:B,1,0)</f>
        <v>Bank Fees and Charges</v>
      </c>
    </row>
    <row r="574" spans="1:9">
      <c r="A574" s="1">
        <v>45867</v>
      </c>
      <c r="B574" s="78">
        <v>45869</v>
      </c>
      <c r="C574" t="s">
        <v>349</v>
      </c>
      <c r="D574" t="s">
        <v>3</v>
      </c>
      <c r="E574" t="s">
        <v>865</v>
      </c>
      <c r="F574" s="2">
        <v>1.8799999952316284</v>
      </c>
      <c r="G574" t="s">
        <v>710</v>
      </c>
      <c r="I574" t="str">
        <f>VLOOKUP(E574,'Trial Balance'!B:B,1,0)</f>
        <v>Bank Fees and Charges</v>
      </c>
    </row>
    <row r="575" spans="1:9">
      <c r="A575" s="1">
        <v>45867</v>
      </c>
      <c r="B575" s="78">
        <v>45869</v>
      </c>
      <c r="C575" t="s">
        <v>350</v>
      </c>
      <c r="D575" t="s">
        <v>30</v>
      </c>
      <c r="E575" t="s">
        <v>984</v>
      </c>
      <c r="F575" s="2">
        <v>380000</v>
      </c>
      <c r="G575" t="s">
        <v>710</v>
      </c>
      <c r="I575" t="str">
        <f>VLOOKUP(E575,'Trial Balance'!B:B,1,0)</f>
        <v>Rental expense</v>
      </c>
    </row>
    <row r="576" spans="1:9">
      <c r="A576" s="1">
        <v>45867</v>
      </c>
      <c r="B576" s="78">
        <v>45869</v>
      </c>
      <c r="C576" t="s">
        <v>351</v>
      </c>
      <c r="D576" t="s">
        <v>3</v>
      </c>
      <c r="E576" t="s">
        <v>865</v>
      </c>
      <c r="F576" s="2">
        <v>50</v>
      </c>
      <c r="G576" t="s">
        <v>710</v>
      </c>
      <c r="I576" t="str">
        <f>VLOOKUP(E576,'Trial Balance'!B:B,1,0)</f>
        <v>Bank Fees and Charges</v>
      </c>
    </row>
    <row r="577" spans="1:9">
      <c r="A577" s="1">
        <v>45867</v>
      </c>
      <c r="B577" s="78">
        <v>45869</v>
      </c>
      <c r="C577" t="s">
        <v>352</v>
      </c>
      <c r="D577" t="s">
        <v>3</v>
      </c>
      <c r="E577" t="s">
        <v>865</v>
      </c>
      <c r="F577" s="2">
        <v>3.75</v>
      </c>
      <c r="G577" t="s">
        <v>710</v>
      </c>
      <c r="I577" t="str">
        <f>VLOOKUP(E577,'Trial Balance'!B:B,1,0)</f>
        <v>Bank Fees and Charges</v>
      </c>
    </row>
    <row r="578" spans="1:9">
      <c r="A578" s="1">
        <v>45867</v>
      </c>
      <c r="B578" s="78">
        <v>45869</v>
      </c>
      <c r="C578" t="s">
        <v>353</v>
      </c>
      <c r="D578" t="s">
        <v>30</v>
      </c>
      <c r="E578" t="s">
        <v>984</v>
      </c>
      <c r="F578" s="2">
        <v>-380000</v>
      </c>
      <c r="G578" t="s">
        <v>710</v>
      </c>
      <c r="I578" t="str">
        <f>VLOOKUP(E578,'Trial Balance'!B:B,1,0)</f>
        <v>Rental expense</v>
      </c>
    </row>
    <row r="579" spans="1:9">
      <c r="A579" s="1">
        <v>45867</v>
      </c>
      <c r="B579" s="78">
        <v>45869</v>
      </c>
      <c r="C579" t="s">
        <v>354</v>
      </c>
      <c r="D579" t="s">
        <v>30</v>
      </c>
      <c r="E579" t="s">
        <v>984</v>
      </c>
      <c r="F579" s="2">
        <v>120000</v>
      </c>
      <c r="G579" t="s">
        <v>710</v>
      </c>
      <c r="I579" t="str">
        <f>VLOOKUP(E579,'Trial Balance'!B:B,1,0)</f>
        <v>Rental expense</v>
      </c>
    </row>
    <row r="580" spans="1:9">
      <c r="A580" s="1">
        <v>45867</v>
      </c>
      <c r="B580" s="78">
        <v>45869</v>
      </c>
      <c r="C580" t="s">
        <v>354</v>
      </c>
      <c r="D580" t="s">
        <v>3</v>
      </c>
      <c r="E580" t="s">
        <v>865</v>
      </c>
      <c r="F580" s="2">
        <v>50</v>
      </c>
      <c r="G580" t="s">
        <v>710</v>
      </c>
      <c r="I580" t="str">
        <f>VLOOKUP(E580,'Trial Balance'!B:B,1,0)</f>
        <v>Bank Fees and Charges</v>
      </c>
    </row>
    <row r="581" spans="1:9">
      <c r="A581" s="1">
        <v>45867</v>
      </c>
      <c r="B581" s="78">
        <v>45869</v>
      </c>
      <c r="C581" t="s">
        <v>354</v>
      </c>
      <c r="D581" t="s">
        <v>3</v>
      </c>
      <c r="E581" t="s">
        <v>865</v>
      </c>
      <c r="F581" s="2">
        <v>3.75</v>
      </c>
      <c r="G581" t="s">
        <v>710</v>
      </c>
      <c r="I581" t="str">
        <f>VLOOKUP(E581,'Trial Balance'!B:B,1,0)</f>
        <v>Bank Fees and Charges</v>
      </c>
    </row>
    <row r="582" spans="1:9">
      <c r="A582" s="1">
        <v>45867</v>
      </c>
      <c r="B582" s="78">
        <v>45869</v>
      </c>
      <c r="C582" t="s">
        <v>355</v>
      </c>
      <c r="D582" t="s">
        <v>3</v>
      </c>
      <c r="E582" t="s">
        <v>865</v>
      </c>
      <c r="F582" s="2">
        <v>50</v>
      </c>
      <c r="G582" t="s">
        <v>710</v>
      </c>
      <c r="I582" t="str">
        <f>VLOOKUP(E582,'Trial Balance'!B:B,1,0)</f>
        <v>Bank Fees and Charges</v>
      </c>
    </row>
    <row r="583" spans="1:9">
      <c r="A583" s="1">
        <v>45868</v>
      </c>
      <c r="B583" s="78">
        <v>45869</v>
      </c>
      <c r="C583" t="s">
        <v>357</v>
      </c>
      <c r="D583" t="s">
        <v>15</v>
      </c>
      <c r="E583" t="s">
        <v>809</v>
      </c>
      <c r="F583" s="2">
        <v>32000</v>
      </c>
      <c r="G583" t="s">
        <v>710</v>
      </c>
      <c r="I583" t="str">
        <f>VLOOKUP(E583,'Trial Balance'!B:B,1,0)</f>
        <v>Meals and Entertainment</v>
      </c>
    </row>
    <row r="584" spans="1:9">
      <c r="A584" s="1">
        <v>45868</v>
      </c>
      <c r="B584" s="78">
        <v>45869</v>
      </c>
      <c r="C584" t="s">
        <v>357</v>
      </c>
      <c r="D584" t="s">
        <v>3</v>
      </c>
      <c r="E584" t="s">
        <v>865</v>
      </c>
      <c r="F584" s="2">
        <v>25</v>
      </c>
      <c r="G584" t="s">
        <v>710</v>
      </c>
      <c r="I584" t="str">
        <f>VLOOKUP(E584,'Trial Balance'!B:B,1,0)</f>
        <v>Bank Fees and Charges</v>
      </c>
    </row>
    <row r="585" spans="1:9">
      <c r="A585" s="1">
        <v>45868</v>
      </c>
      <c r="B585" s="78">
        <v>45869</v>
      </c>
      <c r="C585" t="s">
        <v>357</v>
      </c>
      <c r="D585" t="s">
        <v>3</v>
      </c>
      <c r="E585" t="s">
        <v>865</v>
      </c>
      <c r="F585" s="2">
        <v>1.8799999952316284</v>
      </c>
      <c r="G585" t="s">
        <v>710</v>
      </c>
      <c r="I585" t="str">
        <f>VLOOKUP(E585,'Trial Balance'!B:B,1,0)</f>
        <v>Bank Fees and Charges</v>
      </c>
    </row>
    <row r="586" spans="1:9">
      <c r="A586" s="1">
        <v>45868</v>
      </c>
      <c r="B586" s="78">
        <v>45869</v>
      </c>
      <c r="C586" t="s">
        <v>358</v>
      </c>
      <c r="D586" t="s">
        <v>15</v>
      </c>
      <c r="E586" t="s">
        <v>809</v>
      </c>
      <c r="F586" s="2">
        <v>136400</v>
      </c>
      <c r="G586" t="s">
        <v>710</v>
      </c>
      <c r="I586" t="str">
        <f>VLOOKUP(E586,'Trial Balance'!B:B,1,0)</f>
        <v>Meals and Entertainment</v>
      </c>
    </row>
    <row r="587" spans="1:9">
      <c r="A587" s="1">
        <v>45868</v>
      </c>
      <c r="B587" s="78">
        <v>45869</v>
      </c>
      <c r="C587" t="s">
        <v>358</v>
      </c>
      <c r="D587" t="s">
        <v>3</v>
      </c>
      <c r="E587" t="s">
        <v>865</v>
      </c>
      <c r="F587" s="2">
        <v>50</v>
      </c>
      <c r="G587" t="s">
        <v>710</v>
      </c>
      <c r="I587" t="str">
        <f>VLOOKUP(E587,'Trial Balance'!B:B,1,0)</f>
        <v>Bank Fees and Charges</v>
      </c>
    </row>
    <row r="588" spans="1:9">
      <c r="A588" s="1">
        <v>45868</v>
      </c>
      <c r="B588" s="78">
        <v>45869</v>
      </c>
      <c r="C588" t="s">
        <v>358</v>
      </c>
      <c r="D588" t="s">
        <v>3</v>
      </c>
      <c r="E588" t="s">
        <v>865</v>
      </c>
      <c r="F588" s="2">
        <v>3.75</v>
      </c>
      <c r="G588" t="s">
        <v>710</v>
      </c>
      <c r="I588" t="str">
        <f>VLOOKUP(E588,'Trial Balance'!B:B,1,0)</f>
        <v>Bank Fees and Charges</v>
      </c>
    </row>
    <row r="589" spans="1:9">
      <c r="A589" s="1">
        <v>45868</v>
      </c>
      <c r="B589" s="78">
        <v>45869</v>
      </c>
      <c r="C589" t="s">
        <v>359</v>
      </c>
      <c r="D589" t="s">
        <v>15</v>
      </c>
      <c r="E589" t="s">
        <v>1353</v>
      </c>
      <c r="F589" s="2">
        <v>13300</v>
      </c>
      <c r="G589" t="s">
        <v>710</v>
      </c>
      <c r="I589" t="str">
        <f>VLOOKUP(E589,'Trial Balance'!B:B,1,0)</f>
        <v>Guest entertainment</v>
      </c>
    </row>
    <row r="590" spans="1:9">
      <c r="A590" s="1">
        <v>45868</v>
      </c>
      <c r="B590" s="78">
        <v>45869</v>
      </c>
      <c r="C590" t="s">
        <v>359</v>
      </c>
      <c r="D590" t="s">
        <v>3</v>
      </c>
      <c r="E590" t="s">
        <v>865</v>
      </c>
      <c r="F590" s="2">
        <v>25</v>
      </c>
      <c r="G590" t="s">
        <v>710</v>
      </c>
      <c r="I590" t="str">
        <f>VLOOKUP(E590,'Trial Balance'!B:B,1,0)</f>
        <v>Bank Fees and Charges</v>
      </c>
    </row>
    <row r="591" spans="1:9">
      <c r="A591" s="1">
        <v>45868</v>
      </c>
      <c r="B591" s="78">
        <v>45869</v>
      </c>
      <c r="C591" t="s">
        <v>359</v>
      </c>
      <c r="D591" t="s">
        <v>3</v>
      </c>
      <c r="E591" t="s">
        <v>865</v>
      </c>
      <c r="F591" s="2">
        <v>1.8800000101327896</v>
      </c>
      <c r="G591" t="s">
        <v>710</v>
      </c>
      <c r="I591" t="str">
        <f>VLOOKUP(E591,'Trial Balance'!B:B,1,0)</f>
        <v>Bank Fees and Charges</v>
      </c>
    </row>
    <row r="592" spans="1:9">
      <c r="A592" s="1">
        <v>45868</v>
      </c>
      <c r="B592" s="78">
        <v>45869</v>
      </c>
      <c r="C592" t="s">
        <v>360</v>
      </c>
      <c r="D592" t="s">
        <v>15</v>
      </c>
      <c r="E592" t="s">
        <v>809</v>
      </c>
      <c r="F592" s="2">
        <v>136400</v>
      </c>
      <c r="G592" t="s">
        <v>710</v>
      </c>
      <c r="I592" t="str">
        <f>VLOOKUP(E592,'Trial Balance'!B:B,1,0)</f>
        <v>Meals and Entertainment</v>
      </c>
    </row>
    <row r="593" spans="1:9">
      <c r="A593" s="1">
        <v>45868</v>
      </c>
      <c r="B593" s="78">
        <v>45869</v>
      </c>
      <c r="C593" t="s">
        <v>360</v>
      </c>
      <c r="D593" t="s">
        <v>3</v>
      </c>
      <c r="E593" t="s">
        <v>865</v>
      </c>
      <c r="F593" s="2">
        <v>50</v>
      </c>
      <c r="G593" t="s">
        <v>710</v>
      </c>
      <c r="I593" t="str">
        <f>VLOOKUP(E593,'Trial Balance'!B:B,1,0)</f>
        <v>Bank Fees and Charges</v>
      </c>
    </row>
    <row r="594" spans="1:9">
      <c r="A594" s="1">
        <v>45868</v>
      </c>
      <c r="B594" s="78">
        <v>45869</v>
      </c>
      <c r="C594" t="s">
        <v>360</v>
      </c>
      <c r="D594" t="s">
        <v>3</v>
      </c>
      <c r="E594" t="s">
        <v>865</v>
      </c>
      <c r="F594" s="2">
        <v>3.75</v>
      </c>
      <c r="G594" t="s">
        <v>710</v>
      </c>
      <c r="I594" t="str">
        <f>VLOOKUP(E594,'Trial Balance'!B:B,1,0)</f>
        <v>Bank Fees and Charges</v>
      </c>
    </row>
    <row r="595" spans="1:9">
      <c r="A595" s="1">
        <v>45868</v>
      </c>
      <c r="B595" s="78">
        <v>45869</v>
      </c>
      <c r="C595" t="s">
        <v>361</v>
      </c>
      <c r="D595" t="s">
        <v>15</v>
      </c>
      <c r="E595" t="s">
        <v>809</v>
      </c>
      <c r="F595" s="2">
        <v>20000</v>
      </c>
      <c r="G595" t="s">
        <v>710</v>
      </c>
      <c r="I595" t="str">
        <f>VLOOKUP(E595,'Trial Balance'!B:B,1,0)</f>
        <v>Meals and Entertainment</v>
      </c>
    </row>
    <row r="596" spans="1:9">
      <c r="A596" s="1">
        <v>45868</v>
      </c>
      <c r="B596" s="78">
        <v>45869</v>
      </c>
      <c r="C596" t="s">
        <v>361</v>
      </c>
      <c r="D596" t="s">
        <v>3</v>
      </c>
      <c r="E596" t="s">
        <v>865</v>
      </c>
      <c r="F596" s="2">
        <v>25</v>
      </c>
      <c r="G596" t="s">
        <v>710</v>
      </c>
      <c r="I596" t="str">
        <f>VLOOKUP(E596,'Trial Balance'!B:B,1,0)</f>
        <v>Bank Fees and Charges</v>
      </c>
    </row>
    <row r="597" spans="1:9">
      <c r="A597" s="1">
        <v>45868</v>
      </c>
      <c r="B597" s="78">
        <v>45869</v>
      </c>
      <c r="C597" t="s">
        <v>361</v>
      </c>
      <c r="D597" t="s">
        <v>3</v>
      </c>
      <c r="E597" t="s">
        <v>865</v>
      </c>
      <c r="F597" s="2">
        <v>1.8799999952316284</v>
      </c>
      <c r="G597" t="s">
        <v>710</v>
      </c>
      <c r="I597" t="str">
        <f>VLOOKUP(E597,'Trial Balance'!B:B,1,0)</f>
        <v>Bank Fees and Charges</v>
      </c>
    </row>
    <row r="598" spans="1:9">
      <c r="A598" s="1">
        <v>45869</v>
      </c>
      <c r="B598" s="78">
        <v>45869</v>
      </c>
      <c r="C598" t="s">
        <v>363</v>
      </c>
      <c r="D598" t="s">
        <v>4</v>
      </c>
      <c r="E598" t="s">
        <v>874</v>
      </c>
      <c r="F598" s="2">
        <v>40000</v>
      </c>
      <c r="G598" t="s">
        <v>710</v>
      </c>
      <c r="I598" t="str">
        <f>VLOOKUP(E598,'Trial Balance'!B:B,1,0)</f>
        <v>Office Supplies</v>
      </c>
    </row>
    <row r="599" spans="1:9">
      <c r="A599" s="1">
        <v>45869</v>
      </c>
      <c r="B599" s="78">
        <v>45869</v>
      </c>
      <c r="C599" t="s">
        <v>363</v>
      </c>
      <c r="D599" t="s">
        <v>3</v>
      </c>
      <c r="E599" t="s">
        <v>865</v>
      </c>
      <c r="F599" s="2">
        <v>25</v>
      </c>
      <c r="G599" t="s">
        <v>710</v>
      </c>
      <c r="I599" t="str">
        <f>VLOOKUP(E599,'Trial Balance'!B:B,1,0)</f>
        <v>Bank Fees and Charges</v>
      </c>
    </row>
    <row r="600" spans="1:9">
      <c r="A600" s="1">
        <v>45869</v>
      </c>
      <c r="B600" s="78">
        <v>45869</v>
      </c>
      <c r="C600" t="s">
        <v>363</v>
      </c>
      <c r="D600" t="s">
        <v>3</v>
      </c>
      <c r="E600" t="s">
        <v>865</v>
      </c>
      <c r="F600" s="2">
        <v>1.8799999952316284</v>
      </c>
      <c r="G600" t="s">
        <v>710</v>
      </c>
      <c r="I600" t="str">
        <f>VLOOKUP(E600,'Trial Balance'!B:B,1,0)</f>
        <v>Bank Fees and Charges</v>
      </c>
    </row>
    <row r="601" spans="1:9">
      <c r="A601" s="1">
        <v>45869</v>
      </c>
      <c r="B601" s="78">
        <v>45869</v>
      </c>
      <c r="C601" t="s">
        <v>364</v>
      </c>
      <c r="D601" t="s">
        <v>22</v>
      </c>
      <c r="E601" t="s">
        <v>974</v>
      </c>
      <c r="F601" s="2">
        <v>950000</v>
      </c>
      <c r="G601" t="s">
        <v>710</v>
      </c>
      <c r="I601" t="str">
        <f>VLOOKUP(E601,'Trial Balance'!B:B,1,0)</f>
        <v>Security expense</v>
      </c>
    </row>
    <row r="602" spans="1:9">
      <c r="A602" s="1">
        <v>45869</v>
      </c>
      <c r="B602" s="78">
        <v>45869</v>
      </c>
      <c r="C602" t="s">
        <v>365</v>
      </c>
      <c r="D602" t="s">
        <v>3</v>
      </c>
      <c r="E602" t="s">
        <v>865</v>
      </c>
      <c r="F602" s="2">
        <v>50</v>
      </c>
      <c r="G602" t="s">
        <v>710</v>
      </c>
      <c r="I602" t="str">
        <f>VLOOKUP(E602,'Trial Balance'!B:B,1,0)</f>
        <v>Bank Fees and Charges</v>
      </c>
    </row>
    <row r="603" spans="1:9">
      <c r="A603" s="1">
        <v>45869</v>
      </c>
      <c r="B603" s="78">
        <v>45869</v>
      </c>
      <c r="C603" t="s">
        <v>366</v>
      </c>
      <c r="D603" t="s">
        <v>3</v>
      </c>
      <c r="E603" t="s">
        <v>865</v>
      </c>
      <c r="F603" s="2">
        <v>3.75</v>
      </c>
      <c r="G603" t="s">
        <v>710</v>
      </c>
      <c r="I603" t="str">
        <f>VLOOKUP(E603,'Trial Balance'!B:B,1,0)</f>
        <v>Bank Fees and Charges</v>
      </c>
    </row>
    <row r="604" spans="1:9">
      <c r="A604" s="1">
        <v>45869</v>
      </c>
      <c r="B604" s="78">
        <v>45869</v>
      </c>
      <c r="C604" t="s">
        <v>367</v>
      </c>
      <c r="D604" t="s">
        <v>3</v>
      </c>
      <c r="E604" t="s">
        <v>865</v>
      </c>
      <c r="F604" s="2">
        <v>1670.1000000089407</v>
      </c>
      <c r="G604" t="s">
        <v>710</v>
      </c>
      <c r="I604" t="str">
        <f>VLOOKUP(E604,'Trial Balance'!B:B,1,0)</f>
        <v>Bank Fees and Charges</v>
      </c>
    </row>
    <row r="605" spans="1:9">
      <c r="A605" s="1">
        <v>45869</v>
      </c>
      <c r="B605" s="78">
        <v>45869</v>
      </c>
      <c r="C605" t="s">
        <v>368</v>
      </c>
      <c r="D605" t="s">
        <v>3</v>
      </c>
      <c r="E605" t="s">
        <v>865</v>
      </c>
      <c r="F605" s="2">
        <v>22267.04999999702</v>
      </c>
      <c r="G605" t="s">
        <v>710</v>
      </c>
      <c r="I605" t="str">
        <f>VLOOKUP(E605,'Trial Balance'!B:B,1,0)</f>
        <v>Bank Fees and Charges</v>
      </c>
    </row>
    <row r="606" spans="1:9">
      <c r="A606" s="1">
        <v>45870</v>
      </c>
      <c r="B606" s="78">
        <v>45900</v>
      </c>
      <c r="C606" t="s">
        <v>369</v>
      </c>
      <c r="D606" t="s">
        <v>10</v>
      </c>
      <c r="E606" t="s">
        <v>956</v>
      </c>
      <c r="F606" s="2">
        <v>230942.25</v>
      </c>
      <c r="G606" t="s">
        <v>710</v>
      </c>
      <c r="I606" t="str">
        <f>VLOOKUP(E606,'Trial Balance'!B:B,1,0)</f>
        <v>Software expense</v>
      </c>
    </row>
    <row r="607" spans="1:9">
      <c r="A607" s="1">
        <v>45870</v>
      </c>
      <c r="B607" s="78">
        <v>45900</v>
      </c>
      <c r="C607" t="s">
        <v>369</v>
      </c>
      <c r="D607" t="s">
        <v>3</v>
      </c>
      <c r="E607" t="s">
        <v>865</v>
      </c>
      <c r="F607" s="2">
        <v>50</v>
      </c>
      <c r="G607" t="s">
        <v>710</v>
      </c>
      <c r="I607" t="str">
        <f>VLOOKUP(E607,'Trial Balance'!B:B,1,0)</f>
        <v>Bank Fees and Charges</v>
      </c>
    </row>
    <row r="608" spans="1:9">
      <c r="A608" s="1">
        <v>45870</v>
      </c>
      <c r="B608" s="78">
        <v>45900</v>
      </c>
      <c r="C608" t="s">
        <v>369</v>
      </c>
      <c r="D608" t="s">
        <v>3</v>
      </c>
      <c r="E608" t="s">
        <v>865</v>
      </c>
      <c r="F608" s="2">
        <v>3.75</v>
      </c>
      <c r="G608" t="s">
        <v>710</v>
      </c>
      <c r="I608" t="str">
        <f>VLOOKUP(E608,'Trial Balance'!B:B,1,0)</f>
        <v>Bank Fees and Charges</v>
      </c>
    </row>
    <row r="609" spans="1:9" s="10" customFormat="1">
      <c r="A609" s="8">
        <v>45869</v>
      </c>
      <c r="B609" s="78">
        <v>45869</v>
      </c>
      <c r="C609" s="10" t="s">
        <v>717</v>
      </c>
      <c r="D609" s="10" t="s">
        <v>714</v>
      </c>
      <c r="E609" s="5" t="s">
        <v>950</v>
      </c>
      <c r="F609" s="11">
        <v>-22153745.299999997</v>
      </c>
      <c r="G609" s="10" t="s">
        <v>710</v>
      </c>
      <c r="I609" t="str">
        <f>VLOOKUP(E609,'Trial Balance'!B:B,1,0)</f>
        <v>Premium Trust bank</v>
      </c>
    </row>
    <row r="610" spans="1:9">
      <c r="A610" s="1">
        <v>45870</v>
      </c>
      <c r="B610" s="78">
        <v>45900</v>
      </c>
      <c r="C610" t="s">
        <v>371</v>
      </c>
      <c r="D610" t="s">
        <v>13</v>
      </c>
      <c r="E610" t="s">
        <v>800</v>
      </c>
      <c r="F610" s="2">
        <v>170000</v>
      </c>
      <c r="G610" t="s">
        <v>710</v>
      </c>
      <c r="I610" t="str">
        <f>VLOOKUP(E610,'Trial Balance'!B:B,1,0)</f>
        <v>Repairs and Maintenance</v>
      </c>
    </row>
    <row r="611" spans="1:9">
      <c r="A611" s="1">
        <v>45870</v>
      </c>
      <c r="B611" s="78">
        <v>45900</v>
      </c>
      <c r="C611" t="s">
        <v>371</v>
      </c>
      <c r="D611" t="s">
        <v>3</v>
      </c>
      <c r="E611" t="s">
        <v>865</v>
      </c>
      <c r="F611" s="2">
        <v>50</v>
      </c>
      <c r="G611" t="s">
        <v>710</v>
      </c>
      <c r="I611" t="str">
        <f>VLOOKUP(E611,'Trial Balance'!B:B,1,0)</f>
        <v>Bank Fees and Charges</v>
      </c>
    </row>
    <row r="612" spans="1:9">
      <c r="A612" s="1">
        <v>45870</v>
      </c>
      <c r="B612" s="78">
        <v>45900</v>
      </c>
      <c r="C612" t="s">
        <v>371</v>
      </c>
      <c r="D612" t="s">
        <v>3</v>
      </c>
      <c r="E612" t="s">
        <v>865</v>
      </c>
      <c r="F612" s="2">
        <v>3.75</v>
      </c>
      <c r="G612" t="s">
        <v>710</v>
      </c>
      <c r="I612" t="str">
        <f>VLOOKUP(E612,'Trial Balance'!B:B,1,0)</f>
        <v>Bank Fees and Charges</v>
      </c>
    </row>
    <row r="613" spans="1:9">
      <c r="A613" s="1">
        <v>45870</v>
      </c>
      <c r="B613" s="78">
        <v>45900</v>
      </c>
      <c r="C613" t="s">
        <v>372</v>
      </c>
      <c r="D613" t="s">
        <v>3</v>
      </c>
      <c r="E613" t="s">
        <v>865</v>
      </c>
      <c r="F613" s="2">
        <v>230.93999999761581</v>
      </c>
      <c r="G613" t="s">
        <v>710</v>
      </c>
      <c r="I613" t="str">
        <f>VLOOKUP(E613,'Trial Balance'!B:B,1,0)</f>
        <v>Bank Fees and Charges</v>
      </c>
    </row>
    <row r="614" spans="1:9">
      <c r="A614" s="1">
        <v>45870</v>
      </c>
      <c r="B614" s="78">
        <v>45900</v>
      </c>
      <c r="C614" t="s">
        <v>373</v>
      </c>
      <c r="D614" t="s">
        <v>3</v>
      </c>
      <c r="E614" t="s">
        <v>865</v>
      </c>
      <c r="F614" s="2">
        <v>17.319999992847443</v>
      </c>
      <c r="G614" t="s">
        <v>710</v>
      </c>
      <c r="I614" t="str">
        <f>VLOOKUP(E614,'Trial Balance'!B:B,1,0)</f>
        <v>Bank Fees and Charges</v>
      </c>
    </row>
    <row r="615" spans="1:9">
      <c r="A615" s="1">
        <v>45870</v>
      </c>
      <c r="B615" s="78">
        <v>45900</v>
      </c>
      <c r="C615" t="s">
        <v>374</v>
      </c>
      <c r="D615" t="s">
        <v>6</v>
      </c>
      <c r="E615" t="s">
        <v>840</v>
      </c>
      <c r="F615" s="2">
        <v>1300000</v>
      </c>
      <c r="G615" t="s">
        <v>710</v>
      </c>
      <c r="I615" t="str">
        <f>VLOOKUP(E615,'Trial Balance'!B:B,1,0)</f>
        <v>Janitorial Expense</v>
      </c>
    </row>
    <row r="616" spans="1:9">
      <c r="A616" s="1">
        <v>45870</v>
      </c>
      <c r="B616" s="78">
        <v>45900</v>
      </c>
      <c r="C616" t="s">
        <v>375</v>
      </c>
      <c r="D616" t="s">
        <v>3</v>
      </c>
      <c r="E616" t="s">
        <v>865</v>
      </c>
      <c r="F616" s="2">
        <v>50</v>
      </c>
      <c r="G616" t="s">
        <v>710</v>
      </c>
      <c r="I616" t="str">
        <f>VLOOKUP(E616,'Trial Balance'!B:B,1,0)</f>
        <v>Bank Fees and Charges</v>
      </c>
    </row>
    <row r="617" spans="1:9">
      <c r="A617" s="1">
        <v>45870</v>
      </c>
      <c r="B617" s="78">
        <v>45900</v>
      </c>
      <c r="C617" t="s">
        <v>376</v>
      </c>
      <c r="D617" t="s">
        <v>3</v>
      </c>
      <c r="E617" t="s">
        <v>865</v>
      </c>
      <c r="F617" s="2">
        <v>3.75</v>
      </c>
      <c r="G617" t="s">
        <v>710</v>
      </c>
      <c r="I617" t="str">
        <f>VLOOKUP(E617,'Trial Balance'!B:B,1,0)</f>
        <v>Bank Fees and Charges</v>
      </c>
    </row>
    <row r="618" spans="1:9">
      <c r="A618" s="1">
        <v>45870</v>
      </c>
      <c r="B618" s="78">
        <v>45900</v>
      </c>
      <c r="C618" t="s">
        <v>377</v>
      </c>
      <c r="D618" t="s">
        <v>19</v>
      </c>
      <c r="E618" t="s">
        <v>846</v>
      </c>
      <c r="F618" s="2">
        <v>36116.760000005364</v>
      </c>
      <c r="G618" t="s">
        <v>710</v>
      </c>
      <c r="H618" t="s">
        <v>753</v>
      </c>
      <c r="I618" t="str">
        <f>VLOOKUP(E618,'Trial Balance'!B:B,1,0)</f>
        <v>IT and Internet Expenses</v>
      </c>
    </row>
    <row r="619" spans="1:9">
      <c r="A619" s="1">
        <v>45870</v>
      </c>
      <c r="B619" s="78">
        <v>45900</v>
      </c>
      <c r="C619" t="s">
        <v>377</v>
      </c>
      <c r="D619" t="s">
        <v>3</v>
      </c>
      <c r="E619" t="s">
        <v>865</v>
      </c>
      <c r="F619" s="2">
        <v>25</v>
      </c>
      <c r="G619" t="s">
        <v>710</v>
      </c>
      <c r="I619" t="str">
        <f>VLOOKUP(E619,'Trial Balance'!B:B,1,0)</f>
        <v>Bank Fees and Charges</v>
      </c>
    </row>
    <row r="620" spans="1:9">
      <c r="A620" s="1">
        <v>45870</v>
      </c>
      <c r="B620" s="78">
        <v>45900</v>
      </c>
      <c r="C620" t="s">
        <v>377</v>
      </c>
      <c r="D620" t="s">
        <v>3</v>
      </c>
      <c r="E620" t="s">
        <v>865</v>
      </c>
      <c r="F620" s="2">
        <v>1.8799999952316284</v>
      </c>
      <c r="G620" t="s">
        <v>710</v>
      </c>
      <c r="I620" t="str">
        <f>VLOOKUP(E620,'Trial Balance'!B:B,1,0)</f>
        <v>Bank Fees and Charges</v>
      </c>
    </row>
    <row r="621" spans="1:9">
      <c r="A621" s="1">
        <v>45870</v>
      </c>
      <c r="B621" s="78">
        <v>45900</v>
      </c>
      <c r="C621" t="s">
        <v>378</v>
      </c>
      <c r="D621" t="s">
        <v>26</v>
      </c>
      <c r="E621" t="s">
        <v>976</v>
      </c>
      <c r="F621" s="2">
        <v>-20700</v>
      </c>
      <c r="G621" t="s">
        <v>710</v>
      </c>
      <c r="I621" t="str">
        <f>VLOOKUP(E621,'Trial Balance'!B:B,1,0)</f>
        <v>Travel expense - Local</v>
      </c>
    </row>
    <row r="622" spans="1:9">
      <c r="A622" s="1">
        <v>45870</v>
      </c>
      <c r="B622" s="78">
        <v>45900</v>
      </c>
      <c r="C622" t="s">
        <v>379</v>
      </c>
      <c r="D622" t="s">
        <v>3</v>
      </c>
      <c r="E622" t="s">
        <v>865</v>
      </c>
      <c r="F622" s="2">
        <v>50</v>
      </c>
      <c r="G622" t="s">
        <v>710</v>
      </c>
      <c r="I622" t="str">
        <f>VLOOKUP(E622,'Trial Balance'!B:B,1,0)</f>
        <v>Bank Fees and Charges</v>
      </c>
    </row>
    <row r="623" spans="1:9">
      <c r="A623" s="1">
        <v>45873</v>
      </c>
      <c r="B623" s="78">
        <v>45900</v>
      </c>
      <c r="C623" t="s">
        <v>381</v>
      </c>
      <c r="D623" t="s">
        <v>15</v>
      </c>
      <c r="E623" t="s">
        <v>1353</v>
      </c>
      <c r="F623" s="2">
        <v>146000</v>
      </c>
      <c r="G623" t="s">
        <v>710</v>
      </c>
      <c r="I623" t="str">
        <f>VLOOKUP(E623,'Trial Balance'!B:B,1,0)</f>
        <v>Guest entertainment</v>
      </c>
    </row>
    <row r="624" spans="1:9">
      <c r="A624" s="1">
        <v>45873</v>
      </c>
      <c r="B624" s="78">
        <v>45900</v>
      </c>
      <c r="C624" t="s">
        <v>381</v>
      </c>
      <c r="D624" t="s">
        <v>3</v>
      </c>
      <c r="E624" t="s">
        <v>865</v>
      </c>
      <c r="F624" s="2">
        <v>50</v>
      </c>
      <c r="G624" t="s">
        <v>710</v>
      </c>
      <c r="I624" t="str">
        <f>VLOOKUP(E624,'Trial Balance'!B:B,1,0)</f>
        <v>Bank Fees and Charges</v>
      </c>
    </row>
    <row r="625" spans="1:9">
      <c r="A625" s="1">
        <v>45873</v>
      </c>
      <c r="B625" s="78">
        <v>45900</v>
      </c>
      <c r="C625" t="s">
        <v>381</v>
      </c>
      <c r="D625" t="s">
        <v>3</v>
      </c>
      <c r="E625" t="s">
        <v>865</v>
      </c>
      <c r="F625" s="2">
        <v>3.75</v>
      </c>
      <c r="G625" t="s">
        <v>710</v>
      </c>
      <c r="I625" t="str">
        <f>VLOOKUP(E625,'Trial Balance'!B:B,1,0)</f>
        <v>Bank Fees and Charges</v>
      </c>
    </row>
    <row r="626" spans="1:9">
      <c r="A626" s="1">
        <v>45873</v>
      </c>
      <c r="B626" s="78">
        <v>45900</v>
      </c>
      <c r="C626" t="s">
        <v>382</v>
      </c>
      <c r="D626" t="s">
        <v>15</v>
      </c>
      <c r="E626" t="s">
        <v>809</v>
      </c>
      <c r="F626" s="2">
        <v>25000</v>
      </c>
      <c r="G626" t="s">
        <v>710</v>
      </c>
      <c r="I626" t="str">
        <f>VLOOKUP(E626,'Trial Balance'!B:B,1,0)</f>
        <v>Meals and Entertainment</v>
      </c>
    </row>
    <row r="627" spans="1:9">
      <c r="A627" s="1">
        <v>45873</v>
      </c>
      <c r="B627" s="78">
        <v>45900</v>
      </c>
      <c r="C627" t="s">
        <v>382</v>
      </c>
      <c r="D627" t="s">
        <v>3</v>
      </c>
      <c r="E627" t="s">
        <v>865</v>
      </c>
      <c r="F627" s="2">
        <v>25</v>
      </c>
      <c r="G627" t="s">
        <v>710</v>
      </c>
      <c r="I627" t="str">
        <f>VLOOKUP(E627,'Trial Balance'!B:B,1,0)</f>
        <v>Bank Fees and Charges</v>
      </c>
    </row>
    <row r="628" spans="1:9">
      <c r="A628" s="1">
        <v>45873</v>
      </c>
      <c r="B628" s="78">
        <v>45900</v>
      </c>
      <c r="C628" t="s">
        <v>382</v>
      </c>
      <c r="D628" t="s">
        <v>3</v>
      </c>
      <c r="E628" t="s">
        <v>865</v>
      </c>
      <c r="F628" s="2">
        <v>1.8800000101327896</v>
      </c>
      <c r="G628" t="s">
        <v>710</v>
      </c>
      <c r="I628" t="str">
        <f>VLOOKUP(E628,'Trial Balance'!B:B,1,0)</f>
        <v>Bank Fees and Charges</v>
      </c>
    </row>
    <row r="629" spans="1:9" ht="26">
      <c r="A629" s="1">
        <v>45873</v>
      </c>
      <c r="B629" s="78">
        <v>45900</v>
      </c>
      <c r="C629" t="s">
        <v>383</v>
      </c>
      <c r="D629" t="s">
        <v>19</v>
      </c>
      <c r="E629" t="s">
        <v>977</v>
      </c>
      <c r="F629" s="2">
        <v>4791366</v>
      </c>
      <c r="G629" t="s">
        <v>710</v>
      </c>
      <c r="H629" s="12" t="s">
        <v>754</v>
      </c>
      <c r="I629" t="str">
        <f>VLOOKUP(E629,'Trial Balance'!B:B,1,0)</f>
        <v>Travel expense - International</v>
      </c>
    </row>
    <row r="630" spans="1:9">
      <c r="A630" s="1">
        <v>45873</v>
      </c>
      <c r="B630" s="78">
        <v>45900</v>
      </c>
      <c r="C630" t="s">
        <v>384</v>
      </c>
      <c r="D630" t="s">
        <v>3</v>
      </c>
      <c r="E630" t="s">
        <v>865</v>
      </c>
      <c r="F630" s="2">
        <v>50</v>
      </c>
      <c r="G630" t="s">
        <v>710</v>
      </c>
      <c r="I630" t="str">
        <f>VLOOKUP(E630,'Trial Balance'!B:B,1,0)</f>
        <v>Bank Fees and Charges</v>
      </c>
    </row>
    <row r="631" spans="1:9">
      <c r="A631" s="1">
        <v>45873</v>
      </c>
      <c r="B631" s="78">
        <v>45900</v>
      </c>
      <c r="C631" t="s">
        <v>385</v>
      </c>
      <c r="D631" t="s">
        <v>3</v>
      </c>
      <c r="E631" t="s">
        <v>865</v>
      </c>
      <c r="F631" s="2">
        <v>3.75</v>
      </c>
      <c r="G631" t="s">
        <v>710</v>
      </c>
      <c r="I631" t="str">
        <f>VLOOKUP(E631,'Trial Balance'!B:B,1,0)</f>
        <v>Bank Fees and Charges</v>
      </c>
    </row>
    <row r="632" spans="1:9" ht="26">
      <c r="A632" s="1">
        <v>45873</v>
      </c>
      <c r="B632" s="78">
        <v>45900</v>
      </c>
      <c r="C632" t="s">
        <v>383</v>
      </c>
      <c r="D632" t="s">
        <v>19</v>
      </c>
      <c r="E632" t="s">
        <v>977</v>
      </c>
      <c r="F632" s="2">
        <v>-4791366</v>
      </c>
      <c r="G632" t="s">
        <v>710</v>
      </c>
      <c r="H632" s="12" t="s">
        <v>755</v>
      </c>
      <c r="I632" t="str">
        <f>VLOOKUP(E632,'Trial Balance'!B:B,1,0)</f>
        <v>Travel expense - International</v>
      </c>
    </row>
    <row r="633" spans="1:9">
      <c r="A633" s="1">
        <v>45873</v>
      </c>
      <c r="B633" s="78">
        <v>45900</v>
      </c>
      <c r="C633" t="s">
        <v>384</v>
      </c>
      <c r="D633" t="s">
        <v>3</v>
      </c>
      <c r="E633" t="s">
        <v>865</v>
      </c>
      <c r="F633" s="2">
        <v>-50</v>
      </c>
      <c r="G633" t="s">
        <v>710</v>
      </c>
      <c r="I633" t="str">
        <f>VLOOKUP(E633,'Trial Balance'!B:B,1,0)</f>
        <v>Bank Fees and Charges</v>
      </c>
    </row>
    <row r="634" spans="1:9">
      <c r="A634" s="1">
        <v>45873</v>
      </c>
      <c r="B634" s="78">
        <v>45900</v>
      </c>
      <c r="C634" t="s">
        <v>385</v>
      </c>
      <c r="D634" t="s">
        <v>3</v>
      </c>
      <c r="E634" t="s">
        <v>865</v>
      </c>
      <c r="F634" s="2">
        <v>-3.75</v>
      </c>
      <c r="G634" t="s">
        <v>710</v>
      </c>
      <c r="I634" t="str">
        <f>VLOOKUP(E634,'Trial Balance'!B:B,1,0)</f>
        <v>Bank Fees and Charges</v>
      </c>
    </row>
    <row r="635" spans="1:9" ht="26">
      <c r="A635" s="1">
        <v>45873</v>
      </c>
      <c r="B635" s="78">
        <v>45900</v>
      </c>
      <c r="C635" t="s">
        <v>386</v>
      </c>
      <c r="D635" t="s">
        <v>19</v>
      </c>
      <c r="E635" t="s">
        <v>977</v>
      </c>
      <c r="F635" s="2">
        <v>4791366</v>
      </c>
      <c r="G635" t="s">
        <v>710</v>
      </c>
      <c r="H635" s="12" t="s">
        <v>756</v>
      </c>
      <c r="I635" t="str">
        <f>VLOOKUP(E635,'Trial Balance'!B:B,1,0)</f>
        <v>Travel expense - International</v>
      </c>
    </row>
    <row r="636" spans="1:9">
      <c r="A636" s="1">
        <v>45873</v>
      </c>
      <c r="B636" s="78">
        <v>45900</v>
      </c>
      <c r="C636" t="s">
        <v>387</v>
      </c>
      <c r="D636" t="s">
        <v>3</v>
      </c>
      <c r="E636" t="s">
        <v>865</v>
      </c>
      <c r="F636" s="2">
        <v>50</v>
      </c>
      <c r="G636" t="s">
        <v>710</v>
      </c>
      <c r="I636" t="str">
        <f>VLOOKUP(E636,'Trial Balance'!B:B,1,0)</f>
        <v>Bank Fees and Charges</v>
      </c>
    </row>
    <row r="637" spans="1:9">
      <c r="A637" s="1">
        <v>45873</v>
      </c>
      <c r="B637" s="78">
        <v>45900</v>
      </c>
      <c r="C637" t="s">
        <v>388</v>
      </c>
      <c r="D637" t="s">
        <v>3</v>
      </c>
      <c r="E637" t="s">
        <v>865</v>
      </c>
      <c r="F637" s="2">
        <v>3.75</v>
      </c>
      <c r="G637" t="s">
        <v>710</v>
      </c>
      <c r="I637" t="str">
        <f>VLOOKUP(E637,'Trial Balance'!B:B,1,0)</f>
        <v>Bank Fees and Charges</v>
      </c>
    </row>
    <row r="638" spans="1:9">
      <c r="A638" s="1">
        <v>45873</v>
      </c>
      <c r="B638" s="78">
        <v>45900</v>
      </c>
      <c r="C638" t="s">
        <v>389</v>
      </c>
      <c r="D638" t="s">
        <v>31</v>
      </c>
      <c r="E638" t="s">
        <v>986</v>
      </c>
      <c r="F638" s="2">
        <v>100000</v>
      </c>
      <c r="G638" t="s">
        <v>710</v>
      </c>
      <c r="H638" t="s">
        <v>1271</v>
      </c>
      <c r="I638" t="str">
        <f>VLOOKUP(E638,'Trial Balance'!B:B,1,0)</f>
        <v>Refundable security deposit</v>
      </c>
    </row>
    <row r="639" spans="1:9">
      <c r="A639" s="1">
        <v>45873</v>
      </c>
      <c r="B639" s="78">
        <v>45900</v>
      </c>
      <c r="C639" t="s">
        <v>389</v>
      </c>
      <c r="D639" t="s">
        <v>3</v>
      </c>
      <c r="E639" t="s">
        <v>865</v>
      </c>
      <c r="F639" s="2">
        <v>50</v>
      </c>
      <c r="G639" t="s">
        <v>710</v>
      </c>
      <c r="I639" t="str">
        <f>VLOOKUP(E639,'Trial Balance'!B:B,1,0)</f>
        <v>Bank Fees and Charges</v>
      </c>
    </row>
    <row r="640" spans="1:9">
      <c r="A640" s="1">
        <v>45873</v>
      </c>
      <c r="B640" s="78">
        <v>45900</v>
      </c>
      <c r="C640" t="s">
        <v>389</v>
      </c>
      <c r="D640" t="s">
        <v>3</v>
      </c>
      <c r="E640" t="s">
        <v>865</v>
      </c>
      <c r="F640" s="2">
        <v>3.75</v>
      </c>
      <c r="G640" t="s">
        <v>710</v>
      </c>
      <c r="I640" t="str">
        <f>VLOOKUP(E640,'Trial Balance'!B:B,1,0)</f>
        <v>Bank Fees and Charges</v>
      </c>
    </row>
    <row r="641" spans="1:9">
      <c r="A641" s="1">
        <v>45873</v>
      </c>
      <c r="B641" s="78">
        <v>45900</v>
      </c>
      <c r="C641" t="s">
        <v>390</v>
      </c>
      <c r="D641" t="s">
        <v>8</v>
      </c>
      <c r="E641" t="s">
        <v>815</v>
      </c>
      <c r="F641" s="2">
        <v>15750</v>
      </c>
      <c r="G641" t="s">
        <v>710</v>
      </c>
      <c r="I641" t="str">
        <f>VLOOKUP(E641,'Trial Balance'!B:B,1,0)</f>
        <v>Salaries and Employee Wages</v>
      </c>
    </row>
    <row r="642" spans="1:9">
      <c r="A642" s="1">
        <v>45873</v>
      </c>
      <c r="B642" s="78">
        <v>45900</v>
      </c>
      <c r="C642" t="s">
        <v>390</v>
      </c>
      <c r="D642" t="s">
        <v>3</v>
      </c>
      <c r="E642" t="s">
        <v>865</v>
      </c>
      <c r="F642" s="2">
        <v>25</v>
      </c>
      <c r="G642" t="s">
        <v>710</v>
      </c>
      <c r="I642" t="str">
        <f>VLOOKUP(E642,'Trial Balance'!B:B,1,0)</f>
        <v>Bank Fees and Charges</v>
      </c>
    </row>
    <row r="643" spans="1:9">
      <c r="A643" s="1">
        <v>45873</v>
      </c>
      <c r="B643" s="78">
        <v>45900</v>
      </c>
      <c r="C643" t="s">
        <v>390</v>
      </c>
      <c r="D643" t="s">
        <v>3</v>
      </c>
      <c r="E643" t="s">
        <v>865</v>
      </c>
      <c r="F643" s="2">
        <v>1.8799999952316284</v>
      </c>
      <c r="G643" t="s">
        <v>710</v>
      </c>
      <c r="I643" t="str">
        <f>VLOOKUP(E643,'Trial Balance'!B:B,1,0)</f>
        <v>Bank Fees and Charges</v>
      </c>
    </row>
    <row r="644" spans="1:9">
      <c r="A644" s="1">
        <v>45873</v>
      </c>
      <c r="B644" s="78">
        <v>45900</v>
      </c>
      <c r="C644" t="s">
        <v>391</v>
      </c>
      <c r="D644" t="s">
        <v>31</v>
      </c>
      <c r="E644" t="s">
        <v>986</v>
      </c>
      <c r="F644" s="2">
        <v>80000</v>
      </c>
      <c r="G644" t="s">
        <v>710</v>
      </c>
      <c r="H644" t="s">
        <v>1230</v>
      </c>
      <c r="I644" t="str">
        <f>VLOOKUP(E644,'Trial Balance'!B:B,1,0)</f>
        <v>Refundable security deposit</v>
      </c>
    </row>
    <row r="645" spans="1:9">
      <c r="A645" s="1">
        <v>45873</v>
      </c>
      <c r="B645" s="78">
        <v>45900</v>
      </c>
      <c r="C645" t="s">
        <v>391</v>
      </c>
      <c r="D645" t="s">
        <v>3</v>
      </c>
      <c r="E645" t="s">
        <v>865</v>
      </c>
      <c r="F645" s="2">
        <v>50</v>
      </c>
      <c r="G645" t="s">
        <v>710</v>
      </c>
      <c r="I645" t="str">
        <f>VLOOKUP(E645,'Trial Balance'!B:B,1,0)</f>
        <v>Bank Fees and Charges</v>
      </c>
    </row>
    <row r="646" spans="1:9">
      <c r="A646" s="1">
        <v>45873</v>
      </c>
      <c r="B646" s="78">
        <v>45900</v>
      </c>
      <c r="C646" t="s">
        <v>391</v>
      </c>
      <c r="D646" t="s">
        <v>3</v>
      </c>
      <c r="E646" t="s">
        <v>865</v>
      </c>
      <c r="F646" s="2">
        <v>3.75</v>
      </c>
      <c r="G646" t="s">
        <v>710</v>
      </c>
      <c r="I646" t="str">
        <f>VLOOKUP(E646,'Trial Balance'!B:B,1,0)</f>
        <v>Bank Fees and Charges</v>
      </c>
    </row>
    <row r="647" spans="1:9">
      <c r="A647" s="1">
        <v>45873</v>
      </c>
      <c r="B647" s="78">
        <v>45900</v>
      </c>
      <c r="C647" t="s">
        <v>392</v>
      </c>
      <c r="D647" t="s">
        <v>708</v>
      </c>
      <c r="E647" t="s">
        <v>984</v>
      </c>
      <c r="F647" s="2">
        <v>240000</v>
      </c>
      <c r="G647" t="s">
        <v>710</v>
      </c>
      <c r="I647" t="str">
        <f>VLOOKUP(E647,'Trial Balance'!B:B,1,0)</f>
        <v>Rental expense</v>
      </c>
    </row>
    <row r="648" spans="1:9">
      <c r="A648" s="1">
        <v>45873</v>
      </c>
      <c r="B648" s="78">
        <v>45900</v>
      </c>
      <c r="C648" t="s">
        <v>392</v>
      </c>
      <c r="D648" t="s">
        <v>3</v>
      </c>
      <c r="E648" t="s">
        <v>865</v>
      </c>
      <c r="F648" s="2">
        <v>50</v>
      </c>
      <c r="G648" t="s">
        <v>710</v>
      </c>
      <c r="I648" t="str">
        <f>VLOOKUP(E648,'Trial Balance'!B:B,1,0)</f>
        <v>Bank Fees and Charges</v>
      </c>
    </row>
    <row r="649" spans="1:9">
      <c r="A649" s="1">
        <v>45873</v>
      </c>
      <c r="B649" s="78">
        <v>45900</v>
      </c>
      <c r="C649" t="s">
        <v>392</v>
      </c>
      <c r="D649" t="s">
        <v>3</v>
      </c>
      <c r="E649" t="s">
        <v>865</v>
      </c>
      <c r="F649" s="2">
        <v>3.75</v>
      </c>
      <c r="G649" t="s">
        <v>710</v>
      </c>
      <c r="I649" t="str">
        <f>VLOOKUP(E649,'Trial Balance'!B:B,1,0)</f>
        <v>Bank Fees and Charges</v>
      </c>
    </row>
    <row r="650" spans="1:9">
      <c r="A650" s="1">
        <v>45874</v>
      </c>
      <c r="B650" s="78">
        <v>45900</v>
      </c>
      <c r="C650" t="s">
        <v>394</v>
      </c>
      <c r="D650" t="s">
        <v>32</v>
      </c>
      <c r="E650" t="s">
        <v>32</v>
      </c>
      <c r="F650" s="2">
        <v>2218342</v>
      </c>
      <c r="G650" t="s">
        <v>710</v>
      </c>
      <c r="I650" t="str">
        <f>VLOOKUP(E650,'Trial Balance'!B:B,1,0)</f>
        <v>Staff training</v>
      </c>
    </row>
    <row r="651" spans="1:9">
      <c r="A651" s="1">
        <v>45874</v>
      </c>
      <c r="B651" s="78">
        <v>45900</v>
      </c>
      <c r="C651" t="s">
        <v>395</v>
      </c>
      <c r="D651" t="s">
        <v>3</v>
      </c>
      <c r="E651" t="s">
        <v>865</v>
      </c>
      <c r="F651" s="2">
        <v>50</v>
      </c>
      <c r="G651" t="s">
        <v>710</v>
      </c>
      <c r="I651" t="str">
        <f>VLOOKUP(E651,'Trial Balance'!B:B,1,0)</f>
        <v>Bank Fees and Charges</v>
      </c>
    </row>
    <row r="652" spans="1:9">
      <c r="A652" s="1">
        <v>45874</v>
      </c>
      <c r="B652" s="78">
        <v>45900</v>
      </c>
      <c r="C652" t="s">
        <v>396</v>
      </c>
      <c r="D652" t="s">
        <v>3</v>
      </c>
      <c r="E652" t="s">
        <v>865</v>
      </c>
      <c r="F652" s="2">
        <v>3.75</v>
      </c>
      <c r="G652" t="s">
        <v>710</v>
      </c>
      <c r="I652" t="str">
        <f>VLOOKUP(E652,'Trial Balance'!B:B,1,0)</f>
        <v>Bank Fees and Charges</v>
      </c>
    </row>
    <row r="653" spans="1:9">
      <c r="A653" s="1">
        <v>45874</v>
      </c>
      <c r="B653" s="78">
        <v>45900</v>
      </c>
      <c r="C653" t="s">
        <v>397</v>
      </c>
      <c r="D653" t="s">
        <v>29</v>
      </c>
      <c r="E653" t="s">
        <v>960</v>
      </c>
      <c r="F653" s="2">
        <v>75600</v>
      </c>
      <c r="G653" t="s">
        <v>710</v>
      </c>
      <c r="I653" t="str">
        <f>VLOOKUP(E653,'Trial Balance'!B:B,1,0)</f>
        <v>Fuel/Diesel Expenses</v>
      </c>
    </row>
    <row r="654" spans="1:9">
      <c r="A654" s="1">
        <v>45874</v>
      </c>
      <c r="B654" s="78">
        <v>45900</v>
      </c>
      <c r="C654" t="s">
        <v>397</v>
      </c>
      <c r="D654" t="s">
        <v>3</v>
      </c>
      <c r="E654" t="s">
        <v>865</v>
      </c>
      <c r="F654" s="2">
        <v>50</v>
      </c>
      <c r="G654" t="s">
        <v>710</v>
      </c>
      <c r="I654" t="str">
        <f>VLOOKUP(E654,'Trial Balance'!B:B,1,0)</f>
        <v>Bank Fees and Charges</v>
      </c>
    </row>
    <row r="655" spans="1:9">
      <c r="A655" s="1">
        <v>45874</v>
      </c>
      <c r="B655" s="78">
        <v>45900</v>
      </c>
      <c r="C655" t="s">
        <v>397</v>
      </c>
      <c r="D655" t="s">
        <v>3</v>
      </c>
      <c r="E655" t="s">
        <v>865</v>
      </c>
      <c r="F655" s="2">
        <v>3.75</v>
      </c>
      <c r="G655" t="s">
        <v>710</v>
      </c>
      <c r="I655" t="str">
        <f>VLOOKUP(E655,'Trial Balance'!B:B,1,0)</f>
        <v>Bank Fees and Charges</v>
      </c>
    </row>
    <row r="656" spans="1:9">
      <c r="A656" s="1">
        <v>45875</v>
      </c>
      <c r="B656" s="78">
        <v>45900</v>
      </c>
      <c r="C656" t="s">
        <v>399</v>
      </c>
      <c r="D656" t="s">
        <v>8</v>
      </c>
      <c r="E656" t="s">
        <v>815</v>
      </c>
      <c r="F656" s="2">
        <v>121281.25</v>
      </c>
      <c r="G656" t="s">
        <v>710</v>
      </c>
      <c r="I656" t="str">
        <f>VLOOKUP(E656,'Trial Balance'!B:B,1,0)</f>
        <v>Salaries and Employee Wages</v>
      </c>
    </row>
    <row r="657" spans="1:9">
      <c r="A657" s="1">
        <v>45875</v>
      </c>
      <c r="B657" s="78">
        <v>45900</v>
      </c>
      <c r="C657" t="s">
        <v>399</v>
      </c>
      <c r="D657" t="s">
        <v>3</v>
      </c>
      <c r="E657" t="s">
        <v>865</v>
      </c>
      <c r="F657" s="2">
        <v>50</v>
      </c>
      <c r="G657" t="s">
        <v>710</v>
      </c>
      <c r="I657" t="str">
        <f>VLOOKUP(E657,'Trial Balance'!B:B,1,0)</f>
        <v>Bank Fees and Charges</v>
      </c>
    </row>
    <row r="658" spans="1:9">
      <c r="A658" s="1">
        <v>45875</v>
      </c>
      <c r="B658" s="78">
        <v>45900</v>
      </c>
      <c r="C658" t="s">
        <v>399</v>
      </c>
      <c r="D658" t="s">
        <v>3</v>
      </c>
      <c r="E658" t="s">
        <v>865</v>
      </c>
      <c r="F658" s="2">
        <v>3.75</v>
      </c>
      <c r="G658" t="s">
        <v>710</v>
      </c>
      <c r="I658" t="str">
        <f>VLOOKUP(E658,'Trial Balance'!B:B,1,0)</f>
        <v>Bank Fees and Charges</v>
      </c>
    </row>
    <row r="659" spans="1:9" ht="39">
      <c r="A659" s="1">
        <v>45875</v>
      </c>
      <c r="B659" s="78">
        <v>45900</v>
      </c>
      <c r="C659" t="s">
        <v>400</v>
      </c>
      <c r="D659" t="s">
        <v>19</v>
      </c>
      <c r="E659" t="s">
        <v>977</v>
      </c>
      <c r="F659" s="2">
        <v>-729742</v>
      </c>
      <c r="G659" t="s">
        <v>710</v>
      </c>
      <c r="H659" s="12" t="s">
        <v>759</v>
      </c>
      <c r="I659" t="str">
        <f>VLOOKUP(E659,'Trial Balance'!B:B,1,0)</f>
        <v>Travel expense - International</v>
      </c>
    </row>
    <row r="660" spans="1:9">
      <c r="A660" s="1">
        <v>45876</v>
      </c>
      <c r="B660" s="78">
        <v>45900</v>
      </c>
      <c r="C660" t="s">
        <v>401</v>
      </c>
      <c r="D660" t="s">
        <v>26</v>
      </c>
      <c r="E660" t="s">
        <v>976</v>
      </c>
      <c r="F660" s="2">
        <v>322000</v>
      </c>
      <c r="G660" t="s">
        <v>710</v>
      </c>
      <c r="I660" t="str">
        <f>VLOOKUP(E660,'Trial Balance'!B:B,1,0)</f>
        <v>Travel expense - Local</v>
      </c>
    </row>
    <row r="661" spans="1:9">
      <c r="A661" s="1">
        <v>45876</v>
      </c>
      <c r="B661" s="78">
        <v>45900</v>
      </c>
      <c r="C661" t="s">
        <v>401</v>
      </c>
      <c r="D661" t="s">
        <v>3</v>
      </c>
      <c r="E661" t="s">
        <v>865</v>
      </c>
      <c r="F661" s="2">
        <v>50</v>
      </c>
      <c r="G661" t="s">
        <v>710</v>
      </c>
      <c r="I661" t="str">
        <f>VLOOKUP(E661,'Trial Balance'!B:B,1,0)</f>
        <v>Bank Fees and Charges</v>
      </c>
    </row>
    <row r="662" spans="1:9">
      <c r="A662" s="1">
        <v>45876</v>
      </c>
      <c r="B662" s="78">
        <v>45900</v>
      </c>
      <c r="C662" t="s">
        <v>401</v>
      </c>
      <c r="D662" t="s">
        <v>3</v>
      </c>
      <c r="E662" t="s">
        <v>865</v>
      </c>
      <c r="F662" s="2">
        <v>3.75</v>
      </c>
      <c r="G662" t="s">
        <v>710</v>
      </c>
      <c r="I662" t="str">
        <f>VLOOKUP(E662,'Trial Balance'!B:B,1,0)</f>
        <v>Bank Fees and Charges</v>
      </c>
    </row>
    <row r="663" spans="1:9">
      <c r="A663" s="1">
        <v>45876</v>
      </c>
      <c r="B663" s="78">
        <v>45900</v>
      </c>
      <c r="C663" t="s">
        <v>403</v>
      </c>
      <c r="D663" t="s">
        <v>19</v>
      </c>
      <c r="E663" t="s">
        <v>977</v>
      </c>
      <c r="F663" s="2">
        <v>1085847.8400000036</v>
      </c>
      <c r="G663" t="s">
        <v>710</v>
      </c>
      <c r="H663" s="12" t="s">
        <v>757</v>
      </c>
      <c r="I663" t="str">
        <f>VLOOKUP(E663,'Trial Balance'!B:B,1,0)</f>
        <v>Travel expense - International</v>
      </c>
    </row>
    <row r="664" spans="1:9">
      <c r="A664" s="1">
        <v>45876</v>
      </c>
      <c r="B664" s="78">
        <v>45900</v>
      </c>
      <c r="C664" t="s">
        <v>404</v>
      </c>
      <c r="D664" t="s">
        <v>3</v>
      </c>
      <c r="E664" t="s">
        <v>865</v>
      </c>
      <c r="F664" s="2">
        <v>50</v>
      </c>
      <c r="G664" t="s">
        <v>710</v>
      </c>
      <c r="I664" t="str">
        <f>VLOOKUP(E664,'Trial Balance'!B:B,1,0)</f>
        <v>Bank Fees and Charges</v>
      </c>
    </row>
    <row r="665" spans="1:9">
      <c r="A665" s="1">
        <v>45876</v>
      </c>
      <c r="B665" s="78">
        <v>45900</v>
      </c>
      <c r="C665" t="s">
        <v>405</v>
      </c>
      <c r="D665" t="s">
        <v>3</v>
      </c>
      <c r="E665" t="s">
        <v>865</v>
      </c>
      <c r="F665" s="2">
        <v>3.75</v>
      </c>
      <c r="G665" t="s">
        <v>710</v>
      </c>
      <c r="I665" t="str">
        <f>VLOOKUP(E665,'Trial Balance'!B:B,1,0)</f>
        <v>Bank Fees and Charges</v>
      </c>
    </row>
    <row r="666" spans="1:9">
      <c r="A666" s="1">
        <v>45876</v>
      </c>
      <c r="B666" s="78">
        <v>45900</v>
      </c>
      <c r="C666" t="s">
        <v>406</v>
      </c>
      <c r="D666" t="s">
        <v>3</v>
      </c>
      <c r="E666" t="s">
        <v>865</v>
      </c>
      <c r="F666" s="2">
        <v>50</v>
      </c>
      <c r="G666" t="s">
        <v>710</v>
      </c>
      <c r="I666" t="str">
        <f>VLOOKUP(E666,'Trial Balance'!B:B,1,0)</f>
        <v>Bank Fees and Charges</v>
      </c>
    </row>
    <row r="667" spans="1:9">
      <c r="A667" s="1">
        <v>45880</v>
      </c>
      <c r="B667" s="78">
        <v>45900</v>
      </c>
      <c r="C667" t="s">
        <v>408</v>
      </c>
      <c r="D667" t="s">
        <v>26</v>
      </c>
      <c r="E667" t="s">
        <v>976</v>
      </c>
      <c r="F667" s="2">
        <v>217000</v>
      </c>
      <c r="G667" t="s">
        <v>710</v>
      </c>
      <c r="I667" t="str">
        <f>VLOOKUP(E667,'Trial Balance'!B:B,1,0)</f>
        <v>Travel expense - Local</v>
      </c>
    </row>
    <row r="668" spans="1:9">
      <c r="A668" s="1">
        <v>45880</v>
      </c>
      <c r="B668" s="78">
        <v>45900</v>
      </c>
      <c r="C668" t="s">
        <v>408</v>
      </c>
      <c r="D668" t="s">
        <v>3</v>
      </c>
      <c r="E668" t="s">
        <v>865</v>
      </c>
      <c r="F668" s="2">
        <v>50</v>
      </c>
      <c r="G668" t="s">
        <v>710</v>
      </c>
      <c r="I668" t="str">
        <f>VLOOKUP(E668,'Trial Balance'!B:B,1,0)</f>
        <v>Bank Fees and Charges</v>
      </c>
    </row>
    <row r="669" spans="1:9">
      <c r="A669" s="1">
        <v>45880</v>
      </c>
      <c r="B669" s="78">
        <v>45900</v>
      </c>
      <c r="C669" t="s">
        <v>408</v>
      </c>
      <c r="D669" t="s">
        <v>3</v>
      </c>
      <c r="E669" t="s">
        <v>865</v>
      </c>
      <c r="F669" s="2">
        <v>3.75</v>
      </c>
      <c r="G669" t="s">
        <v>710</v>
      </c>
      <c r="I669" t="str">
        <f>VLOOKUP(E669,'Trial Balance'!B:B,1,0)</f>
        <v>Bank Fees and Charges</v>
      </c>
    </row>
    <row r="670" spans="1:9">
      <c r="A670" s="1">
        <v>45880</v>
      </c>
      <c r="B670" s="78">
        <v>45900</v>
      </c>
      <c r="C670" t="s">
        <v>409</v>
      </c>
      <c r="D670" t="s">
        <v>26</v>
      </c>
      <c r="E670" t="s">
        <v>976</v>
      </c>
      <c r="F670" s="2">
        <v>203000</v>
      </c>
      <c r="G670" t="s">
        <v>710</v>
      </c>
      <c r="I670" t="str">
        <f>VLOOKUP(E670,'Trial Balance'!B:B,1,0)</f>
        <v>Travel expense - Local</v>
      </c>
    </row>
    <row r="671" spans="1:9">
      <c r="A671" s="1">
        <v>45880</v>
      </c>
      <c r="B671" s="78">
        <v>45900</v>
      </c>
      <c r="C671" t="s">
        <v>409</v>
      </c>
      <c r="D671" t="s">
        <v>3</v>
      </c>
      <c r="E671" t="s">
        <v>865</v>
      </c>
      <c r="F671" s="2">
        <v>50</v>
      </c>
      <c r="G671" t="s">
        <v>710</v>
      </c>
      <c r="I671" t="str">
        <f>VLOOKUP(E671,'Trial Balance'!B:B,1,0)</f>
        <v>Bank Fees and Charges</v>
      </c>
    </row>
    <row r="672" spans="1:9">
      <c r="A672" s="1">
        <v>45880</v>
      </c>
      <c r="B672" s="78">
        <v>45900</v>
      </c>
      <c r="C672" t="s">
        <v>409</v>
      </c>
      <c r="D672" t="s">
        <v>3</v>
      </c>
      <c r="E672" t="s">
        <v>865</v>
      </c>
      <c r="F672" s="2">
        <v>3.75</v>
      </c>
      <c r="G672" t="s">
        <v>710</v>
      </c>
      <c r="I672" t="str">
        <f>VLOOKUP(E672,'Trial Balance'!B:B,1,0)</f>
        <v>Bank Fees and Charges</v>
      </c>
    </row>
    <row r="673" spans="1:9">
      <c r="A673" s="1">
        <v>45882</v>
      </c>
      <c r="B673" s="78">
        <v>45900</v>
      </c>
      <c r="C673" t="s">
        <v>411</v>
      </c>
      <c r="D673" t="s">
        <v>29</v>
      </c>
      <c r="E673" t="s">
        <v>960</v>
      </c>
      <c r="F673" s="2">
        <v>20000</v>
      </c>
      <c r="G673" t="s">
        <v>710</v>
      </c>
      <c r="I673" t="str">
        <f>VLOOKUP(E673,'Trial Balance'!B:B,1,0)</f>
        <v>Fuel/Diesel Expenses</v>
      </c>
    </row>
    <row r="674" spans="1:9">
      <c r="A674" s="1">
        <v>45882</v>
      </c>
      <c r="B674" s="78">
        <v>45900</v>
      </c>
      <c r="C674" t="s">
        <v>411</v>
      </c>
      <c r="D674" t="s">
        <v>3</v>
      </c>
      <c r="E674" t="s">
        <v>865</v>
      </c>
      <c r="F674" s="2">
        <v>25</v>
      </c>
      <c r="G674" t="s">
        <v>710</v>
      </c>
      <c r="I674" t="str">
        <f>VLOOKUP(E674,'Trial Balance'!B:B,1,0)</f>
        <v>Bank Fees and Charges</v>
      </c>
    </row>
    <row r="675" spans="1:9">
      <c r="A675" s="1">
        <v>45882</v>
      </c>
      <c r="B675" s="78">
        <v>45900</v>
      </c>
      <c r="C675" t="s">
        <v>411</v>
      </c>
      <c r="D675" t="s">
        <v>3</v>
      </c>
      <c r="E675" t="s">
        <v>865</v>
      </c>
      <c r="F675" s="2">
        <v>1.8799999952316284</v>
      </c>
      <c r="G675" t="s">
        <v>710</v>
      </c>
      <c r="I675" t="str">
        <f>VLOOKUP(E675,'Trial Balance'!B:B,1,0)</f>
        <v>Bank Fees and Charges</v>
      </c>
    </row>
    <row r="676" spans="1:9">
      <c r="A676" s="1">
        <v>45882</v>
      </c>
      <c r="B676" s="78">
        <v>45900</v>
      </c>
      <c r="C676" t="s">
        <v>413</v>
      </c>
      <c r="D676" t="s">
        <v>29</v>
      </c>
      <c r="E676" t="s">
        <v>960</v>
      </c>
      <c r="F676" s="2">
        <v>110000</v>
      </c>
      <c r="G676" t="s">
        <v>710</v>
      </c>
      <c r="I676" t="str">
        <f>VLOOKUP(E676,'Trial Balance'!B:B,1,0)</f>
        <v>Fuel/Diesel Expenses</v>
      </c>
    </row>
    <row r="677" spans="1:9">
      <c r="A677" s="1">
        <v>45882</v>
      </c>
      <c r="B677" s="78">
        <v>45900</v>
      </c>
      <c r="C677" t="s">
        <v>413</v>
      </c>
      <c r="D677" t="s">
        <v>3</v>
      </c>
      <c r="E677" t="s">
        <v>865</v>
      </c>
      <c r="F677" s="2">
        <v>50</v>
      </c>
      <c r="G677" t="s">
        <v>710</v>
      </c>
      <c r="I677" t="str">
        <f>VLOOKUP(E677,'Trial Balance'!B:B,1,0)</f>
        <v>Bank Fees and Charges</v>
      </c>
    </row>
    <row r="678" spans="1:9">
      <c r="A678" s="1">
        <v>45882</v>
      </c>
      <c r="B678" s="78">
        <v>45900</v>
      </c>
      <c r="C678" t="s">
        <v>413</v>
      </c>
      <c r="D678" t="s">
        <v>3</v>
      </c>
      <c r="E678" t="s">
        <v>865</v>
      </c>
      <c r="F678" s="2">
        <v>3.75</v>
      </c>
      <c r="G678" t="s">
        <v>710</v>
      </c>
      <c r="I678" t="str">
        <f>VLOOKUP(E678,'Trial Balance'!B:B,1,0)</f>
        <v>Bank Fees and Charges</v>
      </c>
    </row>
    <row r="679" spans="1:9">
      <c r="A679" s="1">
        <v>45883</v>
      </c>
      <c r="B679" s="78">
        <v>45900</v>
      </c>
      <c r="C679" t="s">
        <v>415</v>
      </c>
      <c r="D679" t="s">
        <v>708</v>
      </c>
      <c r="E679" t="s">
        <v>984</v>
      </c>
      <c r="F679" s="2">
        <v>320000</v>
      </c>
      <c r="G679" t="s">
        <v>710</v>
      </c>
      <c r="I679" t="str">
        <f>VLOOKUP(E679,'Trial Balance'!B:B,1,0)</f>
        <v>Rental expense</v>
      </c>
    </row>
    <row r="680" spans="1:9">
      <c r="A680" s="1">
        <v>45883</v>
      </c>
      <c r="B680" s="78">
        <v>45900</v>
      </c>
      <c r="C680" t="s">
        <v>415</v>
      </c>
      <c r="D680" t="s">
        <v>3</v>
      </c>
      <c r="E680" t="s">
        <v>865</v>
      </c>
      <c r="F680" s="2">
        <v>50</v>
      </c>
      <c r="G680" t="s">
        <v>710</v>
      </c>
      <c r="I680" t="str">
        <f>VLOOKUP(E680,'Trial Balance'!B:B,1,0)</f>
        <v>Bank Fees and Charges</v>
      </c>
    </row>
    <row r="681" spans="1:9">
      <c r="A681" s="1">
        <v>45883</v>
      </c>
      <c r="B681" s="78">
        <v>45900</v>
      </c>
      <c r="C681" t="s">
        <v>415</v>
      </c>
      <c r="D681" t="s">
        <v>3</v>
      </c>
      <c r="E681" t="s">
        <v>865</v>
      </c>
      <c r="F681" s="2">
        <v>3.75</v>
      </c>
      <c r="G681" t="s">
        <v>710</v>
      </c>
      <c r="I681" t="str">
        <f>VLOOKUP(E681,'Trial Balance'!B:B,1,0)</f>
        <v>Bank Fees and Charges</v>
      </c>
    </row>
    <row r="682" spans="1:9">
      <c r="A682" s="1">
        <v>45884</v>
      </c>
      <c r="B682" s="78">
        <v>45900</v>
      </c>
      <c r="C682" t="s">
        <v>417</v>
      </c>
      <c r="D682" t="s">
        <v>4</v>
      </c>
      <c r="E682" t="s">
        <v>874</v>
      </c>
      <c r="F682" s="2">
        <v>32000</v>
      </c>
      <c r="G682" t="s">
        <v>710</v>
      </c>
      <c r="I682" t="str">
        <f>VLOOKUP(E682,'Trial Balance'!B:B,1,0)</f>
        <v>Office Supplies</v>
      </c>
    </row>
    <row r="683" spans="1:9">
      <c r="A683" s="1">
        <v>45884</v>
      </c>
      <c r="B683" s="78">
        <v>45900</v>
      </c>
      <c r="C683" t="s">
        <v>417</v>
      </c>
      <c r="D683" t="s">
        <v>3</v>
      </c>
      <c r="E683" t="s">
        <v>865</v>
      </c>
      <c r="F683" s="2">
        <v>25</v>
      </c>
      <c r="G683" t="s">
        <v>710</v>
      </c>
      <c r="I683" t="str">
        <f>VLOOKUP(E683,'Trial Balance'!B:B,1,0)</f>
        <v>Bank Fees and Charges</v>
      </c>
    </row>
    <row r="684" spans="1:9">
      <c r="A684" s="1">
        <v>45884</v>
      </c>
      <c r="B684" s="78">
        <v>45900</v>
      </c>
      <c r="C684" t="s">
        <v>417</v>
      </c>
      <c r="D684" t="s">
        <v>3</v>
      </c>
      <c r="E684" t="s">
        <v>865</v>
      </c>
      <c r="F684" s="2">
        <v>1.8799999952316284</v>
      </c>
      <c r="G684" t="s">
        <v>710</v>
      </c>
      <c r="I684" t="str">
        <f>VLOOKUP(E684,'Trial Balance'!B:B,1,0)</f>
        <v>Bank Fees and Charges</v>
      </c>
    </row>
    <row r="685" spans="1:9">
      <c r="A685" s="1">
        <v>45888</v>
      </c>
      <c r="B685" s="78">
        <v>45900</v>
      </c>
      <c r="C685" t="s">
        <v>419</v>
      </c>
      <c r="D685" t="s">
        <v>4</v>
      </c>
      <c r="E685" t="s">
        <v>874</v>
      </c>
      <c r="F685" s="2">
        <v>295000</v>
      </c>
      <c r="G685" t="s">
        <v>710</v>
      </c>
      <c r="I685" t="str">
        <f>VLOOKUP(E685,'Trial Balance'!B:B,1,0)</f>
        <v>Office Supplies</v>
      </c>
    </row>
    <row r="686" spans="1:9">
      <c r="A686" s="1">
        <v>45888</v>
      </c>
      <c r="B686" s="78">
        <v>45900</v>
      </c>
      <c r="C686" t="s">
        <v>419</v>
      </c>
      <c r="D686" t="s">
        <v>3</v>
      </c>
      <c r="E686" t="s">
        <v>865</v>
      </c>
      <c r="F686" s="2">
        <v>50</v>
      </c>
      <c r="G686" t="s">
        <v>710</v>
      </c>
      <c r="I686" t="str">
        <f>VLOOKUP(E686,'Trial Balance'!B:B,1,0)</f>
        <v>Bank Fees and Charges</v>
      </c>
    </row>
    <row r="687" spans="1:9">
      <c r="A687" s="1">
        <v>45888</v>
      </c>
      <c r="B687" s="78">
        <v>45900</v>
      </c>
      <c r="C687" t="s">
        <v>419</v>
      </c>
      <c r="D687" t="s">
        <v>3</v>
      </c>
      <c r="E687" t="s">
        <v>865</v>
      </c>
      <c r="F687" s="2">
        <v>3.75</v>
      </c>
      <c r="G687" t="s">
        <v>710</v>
      </c>
      <c r="I687" t="str">
        <f>VLOOKUP(E687,'Trial Balance'!B:B,1,0)</f>
        <v>Bank Fees and Charges</v>
      </c>
    </row>
    <row r="688" spans="1:9">
      <c r="A688" s="1">
        <v>45888</v>
      </c>
      <c r="B688" s="78">
        <v>45900</v>
      </c>
      <c r="C688" t="s">
        <v>420</v>
      </c>
      <c r="D688" t="s">
        <v>29</v>
      </c>
      <c r="E688" t="s">
        <v>960</v>
      </c>
      <c r="F688" s="2">
        <v>34500</v>
      </c>
      <c r="G688" t="s">
        <v>710</v>
      </c>
      <c r="I688" t="str">
        <f>VLOOKUP(E688,'Trial Balance'!B:B,1,0)</f>
        <v>Fuel/Diesel Expenses</v>
      </c>
    </row>
    <row r="689" spans="1:9">
      <c r="A689" s="1">
        <v>45888</v>
      </c>
      <c r="B689" s="78">
        <v>45900</v>
      </c>
      <c r="C689" t="s">
        <v>420</v>
      </c>
      <c r="D689" t="s">
        <v>3</v>
      </c>
      <c r="E689" t="s">
        <v>865</v>
      </c>
      <c r="F689" s="2">
        <v>25</v>
      </c>
      <c r="G689" t="s">
        <v>710</v>
      </c>
      <c r="I689" t="str">
        <f>VLOOKUP(E689,'Trial Balance'!B:B,1,0)</f>
        <v>Bank Fees and Charges</v>
      </c>
    </row>
    <row r="690" spans="1:9">
      <c r="A690" s="1">
        <v>45888</v>
      </c>
      <c r="B690" s="78">
        <v>45900</v>
      </c>
      <c r="C690" t="s">
        <v>420</v>
      </c>
      <c r="D690" t="s">
        <v>3</v>
      </c>
      <c r="E690" t="s">
        <v>865</v>
      </c>
      <c r="F690" s="2">
        <v>1.8800000101327896</v>
      </c>
      <c r="G690" t="s">
        <v>710</v>
      </c>
      <c r="I690" t="str">
        <f>VLOOKUP(E690,'Trial Balance'!B:B,1,0)</f>
        <v>Bank Fees and Charges</v>
      </c>
    </row>
    <row r="691" spans="1:9">
      <c r="A691" s="1">
        <v>45888</v>
      </c>
      <c r="B691" s="78">
        <v>45900</v>
      </c>
      <c r="C691" t="s">
        <v>421</v>
      </c>
      <c r="D691" t="s">
        <v>13</v>
      </c>
      <c r="E691" t="s">
        <v>800</v>
      </c>
      <c r="F691" s="2">
        <v>400000</v>
      </c>
      <c r="G691" t="s">
        <v>710</v>
      </c>
      <c r="I691" t="str">
        <f>VLOOKUP(E691,'Trial Balance'!B:B,1,0)</f>
        <v>Repairs and Maintenance</v>
      </c>
    </row>
    <row r="692" spans="1:9">
      <c r="A692" s="1">
        <v>45888</v>
      </c>
      <c r="B692" s="78">
        <v>45900</v>
      </c>
      <c r="C692" t="s">
        <v>422</v>
      </c>
      <c r="D692" t="s">
        <v>3</v>
      </c>
      <c r="E692" t="s">
        <v>865</v>
      </c>
      <c r="F692" s="2">
        <v>50</v>
      </c>
      <c r="G692" t="s">
        <v>710</v>
      </c>
      <c r="I692" t="str">
        <f>VLOOKUP(E692,'Trial Balance'!B:B,1,0)</f>
        <v>Bank Fees and Charges</v>
      </c>
    </row>
    <row r="693" spans="1:9">
      <c r="A693" s="1">
        <v>45888</v>
      </c>
      <c r="B693" s="78">
        <v>45900</v>
      </c>
      <c r="C693" t="s">
        <v>423</v>
      </c>
      <c r="D693" t="s">
        <v>3</v>
      </c>
      <c r="E693" t="s">
        <v>865</v>
      </c>
      <c r="F693" s="2">
        <v>3.75</v>
      </c>
      <c r="G693" t="s">
        <v>710</v>
      </c>
      <c r="I693" t="str">
        <f>VLOOKUP(E693,'Trial Balance'!B:B,1,0)</f>
        <v>Bank Fees and Charges</v>
      </c>
    </row>
    <row r="694" spans="1:9">
      <c r="A694" s="1">
        <v>45888</v>
      </c>
      <c r="B694" s="78">
        <v>45900</v>
      </c>
      <c r="C694" t="s">
        <v>424</v>
      </c>
      <c r="D694" t="s">
        <v>4</v>
      </c>
      <c r="E694" t="s">
        <v>874</v>
      </c>
      <c r="F694" s="2">
        <v>27000</v>
      </c>
      <c r="G694" t="s">
        <v>710</v>
      </c>
      <c r="I694" t="str">
        <f>VLOOKUP(E694,'Trial Balance'!B:B,1,0)</f>
        <v>Office Supplies</v>
      </c>
    </row>
    <row r="695" spans="1:9">
      <c r="A695" s="1">
        <v>45888</v>
      </c>
      <c r="B695" s="78">
        <v>45900</v>
      </c>
      <c r="C695" t="s">
        <v>424</v>
      </c>
      <c r="D695" t="s">
        <v>3</v>
      </c>
      <c r="E695" t="s">
        <v>865</v>
      </c>
      <c r="F695" s="2">
        <v>25</v>
      </c>
      <c r="G695" t="s">
        <v>710</v>
      </c>
      <c r="I695" t="str">
        <f>VLOOKUP(E695,'Trial Balance'!B:B,1,0)</f>
        <v>Bank Fees and Charges</v>
      </c>
    </row>
    <row r="696" spans="1:9">
      <c r="A696" s="1">
        <v>45888</v>
      </c>
      <c r="B696" s="78">
        <v>45900</v>
      </c>
      <c r="C696" t="s">
        <v>424</v>
      </c>
      <c r="D696" t="s">
        <v>3</v>
      </c>
      <c r="E696" t="s">
        <v>865</v>
      </c>
      <c r="F696" s="2">
        <v>1.8799999952316284</v>
      </c>
      <c r="G696" t="s">
        <v>710</v>
      </c>
      <c r="I696" t="str">
        <f>VLOOKUP(E696,'Trial Balance'!B:B,1,0)</f>
        <v>Bank Fees and Charges</v>
      </c>
    </row>
    <row r="697" spans="1:9">
      <c r="A697" s="1">
        <v>45888</v>
      </c>
      <c r="B697" s="78">
        <v>45900</v>
      </c>
      <c r="C697" t="s">
        <v>425</v>
      </c>
      <c r="D697" t="s">
        <v>10</v>
      </c>
      <c r="E697" t="s">
        <v>956</v>
      </c>
      <c r="F697" s="2">
        <v>5394</v>
      </c>
      <c r="G697" t="s">
        <v>710</v>
      </c>
      <c r="I697" t="str">
        <f>VLOOKUP(E697,'Trial Balance'!B:B,1,0)</f>
        <v>Software expense</v>
      </c>
    </row>
    <row r="698" spans="1:9">
      <c r="A698" s="1">
        <v>45888</v>
      </c>
      <c r="B698" s="78">
        <v>45900</v>
      </c>
      <c r="C698" t="s">
        <v>425</v>
      </c>
      <c r="D698" t="s">
        <v>3</v>
      </c>
      <c r="E698" t="s">
        <v>865</v>
      </c>
      <c r="F698" s="2">
        <v>25</v>
      </c>
      <c r="G698" t="s">
        <v>710</v>
      </c>
      <c r="I698" t="str">
        <f>VLOOKUP(E698,'Trial Balance'!B:B,1,0)</f>
        <v>Bank Fees and Charges</v>
      </c>
    </row>
    <row r="699" spans="1:9">
      <c r="A699" s="1">
        <v>45888</v>
      </c>
      <c r="B699" s="78">
        <v>45900</v>
      </c>
      <c r="C699" t="s">
        <v>425</v>
      </c>
      <c r="D699" t="s">
        <v>3</v>
      </c>
      <c r="E699" t="s">
        <v>865</v>
      </c>
      <c r="F699" s="2">
        <v>1.8799999952316284</v>
      </c>
      <c r="G699" t="s">
        <v>710</v>
      </c>
      <c r="I699" t="str">
        <f>VLOOKUP(E699,'Trial Balance'!B:B,1,0)</f>
        <v>Bank Fees and Charges</v>
      </c>
    </row>
    <row r="700" spans="1:9">
      <c r="A700" s="1">
        <v>45894</v>
      </c>
      <c r="B700" s="78">
        <v>45900</v>
      </c>
      <c r="C700" t="s">
        <v>427</v>
      </c>
      <c r="D700" t="s">
        <v>15</v>
      </c>
      <c r="E700" t="s">
        <v>1353</v>
      </c>
      <c r="F700" s="2">
        <v>25000</v>
      </c>
      <c r="G700" t="s">
        <v>710</v>
      </c>
      <c r="I700" t="str">
        <f>VLOOKUP(E700,'Trial Balance'!B:B,1,0)</f>
        <v>Guest entertainment</v>
      </c>
    </row>
    <row r="701" spans="1:9">
      <c r="A701" s="1">
        <v>45894</v>
      </c>
      <c r="B701" s="78">
        <v>45900</v>
      </c>
      <c r="C701" t="s">
        <v>427</v>
      </c>
      <c r="D701" t="s">
        <v>3</v>
      </c>
      <c r="E701" t="s">
        <v>865</v>
      </c>
      <c r="F701" s="2">
        <v>25</v>
      </c>
      <c r="G701" t="s">
        <v>710</v>
      </c>
      <c r="I701" t="str">
        <f>VLOOKUP(E701,'Trial Balance'!B:B,1,0)</f>
        <v>Bank Fees and Charges</v>
      </c>
    </row>
    <row r="702" spans="1:9">
      <c r="A702" s="1">
        <v>45894</v>
      </c>
      <c r="B702" s="78">
        <v>45900</v>
      </c>
      <c r="C702" t="s">
        <v>427</v>
      </c>
      <c r="D702" t="s">
        <v>3</v>
      </c>
      <c r="E702" t="s">
        <v>865</v>
      </c>
      <c r="F702" s="2">
        <v>1.8800000101327896</v>
      </c>
      <c r="G702" t="s">
        <v>710</v>
      </c>
      <c r="I702" t="str">
        <f>VLOOKUP(E702,'Trial Balance'!B:B,1,0)</f>
        <v>Bank Fees and Charges</v>
      </c>
    </row>
    <row r="703" spans="1:9">
      <c r="A703" s="1">
        <v>45894</v>
      </c>
      <c r="B703" s="78">
        <v>45900</v>
      </c>
      <c r="C703" t="s">
        <v>428</v>
      </c>
      <c r="D703" t="s">
        <v>19</v>
      </c>
      <c r="E703" s="14" t="s">
        <v>991</v>
      </c>
      <c r="F703" s="2">
        <v>-450000</v>
      </c>
      <c r="G703" t="s">
        <v>710</v>
      </c>
      <c r="H703" s="86" t="s">
        <v>1363</v>
      </c>
      <c r="I703" t="str">
        <f>VLOOKUP(E703,'Trial Balance'!B:B,1,0)</f>
        <v>Clearing account</v>
      </c>
    </row>
    <row r="704" spans="1:9">
      <c r="A704" s="1">
        <v>45894</v>
      </c>
      <c r="B704" s="78">
        <v>45900</v>
      </c>
      <c r="C704" t="s">
        <v>429</v>
      </c>
      <c r="D704" t="s">
        <v>4</v>
      </c>
      <c r="E704" t="s">
        <v>874</v>
      </c>
      <c r="F704" s="2">
        <v>140000</v>
      </c>
      <c r="G704" t="s">
        <v>710</v>
      </c>
      <c r="I704" t="str">
        <f>VLOOKUP(E704,'Trial Balance'!B:B,1,0)</f>
        <v>Office Supplies</v>
      </c>
    </row>
    <row r="705" spans="1:9">
      <c r="A705" s="1">
        <v>45894</v>
      </c>
      <c r="B705" s="78">
        <v>45900</v>
      </c>
      <c r="C705" t="s">
        <v>429</v>
      </c>
      <c r="D705" t="s">
        <v>3</v>
      </c>
      <c r="E705" t="s">
        <v>865</v>
      </c>
      <c r="F705" s="2">
        <v>50</v>
      </c>
      <c r="G705" t="s">
        <v>710</v>
      </c>
      <c r="I705" t="str">
        <f>VLOOKUP(E705,'Trial Balance'!B:B,1,0)</f>
        <v>Bank Fees and Charges</v>
      </c>
    </row>
    <row r="706" spans="1:9">
      <c r="A706" s="1">
        <v>45894</v>
      </c>
      <c r="B706" s="78">
        <v>45900</v>
      </c>
      <c r="C706" t="s">
        <v>429</v>
      </c>
      <c r="D706" t="s">
        <v>3</v>
      </c>
      <c r="E706" t="s">
        <v>865</v>
      </c>
      <c r="F706" s="2">
        <v>3.75</v>
      </c>
      <c r="G706" t="s">
        <v>710</v>
      </c>
      <c r="I706" t="str">
        <f>VLOOKUP(E706,'Trial Balance'!B:B,1,0)</f>
        <v>Bank Fees and Charges</v>
      </c>
    </row>
    <row r="707" spans="1:9">
      <c r="A707" s="1">
        <v>45894</v>
      </c>
      <c r="B707" s="78">
        <v>45900</v>
      </c>
      <c r="C707" t="s">
        <v>430</v>
      </c>
      <c r="D707" t="s">
        <v>33</v>
      </c>
      <c r="E707" t="s">
        <v>982</v>
      </c>
      <c r="F707" s="2">
        <v>20000</v>
      </c>
      <c r="G707" t="s">
        <v>710</v>
      </c>
      <c r="I707" t="str">
        <f>VLOOKUP(E707,'Trial Balance'!B:B,1,0)</f>
        <v>Staff allowances</v>
      </c>
    </row>
    <row r="708" spans="1:9">
      <c r="A708" s="1">
        <v>45894</v>
      </c>
      <c r="B708" s="78">
        <v>45900</v>
      </c>
      <c r="C708" t="s">
        <v>431</v>
      </c>
      <c r="D708" t="s">
        <v>3</v>
      </c>
      <c r="E708" t="s">
        <v>865</v>
      </c>
      <c r="F708" s="2">
        <v>25</v>
      </c>
      <c r="G708" t="s">
        <v>710</v>
      </c>
      <c r="I708" t="str">
        <f>VLOOKUP(E708,'Trial Balance'!B:B,1,0)</f>
        <v>Bank Fees and Charges</v>
      </c>
    </row>
    <row r="709" spans="1:9">
      <c r="A709" s="1">
        <v>45894</v>
      </c>
      <c r="B709" s="78">
        <v>45900</v>
      </c>
      <c r="C709" t="s">
        <v>432</v>
      </c>
      <c r="D709" t="s">
        <v>3</v>
      </c>
      <c r="E709" t="s">
        <v>865</v>
      </c>
      <c r="F709" s="2">
        <v>1.8799999952316284</v>
      </c>
      <c r="G709" t="s">
        <v>710</v>
      </c>
      <c r="I709" t="str">
        <f>VLOOKUP(E709,'Trial Balance'!B:B,1,0)</f>
        <v>Bank Fees and Charges</v>
      </c>
    </row>
    <row r="710" spans="1:9">
      <c r="A710" s="1">
        <v>45894</v>
      </c>
      <c r="B710" s="78">
        <v>45900</v>
      </c>
      <c r="C710" t="s">
        <v>433</v>
      </c>
      <c r="D710" t="s">
        <v>33</v>
      </c>
      <c r="E710" t="s">
        <v>982</v>
      </c>
      <c r="F710" s="2">
        <v>20000</v>
      </c>
      <c r="G710" t="s">
        <v>710</v>
      </c>
      <c r="I710" t="str">
        <f>VLOOKUP(E710,'Trial Balance'!B:B,1,0)</f>
        <v>Staff allowances</v>
      </c>
    </row>
    <row r="711" spans="1:9">
      <c r="A711" s="1">
        <v>45894</v>
      </c>
      <c r="B711" s="78">
        <v>45900</v>
      </c>
      <c r="C711" t="s">
        <v>434</v>
      </c>
      <c r="D711" t="s">
        <v>3</v>
      </c>
      <c r="E711" t="s">
        <v>865</v>
      </c>
      <c r="F711" s="2">
        <v>25</v>
      </c>
      <c r="G711" t="s">
        <v>710</v>
      </c>
      <c r="I711" t="str">
        <f>VLOOKUP(E711,'Trial Balance'!B:B,1,0)</f>
        <v>Bank Fees and Charges</v>
      </c>
    </row>
    <row r="712" spans="1:9">
      <c r="A712" s="1">
        <v>45894</v>
      </c>
      <c r="B712" s="78">
        <v>45900</v>
      </c>
      <c r="C712" t="s">
        <v>435</v>
      </c>
      <c r="D712" t="s">
        <v>3</v>
      </c>
      <c r="E712" t="s">
        <v>865</v>
      </c>
      <c r="F712" s="2">
        <v>1.8799999952316284</v>
      </c>
      <c r="G712" t="s">
        <v>710</v>
      </c>
      <c r="I712" t="str">
        <f>VLOOKUP(E712,'Trial Balance'!B:B,1,0)</f>
        <v>Bank Fees and Charges</v>
      </c>
    </row>
    <row r="713" spans="1:9">
      <c r="A713" s="1">
        <v>45894</v>
      </c>
      <c r="B713" s="78">
        <v>45900</v>
      </c>
      <c r="C713" t="s">
        <v>436</v>
      </c>
      <c r="D713" t="s">
        <v>33</v>
      </c>
      <c r="E713" t="s">
        <v>982</v>
      </c>
      <c r="F713" s="2">
        <v>35000</v>
      </c>
      <c r="G713" t="s">
        <v>710</v>
      </c>
      <c r="I713" t="str">
        <f>VLOOKUP(E713,'Trial Balance'!B:B,1,0)</f>
        <v>Staff allowances</v>
      </c>
    </row>
    <row r="714" spans="1:9">
      <c r="A714" s="1">
        <v>45894</v>
      </c>
      <c r="B714" s="78">
        <v>45900</v>
      </c>
      <c r="C714" t="s">
        <v>437</v>
      </c>
      <c r="D714" t="s">
        <v>3</v>
      </c>
      <c r="E714" t="s">
        <v>865</v>
      </c>
      <c r="F714" s="2">
        <v>25</v>
      </c>
      <c r="G714" t="s">
        <v>710</v>
      </c>
      <c r="I714" t="str">
        <f>VLOOKUP(E714,'Trial Balance'!B:B,1,0)</f>
        <v>Bank Fees and Charges</v>
      </c>
    </row>
    <row r="715" spans="1:9">
      <c r="A715" s="1">
        <v>45894</v>
      </c>
      <c r="B715" s="78">
        <v>45900</v>
      </c>
      <c r="C715" t="s">
        <v>438</v>
      </c>
      <c r="D715" t="s">
        <v>3</v>
      </c>
      <c r="E715" t="s">
        <v>865</v>
      </c>
      <c r="F715" s="2">
        <v>1.8800000101327896</v>
      </c>
      <c r="G715" t="s">
        <v>710</v>
      </c>
      <c r="I715" t="str">
        <f>VLOOKUP(E715,'Trial Balance'!B:B,1,0)</f>
        <v>Bank Fees and Charges</v>
      </c>
    </row>
    <row r="716" spans="1:9">
      <c r="A716" s="1">
        <v>45894</v>
      </c>
      <c r="B716" s="78">
        <v>45900</v>
      </c>
      <c r="C716" t="s">
        <v>439</v>
      </c>
      <c r="D716" t="s">
        <v>8</v>
      </c>
      <c r="E716" t="s">
        <v>815</v>
      </c>
      <c r="F716" s="112">
        <v>283172.19999998808</v>
      </c>
      <c r="G716" t="s">
        <v>710</v>
      </c>
      <c r="I716" t="str">
        <f>VLOOKUP(E716,'Trial Balance'!B:B,1,0)</f>
        <v>Salaries and Employee Wages</v>
      </c>
    </row>
    <row r="717" spans="1:9">
      <c r="A717" s="1">
        <v>45894</v>
      </c>
      <c r="B717" s="78">
        <v>45900</v>
      </c>
      <c r="C717" t="s">
        <v>440</v>
      </c>
      <c r="D717" t="s">
        <v>3</v>
      </c>
      <c r="E717" t="s">
        <v>865</v>
      </c>
      <c r="F717" s="2">
        <v>50</v>
      </c>
      <c r="G717" t="s">
        <v>710</v>
      </c>
      <c r="I717" t="str">
        <f>VLOOKUP(E717,'Trial Balance'!B:B,1,0)</f>
        <v>Bank Fees and Charges</v>
      </c>
    </row>
    <row r="718" spans="1:9">
      <c r="A718" s="1">
        <v>45894</v>
      </c>
      <c r="B718" s="78">
        <v>45900</v>
      </c>
      <c r="C718" t="s">
        <v>441</v>
      </c>
      <c r="D718" t="s">
        <v>3</v>
      </c>
      <c r="E718" t="s">
        <v>865</v>
      </c>
      <c r="F718" s="2">
        <v>3.75</v>
      </c>
      <c r="G718" t="s">
        <v>710</v>
      </c>
      <c r="I718" t="str">
        <f>VLOOKUP(E718,'Trial Balance'!B:B,1,0)</f>
        <v>Bank Fees and Charges</v>
      </c>
    </row>
    <row r="719" spans="1:9">
      <c r="A719" s="1">
        <v>45894</v>
      </c>
      <c r="B719" s="78">
        <v>45900</v>
      </c>
      <c r="C719" t="s">
        <v>442</v>
      </c>
      <c r="D719" t="s">
        <v>8</v>
      </c>
      <c r="E719" t="s">
        <v>815</v>
      </c>
      <c r="F719" s="112">
        <v>283172.20000000298</v>
      </c>
      <c r="G719" t="s">
        <v>710</v>
      </c>
      <c r="I719" t="str">
        <f>VLOOKUP(E719,'Trial Balance'!B:B,1,0)</f>
        <v>Salaries and Employee Wages</v>
      </c>
    </row>
    <row r="720" spans="1:9">
      <c r="A720" s="1">
        <v>45894</v>
      </c>
      <c r="B720" s="78">
        <v>45900</v>
      </c>
      <c r="C720" t="s">
        <v>443</v>
      </c>
      <c r="D720" t="s">
        <v>3</v>
      </c>
      <c r="E720" t="s">
        <v>865</v>
      </c>
      <c r="F720" s="2">
        <v>50</v>
      </c>
      <c r="G720" t="s">
        <v>710</v>
      </c>
      <c r="I720" t="str">
        <f>VLOOKUP(E720,'Trial Balance'!B:B,1,0)</f>
        <v>Bank Fees and Charges</v>
      </c>
    </row>
    <row r="721" spans="1:9">
      <c r="A721" s="1">
        <v>45894</v>
      </c>
      <c r="B721" s="78">
        <v>45900</v>
      </c>
      <c r="C721" t="s">
        <v>444</v>
      </c>
      <c r="D721" t="s">
        <v>3</v>
      </c>
      <c r="E721" t="s">
        <v>865</v>
      </c>
      <c r="F721" s="2">
        <v>3.75</v>
      </c>
      <c r="G721" t="s">
        <v>710</v>
      </c>
      <c r="I721" t="str">
        <f>VLOOKUP(E721,'Trial Balance'!B:B,1,0)</f>
        <v>Bank Fees and Charges</v>
      </c>
    </row>
    <row r="722" spans="1:9">
      <c r="A722" s="1">
        <v>45894</v>
      </c>
      <c r="B722" s="78">
        <v>45900</v>
      </c>
      <c r="C722" t="s">
        <v>445</v>
      </c>
      <c r="D722" t="s">
        <v>8</v>
      </c>
      <c r="E722" t="s">
        <v>815</v>
      </c>
      <c r="F722" s="112">
        <v>283172.20000000298</v>
      </c>
      <c r="G722" t="s">
        <v>710</v>
      </c>
      <c r="I722" t="str">
        <f>VLOOKUP(E722,'Trial Balance'!B:B,1,0)</f>
        <v>Salaries and Employee Wages</v>
      </c>
    </row>
    <row r="723" spans="1:9">
      <c r="A723" s="1">
        <v>45894</v>
      </c>
      <c r="B723" s="78">
        <v>45900</v>
      </c>
      <c r="C723" t="s">
        <v>446</v>
      </c>
      <c r="D723" t="s">
        <v>3</v>
      </c>
      <c r="E723" t="s">
        <v>865</v>
      </c>
      <c r="F723" s="2">
        <v>50</v>
      </c>
      <c r="G723" t="s">
        <v>710</v>
      </c>
      <c r="I723" t="str">
        <f>VLOOKUP(E723,'Trial Balance'!B:B,1,0)</f>
        <v>Bank Fees and Charges</v>
      </c>
    </row>
    <row r="724" spans="1:9">
      <c r="A724" s="1">
        <v>45894</v>
      </c>
      <c r="B724" s="78">
        <v>45900</v>
      </c>
      <c r="C724" t="s">
        <v>447</v>
      </c>
      <c r="D724" t="s">
        <v>3</v>
      </c>
      <c r="E724" t="s">
        <v>865</v>
      </c>
      <c r="F724" s="2">
        <v>3.75</v>
      </c>
      <c r="G724" t="s">
        <v>710</v>
      </c>
      <c r="I724" t="str">
        <f>VLOOKUP(E724,'Trial Balance'!B:B,1,0)</f>
        <v>Bank Fees and Charges</v>
      </c>
    </row>
    <row r="725" spans="1:9">
      <c r="A725" s="1">
        <v>45894</v>
      </c>
      <c r="B725" s="78">
        <v>45900</v>
      </c>
      <c r="C725" t="s">
        <v>448</v>
      </c>
      <c r="D725" t="s">
        <v>8</v>
      </c>
      <c r="E725" t="s">
        <v>815</v>
      </c>
      <c r="F725" s="112">
        <v>52835</v>
      </c>
      <c r="G725" t="s">
        <v>710</v>
      </c>
      <c r="I725" t="str">
        <f>VLOOKUP(E725,'Trial Balance'!B:B,1,0)</f>
        <v>Salaries and Employee Wages</v>
      </c>
    </row>
    <row r="726" spans="1:9">
      <c r="A726" s="1">
        <v>45894</v>
      </c>
      <c r="B726" s="78">
        <v>45900</v>
      </c>
      <c r="C726" t="s">
        <v>449</v>
      </c>
      <c r="D726" t="s">
        <v>3</v>
      </c>
      <c r="E726" t="s">
        <v>865</v>
      </c>
      <c r="F726" s="2">
        <v>50</v>
      </c>
      <c r="G726" t="s">
        <v>710</v>
      </c>
      <c r="I726" t="str">
        <f>VLOOKUP(E726,'Trial Balance'!B:B,1,0)</f>
        <v>Bank Fees and Charges</v>
      </c>
    </row>
    <row r="727" spans="1:9">
      <c r="A727" s="1">
        <v>45894</v>
      </c>
      <c r="B727" s="78">
        <v>45900</v>
      </c>
      <c r="C727" t="s">
        <v>450</v>
      </c>
      <c r="D727" t="s">
        <v>3</v>
      </c>
      <c r="E727" t="s">
        <v>865</v>
      </c>
      <c r="F727" s="2">
        <v>3.75</v>
      </c>
      <c r="G727" t="s">
        <v>710</v>
      </c>
      <c r="I727" t="str">
        <f>VLOOKUP(E727,'Trial Balance'!B:B,1,0)</f>
        <v>Bank Fees and Charges</v>
      </c>
    </row>
    <row r="728" spans="1:9">
      <c r="A728" s="1">
        <v>45894</v>
      </c>
      <c r="B728" s="78">
        <v>45900</v>
      </c>
      <c r="C728" t="s">
        <v>451</v>
      </c>
      <c r="D728" t="s">
        <v>8</v>
      </c>
      <c r="E728" t="s">
        <v>815</v>
      </c>
      <c r="F728" s="112">
        <v>283172.20000000298</v>
      </c>
      <c r="G728" t="s">
        <v>710</v>
      </c>
      <c r="I728" t="str">
        <f>VLOOKUP(E728,'Trial Balance'!B:B,1,0)</f>
        <v>Salaries and Employee Wages</v>
      </c>
    </row>
    <row r="729" spans="1:9">
      <c r="A729" s="1">
        <v>45894</v>
      </c>
      <c r="B729" s="78">
        <v>45900</v>
      </c>
      <c r="C729" t="s">
        <v>452</v>
      </c>
      <c r="D729" t="s">
        <v>3</v>
      </c>
      <c r="E729" t="s">
        <v>865</v>
      </c>
      <c r="F729" s="2">
        <v>50</v>
      </c>
      <c r="G729" t="s">
        <v>710</v>
      </c>
      <c r="I729" t="str">
        <f>VLOOKUP(E729,'Trial Balance'!B:B,1,0)</f>
        <v>Bank Fees and Charges</v>
      </c>
    </row>
    <row r="730" spans="1:9">
      <c r="A730" s="1">
        <v>45894</v>
      </c>
      <c r="B730" s="78">
        <v>45900</v>
      </c>
      <c r="C730" t="s">
        <v>453</v>
      </c>
      <c r="D730" t="s">
        <v>3</v>
      </c>
      <c r="E730" t="s">
        <v>865</v>
      </c>
      <c r="F730" s="2">
        <v>3.75</v>
      </c>
      <c r="G730" t="s">
        <v>710</v>
      </c>
      <c r="I730" t="str">
        <f>VLOOKUP(E730,'Trial Balance'!B:B,1,0)</f>
        <v>Bank Fees and Charges</v>
      </c>
    </row>
    <row r="731" spans="1:9">
      <c r="A731" s="1">
        <v>45894</v>
      </c>
      <c r="B731" s="78">
        <v>45900</v>
      </c>
      <c r="C731" t="s">
        <v>454</v>
      </c>
      <c r="D731" t="s">
        <v>8</v>
      </c>
      <c r="E731" t="s">
        <v>815</v>
      </c>
      <c r="F731" s="112">
        <v>486614.59999999404</v>
      </c>
      <c r="G731" t="s">
        <v>710</v>
      </c>
      <c r="I731" t="str">
        <f>VLOOKUP(E731,'Trial Balance'!B:B,1,0)</f>
        <v>Salaries and Employee Wages</v>
      </c>
    </row>
    <row r="732" spans="1:9">
      <c r="A732" s="1">
        <v>45894</v>
      </c>
      <c r="B732" s="78">
        <v>45900</v>
      </c>
      <c r="C732" t="s">
        <v>455</v>
      </c>
      <c r="D732" t="s">
        <v>3</v>
      </c>
      <c r="E732" t="s">
        <v>865</v>
      </c>
      <c r="F732" s="2">
        <v>50</v>
      </c>
      <c r="G732" t="s">
        <v>710</v>
      </c>
      <c r="I732" t="str">
        <f>VLOOKUP(E732,'Trial Balance'!B:B,1,0)</f>
        <v>Bank Fees and Charges</v>
      </c>
    </row>
    <row r="733" spans="1:9">
      <c r="A733" s="1">
        <v>45894</v>
      </c>
      <c r="B733" s="78">
        <v>45900</v>
      </c>
      <c r="C733" t="s">
        <v>456</v>
      </c>
      <c r="D733" t="s">
        <v>3</v>
      </c>
      <c r="E733" t="s">
        <v>865</v>
      </c>
      <c r="F733" s="2">
        <v>3.75</v>
      </c>
      <c r="G733" t="s">
        <v>710</v>
      </c>
      <c r="I733" t="str">
        <f>VLOOKUP(E733,'Trial Balance'!B:B,1,0)</f>
        <v>Bank Fees and Charges</v>
      </c>
    </row>
    <row r="734" spans="1:9">
      <c r="A734" s="1">
        <v>45894</v>
      </c>
      <c r="B734" s="78">
        <v>45900</v>
      </c>
      <c r="C734" t="s">
        <v>457</v>
      </c>
      <c r="D734" t="s">
        <v>8</v>
      </c>
      <c r="E734" t="s">
        <v>815</v>
      </c>
      <c r="F734" s="112">
        <v>52835</v>
      </c>
      <c r="G734" t="s">
        <v>710</v>
      </c>
      <c r="I734" t="str">
        <f>VLOOKUP(E734,'Trial Balance'!B:B,1,0)</f>
        <v>Salaries and Employee Wages</v>
      </c>
    </row>
    <row r="735" spans="1:9">
      <c r="A735" s="1">
        <v>45894</v>
      </c>
      <c r="B735" s="78">
        <v>45900</v>
      </c>
      <c r="C735" t="s">
        <v>458</v>
      </c>
      <c r="D735" t="s">
        <v>3</v>
      </c>
      <c r="E735" t="s">
        <v>865</v>
      </c>
      <c r="F735" s="2">
        <v>50</v>
      </c>
      <c r="G735" t="s">
        <v>710</v>
      </c>
      <c r="I735" t="str">
        <f>VLOOKUP(E735,'Trial Balance'!B:B,1,0)</f>
        <v>Bank Fees and Charges</v>
      </c>
    </row>
    <row r="736" spans="1:9">
      <c r="A736" s="1">
        <v>45894</v>
      </c>
      <c r="B736" s="78">
        <v>45900</v>
      </c>
      <c r="C736" t="s">
        <v>459</v>
      </c>
      <c r="D736" t="s">
        <v>3</v>
      </c>
      <c r="E736" t="s">
        <v>865</v>
      </c>
      <c r="F736" s="2">
        <v>3.75</v>
      </c>
      <c r="G736" t="s">
        <v>710</v>
      </c>
      <c r="I736" t="str">
        <f>VLOOKUP(E736,'Trial Balance'!B:B,1,0)</f>
        <v>Bank Fees and Charges</v>
      </c>
    </row>
    <row r="737" spans="1:9">
      <c r="A737" s="1">
        <v>45894</v>
      </c>
      <c r="B737" s="78">
        <v>45900</v>
      </c>
      <c r="C737" t="s">
        <v>460</v>
      </c>
      <c r="D737" t="s">
        <v>8</v>
      </c>
      <c r="E737" t="s">
        <v>815</v>
      </c>
      <c r="F737" s="112">
        <v>283172.20000000298</v>
      </c>
      <c r="G737" t="s">
        <v>710</v>
      </c>
      <c r="I737" t="str">
        <f>VLOOKUP(E737,'Trial Balance'!B:B,1,0)</f>
        <v>Salaries and Employee Wages</v>
      </c>
    </row>
    <row r="738" spans="1:9">
      <c r="A738" s="1">
        <v>45894</v>
      </c>
      <c r="B738" s="78">
        <v>45900</v>
      </c>
      <c r="C738" t="s">
        <v>461</v>
      </c>
      <c r="D738" t="s">
        <v>3</v>
      </c>
      <c r="E738" t="s">
        <v>865</v>
      </c>
      <c r="F738" s="2">
        <v>50</v>
      </c>
      <c r="G738" t="s">
        <v>710</v>
      </c>
      <c r="I738" t="str">
        <f>VLOOKUP(E738,'Trial Balance'!B:B,1,0)</f>
        <v>Bank Fees and Charges</v>
      </c>
    </row>
    <row r="739" spans="1:9">
      <c r="A739" s="1">
        <v>45894</v>
      </c>
      <c r="B739" s="78">
        <v>45900</v>
      </c>
      <c r="C739" t="s">
        <v>462</v>
      </c>
      <c r="D739" t="s">
        <v>3</v>
      </c>
      <c r="E739" t="s">
        <v>865</v>
      </c>
      <c r="F739" s="2">
        <v>3.75</v>
      </c>
      <c r="G739" t="s">
        <v>710</v>
      </c>
      <c r="I739" t="str">
        <f>VLOOKUP(E739,'Trial Balance'!B:B,1,0)</f>
        <v>Bank Fees and Charges</v>
      </c>
    </row>
    <row r="740" spans="1:9">
      <c r="A740" s="1">
        <v>45894</v>
      </c>
      <c r="B740" s="78">
        <v>45900</v>
      </c>
      <c r="C740" t="s">
        <v>463</v>
      </c>
      <c r="D740" t="s">
        <v>8</v>
      </c>
      <c r="E740" t="s">
        <v>815</v>
      </c>
      <c r="F740" s="112">
        <v>283172.20000000298</v>
      </c>
      <c r="G740" t="s">
        <v>710</v>
      </c>
      <c r="I740" t="str">
        <f>VLOOKUP(E740,'Trial Balance'!B:B,1,0)</f>
        <v>Salaries and Employee Wages</v>
      </c>
    </row>
    <row r="741" spans="1:9">
      <c r="A741" s="1">
        <v>45894</v>
      </c>
      <c r="B741" s="78">
        <v>45900</v>
      </c>
      <c r="C741" t="s">
        <v>464</v>
      </c>
      <c r="D741" t="s">
        <v>3</v>
      </c>
      <c r="E741" t="s">
        <v>865</v>
      </c>
      <c r="F741" s="2">
        <v>50</v>
      </c>
      <c r="G741" t="s">
        <v>710</v>
      </c>
      <c r="I741" t="str">
        <f>VLOOKUP(E741,'Trial Balance'!B:B,1,0)</f>
        <v>Bank Fees and Charges</v>
      </c>
    </row>
    <row r="742" spans="1:9">
      <c r="A742" s="1">
        <v>45894</v>
      </c>
      <c r="B742" s="78">
        <v>45900</v>
      </c>
      <c r="C742" t="s">
        <v>465</v>
      </c>
      <c r="D742" t="s">
        <v>3</v>
      </c>
      <c r="E742" t="s">
        <v>865</v>
      </c>
      <c r="F742" s="2">
        <v>3.75</v>
      </c>
      <c r="G742" t="s">
        <v>710</v>
      </c>
      <c r="I742" t="str">
        <f>VLOOKUP(E742,'Trial Balance'!B:B,1,0)</f>
        <v>Bank Fees and Charges</v>
      </c>
    </row>
    <row r="743" spans="1:9">
      <c r="A743" s="1">
        <v>45894</v>
      </c>
      <c r="B743" s="78">
        <v>45900</v>
      </c>
      <c r="C743" t="s">
        <v>466</v>
      </c>
      <c r="D743" t="s">
        <v>8</v>
      </c>
      <c r="E743" t="s">
        <v>815</v>
      </c>
      <c r="F743" s="112">
        <v>283172.19999999553</v>
      </c>
      <c r="G743" t="s">
        <v>710</v>
      </c>
      <c r="I743" t="str">
        <f>VLOOKUP(E743,'Trial Balance'!B:B,1,0)</f>
        <v>Salaries and Employee Wages</v>
      </c>
    </row>
    <row r="744" spans="1:9">
      <c r="A744" s="1">
        <v>45894</v>
      </c>
      <c r="B744" s="78">
        <v>45900</v>
      </c>
      <c r="C744" t="s">
        <v>467</v>
      </c>
      <c r="D744" t="s">
        <v>3</v>
      </c>
      <c r="E744" t="s">
        <v>865</v>
      </c>
      <c r="F744" s="2">
        <v>50</v>
      </c>
      <c r="G744" t="s">
        <v>710</v>
      </c>
      <c r="I744" t="str">
        <f>VLOOKUP(E744,'Trial Balance'!B:B,1,0)</f>
        <v>Bank Fees and Charges</v>
      </c>
    </row>
    <row r="745" spans="1:9">
      <c r="A745" s="1">
        <v>45894</v>
      </c>
      <c r="B745" s="78">
        <v>45900</v>
      </c>
      <c r="C745" t="s">
        <v>468</v>
      </c>
      <c r="D745" t="s">
        <v>3</v>
      </c>
      <c r="E745" t="s">
        <v>865</v>
      </c>
      <c r="F745" s="2">
        <v>3.75</v>
      </c>
      <c r="G745" t="s">
        <v>710</v>
      </c>
      <c r="I745" t="str">
        <f>VLOOKUP(E745,'Trial Balance'!B:B,1,0)</f>
        <v>Bank Fees and Charges</v>
      </c>
    </row>
    <row r="746" spans="1:9">
      <c r="A746" s="1">
        <v>45894</v>
      </c>
      <c r="B746" s="78">
        <v>45900</v>
      </c>
      <c r="C746" t="s">
        <v>469</v>
      </c>
      <c r="D746" t="s">
        <v>8</v>
      </c>
      <c r="E746" t="s">
        <v>815</v>
      </c>
      <c r="F746" s="112">
        <v>4019028.3599999994</v>
      </c>
      <c r="G746" t="s">
        <v>710</v>
      </c>
      <c r="I746" t="str">
        <f>VLOOKUP(E746,'Trial Balance'!B:B,1,0)</f>
        <v>Salaries and Employee Wages</v>
      </c>
    </row>
    <row r="747" spans="1:9">
      <c r="A747" s="1">
        <v>45894</v>
      </c>
      <c r="B747" s="78">
        <v>45900</v>
      </c>
      <c r="C747" t="s">
        <v>470</v>
      </c>
      <c r="D747" t="s">
        <v>3</v>
      </c>
      <c r="E747" t="s">
        <v>865</v>
      </c>
      <c r="F747" s="2">
        <v>50</v>
      </c>
      <c r="G747" t="s">
        <v>710</v>
      </c>
      <c r="I747" t="str">
        <f>VLOOKUP(E747,'Trial Balance'!B:B,1,0)</f>
        <v>Bank Fees and Charges</v>
      </c>
    </row>
    <row r="748" spans="1:9">
      <c r="A748" s="1">
        <v>45894</v>
      </c>
      <c r="B748" s="78">
        <v>45900</v>
      </c>
      <c r="C748" t="s">
        <v>471</v>
      </c>
      <c r="D748" t="s">
        <v>3</v>
      </c>
      <c r="E748" t="s">
        <v>865</v>
      </c>
      <c r="F748" s="2">
        <v>3.75</v>
      </c>
      <c r="G748" t="s">
        <v>710</v>
      </c>
      <c r="I748" t="str">
        <f>VLOOKUP(E748,'Trial Balance'!B:B,1,0)</f>
        <v>Bank Fees and Charges</v>
      </c>
    </row>
    <row r="749" spans="1:9">
      <c r="A749" s="1">
        <v>45894</v>
      </c>
      <c r="B749" s="78">
        <v>45900</v>
      </c>
      <c r="C749" t="s">
        <v>472</v>
      </c>
      <c r="D749" t="s">
        <v>8</v>
      </c>
      <c r="E749" t="s">
        <v>815</v>
      </c>
      <c r="F749" s="112">
        <v>283172.20000000298</v>
      </c>
      <c r="G749" t="s">
        <v>710</v>
      </c>
      <c r="I749" t="str">
        <f>VLOOKUP(E749,'Trial Balance'!B:B,1,0)</f>
        <v>Salaries and Employee Wages</v>
      </c>
    </row>
    <row r="750" spans="1:9">
      <c r="A750" s="1">
        <v>45894</v>
      </c>
      <c r="B750" s="78">
        <v>45900</v>
      </c>
      <c r="C750" t="s">
        <v>473</v>
      </c>
      <c r="D750" t="s">
        <v>3</v>
      </c>
      <c r="E750" t="s">
        <v>865</v>
      </c>
      <c r="F750" s="2">
        <v>50</v>
      </c>
      <c r="G750" t="s">
        <v>710</v>
      </c>
      <c r="I750" t="str">
        <f>VLOOKUP(E750,'Trial Balance'!B:B,1,0)</f>
        <v>Bank Fees and Charges</v>
      </c>
    </row>
    <row r="751" spans="1:9">
      <c r="A751" s="1">
        <v>45894</v>
      </c>
      <c r="B751" s="78">
        <v>45900</v>
      </c>
      <c r="C751" t="s">
        <v>474</v>
      </c>
      <c r="D751" t="s">
        <v>3</v>
      </c>
      <c r="E751" t="s">
        <v>865</v>
      </c>
      <c r="F751" s="2">
        <v>3.75</v>
      </c>
      <c r="G751" t="s">
        <v>710</v>
      </c>
      <c r="I751" t="str">
        <f>VLOOKUP(E751,'Trial Balance'!B:B,1,0)</f>
        <v>Bank Fees and Charges</v>
      </c>
    </row>
    <row r="752" spans="1:9">
      <c r="A752" s="1">
        <v>45894</v>
      </c>
      <c r="B752" s="78">
        <v>45900</v>
      </c>
      <c r="C752" t="s">
        <v>475</v>
      </c>
      <c r="D752" t="s">
        <v>8</v>
      </c>
      <c r="E752" t="s">
        <v>815</v>
      </c>
      <c r="F752" s="112">
        <v>52835</v>
      </c>
      <c r="G752" t="s">
        <v>710</v>
      </c>
      <c r="I752" t="str">
        <f>VLOOKUP(E752,'Trial Balance'!B:B,1,0)</f>
        <v>Salaries and Employee Wages</v>
      </c>
    </row>
    <row r="753" spans="1:9">
      <c r="A753" s="1">
        <v>45894</v>
      </c>
      <c r="B753" s="78">
        <v>45900</v>
      </c>
      <c r="C753" t="s">
        <v>476</v>
      </c>
      <c r="D753" t="s">
        <v>3</v>
      </c>
      <c r="E753" t="s">
        <v>865</v>
      </c>
      <c r="F753" s="2">
        <v>50</v>
      </c>
      <c r="G753" t="s">
        <v>710</v>
      </c>
      <c r="I753" t="str">
        <f>VLOOKUP(E753,'Trial Balance'!B:B,1,0)</f>
        <v>Bank Fees and Charges</v>
      </c>
    </row>
    <row r="754" spans="1:9">
      <c r="A754" s="1">
        <v>45894</v>
      </c>
      <c r="B754" s="78">
        <v>45900</v>
      </c>
      <c r="C754" t="s">
        <v>477</v>
      </c>
      <c r="D754" t="s">
        <v>3</v>
      </c>
      <c r="E754" t="s">
        <v>865</v>
      </c>
      <c r="F754" s="2">
        <v>3.75</v>
      </c>
      <c r="G754" t="s">
        <v>710</v>
      </c>
      <c r="I754" t="str">
        <f>VLOOKUP(E754,'Trial Balance'!B:B,1,0)</f>
        <v>Bank Fees and Charges</v>
      </c>
    </row>
    <row r="755" spans="1:9">
      <c r="A755" s="1">
        <v>45894</v>
      </c>
      <c r="B755" s="78">
        <v>45900</v>
      </c>
      <c r="C755" t="s">
        <v>478</v>
      </c>
      <c r="D755" t="s">
        <v>8</v>
      </c>
      <c r="E755" t="s">
        <v>815</v>
      </c>
      <c r="F755" s="112">
        <v>2295519.5600000024</v>
      </c>
      <c r="G755" t="s">
        <v>710</v>
      </c>
      <c r="I755" t="str">
        <f>VLOOKUP(E755,'Trial Balance'!B:B,1,0)</f>
        <v>Salaries and Employee Wages</v>
      </c>
    </row>
    <row r="756" spans="1:9">
      <c r="A756" s="1">
        <v>45894</v>
      </c>
      <c r="B756" s="78">
        <v>45900</v>
      </c>
      <c r="C756" t="s">
        <v>479</v>
      </c>
      <c r="D756" t="s">
        <v>3</v>
      </c>
      <c r="E756" t="s">
        <v>865</v>
      </c>
      <c r="F756" s="2">
        <v>50</v>
      </c>
      <c r="G756" t="s">
        <v>710</v>
      </c>
      <c r="I756" t="str">
        <f>VLOOKUP(E756,'Trial Balance'!B:B,1,0)</f>
        <v>Bank Fees and Charges</v>
      </c>
    </row>
    <row r="757" spans="1:9">
      <c r="A757" s="1">
        <v>45894</v>
      </c>
      <c r="B757" s="78">
        <v>45900</v>
      </c>
      <c r="C757" t="s">
        <v>480</v>
      </c>
      <c r="D757" t="s">
        <v>3</v>
      </c>
      <c r="E757" t="s">
        <v>865</v>
      </c>
      <c r="F757" s="2">
        <v>3.75</v>
      </c>
      <c r="G757" t="s">
        <v>710</v>
      </c>
      <c r="I757" t="str">
        <f>VLOOKUP(E757,'Trial Balance'!B:B,1,0)</f>
        <v>Bank Fees and Charges</v>
      </c>
    </row>
    <row r="758" spans="1:9">
      <c r="A758" s="1">
        <v>45894</v>
      </c>
      <c r="B758" s="78">
        <v>45900</v>
      </c>
      <c r="C758" t="s">
        <v>481</v>
      </c>
      <c r="D758" t="s">
        <v>8</v>
      </c>
      <c r="E758" t="s">
        <v>815</v>
      </c>
      <c r="F758" s="112">
        <v>71025</v>
      </c>
      <c r="G758" t="s">
        <v>710</v>
      </c>
      <c r="I758" t="str">
        <f>VLOOKUP(E758,'Trial Balance'!B:B,1,0)</f>
        <v>Salaries and Employee Wages</v>
      </c>
    </row>
    <row r="759" spans="1:9">
      <c r="A759" s="1">
        <v>45894</v>
      </c>
      <c r="B759" s="78">
        <v>45900</v>
      </c>
      <c r="C759" t="s">
        <v>482</v>
      </c>
      <c r="D759" t="s">
        <v>3</v>
      </c>
      <c r="E759" t="s">
        <v>865</v>
      </c>
      <c r="F759" s="2">
        <v>50</v>
      </c>
      <c r="G759" t="s">
        <v>710</v>
      </c>
      <c r="I759" t="str">
        <f>VLOOKUP(E759,'Trial Balance'!B:B,1,0)</f>
        <v>Bank Fees and Charges</v>
      </c>
    </row>
    <row r="760" spans="1:9">
      <c r="A760" s="1">
        <v>45894</v>
      </c>
      <c r="B760" s="78">
        <v>45900</v>
      </c>
      <c r="C760" t="s">
        <v>483</v>
      </c>
      <c r="D760" t="s">
        <v>3</v>
      </c>
      <c r="E760" t="s">
        <v>865</v>
      </c>
      <c r="F760" s="2">
        <v>3.75</v>
      </c>
      <c r="G760" t="s">
        <v>710</v>
      </c>
      <c r="I760" t="str">
        <f>VLOOKUP(E760,'Trial Balance'!B:B,1,0)</f>
        <v>Bank Fees and Charges</v>
      </c>
    </row>
    <row r="761" spans="1:9">
      <c r="A761" s="1">
        <v>45894</v>
      </c>
      <c r="B761" s="78">
        <v>45900</v>
      </c>
      <c r="C761" t="s">
        <v>484</v>
      </c>
      <c r="D761" t="s">
        <v>8</v>
      </c>
      <c r="E761" t="s">
        <v>815</v>
      </c>
      <c r="F761" s="112">
        <v>283172.19999999553</v>
      </c>
      <c r="G761" t="s">
        <v>710</v>
      </c>
      <c r="I761" t="str">
        <f>VLOOKUP(E761,'Trial Balance'!B:B,1,0)</f>
        <v>Salaries and Employee Wages</v>
      </c>
    </row>
    <row r="762" spans="1:9">
      <c r="A762" s="1">
        <v>45894</v>
      </c>
      <c r="B762" s="78">
        <v>45900</v>
      </c>
      <c r="C762" t="s">
        <v>485</v>
      </c>
      <c r="D762" t="s">
        <v>3</v>
      </c>
      <c r="E762" t="s">
        <v>865</v>
      </c>
      <c r="F762" s="2">
        <v>50</v>
      </c>
      <c r="G762" t="s">
        <v>710</v>
      </c>
      <c r="I762" t="str">
        <f>VLOOKUP(E762,'Trial Balance'!B:B,1,0)</f>
        <v>Bank Fees and Charges</v>
      </c>
    </row>
    <row r="763" spans="1:9">
      <c r="A763" s="1">
        <v>45894</v>
      </c>
      <c r="B763" s="78">
        <v>45900</v>
      </c>
      <c r="C763" t="s">
        <v>486</v>
      </c>
      <c r="D763" t="s">
        <v>3</v>
      </c>
      <c r="E763" t="s">
        <v>865</v>
      </c>
      <c r="F763" s="2">
        <v>3.75</v>
      </c>
      <c r="G763" t="s">
        <v>710</v>
      </c>
      <c r="I763" t="str">
        <f>VLOOKUP(E763,'Trial Balance'!B:B,1,0)</f>
        <v>Bank Fees and Charges</v>
      </c>
    </row>
    <row r="764" spans="1:9">
      <c r="A764" s="1">
        <v>45894</v>
      </c>
      <c r="B764" s="78">
        <v>45900</v>
      </c>
      <c r="C764" t="s">
        <v>487</v>
      </c>
      <c r="D764" t="s">
        <v>33</v>
      </c>
      <c r="E764" t="s">
        <v>982</v>
      </c>
      <c r="F764" s="2">
        <v>35000</v>
      </c>
      <c r="G764" t="s">
        <v>710</v>
      </c>
      <c r="I764" t="str">
        <f>VLOOKUP(E764,'Trial Balance'!B:B,1,0)</f>
        <v>Staff allowances</v>
      </c>
    </row>
    <row r="765" spans="1:9">
      <c r="A765" s="1">
        <v>45894</v>
      </c>
      <c r="B765" s="78">
        <v>45900</v>
      </c>
      <c r="C765" t="s">
        <v>488</v>
      </c>
      <c r="D765" t="s">
        <v>3</v>
      </c>
      <c r="E765" t="s">
        <v>865</v>
      </c>
      <c r="F765" s="2">
        <v>25</v>
      </c>
      <c r="G765" t="s">
        <v>710</v>
      </c>
      <c r="I765" t="str">
        <f>VLOOKUP(E765,'Trial Balance'!B:B,1,0)</f>
        <v>Bank Fees and Charges</v>
      </c>
    </row>
    <row r="766" spans="1:9">
      <c r="A766" s="1">
        <v>45894</v>
      </c>
      <c r="B766" s="78">
        <v>45900</v>
      </c>
      <c r="C766" t="s">
        <v>489</v>
      </c>
      <c r="D766" t="s">
        <v>3</v>
      </c>
      <c r="E766" t="s">
        <v>865</v>
      </c>
      <c r="F766" s="2">
        <v>1.880000002682209</v>
      </c>
      <c r="G766" t="s">
        <v>710</v>
      </c>
      <c r="I766" t="str">
        <f>VLOOKUP(E766,'Trial Balance'!B:B,1,0)</f>
        <v>Bank Fees and Charges</v>
      </c>
    </row>
    <row r="767" spans="1:9">
      <c r="A767" s="1">
        <v>45894</v>
      </c>
      <c r="B767" s="78">
        <v>45900</v>
      </c>
      <c r="C767" t="s">
        <v>490</v>
      </c>
      <c r="D767" t="s">
        <v>33</v>
      </c>
      <c r="E767" t="s">
        <v>982</v>
      </c>
      <c r="F767" s="2">
        <v>20000</v>
      </c>
      <c r="G767" t="s">
        <v>710</v>
      </c>
      <c r="I767" t="str">
        <f>VLOOKUP(E767,'Trial Balance'!B:B,1,0)</f>
        <v>Staff allowances</v>
      </c>
    </row>
    <row r="768" spans="1:9">
      <c r="A768" s="1">
        <v>45894</v>
      </c>
      <c r="B768" s="78">
        <v>45900</v>
      </c>
      <c r="C768" t="s">
        <v>491</v>
      </c>
      <c r="D768" t="s">
        <v>3</v>
      </c>
      <c r="E768" t="s">
        <v>865</v>
      </c>
      <c r="F768" s="2">
        <v>25</v>
      </c>
      <c r="G768" t="s">
        <v>710</v>
      </c>
      <c r="I768" t="str">
        <f>VLOOKUP(E768,'Trial Balance'!B:B,1,0)</f>
        <v>Bank Fees and Charges</v>
      </c>
    </row>
    <row r="769" spans="1:9">
      <c r="A769" s="1">
        <v>45894</v>
      </c>
      <c r="B769" s="78">
        <v>45900</v>
      </c>
      <c r="C769" t="s">
        <v>492</v>
      </c>
      <c r="D769" t="s">
        <v>3</v>
      </c>
      <c r="E769" t="s">
        <v>865</v>
      </c>
      <c r="F769" s="2">
        <v>1.880000002682209</v>
      </c>
      <c r="G769" t="s">
        <v>710</v>
      </c>
      <c r="I769" t="str">
        <f>VLOOKUP(E769,'Trial Balance'!B:B,1,0)</f>
        <v>Bank Fees and Charges</v>
      </c>
    </row>
    <row r="770" spans="1:9">
      <c r="A770" s="1">
        <v>45894</v>
      </c>
      <c r="B770" s="78">
        <v>45900</v>
      </c>
      <c r="C770" t="s">
        <v>493</v>
      </c>
      <c r="D770" t="s">
        <v>33</v>
      </c>
      <c r="E770" t="s">
        <v>982</v>
      </c>
      <c r="F770" s="2">
        <v>20000</v>
      </c>
      <c r="G770" t="s">
        <v>710</v>
      </c>
      <c r="I770" t="str">
        <f>VLOOKUP(E770,'Trial Balance'!B:B,1,0)</f>
        <v>Staff allowances</v>
      </c>
    </row>
    <row r="771" spans="1:9">
      <c r="A771" s="1">
        <v>45894</v>
      </c>
      <c r="B771" s="78">
        <v>45900</v>
      </c>
      <c r="C771" t="s">
        <v>494</v>
      </c>
      <c r="D771" t="s">
        <v>3</v>
      </c>
      <c r="E771" t="s">
        <v>865</v>
      </c>
      <c r="F771" s="2">
        <v>25</v>
      </c>
      <c r="G771" t="s">
        <v>710</v>
      </c>
      <c r="I771" t="str">
        <f>VLOOKUP(E771,'Trial Balance'!B:B,1,0)</f>
        <v>Bank Fees and Charges</v>
      </c>
    </row>
    <row r="772" spans="1:9">
      <c r="A772" s="1">
        <v>45894</v>
      </c>
      <c r="B772" s="78">
        <v>45900</v>
      </c>
      <c r="C772" t="s">
        <v>495</v>
      </c>
      <c r="D772" t="s">
        <v>3</v>
      </c>
      <c r="E772" t="s">
        <v>865</v>
      </c>
      <c r="F772" s="2">
        <v>1.8799999952316284</v>
      </c>
      <c r="G772" t="s">
        <v>710</v>
      </c>
      <c r="I772" t="str">
        <f>VLOOKUP(E772,'Trial Balance'!B:B,1,0)</f>
        <v>Bank Fees and Charges</v>
      </c>
    </row>
    <row r="773" spans="1:9">
      <c r="A773" s="1">
        <v>45894</v>
      </c>
      <c r="B773" s="78">
        <v>45900</v>
      </c>
      <c r="C773" t="s">
        <v>496</v>
      </c>
      <c r="D773" t="s">
        <v>33</v>
      </c>
      <c r="E773" t="s">
        <v>982</v>
      </c>
      <c r="F773" s="2">
        <v>27500</v>
      </c>
      <c r="G773" t="s">
        <v>710</v>
      </c>
      <c r="I773" t="str">
        <f>VLOOKUP(E773,'Trial Balance'!B:B,1,0)</f>
        <v>Staff allowances</v>
      </c>
    </row>
    <row r="774" spans="1:9">
      <c r="A774" s="1">
        <v>45894</v>
      </c>
      <c r="B774" s="78">
        <v>45900</v>
      </c>
      <c r="C774" t="s">
        <v>497</v>
      </c>
      <c r="D774" t="s">
        <v>3</v>
      </c>
      <c r="E774" t="s">
        <v>865</v>
      </c>
      <c r="F774" s="2">
        <v>25</v>
      </c>
      <c r="G774" t="s">
        <v>710</v>
      </c>
      <c r="I774" t="str">
        <f>VLOOKUP(E774,'Trial Balance'!B:B,1,0)</f>
        <v>Bank Fees and Charges</v>
      </c>
    </row>
    <row r="775" spans="1:9">
      <c r="A775" s="1">
        <v>45894</v>
      </c>
      <c r="B775" s="78">
        <v>45900</v>
      </c>
      <c r="C775" t="s">
        <v>498</v>
      </c>
      <c r="D775" t="s">
        <v>3</v>
      </c>
      <c r="E775" t="s">
        <v>865</v>
      </c>
      <c r="F775" s="2">
        <v>1.880000002682209</v>
      </c>
      <c r="G775" t="s">
        <v>710</v>
      </c>
      <c r="I775" t="str">
        <f>VLOOKUP(E775,'Trial Balance'!B:B,1,0)</f>
        <v>Bank Fees and Charges</v>
      </c>
    </row>
    <row r="776" spans="1:9">
      <c r="A776" s="1">
        <v>45894</v>
      </c>
      <c r="B776" s="78">
        <v>45900</v>
      </c>
      <c r="C776" t="s">
        <v>499</v>
      </c>
      <c r="D776" t="s">
        <v>33</v>
      </c>
      <c r="E776" t="s">
        <v>982</v>
      </c>
      <c r="F776" s="2">
        <v>35000</v>
      </c>
      <c r="G776" t="s">
        <v>710</v>
      </c>
      <c r="I776" t="str">
        <f>VLOOKUP(E776,'Trial Balance'!B:B,1,0)</f>
        <v>Staff allowances</v>
      </c>
    </row>
    <row r="777" spans="1:9">
      <c r="A777" s="1">
        <v>45894</v>
      </c>
      <c r="B777" s="78">
        <v>45900</v>
      </c>
      <c r="C777" t="s">
        <v>500</v>
      </c>
      <c r="D777" t="s">
        <v>3</v>
      </c>
      <c r="E777" t="s">
        <v>865</v>
      </c>
      <c r="F777" s="2">
        <v>25</v>
      </c>
      <c r="G777" t="s">
        <v>710</v>
      </c>
      <c r="I777" t="str">
        <f>VLOOKUP(E777,'Trial Balance'!B:B,1,0)</f>
        <v>Bank Fees and Charges</v>
      </c>
    </row>
    <row r="778" spans="1:9">
      <c r="A778" s="1">
        <v>45894</v>
      </c>
      <c r="B778" s="78">
        <v>45900</v>
      </c>
      <c r="C778" t="s">
        <v>501</v>
      </c>
      <c r="D778" t="s">
        <v>3</v>
      </c>
      <c r="E778" t="s">
        <v>865</v>
      </c>
      <c r="F778" s="2">
        <v>1.8799999952316284</v>
      </c>
      <c r="G778" t="s">
        <v>710</v>
      </c>
      <c r="I778" t="str">
        <f>VLOOKUP(E778,'Trial Balance'!B:B,1,0)</f>
        <v>Bank Fees and Charges</v>
      </c>
    </row>
    <row r="779" spans="1:9">
      <c r="A779" s="1">
        <v>45894</v>
      </c>
      <c r="B779" s="78">
        <v>45900</v>
      </c>
      <c r="C779" t="s">
        <v>502</v>
      </c>
      <c r="D779" t="s">
        <v>33</v>
      </c>
      <c r="E779" t="s">
        <v>982</v>
      </c>
      <c r="F779" s="2">
        <v>35000</v>
      </c>
      <c r="G779" t="s">
        <v>710</v>
      </c>
      <c r="I779" t="str">
        <f>VLOOKUP(E779,'Trial Balance'!B:B,1,0)</f>
        <v>Staff allowances</v>
      </c>
    </row>
    <row r="780" spans="1:9">
      <c r="A780" s="1">
        <v>45894</v>
      </c>
      <c r="B780" s="78">
        <v>45900</v>
      </c>
      <c r="C780" t="s">
        <v>503</v>
      </c>
      <c r="D780" t="s">
        <v>3</v>
      </c>
      <c r="E780" t="s">
        <v>865</v>
      </c>
      <c r="F780" s="2">
        <v>25</v>
      </c>
      <c r="G780" t="s">
        <v>710</v>
      </c>
      <c r="I780" t="str">
        <f>VLOOKUP(E780,'Trial Balance'!B:B,1,0)</f>
        <v>Bank Fees and Charges</v>
      </c>
    </row>
    <row r="781" spans="1:9">
      <c r="A781" s="1">
        <v>45894</v>
      </c>
      <c r="B781" s="78">
        <v>45900</v>
      </c>
      <c r="C781" t="s">
        <v>504</v>
      </c>
      <c r="D781" t="s">
        <v>3</v>
      </c>
      <c r="E781" t="s">
        <v>865</v>
      </c>
      <c r="F781" s="2">
        <v>1.880000002682209</v>
      </c>
      <c r="G781" t="s">
        <v>710</v>
      </c>
      <c r="I781" t="str">
        <f>VLOOKUP(E781,'Trial Balance'!B:B,1,0)</f>
        <v>Bank Fees and Charges</v>
      </c>
    </row>
    <row r="782" spans="1:9">
      <c r="A782" s="1">
        <v>45894</v>
      </c>
      <c r="B782" s="78">
        <v>45900</v>
      </c>
      <c r="C782" t="s">
        <v>505</v>
      </c>
      <c r="D782" t="s">
        <v>33</v>
      </c>
      <c r="E782" t="s">
        <v>982</v>
      </c>
      <c r="F782" s="2">
        <v>20000</v>
      </c>
      <c r="G782" t="s">
        <v>710</v>
      </c>
      <c r="I782" t="str">
        <f>VLOOKUP(E782,'Trial Balance'!B:B,1,0)</f>
        <v>Staff allowances</v>
      </c>
    </row>
    <row r="783" spans="1:9">
      <c r="A783" s="1">
        <v>45894</v>
      </c>
      <c r="B783" s="78">
        <v>45900</v>
      </c>
      <c r="C783" t="s">
        <v>506</v>
      </c>
      <c r="D783" t="s">
        <v>3</v>
      </c>
      <c r="E783" t="s">
        <v>865</v>
      </c>
      <c r="F783" s="2">
        <v>25</v>
      </c>
      <c r="G783" t="s">
        <v>710</v>
      </c>
      <c r="I783" t="str">
        <f>VLOOKUP(E783,'Trial Balance'!B:B,1,0)</f>
        <v>Bank Fees and Charges</v>
      </c>
    </row>
    <row r="784" spans="1:9">
      <c r="A784" s="1">
        <v>45894</v>
      </c>
      <c r="B784" s="78">
        <v>45900</v>
      </c>
      <c r="C784" t="s">
        <v>507</v>
      </c>
      <c r="D784" t="s">
        <v>3</v>
      </c>
      <c r="E784" t="s">
        <v>865</v>
      </c>
      <c r="F784" s="2">
        <v>1.880000002682209</v>
      </c>
      <c r="G784" t="s">
        <v>710</v>
      </c>
      <c r="I784" t="str">
        <f>VLOOKUP(E784,'Trial Balance'!B:B,1,0)</f>
        <v>Bank Fees and Charges</v>
      </c>
    </row>
    <row r="785" spans="1:9">
      <c r="A785" s="1">
        <v>45894</v>
      </c>
      <c r="B785" s="78">
        <v>45900</v>
      </c>
      <c r="C785" t="s">
        <v>508</v>
      </c>
      <c r="D785" t="s">
        <v>33</v>
      </c>
      <c r="E785" t="s">
        <v>982</v>
      </c>
      <c r="F785" s="2">
        <v>20000</v>
      </c>
      <c r="G785" t="s">
        <v>710</v>
      </c>
      <c r="I785" t="str">
        <f>VLOOKUP(E785,'Trial Balance'!B:B,1,0)</f>
        <v>Staff allowances</v>
      </c>
    </row>
    <row r="786" spans="1:9">
      <c r="A786" s="1">
        <v>45894</v>
      </c>
      <c r="B786" s="78">
        <v>45900</v>
      </c>
      <c r="C786" t="s">
        <v>509</v>
      </c>
      <c r="D786" t="s">
        <v>3</v>
      </c>
      <c r="E786" t="s">
        <v>865</v>
      </c>
      <c r="F786" s="2">
        <v>25</v>
      </c>
      <c r="G786" t="s">
        <v>710</v>
      </c>
      <c r="I786" t="str">
        <f>VLOOKUP(E786,'Trial Balance'!B:B,1,0)</f>
        <v>Bank Fees and Charges</v>
      </c>
    </row>
    <row r="787" spans="1:9">
      <c r="A787" s="1">
        <v>45894</v>
      </c>
      <c r="B787" s="78">
        <v>45900</v>
      </c>
      <c r="C787" t="s">
        <v>510</v>
      </c>
      <c r="D787" t="s">
        <v>3</v>
      </c>
      <c r="E787" t="s">
        <v>865</v>
      </c>
      <c r="F787" s="2">
        <v>1.8799999952316284</v>
      </c>
      <c r="G787" t="s">
        <v>710</v>
      </c>
      <c r="I787" t="str">
        <f>VLOOKUP(E787,'Trial Balance'!B:B,1,0)</f>
        <v>Bank Fees and Charges</v>
      </c>
    </row>
    <row r="788" spans="1:9">
      <c r="A788" s="1">
        <v>45894</v>
      </c>
      <c r="B788" s="78">
        <v>45900</v>
      </c>
      <c r="C788" t="s">
        <v>511</v>
      </c>
      <c r="D788" t="s">
        <v>33</v>
      </c>
      <c r="E788" t="s">
        <v>982</v>
      </c>
      <c r="F788" s="2">
        <v>20000</v>
      </c>
      <c r="G788" t="s">
        <v>710</v>
      </c>
      <c r="I788" t="str">
        <f>VLOOKUP(E788,'Trial Balance'!B:B,1,0)</f>
        <v>Staff allowances</v>
      </c>
    </row>
    <row r="789" spans="1:9">
      <c r="A789" s="1">
        <v>45894</v>
      </c>
      <c r="B789" s="78">
        <v>45900</v>
      </c>
      <c r="C789" t="s">
        <v>512</v>
      </c>
      <c r="D789" t="s">
        <v>3</v>
      </c>
      <c r="E789" t="s">
        <v>865</v>
      </c>
      <c r="F789" s="2">
        <v>25</v>
      </c>
      <c r="G789" t="s">
        <v>710</v>
      </c>
      <c r="I789" t="str">
        <f>VLOOKUP(E789,'Trial Balance'!B:B,1,0)</f>
        <v>Bank Fees and Charges</v>
      </c>
    </row>
    <row r="790" spans="1:9">
      <c r="A790" s="1">
        <v>45894</v>
      </c>
      <c r="B790" s="78">
        <v>45900</v>
      </c>
      <c r="C790" t="s">
        <v>513</v>
      </c>
      <c r="D790" t="s">
        <v>3</v>
      </c>
      <c r="E790" t="s">
        <v>865</v>
      </c>
      <c r="F790" s="2">
        <v>1.880000002682209</v>
      </c>
      <c r="G790" t="s">
        <v>710</v>
      </c>
      <c r="I790" t="str">
        <f>VLOOKUP(E790,'Trial Balance'!B:B,1,0)</f>
        <v>Bank Fees and Charges</v>
      </c>
    </row>
    <row r="791" spans="1:9">
      <c r="A791" s="1">
        <v>45894</v>
      </c>
      <c r="B791" s="78">
        <v>45900</v>
      </c>
      <c r="C791" t="s">
        <v>514</v>
      </c>
      <c r="D791" t="s">
        <v>33</v>
      </c>
      <c r="E791" t="s">
        <v>982</v>
      </c>
      <c r="F791" s="2">
        <v>35000</v>
      </c>
      <c r="G791" t="s">
        <v>710</v>
      </c>
      <c r="I791" t="str">
        <f>VLOOKUP(E791,'Trial Balance'!B:B,1,0)</f>
        <v>Staff allowances</v>
      </c>
    </row>
    <row r="792" spans="1:9">
      <c r="A792" s="1">
        <v>45894</v>
      </c>
      <c r="B792" s="78">
        <v>45900</v>
      </c>
      <c r="C792" t="s">
        <v>515</v>
      </c>
      <c r="D792" t="s">
        <v>3</v>
      </c>
      <c r="E792" t="s">
        <v>865</v>
      </c>
      <c r="F792" s="2">
        <v>25</v>
      </c>
      <c r="G792" t="s">
        <v>710</v>
      </c>
      <c r="I792" t="str">
        <f>VLOOKUP(E792,'Trial Balance'!B:B,1,0)</f>
        <v>Bank Fees and Charges</v>
      </c>
    </row>
    <row r="793" spans="1:9">
      <c r="A793" s="1">
        <v>45894</v>
      </c>
      <c r="B793" s="78">
        <v>45900</v>
      </c>
      <c r="C793" t="s">
        <v>516</v>
      </c>
      <c r="D793" t="s">
        <v>3</v>
      </c>
      <c r="E793" t="s">
        <v>865</v>
      </c>
      <c r="F793" s="2">
        <v>1.880000002682209</v>
      </c>
      <c r="G793" t="s">
        <v>710</v>
      </c>
      <c r="I793" t="str">
        <f>VLOOKUP(E793,'Trial Balance'!B:B,1,0)</f>
        <v>Bank Fees and Charges</v>
      </c>
    </row>
    <row r="794" spans="1:9">
      <c r="A794" s="1">
        <v>45894</v>
      </c>
      <c r="B794" s="78">
        <v>45900</v>
      </c>
      <c r="C794" t="s">
        <v>517</v>
      </c>
      <c r="D794" t="s">
        <v>33</v>
      </c>
      <c r="E794" t="s">
        <v>982</v>
      </c>
      <c r="F794" s="2">
        <v>35000</v>
      </c>
      <c r="G794" t="s">
        <v>710</v>
      </c>
      <c r="I794" t="str">
        <f>VLOOKUP(E794,'Trial Balance'!B:B,1,0)</f>
        <v>Staff allowances</v>
      </c>
    </row>
    <row r="795" spans="1:9">
      <c r="A795" s="1">
        <v>45894</v>
      </c>
      <c r="B795" s="78">
        <v>45900</v>
      </c>
      <c r="C795" t="s">
        <v>518</v>
      </c>
      <c r="D795" t="s">
        <v>3</v>
      </c>
      <c r="E795" t="s">
        <v>865</v>
      </c>
      <c r="F795" s="2">
        <v>25</v>
      </c>
      <c r="G795" t="s">
        <v>710</v>
      </c>
      <c r="I795" t="str">
        <f>VLOOKUP(E795,'Trial Balance'!B:B,1,0)</f>
        <v>Bank Fees and Charges</v>
      </c>
    </row>
    <row r="796" spans="1:9">
      <c r="A796" s="1">
        <v>45894</v>
      </c>
      <c r="B796" s="78">
        <v>45900</v>
      </c>
      <c r="C796" t="s">
        <v>519</v>
      </c>
      <c r="D796" t="s">
        <v>3</v>
      </c>
      <c r="E796" t="s">
        <v>865</v>
      </c>
      <c r="F796" s="2">
        <v>1.8799999952316284</v>
      </c>
      <c r="G796" t="s">
        <v>710</v>
      </c>
      <c r="I796" t="str">
        <f>VLOOKUP(E796,'Trial Balance'!B:B,1,0)</f>
        <v>Bank Fees and Charges</v>
      </c>
    </row>
    <row r="797" spans="1:9">
      <c r="A797" s="1">
        <v>45894</v>
      </c>
      <c r="B797" s="78">
        <v>45900</v>
      </c>
      <c r="C797" t="s">
        <v>520</v>
      </c>
      <c r="D797" t="s">
        <v>33</v>
      </c>
      <c r="E797" t="s">
        <v>982</v>
      </c>
      <c r="F797" s="2">
        <v>20000</v>
      </c>
      <c r="G797" t="s">
        <v>710</v>
      </c>
      <c r="I797" t="str">
        <f>VLOOKUP(E797,'Trial Balance'!B:B,1,0)</f>
        <v>Staff allowances</v>
      </c>
    </row>
    <row r="798" spans="1:9">
      <c r="A798" s="1">
        <v>45894</v>
      </c>
      <c r="B798" s="78">
        <v>45900</v>
      </c>
      <c r="C798" t="s">
        <v>521</v>
      </c>
      <c r="D798" t="s">
        <v>3</v>
      </c>
      <c r="E798" t="s">
        <v>865</v>
      </c>
      <c r="F798" s="2">
        <v>25</v>
      </c>
      <c r="G798" t="s">
        <v>710</v>
      </c>
      <c r="I798" t="str">
        <f>VLOOKUP(E798,'Trial Balance'!B:B,1,0)</f>
        <v>Bank Fees and Charges</v>
      </c>
    </row>
    <row r="799" spans="1:9">
      <c r="A799" s="1">
        <v>45894</v>
      </c>
      <c r="B799" s="78">
        <v>45900</v>
      </c>
      <c r="C799" t="s">
        <v>522</v>
      </c>
      <c r="D799" t="s">
        <v>3</v>
      </c>
      <c r="E799" t="s">
        <v>865</v>
      </c>
      <c r="F799" s="2">
        <v>1.880000002682209</v>
      </c>
      <c r="G799" t="s">
        <v>710</v>
      </c>
      <c r="I799" t="str">
        <f>VLOOKUP(E799,'Trial Balance'!B:B,1,0)</f>
        <v>Bank Fees and Charges</v>
      </c>
    </row>
    <row r="800" spans="1:9">
      <c r="A800" s="1">
        <v>45894</v>
      </c>
      <c r="B800" s="78">
        <v>45900</v>
      </c>
      <c r="C800" t="s">
        <v>523</v>
      </c>
      <c r="D800" t="s">
        <v>33</v>
      </c>
      <c r="E800" t="s">
        <v>982</v>
      </c>
      <c r="F800" s="2">
        <v>35000</v>
      </c>
      <c r="G800" t="s">
        <v>710</v>
      </c>
      <c r="I800" t="str">
        <f>VLOOKUP(E800,'Trial Balance'!B:B,1,0)</f>
        <v>Staff allowances</v>
      </c>
    </row>
    <row r="801" spans="1:9">
      <c r="A801" s="1">
        <v>45894</v>
      </c>
      <c r="B801" s="78">
        <v>45900</v>
      </c>
      <c r="C801" t="s">
        <v>524</v>
      </c>
      <c r="D801" t="s">
        <v>3</v>
      </c>
      <c r="E801" t="s">
        <v>865</v>
      </c>
      <c r="F801" s="2">
        <v>25</v>
      </c>
      <c r="G801" t="s">
        <v>710</v>
      </c>
      <c r="I801" t="str">
        <f>VLOOKUP(E801,'Trial Balance'!B:B,1,0)</f>
        <v>Bank Fees and Charges</v>
      </c>
    </row>
    <row r="802" spans="1:9">
      <c r="A802" s="1">
        <v>45894</v>
      </c>
      <c r="B802" s="78">
        <v>45900</v>
      </c>
      <c r="C802" t="s">
        <v>525</v>
      </c>
      <c r="D802" t="s">
        <v>3</v>
      </c>
      <c r="E802" t="s">
        <v>865</v>
      </c>
      <c r="F802" s="2">
        <v>1.880000002682209</v>
      </c>
      <c r="G802" t="s">
        <v>710</v>
      </c>
      <c r="I802" t="str">
        <f>VLOOKUP(E802,'Trial Balance'!B:B,1,0)</f>
        <v>Bank Fees and Charges</v>
      </c>
    </row>
    <row r="803" spans="1:9">
      <c r="A803" s="1">
        <v>45894</v>
      </c>
      <c r="B803" s="78">
        <v>45900</v>
      </c>
      <c r="C803" t="s">
        <v>526</v>
      </c>
      <c r="D803" t="s">
        <v>33</v>
      </c>
      <c r="E803" t="s">
        <v>982</v>
      </c>
      <c r="F803" s="2">
        <v>35000</v>
      </c>
      <c r="G803" t="s">
        <v>710</v>
      </c>
      <c r="I803" t="str">
        <f>VLOOKUP(E803,'Trial Balance'!B:B,1,0)</f>
        <v>Staff allowances</v>
      </c>
    </row>
    <row r="804" spans="1:9">
      <c r="A804" s="1">
        <v>45894</v>
      </c>
      <c r="B804" s="78">
        <v>45900</v>
      </c>
      <c r="C804" t="s">
        <v>527</v>
      </c>
      <c r="D804" t="s">
        <v>3</v>
      </c>
      <c r="E804" t="s">
        <v>865</v>
      </c>
      <c r="F804" s="2">
        <v>25</v>
      </c>
      <c r="G804" t="s">
        <v>710</v>
      </c>
      <c r="I804" t="str">
        <f>VLOOKUP(E804,'Trial Balance'!B:B,1,0)</f>
        <v>Bank Fees and Charges</v>
      </c>
    </row>
    <row r="805" spans="1:9">
      <c r="A805" s="1">
        <v>45894</v>
      </c>
      <c r="B805" s="78">
        <v>45900</v>
      </c>
      <c r="C805" t="s">
        <v>528</v>
      </c>
      <c r="D805" t="s">
        <v>3</v>
      </c>
      <c r="E805" t="s">
        <v>865</v>
      </c>
      <c r="F805" s="2">
        <v>1.8799999952316284</v>
      </c>
      <c r="G805" t="s">
        <v>710</v>
      </c>
      <c r="I805" t="str">
        <f>VLOOKUP(E805,'Trial Balance'!B:B,1,0)</f>
        <v>Bank Fees and Charges</v>
      </c>
    </row>
    <row r="806" spans="1:9">
      <c r="A806" s="1">
        <v>45894</v>
      </c>
      <c r="B806" s="78">
        <v>45900</v>
      </c>
      <c r="C806" t="s">
        <v>529</v>
      </c>
      <c r="D806" t="s">
        <v>33</v>
      </c>
      <c r="E806" t="s">
        <v>982</v>
      </c>
      <c r="F806" s="2">
        <v>27500</v>
      </c>
      <c r="G806" t="s">
        <v>710</v>
      </c>
      <c r="I806" t="str">
        <f>VLOOKUP(E806,'Trial Balance'!B:B,1,0)</f>
        <v>Staff allowances</v>
      </c>
    </row>
    <row r="807" spans="1:9">
      <c r="A807" s="1">
        <v>45894</v>
      </c>
      <c r="B807" s="78">
        <v>45900</v>
      </c>
      <c r="C807" t="s">
        <v>530</v>
      </c>
      <c r="D807" t="s">
        <v>3</v>
      </c>
      <c r="E807" t="s">
        <v>865</v>
      </c>
      <c r="F807" s="2">
        <v>25</v>
      </c>
      <c r="G807" t="s">
        <v>710</v>
      </c>
      <c r="I807" t="str">
        <f>VLOOKUP(E807,'Trial Balance'!B:B,1,0)</f>
        <v>Bank Fees and Charges</v>
      </c>
    </row>
    <row r="808" spans="1:9">
      <c r="A808" s="1">
        <v>45894</v>
      </c>
      <c r="B808" s="78">
        <v>45900</v>
      </c>
      <c r="C808" t="s">
        <v>531</v>
      </c>
      <c r="D808" t="s">
        <v>3</v>
      </c>
      <c r="E808" t="s">
        <v>865</v>
      </c>
      <c r="F808" s="2">
        <v>1.880000002682209</v>
      </c>
      <c r="G808" t="s">
        <v>710</v>
      </c>
      <c r="I808" t="str">
        <f>VLOOKUP(E808,'Trial Balance'!B:B,1,0)</f>
        <v>Bank Fees and Charges</v>
      </c>
    </row>
    <row r="809" spans="1:9">
      <c r="A809" s="1">
        <v>45894</v>
      </c>
      <c r="B809" s="78">
        <v>45900</v>
      </c>
      <c r="C809" t="s">
        <v>532</v>
      </c>
      <c r="D809" t="s">
        <v>33</v>
      </c>
      <c r="E809" t="s">
        <v>982</v>
      </c>
      <c r="F809" s="2">
        <v>35000</v>
      </c>
      <c r="G809" t="s">
        <v>710</v>
      </c>
      <c r="I809" t="str">
        <f>VLOOKUP(E809,'Trial Balance'!B:B,1,0)</f>
        <v>Staff allowances</v>
      </c>
    </row>
    <row r="810" spans="1:9">
      <c r="A810" s="1">
        <v>45894</v>
      </c>
      <c r="B810" s="78">
        <v>45900</v>
      </c>
      <c r="C810" t="s">
        <v>533</v>
      </c>
      <c r="D810" t="s">
        <v>3</v>
      </c>
      <c r="E810" t="s">
        <v>865</v>
      </c>
      <c r="F810" s="2">
        <v>25</v>
      </c>
      <c r="G810" t="s">
        <v>710</v>
      </c>
      <c r="I810" t="str">
        <f>VLOOKUP(E810,'Trial Balance'!B:B,1,0)</f>
        <v>Bank Fees and Charges</v>
      </c>
    </row>
    <row r="811" spans="1:9">
      <c r="A811" s="1">
        <v>45894</v>
      </c>
      <c r="B811" s="78">
        <v>45900</v>
      </c>
      <c r="C811" t="s">
        <v>534</v>
      </c>
      <c r="D811" t="s">
        <v>3</v>
      </c>
      <c r="E811" t="s">
        <v>865</v>
      </c>
      <c r="F811" s="2">
        <v>1.8799999952316284</v>
      </c>
      <c r="G811" t="s">
        <v>710</v>
      </c>
      <c r="I811" t="str">
        <f>VLOOKUP(E811,'Trial Balance'!B:B,1,0)</f>
        <v>Bank Fees and Charges</v>
      </c>
    </row>
    <row r="812" spans="1:9">
      <c r="A812" s="1">
        <v>45894</v>
      </c>
      <c r="B812" s="78">
        <v>45900</v>
      </c>
      <c r="C812" t="s">
        <v>535</v>
      </c>
      <c r="D812" t="s">
        <v>33</v>
      </c>
      <c r="E812" t="s">
        <v>982</v>
      </c>
      <c r="F812" s="2">
        <v>70000</v>
      </c>
      <c r="G812" t="s">
        <v>710</v>
      </c>
      <c r="I812" t="str">
        <f>VLOOKUP(E812,'Trial Balance'!B:B,1,0)</f>
        <v>Staff allowances</v>
      </c>
    </row>
    <row r="813" spans="1:9">
      <c r="A813" s="1">
        <v>45894</v>
      </c>
      <c r="B813" s="78">
        <v>45900</v>
      </c>
      <c r="C813" t="s">
        <v>536</v>
      </c>
      <c r="D813" t="s">
        <v>3</v>
      </c>
      <c r="E813" t="s">
        <v>865</v>
      </c>
      <c r="F813" s="2">
        <v>50</v>
      </c>
      <c r="G813" t="s">
        <v>710</v>
      </c>
      <c r="I813" t="str">
        <f>VLOOKUP(E813,'Trial Balance'!B:B,1,0)</f>
        <v>Bank Fees and Charges</v>
      </c>
    </row>
    <row r="814" spans="1:9">
      <c r="A814" s="1">
        <v>45894</v>
      </c>
      <c r="B814" s="78">
        <v>45900</v>
      </c>
      <c r="C814" t="s">
        <v>537</v>
      </c>
      <c r="D814" t="s">
        <v>3</v>
      </c>
      <c r="E814" t="s">
        <v>865</v>
      </c>
      <c r="F814" s="2">
        <v>3.75</v>
      </c>
      <c r="G814" t="s">
        <v>710</v>
      </c>
      <c r="I814" t="str">
        <f>VLOOKUP(E814,'Trial Balance'!B:B,1,0)</f>
        <v>Bank Fees and Charges</v>
      </c>
    </row>
    <row r="815" spans="1:9">
      <c r="A815" s="1">
        <v>45894</v>
      </c>
      <c r="B815" s="78">
        <v>45900</v>
      </c>
      <c r="C815" t="s">
        <v>538</v>
      </c>
      <c r="D815" t="s">
        <v>33</v>
      </c>
      <c r="E815" t="s">
        <v>982</v>
      </c>
      <c r="F815" s="2">
        <v>35000</v>
      </c>
      <c r="G815" t="s">
        <v>710</v>
      </c>
      <c r="I815" t="str">
        <f>VLOOKUP(E815,'Trial Balance'!B:B,1,0)</f>
        <v>Staff allowances</v>
      </c>
    </row>
    <row r="816" spans="1:9">
      <c r="A816" s="1">
        <v>45894</v>
      </c>
      <c r="B816" s="78">
        <v>45900</v>
      </c>
      <c r="C816" t="s">
        <v>539</v>
      </c>
      <c r="D816" t="s">
        <v>3</v>
      </c>
      <c r="E816" t="s">
        <v>865</v>
      </c>
      <c r="F816" s="2">
        <v>25</v>
      </c>
      <c r="G816" t="s">
        <v>710</v>
      </c>
      <c r="I816" t="str">
        <f>VLOOKUP(E816,'Trial Balance'!B:B,1,0)</f>
        <v>Bank Fees and Charges</v>
      </c>
    </row>
    <row r="817" spans="1:9">
      <c r="A817" s="1">
        <v>45894</v>
      </c>
      <c r="B817" s="78">
        <v>45900</v>
      </c>
      <c r="C817" t="s">
        <v>540</v>
      </c>
      <c r="D817" t="s">
        <v>3</v>
      </c>
      <c r="E817" t="s">
        <v>865</v>
      </c>
      <c r="F817" s="2">
        <v>1.880000002682209</v>
      </c>
      <c r="G817" t="s">
        <v>710</v>
      </c>
      <c r="I817" t="str">
        <f>VLOOKUP(E817,'Trial Balance'!B:B,1,0)</f>
        <v>Bank Fees and Charges</v>
      </c>
    </row>
    <row r="818" spans="1:9">
      <c r="A818" s="1">
        <v>45894</v>
      </c>
      <c r="B818" s="78">
        <v>45900</v>
      </c>
      <c r="C818" t="s">
        <v>541</v>
      </c>
      <c r="D818" t="s">
        <v>33</v>
      </c>
      <c r="E818" t="s">
        <v>982</v>
      </c>
      <c r="F818" s="2">
        <v>20000</v>
      </c>
      <c r="G818" t="s">
        <v>710</v>
      </c>
      <c r="I818" t="str">
        <f>VLOOKUP(E818,'Trial Balance'!B:B,1,0)</f>
        <v>Staff allowances</v>
      </c>
    </row>
    <row r="819" spans="1:9">
      <c r="A819" s="1">
        <v>45894</v>
      </c>
      <c r="B819" s="78">
        <v>45900</v>
      </c>
      <c r="C819" t="s">
        <v>542</v>
      </c>
      <c r="D819" t="s">
        <v>3</v>
      </c>
      <c r="E819" t="s">
        <v>865</v>
      </c>
      <c r="F819" s="2">
        <v>25</v>
      </c>
      <c r="G819" t="s">
        <v>710</v>
      </c>
      <c r="I819" t="str">
        <f>VLOOKUP(E819,'Trial Balance'!B:B,1,0)</f>
        <v>Bank Fees and Charges</v>
      </c>
    </row>
    <row r="820" spans="1:9">
      <c r="A820" s="1">
        <v>45894</v>
      </c>
      <c r="B820" s="78">
        <v>45900</v>
      </c>
      <c r="C820" t="s">
        <v>543</v>
      </c>
      <c r="D820" t="s">
        <v>3</v>
      </c>
      <c r="E820" t="s">
        <v>865</v>
      </c>
      <c r="F820" s="2">
        <v>1.880000002682209</v>
      </c>
      <c r="G820" t="s">
        <v>710</v>
      </c>
      <c r="I820" t="str">
        <f>VLOOKUP(E820,'Trial Balance'!B:B,1,0)</f>
        <v>Bank Fees and Charges</v>
      </c>
    </row>
    <row r="821" spans="1:9">
      <c r="A821" s="1">
        <v>45894</v>
      </c>
      <c r="B821" s="78">
        <v>45900</v>
      </c>
      <c r="C821" t="s">
        <v>544</v>
      </c>
      <c r="D821" t="s">
        <v>33</v>
      </c>
      <c r="E821" t="s">
        <v>982</v>
      </c>
      <c r="F821" s="2">
        <v>70000</v>
      </c>
      <c r="G821" t="s">
        <v>710</v>
      </c>
      <c r="I821" t="str">
        <f>VLOOKUP(E821,'Trial Balance'!B:B,1,0)</f>
        <v>Staff allowances</v>
      </c>
    </row>
    <row r="822" spans="1:9">
      <c r="A822" s="1">
        <v>45894</v>
      </c>
      <c r="B822" s="78">
        <v>45900</v>
      </c>
      <c r="C822" t="s">
        <v>545</v>
      </c>
      <c r="D822" t="s">
        <v>3</v>
      </c>
      <c r="E822" t="s">
        <v>865</v>
      </c>
      <c r="F822" s="2">
        <v>50</v>
      </c>
      <c r="G822" t="s">
        <v>710</v>
      </c>
      <c r="I822" t="str">
        <f>VLOOKUP(E822,'Trial Balance'!B:B,1,0)</f>
        <v>Bank Fees and Charges</v>
      </c>
    </row>
    <row r="823" spans="1:9">
      <c r="A823" s="1">
        <v>45894</v>
      </c>
      <c r="B823" s="78">
        <v>45900</v>
      </c>
      <c r="C823" t="s">
        <v>546</v>
      </c>
      <c r="D823" t="s">
        <v>3</v>
      </c>
      <c r="E823" t="s">
        <v>865</v>
      </c>
      <c r="F823" s="2">
        <v>3.75</v>
      </c>
      <c r="G823" t="s">
        <v>710</v>
      </c>
      <c r="I823" t="str">
        <f>VLOOKUP(E823,'Trial Balance'!B:B,1,0)</f>
        <v>Bank Fees and Charges</v>
      </c>
    </row>
    <row r="824" spans="1:9">
      <c r="A824" s="1">
        <v>45894</v>
      </c>
      <c r="B824" s="78">
        <v>45900</v>
      </c>
      <c r="C824" t="s">
        <v>547</v>
      </c>
      <c r="D824" t="s">
        <v>33</v>
      </c>
      <c r="E824" t="s">
        <v>982</v>
      </c>
      <c r="F824" s="2">
        <v>20000</v>
      </c>
      <c r="G824" t="s">
        <v>710</v>
      </c>
      <c r="I824" t="str">
        <f>VLOOKUP(E824,'Trial Balance'!B:B,1,0)</f>
        <v>Staff allowances</v>
      </c>
    </row>
    <row r="825" spans="1:9">
      <c r="A825" s="1">
        <v>45894</v>
      </c>
      <c r="B825" s="78">
        <v>45900</v>
      </c>
      <c r="C825" t="s">
        <v>548</v>
      </c>
      <c r="D825" t="s">
        <v>3</v>
      </c>
      <c r="E825" t="s">
        <v>865</v>
      </c>
      <c r="F825" s="2">
        <v>25</v>
      </c>
      <c r="G825" t="s">
        <v>710</v>
      </c>
      <c r="I825" t="str">
        <f>VLOOKUP(E825,'Trial Balance'!B:B,1,0)</f>
        <v>Bank Fees and Charges</v>
      </c>
    </row>
    <row r="826" spans="1:9">
      <c r="A826" s="1">
        <v>45894</v>
      </c>
      <c r="B826" s="78">
        <v>45900</v>
      </c>
      <c r="C826" t="s">
        <v>549</v>
      </c>
      <c r="D826" t="s">
        <v>33</v>
      </c>
      <c r="E826" t="s">
        <v>982</v>
      </c>
      <c r="F826" s="2">
        <v>20000</v>
      </c>
      <c r="G826" t="s">
        <v>710</v>
      </c>
      <c r="I826" t="str">
        <f>VLOOKUP(E826,'Trial Balance'!B:B,1,0)</f>
        <v>Staff allowances</v>
      </c>
    </row>
    <row r="827" spans="1:9">
      <c r="A827" s="1">
        <v>45894</v>
      </c>
      <c r="B827" s="78">
        <v>45900</v>
      </c>
      <c r="C827" t="s">
        <v>550</v>
      </c>
      <c r="D827" t="s">
        <v>3</v>
      </c>
      <c r="E827" t="s">
        <v>865</v>
      </c>
      <c r="F827" s="2">
        <v>1.8799999952316284</v>
      </c>
      <c r="G827" t="s">
        <v>710</v>
      </c>
      <c r="I827" t="str">
        <f>VLOOKUP(E827,'Trial Balance'!B:B,1,0)</f>
        <v>Bank Fees and Charges</v>
      </c>
    </row>
    <row r="828" spans="1:9">
      <c r="A828" s="1">
        <v>45894</v>
      </c>
      <c r="B828" s="78">
        <v>45900</v>
      </c>
      <c r="C828" t="s">
        <v>551</v>
      </c>
      <c r="D828" t="s">
        <v>3</v>
      </c>
      <c r="E828" t="s">
        <v>865</v>
      </c>
      <c r="F828" s="2">
        <v>25</v>
      </c>
      <c r="G828" t="s">
        <v>710</v>
      </c>
      <c r="I828" t="str">
        <f>VLOOKUP(E828,'Trial Balance'!B:B,1,0)</f>
        <v>Bank Fees and Charges</v>
      </c>
    </row>
    <row r="829" spans="1:9">
      <c r="A829" s="1">
        <v>45894</v>
      </c>
      <c r="B829" s="78">
        <v>45900</v>
      </c>
      <c r="C829" t="s">
        <v>552</v>
      </c>
      <c r="D829" t="s">
        <v>3</v>
      </c>
      <c r="E829" t="s">
        <v>865</v>
      </c>
      <c r="F829" s="2">
        <v>1.880000002682209</v>
      </c>
      <c r="G829" t="s">
        <v>710</v>
      </c>
      <c r="I829" t="str">
        <f>VLOOKUP(E829,'Trial Balance'!B:B,1,0)</f>
        <v>Bank Fees and Charges</v>
      </c>
    </row>
    <row r="830" spans="1:9">
      <c r="A830" s="1">
        <v>45894</v>
      </c>
      <c r="B830" s="78">
        <v>45900</v>
      </c>
      <c r="C830" t="s">
        <v>553</v>
      </c>
      <c r="D830" t="s">
        <v>33</v>
      </c>
      <c r="E830" t="s">
        <v>982</v>
      </c>
      <c r="F830" s="2">
        <v>27500</v>
      </c>
      <c r="G830" t="s">
        <v>710</v>
      </c>
      <c r="I830" t="str">
        <f>VLOOKUP(E830,'Trial Balance'!B:B,1,0)</f>
        <v>Staff allowances</v>
      </c>
    </row>
    <row r="831" spans="1:9">
      <c r="A831" s="1">
        <v>45894</v>
      </c>
      <c r="B831" s="78">
        <v>45900</v>
      </c>
      <c r="C831" t="s">
        <v>554</v>
      </c>
      <c r="D831" t="s">
        <v>3</v>
      </c>
      <c r="E831" t="s">
        <v>865</v>
      </c>
      <c r="F831" s="2">
        <v>25</v>
      </c>
      <c r="G831" t="s">
        <v>710</v>
      </c>
      <c r="I831" t="str">
        <f>VLOOKUP(E831,'Trial Balance'!B:B,1,0)</f>
        <v>Bank Fees and Charges</v>
      </c>
    </row>
    <row r="832" spans="1:9">
      <c r="A832" s="1">
        <v>45894</v>
      </c>
      <c r="B832" s="78">
        <v>45900</v>
      </c>
      <c r="C832" t="s">
        <v>555</v>
      </c>
      <c r="D832" t="s">
        <v>3</v>
      </c>
      <c r="E832" t="s">
        <v>865</v>
      </c>
      <c r="F832" s="2">
        <v>1.880000002682209</v>
      </c>
      <c r="G832" t="s">
        <v>710</v>
      </c>
      <c r="I832" t="str">
        <f>VLOOKUP(E832,'Trial Balance'!B:B,1,0)</f>
        <v>Bank Fees and Charges</v>
      </c>
    </row>
    <row r="833" spans="1:9">
      <c r="A833" s="1">
        <v>45894</v>
      </c>
      <c r="B833" s="78">
        <v>45900</v>
      </c>
      <c r="C833" t="s">
        <v>556</v>
      </c>
      <c r="D833" t="s">
        <v>3</v>
      </c>
      <c r="E833" t="s">
        <v>865</v>
      </c>
      <c r="F833" s="2">
        <v>50</v>
      </c>
      <c r="G833" t="s">
        <v>710</v>
      </c>
      <c r="I833" t="str">
        <f>VLOOKUP(E833,'Trial Balance'!B:B,1,0)</f>
        <v>Bank Fees and Charges</v>
      </c>
    </row>
    <row r="834" spans="1:9">
      <c r="A834" s="1">
        <v>45895</v>
      </c>
      <c r="B834" s="78">
        <v>45900</v>
      </c>
      <c r="C834" t="s">
        <v>558</v>
      </c>
      <c r="D834" t="s">
        <v>33</v>
      </c>
      <c r="E834" t="s">
        <v>982</v>
      </c>
      <c r="F834" s="2">
        <v>27500</v>
      </c>
      <c r="G834" t="s">
        <v>710</v>
      </c>
      <c r="I834" t="str">
        <f>VLOOKUP(E834,'Trial Balance'!B:B,1,0)</f>
        <v>Staff allowances</v>
      </c>
    </row>
    <row r="835" spans="1:9">
      <c r="A835" s="1">
        <v>45895</v>
      </c>
      <c r="B835" s="78">
        <v>45900</v>
      </c>
      <c r="C835" t="s">
        <v>559</v>
      </c>
      <c r="D835" t="s">
        <v>3</v>
      </c>
      <c r="E835" t="s">
        <v>865</v>
      </c>
      <c r="F835" s="2">
        <v>25</v>
      </c>
      <c r="G835" t="s">
        <v>710</v>
      </c>
      <c r="I835" t="str">
        <f>VLOOKUP(E835,'Trial Balance'!B:B,1,0)</f>
        <v>Bank Fees and Charges</v>
      </c>
    </row>
    <row r="836" spans="1:9">
      <c r="A836" s="1">
        <v>45895</v>
      </c>
      <c r="B836" s="78">
        <v>45900</v>
      </c>
      <c r="C836" t="s">
        <v>560</v>
      </c>
      <c r="D836" t="s">
        <v>3</v>
      </c>
      <c r="E836" t="s">
        <v>865</v>
      </c>
      <c r="F836" s="2">
        <v>1.8799999952316284</v>
      </c>
      <c r="G836" t="s">
        <v>710</v>
      </c>
      <c r="I836" t="str">
        <f>VLOOKUP(E836,'Trial Balance'!B:B,1,0)</f>
        <v>Bank Fees and Charges</v>
      </c>
    </row>
    <row r="837" spans="1:9">
      <c r="A837" s="1">
        <v>45895</v>
      </c>
      <c r="B837" s="78">
        <v>45900</v>
      </c>
      <c r="C837" t="s">
        <v>561</v>
      </c>
      <c r="D837" t="s">
        <v>26</v>
      </c>
      <c r="E837" t="s">
        <v>976</v>
      </c>
      <c r="F837" s="2">
        <v>100000</v>
      </c>
      <c r="G837" t="s">
        <v>710</v>
      </c>
      <c r="I837" t="str">
        <f>VLOOKUP(E837,'Trial Balance'!B:B,1,0)</f>
        <v>Travel expense - Local</v>
      </c>
    </row>
    <row r="838" spans="1:9">
      <c r="A838" s="1">
        <v>45895</v>
      </c>
      <c r="B838" s="78">
        <v>45900</v>
      </c>
      <c r="C838" t="s">
        <v>561</v>
      </c>
      <c r="D838" t="s">
        <v>3</v>
      </c>
      <c r="E838" t="s">
        <v>865</v>
      </c>
      <c r="F838" s="2">
        <v>50</v>
      </c>
      <c r="G838" t="s">
        <v>710</v>
      </c>
      <c r="I838" t="str">
        <f>VLOOKUP(E838,'Trial Balance'!B:B,1,0)</f>
        <v>Bank Fees and Charges</v>
      </c>
    </row>
    <row r="839" spans="1:9">
      <c r="A839" s="1">
        <v>45895</v>
      </c>
      <c r="B839" s="78">
        <v>45900</v>
      </c>
      <c r="C839" t="s">
        <v>561</v>
      </c>
      <c r="D839" t="s">
        <v>3</v>
      </c>
      <c r="E839" t="s">
        <v>865</v>
      </c>
      <c r="F839" s="2">
        <v>3.75</v>
      </c>
      <c r="G839" t="s">
        <v>710</v>
      </c>
      <c r="I839" t="str">
        <f>VLOOKUP(E839,'Trial Balance'!B:B,1,0)</f>
        <v>Bank Fees and Charges</v>
      </c>
    </row>
    <row r="840" spans="1:9">
      <c r="A840" s="1">
        <v>45895</v>
      </c>
      <c r="B840" s="78">
        <v>45900</v>
      </c>
      <c r="C840" t="s">
        <v>562</v>
      </c>
      <c r="D840" t="s">
        <v>8</v>
      </c>
      <c r="E840" t="s">
        <v>815</v>
      </c>
      <c r="F840" s="2">
        <v>44432.330000005662</v>
      </c>
      <c r="G840" t="s">
        <v>710</v>
      </c>
      <c r="I840" t="str">
        <f>VLOOKUP(E840,'Trial Balance'!B:B,1,0)</f>
        <v>Salaries and Employee Wages</v>
      </c>
    </row>
    <row r="841" spans="1:9">
      <c r="A841" s="1">
        <v>45895</v>
      </c>
      <c r="B841" s="78">
        <v>45900</v>
      </c>
      <c r="C841" t="s">
        <v>563</v>
      </c>
      <c r="D841" t="s">
        <v>3</v>
      </c>
      <c r="E841" t="s">
        <v>865</v>
      </c>
      <c r="F841" s="2">
        <v>25</v>
      </c>
      <c r="G841" t="s">
        <v>710</v>
      </c>
      <c r="I841" t="str">
        <f>VLOOKUP(E841,'Trial Balance'!B:B,1,0)</f>
        <v>Bank Fees and Charges</v>
      </c>
    </row>
    <row r="842" spans="1:9">
      <c r="A842" s="1">
        <v>45895</v>
      </c>
      <c r="B842" s="78">
        <v>45900</v>
      </c>
      <c r="C842" t="s">
        <v>564</v>
      </c>
      <c r="D842" t="s">
        <v>3</v>
      </c>
      <c r="E842" t="s">
        <v>865</v>
      </c>
      <c r="F842" s="2">
        <v>1.8799999952316284</v>
      </c>
      <c r="G842" t="s">
        <v>710</v>
      </c>
      <c r="I842" t="str">
        <f>VLOOKUP(E842,'Trial Balance'!B:B,1,0)</f>
        <v>Bank Fees and Charges</v>
      </c>
    </row>
    <row r="843" spans="1:9">
      <c r="A843" s="1">
        <v>45895</v>
      </c>
      <c r="B843" s="78">
        <v>45900</v>
      </c>
      <c r="C843" t="s">
        <v>565</v>
      </c>
      <c r="D843" t="s">
        <v>8</v>
      </c>
      <c r="E843" t="s">
        <v>815</v>
      </c>
      <c r="F843" s="2">
        <v>44432.329999998212</v>
      </c>
      <c r="G843" t="s">
        <v>710</v>
      </c>
      <c r="I843" t="str">
        <f>VLOOKUP(E843,'Trial Balance'!B:B,1,0)</f>
        <v>Salaries and Employee Wages</v>
      </c>
    </row>
    <row r="844" spans="1:9">
      <c r="A844" s="1">
        <v>45895</v>
      </c>
      <c r="B844" s="78">
        <v>45900</v>
      </c>
      <c r="C844" t="s">
        <v>566</v>
      </c>
      <c r="D844" t="s">
        <v>3</v>
      </c>
      <c r="E844" t="s">
        <v>865</v>
      </c>
      <c r="F844" s="2">
        <v>25</v>
      </c>
      <c r="G844" t="s">
        <v>710</v>
      </c>
      <c r="I844" t="str">
        <f>VLOOKUP(E844,'Trial Balance'!B:B,1,0)</f>
        <v>Bank Fees and Charges</v>
      </c>
    </row>
    <row r="845" spans="1:9">
      <c r="A845" s="1">
        <v>45895</v>
      </c>
      <c r="B845" s="78">
        <v>45900</v>
      </c>
      <c r="C845" t="s">
        <v>567</v>
      </c>
      <c r="D845" t="s">
        <v>3</v>
      </c>
      <c r="E845" t="s">
        <v>865</v>
      </c>
      <c r="F845" s="2">
        <v>1.880000002682209</v>
      </c>
      <c r="G845" t="s">
        <v>710</v>
      </c>
      <c r="I845" t="str">
        <f>VLOOKUP(E845,'Trial Balance'!B:B,1,0)</f>
        <v>Bank Fees and Charges</v>
      </c>
    </row>
    <row r="846" spans="1:9">
      <c r="A846" s="1">
        <v>45895</v>
      </c>
      <c r="B846" s="78">
        <v>45900</v>
      </c>
      <c r="C846" t="s">
        <v>568</v>
      </c>
      <c r="D846" t="s">
        <v>8</v>
      </c>
      <c r="E846" t="s">
        <v>815</v>
      </c>
      <c r="F846" s="2">
        <v>283172.20000000298</v>
      </c>
      <c r="G846" t="s">
        <v>710</v>
      </c>
      <c r="I846" t="str">
        <f>VLOOKUP(E846,'Trial Balance'!B:B,1,0)</f>
        <v>Salaries and Employee Wages</v>
      </c>
    </row>
    <row r="847" spans="1:9">
      <c r="A847" s="1">
        <v>45895</v>
      </c>
      <c r="B847" s="78">
        <v>45900</v>
      </c>
      <c r="C847" t="s">
        <v>569</v>
      </c>
      <c r="D847" t="s">
        <v>3</v>
      </c>
      <c r="E847" t="s">
        <v>865</v>
      </c>
      <c r="F847" s="2">
        <v>50</v>
      </c>
      <c r="G847" t="s">
        <v>710</v>
      </c>
      <c r="I847" t="str">
        <f>VLOOKUP(E847,'Trial Balance'!B:B,1,0)</f>
        <v>Bank Fees and Charges</v>
      </c>
    </row>
    <row r="848" spans="1:9">
      <c r="A848" s="1">
        <v>45895</v>
      </c>
      <c r="B848" s="78">
        <v>45900</v>
      </c>
      <c r="C848" t="s">
        <v>570</v>
      </c>
      <c r="D848" t="s">
        <v>3</v>
      </c>
      <c r="E848" t="s">
        <v>865</v>
      </c>
      <c r="F848" s="2">
        <v>3.75</v>
      </c>
      <c r="G848" t="s">
        <v>710</v>
      </c>
      <c r="I848" t="str">
        <f>VLOOKUP(E848,'Trial Balance'!B:B,1,0)</f>
        <v>Bank Fees and Charges</v>
      </c>
    </row>
    <row r="849" spans="1:9">
      <c r="A849" s="1">
        <v>45895</v>
      </c>
      <c r="B849" s="78">
        <v>45900</v>
      </c>
      <c r="C849" t="s">
        <v>571</v>
      </c>
      <c r="D849" t="s">
        <v>8</v>
      </c>
      <c r="E849" t="s">
        <v>815</v>
      </c>
      <c r="F849" s="2">
        <v>140171.66999999434</v>
      </c>
      <c r="G849" t="s">
        <v>710</v>
      </c>
      <c r="I849" t="str">
        <f>VLOOKUP(E849,'Trial Balance'!B:B,1,0)</f>
        <v>Salaries and Employee Wages</v>
      </c>
    </row>
    <row r="850" spans="1:9">
      <c r="A850" s="1">
        <v>45895</v>
      </c>
      <c r="B850" s="78">
        <v>45900</v>
      </c>
      <c r="C850" t="s">
        <v>572</v>
      </c>
      <c r="D850" t="s">
        <v>3</v>
      </c>
      <c r="E850" t="s">
        <v>865</v>
      </c>
      <c r="F850" s="2">
        <v>50</v>
      </c>
      <c r="G850" t="s">
        <v>710</v>
      </c>
      <c r="I850" t="str">
        <f>VLOOKUP(E850,'Trial Balance'!B:B,1,0)</f>
        <v>Bank Fees and Charges</v>
      </c>
    </row>
    <row r="851" spans="1:9">
      <c r="A851" s="1">
        <v>45895</v>
      </c>
      <c r="B851" s="78">
        <v>45900</v>
      </c>
      <c r="C851" t="s">
        <v>573</v>
      </c>
      <c r="D851" t="s">
        <v>3</v>
      </c>
      <c r="E851" t="s">
        <v>865</v>
      </c>
      <c r="F851" s="2">
        <v>3.75</v>
      </c>
      <c r="G851" t="s">
        <v>710</v>
      </c>
      <c r="I851" t="str">
        <f>VLOOKUP(E851,'Trial Balance'!B:B,1,0)</f>
        <v>Bank Fees and Charges</v>
      </c>
    </row>
    <row r="852" spans="1:9">
      <c r="A852" s="1">
        <v>45895</v>
      </c>
      <c r="B852" s="78">
        <v>45900</v>
      </c>
      <c r="C852" t="s">
        <v>574</v>
      </c>
      <c r="D852" t="s">
        <v>8</v>
      </c>
      <c r="E852" t="s">
        <v>815</v>
      </c>
      <c r="F852" s="2">
        <v>283172.20000000298</v>
      </c>
      <c r="G852" t="s">
        <v>710</v>
      </c>
      <c r="I852" t="str">
        <f>VLOOKUP(E852,'Trial Balance'!B:B,1,0)</f>
        <v>Salaries and Employee Wages</v>
      </c>
    </row>
    <row r="853" spans="1:9">
      <c r="A853" s="1">
        <v>45895</v>
      </c>
      <c r="B853" s="78">
        <v>45900</v>
      </c>
      <c r="C853" t="s">
        <v>575</v>
      </c>
      <c r="D853" t="s">
        <v>3</v>
      </c>
      <c r="E853" t="s">
        <v>865</v>
      </c>
      <c r="F853" s="2">
        <v>50</v>
      </c>
      <c r="G853" t="s">
        <v>710</v>
      </c>
      <c r="I853" t="str">
        <f>VLOOKUP(E853,'Trial Balance'!B:B,1,0)</f>
        <v>Bank Fees and Charges</v>
      </c>
    </row>
    <row r="854" spans="1:9">
      <c r="A854" s="1">
        <v>45895</v>
      </c>
      <c r="B854" s="78">
        <v>45900</v>
      </c>
      <c r="C854" t="s">
        <v>576</v>
      </c>
      <c r="D854" t="s">
        <v>3</v>
      </c>
      <c r="E854" t="s">
        <v>865</v>
      </c>
      <c r="F854" s="2">
        <v>3.75</v>
      </c>
      <c r="G854" t="s">
        <v>710</v>
      </c>
      <c r="I854" t="str">
        <f>VLOOKUP(E854,'Trial Balance'!B:B,1,0)</f>
        <v>Bank Fees and Charges</v>
      </c>
    </row>
    <row r="855" spans="1:9">
      <c r="A855" s="1">
        <v>45895</v>
      </c>
      <c r="B855" s="78">
        <v>45900</v>
      </c>
      <c r="C855" t="s">
        <v>577</v>
      </c>
      <c r="D855" t="s">
        <v>8</v>
      </c>
      <c r="E855" t="s">
        <v>815</v>
      </c>
      <c r="F855" s="2">
        <v>283172.20000000298</v>
      </c>
      <c r="G855" t="s">
        <v>710</v>
      </c>
      <c r="I855" t="str">
        <f>VLOOKUP(E855,'Trial Balance'!B:B,1,0)</f>
        <v>Salaries and Employee Wages</v>
      </c>
    </row>
    <row r="856" spans="1:9">
      <c r="A856" s="1">
        <v>45895</v>
      </c>
      <c r="B856" s="78">
        <v>45900</v>
      </c>
      <c r="C856" t="s">
        <v>578</v>
      </c>
      <c r="D856" t="s">
        <v>3</v>
      </c>
      <c r="E856" t="s">
        <v>865</v>
      </c>
      <c r="F856" s="2">
        <v>50</v>
      </c>
      <c r="G856" t="s">
        <v>710</v>
      </c>
      <c r="I856" t="str">
        <f>VLOOKUP(E856,'Trial Balance'!B:B,1,0)</f>
        <v>Bank Fees and Charges</v>
      </c>
    </row>
    <row r="857" spans="1:9">
      <c r="A857" s="1">
        <v>45895</v>
      </c>
      <c r="B857" s="78">
        <v>45900</v>
      </c>
      <c r="C857" t="s">
        <v>579</v>
      </c>
      <c r="D857" t="s">
        <v>3</v>
      </c>
      <c r="E857" t="s">
        <v>865</v>
      </c>
      <c r="F857" s="2">
        <v>3.75</v>
      </c>
      <c r="G857" t="s">
        <v>710</v>
      </c>
      <c r="I857" t="str">
        <f>VLOOKUP(E857,'Trial Balance'!B:B,1,0)</f>
        <v>Bank Fees and Charges</v>
      </c>
    </row>
    <row r="858" spans="1:9">
      <c r="A858" s="1">
        <v>45895</v>
      </c>
      <c r="B858" s="78">
        <v>45900</v>
      </c>
      <c r="C858" t="s">
        <v>580</v>
      </c>
      <c r="D858" t="s">
        <v>8</v>
      </c>
      <c r="E858" t="s">
        <v>815</v>
      </c>
      <c r="F858" s="2">
        <v>44432.329999998212</v>
      </c>
      <c r="G858" t="s">
        <v>710</v>
      </c>
      <c r="I858" t="str">
        <f>VLOOKUP(E858,'Trial Balance'!B:B,1,0)</f>
        <v>Salaries and Employee Wages</v>
      </c>
    </row>
    <row r="859" spans="1:9">
      <c r="A859" s="1">
        <v>45895</v>
      </c>
      <c r="B859" s="78">
        <v>45900</v>
      </c>
      <c r="C859" t="s">
        <v>581</v>
      </c>
      <c r="D859" t="s">
        <v>3</v>
      </c>
      <c r="E859" t="s">
        <v>865</v>
      </c>
      <c r="F859" s="2">
        <v>25</v>
      </c>
      <c r="G859" t="s">
        <v>710</v>
      </c>
      <c r="I859" t="str">
        <f>VLOOKUP(E859,'Trial Balance'!B:B,1,0)</f>
        <v>Bank Fees and Charges</v>
      </c>
    </row>
    <row r="860" spans="1:9">
      <c r="A860" s="1">
        <v>45895</v>
      </c>
      <c r="B860" s="78">
        <v>45900</v>
      </c>
      <c r="C860" t="s">
        <v>582</v>
      </c>
      <c r="D860" t="s">
        <v>3</v>
      </c>
      <c r="E860" t="s">
        <v>865</v>
      </c>
      <c r="F860" s="2">
        <v>1.880000002682209</v>
      </c>
      <c r="G860" t="s">
        <v>710</v>
      </c>
      <c r="I860" t="str">
        <f>VLOOKUP(E860,'Trial Balance'!B:B,1,0)</f>
        <v>Bank Fees and Charges</v>
      </c>
    </row>
    <row r="861" spans="1:9">
      <c r="A861" s="1">
        <v>45895</v>
      </c>
      <c r="B861" s="78">
        <v>45900</v>
      </c>
      <c r="C861" t="s">
        <v>583</v>
      </c>
      <c r="D861" t="s">
        <v>8</v>
      </c>
      <c r="E861" t="s">
        <v>815</v>
      </c>
      <c r="F861" s="2">
        <v>44432.329999998212</v>
      </c>
      <c r="G861" t="s">
        <v>710</v>
      </c>
      <c r="I861" t="str">
        <f>VLOOKUP(E861,'Trial Balance'!B:B,1,0)</f>
        <v>Salaries and Employee Wages</v>
      </c>
    </row>
    <row r="862" spans="1:9">
      <c r="A862" s="1">
        <v>45895</v>
      </c>
      <c r="B862" s="78">
        <v>45900</v>
      </c>
      <c r="C862" t="s">
        <v>584</v>
      </c>
      <c r="D862" t="s">
        <v>3</v>
      </c>
      <c r="E862" t="s">
        <v>865</v>
      </c>
      <c r="F862" s="2">
        <v>25</v>
      </c>
      <c r="G862" t="s">
        <v>710</v>
      </c>
      <c r="I862" t="str">
        <f>VLOOKUP(E862,'Trial Balance'!B:B,1,0)</f>
        <v>Bank Fees and Charges</v>
      </c>
    </row>
    <row r="863" spans="1:9">
      <c r="A863" s="1">
        <v>45895</v>
      </c>
      <c r="B863" s="78">
        <v>45900</v>
      </c>
      <c r="C863" t="s">
        <v>585</v>
      </c>
      <c r="D863" t="s">
        <v>3</v>
      </c>
      <c r="E863" t="s">
        <v>865</v>
      </c>
      <c r="F863" s="2">
        <v>1.8799999952316284</v>
      </c>
      <c r="G863" t="s">
        <v>710</v>
      </c>
      <c r="I863" t="str">
        <f>VLOOKUP(E863,'Trial Balance'!B:B,1,0)</f>
        <v>Bank Fees and Charges</v>
      </c>
    </row>
    <row r="864" spans="1:9">
      <c r="A864" s="1">
        <v>45895</v>
      </c>
      <c r="B864" s="78">
        <v>45900</v>
      </c>
      <c r="C864" t="s">
        <v>586</v>
      </c>
      <c r="D864" t="s">
        <v>8</v>
      </c>
      <c r="E864" t="s">
        <v>815</v>
      </c>
      <c r="F864" s="2">
        <v>52835</v>
      </c>
      <c r="G864" t="s">
        <v>710</v>
      </c>
      <c r="I864" t="str">
        <f>VLOOKUP(E864,'Trial Balance'!B:B,1,0)</f>
        <v>Salaries and Employee Wages</v>
      </c>
    </row>
    <row r="865" spans="1:9">
      <c r="A865" s="1">
        <v>45895</v>
      </c>
      <c r="B865" s="78">
        <v>45900</v>
      </c>
      <c r="C865" t="s">
        <v>587</v>
      </c>
      <c r="D865" t="s">
        <v>3</v>
      </c>
      <c r="E865" t="s">
        <v>865</v>
      </c>
      <c r="F865" s="2">
        <v>50</v>
      </c>
      <c r="G865" t="s">
        <v>710</v>
      </c>
      <c r="I865" t="str">
        <f>VLOOKUP(E865,'Trial Balance'!B:B,1,0)</f>
        <v>Bank Fees and Charges</v>
      </c>
    </row>
    <row r="866" spans="1:9">
      <c r="A866" s="1">
        <v>45895</v>
      </c>
      <c r="B866" s="78">
        <v>45900</v>
      </c>
      <c r="C866" t="s">
        <v>588</v>
      </c>
      <c r="D866" t="s">
        <v>3</v>
      </c>
      <c r="E866" t="s">
        <v>865</v>
      </c>
      <c r="F866" s="2">
        <v>3.75</v>
      </c>
      <c r="G866" t="s">
        <v>710</v>
      </c>
      <c r="I866" t="str">
        <f>VLOOKUP(E866,'Trial Balance'!B:B,1,0)</f>
        <v>Bank Fees and Charges</v>
      </c>
    </row>
    <row r="867" spans="1:9">
      <c r="A867" s="1">
        <v>45895</v>
      </c>
      <c r="B867" s="78">
        <v>45900</v>
      </c>
      <c r="C867" t="s">
        <v>589</v>
      </c>
      <c r="D867" t="s">
        <v>8</v>
      </c>
      <c r="E867" t="s">
        <v>815</v>
      </c>
      <c r="F867" s="2">
        <v>283172.20000000298</v>
      </c>
      <c r="G867" t="s">
        <v>710</v>
      </c>
      <c r="I867" t="str">
        <f>VLOOKUP(E867,'Trial Balance'!B:B,1,0)</f>
        <v>Salaries and Employee Wages</v>
      </c>
    </row>
    <row r="868" spans="1:9">
      <c r="A868" s="1">
        <v>45895</v>
      </c>
      <c r="B868" s="78">
        <v>45900</v>
      </c>
      <c r="C868" t="s">
        <v>590</v>
      </c>
      <c r="D868" t="s">
        <v>3</v>
      </c>
      <c r="E868" t="s">
        <v>865</v>
      </c>
      <c r="F868" s="2">
        <v>50</v>
      </c>
      <c r="G868" t="s">
        <v>710</v>
      </c>
      <c r="I868" t="str">
        <f>VLOOKUP(E868,'Trial Balance'!B:B,1,0)</f>
        <v>Bank Fees and Charges</v>
      </c>
    </row>
    <row r="869" spans="1:9">
      <c r="A869" s="1">
        <v>45895</v>
      </c>
      <c r="B869" s="78">
        <v>45900</v>
      </c>
      <c r="C869" t="s">
        <v>591</v>
      </c>
      <c r="D869" t="s">
        <v>3</v>
      </c>
      <c r="E869" t="s">
        <v>865</v>
      </c>
      <c r="F869" s="2">
        <v>3.75</v>
      </c>
      <c r="G869" t="s">
        <v>710</v>
      </c>
      <c r="I869" t="str">
        <f>VLOOKUP(E869,'Trial Balance'!B:B,1,0)</f>
        <v>Bank Fees and Charges</v>
      </c>
    </row>
    <row r="870" spans="1:9">
      <c r="A870" s="1">
        <v>45895</v>
      </c>
      <c r="B870" s="78">
        <v>45900</v>
      </c>
      <c r="C870" t="s">
        <v>592</v>
      </c>
      <c r="D870" t="s">
        <v>8</v>
      </c>
      <c r="E870" t="s">
        <v>815</v>
      </c>
      <c r="F870" s="2">
        <v>486614.60000000149</v>
      </c>
      <c r="G870" t="s">
        <v>710</v>
      </c>
      <c r="I870" t="str">
        <f>VLOOKUP(E870,'Trial Balance'!B:B,1,0)</f>
        <v>Salaries and Employee Wages</v>
      </c>
    </row>
    <row r="871" spans="1:9">
      <c r="A871" s="1">
        <v>45895</v>
      </c>
      <c r="B871" s="78">
        <v>45900</v>
      </c>
      <c r="C871" t="s">
        <v>593</v>
      </c>
      <c r="D871" t="s">
        <v>3</v>
      </c>
      <c r="E871" t="s">
        <v>865</v>
      </c>
      <c r="F871" s="2">
        <v>50</v>
      </c>
      <c r="G871" t="s">
        <v>710</v>
      </c>
      <c r="I871" t="str">
        <f>VLOOKUP(E871,'Trial Balance'!B:B,1,0)</f>
        <v>Bank Fees and Charges</v>
      </c>
    </row>
    <row r="872" spans="1:9">
      <c r="A872" s="1">
        <v>45895</v>
      </c>
      <c r="B872" s="78">
        <v>45900</v>
      </c>
      <c r="C872" t="s">
        <v>594</v>
      </c>
      <c r="D872" t="s">
        <v>3</v>
      </c>
      <c r="E872" t="s">
        <v>865</v>
      </c>
      <c r="F872" s="2">
        <v>3.75</v>
      </c>
      <c r="G872" t="s">
        <v>710</v>
      </c>
      <c r="I872" t="str">
        <f>VLOOKUP(E872,'Trial Balance'!B:B,1,0)</f>
        <v>Bank Fees and Charges</v>
      </c>
    </row>
    <row r="873" spans="1:9">
      <c r="A873" s="1">
        <v>45895</v>
      </c>
      <c r="B873" s="78">
        <v>45900</v>
      </c>
      <c r="C873" t="s">
        <v>595</v>
      </c>
      <c r="D873" t="s">
        <v>8</v>
      </c>
      <c r="E873" t="s">
        <v>815</v>
      </c>
      <c r="F873" s="2">
        <v>52835</v>
      </c>
      <c r="G873" t="s">
        <v>710</v>
      </c>
      <c r="I873" t="str">
        <f>VLOOKUP(E873,'Trial Balance'!B:B,1,0)</f>
        <v>Salaries and Employee Wages</v>
      </c>
    </row>
    <row r="874" spans="1:9">
      <c r="A874" s="1">
        <v>45895</v>
      </c>
      <c r="B874" s="78">
        <v>45900</v>
      </c>
      <c r="C874" t="s">
        <v>596</v>
      </c>
      <c r="D874" t="s">
        <v>3</v>
      </c>
      <c r="E874" t="s">
        <v>865</v>
      </c>
      <c r="F874" s="2">
        <v>50</v>
      </c>
      <c r="G874" t="s">
        <v>710</v>
      </c>
      <c r="I874" t="str">
        <f>VLOOKUP(E874,'Trial Balance'!B:B,1,0)</f>
        <v>Bank Fees and Charges</v>
      </c>
    </row>
    <row r="875" spans="1:9">
      <c r="A875" s="1">
        <v>45895</v>
      </c>
      <c r="B875" s="78">
        <v>45900</v>
      </c>
      <c r="C875" t="s">
        <v>597</v>
      </c>
      <c r="D875" t="s">
        <v>3</v>
      </c>
      <c r="E875" t="s">
        <v>865</v>
      </c>
      <c r="F875" s="2">
        <v>3.75</v>
      </c>
      <c r="G875" t="s">
        <v>710</v>
      </c>
      <c r="I875" t="str">
        <f>VLOOKUP(E875,'Trial Balance'!B:B,1,0)</f>
        <v>Bank Fees and Charges</v>
      </c>
    </row>
    <row r="876" spans="1:9">
      <c r="A876" s="1">
        <v>45895</v>
      </c>
      <c r="B876" s="78">
        <v>45900</v>
      </c>
      <c r="C876" t="s">
        <v>598</v>
      </c>
      <c r="D876" t="s">
        <v>8</v>
      </c>
      <c r="E876" t="s">
        <v>815</v>
      </c>
      <c r="F876" s="2">
        <v>283172.19999999553</v>
      </c>
      <c r="G876" t="s">
        <v>710</v>
      </c>
      <c r="I876" t="str">
        <f>VLOOKUP(E876,'Trial Balance'!B:B,1,0)</f>
        <v>Salaries and Employee Wages</v>
      </c>
    </row>
    <row r="877" spans="1:9">
      <c r="A877" s="1">
        <v>45895</v>
      </c>
      <c r="B877" s="78">
        <v>45900</v>
      </c>
      <c r="C877" t="s">
        <v>599</v>
      </c>
      <c r="D877" t="s">
        <v>3</v>
      </c>
      <c r="E877" t="s">
        <v>865</v>
      </c>
      <c r="F877" s="2">
        <v>50</v>
      </c>
      <c r="G877" t="s">
        <v>710</v>
      </c>
      <c r="I877" t="str">
        <f>VLOOKUP(E877,'Trial Balance'!B:B,1,0)</f>
        <v>Bank Fees and Charges</v>
      </c>
    </row>
    <row r="878" spans="1:9">
      <c r="A878" s="1">
        <v>45895</v>
      </c>
      <c r="B878" s="78">
        <v>45900</v>
      </c>
      <c r="C878" t="s">
        <v>600</v>
      </c>
      <c r="D878" t="s">
        <v>3</v>
      </c>
      <c r="E878" t="s">
        <v>865</v>
      </c>
      <c r="F878" s="2">
        <v>3.75</v>
      </c>
      <c r="G878" t="s">
        <v>710</v>
      </c>
      <c r="I878" t="str">
        <f>VLOOKUP(E878,'Trial Balance'!B:B,1,0)</f>
        <v>Bank Fees and Charges</v>
      </c>
    </row>
    <row r="879" spans="1:9">
      <c r="A879" s="1">
        <v>45895</v>
      </c>
      <c r="B879" s="78">
        <v>45900</v>
      </c>
      <c r="C879" t="s">
        <v>601</v>
      </c>
      <c r="D879" t="s">
        <v>8</v>
      </c>
      <c r="E879" t="s">
        <v>815</v>
      </c>
      <c r="F879" s="2">
        <v>283172.20000000298</v>
      </c>
      <c r="G879" t="s">
        <v>710</v>
      </c>
      <c r="I879" t="str">
        <f>VLOOKUP(E879,'Trial Balance'!B:B,1,0)</f>
        <v>Salaries and Employee Wages</v>
      </c>
    </row>
    <row r="880" spans="1:9">
      <c r="A880" s="1">
        <v>45895</v>
      </c>
      <c r="B880" s="78">
        <v>45900</v>
      </c>
      <c r="C880" t="s">
        <v>602</v>
      </c>
      <c r="D880" t="s">
        <v>3</v>
      </c>
      <c r="E880" t="s">
        <v>865</v>
      </c>
      <c r="F880" s="2">
        <v>50</v>
      </c>
      <c r="G880" t="s">
        <v>710</v>
      </c>
      <c r="I880" t="str">
        <f>VLOOKUP(E880,'Trial Balance'!B:B,1,0)</f>
        <v>Bank Fees and Charges</v>
      </c>
    </row>
    <row r="881" spans="1:9">
      <c r="A881" s="1">
        <v>45895</v>
      </c>
      <c r="B881" s="78">
        <v>45900</v>
      </c>
      <c r="C881" t="s">
        <v>603</v>
      </c>
      <c r="D881" t="s">
        <v>3</v>
      </c>
      <c r="E881" t="s">
        <v>865</v>
      </c>
      <c r="F881" s="2">
        <v>3.75</v>
      </c>
      <c r="G881" t="s">
        <v>710</v>
      </c>
      <c r="I881" t="str">
        <f>VLOOKUP(E881,'Trial Balance'!B:B,1,0)</f>
        <v>Bank Fees and Charges</v>
      </c>
    </row>
    <row r="882" spans="1:9">
      <c r="A882" s="1">
        <v>45895</v>
      </c>
      <c r="B882" s="78">
        <v>45900</v>
      </c>
      <c r="C882" t="s">
        <v>604</v>
      </c>
      <c r="D882" t="s">
        <v>8</v>
      </c>
      <c r="E882" t="s">
        <v>815</v>
      </c>
      <c r="F882" s="2">
        <v>140171.67000000179</v>
      </c>
      <c r="G882" t="s">
        <v>710</v>
      </c>
      <c r="I882" t="str">
        <f>VLOOKUP(E882,'Trial Balance'!B:B,1,0)</f>
        <v>Salaries and Employee Wages</v>
      </c>
    </row>
    <row r="883" spans="1:9">
      <c r="A883" s="1">
        <v>45895</v>
      </c>
      <c r="B883" s="78">
        <v>45900</v>
      </c>
      <c r="C883" t="s">
        <v>605</v>
      </c>
      <c r="D883" t="s">
        <v>3</v>
      </c>
      <c r="E883" t="s">
        <v>865</v>
      </c>
      <c r="F883" s="2">
        <v>50</v>
      </c>
      <c r="G883" t="s">
        <v>710</v>
      </c>
      <c r="I883" t="str">
        <f>VLOOKUP(E883,'Trial Balance'!B:B,1,0)</f>
        <v>Bank Fees and Charges</v>
      </c>
    </row>
    <row r="884" spans="1:9">
      <c r="A884" s="1">
        <v>45895</v>
      </c>
      <c r="B884" s="78">
        <v>45900</v>
      </c>
      <c r="C884" t="s">
        <v>606</v>
      </c>
      <c r="D884" t="s">
        <v>3</v>
      </c>
      <c r="E884" t="s">
        <v>865</v>
      </c>
      <c r="F884" s="2">
        <v>3.75</v>
      </c>
      <c r="G884" t="s">
        <v>710</v>
      </c>
      <c r="I884" t="str">
        <f>VLOOKUP(E884,'Trial Balance'!B:B,1,0)</f>
        <v>Bank Fees and Charges</v>
      </c>
    </row>
    <row r="885" spans="1:9">
      <c r="A885" s="1">
        <v>45895</v>
      </c>
      <c r="B885" s="78">
        <v>45900</v>
      </c>
      <c r="C885" t="s">
        <v>607</v>
      </c>
      <c r="D885" t="s">
        <v>8</v>
      </c>
      <c r="E885" t="s">
        <v>815</v>
      </c>
      <c r="F885" s="2">
        <v>283172.19999999553</v>
      </c>
      <c r="G885" t="s">
        <v>710</v>
      </c>
      <c r="I885" t="str">
        <f>VLOOKUP(E885,'Trial Balance'!B:B,1,0)</f>
        <v>Salaries and Employee Wages</v>
      </c>
    </row>
    <row r="886" spans="1:9">
      <c r="A886" s="1">
        <v>45895</v>
      </c>
      <c r="B886" s="78">
        <v>45900</v>
      </c>
      <c r="C886" t="s">
        <v>608</v>
      </c>
      <c r="D886" t="s">
        <v>3</v>
      </c>
      <c r="E886" t="s">
        <v>865</v>
      </c>
      <c r="F886" s="2">
        <v>50</v>
      </c>
      <c r="G886" t="s">
        <v>710</v>
      </c>
      <c r="I886" t="str">
        <f>VLOOKUP(E886,'Trial Balance'!B:B,1,0)</f>
        <v>Bank Fees and Charges</v>
      </c>
    </row>
    <row r="887" spans="1:9">
      <c r="A887" s="1">
        <v>45895</v>
      </c>
      <c r="B887" s="78">
        <v>45900</v>
      </c>
      <c r="C887" t="s">
        <v>609</v>
      </c>
      <c r="D887" t="s">
        <v>3</v>
      </c>
      <c r="E887" t="s">
        <v>865</v>
      </c>
      <c r="F887" s="2">
        <v>3.75</v>
      </c>
      <c r="G887" t="s">
        <v>710</v>
      </c>
      <c r="I887" t="str">
        <f>VLOOKUP(E887,'Trial Balance'!B:B,1,0)</f>
        <v>Bank Fees and Charges</v>
      </c>
    </row>
    <row r="888" spans="1:9">
      <c r="A888" s="1">
        <v>45895</v>
      </c>
      <c r="B888" s="78">
        <v>45900</v>
      </c>
      <c r="C888" t="s">
        <v>610</v>
      </c>
      <c r="D888" t="s">
        <v>8</v>
      </c>
      <c r="E888" t="s">
        <v>815</v>
      </c>
      <c r="F888" s="2">
        <v>4019028.3599999994</v>
      </c>
      <c r="G888" t="s">
        <v>710</v>
      </c>
      <c r="I888" t="str">
        <f>VLOOKUP(E888,'Trial Balance'!B:B,1,0)</f>
        <v>Salaries and Employee Wages</v>
      </c>
    </row>
    <row r="889" spans="1:9">
      <c r="A889" s="1">
        <v>45895</v>
      </c>
      <c r="B889" s="78">
        <v>45900</v>
      </c>
      <c r="C889" t="s">
        <v>611</v>
      </c>
      <c r="D889" t="s">
        <v>3</v>
      </c>
      <c r="E889" t="s">
        <v>865</v>
      </c>
      <c r="F889" s="2">
        <v>50</v>
      </c>
      <c r="G889" t="s">
        <v>710</v>
      </c>
      <c r="I889" t="str">
        <f>VLOOKUP(E889,'Trial Balance'!B:B,1,0)</f>
        <v>Bank Fees and Charges</v>
      </c>
    </row>
    <row r="890" spans="1:9">
      <c r="A890" s="1">
        <v>45895</v>
      </c>
      <c r="B890" s="78">
        <v>45900</v>
      </c>
      <c r="C890" t="s">
        <v>612</v>
      </c>
      <c r="D890" t="s">
        <v>3</v>
      </c>
      <c r="E890" t="s">
        <v>865</v>
      </c>
      <c r="F890" s="2">
        <v>3.75</v>
      </c>
      <c r="G890" t="s">
        <v>710</v>
      </c>
      <c r="I890" t="str">
        <f>VLOOKUP(E890,'Trial Balance'!B:B,1,0)</f>
        <v>Bank Fees and Charges</v>
      </c>
    </row>
    <row r="891" spans="1:9">
      <c r="A891" s="1">
        <v>45895</v>
      </c>
      <c r="B891" s="78">
        <v>45900</v>
      </c>
      <c r="C891" t="s">
        <v>613</v>
      </c>
      <c r="D891" t="s">
        <v>8</v>
      </c>
      <c r="E891" t="s">
        <v>815</v>
      </c>
      <c r="F891" s="2">
        <v>283172.20000000298</v>
      </c>
      <c r="G891" t="s">
        <v>710</v>
      </c>
      <c r="I891" t="str">
        <f>VLOOKUP(E891,'Trial Balance'!B:B,1,0)</f>
        <v>Salaries and Employee Wages</v>
      </c>
    </row>
    <row r="892" spans="1:9">
      <c r="A892" s="1">
        <v>45895</v>
      </c>
      <c r="B892" s="78">
        <v>45900</v>
      </c>
      <c r="C892" t="s">
        <v>614</v>
      </c>
      <c r="D892" t="s">
        <v>3</v>
      </c>
      <c r="E892" t="s">
        <v>865</v>
      </c>
      <c r="F892" s="2">
        <v>50</v>
      </c>
      <c r="G892" t="s">
        <v>710</v>
      </c>
      <c r="I892" t="str">
        <f>VLOOKUP(E892,'Trial Balance'!B:B,1,0)</f>
        <v>Bank Fees and Charges</v>
      </c>
    </row>
    <row r="893" spans="1:9">
      <c r="A893" s="1">
        <v>45895</v>
      </c>
      <c r="B893" s="78">
        <v>45900</v>
      </c>
      <c r="C893" t="s">
        <v>615</v>
      </c>
      <c r="D893" t="s">
        <v>3</v>
      </c>
      <c r="E893" t="s">
        <v>865</v>
      </c>
      <c r="F893" s="2">
        <v>3.75</v>
      </c>
      <c r="G893" t="s">
        <v>710</v>
      </c>
      <c r="I893" t="str">
        <f>VLOOKUP(E893,'Trial Balance'!B:B,1,0)</f>
        <v>Bank Fees and Charges</v>
      </c>
    </row>
    <row r="894" spans="1:9">
      <c r="A894" s="1">
        <v>45895</v>
      </c>
      <c r="B894" s="78">
        <v>45900</v>
      </c>
      <c r="C894" t="s">
        <v>616</v>
      </c>
      <c r="D894" t="s">
        <v>8</v>
      </c>
      <c r="E894" t="s">
        <v>815</v>
      </c>
      <c r="F894" s="2">
        <v>52835</v>
      </c>
      <c r="G894" t="s">
        <v>710</v>
      </c>
      <c r="I894" t="str">
        <f>VLOOKUP(E894,'Trial Balance'!B:B,1,0)</f>
        <v>Salaries and Employee Wages</v>
      </c>
    </row>
    <row r="895" spans="1:9">
      <c r="A895" s="1">
        <v>45895</v>
      </c>
      <c r="B895" s="78">
        <v>45900</v>
      </c>
      <c r="C895" t="s">
        <v>617</v>
      </c>
      <c r="D895" t="s">
        <v>3</v>
      </c>
      <c r="E895" t="s">
        <v>865</v>
      </c>
      <c r="F895" s="2">
        <v>50</v>
      </c>
      <c r="G895" t="s">
        <v>710</v>
      </c>
      <c r="I895" t="str">
        <f>VLOOKUP(E895,'Trial Balance'!B:B,1,0)</f>
        <v>Bank Fees and Charges</v>
      </c>
    </row>
    <row r="896" spans="1:9">
      <c r="A896" s="1">
        <v>45895</v>
      </c>
      <c r="B896" s="78">
        <v>45900</v>
      </c>
      <c r="C896" t="s">
        <v>618</v>
      </c>
      <c r="D896" t="s">
        <v>3</v>
      </c>
      <c r="E896" t="s">
        <v>865</v>
      </c>
      <c r="F896" s="2">
        <v>3.75</v>
      </c>
      <c r="G896" t="s">
        <v>710</v>
      </c>
      <c r="I896" t="str">
        <f>VLOOKUP(E896,'Trial Balance'!B:B,1,0)</f>
        <v>Bank Fees and Charges</v>
      </c>
    </row>
    <row r="897" spans="1:9">
      <c r="A897" s="1">
        <v>45895</v>
      </c>
      <c r="B897" s="78">
        <v>45900</v>
      </c>
      <c r="C897" t="s">
        <v>619</v>
      </c>
      <c r="D897" t="s">
        <v>8</v>
      </c>
      <c r="E897" t="s">
        <v>815</v>
      </c>
      <c r="F897" s="2">
        <v>2295519.5600000024</v>
      </c>
      <c r="G897" t="s">
        <v>710</v>
      </c>
      <c r="I897" t="str">
        <f>VLOOKUP(E897,'Trial Balance'!B:B,1,0)</f>
        <v>Salaries and Employee Wages</v>
      </c>
    </row>
    <row r="898" spans="1:9">
      <c r="A898" s="1">
        <v>45895</v>
      </c>
      <c r="B898" s="78">
        <v>45900</v>
      </c>
      <c r="C898" t="s">
        <v>620</v>
      </c>
      <c r="D898" t="s">
        <v>3</v>
      </c>
      <c r="E898" t="s">
        <v>865</v>
      </c>
      <c r="F898" s="2">
        <v>50</v>
      </c>
      <c r="G898" t="s">
        <v>710</v>
      </c>
      <c r="I898" t="str">
        <f>VLOOKUP(E898,'Trial Balance'!B:B,1,0)</f>
        <v>Bank Fees and Charges</v>
      </c>
    </row>
    <row r="899" spans="1:9">
      <c r="A899" s="1">
        <v>45895</v>
      </c>
      <c r="B899" s="78">
        <v>45900</v>
      </c>
      <c r="C899" t="s">
        <v>621</v>
      </c>
      <c r="D899" t="s">
        <v>3</v>
      </c>
      <c r="E899" t="s">
        <v>865</v>
      </c>
      <c r="F899" s="2">
        <v>3.75</v>
      </c>
      <c r="G899" t="s">
        <v>710</v>
      </c>
      <c r="I899" t="str">
        <f>VLOOKUP(E899,'Trial Balance'!B:B,1,0)</f>
        <v>Bank Fees and Charges</v>
      </c>
    </row>
    <row r="900" spans="1:9">
      <c r="A900" s="1">
        <v>45895</v>
      </c>
      <c r="B900" s="78">
        <v>45900</v>
      </c>
      <c r="C900" t="s">
        <v>622</v>
      </c>
      <c r="D900" t="s">
        <v>8</v>
      </c>
      <c r="E900" t="s">
        <v>815</v>
      </c>
      <c r="F900" s="2">
        <v>44432.329999998212</v>
      </c>
      <c r="G900" t="s">
        <v>710</v>
      </c>
      <c r="I900" t="str">
        <f>VLOOKUP(E900,'Trial Balance'!B:B,1,0)</f>
        <v>Salaries and Employee Wages</v>
      </c>
    </row>
    <row r="901" spans="1:9">
      <c r="A901" s="1">
        <v>45895</v>
      </c>
      <c r="B901" s="78">
        <v>45900</v>
      </c>
      <c r="C901" t="s">
        <v>623</v>
      </c>
      <c r="D901" t="s">
        <v>3</v>
      </c>
      <c r="E901" t="s">
        <v>865</v>
      </c>
      <c r="F901" s="2">
        <v>25</v>
      </c>
      <c r="G901" t="s">
        <v>710</v>
      </c>
      <c r="I901" t="str">
        <f>VLOOKUP(E901,'Trial Balance'!B:B,1,0)</f>
        <v>Bank Fees and Charges</v>
      </c>
    </row>
    <row r="902" spans="1:9">
      <c r="A902" s="1">
        <v>45895</v>
      </c>
      <c r="B902" s="78">
        <v>45900</v>
      </c>
      <c r="C902" t="s">
        <v>624</v>
      </c>
      <c r="D902" t="s">
        <v>3</v>
      </c>
      <c r="E902" t="s">
        <v>865</v>
      </c>
      <c r="F902" s="2">
        <v>1.880000002682209</v>
      </c>
      <c r="G902" t="s">
        <v>710</v>
      </c>
      <c r="I902" t="str">
        <f>VLOOKUP(E902,'Trial Balance'!B:B,1,0)</f>
        <v>Bank Fees and Charges</v>
      </c>
    </row>
    <row r="903" spans="1:9">
      <c r="A903" s="1">
        <v>45895</v>
      </c>
      <c r="B903" s="78">
        <v>45900</v>
      </c>
      <c r="C903" t="s">
        <v>625</v>
      </c>
      <c r="D903" t="s">
        <v>19</v>
      </c>
      <c r="E903" t="s">
        <v>815</v>
      </c>
      <c r="F903" s="2">
        <v>44432.329999998212</v>
      </c>
      <c r="G903" t="s">
        <v>710</v>
      </c>
      <c r="H903" s="12" t="s">
        <v>758</v>
      </c>
      <c r="I903" t="str">
        <f>VLOOKUP(E903,'Trial Balance'!B:B,1,0)</f>
        <v>Salaries and Employee Wages</v>
      </c>
    </row>
    <row r="904" spans="1:9">
      <c r="A904" s="1">
        <v>45895</v>
      </c>
      <c r="B904" s="78">
        <v>45900</v>
      </c>
      <c r="C904" t="s">
        <v>626</v>
      </c>
      <c r="D904" t="s">
        <v>3</v>
      </c>
      <c r="E904" t="s">
        <v>865</v>
      </c>
      <c r="F904" s="2">
        <v>25</v>
      </c>
      <c r="G904" t="s">
        <v>710</v>
      </c>
      <c r="I904" t="str">
        <f>VLOOKUP(E904,'Trial Balance'!B:B,1,0)</f>
        <v>Bank Fees and Charges</v>
      </c>
    </row>
    <row r="905" spans="1:9">
      <c r="A905" s="1">
        <v>45895</v>
      </c>
      <c r="B905" s="78">
        <v>45900</v>
      </c>
      <c r="C905" t="s">
        <v>627</v>
      </c>
      <c r="D905" t="s">
        <v>3</v>
      </c>
      <c r="E905" t="s">
        <v>865</v>
      </c>
      <c r="F905" s="2">
        <v>1.8799999952316284</v>
      </c>
      <c r="G905" t="s">
        <v>710</v>
      </c>
      <c r="I905" t="str">
        <f>VLOOKUP(E905,'Trial Balance'!B:B,1,0)</f>
        <v>Bank Fees and Charges</v>
      </c>
    </row>
    <row r="906" spans="1:9">
      <c r="A906" s="1">
        <v>45895</v>
      </c>
      <c r="B906" s="78">
        <v>45900</v>
      </c>
      <c r="C906" t="s">
        <v>628</v>
      </c>
      <c r="D906" t="s">
        <v>8</v>
      </c>
      <c r="E906" t="s">
        <v>815</v>
      </c>
      <c r="F906" s="2">
        <v>140171.67000000179</v>
      </c>
      <c r="G906" t="s">
        <v>710</v>
      </c>
      <c r="I906" t="str">
        <f>VLOOKUP(E906,'Trial Balance'!B:B,1,0)</f>
        <v>Salaries and Employee Wages</v>
      </c>
    </row>
    <row r="907" spans="1:9">
      <c r="A907" s="1">
        <v>45895</v>
      </c>
      <c r="B907" s="78">
        <v>45900</v>
      </c>
      <c r="C907" t="s">
        <v>629</v>
      </c>
      <c r="D907" t="s">
        <v>3</v>
      </c>
      <c r="E907" t="s">
        <v>865</v>
      </c>
      <c r="F907" s="2">
        <v>50</v>
      </c>
      <c r="G907" t="s">
        <v>710</v>
      </c>
      <c r="I907" t="str">
        <f>VLOOKUP(E907,'Trial Balance'!B:B,1,0)</f>
        <v>Bank Fees and Charges</v>
      </c>
    </row>
    <row r="908" spans="1:9">
      <c r="A908" s="1">
        <v>45895</v>
      </c>
      <c r="B908" s="78">
        <v>45900</v>
      </c>
      <c r="C908" t="s">
        <v>630</v>
      </c>
      <c r="D908" t="s">
        <v>3</v>
      </c>
      <c r="E908" t="s">
        <v>865</v>
      </c>
      <c r="F908" s="2">
        <v>3.75</v>
      </c>
      <c r="G908" t="s">
        <v>710</v>
      </c>
      <c r="I908" t="str">
        <f>VLOOKUP(E908,'Trial Balance'!B:B,1,0)</f>
        <v>Bank Fees and Charges</v>
      </c>
    </row>
    <row r="909" spans="1:9">
      <c r="A909" s="1">
        <v>45895</v>
      </c>
      <c r="B909" s="78">
        <v>45900</v>
      </c>
      <c r="C909" t="s">
        <v>631</v>
      </c>
      <c r="D909" t="s">
        <v>8</v>
      </c>
      <c r="E909" t="s">
        <v>815</v>
      </c>
      <c r="F909" s="2">
        <v>44432.329999998212</v>
      </c>
      <c r="G909" t="s">
        <v>710</v>
      </c>
      <c r="I909" t="str">
        <f>VLOOKUP(E909,'Trial Balance'!B:B,1,0)</f>
        <v>Salaries and Employee Wages</v>
      </c>
    </row>
    <row r="910" spans="1:9">
      <c r="A910" s="1">
        <v>45895</v>
      </c>
      <c r="B910" s="78">
        <v>45900</v>
      </c>
      <c r="C910" t="s">
        <v>632</v>
      </c>
      <c r="D910" t="s">
        <v>3</v>
      </c>
      <c r="E910" t="s">
        <v>865</v>
      </c>
      <c r="F910" s="2">
        <v>25</v>
      </c>
      <c r="G910" t="s">
        <v>710</v>
      </c>
      <c r="I910" t="str">
        <f>VLOOKUP(E910,'Trial Balance'!B:B,1,0)</f>
        <v>Bank Fees and Charges</v>
      </c>
    </row>
    <row r="911" spans="1:9">
      <c r="A911" s="1">
        <v>45895</v>
      </c>
      <c r="B911" s="78">
        <v>45900</v>
      </c>
      <c r="C911" t="s">
        <v>633</v>
      </c>
      <c r="D911" t="s">
        <v>3</v>
      </c>
      <c r="E911" t="s">
        <v>865</v>
      </c>
      <c r="F911" s="2">
        <v>1.880000002682209</v>
      </c>
      <c r="G911" t="s">
        <v>710</v>
      </c>
      <c r="I911" t="str">
        <f>VLOOKUP(E911,'Trial Balance'!B:B,1,0)</f>
        <v>Bank Fees and Charges</v>
      </c>
    </row>
    <row r="912" spans="1:9">
      <c r="A912" s="1">
        <v>45895</v>
      </c>
      <c r="B912" s="78">
        <v>45900</v>
      </c>
      <c r="C912" t="s">
        <v>634</v>
      </c>
      <c r="D912" t="s">
        <v>8</v>
      </c>
      <c r="E912" t="s">
        <v>815</v>
      </c>
      <c r="F912" s="2">
        <v>283172.20000000298</v>
      </c>
      <c r="G912" t="s">
        <v>710</v>
      </c>
      <c r="I912" t="str">
        <f>VLOOKUP(E912,'Trial Balance'!B:B,1,0)</f>
        <v>Salaries and Employee Wages</v>
      </c>
    </row>
    <row r="913" spans="1:9">
      <c r="A913" s="1">
        <v>45895</v>
      </c>
      <c r="B913" s="78">
        <v>45900</v>
      </c>
      <c r="C913" t="s">
        <v>635</v>
      </c>
      <c r="D913" t="s">
        <v>3</v>
      </c>
      <c r="E913" t="s">
        <v>865</v>
      </c>
      <c r="F913" s="2">
        <v>50</v>
      </c>
      <c r="G913" t="s">
        <v>710</v>
      </c>
      <c r="I913" t="str">
        <f>VLOOKUP(E913,'Trial Balance'!B:B,1,0)</f>
        <v>Bank Fees and Charges</v>
      </c>
    </row>
    <row r="914" spans="1:9">
      <c r="A914" s="1">
        <v>45895</v>
      </c>
      <c r="B914" s="78">
        <v>45900</v>
      </c>
      <c r="C914" t="s">
        <v>636</v>
      </c>
      <c r="D914" t="s">
        <v>3</v>
      </c>
      <c r="E914" t="s">
        <v>865</v>
      </c>
      <c r="F914" s="2">
        <v>3.75</v>
      </c>
      <c r="G914" t="s">
        <v>710</v>
      </c>
      <c r="I914" t="str">
        <f>VLOOKUP(E914,'Trial Balance'!B:B,1,0)</f>
        <v>Bank Fees and Charges</v>
      </c>
    </row>
    <row r="915" spans="1:9">
      <c r="A915" s="1">
        <v>45895</v>
      </c>
      <c r="B915" s="78">
        <v>45900</v>
      </c>
      <c r="C915" t="s">
        <v>637</v>
      </c>
      <c r="D915" t="s">
        <v>13</v>
      </c>
      <c r="E915" t="s">
        <v>800</v>
      </c>
      <c r="F915" s="2">
        <v>150000</v>
      </c>
      <c r="G915" t="s">
        <v>710</v>
      </c>
      <c r="I915" t="str">
        <f>VLOOKUP(E915,'Trial Balance'!B:B,1,0)</f>
        <v>Repairs and Maintenance</v>
      </c>
    </row>
    <row r="916" spans="1:9">
      <c r="A916" s="1">
        <v>45895</v>
      </c>
      <c r="B916" s="78">
        <v>45900</v>
      </c>
      <c r="C916" t="s">
        <v>637</v>
      </c>
      <c r="D916" t="s">
        <v>3</v>
      </c>
      <c r="E916" t="s">
        <v>865</v>
      </c>
      <c r="F916" s="2">
        <v>50</v>
      </c>
      <c r="G916" t="s">
        <v>710</v>
      </c>
      <c r="I916" t="str">
        <f>VLOOKUP(E916,'Trial Balance'!B:B,1,0)</f>
        <v>Bank Fees and Charges</v>
      </c>
    </row>
    <row r="917" spans="1:9">
      <c r="A917" s="1">
        <v>45895</v>
      </c>
      <c r="B917" s="78">
        <v>45900</v>
      </c>
      <c r="C917" t="s">
        <v>637</v>
      </c>
      <c r="D917" t="s">
        <v>3</v>
      </c>
      <c r="E917" t="s">
        <v>865</v>
      </c>
      <c r="F917" s="2">
        <v>3.75</v>
      </c>
      <c r="G917" t="s">
        <v>710</v>
      </c>
      <c r="I917" t="str">
        <f>VLOOKUP(E917,'Trial Balance'!B:B,1,0)</f>
        <v>Bank Fees and Charges</v>
      </c>
    </row>
    <row r="918" spans="1:9">
      <c r="A918" s="1">
        <v>45895</v>
      </c>
      <c r="B918" s="78">
        <v>45900</v>
      </c>
      <c r="C918" t="s">
        <v>638</v>
      </c>
      <c r="D918" t="s">
        <v>33</v>
      </c>
      <c r="E918" t="s">
        <v>815</v>
      </c>
      <c r="F918" s="112">
        <v>-9579242.3200000003</v>
      </c>
      <c r="G918" t="s">
        <v>710</v>
      </c>
      <c r="I918" t="str">
        <f>VLOOKUP(E918,'Trial Balance'!B:B,1,0)</f>
        <v>Salaries and Employee Wages</v>
      </c>
    </row>
    <row r="919" spans="1:9">
      <c r="A919" s="1">
        <v>45895</v>
      </c>
      <c r="B919" s="78">
        <v>45900</v>
      </c>
      <c r="C919" t="s">
        <v>639</v>
      </c>
      <c r="D919" t="s">
        <v>33</v>
      </c>
      <c r="E919" t="s">
        <v>982</v>
      </c>
      <c r="F919" s="2">
        <v>-47500</v>
      </c>
      <c r="G919" t="s">
        <v>710</v>
      </c>
      <c r="I919" t="str">
        <f>VLOOKUP(E919,'Trial Balance'!B:B,1,0)</f>
        <v>Staff allowances</v>
      </c>
    </row>
    <row r="920" spans="1:9">
      <c r="A920" s="1">
        <v>45895</v>
      </c>
      <c r="B920" s="78">
        <v>45900</v>
      </c>
      <c r="C920" t="s">
        <v>640</v>
      </c>
      <c r="D920" t="s">
        <v>26</v>
      </c>
      <c r="E920" t="s">
        <v>976</v>
      </c>
      <c r="F920" s="2">
        <v>120000</v>
      </c>
      <c r="G920" t="s">
        <v>710</v>
      </c>
      <c r="I920" t="str">
        <f>VLOOKUP(E920,'Trial Balance'!B:B,1,0)</f>
        <v>Travel expense - Local</v>
      </c>
    </row>
    <row r="921" spans="1:9">
      <c r="A921" s="1">
        <v>45895</v>
      </c>
      <c r="B921" s="78">
        <v>45900</v>
      </c>
      <c r="C921" t="s">
        <v>640</v>
      </c>
      <c r="D921" t="s">
        <v>3</v>
      </c>
      <c r="E921" t="s">
        <v>865</v>
      </c>
      <c r="F921" s="2">
        <v>50</v>
      </c>
      <c r="G921" t="s">
        <v>710</v>
      </c>
      <c r="I921" t="str">
        <f>VLOOKUP(E921,'Trial Balance'!B:B,1,0)</f>
        <v>Bank Fees and Charges</v>
      </c>
    </row>
    <row r="922" spans="1:9">
      <c r="A922" s="1">
        <v>45895</v>
      </c>
      <c r="B922" s="78">
        <v>45900</v>
      </c>
      <c r="C922" t="s">
        <v>640</v>
      </c>
      <c r="D922" t="s">
        <v>3</v>
      </c>
      <c r="E922" t="s">
        <v>865</v>
      </c>
      <c r="F922" s="2">
        <v>3.75</v>
      </c>
      <c r="G922" t="s">
        <v>710</v>
      </c>
      <c r="I922" t="str">
        <f>VLOOKUP(E922,'Trial Balance'!B:B,1,0)</f>
        <v>Bank Fees and Charges</v>
      </c>
    </row>
    <row r="923" spans="1:9">
      <c r="A923" s="1">
        <v>45895</v>
      </c>
      <c r="B923" s="78">
        <v>45900</v>
      </c>
      <c r="C923" t="s">
        <v>641</v>
      </c>
      <c r="D923" t="s">
        <v>8</v>
      </c>
      <c r="E923" t="s">
        <v>815</v>
      </c>
      <c r="F923" s="2">
        <v>71025</v>
      </c>
      <c r="G923" t="s">
        <v>710</v>
      </c>
      <c r="I923" t="str">
        <f>VLOOKUP(E923,'Trial Balance'!B:B,1,0)</f>
        <v>Salaries and Employee Wages</v>
      </c>
    </row>
    <row r="924" spans="1:9">
      <c r="A924" s="1">
        <v>45895</v>
      </c>
      <c r="B924" s="78">
        <v>45900</v>
      </c>
      <c r="C924" t="s">
        <v>641</v>
      </c>
      <c r="D924" t="s">
        <v>3</v>
      </c>
      <c r="E924" t="s">
        <v>865</v>
      </c>
      <c r="F924" s="2">
        <v>50</v>
      </c>
      <c r="G924" t="s">
        <v>710</v>
      </c>
      <c r="I924" t="str">
        <f>VLOOKUP(E924,'Trial Balance'!B:B,1,0)</f>
        <v>Bank Fees and Charges</v>
      </c>
    </row>
    <row r="925" spans="1:9">
      <c r="A925" s="1">
        <v>45895</v>
      </c>
      <c r="B925" s="78">
        <v>45900</v>
      </c>
      <c r="C925" t="s">
        <v>641</v>
      </c>
      <c r="D925" t="s">
        <v>3</v>
      </c>
      <c r="E925" t="s">
        <v>865</v>
      </c>
      <c r="F925" s="2">
        <v>3.75</v>
      </c>
      <c r="G925" t="s">
        <v>710</v>
      </c>
      <c r="I925" t="str">
        <f>VLOOKUP(E925,'Trial Balance'!B:B,1,0)</f>
        <v>Bank Fees and Charges</v>
      </c>
    </row>
    <row r="926" spans="1:9">
      <c r="A926" s="1">
        <v>45896</v>
      </c>
      <c r="B926" s="78">
        <v>45900</v>
      </c>
      <c r="C926" t="s">
        <v>643</v>
      </c>
      <c r="D926" t="s">
        <v>11</v>
      </c>
      <c r="E926" t="s">
        <v>953</v>
      </c>
      <c r="F926" s="2">
        <v>30000</v>
      </c>
      <c r="G926" t="s">
        <v>710</v>
      </c>
      <c r="I926" t="str">
        <f>VLOOKUP(E926,'Trial Balance'!B:B,1,0)</f>
        <v>Telephone and Data expense</v>
      </c>
    </row>
    <row r="927" spans="1:9">
      <c r="A927" s="1">
        <v>45896</v>
      </c>
      <c r="B927" s="78">
        <v>45900</v>
      </c>
      <c r="C927" t="s">
        <v>643</v>
      </c>
      <c r="D927" t="s">
        <v>3</v>
      </c>
      <c r="E927" t="s">
        <v>865</v>
      </c>
      <c r="F927" s="2">
        <v>25</v>
      </c>
      <c r="G927" t="s">
        <v>710</v>
      </c>
      <c r="I927" t="str">
        <f>VLOOKUP(E927,'Trial Balance'!B:B,1,0)</f>
        <v>Bank Fees and Charges</v>
      </c>
    </row>
    <row r="928" spans="1:9">
      <c r="A928" s="1">
        <v>45896</v>
      </c>
      <c r="B928" s="78">
        <v>45900</v>
      </c>
      <c r="C928" t="s">
        <v>643</v>
      </c>
      <c r="D928" t="s">
        <v>3</v>
      </c>
      <c r="E928" t="s">
        <v>865</v>
      </c>
      <c r="F928" s="2">
        <v>1.8799999952316284</v>
      </c>
      <c r="G928" t="s">
        <v>710</v>
      </c>
      <c r="I928" t="str">
        <f>VLOOKUP(E928,'Trial Balance'!B:B,1,0)</f>
        <v>Bank Fees and Charges</v>
      </c>
    </row>
    <row r="929" spans="1:9">
      <c r="A929" s="1">
        <v>45896</v>
      </c>
      <c r="B929" s="78">
        <v>45900</v>
      </c>
      <c r="C929" t="s">
        <v>644</v>
      </c>
      <c r="D929" t="s">
        <v>4</v>
      </c>
      <c r="E929" t="s">
        <v>874</v>
      </c>
      <c r="F929" s="2">
        <v>167500</v>
      </c>
      <c r="G929" t="s">
        <v>710</v>
      </c>
      <c r="I929" t="str">
        <f>VLOOKUP(E929,'Trial Balance'!B:B,1,0)</f>
        <v>Office Supplies</v>
      </c>
    </row>
    <row r="930" spans="1:9">
      <c r="A930" s="1">
        <v>45896</v>
      </c>
      <c r="B930" s="78">
        <v>45900</v>
      </c>
      <c r="C930" t="s">
        <v>644</v>
      </c>
      <c r="D930" t="s">
        <v>3</v>
      </c>
      <c r="E930" t="s">
        <v>865</v>
      </c>
      <c r="F930" s="2">
        <v>50</v>
      </c>
      <c r="G930" t="s">
        <v>710</v>
      </c>
      <c r="I930" t="str">
        <f>VLOOKUP(E930,'Trial Balance'!B:B,1,0)</f>
        <v>Bank Fees and Charges</v>
      </c>
    </row>
    <row r="931" spans="1:9">
      <c r="A931" s="1">
        <v>45896</v>
      </c>
      <c r="B931" s="78">
        <v>45900</v>
      </c>
      <c r="C931" t="s">
        <v>644</v>
      </c>
      <c r="D931" t="s">
        <v>3</v>
      </c>
      <c r="E931" t="s">
        <v>865</v>
      </c>
      <c r="F931" s="2">
        <v>3.75</v>
      </c>
      <c r="G931" t="s">
        <v>710</v>
      </c>
      <c r="I931" t="str">
        <f>VLOOKUP(E931,'Trial Balance'!B:B,1,0)</f>
        <v>Bank Fees and Charges</v>
      </c>
    </row>
    <row r="932" spans="1:9">
      <c r="A932" s="1">
        <v>45896</v>
      </c>
      <c r="B932" s="78">
        <v>45900</v>
      </c>
      <c r="C932" t="s">
        <v>645</v>
      </c>
      <c r="D932" t="s">
        <v>4</v>
      </c>
      <c r="E932" t="s">
        <v>874</v>
      </c>
      <c r="F932" s="2">
        <v>32000</v>
      </c>
      <c r="G932" t="s">
        <v>710</v>
      </c>
      <c r="I932" t="str">
        <f>VLOOKUP(E932,'Trial Balance'!B:B,1,0)</f>
        <v>Office Supplies</v>
      </c>
    </row>
    <row r="933" spans="1:9">
      <c r="A933" s="1">
        <v>45896</v>
      </c>
      <c r="B933" s="78">
        <v>45900</v>
      </c>
      <c r="C933" t="s">
        <v>645</v>
      </c>
      <c r="D933" t="s">
        <v>3</v>
      </c>
      <c r="E933" t="s">
        <v>865</v>
      </c>
      <c r="F933" s="2">
        <v>25</v>
      </c>
      <c r="G933" t="s">
        <v>710</v>
      </c>
      <c r="I933" t="str">
        <f>VLOOKUP(E933,'Trial Balance'!B:B,1,0)</f>
        <v>Bank Fees and Charges</v>
      </c>
    </row>
    <row r="934" spans="1:9">
      <c r="A934" s="1">
        <v>45896</v>
      </c>
      <c r="B934" s="78">
        <v>45900</v>
      </c>
      <c r="C934" t="s">
        <v>645</v>
      </c>
      <c r="D934" t="s">
        <v>3</v>
      </c>
      <c r="E934" t="s">
        <v>865</v>
      </c>
      <c r="F934" s="2">
        <v>1.880000002682209</v>
      </c>
      <c r="G934" t="s">
        <v>710</v>
      </c>
      <c r="I934" t="str">
        <f>VLOOKUP(E934,'Trial Balance'!B:B,1,0)</f>
        <v>Bank Fees and Charges</v>
      </c>
    </row>
    <row r="935" spans="1:9">
      <c r="A935" s="1">
        <v>45896</v>
      </c>
      <c r="B935" s="78">
        <v>45900</v>
      </c>
      <c r="C935" t="s">
        <v>646</v>
      </c>
      <c r="D935" t="s">
        <v>26</v>
      </c>
      <c r="E935" t="s">
        <v>976</v>
      </c>
      <c r="F935" s="2">
        <v>202000</v>
      </c>
      <c r="G935" t="s">
        <v>710</v>
      </c>
      <c r="I935" t="str">
        <f>VLOOKUP(E935,'Trial Balance'!B:B,1,0)</f>
        <v>Travel expense - Local</v>
      </c>
    </row>
    <row r="936" spans="1:9">
      <c r="A936" s="1">
        <v>45896</v>
      </c>
      <c r="B936" s="78">
        <v>45900</v>
      </c>
      <c r="C936" t="s">
        <v>646</v>
      </c>
      <c r="D936" t="s">
        <v>3</v>
      </c>
      <c r="E936" t="s">
        <v>865</v>
      </c>
      <c r="F936" s="2">
        <v>50</v>
      </c>
      <c r="G936" t="s">
        <v>710</v>
      </c>
      <c r="I936" t="str">
        <f>VLOOKUP(E936,'Trial Balance'!B:B,1,0)</f>
        <v>Bank Fees and Charges</v>
      </c>
    </row>
    <row r="937" spans="1:9">
      <c r="A937" s="1">
        <v>45896</v>
      </c>
      <c r="B937" s="78">
        <v>45900</v>
      </c>
      <c r="C937" t="s">
        <v>646</v>
      </c>
      <c r="D937" t="s">
        <v>3</v>
      </c>
      <c r="E937" t="s">
        <v>865</v>
      </c>
      <c r="F937" s="2">
        <v>3.75</v>
      </c>
      <c r="G937" t="s">
        <v>710</v>
      </c>
      <c r="I937" t="str">
        <f>VLOOKUP(E937,'Trial Balance'!B:B,1,0)</f>
        <v>Bank Fees and Charges</v>
      </c>
    </row>
    <row r="938" spans="1:9">
      <c r="A938" s="1">
        <v>45896</v>
      </c>
      <c r="B938" s="78">
        <v>45900</v>
      </c>
      <c r="C938" t="s">
        <v>647</v>
      </c>
      <c r="D938" t="s">
        <v>15</v>
      </c>
      <c r="E938" t="s">
        <v>809</v>
      </c>
      <c r="F938" s="2">
        <v>63500</v>
      </c>
      <c r="G938" t="s">
        <v>710</v>
      </c>
      <c r="I938" t="str">
        <f>VLOOKUP(E938,'Trial Balance'!B:B,1,0)</f>
        <v>Meals and Entertainment</v>
      </c>
    </row>
    <row r="939" spans="1:9">
      <c r="A939" s="1">
        <v>45896</v>
      </c>
      <c r="B939" s="78">
        <v>45900</v>
      </c>
      <c r="C939" t="s">
        <v>647</v>
      </c>
      <c r="D939" t="s">
        <v>3</v>
      </c>
      <c r="E939" t="s">
        <v>865</v>
      </c>
      <c r="F939" s="2">
        <v>50</v>
      </c>
      <c r="G939" t="s">
        <v>710</v>
      </c>
      <c r="I939" t="str">
        <f>VLOOKUP(E939,'Trial Balance'!B:B,1,0)</f>
        <v>Bank Fees and Charges</v>
      </c>
    </row>
    <row r="940" spans="1:9">
      <c r="A940" s="1">
        <v>45896</v>
      </c>
      <c r="B940" s="78">
        <v>45900</v>
      </c>
      <c r="C940" t="s">
        <v>647</v>
      </c>
      <c r="D940" t="s">
        <v>3</v>
      </c>
      <c r="E940" t="s">
        <v>865</v>
      </c>
      <c r="F940" s="2">
        <v>3.75</v>
      </c>
      <c r="G940" t="s">
        <v>710</v>
      </c>
      <c r="I940" t="str">
        <f>VLOOKUP(E940,'Trial Balance'!B:B,1,0)</f>
        <v>Bank Fees and Charges</v>
      </c>
    </row>
    <row r="941" spans="1:9">
      <c r="A941" s="1">
        <v>45898</v>
      </c>
      <c r="B941" s="78">
        <v>45900</v>
      </c>
      <c r="C941" t="s">
        <v>649</v>
      </c>
      <c r="D941" t="s">
        <v>15</v>
      </c>
      <c r="E941" t="s">
        <v>1353</v>
      </c>
      <c r="F941" s="2">
        <v>70500</v>
      </c>
      <c r="G941" t="s">
        <v>710</v>
      </c>
      <c r="I941" t="str">
        <f>VLOOKUP(E941,'Trial Balance'!B:B,1,0)</f>
        <v>Guest entertainment</v>
      </c>
    </row>
    <row r="942" spans="1:9">
      <c r="A942" s="1">
        <v>45898</v>
      </c>
      <c r="B942" s="78">
        <v>45900</v>
      </c>
      <c r="C942" t="s">
        <v>649</v>
      </c>
      <c r="D942" t="s">
        <v>3</v>
      </c>
      <c r="E942" t="s">
        <v>865</v>
      </c>
      <c r="F942" s="2">
        <v>50</v>
      </c>
      <c r="G942" t="s">
        <v>710</v>
      </c>
      <c r="I942" t="str">
        <f>VLOOKUP(E942,'Trial Balance'!B:B,1,0)</f>
        <v>Bank Fees and Charges</v>
      </c>
    </row>
    <row r="943" spans="1:9">
      <c r="A943" s="1">
        <v>45898</v>
      </c>
      <c r="B943" s="78">
        <v>45900</v>
      </c>
      <c r="C943" t="s">
        <v>649</v>
      </c>
      <c r="D943" t="s">
        <v>3</v>
      </c>
      <c r="E943" t="s">
        <v>865</v>
      </c>
      <c r="F943" s="2">
        <v>3.75</v>
      </c>
      <c r="G943" t="s">
        <v>710</v>
      </c>
      <c r="I943" t="str">
        <f>VLOOKUP(E943,'Trial Balance'!B:B,1,0)</f>
        <v>Bank Fees and Charges</v>
      </c>
    </row>
    <row r="944" spans="1:9">
      <c r="A944" s="1">
        <v>45898</v>
      </c>
      <c r="B944" s="78">
        <v>45900</v>
      </c>
      <c r="C944" t="s">
        <v>650</v>
      </c>
      <c r="D944" t="s">
        <v>3</v>
      </c>
      <c r="E944" t="s">
        <v>865</v>
      </c>
      <c r="F944" s="2">
        <v>2565.2100000008941</v>
      </c>
      <c r="G944" t="s">
        <v>710</v>
      </c>
      <c r="I944" t="str">
        <f>VLOOKUP(E944,'Trial Balance'!B:B,1,0)</f>
        <v>Bank Fees and Charges</v>
      </c>
    </row>
    <row r="945" spans="1:9">
      <c r="A945" s="1">
        <v>45898</v>
      </c>
      <c r="B945" s="78">
        <v>45900</v>
      </c>
      <c r="C945" t="s">
        <v>651</v>
      </c>
      <c r="D945" t="s">
        <v>34</v>
      </c>
      <c r="E945" t="s">
        <v>865</v>
      </c>
      <c r="F945" s="2">
        <v>34201.70000000298</v>
      </c>
      <c r="G945" t="s">
        <v>710</v>
      </c>
      <c r="I945" t="str">
        <f>VLOOKUP(E945,'Trial Balance'!B:B,1,0)</f>
        <v>Bank Fees and Charges</v>
      </c>
    </row>
    <row r="946" spans="1:9" s="10" customFormat="1">
      <c r="A946" s="8">
        <v>45900</v>
      </c>
      <c r="B946" s="78">
        <v>45900</v>
      </c>
      <c r="C946" s="10" t="s">
        <v>718</v>
      </c>
      <c r="D946" s="10" t="s">
        <v>714</v>
      </c>
      <c r="E946" s="5" t="s">
        <v>950</v>
      </c>
      <c r="F946" s="11">
        <v>-23416246.75</v>
      </c>
      <c r="G946" s="10" t="s">
        <v>710</v>
      </c>
      <c r="I946" t="str">
        <f>VLOOKUP(E946,'Trial Balance'!B:B,1,0)</f>
        <v>Premium Trust bank</v>
      </c>
    </row>
    <row r="947" spans="1:9">
      <c r="A947" s="1">
        <v>45840</v>
      </c>
      <c r="B947" s="78">
        <v>45869</v>
      </c>
      <c r="C947" t="s">
        <v>719</v>
      </c>
      <c r="D947" t="s">
        <v>12</v>
      </c>
      <c r="E947" t="s">
        <v>2</v>
      </c>
      <c r="F947" s="2">
        <v>-334200</v>
      </c>
      <c r="G947" t="s">
        <v>711</v>
      </c>
      <c r="H947" t="s">
        <v>1295</v>
      </c>
      <c r="I947" t="str">
        <f>VLOOKUP(E947,'Trial Balance'!B:B,1,0)</f>
        <v>Facility rentals</v>
      </c>
    </row>
    <row r="948" spans="1:9">
      <c r="A948" s="1">
        <v>45841</v>
      </c>
      <c r="B948" s="78">
        <v>45869</v>
      </c>
      <c r="C948" t="s">
        <v>720</v>
      </c>
      <c r="D948" t="s">
        <v>3</v>
      </c>
      <c r="E948" t="s">
        <v>865</v>
      </c>
      <c r="F948" s="2">
        <v>9000</v>
      </c>
      <c r="G948" t="s">
        <v>711</v>
      </c>
      <c r="I948" t="str">
        <f>VLOOKUP(E948,'Trial Balance'!B:B,1,0)</f>
        <v>Bank Fees and Charges</v>
      </c>
    </row>
    <row r="949" spans="1:9">
      <c r="A949" s="1">
        <v>45842</v>
      </c>
      <c r="B949" s="78">
        <v>45869</v>
      </c>
      <c r="C949" t="s">
        <v>721</v>
      </c>
      <c r="D949" t="s">
        <v>12</v>
      </c>
      <c r="E949" t="s">
        <v>1354</v>
      </c>
      <c r="F949" s="2">
        <v>-32250</v>
      </c>
      <c r="G949" t="s">
        <v>711</v>
      </c>
      <c r="H949" t="s">
        <v>1288</v>
      </c>
      <c r="I949" t="str">
        <f>VLOOKUP(E949,'Trial Balance'!B:B,1,0)</f>
        <v>Guest entertainment (Income)</v>
      </c>
    </row>
    <row r="950" spans="1:9">
      <c r="A950" s="1">
        <v>45844</v>
      </c>
      <c r="B950" s="78">
        <v>45869</v>
      </c>
      <c r="C950" t="s">
        <v>722</v>
      </c>
      <c r="D950" t="s">
        <v>3</v>
      </c>
      <c r="E950" t="s">
        <v>865</v>
      </c>
      <c r="F950" s="2">
        <v>100</v>
      </c>
      <c r="G950" t="s">
        <v>711</v>
      </c>
      <c r="I950" t="str">
        <f>VLOOKUP(E950,'Trial Balance'!B:B,1,0)</f>
        <v>Bank Fees and Charges</v>
      </c>
    </row>
    <row r="951" spans="1:9">
      <c r="A951" s="1">
        <v>45847</v>
      </c>
      <c r="B951" s="78">
        <v>45869</v>
      </c>
      <c r="C951" t="s">
        <v>723</v>
      </c>
      <c r="D951" t="s">
        <v>12</v>
      </c>
      <c r="E951" t="s">
        <v>1354</v>
      </c>
      <c r="F951" s="2">
        <v>-8300</v>
      </c>
      <c r="G951" t="s">
        <v>711</v>
      </c>
      <c r="H951" t="s">
        <v>1265</v>
      </c>
      <c r="I951" t="str">
        <f>VLOOKUP(E951,'Trial Balance'!B:B,1,0)</f>
        <v>Guest entertainment (Income)</v>
      </c>
    </row>
    <row r="952" spans="1:9">
      <c r="A952" s="1">
        <v>45848</v>
      </c>
      <c r="B952" s="78">
        <v>45869</v>
      </c>
      <c r="C952" t="s">
        <v>724</v>
      </c>
      <c r="D952" t="s">
        <v>12</v>
      </c>
      <c r="E952" t="s">
        <v>1354</v>
      </c>
      <c r="F952" s="2">
        <v>-506700</v>
      </c>
      <c r="G952" t="s">
        <v>711</v>
      </c>
      <c r="H952" s="28" t="s">
        <v>1355</v>
      </c>
      <c r="I952" t="str">
        <f>VLOOKUP(E952,'Trial Balance'!B:B,1,0)</f>
        <v>Guest entertainment (Income)</v>
      </c>
    </row>
    <row r="953" spans="1:9">
      <c r="A953" s="1">
        <v>45851</v>
      </c>
      <c r="B953" s="78">
        <v>45869</v>
      </c>
      <c r="C953" t="s">
        <v>722</v>
      </c>
      <c r="D953" t="s">
        <v>3</v>
      </c>
      <c r="E953" t="s">
        <v>865</v>
      </c>
      <c r="F953" s="2">
        <v>50</v>
      </c>
      <c r="G953" t="s">
        <v>711</v>
      </c>
      <c r="I953" t="str">
        <f>VLOOKUP(E953,'Trial Balance'!B:B,1,0)</f>
        <v>Bank Fees and Charges</v>
      </c>
    </row>
    <row r="954" spans="1:9">
      <c r="A954" s="1">
        <v>45854</v>
      </c>
      <c r="B954" s="78">
        <v>45869</v>
      </c>
      <c r="C954" t="s">
        <v>725</v>
      </c>
      <c r="D954" t="s">
        <v>12</v>
      </c>
      <c r="E954" t="s">
        <v>2</v>
      </c>
      <c r="F954" s="2">
        <v>-500000</v>
      </c>
      <c r="G954" t="s">
        <v>711</v>
      </c>
      <c r="H954" s="86" t="s">
        <v>1356</v>
      </c>
      <c r="I954" t="str">
        <f>VLOOKUP(E954,'Trial Balance'!B:B,1,0)</f>
        <v>Facility rentals</v>
      </c>
    </row>
    <row r="955" spans="1:9">
      <c r="A955" s="1">
        <v>45854</v>
      </c>
      <c r="B955" s="78">
        <v>45869</v>
      </c>
      <c r="C955" t="s">
        <v>726</v>
      </c>
      <c r="D955" t="s">
        <v>15</v>
      </c>
      <c r="E955" t="s">
        <v>1353</v>
      </c>
      <c r="F955" s="2">
        <v>263150</v>
      </c>
      <c r="G955" t="s">
        <v>711</v>
      </c>
      <c r="I955" t="str">
        <f>VLOOKUP(E955,'Trial Balance'!B:B,1,0)</f>
        <v>Guest entertainment</v>
      </c>
    </row>
    <row r="956" spans="1:9">
      <c r="A956" s="1">
        <v>45854</v>
      </c>
      <c r="B956" s="78">
        <v>45869</v>
      </c>
      <c r="C956" t="s">
        <v>727</v>
      </c>
      <c r="D956" t="s">
        <v>3</v>
      </c>
      <c r="E956" t="s">
        <v>865</v>
      </c>
      <c r="F956" s="2">
        <v>53.75</v>
      </c>
      <c r="G956" t="s">
        <v>711</v>
      </c>
      <c r="I956" t="str">
        <f>VLOOKUP(E956,'Trial Balance'!B:B,1,0)</f>
        <v>Bank Fees and Charges</v>
      </c>
    </row>
    <row r="957" spans="1:9">
      <c r="A957" s="1">
        <v>45855</v>
      </c>
      <c r="B957" s="78">
        <v>45869</v>
      </c>
      <c r="C957" t="s">
        <v>728</v>
      </c>
      <c r="D957" t="s">
        <v>15</v>
      </c>
      <c r="E957" t="s">
        <v>1353</v>
      </c>
      <c r="F957" s="2">
        <v>65500</v>
      </c>
      <c r="G957" t="s">
        <v>711</v>
      </c>
      <c r="I957" t="str">
        <f>VLOOKUP(E957,'Trial Balance'!B:B,1,0)</f>
        <v>Guest entertainment</v>
      </c>
    </row>
    <row r="958" spans="1:9">
      <c r="A958" s="1">
        <v>45855</v>
      </c>
      <c r="B958" s="78">
        <v>45869</v>
      </c>
      <c r="C958" t="s">
        <v>727</v>
      </c>
      <c r="D958" t="s">
        <v>3</v>
      </c>
      <c r="E958" t="s">
        <v>865</v>
      </c>
      <c r="F958" s="2">
        <v>53.75</v>
      </c>
      <c r="G958" t="s">
        <v>711</v>
      </c>
      <c r="I958" t="str">
        <f>VLOOKUP(E958,'Trial Balance'!B:B,1,0)</f>
        <v>Bank Fees and Charges</v>
      </c>
    </row>
    <row r="959" spans="1:9">
      <c r="A959" s="1">
        <v>45856</v>
      </c>
      <c r="B959" s="78">
        <v>45869</v>
      </c>
      <c r="C959" t="s">
        <v>729</v>
      </c>
      <c r="D959" t="s">
        <v>15</v>
      </c>
      <c r="E959" s="14" t="s">
        <v>1354</v>
      </c>
      <c r="F959" s="2">
        <v>-136000</v>
      </c>
      <c r="G959" t="s">
        <v>711</v>
      </c>
      <c r="H959" s="86" t="s">
        <v>1363</v>
      </c>
      <c r="I959" t="str">
        <f>VLOOKUP(E959,'Trial Balance'!B:B,1,0)</f>
        <v>Guest entertainment (Income)</v>
      </c>
    </row>
    <row r="960" spans="1:9">
      <c r="A960" s="1">
        <v>45856</v>
      </c>
      <c r="B960" s="78">
        <v>45869</v>
      </c>
      <c r="C960" t="s">
        <v>730</v>
      </c>
      <c r="D960" t="s">
        <v>15</v>
      </c>
      <c r="E960" t="s">
        <v>1353</v>
      </c>
      <c r="F960" s="2">
        <v>84600</v>
      </c>
      <c r="G960" t="s">
        <v>711</v>
      </c>
      <c r="I960" t="str">
        <f>VLOOKUP(E960,'Trial Balance'!B:B,1,0)</f>
        <v>Guest entertainment</v>
      </c>
    </row>
    <row r="961" spans="1:9">
      <c r="A961" s="1">
        <v>45856</v>
      </c>
      <c r="B961" s="78">
        <v>45869</v>
      </c>
      <c r="C961" t="s">
        <v>727</v>
      </c>
      <c r="D961" t="s">
        <v>3</v>
      </c>
      <c r="E961" t="s">
        <v>865</v>
      </c>
      <c r="F961" s="2">
        <v>53.75</v>
      </c>
      <c r="G961" t="s">
        <v>711</v>
      </c>
      <c r="I961" t="str">
        <f>VLOOKUP(E961,'Trial Balance'!B:B,1,0)</f>
        <v>Bank Fees and Charges</v>
      </c>
    </row>
    <row r="962" spans="1:9">
      <c r="A962" s="1">
        <v>45856</v>
      </c>
      <c r="B962" s="78">
        <v>45869</v>
      </c>
      <c r="C962" t="s">
        <v>731</v>
      </c>
      <c r="D962" t="s">
        <v>12</v>
      </c>
      <c r="E962" t="s">
        <v>1354</v>
      </c>
      <c r="F962" s="2">
        <v>-1097000</v>
      </c>
      <c r="G962" t="s">
        <v>711</v>
      </c>
      <c r="H962" s="86" t="s">
        <v>1361</v>
      </c>
      <c r="I962" t="str">
        <f>VLOOKUP(E962,'Trial Balance'!B:B,1,0)</f>
        <v>Guest entertainment (Income)</v>
      </c>
    </row>
    <row r="963" spans="1:9">
      <c r="A963" s="1">
        <v>45858</v>
      </c>
      <c r="B963" s="78">
        <v>45869</v>
      </c>
      <c r="C963" t="s">
        <v>722</v>
      </c>
      <c r="D963" t="s">
        <v>3</v>
      </c>
      <c r="E963" t="s">
        <v>865</v>
      </c>
      <c r="F963" s="2">
        <v>150</v>
      </c>
      <c r="G963" t="s">
        <v>711</v>
      </c>
      <c r="I963" t="str">
        <f>VLOOKUP(E963,'Trial Balance'!B:B,1,0)</f>
        <v>Bank Fees and Charges</v>
      </c>
    </row>
    <row r="964" spans="1:9">
      <c r="A964" s="1">
        <v>45858</v>
      </c>
      <c r="B964" s="78">
        <v>45869</v>
      </c>
      <c r="C964" t="s">
        <v>732</v>
      </c>
      <c r="D964" t="s">
        <v>15</v>
      </c>
      <c r="E964" s="14" t="s">
        <v>1354</v>
      </c>
      <c r="F964" s="2">
        <v>-51000</v>
      </c>
      <c r="G964" t="s">
        <v>711</v>
      </c>
      <c r="H964" s="86" t="s">
        <v>1363</v>
      </c>
      <c r="I964" t="str">
        <f>VLOOKUP(E964,'Trial Balance'!B:B,1,0)</f>
        <v>Guest entertainment (Income)</v>
      </c>
    </row>
    <row r="965" spans="1:9">
      <c r="A965" s="1">
        <v>45865</v>
      </c>
      <c r="B965" s="78">
        <v>45869</v>
      </c>
      <c r="C965" t="s">
        <v>733</v>
      </c>
      <c r="D965" t="s">
        <v>3</v>
      </c>
      <c r="E965" t="s">
        <v>865</v>
      </c>
      <c r="F965" s="2">
        <v>50</v>
      </c>
      <c r="G965" t="s">
        <v>711</v>
      </c>
      <c r="I965" t="str">
        <f>VLOOKUP(E965,'Trial Balance'!B:B,1,0)</f>
        <v>Bank Fees and Charges</v>
      </c>
    </row>
    <row r="966" spans="1:9">
      <c r="A966" s="1">
        <v>45868</v>
      </c>
      <c r="B966" s="78">
        <v>45869</v>
      </c>
      <c r="C966" t="s">
        <v>734</v>
      </c>
      <c r="D966" t="s">
        <v>12</v>
      </c>
      <c r="E966" t="s">
        <v>1354</v>
      </c>
      <c r="F966" s="2">
        <v>-34000</v>
      </c>
      <c r="G966" t="s">
        <v>711</v>
      </c>
      <c r="H966" s="86" t="s">
        <v>1363</v>
      </c>
      <c r="I966" t="str">
        <f>VLOOKUP(E966,'Trial Balance'!B:B,1,0)</f>
        <v>Guest entertainment (Income)</v>
      </c>
    </row>
    <row r="967" spans="1:9">
      <c r="A967" s="8">
        <v>45869</v>
      </c>
      <c r="B967" s="78">
        <v>45869</v>
      </c>
      <c r="C967" s="10" t="s">
        <v>744</v>
      </c>
      <c r="D967" s="10" t="s">
        <v>714</v>
      </c>
      <c r="E967" s="10" t="s">
        <v>990</v>
      </c>
      <c r="F967" s="11">
        <v>2276688.75</v>
      </c>
      <c r="G967" s="10" t="s">
        <v>711</v>
      </c>
      <c r="I967" t="str">
        <f>VLOOKUP(E967,'Trial Balance'!B:B,1,0)</f>
        <v>Zenith bank</v>
      </c>
    </row>
    <row r="968" spans="1:9">
      <c r="A968" s="1">
        <v>45869</v>
      </c>
      <c r="B968" s="78">
        <v>45869</v>
      </c>
      <c r="C968" t="s">
        <v>735</v>
      </c>
      <c r="D968" t="s">
        <v>3</v>
      </c>
      <c r="E968" t="s">
        <v>865</v>
      </c>
      <c r="F968" s="2">
        <v>413.25</v>
      </c>
      <c r="G968" t="s">
        <v>711</v>
      </c>
      <c r="I968" t="str">
        <f>VLOOKUP(E968,'Trial Balance'!B:B,1,0)</f>
        <v>Bank Fees and Charges</v>
      </c>
    </row>
    <row r="969" spans="1:9">
      <c r="A969" s="1">
        <v>45869</v>
      </c>
      <c r="B969" s="78">
        <v>45869</v>
      </c>
      <c r="C969" t="s">
        <v>736</v>
      </c>
      <c r="D969" t="s">
        <v>3</v>
      </c>
      <c r="E969" t="s">
        <v>865</v>
      </c>
      <c r="F969" s="2">
        <v>30.990000000223517</v>
      </c>
      <c r="G969" t="s">
        <v>711</v>
      </c>
      <c r="I969" t="str">
        <f>VLOOKUP(E969,'Trial Balance'!B:B,1,0)</f>
        <v>Bank Fees and Charges</v>
      </c>
    </row>
    <row r="970" spans="1:9">
      <c r="A970" s="1">
        <v>45872</v>
      </c>
      <c r="B970" s="78">
        <v>45900</v>
      </c>
      <c r="C970" t="s">
        <v>722</v>
      </c>
      <c r="D970" t="s">
        <v>3</v>
      </c>
      <c r="E970" t="s">
        <v>865</v>
      </c>
      <c r="F970" s="2">
        <v>50</v>
      </c>
      <c r="G970" t="s">
        <v>711</v>
      </c>
      <c r="I970" t="str">
        <f>VLOOKUP(E970,'Trial Balance'!B:B,1,0)</f>
        <v>Bank Fees and Charges</v>
      </c>
    </row>
    <row r="971" spans="1:9">
      <c r="A971" s="1">
        <v>45888</v>
      </c>
      <c r="B971" s="78">
        <v>45900</v>
      </c>
      <c r="C971" t="s">
        <v>737</v>
      </c>
      <c r="D971" t="s">
        <v>15</v>
      </c>
      <c r="E971" t="s">
        <v>1353</v>
      </c>
      <c r="F971" s="2">
        <v>49800</v>
      </c>
      <c r="G971" t="s">
        <v>711</v>
      </c>
      <c r="I971" t="str">
        <f>VLOOKUP(E971,'Trial Balance'!B:B,1,0)</f>
        <v>Guest entertainment</v>
      </c>
    </row>
    <row r="972" spans="1:9">
      <c r="A972" s="1">
        <v>45888</v>
      </c>
      <c r="B972" s="78">
        <v>45900</v>
      </c>
      <c r="C972" t="s">
        <v>727</v>
      </c>
      <c r="D972" t="s">
        <v>3</v>
      </c>
      <c r="E972" t="s">
        <v>865</v>
      </c>
      <c r="F972" s="2">
        <v>26.879999999888241</v>
      </c>
      <c r="G972" t="s">
        <v>711</v>
      </c>
      <c r="I972" t="str">
        <f>VLOOKUP(E972,'Trial Balance'!B:B,1,0)</f>
        <v>Bank Fees and Charges</v>
      </c>
    </row>
    <row r="973" spans="1:9">
      <c r="A973" s="1">
        <v>45888</v>
      </c>
      <c r="B973" s="78">
        <v>45900</v>
      </c>
      <c r="C973" t="s">
        <v>737</v>
      </c>
      <c r="D973" t="s">
        <v>15</v>
      </c>
      <c r="E973" t="s">
        <v>1353</v>
      </c>
      <c r="F973" s="2">
        <v>140000</v>
      </c>
      <c r="G973" t="s">
        <v>711</v>
      </c>
      <c r="I973" t="str">
        <f>VLOOKUP(E973,'Trial Balance'!B:B,1,0)</f>
        <v>Guest entertainment</v>
      </c>
    </row>
    <row r="974" spans="1:9">
      <c r="A974" s="1">
        <v>45888</v>
      </c>
      <c r="B974" s="78">
        <v>45900</v>
      </c>
      <c r="C974" t="s">
        <v>727</v>
      </c>
      <c r="D974" t="s">
        <v>3</v>
      </c>
      <c r="E974" t="s">
        <v>865</v>
      </c>
      <c r="F974" s="2">
        <v>53.75</v>
      </c>
      <c r="G974" t="s">
        <v>711</v>
      </c>
      <c r="I974" t="str">
        <f>VLOOKUP(E974,'Trial Balance'!B:B,1,0)</f>
        <v>Bank Fees and Charges</v>
      </c>
    </row>
    <row r="975" spans="1:9">
      <c r="A975" s="1">
        <v>45888</v>
      </c>
      <c r="B975" s="78">
        <v>45900</v>
      </c>
      <c r="C975" t="s">
        <v>738</v>
      </c>
      <c r="D975" t="s">
        <v>12</v>
      </c>
      <c r="E975" s="26" t="s">
        <v>1354</v>
      </c>
      <c r="F975" s="2">
        <v>-85000</v>
      </c>
      <c r="G975" t="s">
        <v>711</v>
      </c>
      <c r="H975" t="s">
        <v>1210</v>
      </c>
      <c r="I975" t="str">
        <f>VLOOKUP(E975,'Trial Balance'!B:B,1,0)</f>
        <v>Guest entertainment (Income)</v>
      </c>
    </row>
    <row r="976" spans="1:9">
      <c r="A976" s="1">
        <v>45891</v>
      </c>
      <c r="B976" s="78">
        <v>45900</v>
      </c>
      <c r="C976" t="s">
        <v>739</v>
      </c>
      <c r="D976" t="s">
        <v>15</v>
      </c>
      <c r="E976" t="s">
        <v>1353</v>
      </c>
      <c r="F976" s="2">
        <v>180000</v>
      </c>
      <c r="G976" t="s">
        <v>711</v>
      </c>
      <c r="I976" t="str">
        <f>VLOOKUP(E976,'Trial Balance'!B:B,1,0)</f>
        <v>Guest entertainment</v>
      </c>
    </row>
    <row r="977" spans="1:9">
      <c r="A977" s="1">
        <v>45891</v>
      </c>
      <c r="B977" s="78">
        <v>45900</v>
      </c>
      <c r="C977" t="s">
        <v>727</v>
      </c>
      <c r="D977" t="s">
        <v>3</v>
      </c>
      <c r="E977" t="s">
        <v>865</v>
      </c>
      <c r="F977" s="2">
        <v>53.75</v>
      </c>
      <c r="G977" t="s">
        <v>711</v>
      </c>
      <c r="I977" t="str">
        <f>VLOOKUP(E977,'Trial Balance'!B:B,1,0)</f>
        <v>Bank Fees and Charges</v>
      </c>
    </row>
    <row r="978" spans="1:9">
      <c r="A978" s="1">
        <v>45891</v>
      </c>
      <c r="B978" s="78">
        <v>45900</v>
      </c>
      <c r="C978" t="s">
        <v>739</v>
      </c>
      <c r="D978" t="s">
        <v>15</v>
      </c>
      <c r="E978" t="s">
        <v>1353</v>
      </c>
      <c r="F978" s="2">
        <v>4000</v>
      </c>
      <c r="G978" t="s">
        <v>711</v>
      </c>
      <c r="I978" t="str">
        <f>VLOOKUP(E978,'Trial Balance'!B:B,1,0)</f>
        <v>Guest entertainment</v>
      </c>
    </row>
    <row r="979" spans="1:9">
      <c r="A979" s="1">
        <v>45891</v>
      </c>
      <c r="B979" s="78">
        <v>45900</v>
      </c>
      <c r="C979" t="s">
        <v>727</v>
      </c>
      <c r="D979" t="s">
        <v>3</v>
      </c>
      <c r="E979" t="s">
        <v>865</v>
      </c>
      <c r="F979" s="2">
        <v>10.75</v>
      </c>
      <c r="G979" t="s">
        <v>711</v>
      </c>
      <c r="I979" t="str">
        <f>VLOOKUP(E979,'Trial Balance'!B:B,1,0)</f>
        <v>Bank Fees and Charges</v>
      </c>
    </row>
    <row r="980" spans="1:9">
      <c r="A980" s="1">
        <v>45891</v>
      </c>
      <c r="B980" s="78">
        <v>45900</v>
      </c>
      <c r="C980" t="s">
        <v>739</v>
      </c>
      <c r="D980" t="s">
        <v>15</v>
      </c>
      <c r="E980" t="s">
        <v>1353</v>
      </c>
      <c r="F980" s="2">
        <v>146500</v>
      </c>
      <c r="G980" t="s">
        <v>711</v>
      </c>
      <c r="I980" t="str">
        <f>VLOOKUP(E980,'Trial Balance'!B:B,1,0)</f>
        <v>Guest entertainment</v>
      </c>
    </row>
    <row r="981" spans="1:9">
      <c r="A981" s="1">
        <v>45891</v>
      </c>
      <c r="B981" s="78">
        <v>45900</v>
      </c>
      <c r="C981" t="s">
        <v>727</v>
      </c>
      <c r="D981" t="s">
        <v>3</v>
      </c>
      <c r="E981" t="s">
        <v>865</v>
      </c>
      <c r="F981" s="2">
        <v>53.75</v>
      </c>
      <c r="G981" t="s">
        <v>711</v>
      </c>
      <c r="I981" t="str">
        <f>VLOOKUP(E981,'Trial Balance'!B:B,1,0)</f>
        <v>Bank Fees and Charges</v>
      </c>
    </row>
    <row r="982" spans="1:9">
      <c r="A982" s="1">
        <v>45891</v>
      </c>
      <c r="B982" s="78">
        <v>45900</v>
      </c>
      <c r="C982" t="s">
        <v>740</v>
      </c>
      <c r="D982" t="s">
        <v>15</v>
      </c>
      <c r="E982" s="14" t="s">
        <v>1354</v>
      </c>
      <c r="F982" s="2">
        <v>-11000</v>
      </c>
      <c r="G982" t="s">
        <v>711</v>
      </c>
      <c r="H982" s="86" t="s">
        <v>1363</v>
      </c>
      <c r="I982" t="str">
        <f>VLOOKUP(E982,'Trial Balance'!B:B,1,0)</f>
        <v>Guest entertainment (Income)</v>
      </c>
    </row>
    <row r="983" spans="1:9">
      <c r="A983" s="1">
        <v>45893</v>
      </c>
      <c r="B983" s="78">
        <v>45900</v>
      </c>
      <c r="C983" t="s">
        <v>733</v>
      </c>
      <c r="D983" t="s">
        <v>3</v>
      </c>
      <c r="E983" t="s">
        <v>865</v>
      </c>
      <c r="F983" s="2">
        <v>50</v>
      </c>
      <c r="G983" t="s">
        <v>711</v>
      </c>
      <c r="I983" t="str">
        <f>VLOOKUP(E983,'Trial Balance'!B:B,1,0)</f>
        <v>Bank Fees and Charges</v>
      </c>
    </row>
    <row r="984" spans="1:9">
      <c r="A984" s="1">
        <v>45895</v>
      </c>
      <c r="B984" s="78">
        <v>45900</v>
      </c>
      <c r="C984" t="s">
        <v>741</v>
      </c>
      <c r="D984" t="s">
        <v>15</v>
      </c>
      <c r="E984" s="14" t="s">
        <v>1354</v>
      </c>
      <c r="F984" s="2">
        <v>-54000</v>
      </c>
      <c r="G984" t="s">
        <v>711</v>
      </c>
      <c r="H984" s="86" t="s">
        <v>1360</v>
      </c>
      <c r="I984" t="str">
        <f>VLOOKUP(E984,'Trial Balance'!B:B,1,0)</f>
        <v>Guest entertainment (Income)</v>
      </c>
    </row>
    <row r="985" spans="1:9">
      <c r="A985" s="1">
        <v>45896</v>
      </c>
      <c r="B985" s="78">
        <v>45900</v>
      </c>
      <c r="C985" t="s">
        <v>742</v>
      </c>
      <c r="D985" t="s">
        <v>15</v>
      </c>
      <c r="E985" t="s">
        <v>1353</v>
      </c>
      <c r="F985" s="2">
        <v>65000</v>
      </c>
      <c r="G985" t="s">
        <v>711</v>
      </c>
      <c r="I985" t="str">
        <f>VLOOKUP(E985,'Trial Balance'!B:B,1,0)</f>
        <v>Guest entertainment</v>
      </c>
    </row>
    <row r="986" spans="1:9">
      <c r="A986" s="1">
        <v>45896</v>
      </c>
      <c r="B986" s="78">
        <v>45900</v>
      </c>
      <c r="C986" t="s">
        <v>727</v>
      </c>
      <c r="D986" t="s">
        <v>3</v>
      </c>
      <c r="E986" t="s">
        <v>865</v>
      </c>
      <c r="F986" s="2">
        <v>53.75</v>
      </c>
      <c r="G986" t="s">
        <v>711</v>
      </c>
      <c r="I986" t="str">
        <f>VLOOKUP(E986,'Trial Balance'!B:B,1,0)</f>
        <v>Bank Fees and Charges</v>
      </c>
    </row>
    <row r="987" spans="1:9">
      <c r="A987" s="1">
        <v>45899</v>
      </c>
      <c r="B987" s="78">
        <v>45900</v>
      </c>
      <c r="C987" t="s">
        <v>743</v>
      </c>
      <c r="D987" t="s">
        <v>12</v>
      </c>
      <c r="E987" t="s">
        <v>1354</v>
      </c>
      <c r="F987" s="2">
        <v>-168000</v>
      </c>
      <c r="G987" t="s">
        <v>711</v>
      </c>
      <c r="H987" s="86" t="s">
        <v>1362</v>
      </c>
      <c r="I987" t="str">
        <f>VLOOKUP(E987,'Trial Balance'!B:B,1,0)</f>
        <v>Guest entertainment (Income)</v>
      </c>
    </row>
    <row r="988" spans="1:9">
      <c r="A988" s="1">
        <v>45900</v>
      </c>
      <c r="B988" s="78">
        <v>45900</v>
      </c>
      <c r="C988" t="s">
        <v>733</v>
      </c>
      <c r="D988" t="s">
        <v>3</v>
      </c>
      <c r="E988" t="s">
        <v>865</v>
      </c>
      <c r="F988" s="2">
        <v>100</v>
      </c>
      <c r="G988" t="s">
        <v>711</v>
      </c>
      <c r="I988" t="str">
        <f>VLOOKUP(E988,'Trial Balance'!B:B,1,0)</f>
        <v>Bank Fees and Charges</v>
      </c>
    </row>
    <row r="989" spans="1:9">
      <c r="A989" s="1">
        <v>45900</v>
      </c>
      <c r="B989" s="78">
        <v>45900</v>
      </c>
      <c r="C989" t="s">
        <v>735</v>
      </c>
      <c r="D989" t="s">
        <v>3</v>
      </c>
      <c r="E989" t="s">
        <v>865</v>
      </c>
      <c r="F989" s="2">
        <v>585.29999999981374</v>
      </c>
      <c r="G989" t="s">
        <v>711</v>
      </c>
      <c r="I989" t="str">
        <f>VLOOKUP(E989,'Trial Balance'!B:B,1,0)</f>
        <v>Bank Fees and Charges</v>
      </c>
    </row>
    <row r="990" spans="1:9">
      <c r="A990" s="1">
        <v>45900</v>
      </c>
      <c r="B990" s="78">
        <v>45900</v>
      </c>
      <c r="C990" t="s">
        <v>736</v>
      </c>
      <c r="D990" t="s">
        <v>3</v>
      </c>
      <c r="E990" t="s">
        <v>865</v>
      </c>
      <c r="F990" s="2">
        <v>43.900000000139698</v>
      </c>
      <c r="G990" t="s">
        <v>711</v>
      </c>
      <c r="I990" t="str">
        <f>VLOOKUP(E990,'Trial Balance'!B:B,1,0)</f>
        <v>Bank Fees and Charges</v>
      </c>
    </row>
    <row r="991" spans="1:9">
      <c r="A991" s="25">
        <v>45900</v>
      </c>
      <c r="B991" s="80">
        <v>45900</v>
      </c>
      <c r="C991" s="26" t="s">
        <v>718</v>
      </c>
      <c r="D991" s="26" t="s">
        <v>714</v>
      </c>
      <c r="E991" s="26" t="s">
        <v>990</v>
      </c>
      <c r="F991" s="27">
        <v>-268826.07000000007</v>
      </c>
      <c r="G991" s="26" t="s">
        <v>711</v>
      </c>
      <c r="I991" t="str">
        <f>VLOOKUP(E991,'Trial Balance'!B:B,1,0)</f>
        <v>Zenith bank</v>
      </c>
    </row>
    <row r="992" spans="1:9">
      <c r="A992" s="25">
        <v>45842</v>
      </c>
      <c r="B992" s="80">
        <v>45869</v>
      </c>
      <c r="C992" s="26" t="s">
        <v>1108</v>
      </c>
      <c r="D992" s="26"/>
      <c r="E992" s="26" t="s">
        <v>2</v>
      </c>
      <c r="F992" s="81">
        <v>-43000</v>
      </c>
      <c r="G992" s="26" t="s">
        <v>998</v>
      </c>
      <c r="H992" s="26" t="s">
        <v>1290</v>
      </c>
      <c r="I992" t="str">
        <f>VLOOKUP(E992,'Trial Balance'!B:B,1,0)</f>
        <v>Facility rentals</v>
      </c>
    </row>
    <row r="993" spans="1:9">
      <c r="A993" s="25">
        <v>45846</v>
      </c>
      <c r="B993" s="80">
        <v>45869</v>
      </c>
      <c r="C993" s="26" t="s">
        <v>1109</v>
      </c>
      <c r="D993" s="26"/>
      <c r="E993" s="26" t="s">
        <v>2</v>
      </c>
      <c r="F993" s="81">
        <v>-25000</v>
      </c>
      <c r="G993" s="26" t="s">
        <v>998</v>
      </c>
      <c r="H993" s="26" t="s">
        <v>1283</v>
      </c>
      <c r="I993" t="str">
        <f>VLOOKUP(E993,'Trial Balance'!B:B,1,0)</f>
        <v>Facility rentals</v>
      </c>
    </row>
    <row r="994" spans="1:9">
      <c r="A994" s="25">
        <v>45847</v>
      </c>
      <c r="B994" s="80">
        <v>45869</v>
      </c>
      <c r="C994" s="26" t="s">
        <v>1110</v>
      </c>
      <c r="D994" s="26"/>
      <c r="E994" s="26" t="s">
        <v>2</v>
      </c>
      <c r="F994" s="81">
        <v>-25000</v>
      </c>
      <c r="G994" s="26" t="s">
        <v>998</v>
      </c>
      <c r="H994" s="26" t="s">
        <v>1276</v>
      </c>
      <c r="I994" t="str">
        <f>VLOOKUP(E994,'Trial Balance'!B:B,1,0)</f>
        <v>Facility rentals</v>
      </c>
    </row>
    <row r="995" spans="1:9">
      <c r="A995" s="25">
        <v>45854</v>
      </c>
      <c r="B995" s="80">
        <v>45869</v>
      </c>
      <c r="C995" s="26" t="s">
        <v>1111</v>
      </c>
      <c r="D995" s="26"/>
      <c r="E995" s="26" t="s">
        <v>2</v>
      </c>
      <c r="F995" s="27">
        <v>-1228750</v>
      </c>
      <c r="G995" s="26" t="s">
        <v>998</v>
      </c>
      <c r="H995" s="86" t="s">
        <v>1364</v>
      </c>
      <c r="I995" t="str">
        <f>VLOOKUP(E995,'Trial Balance'!B:B,1,0)</f>
        <v>Facility rentals</v>
      </c>
    </row>
    <row r="996" spans="1:9">
      <c r="A996" s="25">
        <v>45854</v>
      </c>
      <c r="B996" s="80">
        <v>45869</v>
      </c>
      <c r="C996" s="26" t="s">
        <v>1112</v>
      </c>
      <c r="D996" s="26"/>
      <c r="E996" s="26" t="s">
        <v>2</v>
      </c>
      <c r="F996" s="27">
        <v>-500000</v>
      </c>
      <c r="G996" s="26" t="s">
        <v>998</v>
      </c>
      <c r="H996" s="86" t="s">
        <v>1357</v>
      </c>
      <c r="I996" t="str">
        <f>VLOOKUP(E996,'Trial Balance'!B:B,1,0)</f>
        <v>Facility rentals</v>
      </c>
    </row>
    <row r="997" spans="1:9" s="26" customFormat="1">
      <c r="A997" s="25">
        <v>45854</v>
      </c>
      <c r="B997" s="80">
        <v>45869</v>
      </c>
      <c r="C997" s="26" t="s">
        <v>1113</v>
      </c>
      <c r="E997" s="26" t="s">
        <v>2</v>
      </c>
      <c r="F997" s="27">
        <v>-220000</v>
      </c>
      <c r="G997" s="26" t="s">
        <v>998</v>
      </c>
      <c r="H997" s="86" t="s">
        <v>1363</v>
      </c>
      <c r="I997" t="str">
        <f>VLOOKUP(E997,'Trial Balance'!B:B,1,0)</f>
        <v>Facility rentals</v>
      </c>
    </row>
    <row r="998" spans="1:9" s="26" customFormat="1">
      <c r="A998" s="25">
        <v>45854</v>
      </c>
      <c r="B998" s="80">
        <v>45869</v>
      </c>
      <c r="C998" s="26" t="s">
        <v>1114</v>
      </c>
      <c r="E998" s="26" t="s">
        <v>2</v>
      </c>
      <c r="F998" s="27">
        <v>-100000</v>
      </c>
      <c r="G998" s="26" t="s">
        <v>998</v>
      </c>
      <c r="H998" s="86" t="s">
        <v>1363</v>
      </c>
      <c r="I998" t="str">
        <f>VLOOKUP(E998,'Trial Balance'!B:B,1,0)</f>
        <v>Facility rentals</v>
      </c>
    </row>
    <row r="999" spans="1:9" s="26" customFormat="1">
      <c r="A999" s="25">
        <v>45856</v>
      </c>
      <c r="B999" s="80">
        <v>45869</v>
      </c>
      <c r="C999" s="26" t="s">
        <v>1115</v>
      </c>
      <c r="E999" s="26" t="s">
        <v>2</v>
      </c>
      <c r="F999" s="27">
        <v>-400000</v>
      </c>
      <c r="G999" s="26" t="s">
        <v>998</v>
      </c>
      <c r="H999" s="86" t="s">
        <v>1365</v>
      </c>
      <c r="I999" t="str">
        <f>VLOOKUP(E999,'Trial Balance'!B:B,1,0)</f>
        <v>Facility rentals</v>
      </c>
    </row>
    <row r="1000" spans="1:9" s="26" customFormat="1">
      <c r="A1000" s="25">
        <v>45856</v>
      </c>
      <c r="B1000" s="80">
        <v>45869</v>
      </c>
      <c r="C1000" s="26" t="s">
        <v>1116</v>
      </c>
      <c r="E1000" s="26" t="s">
        <v>2</v>
      </c>
      <c r="F1000" s="81">
        <v>-150000</v>
      </c>
      <c r="G1000" s="26" t="s">
        <v>998</v>
      </c>
      <c r="H1000" s="26" t="s">
        <v>1265</v>
      </c>
      <c r="I1000" t="str">
        <f>VLOOKUP(E1000,'Trial Balance'!B:B,1,0)</f>
        <v>Facility rentals</v>
      </c>
    </row>
    <row r="1001" spans="1:9">
      <c r="A1001" s="25">
        <v>45861</v>
      </c>
      <c r="B1001" s="80">
        <v>45869</v>
      </c>
      <c r="C1001" s="26" t="s">
        <v>1117</v>
      </c>
      <c r="D1001" s="26"/>
      <c r="E1001" s="26" t="s">
        <v>2</v>
      </c>
      <c r="F1001" s="27">
        <v>-32000</v>
      </c>
      <c r="G1001" s="26" t="s">
        <v>998</v>
      </c>
      <c r="H1001" s="86" t="s">
        <v>1358</v>
      </c>
      <c r="I1001" t="str">
        <f>VLOOKUP(E1001,'Trial Balance'!B:B,1,0)</f>
        <v>Facility rentals</v>
      </c>
    </row>
    <row r="1002" spans="1:9">
      <c r="A1002" s="25">
        <v>45849</v>
      </c>
      <c r="B1002" s="80">
        <v>45869</v>
      </c>
      <c r="C1002" s="26" t="s">
        <v>1118</v>
      </c>
      <c r="D1002" s="10"/>
      <c r="E1002" s="82" t="s">
        <v>865</v>
      </c>
      <c r="F1002" s="27">
        <v>10000</v>
      </c>
      <c r="G1002" s="26" t="s">
        <v>998</v>
      </c>
      <c r="I1002" t="str">
        <f>VLOOKUP(E1002,'Trial Balance'!B:B,1,0)</f>
        <v>Bank Fees and Charges</v>
      </c>
    </row>
    <row r="1003" spans="1:9">
      <c r="A1003" s="25">
        <v>45855</v>
      </c>
      <c r="B1003" s="80">
        <v>45869</v>
      </c>
      <c r="C1003" s="26" t="s">
        <v>1119</v>
      </c>
      <c r="D1003" s="10"/>
      <c r="E1003" s="82" t="s">
        <v>865</v>
      </c>
      <c r="F1003" s="27">
        <v>3.75</v>
      </c>
      <c r="G1003" s="26" t="s">
        <v>998</v>
      </c>
      <c r="I1003" t="str">
        <f>VLOOKUP(E1003,'Trial Balance'!B:B,1,0)</f>
        <v>Bank Fees and Charges</v>
      </c>
    </row>
    <row r="1004" spans="1:9">
      <c r="A1004" s="25">
        <v>45855</v>
      </c>
      <c r="B1004" s="80">
        <v>45869</v>
      </c>
      <c r="C1004" s="26" t="s">
        <v>1120</v>
      </c>
      <c r="D1004" s="10"/>
      <c r="E1004" s="82" t="s">
        <v>865</v>
      </c>
      <c r="F1004" s="27">
        <v>50</v>
      </c>
      <c r="G1004" s="26" t="s">
        <v>998</v>
      </c>
      <c r="I1004" t="str">
        <f>VLOOKUP(E1004,'Trial Balance'!B:B,1,0)</f>
        <v>Bank Fees and Charges</v>
      </c>
    </row>
    <row r="1005" spans="1:9">
      <c r="A1005" s="25">
        <v>45861</v>
      </c>
      <c r="B1005" s="80">
        <v>45869</v>
      </c>
      <c r="C1005" s="26" t="s">
        <v>1121</v>
      </c>
      <c r="D1005" s="10"/>
      <c r="E1005" s="82" t="s">
        <v>865</v>
      </c>
      <c r="F1005" s="27">
        <v>3.75</v>
      </c>
      <c r="G1005" s="26" t="s">
        <v>998</v>
      </c>
      <c r="I1005" t="str">
        <f>VLOOKUP(E1005,'Trial Balance'!B:B,1,0)</f>
        <v>Bank Fees and Charges</v>
      </c>
    </row>
    <row r="1006" spans="1:9">
      <c r="A1006" s="25">
        <v>45861</v>
      </c>
      <c r="B1006" s="80">
        <v>45869</v>
      </c>
      <c r="C1006" s="26" t="s">
        <v>1122</v>
      </c>
      <c r="D1006" s="10"/>
      <c r="E1006" s="82" t="s">
        <v>865</v>
      </c>
      <c r="F1006" s="27">
        <v>50</v>
      </c>
      <c r="G1006" s="26" t="s">
        <v>998</v>
      </c>
      <c r="I1006" t="str">
        <f>VLOOKUP(E1006,'Trial Balance'!B:B,1,0)</f>
        <v>Bank Fees and Charges</v>
      </c>
    </row>
    <row r="1007" spans="1:9">
      <c r="A1007" s="25">
        <v>45862</v>
      </c>
      <c r="B1007" s="80">
        <v>45869</v>
      </c>
      <c r="C1007" s="26" t="s">
        <v>1123</v>
      </c>
      <c r="D1007" s="10"/>
      <c r="E1007" s="82" t="s">
        <v>865</v>
      </c>
      <c r="F1007" s="27">
        <v>50</v>
      </c>
      <c r="G1007" s="26" t="s">
        <v>998</v>
      </c>
      <c r="I1007" t="str">
        <f>VLOOKUP(E1007,'Trial Balance'!B:B,1,0)</f>
        <v>Bank Fees and Charges</v>
      </c>
    </row>
    <row r="1008" spans="1:9">
      <c r="A1008" s="25">
        <v>45861</v>
      </c>
      <c r="B1008" s="80">
        <v>45869</v>
      </c>
      <c r="C1008" s="26" t="s">
        <v>1124</v>
      </c>
      <c r="D1008" s="26"/>
      <c r="E1008" s="26" t="s">
        <v>800</v>
      </c>
      <c r="F1008" s="27">
        <v>520000</v>
      </c>
      <c r="G1008" s="26" t="s">
        <v>998</v>
      </c>
      <c r="H1008" s="26"/>
      <c r="I1008" t="str">
        <f>VLOOKUP(E1008,'Trial Balance'!B:B,1,0)</f>
        <v>Repairs and Maintenance</v>
      </c>
    </row>
    <row r="1009" spans="1:9">
      <c r="A1009" s="83">
        <v>45855</v>
      </c>
      <c r="B1009" s="84">
        <v>45869</v>
      </c>
      <c r="C1009" s="82" t="s">
        <v>1125</v>
      </c>
      <c r="D1009" s="82"/>
      <c r="E1009" s="82" t="s">
        <v>32</v>
      </c>
      <c r="F1009" s="85">
        <v>500000</v>
      </c>
      <c r="G1009" s="82" t="s">
        <v>998</v>
      </c>
      <c r="I1009" t="str">
        <f>VLOOKUP(E1009,'Trial Balance'!B:B,1,0)</f>
        <v>Staff training</v>
      </c>
    </row>
    <row r="1010" spans="1:9">
      <c r="A1010" s="25">
        <v>45869</v>
      </c>
      <c r="B1010" s="80">
        <v>45869</v>
      </c>
      <c r="C1010" s="26" t="s">
        <v>717</v>
      </c>
      <c r="D1010" s="26"/>
      <c r="E1010" s="26" t="s">
        <v>999</v>
      </c>
      <c r="F1010" s="27">
        <v>1693592.5</v>
      </c>
      <c r="G1010" s="26" t="s">
        <v>998</v>
      </c>
      <c r="H1010" s="26"/>
      <c r="I1010" t="str">
        <f>VLOOKUP(E1010,'Trial Balance'!B:B,1,0)</f>
        <v>Sterling bank</v>
      </c>
    </row>
    <row r="1011" spans="1:9">
      <c r="A1011" s="25">
        <v>45888</v>
      </c>
      <c r="B1011" s="78">
        <v>45900</v>
      </c>
      <c r="C1011" s="26" t="s">
        <v>1001</v>
      </c>
      <c r="D1011" s="26"/>
      <c r="E1011" s="26" t="s">
        <v>2</v>
      </c>
      <c r="F1011" s="81">
        <v>-250000</v>
      </c>
      <c r="G1011" s="26" t="s">
        <v>998</v>
      </c>
      <c r="H1011" s="26" t="s">
        <v>1213</v>
      </c>
      <c r="I1011" t="str">
        <f>VLOOKUP(E1011,'Trial Balance'!B:B,1,0)</f>
        <v>Facility rentals</v>
      </c>
    </row>
    <row r="1012" spans="1:9">
      <c r="A1012" s="25">
        <v>45895</v>
      </c>
      <c r="B1012" s="78">
        <v>45900</v>
      </c>
      <c r="C1012" s="26" t="s">
        <v>1000</v>
      </c>
      <c r="D1012" s="26" t="s">
        <v>15</v>
      </c>
      <c r="E1012" s="86" t="s">
        <v>2</v>
      </c>
      <c r="F1012" s="3">
        <v>-40000</v>
      </c>
      <c r="G1012" s="86" t="s">
        <v>998</v>
      </c>
      <c r="H1012" s="86" t="s">
        <v>1359</v>
      </c>
      <c r="I1012" t="str">
        <f>VLOOKUP(E1012,'Trial Balance'!B:B,1,0)</f>
        <v>Facility rentals</v>
      </c>
    </row>
    <row r="1013" spans="1:9">
      <c r="A1013" s="25">
        <v>45896</v>
      </c>
      <c r="B1013" s="78">
        <v>45900</v>
      </c>
      <c r="C1013" s="26" t="s">
        <v>1002</v>
      </c>
      <c r="D1013" s="26"/>
      <c r="E1013" s="26" t="s">
        <v>2</v>
      </c>
      <c r="F1013" s="81">
        <v>-444000</v>
      </c>
      <c r="G1013" s="26" t="s">
        <v>998</v>
      </c>
      <c r="H1013" s="26" t="s">
        <v>1195</v>
      </c>
      <c r="I1013" t="str">
        <f>VLOOKUP(E1013,'Trial Balance'!B:B,1,0)</f>
        <v>Facility rentals</v>
      </c>
    </row>
    <row r="1014" spans="1:9">
      <c r="A1014" s="1">
        <v>45900</v>
      </c>
      <c r="B1014" s="78">
        <v>45900</v>
      </c>
      <c r="C1014" s="26" t="s">
        <v>718</v>
      </c>
      <c r="D1014" s="26" t="s">
        <v>714</v>
      </c>
      <c r="E1014" s="26" t="s">
        <v>999</v>
      </c>
      <c r="F1014" s="27">
        <v>734000</v>
      </c>
      <c r="G1014" s="26" t="s">
        <v>998</v>
      </c>
      <c r="H1014" s="26"/>
      <c r="I1014" t="str">
        <f>VLOOKUP(E1014,'Trial Balance'!B:B,1,0)</f>
        <v>Sterling bank</v>
      </c>
    </row>
    <row r="1015" spans="1:9">
      <c r="A1015" s="1">
        <v>45901</v>
      </c>
      <c r="B1015" s="78">
        <v>45901</v>
      </c>
      <c r="C1015" t="s">
        <v>1372</v>
      </c>
      <c r="D1015" t="s">
        <v>4</v>
      </c>
      <c r="E1015" s="26" t="s">
        <v>874</v>
      </c>
      <c r="F1015" s="111">
        <v>108000</v>
      </c>
      <c r="G1015" t="s">
        <v>710</v>
      </c>
      <c r="I1015" t="str">
        <f>VLOOKUP(E1015,'Trial Balance'!B:B,1,0)</f>
        <v>Office Supplies</v>
      </c>
    </row>
    <row r="1016" spans="1:9">
      <c r="A1016" s="1">
        <v>45901</v>
      </c>
      <c r="B1016" s="78">
        <v>45901</v>
      </c>
      <c r="C1016" t="s">
        <v>1372</v>
      </c>
      <c r="D1016" t="s">
        <v>3</v>
      </c>
      <c r="E1016" s="26" t="s">
        <v>865</v>
      </c>
      <c r="F1016" s="112">
        <v>50</v>
      </c>
      <c r="G1016" t="s">
        <v>710</v>
      </c>
      <c r="I1016" t="str">
        <f>VLOOKUP(E1016,'Trial Balance'!B:B,1,0)</f>
        <v>Bank Fees and Charges</v>
      </c>
    </row>
    <row r="1017" spans="1:9">
      <c r="A1017" s="1">
        <v>45901</v>
      </c>
      <c r="B1017" s="78">
        <v>45901</v>
      </c>
      <c r="C1017" t="s">
        <v>1372</v>
      </c>
      <c r="D1017" s="26" t="s">
        <v>3</v>
      </c>
      <c r="E1017" s="26" t="s">
        <v>865</v>
      </c>
      <c r="F1017" s="112">
        <v>3.75</v>
      </c>
      <c r="G1017" t="s">
        <v>710</v>
      </c>
      <c r="I1017" t="str">
        <f>VLOOKUP(E1017,'Trial Balance'!B:B,1,0)</f>
        <v>Bank Fees and Charges</v>
      </c>
    </row>
    <row r="1018" spans="1:9">
      <c r="A1018" s="1">
        <v>45901</v>
      </c>
      <c r="B1018" s="78">
        <v>45901</v>
      </c>
      <c r="C1018" t="s">
        <v>1373</v>
      </c>
      <c r="D1018" s="26" t="s">
        <v>6</v>
      </c>
      <c r="E1018" s="26" t="s">
        <v>840</v>
      </c>
      <c r="F1018" s="111">
        <v>40000</v>
      </c>
      <c r="G1018" t="s">
        <v>710</v>
      </c>
      <c r="I1018" t="str">
        <f>VLOOKUP(E1018,'Trial Balance'!B:B,1,0)</f>
        <v>Janitorial Expense</v>
      </c>
    </row>
    <row r="1019" spans="1:9">
      <c r="A1019" s="1">
        <v>45901</v>
      </c>
      <c r="B1019" s="78">
        <v>45901</v>
      </c>
      <c r="C1019" t="s">
        <v>1373</v>
      </c>
      <c r="D1019" s="26" t="s">
        <v>3</v>
      </c>
      <c r="E1019" s="26" t="s">
        <v>865</v>
      </c>
      <c r="F1019" s="113">
        <v>25</v>
      </c>
      <c r="G1019" t="s">
        <v>710</v>
      </c>
      <c r="I1019" t="str">
        <f>VLOOKUP(E1019,'Trial Balance'!B:B,1,0)</f>
        <v>Bank Fees and Charges</v>
      </c>
    </row>
    <row r="1020" spans="1:9">
      <c r="A1020" s="1">
        <v>45901</v>
      </c>
      <c r="B1020" s="78">
        <v>45901</v>
      </c>
      <c r="C1020" t="s">
        <v>1373</v>
      </c>
      <c r="D1020" s="26" t="s">
        <v>3</v>
      </c>
      <c r="E1020" s="26" t="s">
        <v>865</v>
      </c>
      <c r="F1020" s="112">
        <v>1.88</v>
      </c>
      <c r="G1020" t="s">
        <v>710</v>
      </c>
      <c r="I1020" t="str">
        <f>VLOOKUP(E1020,'Trial Balance'!B:B,1,0)</f>
        <v>Bank Fees and Charges</v>
      </c>
    </row>
    <row r="1021" spans="1:9">
      <c r="A1021" s="1">
        <v>45901</v>
      </c>
      <c r="B1021" s="78">
        <v>45901</v>
      </c>
      <c r="C1021" t="s">
        <v>1374</v>
      </c>
      <c r="D1021" s="26" t="s">
        <v>26</v>
      </c>
      <c r="E1021" s="26" t="s">
        <v>976</v>
      </c>
      <c r="F1021" s="111">
        <v>242000</v>
      </c>
      <c r="G1021" t="s">
        <v>710</v>
      </c>
      <c r="I1021" t="str">
        <f>VLOOKUP(E1021,'Trial Balance'!B:B,1,0)</f>
        <v>Travel expense - Local</v>
      </c>
    </row>
    <row r="1022" spans="1:9">
      <c r="A1022" s="1">
        <v>45901</v>
      </c>
      <c r="B1022" s="78">
        <v>45901</v>
      </c>
      <c r="C1022" t="s">
        <v>1374</v>
      </c>
      <c r="D1022" s="26" t="s">
        <v>3</v>
      </c>
      <c r="E1022" s="26" t="s">
        <v>865</v>
      </c>
      <c r="F1022" s="112">
        <v>50</v>
      </c>
      <c r="G1022" t="s">
        <v>710</v>
      </c>
      <c r="I1022" t="str">
        <f>VLOOKUP(E1022,'Trial Balance'!B:B,1,0)</f>
        <v>Bank Fees and Charges</v>
      </c>
    </row>
    <row r="1023" spans="1:9">
      <c r="A1023" s="1">
        <v>45901</v>
      </c>
      <c r="B1023" s="78">
        <v>45901</v>
      </c>
      <c r="C1023" t="s">
        <v>1374</v>
      </c>
      <c r="D1023" s="26" t="s">
        <v>3</v>
      </c>
      <c r="E1023" s="26" t="s">
        <v>865</v>
      </c>
      <c r="F1023" s="112">
        <v>3.75</v>
      </c>
      <c r="G1023" t="s">
        <v>710</v>
      </c>
      <c r="I1023" t="str">
        <f>VLOOKUP(E1023,'Trial Balance'!B:B,1,0)</f>
        <v>Bank Fees and Charges</v>
      </c>
    </row>
    <row r="1024" spans="1:9">
      <c r="A1024" s="1">
        <v>45902</v>
      </c>
      <c r="B1024" s="78">
        <v>45901</v>
      </c>
      <c r="C1024" t="s">
        <v>1375</v>
      </c>
      <c r="D1024" s="26" t="s">
        <v>22</v>
      </c>
      <c r="E1024" s="26" t="s">
        <v>974</v>
      </c>
      <c r="F1024" s="111">
        <v>950000</v>
      </c>
      <c r="G1024" t="s">
        <v>710</v>
      </c>
      <c r="I1024" t="str">
        <f>VLOOKUP(E1024,'Trial Balance'!B:B,1,0)</f>
        <v>Security expense</v>
      </c>
    </row>
    <row r="1025" spans="1:9">
      <c r="A1025" s="1">
        <v>45902</v>
      </c>
      <c r="B1025" s="78">
        <v>45901</v>
      </c>
      <c r="C1025" t="s">
        <v>1375</v>
      </c>
      <c r="D1025" s="26" t="s">
        <v>3</v>
      </c>
      <c r="E1025" s="26" t="s">
        <v>865</v>
      </c>
      <c r="F1025" s="112">
        <v>50</v>
      </c>
      <c r="G1025" t="s">
        <v>710</v>
      </c>
      <c r="I1025" t="str">
        <f>VLOOKUP(E1025,'Trial Balance'!B:B,1,0)</f>
        <v>Bank Fees and Charges</v>
      </c>
    </row>
    <row r="1026" spans="1:9">
      <c r="A1026" s="1">
        <v>45902</v>
      </c>
      <c r="B1026" s="78">
        <v>45901</v>
      </c>
      <c r="C1026" t="s">
        <v>1375</v>
      </c>
      <c r="D1026" s="26" t="s">
        <v>3</v>
      </c>
      <c r="E1026" s="26" t="s">
        <v>865</v>
      </c>
      <c r="F1026" s="112">
        <v>3.75</v>
      </c>
      <c r="G1026" t="s">
        <v>710</v>
      </c>
      <c r="I1026" t="str">
        <f>VLOOKUP(E1026,'Trial Balance'!B:B,1,0)</f>
        <v>Bank Fees and Charges</v>
      </c>
    </row>
    <row r="1027" spans="1:9">
      <c r="A1027" s="1">
        <v>45902</v>
      </c>
      <c r="B1027" s="78">
        <v>45901</v>
      </c>
      <c r="C1027" t="s">
        <v>1376</v>
      </c>
      <c r="D1027" s="26" t="s">
        <v>708</v>
      </c>
      <c r="E1027" s="26" t="s">
        <v>984</v>
      </c>
      <c r="F1027" s="111">
        <v>470000</v>
      </c>
      <c r="G1027" t="s">
        <v>710</v>
      </c>
      <c r="I1027" t="str">
        <f>VLOOKUP(E1027,'Trial Balance'!B:B,1,0)</f>
        <v>Rental expense</v>
      </c>
    </row>
    <row r="1028" spans="1:9">
      <c r="A1028" s="1">
        <v>45902</v>
      </c>
      <c r="B1028" s="78">
        <v>45901</v>
      </c>
      <c r="C1028" t="s">
        <v>1376</v>
      </c>
      <c r="D1028" s="26" t="s">
        <v>3</v>
      </c>
      <c r="E1028" s="26" t="s">
        <v>865</v>
      </c>
      <c r="F1028" s="112">
        <v>50</v>
      </c>
      <c r="G1028" t="s">
        <v>710</v>
      </c>
      <c r="I1028" t="str">
        <f>VLOOKUP(E1028,'Trial Balance'!B:B,1,0)</f>
        <v>Bank Fees and Charges</v>
      </c>
    </row>
    <row r="1029" spans="1:9">
      <c r="A1029" s="1">
        <v>45902</v>
      </c>
      <c r="B1029" s="78">
        <v>45901</v>
      </c>
      <c r="C1029" t="s">
        <v>1376</v>
      </c>
      <c r="D1029" s="26" t="s">
        <v>3</v>
      </c>
      <c r="E1029" s="26" t="s">
        <v>865</v>
      </c>
      <c r="F1029" s="112">
        <v>3.75</v>
      </c>
      <c r="G1029" t="s">
        <v>710</v>
      </c>
      <c r="I1029" t="str">
        <f>VLOOKUP(E1029,'Trial Balance'!B:B,1,0)</f>
        <v>Bank Fees and Charges</v>
      </c>
    </row>
    <row r="1030" spans="1:9">
      <c r="A1030" s="1">
        <v>45902</v>
      </c>
      <c r="B1030" s="78">
        <v>45901</v>
      </c>
      <c r="C1030" t="s">
        <v>1379</v>
      </c>
      <c r="D1030" s="26" t="s">
        <v>1377</v>
      </c>
      <c r="E1030" s="26" t="s">
        <v>1702</v>
      </c>
      <c r="F1030" s="111">
        <v>2035800</v>
      </c>
      <c r="G1030" t="s">
        <v>710</v>
      </c>
      <c r="I1030" t="str">
        <f>VLOOKUP(E1030,'Trial Balance'!B:B,1,0)</f>
        <v>Staff pension</v>
      </c>
    </row>
    <row r="1031" spans="1:9">
      <c r="A1031" s="1">
        <v>45902</v>
      </c>
      <c r="B1031" s="78">
        <v>45901</v>
      </c>
      <c r="C1031" t="s">
        <v>1380</v>
      </c>
      <c r="D1031" s="26" t="s">
        <v>3</v>
      </c>
      <c r="E1031" s="26" t="s">
        <v>865</v>
      </c>
      <c r="F1031" s="112">
        <v>50</v>
      </c>
      <c r="G1031" t="s">
        <v>710</v>
      </c>
      <c r="I1031" t="str">
        <f>VLOOKUP(E1031,'Trial Balance'!B:B,1,0)</f>
        <v>Bank Fees and Charges</v>
      </c>
    </row>
    <row r="1032" spans="1:9">
      <c r="A1032" s="1">
        <v>45902</v>
      </c>
      <c r="B1032" s="78">
        <v>45901</v>
      </c>
      <c r="C1032" t="s">
        <v>1381</v>
      </c>
      <c r="D1032" s="26" t="s">
        <v>3</v>
      </c>
      <c r="E1032" s="26" t="s">
        <v>865</v>
      </c>
      <c r="F1032" s="112">
        <v>3.75</v>
      </c>
      <c r="G1032" t="s">
        <v>710</v>
      </c>
      <c r="I1032" t="str">
        <f>VLOOKUP(E1032,'Trial Balance'!B:B,1,0)</f>
        <v>Bank Fees and Charges</v>
      </c>
    </row>
    <row r="1033" spans="1:9">
      <c r="A1033" s="1">
        <v>45902</v>
      </c>
      <c r="B1033" s="78">
        <v>45901</v>
      </c>
      <c r="C1033" t="s">
        <v>1382</v>
      </c>
      <c r="D1033" s="26" t="s">
        <v>1377</v>
      </c>
      <c r="E1033" s="26" t="s">
        <v>1702</v>
      </c>
      <c r="F1033" s="111">
        <v>2092500</v>
      </c>
      <c r="G1033" t="s">
        <v>710</v>
      </c>
      <c r="I1033" t="str">
        <f>VLOOKUP(E1033,'Trial Balance'!B:B,1,0)</f>
        <v>Staff pension</v>
      </c>
    </row>
    <row r="1034" spans="1:9">
      <c r="A1034" s="1">
        <v>45902</v>
      </c>
      <c r="B1034" s="78">
        <v>45901</v>
      </c>
      <c r="C1034" t="s">
        <v>1383</v>
      </c>
      <c r="D1034" s="26" t="s">
        <v>3</v>
      </c>
      <c r="E1034" s="26" t="s">
        <v>865</v>
      </c>
      <c r="F1034" s="112">
        <v>50</v>
      </c>
      <c r="G1034" t="s">
        <v>710</v>
      </c>
      <c r="I1034" t="str">
        <f>VLOOKUP(E1034,'Trial Balance'!B:B,1,0)</f>
        <v>Bank Fees and Charges</v>
      </c>
    </row>
    <row r="1035" spans="1:9">
      <c r="A1035" s="1">
        <v>45902</v>
      </c>
      <c r="B1035" s="78">
        <v>45901</v>
      </c>
      <c r="C1035" t="s">
        <v>1384</v>
      </c>
      <c r="D1035" s="26" t="s">
        <v>3</v>
      </c>
      <c r="E1035" s="26" t="s">
        <v>865</v>
      </c>
      <c r="F1035" s="112">
        <v>3.75</v>
      </c>
      <c r="G1035" t="s">
        <v>710</v>
      </c>
      <c r="I1035" t="str">
        <f>VLOOKUP(E1035,'Trial Balance'!B:B,1,0)</f>
        <v>Bank Fees and Charges</v>
      </c>
    </row>
    <row r="1036" spans="1:9">
      <c r="A1036" s="1">
        <v>45902</v>
      </c>
      <c r="B1036" s="78">
        <v>45901</v>
      </c>
      <c r="C1036" t="s">
        <v>1385</v>
      </c>
      <c r="D1036" s="26" t="s">
        <v>1377</v>
      </c>
      <c r="E1036" s="26" t="s">
        <v>1702</v>
      </c>
      <c r="F1036" s="111">
        <v>2066040</v>
      </c>
      <c r="G1036" t="s">
        <v>710</v>
      </c>
      <c r="I1036" t="str">
        <f>VLOOKUP(E1036,'Trial Balance'!B:B,1,0)</f>
        <v>Staff pension</v>
      </c>
    </row>
    <row r="1037" spans="1:9">
      <c r="A1037" s="1">
        <v>45902</v>
      </c>
      <c r="B1037" s="78">
        <v>45901</v>
      </c>
      <c r="C1037" t="s">
        <v>1386</v>
      </c>
      <c r="D1037" s="26" t="s">
        <v>3</v>
      </c>
      <c r="E1037" s="26" t="s">
        <v>865</v>
      </c>
      <c r="F1037" s="112">
        <v>50</v>
      </c>
      <c r="G1037" t="s">
        <v>710</v>
      </c>
      <c r="I1037" t="str">
        <f>VLOOKUP(E1037,'Trial Balance'!B:B,1,0)</f>
        <v>Bank Fees and Charges</v>
      </c>
    </row>
    <row r="1038" spans="1:9">
      <c r="A1038" s="1">
        <v>45902</v>
      </c>
      <c r="B1038" s="78">
        <v>45901</v>
      </c>
      <c r="C1038" t="s">
        <v>1387</v>
      </c>
      <c r="D1038" s="26" t="s">
        <v>3</v>
      </c>
      <c r="E1038" s="26" t="s">
        <v>865</v>
      </c>
      <c r="F1038" s="112">
        <v>3.75</v>
      </c>
      <c r="G1038" t="s">
        <v>710</v>
      </c>
      <c r="I1038" t="str">
        <f>VLOOKUP(E1038,'Trial Balance'!B:B,1,0)</f>
        <v>Bank Fees and Charges</v>
      </c>
    </row>
    <row r="1039" spans="1:9">
      <c r="A1039" s="1">
        <v>45902</v>
      </c>
      <c r="B1039" s="78">
        <v>45901</v>
      </c>
      <c r="C1039" t="s">
        <v>1388</v>
      </c>
      <c r="D1039" s="26" t="s">
        <v>1377</v>
      </c>
      <c r="E1039" s="26" t="s">
        <v>1702</v>
      </c>
      <c r="F1039" s="111">
        <v>1633064.48</v>
      </c>
      <c r="G1039" t="s">
        <v>710</v>
      </c>
      <c r="I1039" t="str">
        <f>VLOOKUP(E1039,'Trial Balance'!B:B,1,0)</f>
        <v>Staff pension</v>
      </c>
    </row>
    <row r="1040" spans="1:9">
      <c r="A1040" s="1">
        <v>45902</v>
      </c>
      <c r="B1040" s="78">
        <v>45901</v>
      </c>
      <c r="C1040" t="s">
        <v>1389</v>
      </c>
      <c r="D1040" s="26" t="s">
        <v>3</v>
      </c>
      <c r="E1040" s="26" t="s">
        <v>865</v>
      </c>
      <c r="F1040" s="112">
        <v>50</v>
      </c>
      <c r="G1040" t="s">
        <v>710</v>
      </c>
      <c r="I1040" t="str">
        <f>VLOOKUP(E1040,'Trial Balance'!B:B,1,0)</f>
        <v>Bank Fees and Charges</v>
      </c>
    </row>
    <row r="1041" spans="1:9">
      <c r="A1041" s="1">
        <v>45902</v>
      </c>
      <c r="B1041" s="78">
        <v>45901</v>
      </c>
      <c r="C1041" t="s">
        <v>1390</v>
      </c>
      <c r="D1041" s="26" t="s">
        <v>3</v>
      </c>
      <c r="E1041" s="26" t="s">
        <v>865</v>
      </c>
      <c r="F1041" s="112">
        <v>3.75</v>
      </c>
      <c r="G1041" t="s">
        <v>710</v>
      </c>
      <c r="I1041" t="str">
        <f>VLOOKUP(E1041,'Trial Balance'!B:B,1,0)</f>
        <v>Bank Fees and Charges</v>
      </c>
    </row>
    <row r="1042" spans="1:9">
      <c r="A1042" s="1">
        <v>45902</v>
      </c>
      <c r="B1042" s="78">
        <v>45901</v>
      </c>
      <c r="C1042" t="s">
        <v>1391</v>
      </c>
      <c r="D1042" s="26" t="s">
        <v>13</v>
      </c>
      <c r="E1042" s="26" t="s">
        <v>800</v>
      </c>
      <c r="F1042" s="111">
        <v>400000</v>
      </c>
      <c r="G1042" t="s">
        <v>710</v>
      </c>
      <c r="I1042" t="str">
        <f>VLOOKUP(E1042,'Trial Balance'!B:B,1,0)</f>
        <v>Repairs and Maintenance</v>
      </c>
    </row>
    <row r="1043" spans="1:9">
      <c r="A1043" s="1">
        <v>45902</v>
      </c>
      <c r="B1043" s="78">
        <v>45901</v>
      </c>
      <c r="C1043" t="s">
        <v>1392</v>
      </c>
      <c r="D1043" s="26" t="s">
        <v>3</v>
      </c>
      <c r="E1043" s="26" t="s">
        <v>865</v>
      </c>
      <c r="F1043" s="112">
        <v>50</v>
      </c>
      <c r="G1043" t="s">
        <v>710</v>
      </c>
      <c r="I1043" t="str">
        <f>VLOOKUP(E1043,'Trial Balance'!B:B,1,0)</f>
        <v>Bank Fees and Charges</v>
      </c>
    </row>
    <row r="1044" spans="1:9">
      <c r="A1044" s="1">
        <v>45902</v>
      </c>
      <c r="B1044" s="78">
        <v>45901</v>
      </c>
      <c r="C1044" t="s">
        <v>1393</v>
      </c>
      <c r="D1044" s="26" t="s">
        <v>3</v>
      </c>
      <c r="E1044" s="26" t="s">
        <v>865</v>
      </c>
      <c r="F1044" s="112">
        <v>3.75</v>
      </c>
      <c r="G1044" t="s">
        <v>710</v>
      </c>
      <c r="I1044" t="str">
        <f>VLOOKUP(E1044,'Trial Balance'!B:B,1,0)</f>
        <v>Bank Fees and Charges</v>
      </c>
    </row>
    <row r="1045" spans="1:9">
      <c r="A1045" s="1">
        <v>45902</v>
      </c>
      <c r="B1045" s="78">
        <v>45901</v>
      </c>
      <c r="C1045" t="s">
        <v>1394</v>
      </c>
      <c r="D1045" s="26" t="s">
        <v>26</v>
      </c>
      <c r="E1045" s="26" t="s">
        <v>976</v>
      </c>
      <c r="F1045" s="111">
        <v>300000</v>
      </c>
      <c r="G1045" t="s">
        <v>710</v>
      </c>
      <c r="I1045" t="str">
        <f>VLOOKUP(E1045,'Trial Balance'!B:B,1,0)</f>
        <v>Travel expense - Local</v>
      </c>
    </row>
    <row r="1046" spans="1:9">
      <c r="A1046" s="1">
        <v>45902</v>
      </c>
      <c r="B1046" s="78">
        <v>45901</v>
      </c>
      <c r="C1046" t="s">
        <v>1394</v>
      </c>
      <c r="D1046" s="26" t="s">
        <v>3</v>
      </c>
      <c r="E1046" s="26" t="s">
        <v>865</v>
      </c>
      <c r="F1046" s="112">
        <v>50</v>
      </c>
      <c r="G1046" t="s">
        <v>710</v>
      </c>
      <c r="I1046" t="str">
        <f>VLOOKUP(E1046,'Trial Balance'!B:B,1,0)</f>
        <v>Bank Fees and Charges</v>
      </c>
    </row>
    <row r="1047" spans="1:9">
      <c r="A1047" s="1">
        <v>45902</v>
      </c>
      <c r="B1047" s="78">
        <v>45901</v>
      </c>
      <c r="C1047" t="s">
        <v>1394</v>
      </c>
      <c r="D1047" s="26" t="s">
        <v>3</v>
      </c>
      <c r="E1047" s="26" t="s">
        <v>865</v>
      </c>
      <c r="F1047" s="112">
        <v>3.75</v>
      </c>
      <c r="G1047" t="s">
        <v>710</v>
      </c>
      <c r="I1047" t="str">
        <f>VLOOKUP(E1047,'Trial Balance'!B:B,1,0)</f>
        <v>Bank Fees and Charges</v>
      </c>
    </row>
    <row r="1048" spans="1:9">
      <c r="A1048" s="1">
        <v>45902</v>
      </c>
      <c r="B1048" s="78">
        <v>45901</v>
      </c>
      <c r="C1048" t="s">
        <v>1395</v>
      </c>
      <c r="D1048" s="26" t="s">
        <v>1377</v>
      </c>
      <c r="E1048" s="26" t="s">
        <v>1702</v>
      </c>
      <c r="F1048" s="111">
        <v>883800</v>
      </c>
      <c r="G1048" t="s">
        <v>710</v>
      </c>
      <c r="I1048" t="str">
        <f>VLOOKUP(E1048,'Trial Balance'!B:B,1,0)</f>
        <v>Staff pension</v>
      </c>
    </row>
    <row r="1049" spans="1:9">
      <c r="A1049" s="1">
        <v>45902</v>
      </c>
      <c r="B1049" s="78">
        <v>45901</v>
      </c>
      <c r="C1049" t="s">
        <v>1396</v>
      </c>
      <c r="D1049" s="26" t="s">
        <v>3</v>
      </c>
      <c r="E1049" s="26" t="s">
        <v>865</v>
      </c>
      <c r="F1049" s="112">
        <v>50</v>
      </c>
      <c r="G1049" t="s">
        <v>710</v>
      </c>
      <c r="I1049" t="str">
        <f>VLOOKUP(E1049,'Trial Balance'!B:B,1,0)</f>
        <v>Bank Fees and Charges</v>
      </c>
    </row>
    <row r="1050" spans="1:9">
      <c r="A1050" s="1">
        <v>45902</v>
      </c>
      <c r="B1050" s="78">
        <v>45901</v>
      </c>
      <c r="C1050" t="s">
        <v>1397</v>
      </c>
      <c r="D1050" s="26" t="s">
        <v>3</v>
      </c>
      <c r="E1050" s="26" t="s">
        <v>865</v>
      </c>
      <c r="F1050" s="112">
        <v>3.75</v>
      </c>
      <c r="G1050" t="s">
        <v>710</v>
      </c>
      <c r="I1050" t="str">
        <f>VLOOKUP(E1050,'Trial Balance'!B:B,1,0)</f>
        <v>Bank Fees and Charges</v>
      </c>
    </row>
    <row r="1051" spans="1:9">
      <c r="A1051" s="1">
        <v>45902</v>
      </c>
      <c r="B1051" s="78">
        <v>45901</v>
      </c>
      <c r="C1051" t="s">
        <v>1398</v>
      </c>
      <c r="D1051" s="26" t="s">
        <v>1377</v>
      </c>
      <c r="E1051" s="26" t="s">
        <v>1702</v>
      </c>
      <c r="F1051" s="111">
        <v>883800</v>
      </c>
      <c r="G1051" t="s">
        <v>710</v>
      </c>
      <c r="I1051" t="str">
        <f>VLOOKUP(E1051,'Trial Balance'!B:B,1,0)</f>
        <v>Staff pension</v>
      </c>
    </row>
    <row r="1052" spans="1:9">
      <c r="A1052" s="1">
        <v>45902</v>
      </c>
      <c r="B1052" s="78">
        <v>45901</v>
      </c>
      <c r="C1052" t="s">
        <v>1399</v>
      </c>
      <c r="D1052" s="26" t="s">
        <v>3</v>
      </c>
      <c r="E1052" s="26" t="s">
        <v>865</v>
      </c>
      <c r="F1052" s="112">
        <v>50</v>
      </c>
      <c r="G1052" t="s">
        <v>710</v>
      </c>
      <c r="I1052" t="str">
        <f>VLOOKUP(E1052,'Trial Balance'!B:B,1,0)</f>
        <v>Bank Fees and Charges</v>
      </c>
    </row>
    <row r="1053" spans="1:9">
      <c r="A1053" s="1">
        <v>45902</v>
      </c>
      <c r="B1053" s="78">
        <v>45901</v>
      </c>
      <c r="C1053" t="s">
        <v>1400</v>
      </c>
      <c r="D1053" s="26" t="s">
        <v>3</v>
      </c>
      <c r="E1053" s="26" t="s">
        <v>865</v>
      </c>
      <c r="F1053" s="112">
        <v>3.75</v>
      </c>
      <c r="G1053" t="s">
        <v>710</v>
      </c>
      <c r="I1053" t="str">
        <f>VLOOKUP(E1053,'Trial Balance'!B:B,1,0)</f>
        <v>Bank Fees and Charges</v>
      </c>
    </row>
    <row r="1054" spans="1:9">
      <c r="A1054" s="1">
        <v>45903</v>
      </c>
      <c r="B1054" s="78">
        <v>45901</v>
      </c>
      <c r="C1054" t="s">
        <v>1401</v>
      </c>
      <c r="D1054" s="26" t="s">
        <v>30</v>
      </c>
      <c r="E1054" s="26" t="s">
        <v>984</v>
      </c>
      <c r="F1054" s="111">
        <v>450000</v>
      </c>
      <c r="G1054" t="s">
        <v>710</v>
      </c>
      <c r="I1054" t="str">
        <f>VLOOKUP(E1054,'Trial Balance'!B:B,1,0)</f>
        <v>Rental expense</v>
      </c>
    </row>
    <row r="1055" spans="1:9">
      <c r="A1055" s="1">
        <v>45903</v>
      </c>
      <c r="B1055" s="78">
        <v>45901</v>
      </c>
      <c r="C1055" t="s">
        <v>1402</v>
      </c>
      <c r="D1055" s="26" t="s">
        <v>3</v>
      </c>
      <c r="E1055" s="26" t="s">
        <v>865</v>
      </c>
      <c r="F1055" s="112">
        <v>50</v>
      </c>
      <c r="G1055" t="s">
        <v>710</v>
      </c>
      <c r="I1055" t="str">
        <f>VLOOKUP(E1055,'Trial Balance'!B:B,1,0)</f>
        <v>Bank Fees and Charges</v>
      </c>
    </row>
    <row r="1056" spans="1:9">
      <c r="A1056" s="1">
        <v>45903</v>
      </c>
      <c r="B1056" s="78">
        <v>45901</v>
      </c>
      <c r="C1056" t="s">
        <v>1403</v>
      </c>
      <c r="D1056" s="26" t="s">
        <v>3</v>
      </c>
      <c r="E1056" s="26" t="s">
        <v>865</v>
      </c>
      <c r="F1056" s="112">
        <v>3.75</v>
      </c>
      <c r="G1056" t="s">
        <v>710</v>
      </c>
      <c r="I1056" t="str">
        <f>VLOOKUP(E1056,'Trial Balance'!B:B,1,0)</f>
        <v>Bank Fees and Charges</v>
      </c>
    </row>
    <row r="1057" spans="1:9">
      <c r="A1057" s="1">
        <v>45903</v>
      </c>
      <c r="B1057" s="78">
        <v>45901</v>
      </c>
      <c r="C1057" t="s">
        <v>1404</v>
      </c>
      <c r="D1057" s="26" t="s">
        <v>29</v>
      </c>
      <c r="E1057" s="26" t="s">
        <v>960</v>
      </c>
      <c r="F1057" s="111">
        <v>27610</v>
      </c>
      <c r="G1057" t="s">
        <v>710</v>
      </c>
      <c r="I1057" t="str">
        <f>VLOOKUP(E1057,'Trial Balance'!B:B,1,0)</f>
        <v>Fuel/Diesel Expenses</v>
      </c>
    </row>
    <row r="1058" spans="1:9">
      <c r="A1058" s="1">
        <v>45903</v>
      </c>
      <c r="B1058" s="78">
        <v>45901</v>
      </c>
      <c r="C1058" t="s">
        <v>1404</v>
      </c>
      <c r="D1058" s="26" t="s">
        <v>3</v>
      </c>
      <c r="E1058" s="26" t="s">
        <v>865</v>
      </c>
      <c r="F1058" s="112">
        <v>25</v>
      </c>
      <c r="G1058" t="s">
        <v>710</v>
      </c>
      <c r="I1058" t="str">
        <f>VLOOKUP(E1058,'Trial Balance'!B:B,1,0)</f>
        <v>Bank Fees and Charges</v>
      </c>
    </row>
    <row r="1059" spans="1:9">
      <c r="A1059" s="1">
        <v>45903</v>
      </c>
      <c r="B1059" s="78">
        <v>45901</v>
      </c>
      <c r="C1059" t="s">
        <v>1404</v>
      </c>
      <c r="D1059" s="26" t="s">
        <v>3</v>
      </c>
      <c r="E1059" s="26" t="s">
        <v>865</v>
      </c>
      <c r="F1059" s="112">
        <v>1.8800000000046566</v>
      </c>
      <c r="G1059" t="s">
        <v>710</v>
      </c>
      <c r="I1059" t="str">
        <f>VLOOKUP(E1059,'Trial Balance'!B:B,1,0)</f>
        <v>Bank Fees and Charges</v>
      </c>
    </row>
    <row r="1060" spans="1:9">
      <c r="A1060" s="1">
        <v>45903</v>
      </c>
      <c r="B1060" s="78">
        <v>45901</v>
      </c>
      <c r="C1060" t="s">
        <v>1405</v>
      </c>
      <c r="D1060" t="s">
        <v>15</v>
      </c>
      <c r="E1060" t="s">
        <v>1353</v>
      </c>
      <c r="F1060" s="111">
        <v>54000</v>
      </c>
      <c r="G1060" t="s">
        <v>710</v>
      </c>
      <c r="I1060" t="str">
        <f>VLOOKUP(E1060,'Trial Balance'!B:B,1,0)</f>
        <v>Guest entertainment</v>
      </c>
    </row>
    <row r="1061" spans="1:9">
      <c r="A1061" s="1">
        <v>45903</v>
      </c>
      <c r="B1061" s="78">
        <v>45901</v>
      </c>
      <c r="C1061" t="s">
        <v>1405</v>
      </c>
      <c r="D1061" s="26" t="s">
        <v>3</v>
      </c>
      <c r="E1061" t="s">
        <v>865</v>
      </c>
      <c r="F1061" s="112">
        <v>50</v>
      </c>
      <c r="G1061" t="s">
        <v>710</v>
      </c>
      <c r="I1061" t="str">
        <f>VLOOKUP(E1061,'Trial Balance'!B:B,1,0)</f>
        <v>Bank Fees and Charges</v>
      </c>
    </row>
    <row r="1062" spans="1:9">
      <c r="A1062" s="1">
        <v>45903</v>
      </c>
      <c r="B1062" s="78">
        <v>45901</v>
      </c>
      <c r="C1062" t="s">
        <v>1405</v>
      </c>
      <c r="D1062" s="26" t="s">
        <v>3</v>
      </c>
      <c r="E1062" t="s">
        <v>865</v>
      </c>
      <c r="F1062" s="112">
        <v>3.75</v>
      </c>
      <c r="G1062" t="s">
        <v>710</v>
      </c>
      <c r="I1062" t="str">
        <f>VLOOKUP(E1062,'Trial Balance'!B:B,1,0)</f>
        <v>Bank Fees and Charges</v>
      </c>
    </row>
    <row r="1063" spans="1:9">
      <c r="A1063" s="1">
        <v>45903</v>
      </c>
      <c r="B1063" s="78">
        <v>45901</v>
      </c>
      <c r="C1063" t="s">
        <v>1406</v>
      </c>
      <c r="D1063" s="26" t="s">
        <v>15</v>
      </c>
      <c r="E1063" t="s">
        <v>1353</v>
      </c>
      <c r="F1063" s="111">
        <v>28000</v>
      </c>
      <c r="G1063" t="s">
        <v>710</v>
      </c>
      <c r="I1063" t="str">
        <f>VLOOKUP(E1063,'Trial Balance'!B:B,1,0)</f>
        <v>Guest entertainment</v>
      </c>
    </row>
    <row r="1064" spans="1:9">
      <c r="A1064" s="1">
        <v>45903</v>
      </c>
      <c r="B1064" s="78">
        <v>45901</v>
      </c>
      <c r="C1064" t="s">
        <v>1406</v>
      </c>
      <c r="D1064" s="26" t="s">
        <v>3</v>
      </c>
      <c r="E1064" t="s">
        <v>865</v>
      </c>
      <c r="F1064" s="112">
        <v>25</v>
      </c>
      <c r="G1064" t="s">
        <v>710</v>
      </c>
      <c r="I1064" t="str">
        <f>VLOOKUP(E1064,'Trial Balance'!B:B,1,0)</f>
        <v>Bank Fees and Charges</v>
      </c>
    </row>
    <row r="1065" spans="1:9">
      <c r="A1065" s="1">
        <v>45903</v>
      </c>
      <c r="B1065" s="78">
        <v>45901</v>
      </c>
      <c r="C1065" t="s">
        <v>1406</v>
      </c>
      <c r="D1065" s="26" t="s">
        <v>3</v>
      </c>
      <c r="E1065" t="s">
        <v>865</v>
      </c>
      <c r="F1065" s="112">
        <v>1.8800000000046566</v>
      </c>
      <c r="G1065" t="s">
        <v>710</v>
      </c>
      <c r="I1065" t="str">
        <f>VLOOKUP(E1065,'Trial Balance'!B:B,1,0)</f>
        <v>Bank Fees and Charges</v>
      </c>
    </row>
    <row r="1066" spans="1:9">
      <c r="A1066" s="1">
        <v>45903</v>
      </c>
      <c r="B1066" s="78">
        <v>45901</v>
      </c>
      <c r="C1066" t="s">
        <v>1408</v>
      </c>
      <c r="D1066" s="26" t="s">
        <v>8</v>
      </c>
      <c r="E1066" t="s">
        <v>815</v>
      </c>
      <c r="F1066" s="111">
        <v>20000</v>
      </c>
      <c r="G1066" t="s">
        <v>710</v>
      </c>
      <c r="I1066" t="str">
        <f>VLOOKUP(E1066,'Trial Balance'!B:B,1,0)</f>
        <v>Salaries and Employee Wages</v>
      </c>
    </row>
    <row r="1067" spans="1:9">
      <c r="A1067" s="1">
        <v>45903</v>
      </c>
      <c r="B1067" s="78">
        <v>45901</v>
      </c>
      <c r="C1067" t="s">
        <v>1408</v>
      </c>
      <c r="D1067" s="26" t="s">
        <v>3</v>
      </c>
      <c r="E1067" t="s">
        <v>865</v>
      </c>
      <c r="F1067" s="112">
        <v>25</v>
      </c>
      <c r="G1067" t="s">
        <v>710</v>
      </c>
      <c r="I1067" t="str">
        <f>VLOOKUP(E1067,'Trial Balance'!B:B,1,0)</f>
        <v>Bank Fees and Charges</v>
      </c>
    </row>
    <row r="1068" spans="1:9">
      <c r="A1068" s="1">
        <v>45903</v>
      </c>
      <c r="B1068" s="78">
        <v>45901</v>
      </c>
      <c r="C1068" t="s">
        <v>1408</v>
      </c>
      <c r="D1068" s="26" t="s">
        <v>3</v>
      </c>
      <c r="E1068" t="s">
        <v>865</v>
      </c>
      <c r="F1068" s="112">
        <v>1.8800000000046566</v>
      </c>
      <c r="G1068" t="s">
        <v>710</v>
      </c>
      <c r="I1068" t="str">
        <f>VLOOKUP(E1068,'Trial Balance'!B:B,1,0)</f>
        <v>Bank Fees and Charges</v>
      </c>
    </row>
    <row r="1069" spans="1:9">
      <c r="A1069" s="1">
        <v>45903</v>
      </c>
      <c r="B1069" s="78">
        <v>45901</v>
      </c>
      <c r="C1069" t="s">
        <v>1409</v>
      </c>
      <c r="D1069" s="26" t="s">
        <v>6</v>
      </c>
      <c r="E1069" t="s">
        <v>840</v>
      </c>
      <c r="F1069" s="111">
        <v>1300000</v>
      </c>
      <c r="G1069" t="s">
        <v>710</v>
      </c>
      <c r="I1069" t="str">
        <f>VLOOKUP(E1069,'Trial Balance'!B:B,1,0)</f>
        <v>Janitorial Expense</v>
      </c>
    </row>
    <row r="1070" spans="1:9">
      <c r="A1070" s="1">
        <v>45903</v>
      </c>
      <c r="B1070" s="78">
        <v>45901</v>
      </c>
      <c r="C1070" t="s">
        <v>1410</v>
      </c>
      <c r="D1070" s="26" t="s">
        <v>3</v>
      </c>
      <c r="E1070" t="s">
        <v>865</v>
      </c>
      <c r="F1070" s="113">
        <v>50</v>
      </c>
      <c r="G1070" t="s">
        <v>710</v>
      </c>
      <c r="I1070" t="str">
        <f>VLOOKUP(E1070,'Trial Balance'!B:B,1,0)</f>
        <v>Bank Fees and Charges</v>
      </c>
    </row>
    <row r="1071" spans="1:9">
      <c r="A1071" s="1">
        <v>45903</v>
      </c>
      <c r="B1071" s="78">
        <v>45901</v>
      </c>
      <c r="C1071" t="s">
        <v>1411</v>
      </c>
      <c r="D1071" s="26" t="s">
        <v>3</v>
      </c>
      <c r="E1071" t="s">
        <v>865</v>
      </c>
      <c r="F1071" s="114">
        <v>3.75</v>
      </c>
      <c r="G1071" t="s">
        <v>710</v>
      </c>
      <c r="I1071" t="str">
        <f>VLOOKUP(E1071,'Trial Balance'!B:B,1,0)</f>
        <v>Bank Fees and Charges</v>
      </c>
    </row>
    <row r="1072" spans="1:9">
      <c r="A1072" s="1">
        <v>45903</v>
      </c>
      <c r="B1072" s="78">
        <v>45901</v>
      </c>
      <c r="C1072" t="s">
        <v>1413</v>
      </c>
      <c r="D1072" s="26" t="s">
        <v>1412</v>
      </c>
      <c r="E1072" s="26" t="s">
        <v>1704</v>
      </c>
      <c r="F1072" s="111">
        <v>1317857.02</v>
      </c>
      <c r="G1072" t="s">
        <v>710</v>
      </c>
      <c r="I1072" t="str">
        <f>VLOOKUP(E1072,'Trial Balance'!B:B,1,0)</f>
        <v>Staff NHF</v>
      </c>
    </row>
    <row r="1073" spans="1:9">
      <c r="A1073" s="1">
        <v>45903</v>
      </c>
      <c r="B1073" s="78">
        <v>45901</v>
      </c>
      <c r="C1073" t="s">
        <v>1414</v>
      </c>
      <c r="D1073" s="26" t="s">
        <v>4</v>
      </c>
      <c r="E1073" t="s">
        <v>874</v>
      </c>
      <c r="F1073" s="111">
        <v>150000</v>
      </c>
      <c r="G1073" t="s">
        <v>710</v>
      </c>
      <c r="I1073" t="str">
        <f>VLOOKUP(E1073,'Trial Balance'!B:B,1,0)</f>
        <v>Office Supplies</v>
      </c>
    </row>
    <row r="1074" spans="1:9">
      <c r="A1074" s="1">
        <v>45903</v>
      </c>
      <c r="B1074" s="78">
        <v>45901</v>
      </c>
      <c r="C1074" t="s">
        <v>1414</v>
      </c>
      <c r="D1074" s="26" t="s">
        <v>3</v>
      </c>
      <c r="E1074" t="s">
        <v>865</v>
      </c>
      <c r="F1074" s="113">
        <v>50</v>
      </c>
      <c r="G1074" t="s">
        <v>710</v>
      </c>
      <c r="I1074" t="str">
        <f>VLOOKUP(E1074,'Trial Balance'!B:B,1,0)</f>
        <v>Bank Fees and Charges</v>
      </c>
    </row>
    <row r="1075" spans="1:9">
      <c r="A1075" s="1">
        <v>45903</v>
      </c>
      <c r="B1075" s="78">
        <v>45901</v>
      </c>
      <c r="C1075" t="s">
        <v>1414</v>
      </c>
      <c r="D1075" s="26" t="s">
        <v>3</v>
      </c>
      <c r="E1075" t="s">
        <v>865</v>
      </c>
      <c r="F1075" s="114">
        <v>3.75</v>
      </c>
      <c r="G1075" t="s">
        <v>710</v>
      </c>
      <c r="I1075" t="str">
        <f>VLOOKUP(E1075,'Trial Balance'!B:B,1,0)</f>
        <v>Bank Fees and Charges</v>
      </c>
    </row>
    <row r="1076" spans="1:9">
      <c r="A1076" s="1">
        <v>45904</v>
      </c>
      <c r="B1076" s="78">
        <v>45901</v>
      </c>
      <c r="C1076" t="s">
        <v>1415</v>
      </c>
      <c r="D1076" s="26" t="s">
        <v>15</v>
      </c>
      <c r="E1076" t="s">
        <v>1353</v>
      </c>
      <c r="F1076" s="111">
        <v>180000</v>
      </c>
      <c r="G1076" t="s">
        <v>710</v>
      </c>
      <c r="I1076" t="str">
        <f>VLOOKUP(E1076,'Trial Balance'!B:B,1,0)</f>
        <v>Guest entertainment</v>
      </c>
    </row>
    <row r="1077" spans="1:9">
      <c r="A1077" s="1">
        <v>45904</v>
      </c>
      <c r="B1077" s="78">
        <v>45901</v>
      </c>
      <c r="C1077" t="s">
        <v>1415</v>
      </c>
      <c r="D1077" s="26" t="s">
        <v>3</v>
      </c>
      <c r="E1077" t="s">
        <v>865</v>
      </c>
      <c r="F1077" s="113">
        <v>50</v>
      </c>
      <c r="G1077" t="s">
        <v>710</v>
      </c>
      <c r="I1077" t="str">
        <f>VLOOKUP(E1077,'Trial Balance'!B:B,1,0)</f>
        <v>Bank Fees and Charges</v>
      </c>
    </row>
    <row r="1078" spans="1:9">
      <c r="A1078" s="1">
        <v>45904</v>
      </c>
      <c r="B1078" s="78">
        <v>45901</v>
      </c>
      <c r="C1078" t="s">
        <v>1415</v>
      </c>
      <c r="D1078" s="26" t="s">
        <v>3</v>
      </c>
      <c r="E1078" t="s">
        <v>865</v>
      </c>
      <c r="F1078" s="114">
        <v>3.75</v>
      </c>
      <c r="G1078" t="s">
        <v>710</v>
      </c>
      <c r="I1078" t="str">
        <f>VLOOKUP(E1078,'Trial Balance'!B:B,1,0)</f>
        <v>Bank Fees and Charges</v>
      </c>
    </row>
    <row r="1079" spans="1:9">
      <c r="A1079" s="1">
        <v>45905</v>
      </c>
      <c r="B1079" s="78">
        <v>45901</v>
      </c>
      <c r="C1079" t="s">
        <v>1416</v>
      </c>
      <c r="D1079" s="26" t="s">
        <v>26</v>
      </c>
      <c r="E1079" t="s">
        <v>976</v>
      </c>
      <c r="F1079" s="111">
        <v>200000</v>
      </c>
      <c r="G1079" t="s">
        <v>710</v>
      </c>
      <c r="I1079" t="str">
        <f>VLOOKUP(E1079,'Trial Balance'!B:B,1,0)</f>
        <v>Travel expense - Local</v>
      </c>
    </row>
    <row r="1080" spans="1:9">
      <c r="A1080" s="1">
        <v>45905</v>
      </c>
      <c r="B1080" s="78">
        <v>45901</v>
      </c>
      <c r="C1080" t="s">
        <v>1416</v>
      </c>
      <c r="D1080" s="26" t="s">
        <v>3</v>
      </c>
      <c r="E1080" t="s">
        <v>865</v>
      </c>
      <c r="F1080" s="113">
        <v>50</v>
      </c>
      <c r="G1080" t="s">
        <v>710</v>
      </c>
      <c r="I1080" t="str">
        <f>VLOOKUP(E1080,'Trial Balance'!B:B,1,0)</f>
        <v>Bank Fees and Charges</v>
      </c>
    </row>
    <row r="1081" spans="1:9">
      <c r="A1081" s="1">
        <v>45905</v>
      </c>
      <c r="B1081" s="78">
        <v>45901</v>
      </c>
      <c r="C1081" t="s">
        <v>1416</v>
      </c>
      <c r="D1081" s="26" t="s">
        <v>3</v>
      </c>
      <c r="E1081" t="s">
        <v>865</v>
      </c>
      <c r="F1081" s="114">
        <v>3.75</v>
      </c>
      <c r="G1081" t="s">
        <v>710</v>
      </c>
      <c r="I1081" t="str">
        <f>VLOOKUP(E1081,'Trial Balance'!B:B,1,0)</f>
        <v>Bank Fees and Charges</v>
      </c>
    </row>
    <row r="1082" spans="1:9">
      <c r="A1082" s="1">
        <v>45908</v>
      </c>
      <c r="B1082" s="78">
        <v>45901</v>
      </c>
      <c r="C1082" t="s">
        <v>1417</v>
      </c>
      <c r="D1082" s="26" t="s">
        <v>15</v>
      </c>
      <c r="E1082" t="s">
        <v>1353</v>
      </c>
      <c r="F1082" s="111">
        <v>50000</v>
      </c>
      <c r="G1082" t="s">
        <v>710</v>
      </c>
      <c r="I1082" t="str">
        <f>VLOOKUP(E1082,'Trial Balance'!B:B,1,0)</f>
        <v>Guest entertainment</v>
      </c>
    </row>
    <row r="1083" spans="1:9">
      <c r="A1083" s="1">
        <v>45908</v>
      </c>
      <c r="B1083" s="78">
        <v>45901</v>
      </c>
      <c r="C1083" t="s">
        <v>1417</v>
      </c>
      <c r="D1083" s="26" t="s">
        <v>3</v>
      </c>
      <c r="E1083" t="s">
        <v>865</v>
      </c>
      <c r="F1083" s="112">
        <v>25</v>
      </c>
      <c r="G1083" t="s">
        <v>710</v>
      </c>
      <c r="I1083" t="str">
        <f>VLOOKUP(E1083,'Trial Balance'!B:B,1,0)</f>
        <v>Bank Fees and Charges</v>
      </c>
    </row>
    <row r="1084" spans="1:9">
      <c r="A1084" s="1">
        <v>45908</v>
      </c>
      <c r="B1084" s="78">
        <v>45901</v>
      </c>
      <c r="C1084" t="s">
        <v>1417</v>
      </c>
      <c r="D1084" s="26" t="s">
        <v>3</v>
      </c>
      <c r="E1084" t="s">
        <v>865</v>
      </c>
      <c r="F1084" s="112">
        <v>1.8800000000046566</v>
      </c>
      <c r="G1084" t="s">
        <v>710</v>
      </c>
      <c r="I1084" t="str">
        <f>VLOOKUP(E1084,'Trial Balance'!B:B,1,0)</f>
        <v>Bank Fees and Charges</v>
      </c>
    </row>
    <row r="1085" spans="1:9">
      <c r="A1085" s="1">
        <v>45908</v>
      </c>
      <c r="B1085" s="78">
        <v>45901</v>
      </c>
      <c r="C1085" t="s">
        <v>1418</v>
      </c>
      <c r="D1085" s="26" t="s">
        <v>26</v>
      </c>
      <c r="E1085" t="s">
        <v>976</v>
      </c>
      <c r="F1085" s="111">
        <v>200000</v>
      </c>
      <c r="G1085" t="s">
        <v>710</v>
      </c>
      <c r="I1085" t="str">
        <f>VLOOKUP(E1085,'Trial Balance'!B:B,1,0)</f>
        <v>Travel expense - Local</v>
      </c>
    </row>
    <row r="1086" spans="1:9">
      <c r="A1086" s="1">
        <v>45908</v>
      </c>
      <c r="B1086" s="78">
        <v>45901</v>
      </c>
      <c r="C1086" t="s">
        <v>1418</v>
      </c>
      <c r="D1086" s="26" t="s">
        <v>3</v>
      </c>
      <c r="E1086" t="s">
        <v>865</v>
      </c>
      <c r="F1086" s="113">
        <v>50</v>
      </c>
      <c r="G1086" t="s">
        <v>710</v>
      </c>
      <c r="I1086" t="str">
        <f>VLOOKUP(E1086,'Trial Balance'!B:B,1,0)</f>
        <v>Bank Fees and Charges</v>
      </c>
    </row>
    <row r="1087" spans="1:9">
      <c r="A1087" s="1">
        <v>45908</v>
      </c>
      <c r="B1087" s="78">
        <v>45901</v>
      </c>
      <c r="C1087" t="s">
        <v>1418</v>
      </c>
      <c r="D1087" s="26" t="s">
        <v>3</v>
      </c>
      <c r="E1087" t="s">
        <v>865</v>
      </c>
      <c r="F1087" s="114">
        <v>3.75</v>
      </c>
      <c r="G1087" t="s">
        <v>710</v>
      </c>
      <c r="I1087" t="str">
        <f>VLOOKUP(E1087,'Trial Balance'!B:B,1,0)</f>
        <v>Bank Fees and Charges</v>
      </c>
    </row>
    <row r="1088" spans="1:9">
      <c r="A1088" s="1">
        <v>45908</v>
      </c>
      <c r="B1088" s="78">
        <v>45901</v>
      </c>
      <c r="C1088" t="s">
        <v>1419</v>
      </c>
      <c r="D1088" s="26" t="s">
        <v>26</v>
      </c>
      <c r="E1088" t="s">
        <v>976</v>
      </c>
      <c r="F1088" s="111">
        <v>220000</v>
      </c>
      <c r="G1088" t="s">
        <v>710</v>
      </c>
      <c r="I1088" t="str">
        <f>VLOOKUP(E1088,'Trial Balance'!B:B,1,0)</f>
        <v>Travel expense - Local</v>
      </c>
    </row>
    <row r="1089" spans="1:9">
      <c r="A1089" s="1">
        <v>45908</v>
      </c>
      <c r="B1089" s="78">
        <v>45901</v>
      </c>
      <c r="C1089" t="s">
        <v>1419</v>
      </c>
      <c r="D1089" s="26" t="s">
        <v>3</v>
      </c>
      <c r="E1089" t="s">
        <v>865</v>
      </c>
      <c r="F1089" s="113">
        <v>50</v>
      </c>
      <c r="G1089" t="s">
        <v>710</v>
      </c>
      <c r="I1089" t="str">
        <f>VLOOKUP(E1089,'Trial Balance'!B:B,1,0)</f>
        <v>Bank Fees and Charges</v>
      </c>
    </row>
    <row r="1090" spans="1:9">
      <c r="A1090" s="1">
        <v>45908</v>
      </c>
      <c r="B1090" s="78">
        <v>45901</v>
      </c>
      <c r="C1090" t="s">
        <v>1419</v>
      </c>
      <c r="D1090" s="26" t="s">
        <v>3</v>
      </c>
      <c r="E1090" t="s">
        <v>865</v>
      </c>
      <c r="F1090" s="114">
        <v>3.75</v>
      </c>
      <c r="G1090" t="s">
        <v>710</v>
      </c>
      <c r="I1090" t="str">
        <f>VLOOKUP(E1090,'Trial Balance'!B:B,1,0)</f>
        <v>Bank Fees and Charges</v>
      </c>
    </row>
    <row r="1091" spans="1:9">
      <c r="A1091" s="1">
        <v>45908</v>
      </c>
      <c r="B1091" s="78">
        <v>45901</v>
      </c>
      <c r="C1091" t="s">
        <v>1420</v>
      </c>
      <c r="D1091" s="26" t="s">
        <v>4</v>
      </c>
      <c r="E1091" t="s">
        <v>874</v>
      </c>
      <c r="F1091" s="111">
        <v>78846.75</v>
      </c>
      <c r="G1091" t="s">
        <v>710</v>
      </c>
      <c r="I1091" t="str">
        <f>VLOOKUP(E1091,'Trial Balance'!B:B,1,0)</f>
        <v>Office Supplies</v>
      </c>
    </row>
    <row r="1092" spans="1:9">
      <c r="A1092" s="1">
        <v>45908</v>
      </c>
      <c r="B1092" s="78">
        <v>45901</v>
      </c>
      <c r="C1092" t="s">
        <v>1420</v>
      </c>
      <c r="D1092" s="26" t="s">
        <v>3</v>
      </c>
      <c r="E1092" t="s">
        <v>865</v>
      </c>
      <c r="F1092" s="113">
        <v>50</v>
      </c>
      <c r="G1092" t="s">
        <v>710</v>
      </c>
      <c r="I1092" t="str">
        <f>VLOOKUP(E1092,'Trial Balance'!B:B,1,0)</f>
        <v>Bank Fees and Charges</v>
      </c>
    </row>
    <row r="1093" spans="1:9">
      <c r="A1093" s="1">
        <v>45908</v>
      </c>
      <c r="B1093" s="78">
        <v>45901</v>
      </c>
      <c r="C1093" t="s">
        <v>1420</v>
      </c>
      <c r="D1093" s="26" t="s">
        <v>3</v>
      </c>
      <c r="E1093" t="s">
        <v>865</v>
      </c>
      <c r="F1093" s="114">
        <v>3.75</v>
      </c>
      <c r="G1093" t="s">
        <v>710</v>
      </c>
      <c r="I1093" t="str">
        <f>VLOOKUP(E1093,'Trial Balance'!B:B,1,0)</f>
        <v>Bank Fees and Charges</v>
      </c>
    </row>
    <row r="1094" spans="1:9">
      <c r="A1094" s="1">
        <v>45908</v>
      </c>
      <c r="B1094" s="78">
        <v>45901</v>
      </c>
      <c r="C1094" t="s">
        <v>1421</v>
      </c>
      <c r="D1094" s="26" t="s">
        <v>1422</v>
      </c>
      <c r="E1094" t="s">
        <v>874</v>
      </c>
      <c r="F1094" s="111">
        <v>23414</v>
      </c>
      <c r="G1094" t="s">
        <v>710</v>
      </c>
      <c r="I1094" t="str">
        <f>VLOOKUP(E1094,'Trial Balance'!B:B,1,0)</f>
        <v>Office Supplies</v>
      </c>
    </row>
    <row r="1095" spans="1:9">
      <c r="A1095" s="1">
        <v>45908</v>
      </c>
      <c r="B1095" s="78">
        <v>45901</v>
      </c>
      <c r="C1095" t="s">
        <v>1421</v>
      </c>
      <c r="D1095" s="26" t="s">
        <v>3</v>
      </c>
      <c r="E1095" t="s">
        <v>865</v>
      </c>
      <c r="F1095" s="112">
        <v>25</v>
      </c>
      <c r="G1095" t="s">
        <v>710</v>
      </c>
      <c r="I1095" t="str">
        <f>VLOOKUP(E1095,'Trial Balance'!B:B,1,0)</f>
        <v>Bank Fees and Charges</v>
      </c>
    </row>
    <row r="1096" spans="1:9">
      <c r="A1096" s="1">
        <v>45908</v>
      </c>
      <c r="B1096" s="78">
        <v>45901</v>
      </c>
      <c r="C1096" t="s">
        <v>1421</v>
      </c>
      <c r="D1096" s="26" t="s">
        <v>3</v>
      </c>
      <c r="E1096" t="s">
        <v>865</v>
      </c>
      <c r="F1096" s="112">
        <v>1.8800000000046566</v>
      </c>
      <c r="G1096" t="s">
        <v>710</v>
      </c>
      <c r="I1096" t="str">
        <f>VLOOKUP(E1096,'Trial Balance'!B:B,1,0)</f>
        <v>Bank Fees and Charges</v>
      </c>
    </row>
    <row r="1097" spans="1:9">
      <c r="A1097" s="1">
        <v>45908</v>
      </c>
      <c r="B1097" s="78">
        <v>45901</v>
      </c>
      <c r="C1097" t="s">
        <v>1423</v>
      </c>
      <c r="D1097" s="26" t="s">
        <v>26</v>
      </c>
      <c r="E1097" t="s">
        <v>976</v>
      </c>
      <c r="F1097" s="111">
        <v>320000</v>
      </c>
      <c r="G1097" t="s">
        <v>710</v>
      </c>
      <c r="I1097" t="str">
        <f>VLOOKUP(E1097,'Trial Balance'!B:B,1,0)</f>
        <v>Travel expense - Local</v>
      </c>
    </row>
    <row r="1098" spans="1:9">
      <c r="A1098" s="1">
        <v>45908</v>
      </c>
      <c r="B1098" s="78">
        <v>45901</v>
      </c>
      <c r="C1098" t="s">
        <v>1423</v>
      </c>
      <c r="D1098" s="26" t="s">
        <v>3</v>
      </c>
      <c r="E1098" t="s">
        <v>865</v>
      </c>
      <c r="F1098" s="113">
        <v>50</v>
      </c>
      <c r="G1098" t="s">
        <v>710</v>
      </c>
      <c r="I1098" t="str">
        <f>VLOOKUP(E1098,'Trial Balance'!B:B,1,0)</f>
        <v>Bank Fees and Charges</v>
      </c>
    </row>
    <row r="1099" spans="1:9">
      <c r="A1099" s="1">
        <v>45908</v>
      </c>
      <c r="B1099" s="78">
        <v>45901</v>
      </c>
      <c r="C1099" t="s">
        <v>1423</v>
      </c>
      <c r="D1099" s="26" t="s">
        <v>3</v>
      </c>
      <c r="E1099" t="s">
        <v>865</v>
      </c>
      <c r="F1099" s="114">
        <v>3.75</v>
      </c>
      <c r="G1099" t="s">
        <v>710</v>
      </c>
      <c r="I1099" t="str">
        <f>VLOOKUP(E1099,'Trial Balance'!B:B,1,0)</f>
        <v>Bank Fees and Charges</v>
      </c>
    </row>
    <row r="1100" spans="1:9">
      <c r="A1100" s="1">
        <v>45911</v>
      </c>
      <c r="B1100" s="78">
        <v>45901</v>
      </c>
      <c r="C1100" t="s">
        <v>1424</v>
      </c>
      <c r="D1100" s="26" t="s">
        <v>10</v>
      </c>
      <c r="E1100" t="s">
        <v>956</v>
      </c>
      <c r="F1100" s="111">
        <v>119032.72</v>
      </c>
      <c r="G1100" t="s">
        <v>710</v>
      </c>
      <c r="I1100" t="str">
        <f>VLOOKUP(E1100,'Trial Balance'!B:B,1,0)</f>
        <v>Software expense</v>
      </c>
    </row>
    <row r="1101" spans="1:9">
      <c r="A1101" s="1">
        <v>45911</v>
      </c>
      <c r="B1101" s="78">
        <v>45901</v>
      </c>
      <c r="C1101" t="s">
        <v>1424</v>
      </c>
      <c r="D1101" s="26" t="s">
        <v>3</v>
      </c>
      <c r="E1101" t="s">
        <v>865</v>
      </c>
      <c r="F1101" s="113">
        <v>50</v>
      </c>
      <c r="G1101" t="s">
        <v>710</v>
      </c>
      <c r="I1101" t="str">
        <f>VLOOKUP(E1101,'Trial Balance'!B:B,1,0)</f>
        <v>Bank Fees and Charges</v>
      </c>
    </row>
    <row r="1102" spans="1:9">
      <c r="A1102" s="1">
        <v>45911</v>
      </c>
      <c r="B1102" s="78">
        <v>45901</v>
      </c>
      <c r="C1102" t="s">
        <v>1424</v>
      </c>
      <c r="D1102" s="26" t="s">
        <v>3</v>
      </c>
      <c r="E1102" t="s">
        <v>865</v>
      </c>
      <c r="F1102" s="114">
        <v>3.75</v>
      </c>
      <c r="G1102" t="s">
        <v>710</v>
      </c>
      <c r="I1102" t="str">
        <f>VLOOKUP(E1102,'Trial Balance'!B:B,1,0)</f>
        <v>Bank Fees and Charges</v>
      </c>
    </row>
    <row r="1103" spans="1:9">
      <c r="A1103" s="1">
        <v>45911</v>
      </c>
      <c r="B1103" s="78">
        <v>45901</v>
      </c>
      <c r="C1103" t="s">
        <v>1425</v>
      </c>
      <c r="D1103" s="26" t="s">
        <v>13</v>
      </c>
      <c r="E1103" t="s">
        <v>800</v>
      </c>
      <c r="F1103" s="111">
        <v>450000</v>
      </c>
      <c r="G1103" t="s">
        <v>710</v>
      </c>
      <c r="I1103" t="str">
        <f>VLOOKUP(E1103,'Trial Balance'!B:B,1,0)</f>
        <v>Repairs and Maintenance</v>
      </c>
    </row>
    <row r="1104" spans="1:9">
      <c r="A1104" s="1">
        <v>45911</v>
      </c>
      <c r="B1104" s="78">
        <v>45901</v>
      </c>
      <c r="C1104" t="s">
        <v>1426</v>
      </c>
      <c r="D1104" s="26" t="s">
        <v>3</v>
      </c>
      <c r="E1104" t="s">
        <v>865</v>
      </c>
      <c r="F1104" s="113">
        <v>50</v>
      </c>
      <c r="G1104" t="s">
        <v>710</v>
      </c>
      <c r="I1104" t="str">
        <f>VLOOKUP(E1104,'Trial Balance'!B:B,1,0)</f>
        <v>Bank Fees and Charges</v>
      </c>
    </row>
    <row r="1105" spans="1:9">
      <c r="A1105" s="1">
        <v>45911</v>
      </c>
      <c r="B1105" s="78">
        <v>45901</v>
      </c>
      <c r="C1105" t="s">
        <v>1427</v>
      </c>
      <c r="D1105" s="26" t="s">
        <v>3</v>
      </c>
      <c r="E1105" t="s">
        <v>865</v>
      </c>
      <c r="F1105" s="114">
        <v>3.75</v>
      </c>
      <c r="G1105" t="s">
        <v>710</v>
      </c>
      <c r="I1105" t="str">
        <f>VLOOKUP(E1105,'Trial Balance'!B:B,1,0)</f>
        <v>Bank Fees and Charges</v>
      </c>
    </row>
    <row r="1106" spans="1:9">
      <c r="A1106" s="1">
        <v>45911</v>
      </c>
      <c r="B1106" s="78">
        <v>45901</v>
      </c>
      <c r="C1106" t="s">
        <v>1428</v>
      </c>
      <c r="D1106" s="26" t="s">
        <v>26</v>
      </c>
      <c r="E1106" t="s">
        <v>976</v>
      </c>
      <c r="F1106" s="111">
        <v>162000</v>
      </c>
      <c r="G1106" t="s">
        <v>710</v>
      </c>
      <c r="I1106" t="str">
        <f>VLOOKUP(E1106,'Trial Balance'!B:B,1,0)</f>
        <v>Travel expense - Local</v>
      </c>
    </row>
    <row r="1107" spans="1:9">
      <c r="A1107" s="1">
        <v>45911</v>
      </c>
      <c r="B1107" s="78">
        <v>45901</v>
      </c>
      <c r="C1107" t="s">
        <v>1428</v>
      </c>
      <c r="D1107" s="26" t="s">
        <v>3</v>
      </c>
      <c r="E1107" t="s">
        <v>865</v>
      </c>
      <c r="F1107" s="113">
        <v>50</v>
      </c>
      <c r="G1107" t="s">
        <v>710</v>
      </c>
      <c r="I1107" t="str">
        <f>VLOOKUP(E1107,'Trial Balance'!B:B,1,0)</f>
        <v>Bank Fees and Charges</v>
      </c>
    </row>
    <row r="1108" spans="1:9">
      <c r="A1108" s="1">
        <v>45911</v>
      </c>
      <c r="B1108" s="78">
        <v>45901</v>
      </c>
      <c r="C1108" t="s">
        <v>1428</v>
      </c>
      <c r="D1108" s="26" t="s">
        <v>3</v>
      </c>
      <c r="E1108" t="s">
        <v>865</v>
      </c>
      <c r="F1108" s="114">
        <v>3.75</v>
      </c>
      <c r="G1108" t="s">
        <v>710</v>
      </c>
      <c r="I1108" t="str">
        <f>VLOOKUP(E1108,'Trial Balance'!B:B,1,0)</f>
        <v>Bank Fees and Charges</v>
      </c>
    </row>
    <row r="1109" spans="1:9">
      <c r="A1109" s="1">
        <v>45912</v>
      </c>
      <c r="B1109" s="78">
        <v>45901</v>
      </c>
      <c r="C1109" t="s">
        <v>1429</v>
      </c>
      <c r="D1109" s="26" t="s">
        <v>26</v>
      </c>
      <c r="E1109" t="s">
        <v>976</v>
      </c>
      <c r="F1109" s="111">
        <v>262000</v>
      </c>
      <c r="G1109" t="s">
        <v>710</v>
      </c>
      <c r="I1109" t="str">
        <f>VLOOKUP(E1109,'Trial Balance'!B:B,1,0)</f>
        <v>Travel expense - Local</v>
      </c>
    </row>
    <row r="1110" spans="1:9">
      <c r="A1110" s="1">
        <v>45912</v>
      </c>
      <c r="B1110" s="78">
        <v>45901</v>
      </c>
      <c r="C1110" t="s">
        <v>1429</v>
      </c>
      <c r="D1110" s="26" t="s">
        <v>3</v>
      </c>
      <c r="E1110" t="s">
        <v>865</v>
      </c>
      <c r="F1110" s="113">
        <v>50</v>
      </c>
      <c r="G1110" t="s">
        <v>710</v>
      </c>
      <c r="I1110" t="str">
        <f>VLOOKUP(E1110,'Trial Balance'!B:B,1,0)</f>
        <v>Bank Fees and Charges</v>
      </c>
    </row>
    <row r="1111" spans="1:9">
      <c r="A1111" s="1">
        <v>45912</v>
      </c>
      <c r="B1111" s="78">
        <v>45901</v>
      </c>
      <c r="C1111" t="s">
        <v>1429</v>
      </c>
      <c r="D1111" s="26" t="s">
        <v>3</v>
      </c>
      <c r="E1111" t="s">
        <v>865</v>
      </c>
      <c r="F1111" s="114">
        <v>3.75</v>
      </c>
      <c r="G1111" t="s">
        <v>710</v>
      </c>
      <c r="I1111" t="str">
        <f>VLOOKUP(E1111,'Trial Balance'!B:B,1,0)</f>
        <v>Bank Fees and Charges</v>
      </c>
    </row>
    <row r="1112" spans="1:9">
      <c r="A1112" s="1">
        <v>45912</v>
      </c>
      <c r="B1112" s="78">
        <v>45901</v>
      </c>
      <c r="C1112" t="s">
        <v>1430</v>
      </c>
      <c r="D1112" s="26" t="s">
        <v>26</v>
      </c>
      <c r="E1112" t="s">
        <v>976</v>
      </c>
      <c r="F1112" s="111">
        <v>250000</v>
      </c>
      <c r="G1112" t="s">
        <v>710</v>
      </c>
      <c r="I1112" t="str">
        <f>VLOOKUP(E1112,'Trial Balance'!B:B,1,0)</f>
        <v>Travel expense - Local</v>
      </c>
    </row>
    <row r="1113" spans="1:9">
      <c r="A1113" s="1">
        <v>45912</v>
      </c>
      <c r="B1113" s="78">
        <v>45901</v>
      </c>
      <c r="C1113" t="s">
        <v>1431</v>
      </c>
      <c r="D1113" s="26" t="s">
        <v>3</v>
      </c>
      <c r="E1113" t="s">
        <v>865</v>
      </c>
      <c r="F1113" s="113">
        <v>50</v>
      </c>
      <c r="G1113" t="s">
        <v>710</v>
      </c>
      <c r="I1113" t="str">
        <f>VLOOKUP(E1113,'Trial Balance'!B:B,1,0)</f>
        <v>Bank Fees and Charges</v>
      </c>
    </row>
    <row r="1114" spans="1:9">
      <c r="A1114" s="1">
        <v>45912</v>
      </c>
      <c r="B1114" s="78">
        <v>45901</v>
      </c>
      <c r="C1114" t="s">
        <v>1432</v>
      </c>
      <c r="D1114" s="26" t="s">
        <v>3</v>
      </c>
      <c r="E1114" t="s">
        <v>865</v>
      </c>
      <c r="F1114" s="114">
        <v>3.75</v>
      </c>
      <c r="G1114" t="s">
        <v>710</v>
      </c>
      <c r="I1114" t="str">
        <f>VLOOKUP(E1114,'Trial Balance'!B:B,1,0)</f>
        <v>Bank Fees and Charges</v>
      </c>
    </row>
    <row r="1115" spans="1:9">
      <c r="A1115" s="1">
        <v>45912</v>
      </c>
      <c r="B1115" s="78">
        <v>45901</v>
      </c>
      <c r="C1115" t="s">
        <v>1433</v>
      </c>
      <c r="D1115" s="26" t="s">
        <v>13</v>
      </c>
      <c r="E1115" t="s">
        <v>800</v>
      </c>
      <c r="F1115" s="111">
        <v>500000</v>
      </c>
      <c r="G1115" t="s">
        <v>710</v>
      </c>
      <c r="I1115" t="str">
        <f>VLOOKUP(E1115,'Trial Balance'!B:B,1,0)</f>
        <v>Repairs and Maintenance</v>
      </c>
    </row>
    <row r="1116" spans="1:9">
      <c r="A1116" s="1">
        <v>45912</v>
      </c>
      <c r="B1116" s="78">
        <v>45901</v>
      </c>
      <c r="C1116" t="s">
        <v>1434</v>
      </c>
      <c r="D1116" s="26" t="s">
        <v>3</v>
      </c>
      <c r="E1116" t="s">
        <v>865</v>
      </c>
      <c r="F1116" s="113">
        <v>50</v>
      </c>
      <c r="G1116" t="s">
        <v>710</v>
      </c>
      <c r="I1116" t="str">
        <f>VLOOKUP(E1116,'Trial Balance'!B:B,1,0)</f>
        <v>Bank Fees and Charges</v>
      </c>
    </row>
    <row r="1117" spans="1:9">
      <c r="A1117" s="1">
        <v>45912</v>
      </c>
      <c r="B1117" s="78">
        <v>45901</v>
      </c>
      <c r="C1117" t="s">
        <v>1435</v>
      </c>
      <c r="D1117" s="26" t="s">
        <v>3</v>
      </c>
      <c r="E1117" t="s">
        <v>865</v>
      </c>
      <c r="F1117" s="114">
        <v>3.75</v>
      </c>
      <c r="G1117" t="s">
        <v>710</v>
      </c>
      <c r="I1117" t="str">
        <f>VLOOKUP(E1117,'Trial Balance'!B:B,1,0)</f>
        <v>Bank Fees and Charges</v>
      </c>
    </row>
    <row r="1118" spans="1:9">
      <c r="A1118" s="1">
        <v>45912</v>
      </c>
      <c r="B1118" s="78">
        <v>45901</v>
      </c>
      <c r="C1118" t="s">
        <v>1436</v>
      </c>
      <c r="D1118" s="26" t="s">
        <v>8</v>
      </c>
      <c r="E1118" t="s">
        <v>1437</v>
      </c>
      <c r="F1118" s="111">
        <v>118881.25</v>
      </c>
      <c r="G1118" t="s">
        <v>710</v>
      </c>
      <c r="I1118" t="str">
        <f>VLOOKUP(E1118,'Trial Balance'!B:B,1,0)</f>
        <v>Salaries and Employee Wages</v>
      </c>
    </row>
    <row r="1119" spans="1:9">
      <c r="A1119" s="1">
        <v>45915</v>
      </c>
      <c r="B1119" s="78">
        <v>45901</v>
      </c>
      <c r="C1119" t="s">
        <v>1438</v>
      </c>
      <c r="D1119" s="26" t="s">
        <v>15</v>
      </c>
      <c r="E1119" t="s">
        <v>1353</v>
      </c>
      <c r="F1119" s="111">
        <v>67800</v>
      </c>
      <c r="G1119" t="s">
        <v>710</v>
      </c>
      <c r="I1119" t="str">
        <f>VLOOKUP(E1119,'Trial Balance'!B:B,1,0)</f>
        <v>Guest entertainment</v>
      </c>
    </row>
    <row r="1120" spans="1:9">
      <c r="A1120" s="1">
        <v>45915</v>
      </c>
      <c r="B1120" s="78">
        <v>45901</v>
      </c>
      <c r="C1120" t="s">
        <v>1438</v>
      </c>
      <c r="D1120" s="26" t="s">
        <v>3</v>
      </c>
      <c r="E1120" t="s">
        <v>865</v>
      </c>
      <c r="F1120" s="113">
        <v>50</v>
      </c>
      <c r="G1120" t="s">
        <v>710</v>
      </c>
      <c r="I1120" t="str">
        <f>VLOOKUP(E1120,'Trial Balance'!B:B,1,0)</f>
        <v>Bank Fees and Charges</v>
      </c>
    </row>
    <row r="1121" spans="1:9">
      <c r="A1121" s="1">
        <v>45915</v>
      </c>
      <c r="B1121" s="78">
        <v>45901</v>
      </c>
      <c r="C1121" t="s">
        <v>1438</v>
      </c>
      <c r="D1121" s="26" t="s">
        <v>3</v>
      </c>
      <c r="E1121" t="s">
        <v>865</v>
      </c>
      <c r="F1121" s="114">
        <v>3.75</v>
      </c>
      <c r="G1121" t="s">
        <v>710</v>
      </c>
      <c r="I1121" t="str">
        <f>VLOOKUP(E1121,'Trial Balance'!B:B,1,0)</f>
        <v>Bank Fees and Charges</v>
      </c>
    </row>
    <row r="1122" spans="1:9">
      <c r="A1122" s="1">
        <v>45915</v>
      </c>
      <c r="B1122" s="78">
        <v>45901</v>
      </c>
      <c r="C1122" t="s">
        <v>1439</v>
      </c>
      <c r="D1122" s="26" t="s">
        <v>26</v>
      </c>
      <c r="E1122" t="s">
        <v>976</v>
      </c>
      <c r="F1122" s="111">
        <v>18400</v>
      </c>
      <c r="G1122" t="s">
        <v>710</v>
      </c>
      <c r="I1122" t="str">
        <f>VLOOKUP(E1122,'Trial Balance'!B:B,1,0)</f>
        <v>Travel expense - Local</v>
      </c>
    </row>
    <row r="1123" spans="1:9">
      <c r="A1123" s="1">
        <v>45915</v>
      </c>
      <c r="B1123" s="78">
        <v>45901</v>
      </c>
      <c r="C1123" t="s">
        <v>1439</v>
      </c>
      <c r="D1123" s="26" t="s">
        <v>3</v>
      </c>
      <c r="E1123" t="s">
        <v>865</v>
      </c>
      <c r="F1123" s="112">
        <v>25</v>
      </c>
      <c r="G1123" t="s">
        <v>710</v>
      </c>
      <c r="I1123" t="str">
        <f>VLOOKUP(E1123,'Trial Balance'!B:B,1,0)</f>
        <v>Bank Fees and Charges</v>
      </c>
    </row>
    <row r="1124" spans="1:9">
      <c r="A1124" s="1">
        <v>45915</v>
      </c>
      <c r="B1124" s="78">
        <v>45901</v>
      </c>
      <c r="C1124" t="s">
        <v>1439</v>
      </c>
      <c r="D1124" s="26" t="s">
        <v>3</v>
      </c>
      <c r="E1124" t="s">
        <v>865</v>
      </c>
      <c r="F1124" s="112">
        <v>1.8800000000046566</v>
      </c>
      <c r="G1124" t="s">
        <v>710</v>
      </c>
      <c r="I1124" t="str">
        <f>VLOOKUP(E1124,'Trial Balance'!B:B,1,0)</f>
        <v>Bank Fees and Charges</v>
      </c>
    </row>
    <row r="1125" spans="1:9">
      <c r="A1125" s="1">
        <v>45916</v>
      </c>
      <c r="B1125" s="78">
        <v>45901</v>
      </c>
      <c r="C1125" t="s">
        <v>1440</v>
      </c>
      <c r="D1125" s="26" t="s">
        <v>26</v>
      </c>
      <c r="E1125" t="s">
        <v>976</v>
      </c>
      <c r="F1125" s="111">
        <v>74200</v>
      </c>
      <c r="G1125" t="s">
        <v>710</v>
      </c>
      <c r="I1125" t="str">
        <f>VLOOKUP(E1125,'Trial Balance'!B:B,1,0)</f>
        <v>Travel expense - Local</v>
      </c>
    </row>
    <row r="1126" spans="1:9">
      <c r="A1126" s="1">
        <v>45916</v>
      </c>
      <c r="B1126" s="78">
        <v>45901</v>
      </c>
      <c r="C1126" t="s">
        <v>1440</v>
      </c>
      <c r="D1126" s="26" t="s">
        <v>3</v>
      </c>
      <c r="E1126" t="s">
        <v>865</v>
      </c>
      <c r="F1126" s="113">
        <v>50</v>
      </c>
      <c r="G1126" t="s">
        <v>710</v>
      </c>
      <c r="I1126" t="str">
        <f>VLOOKUP(E1126,'Trial Balance'!B:B,1,0)</f>
        <v>Bank Fees and Charges</v>
      </c>
    </row>
    <row r="1127" spans="1:9">
      <c r="A1127" s="1">
        <v>45916</v>
      </c>
      <c r="B1127" s="78">
        <v>45901</v>
      </c>
      <c r="C1127" t="s">
        <v>1440</v>
      </c>
      <c r="D1127" s="26" t="s">
        <v>3</v>
      </c>
      <c r="E1127" t="s">
        <v>865</v>
      </c>
      <c r="F1127" s="114">
        <v>3.75</v>
      </c>
      <c r="G1127" t="s">
        <v>710</v>
      </c>
      <c r="I1127" t="str">
        <f>VLOOKUP(E1127,'Trial Balance'!B:B,1,0)</f>
        <v>Bank Fees and Charges</v>
      </c>
    </row>
    <row r="1128" spans="1:9">
      <c r="A1128" s="1">
        <v>45916</v>
      </c>
      <c r="B1128" s="78">
        <v>45901</v>
      </c>
      <c r="C1128" t="s">
        <v>1441</v>
      </c>
      <c r="D1128" s="26" t="s">
        <v>15</v>
      </c>
      <c r="E1128" t="s">
        <v>1353</v>
      </c>
      <c r="F1128" s="111">
        <v>41000</v>
      </c>
      <c r="G1128" t="s">
        <v>710</v>
      </c>
      <c r="I1128" t="str">
        <f>VLOOKUP(E1128,'Trial Balance'!B:B,1,0)</f>
        <v>Guest entertainment</v>
      </c>
    </row>
    <row r="1129" spans="1:9">
      <c r="A1129" s="1">
        <v>45916</v>
      </c>
      <c r="B1129" s="78">
        <v>45901</v>
      </c>
      <c r="C1129" t="s">
        <v>1441</v>
      </c>
      <c r="D1129" s="26" t="s">
        <v>3</v>
      </c>
      <c r="E1129" t="s">
        <v>865</v>
      </c>
      <c r="F1129" s="112">
        <v>25</v>
      </c>
      <c r="G1129" t="s">
        <v>710</v>
      </c>
      <c r="I1129" t="str">
        <f>VLOOKUP(E1129,'Trial Balance'!B:B,1,0)</f>
        <v>Bank Fees and Charges</v>
      </c>
    </row>
    <row r="1130" spans="1:9">
      <c r="A1130" s="1">
        <v>45916</v>
      </c>
      <c r="B1130" s="78">
        <v>45901</v>
      </c>
      <c r="C1130" t="s">
        <v>1441</v>
      </c>
      <c r="D1130" s="26" t="s">
        <v>3</v>
      </c>
      <c r="E1130" t="s">
        <v>865</v>
      </c>
      <c r="F1130" s="112">
        <v>1.8800000000046566</v>
      </c>
      <c r="G1130" t="s">
        <v>710</v>
      </c>
      <c r="I1130" t="str">
        <f>VLOOKUP(E1130,'Trial Balance'!B:B,1,0)</f>
        <v>Bank Fees and Charges</v>
      </c>
    </row>
    <row r="1131" spans="1:9">
      <c r="A1131" s="1">
        <v>45916</v>
      </c>
      <c r="B1131" s="78">
        <v>45901</v>
      </c>
      <c r="C1131" t="s">
        <v>1442</v>
      </c>
      <c r="D1131" s="26" t="s">
        <v>15</v>
      </c>
      <c r="E1131" t="s">
        <v>1353</v>
      </c>
      <c r="F1131" s="111">
        <v>6900</v>
      </c>
      <c r="G1131" t="s">
        <v>710</v>
      </c>
      <c r="I1131" t="str">
        <f>VLOOKUP(E1131,'Trial Balance'!B:B,1,0)</f>
        <v>Guest entertainment</v>
      </c>
    </row>
    <row r="1132" spans="1:9">
      <c r="A1132" s="1">
        <v>45916</v>
      </c>
      <c r="B1132" s="78">
        <v>45901</v>
      </c>
      <c r="C1132" t="s">
        <v>1442</v>
      </c>
      <c r="D1132" s="26" t="s">
        <v>3</v>
      </c>
      <c r="E1132" t="s">
        <v>865</v>
      </c>
      <c r="F1132" s="112">
        <v>25</v>
      </c>
      <c r="G1132" t="s">
        <v>710</v>
      </c>
      <c r="I1132" t="str">
        <f>VLOOKUP(E1132,'Trial Balance'!B:B,1,0)</f>
        <v>Bank Fees and Charges</v>
      </c>
    </row>
    <row r="1133" spans="1:9">
      <c r="A1133" s="1">
        <v>45916</v>
      </c>
      <c r="B1133" s="78">
        <v>45901</v>
      </c>
      <c r="C1133" t="s">
        <v>1442</v>
      </c>
      <c r="D1133" s="26" t="s">
        <v>3</v>
      </c>
      <c r="E1133" t="s">
        <v>865</v>
      </c>
      <c r="F1133" s="112">
        <v>1.8800000000046566</v>
      </c>
      <c r="G1133" t="s">
        <v>710</v>
      </c>
      <c r="I1133" t="str">
        <f>VLOOKUP(E1133,'Trial Balance'!B:B,1,0)</f>
        <v>Bank Fees and Charges</v>
      </c>
    </row>
    <row r="1134" spans="1:9">
      <c r="A1134" s="1">
        <v>45916</v>
      </c>
      <c r="B1134" s="78">
        <v>45901</v>
      </c>
      <c r="C1134" t="s">
        <v>1443</v>
      </c>
      <c r="D1134" s="26" t="s">
        <v>29</v>
      </c>
      <c r="E1134" t="s">
        <v>960</v>
      </c>
      <c r="F1134" s="111">
        <v>120000</v>
      </c>
      <c r="G1134" t="s">
        <v>710</v>
      </c>
      <c r="I1134" t="str">
        <f>VLOOKUP(E1134,'Trial Balance'!B:B,1,0)</f>
        <v>Fuel/Diesel Expenses</v>
      </c>
    </row>
    <row r="1135" spans="1:9">
      <c r="A1135" s="1">
        <v>45916</v>
      </c>
      <c r="B1135" s="78">
        <v>45901</v>
      </c>
      <c r="C1135" t="s">
        <v>1443</v>
      </c>
      <c r="D1135" s="26" t="s">
        <v>3</v>
      </c>
      <c r="E1135" t="s">
        <v>865</v>
      </c>
      <c r="F1135" s="113">
        <v>50</v>
      </c>
      <c r="G1135" t="s">
        <v>710</v>
      </c>
      <c r="I1135" t="str">
        <f>VLOOKUP(E1135,'Trial Balance'!B:B,1,0)</f>
        <v>Bank Fees and Charges</v>
      </c>
    </row>
    <row r="1136" spans="1:9">
      <c r="A1136" s="1">
        <v>45916</v>
      </c>
      <c r="B1136" s="78">
        <v>45901</v>
      </c>
      <c r="C1136" t="s">
        <v>1443</v>
      </c>
      <c r="D1136" s="26" t="s">
        <v>3</v>
      </c>
      <c r="E1136" t="s">
        <v>865</v>
      </c>
      <c r="F1136" s="114">
        <v>3.75</v>
      </c>
      <c r="G1136" t="s">
        <v>710</v>
      </c>
      <c r="I1136" t="str">
        <f>VLOOKUP(E1136,'Trial Balance'!B:B,1,0)</f>
        <v>Bank Fees and Charges</v>
      </c>
    </row>
    <row r="1137" spans="1:9">
      <c r="A1137" s="1">
        <v>45918</v>
      </c>
      <c r="B1137" s="78">
        <v>45901</v>
      </c>
      <c r="C1137" t="s">
        <v>1444</v>
      </c>
      <c r="D1137" s="26" t="s">
        <v>11</v>
      </c>
      <c r="E1137" t="s">
        <v>953</v>
      </c>
      <c r="F1137" s="111">
        <v>57000</v>
      </c>
      <c r="G1137" t="s">
        <v>710</v>
      </c>
      <c r="I1137" t="str">
        <f>VLOOKUP(E1137,'Trial Balance'!B:B,1,0)</f>
        <v>Telephone and Data expense</v>
      </c>
    </row>
    <row r="1138" spans="1:9">
      <c r="A1138" s="1">
        <v>45918</v>
      </c>
      <c r="B1138" s="78">
        <v>45901</v>
      </c>
      <c r="C1138" t="s">
        <v>1444</v>
      </c>
      <c r="D1138" s="26" t="s">
        <v>3</v>
      </c>
      <c r="E1138" t="s">
        <v>865</v>
      </c>
      <c r="F1138" s="113">
        <v>50</v>
      </c>
      <c r="G1138" t="s">
        <v>710</v>
      </c>
      <c r="I1138" t="str">
        <f>VLOOKUP(E1138,'Trial Balance'!B:B,1,0)</f>
        <v>Bank Fees and Charges</v>
      </c>
    </row>
    <row r="1139" spans="1:9">
      <c r="A1139" s="1">
        <v>45918</v>
      </c>
      <c r="B1139" s="78">
        <v>45901</v>
      </c>
      <c r="C1139" t="s">
        <v>1444</v>
      </c>
      <c r="D1139" s="26" t="s">
        <v>3</v>
      </c>
      <c r="E1139" t="s">
        <v>865</v>
      </c>
      <c r="F1139" s="114">
        <v>3.75</v>
      </c>
      <c r="G1139" t="s">
        <v>710</v>
      </c>
      <c r="I1139" t="str">
        <f>VLOOKUP(E1139,'Trial Balance'!B:B,1,0)</f>
        <v>Bank Fees and Charges</v>
      </c>
    </row>
    <row r="1140" spans="1:9">
      <c r="A1140" s="1">
        <v>45918</v>
      </c>
      <c r="B1140" s="78">
        <v>45901</v>
      </c>
      <c r="C1140" t="s">
        <v>1445</v>
      </c>
      <c r="D1140" t="s">
        <v>23</v>
      </c>
      <c r="E1140" t="s">
        <v>846</v>
      </c>
      <c r="F1140" s="111">
        <v>215000</v>
      </c>
      <c r="G1140" t="s">
        <v>710</v>
      </c>
      <c r="I1140" t="str">
        <f>VLOOKUP(E1140,'Trial Balance'!B:B,1,0)</f>
        <v>IT and Internet Expenses</v>
      </c>
    </row>
    <row r="1141" spans="1:9">
      <c r="A1141" s="1">
        <v>45918</v>
      </c>
      <c r="B1141" s="78">
        <v>45901</v>
      </c>
      <c r="C1141" t="s">
        <v>1445</v>
      </c>
      <c r="D1141" s="26" t="s">
        <v>3</v>
      </c>
      <c r="E1141" t="s">
        <v>865</v>
      </c>
      <c r="F1141" s="113">
        <v>50</v>
      </c>
      <c r="G1141" t="s">
        <v>710</v>
      </c>
      <c r="I1141" t="str">
        <f>VLOOKUP(E1141,'Trial Balance'!B:B,1,0)</f>
        <v>Bank Fees and Charges</v>
      </c>
    </row>
    <row r="1142" spans="1:9">
      <c r="A1142" s="1">
        <v>45918</v>
      </c>
      <c r="B1142" s="78">
        <v>45901</v>
      </c>
      <c r="C1142" t="s">
        <v>1445</v>
      </c>
      <c r="D1142" s="26" t="s">
        <v>3</v>
      </c>
      <c r="E1142" t="s">
        <v>865</v>
      </c>
      <c r="F1142" s="114">
        <v>3.75</v>
      </c>
      <c r="G1142" t="s">
        <v>710</v>
      </c>
      <c r="I1142" t="str">
        <f>VLOOKUP(E1142,'Trial Balance'!B:B,1,0)</f>
        <v>Bank Fees and Charges</v>
      </c>
    </row>
    <row r="1143" spans="1:9">
      <c r="A1143" s="1">
        <v>45918</v>
      </c>
      <c r="B1143" s="78">
        <v>45901</v>
      </c>
      <c r="C1143" t="s">
        <v>1446</v>
      </c>
      <c r="D1143" t="s">
        <v>1422</v>
      </c>
      <c r="E1143" t="s">
        <v>874</v>
      </c>
      <c r="F1143" s="111">
        <v>169000</v>
      </c>
      <c r="G1143" t="s">
        <v>710</v>
      </c>
      <c r="I1143" t="str">
        <f>VLOOKUP(E1143,'Trial Balance'!B:B,1,0)</f>
        <v>Office Supplies</v>
      </c>
    </row>
    <row r="1144" spans="1:9">
      <c r="A1144" s="1">
        <v>45918</v>
      </c>
      <c r="B1144" s="78">
        <v>45901</v>
      </c>
      <c r="C1144" t="s">
        <v>1446</v>
      </c>
      <c r="D1144" s="26" t="s">
        <v>3</v>
      </c>
      <c r="E1144" t="s">
        <v>865</v>
      </c>
      <c r="F1144" s="113">
        <v>50</v>
      </c>
      <c r="G1144" t="s">
        <v>710</v>
      </c>
      <c r="I1144" t="str">
        <f>VLOOKUP(E1144,'Trial Balance'!B:B,1,0)</f>
        <v>Bank Fees and Charges</v>
      </c>
    </row>
    <row r="1145" spans="1:9">
      <c r="A1145" s="1">
        <v>45918</v>
      </c>
      <c r="B1145" s="78">
        <v>45901</v>
      </c>
      <c r="C1145" t="s">
        <v>1446</v>
      </c>
      <c r="D1145" s="26" t="s">
        <v>3</v>
      </c>
      <c r="E1145" t="s">
        <v>865</v>
      </c>
      <c r="F1145" s="114">
        <v>3.75</v>
      </c>
      <c r="G1145" t="s">
        <v>710</v>
      </c>
      <c r="I1145" t="str">
        <f>VLOOKUP(E1145,'Trial Balance'!B:B,1,0)</f>
        <v>Bank Fees and Charges</v>
      </c>
    </row>
    <row r="1146" spans="1:9">
      <c r="A1146" s="1">
        <v>45918</v>
      </c>
      <c r="B1146" s="78">
        <v>45901</v>
      </c>
      <c r="C1146" t="s">
        <v>1447</v>
      </c>
      <c r="D1146" s="26" t="s">
        <v>11</v>
      </c>
      <c r="E1146" t="s">
        <v>953</v>
      </c>
      <c r="F1146" s="111">
        <v>57000</v>
      </c>
      <c r="G1146" t="s">
        <v>710</v>
      </c>
      <c r="I1146" t="str">
        <f>VLOOKUP(E1146,'Trial Balance'!B:B,1,0)</f>
        <v>Telephone and Data expense</v>
      </c>
    </row>
    <row r="1147" spans="1:9">
      <c r="A1147" s="1">
        <v>45918</v>
      </c>
      <c r="B1147" s="78">
        <v>45901</v>
      </c>
      <c r="C1147" t="s">
        <v>1447</v>
      </c>
      <c r="D1147" s="26" t="s">
        <v>3</v>
      </c>
      <c r="E1147" t="s">
        <v>865</v>
      </c>
      <c r="F1147" s="113">
        <v>50</v>
      </c>
      <c r="G1147" t="s">
        <v>710</v>
      </c>
      <c r="I1147" t="str">
        <f>VLOOKUP(E1147,'Trial Balance'!B:B,1,0)</f>
        <v>Bank Fees and Charges</v>
      </c>
    </row>
    <row r="1148" spans="1:9">
      <c r="A1148" s="1">
        <v>45918</v>
      </c>
      <c r="B1148" s="78">
        <v>45901</v>
      </c>
      <c r="C1148" t="s">
        <v>1447</v>
      </c>
      <c r="D1148" s="26" t="s">
        <v>3</v>
      </c>
      <c r="E1148" t="s">
        <v>865</v>
      </c>
      <c r="F1148" s="114">
        <v>3.75</v>
      </c>
      <c r="G1148" t="s">
        <v>710</v>
      </c>
      <c r="I1148" t="str">
        <f>VLOOKUP(E1148,'Trial Balance'!B:B,1,0)</f>
        <v>Bank Fees and Charges</v>
      </c>
    </row>
    <row r="1149" spans="1:9">
      <c r="A1149" s="1">
        <v>45922</v>
      </c>
      <c r="B1149" s="78">
        <v>45901</v>
      </c>
      <c r="C1149" t="s">
        <v>1448</v>
      </c>
      <c r="D1149" s="26" t="s">
        <v>4</v>
      </c>
      <c r="E1149" t="s">
        <v>874</v>
      </c>
      <c r="F1149" s="111">
        <v>540000</v>
      </c>
      <c r="G1149" t="s">
        <v>710</v>
      </c>
      <c r="I1149" t="str">
        <f>VLOOKUP(E1149,'Trial Balance'!B:B,1,0)</f>
        <v>Office Supplies</v>
      </c>
    </row>
    <row r="1150" spans="1:9">
      <c r="A1150" s="1">
        <v>45922</v>
      </c>
      <c r="B1150" s="78">
        <v>45901</v>
      </c>
      <c r="C1150" t="s">
        <v>1449</v>
      </c>
      <c r="D1150" s="26" t="s">
        <v>3</v>
      </c>
      <c r="E1150" t="s">
        <v>865</v>
      </c>
      <c r="F1150" s="113">
        <v>50</v>
      </c>
      <c r="G1150" t="s">
        <v>710</v>
      </c>
      <c r="I1150" t="str">
        <f>VLOOKUP(E1150,'Trial Balance'!B:B,1,0)</f>
        <v>Bank Fees and Charges</v>
      </c>
    </row>
    <row r="1151" spans="1:9">
      <c r="A1151" s="1">
        <v>45922</v>
      </c>
      <c r="B1151" s="78">
        <v>45901</v>
      </c>
      <c r="C1151" t="s">
        <v>1450</v>
      </c>
      <c r="D1151" s="26" t="s">
        <v>3</v>
      </c>
      <c r="E1151" t="s">
        <v>865</v>
      </c>
      <c r="F1151" s="114">
        <v>3.75</v>
      </c>
      <c r="G1151" t="s">
        <v>710</v>
      </c>
      <c r="I1151" t="str">
        <f>VLOOKUP(E1151,'Trial Balance'!B:B,1,0)</f>
        <v>Bank Fees and Charges</v>
      </c>
    </row>
    <row r="1152" spans="1:9">
      <c r="A1152" s="1">
        <v>45922</v>
      </c>
      <c r="B1152" s="78">
        <v>45901</v>
      </c>
      <c r="C1152" t="s">
        <v>1451</v>
      </c>
      <c r="D1152" s="26" t="s">
        <v>15</v>
      </c>
      <c r="E1152" t="s">
        <v>1353</v>
      </c>
      <c r="F1152" s="111">
        <v>17000</v>
      </c>
      <c r="G1152" t="s">
        <v>710</v>
      </c>
      <c r="I1152" t="str">
        <f>VLOOKUP(E1152,'Trial Balance'!B:B,1,0)</f>
        <v>Guest entertainment</v>
      </c>
    </row>
    <row r="1153" spans="1:9">
      <c r="A1153" s="1">
        <v>45922</v>
      </c>
      <c r="B1153" s="78">
        <v>45901</v>
      </c>
      <c r="C1153" t="s">
        <v>1451</v>
      </c>
      <c r="D1153" s="26" t="s">
        <v>3</v>
      </c>
      <c r="E1153" t="s">
        <v>865</v>
      </c>
      <c r="F1153" s="112">
        <v>25</v>
      </c>
      <c r="G1153" t="s">
        <v>710</v>
      </c>
      <c r="I1153" t="str">
        <f>VLOOKUP(E1153,'Trial Balance'!B:B,1,0)</f>
        <v>Bank Fees and Charges</v>
      </c>
    </row>
    <row r="1154" spans="1:9">
      <c r="A1154" s="1">
        <v>45922</v>
      </c>
      <c r="B1154" s="78">
        <v>45901</v>
      </c>
      <c r="C1154" t="s">
        <v>1451</v>
      </c>
      <c r="D1154" s="26" t="s">
        <v>3</v>
      </c>
      <c r="E1154" t="s">
        <v>865</v>
      </c>
      <c r="F1154" s="112">
        <v>1.8800000000046566</v>
      </c>
      <c r="G1154" t="s">
        <v>710</v>
      </c>
      <c r="I1154" t="str">
        <f>VLOOKUP(E1154,'Trial Balance'!B:B,1,0)</f>
        <v>Bank Fees and Charges</v>
      </c>
    </row>
    <row r="1155" spans="1:9">
      <c r="A1155" s="1">
        <v>45922</v>
      </c>
      <c r="B1155" s="78">
        <v>45901</v>
      </c>
      <c r="C1155" t="s">
        <v>1452</v>
      </c>
      <c r="D1155" s="26" t="s">
        <v>31</v>
      </c>
      <c r="E1155" t="s">
        <v>986</v>
      </c>
      <c r="F1155" s="111">
        <v>100000</v>
      </c>
      <c r="G1155" t="s">
        <v>710</v>
      </c>
      <c r="I1155" t="str">
        <f>VLOOKUP(E1155,'Trial Balance'!B:B,1,0)</f>
        <v>Refundable security deposit</v>
      </c>
    </row>
    <row r="1156" spans="1:9">
      <c r="A1156" s="1">
        <v>45922</v>
      </c>
      <c r="B1156" s="78">
        <v>45901</v>
      </c>
      <c r="C1156" t="s">
        <v>1452</v>
      </c>
      <c r="D1156" s="26" t="s">
        <v>3</v>
      </c>
      <c r="E1156" t="s">
        <v>865</v>
      </c>
      <c r="F1156" s="113">
        <v>50</v>
      </c>
      <c r="G1156" t="s">
        <v>710</v>
      </c>
      <c r="I1156" t="str">
        <f>VLOOKUP(E1156,'Trial Balance'!B:B,1,0)</f>
        <v>Bank Fees and Charges</v>
      </c>
    </row>
    <row r="1157" spans="1:9">
      <c r="A1157" s="1">
        <v>45922</v>
      </c>
      <c r="B1157" s="78">
        <v>45901</v>
      </c>
      <c r="C1157" t="s">
        <v>1452</v>
      </c>
      <c r="D1157" s="26" t="s">
        <v>3</v>
      </c>
      <c r="E1157" t="s">
        <v>865</v>
      </c>
      <c r="F1157" s="114">
        <v>3.75</v>
      </c>
      <c r="G1157" t="s">
        <v>710</v>
      </c>
      <c r="I1157" t="str">
        <f>VLOOKUP(E1157,'Trial Balance'!B:B,1,0)</f>
        <v>Bank Fees and Charges</v>
      </c>
    </row>
    <row r="1158" spans="1:9">
      <c r="A1158" s="1">
        <v>45923</v>
      </c>
      <c r="B1158" s="78">
        <v>45901</v>
      </c>
      <c r="C1158" t="s">
        <v>1453</v>
      </c>
      <c r="D1158" s="26" t="s">
        <v>13</v>
      </c>
      <c r="E1158" t="s">
        <v>800</v>
      </c>
      <c r="F1158" s="111">
        <v>1548000</v>
      </c>
      <c r="G1158" t="s">
        <v>710</v>
      </c>
      <c r="I1158" t="str">
        <f>VLOOKUP(E1158,'Trial Balance'!B:B,1,0)</f>
        <v>Repairs and Maintenance</v>
      </c>
    </row>
    <row r="1159" spans="1:9">
      <c r="A1159" s="1">
        <v>45923</v>
      </c>
      <c r="B1159" s="78">
        <v>45901</v>
      </c>
      <c r="C1159" t="s">
        <v>1454</v>
      </c>
      <c r="D1159" s="26" t="s">
        <v>3</v>
      </c>
      <c r="E1159" t="s">
        <v>1353</v>
      </c>
      <c r="F1159" s="113">
        <v>50</v>
      </c>
      <c r="G1159" t="s">
        <v>710</v>
      </c>
      <c r="I1159" t="str">
        <f>VLOOKUP(E1159,'Trial Balance'!B:B,1,0)</f>
        <v>Guest entertainment</v>
      </c>
    </row>
    <row r="1160" spans="1:9">
      <c r="A1160" s="1">
        <v>45923</v>
      </c>
      <c r="B1160" s="78">
        <v>45901</v>
      </c>
      <c r="C1160" t="s">
        <v>1455</v>
      </c>
      <c r="D1160" s="26" t="s">
        <v>3</v>
      </c>
      <c r="E1160" t="s">
        <v>1353</v>
      </c>
      <c r="F1160" s="114">
        <v>3.75</v>
      </c>
      <c r="G1160" t="s">
        <v>710</v>
      </c>
      <c r="I1160" t="str">
        <f>VLOOKUP(E1160,'Trial Balance'!B:B,1,0)</f>
        <v>Guest entertainment</v>
      </c>
    </row>
    <row r="1161" spans="1:9">
      <c r="A1161" s="1">
        <v>45923</v>
      </c>
      <c r="B1161" s="78">
        <v>45901</v>
      </c>
      <c r="C1161" t="s">
        <v>1456</v>
      </c>
      <c r="D1161" s="26" t="s">
        <v>24</v>
      </c>
      <c r="E1161" t="s">
        <v>986</v>
      </c>
      <c r="F1161" s="112">
        <v>-100000</v>
      </c>
      <c r="G1161" t="s">
        <v>710</v>
      </c>
      <c r="I1161" t="str">
        <f>VLOOKUP(E1161,'Trial Balance'!B:B,1,0)</f>
        <v>Refundable security deposit</v>
      </c>
    </row>
    <row r="1162" spans="1:9">
      <c r="A1162" s="1">
        <v>45923</v>
      </c>
      <c r="B1162" s="78">
        <v>45901</v>
      </c>
      <c r="C1162" t="s">
        <v>1457</v>
      </c>
      <c r="D1162" s="26" t="s">
        <v>3</v>
      </c>
      <c r="E1162" t="s">
        <v>865</v>
      </c>
      <c r="F1162" s="113">
        <v>50</v>
      </c>
      <c r="G1162" t="s">
        <v>710</v>
      </c>
      <c r="I1162" t="str">
        <f>VLOOKUP(E1162,'Trial Balance'!B:B,1,0)</f>
        <v>Bank Fees and Charges</v>
      </c>
    </row>
    <row r="1163" spans="1:9">
      <c r="A1163" s="1">
        <v>45924</v>
      </c>
      <c r="B1163" s="78">
        <v>45901</v>
      </c>
      <c r="C1163" t="s">
        <v>1458</v>
      </c>
      <c r="D1163" s="26" t="s">
        <v>4</v>
      </c>
      <c r="E1163" t="s">
        <v>874</v>
      </c>
      <c r="F1163" s="111">
        <v>2350000</v>
      </c>
      <c r="G1163" t="s">
        <v>710</v>
      </c>
      <c r="I1163" t="str">
        <f>VLOOKUP(E1163,'Trial Balance'!B:B,1,0)</f>
        <v>Office Supplies</v>
      </c>
    </row>
    <row r="1164" spans="1:9">
      <c r="A1164" s="1">
        <v>45924</v>
      </c>
      <c r="B1164" s="78">
        <v>45901</v>
      </c>
      <c r="C1164" t="s">
        <v>1459</v>
      </c>
      <c r="D1164" s="26" t="s">
        <v>3</v>
      </c>
      <c r="E1164" t="s">
        <v>865</v>
      </c>
      <c r="F1164" s="113">
        <v>50</v>
      </c>
      <c r="G1164" t="s">
        <v>710</v>
      </c>
      <c r="I1164" t="str">
        <f>VLOOKUP(E1164,'Trial Balance'!B:B,1,0)</f>
        <v>Bank Fees and Charges</v>
      </c>
    </row>
    <row r="1165" spans="1:9">
      <c r="A1165" s="1">
        <v>45924</v>
      </c>
      <c r="B1165" s="78">
        <v>45901</v>
      </c>
      <c r="C1165" t="s">
        <v>1460</v>
      </c>
      <c r="D1165" s="26" t="s">
        <v>3</v>
      </c>
      <c r="E1165" t="s">
        <v>865</v>
      </c>
      <c r="F1165" s="114">
        <v>3.75</v>
      </c>
      <c r="G1165" t="s">
        <v>710</v>
      </c>
      <c r="I1165" t="str">
        <f>VLOOKUP(E1165,'Trial Balance'!B:B,1,0)</f>
        <v>Bank Fees and Charges</v>
      </c>
    </row>
    <row r="1166" spans="1:9">
      <c r="A1166" s="1">
        <v>45924</v>
      </c>
      <c r="B1166" s="78">
        <v>45901</v>
      </c>
      <c r="C1166" t="s">
        <v>1461</v>
      </c>
      <c r="D1166" s="26" t="s">
        <v>13</v>
      </c>
      <c r="E1166" t="s">
        <v>800</v>
      </c>
      <c r="F1166" s="111">
        <v>52000</v>
      </c>
      <c r="G1166" t="s">
        <v>710</v>
      </c>
      <c r="I1166" t="str">
        <f>VLOOKUP(E1166,'Trial Balance'!B:B,1,0)</f>
        <v>Repairs and Maintenance</v>
      </c>
    </row>
    <row r="1167" spans="1:9">
      <c r="A1167" s="1">
        <v>45924</v>
      </c>
      <c r="B1167" s="78">
        <v>45901</v>
      </c>
      <c r="C1167" t="s">
        <v>1461</v>
      </c>
      <c r="D1167" s="26" t="s">
        <v>3</v>
      </c>
      <c r="E1167" t="s">
        <v>865</v>
      </c>
      <c r="F1167" s="113">
        <v>50</v>
      </c>
      <c r="G1167" t="s">
        <v>710</v>
      </c>
      <c r="I1167" t="str">
        <f>VLOOKUP(E1167,'Trial Balance'!B:B,1,0)</f>
        <v>Bank Fees and Charges</v>
      </c>
    </row>
    <row r="1168" spans="1:9">
      <c r="A1168" s="1">
        <v>45924</v>
      </c>
      <c r="B1168" s="78">
        <v>45901</v>
      </c>
      <c r="C1168" t="s">
        <v>1461</v>
      </c>
      <c r="D1168" s="26" t="s">
        <v>3</v>
      </c>
      <c r="E1168" t="s">
        <v>865</v>
      </c>
      <c r="F1168" s="114">
        <v>3.75</v>
      </c>
      <c r="G1168" t="s">
        <v>710</v>
      </c>
      <c r="I1168" t="str">
        <f>VLOOKUP(E1168,'Trial Balance'!B:B,1,0)</f>
        <v>Bank Fees and Charges</v>
      </c>
    </row>
    <row r="1169" spans="1:9">
      <c r="A1169" s="1">
        <v>45925</v>
      </c>
      <c r="B1169" s="78">
        <v>45901</v>
      </c>
      <c r="C1169" t="s">
        <v>1462</v>
      </c>
      <c r="D1169" s="26" t="s">
        <v>8</v>
      </c>
      <c r="E1169" t="s">
        <v>1437</v>
      </c>
      <c r="F1169" s="111">
        <v>158172.20000000001</v>
      </c>
      <c r="G1169" t="s">
        <v>710</v>
      </c>
      <c r="I1169" t="str">
        <f>VLOOKUP(E1169,'Trial Balance'!B:B,1,0)</f>
        <v>Salaries and Employee Wages</v>
      </c>
    </row>
    <row r="1170" spans="1:9">
      <c r="A1170" s="1">
        <v>45925</v>
      </c>
      <c r="B1170" s="78">
        <v>45901</v>
      </c>
      <c r="C1170" t="s">
        <v>1463</v>
      </c>
      <c r="D1170" s="26" t="s">
        <v>3</v>
      </c>
      <c r="E1170" t="s">
        <v>865</v>
      </c>
      <c r="F1170" s="113">
        <v>50</v>
      </c>
      <c r="G1170" t="s">
        <v>710</v>
      </c>
      <c r="I1170" t="str">
        <f>VLOOKUP(E1170,'Trial Balance'!B:B,1,0)</f>
        <v>Bank Fees and Charges</v>
      </c>
    </row>
    <row r="1171" spans="1:9">
      <c r="A1171" s="1">
        <v>45925</v>
      </c>
      <c r="B1171" s="78">
        <v>45901</v>
      </c>
      <c r="C1171" t="s">
        <v>1464</v>
      </c>
      <c r="D1171" s="26" t="s">
        <v>3</v>
      </c>
      <c r="E1171" t="s">
        <v>865</v>
      </c>
      <c r="F1171" s="114">
        <v>3.75</v>
      </c>
      <c r="G1171" t="s">
        <v>710</v>
      </c>
      <c r="I1171" t="str">
        <f>VLOOKUP(E1171,'Trial Balance'!B:B,1,0)</f>
        <v>Bank Fees and Charges</v>
      </c>
    </row>
    <row r="1172" spans="1:9">
      <c r="A1172" s="1">
        <v>45925</v>
      </c>
      <c r="B1172" s="78">
        <v>45901</v>
      </c>
      <c r="C1172" t="s">
        <v>1465</v>
      </c>
      <c r="D1172" s="26" t="s">
        <v>8</v>
      </c>
      <c r="E1172" t="s">
        <v>1437</v>
      </c>
      <c r="F1172" s="111">
        <v>283172.2</v>
      </c>
      <c r="G1172" t="s">
        <v>710</v>
      </c>
      <c r="I1172" t="str">
        <f>VLOOKUP(E1172,'Trial Balance'!B:B,1,0)</f>
        <v>Salaries and Employee Wages</v>
      </c>
    </row>
    <row r="1173" spans="1:9">
      <c r="A1173" s="1">
        <v>45925</v>
      </c>
      <c r="B1173" s="78">
        <v>45901</v>
      </c>
      <c r="C1173" t="s">
        <v>1466</v>
      </c>
      <c r="D1173" s="26" t="s">
        <v>3</v>
      </c>
      <c r="E1173" t="s">
        <v>865</v>
      </c>
      <c r="F1173" s="113">
        <v>50</v>
      </c>
      <c r="G1173" t="s">
        <v>710</v>
      </c>
      <c r="I1173" t="str">
        <f>VLOOKUP(E1173,'Trial Balance'!B:B,1,0)</f>
        <v>Bank Fees and Charges</v>
      </c>
    </row>
    <row r="1174" spans="1:9">
      <c r="A1174" s="1">
        <v>45925</v>
      </c>
      <c r="B1174" s="78">
        <v>45901</v>
      </c>
      <c r="C1174" t="s">
        <v>1467</v>
      </c>
      <c r="D1174" s="26" t="s">
        <v>3</v>
      </c>
      <c r="E1174" t="s">
        <v>865</v>
      </c>
      <c r="F1174" s="114">
        <v>3.75</v>
      </c>
      <c r="G1174" t="s">
        <v>710</v>
      </c>
      <c r="I1174" t="str">
        <f>VLOOKUP(E1174,'Trial Balance'!B:B,1,0)</f>
        <v>Bank Fees and Charges</v>
      </c>
    </row>
    <row r="1175" spans="1:9">
      <c r="A1175" s="1">
        <v>45925</v>
      </c>
      <c r="B1175" s="78">
        <v>45901</v>
      </c>
      <c r="C1175" t="s">
        <v>1468</v>
      </c>
      <c r="D1175" s="26" t="s">
        <v>8</v>
      </c>
      <c r="E1175" t="s">
        <v>1437</v>
      </c>
      <c r="F1175" s="111">
        <v>283172.2</v>
      </c>
      <c r="G1175" t="s">
        <v>710</v>
      </c>
      <c r="I1175" t="str">
        <f>VLOOKUP(E1175,'Trial Balance'!B:B,1,0)</f>
        <v>Salaries and Employee Wages</v>
      </c>
    </row>
    <row r="1176" spans="1:9">
      <c r="A1176" s="1">
        <v>45925</v>
      </c>
      <c r="B1176" s="78">
        <v>45901</v>
      </c>
      <c r="C1176" t="s">
        <v>1469</v>
      </c>
      <c r="D1176" s="26" t="s">
        <v>3</v>
      </c>
      <c r="E1176" t="s">
        <v>865</v>
      </c>
      <c r="F1176" s="113">
        <v>50</v>
      </c>
      <c r="G1176" t="s">
        <v>710</v>
      </c>
      <c r="I1176" t="str">
        <f>VLOOKUP(E1176,'Trial Balance'!B:B,1,0)</f>
        <v>Bank Fees and Charges</v>
      </c>
    </row>
    <row r="1177" spans="1:9">
      <c r="A1177" s="1">
        <v>45925</v>
      </c>
      <c r="B1177" s="78">
        <v>45901</v>
      </c>
      <c r="C1177" t="s">
        <v>1470</v>
      </c>
      <c r="D1177" s="26" t="s">
        <v>3</v>
      </c>
      <c r="E1177" t="s">
        <v>865</v>
      </c>
      <c r="F1177" s="114">
        <v>3.75</v>
      </c>
      <c r="G1177" t="s">
        <v>710</v>
      </c>
      <c r="I1177" t="str">
        <f>VLOOKUP(E1177,'Trial Balance'!B:B,1,0)</f>
        <v>Bank Fees and Charges</v>
      </c>
    </row>
    <row r="1178" spans="1:9">
      <c r="A1178" s="1">
        <v>45925</v>
      </c>
      <c r="B1178" s="78">
        <v>45901</v>
      </c>
      <c r="C1178" t="s">
        <v>1471</v>
      </c>
      <c r="D1178" s="26" t="s">
        <v>8</v>
      </c>
      <c r="E1178" t="s">
        <v>1437</v>
      </c>
      <c r="F1178" s="111">
        <v>140171.67000000001</v>
      </c>
      <c r="G1178" t="s">
        <v>710</v>
      </c>
      <c r="I1178" t="str">
        <f>VLOOKUP(E1178,'Trial Balance'!B:B,1,0)</f>
        <v>Salaries and Employee Wages</v>
      </c>
    </row>
    <row r="1179" spans="1:9">
      <c r="A1179" s="1">
        <v>45925</v>
      </c>
      <c r="B1179" s="78">
        <v>45901</v>
      </c>
      <c r="C1179" t="s">
        <v>1472</v>
      </c>
      <c r="D1179" s="26" t="s">
        <v>3</v>
      </c>
      <c r="E1179" t="s">
        <v>865</v>
      </c>
      <c r="F1179" s="113">
        <v>50</v>
      </c>
      <c r="G1179" t="s">
        <v>710</v>
      </c>
      <c r="I1179" t="str">
        <f>VLOOKUP(E1179,'Trial Balance'!B:B,1,0)</f>
        <v>Bank Fees and Charges</v>
      </c>
    </row>
    <row r="1180" spans="1:9">
      <c r="A1180" s="1">
        <v>45925</v>
      </c>
      <c r="B1180" s="78">
        <v>45901</v>
      </c>
      <c r="C1180" t="s">
        <v>1473</v>
      </c>
      <c r="D1180" s="26" t="s">
        <v>3</v>
      </c>
      <c r="E1180" t="s">
        <v>865</v>
      </c>
      <c r="F1180" s="114">
        <v>3.75</v>
      </c>
      <c r="G1180" t="s">
        <v>710</v>
      </c>
      <c r="I1180" t="str">
        <f>VLOOKUP(E1180,'Trial Balance'!B:B,1,0)</f>
        <v>Bank Fees and Charges</v>
      </c>
    </row>
    <row r="1181" spans="1:9">
      <c r="A1181" s="1">
        <v>45925</v>
      </c>
      <c r="B1181" s="78">
        <v>45901</v>
      </c>
      <c r="C1181" t="s">
        <v>1474</v>
      </c>
      <c r="D1181" s="26" t="s">
        <v>8</v>
      </c>
      <c r="E1181" t="s">
        <v>1437</v>
      </c>
      <c r="F1181" s="111">
        <v>44432.33</v>
      </c>
      <c r="G1181" t="s">
        <v>710</v>
      </c>
      <c r="I1181" t="str">
        <f>VLOOKUP(E1181,'Trial Balance'!B:B,1,0)</f>
        <v>Salaries and Employee Wages</v>
      </c>
    </row>
    <row r="1182" spans="1:9">
      <c r="A1182" s="1">
        <v>45925</v>
      </c>
      <c r="B1182" s="78">
        <v>45901</v>
      </c>
      <c r="C1182" t="s">
        <v>1475</v>
      </c>
      <c r="D1182" s="26" t="s">
        <v>3</v>
      </c>
      <c r="E1182" t="s">
        <v>865</v>
      </c>
      <c r="F1182" s="112">
        <v>25</v>
      </c>
      <c r="G1182" t="s">
        <v>710</v>
      </c>
      <c r="I1182" t="str">
        <f>VLOOKUP(E1182,'Trial Balance'!B:B,1,0)</f>
        <v>Bank Fees and Charges</v>
      </c>
    </row>
    <row r="1183" spans="1:9">
      <c r="A1183" s="1">
        <v>45925</v>
      </c>
      <c r="B1183" s="78">
        <v>45901</v>
      </c>
      <c r="C1183" t="s">
        <v>1476</v>
      </c>
      <c r="D1183" s="26" t="s">
        <v>3</v>
      </c>
      <c r="E1183" t="s">
        <v>865</v>
      </c>
      <c r="F1183" s="112">
        <v>1.8800000000046566</v>
      </c>
      <c r="G1183" t="s">
        <v>710</v>
      </c>
      <c r="I1183" t="str">
        <f>VLOOKUP(E1183,'Trial Balance'!B:B,1,0)</f>
        <v>Bank Fees and Charges</v>
      </c>
    </row>
    <row r="1184" spans="1:9">
      <c r="A1184" s="1">
        <v>45925</v>
      </c>
      <c r="B1184" s="78">
        <v>45901</v>
      </c>
      <c r="C1184" t="s">
        <v>1477</v>
      </c>
      <c r="D1184" s="26" t="s">
        <v>8</v>
      </c>
      <c r="E1184" t="s">
        <v>1437</v>
      </c>
      <c r="F1184" s="111">
        <v>44432.33</v>
      </c>
      <c r="G1184" t="s">
        <v>710</v>
      </c>
      <c r="I1184" t="str">
        <f>VLOOKUP(E1184,'Trial Balance'!B:B,1,0)</f>
        <v>Salaries and Employee Wages</v>
      </c>
    </row>
    <row r="1185" spans="1:9">
      <c r="A1185" s="1">
        <v>45925</v>
      </c>
      <c r="B1185" s="78">
        <v>45901</v>
      </c>
      <c r="C1185" t="s">
        <v>1478</v>
      </c>
      <c r="D1185" s="26" t="s">
        <v>3</v>
      </c>
      <c r="E1185" t="s">
        <v>865</v>
      </c>
      <c r="F1185" s="112">
        <v>25</v>
      </c>
      <c r="G1185" t="s">
        <v>710</v>
      </c>
      <c r="I1185" t="str">
        <f>VLOOKUP(E1185,'Trial Balance'!B:B,1,0)</f>
        <v>Bank Fees and Charges</v>
      </c>
    </row>
    <row r="1186" spans="1:9">
      <c r="A1186" s="1">
        <v>45925</v>
      </c>
      <c r="B1186" s="78">
        <v>45901</v>
      </c>
      <c r="C1186" t="s">
        <v>1479</v>
      </c>
      <c r="D1186" s="26" t="s">
        <v>3</v>
      </c>
      <c r="E1186" t="s">
        <v>865</v>
      </c>
      <c r="F1186" s="112">
        <v>1.8800000000046566</v>
      </c>
      <c r="G1186" t="s">
        <v>710</v>
      </c>
      <c r="I1186" t="str">
        <f>VLOOKUP(E1186,'Trial Balance'!B:B,1,0)</f>
        <v>Bank Fees and Charges</v>
      </c>
    </row>
    <row r="1187" spans="1:9">
      <c r="A1187" s="1">
        <v>45925</v>
      </c>
      <c r="B1187" s="78">
        <v>45901</v>
      </c>
      <c r="C1187" t="s">
        <v>1480</v>
      </c>
      <c r="D1187" s="26" t="s">
        <v>8</v>
      </c>
      <c r="E1187" t="s">
        <v>1437</v>
      </c>
      <c r="F1187" s="111">
        <v>44432.33</v>
      </c>
      <c r="G1187" t="s">
        <v>710</v>
      </c>
      <c r="I1187" t="str">
        <f>VLOOKUP(E1187,'Trial Balance'!B:B,1,0)</f>
        <v>Salaries and Employee Wages</v>
      </c>
    </row>
    <row r="1188" spans="1:9">
      <c r="A1188" s="1">
        <v>45925</v>
      </c>
      <c r="B1188" s="78">
        <v>45901</v>
      </c>
      <c r="C1188" t="s">
        <v>1481</v>
      </c>
      <c r="D1188" s="26" t="s">
        <v>3</v>
      </c>
      <c r="E1188" t="s">
        <v>865</v>
      </c>
      <c r="F1188" s="112">
        <v>25</v>
      </c>
      <c r="G1188" t="s">
        <v>710</v>
      </c>
      <c r="I1188" t="str">
        <f>VLOOKUP(E1188,'Trial Balance'!B:B,1,0)</f>
        <v>Bank Fees and Charges</v>
      </c>
    </row>
    <row r="1189" spans="1:9">
      <c r="A1189" s="1">
        <v>45925</v>
      </c>
      <c r="B1189" s="78">
        <v>45901</v>
      </c>
      <c r="C1189" t="s">
        <v>1482</v>
      </c>
      <c r="D1189" s="26" t="s">
        <v>3</v>
      </c>
      <c r="E1189" t="s">
        <v>865</v>
      </c>
      <c r="F1189" s="112">
        <v>1.8800000000046566</v>
      </c>
      <c r="G1189" t="s">
        <v>710</v>
      </c>
      <c r="I1189" t="str">
        <f>VLOOKUP(E1189,'Trial Balance'!B:B,1,0)</f>
        <v>Bank Fees and Charges</v>
      </c>
    </row>
    <row r="1190" spans="1:9">
      <c r="A1190" s="1">
        <v>45925</v>
      </c>
      <c r="B1190" s="78">
        <v>45901</v>
      </c>
      <c r="C1190" t="s">
        <v>1483</v>
      </c>
      <c r="D1190" s="26" t="s">
        <v>8</v>
      </c>
      <c r="E1190" t="s">
        <v>1437</v>
      </c>
      <c r="F1190" s="111">
        <v>486614.6</v>
      </c>
      <c r="G1190" t="s">
        <v>710</v>
      </c>
      <c r="I1190" t="str">
        <f>VLOOKUP(E1190,'Trial Balance'!B:B,1,0)</f>
        <v>Salaries and Employee Wages</v>
      </c>
    </row>
    <row r="1191" spans="1:9">
      <c r="A1191" s="1">
        <v>45925</v>
      </c>
      <c r="B1191" s="78">
        <v>45901</v>
      </c>
      <c r="C1191" t="s">
        <v>1484</v>
      </c>
      <c r="D1191" s="26" t="s">
        <v>3</v>
      </c>
      <c r="E1191" t="s">
        <v>865</v>
      </c>
      <c r="F1191" s="113">
        <v>50</v>
      </c>
      <c r="G1191" t="s">
        <v>710</v>
      </c>
      <c r="I1191" t="str">
        <f>VLOOKUP(E1191,'Trial Balance'!B:B,1,0)</f>
        <v>Bank Fees and Charges</v>
      </c>
    </row>
    <row r="1192" spans="1:9">
      <c r="A1192" s="1">
        <v>45925</v>
      </c>
      <c r="B1192" s="78">
        <v>45901</v>
      </c>
      <c r="C1192" t="s">
        <v>1485</v>
      </c>
      <c r="D1192" s="26" t="s">
        <v>3</v>
      </c>
      <c r="E1192" t="s">
        <v>865</v>
      </c>
      <c r="F1192" s="114">
        <v>3.75</v>
      </c>
      <c r="G1192" t="s">
        <v>710</v>
      </c>
      <c r="I1192" t="str">
        <f>VLOOKUP(E1192,'Trial Balance'!B:B,1,0)</f>
        <v>Bank Fees and Charges</v>
      </c>
    </row>
    <row r="1193" spans="1:9">
      <c r="A1193" s="1">
        <v>45925</v>
      </c>
      <c r="B1193" s="78">
        <v>45901</v>
      </c>
      <c r="C1193" t="s">
        <v>1486</v>
      </c>
      <c r="D1193" s="26" t="s">
        <v>8</v>
      </c>
      <c r="E1193" t="s">
        <v>1437</v>
      </c>
      <c r="F1193" s="111">
        <v>283172.2</v>
      </c>
      <c r="G1193" t="s">
        <v>710</v>
      </c>
      <c r="I1193" t="str">
        <f>VLOOKUP(E1193,'Trial Balance'!B:B,1,0)</f>
        <v>Salaries and Employee Wages</v>
      </c>
    </row>
    <row r="1194" spans="1:9">
      <c r="A1194" s="1">
        <v>45925</v>
      </c>
      <c r="B1194" s="78">
        <v>45901</v>
      </c>
      <c r="C1194" t="s">
        <v>1487</v>
      </c>
      <c r="D1194" s="26" t="s">
        <v>3</v>
      </c>
      <c r="E1194" t="s">
        <v>865</v>
      </c>
      <c r="F1194" s="113">
        <v>50</v>
      </c>
      <c r="G1194" t="s">
        <v>710</v>
      </c>
      <c r="I1194" t="str">
        <f>VLOOKUP(E1194,'Trial Balance'!B:B,1,0)</f>
        <v>Bank Fees and Charges</v>
      </c>
    </row>
    <row r="1195" spans="1:9">
      <c r="A1195" s="1">
        <v>45925</v>
      </c>
      <c r="B1195" s="78">
        <v>45901</v>
      </c>
      <c r="C1195" t="s">
        <v>1488</v>
      </c>
      <c r="D1195" s="26" t="s">
        <v>3</v>
      </c>
      <c r="E1195" t="s">
        <v>865</v>
      </c>
      <c r="F1195" s="114">
        <v>3.75</v>
      </c>
      <c r="G1195" t="s">
        <v>710</v>
      </c>
      <c r="I1195" t="str">
        <f>VLOOKUP(E1195,'Trial Balance'!B:B,1,0)</f>
        <v>Bank Fees and Charges</v>
      </c>
    </row>
    <row r="1196" spans="1:9">
      <c r="A1196" s="1">
        <v>45925</v>
      </c>
      <c r="B1196" s="78">
        <v>45901</v>
      </c>
      <c r="C1196" t="s">
        <v>1489</v>
      </c>
      <c r="D1196" s="26" t="s">
        <v>8</v>
      </c>
      <c r="E1196" t="s">
        <v>1437</v>
      </c>
      <c r="F1196" s="111">
        <v>283172.2</v>
      </c>
      <c r="G1196" t="s">
        <v>710</v>
      </c>
      <c r="I1196" t="str">
        <f>VLOOKUP(E1196,'Trial Balance'!B:B,1,0)</f>
        <v>Salaries and Employee Wages</v>
      </c>
    </row>
    <row r="1197" spans="1:9">
      <c r="A1197" s="1">
        <v>45925</v>
      </c>
      <c r="B1197" s="78">
        <v>45901</v>
      </c>
      <c r="C1197" t="s">
        <v>1490</v>
      </c>
      <c r="D1197" s="26" t="s">
        <v>3</v>
      </c>
      <c r="E1197" t="s">
        <v>865</v>
      </c>
      <c r="F1197" s="113">
        <v>50</v>
      </c>
      <c r="G1197" t="s">
        <v>710</v>
      </c>
      <c r="I1197" t="str">
        <f>VLOOKUP(E1197,'Trial Balance'!B:B,1,0)</f>
        <v>Bank Fees and Charges</v>
      </c>
    </row>
    <row r="1198" spans="1:9">
      <c r="A1198" s="1">
        <v>45925</v>
      </c>
      <c r="B1198" s="78">
        <v>45901</v>
      </c>
      <c r="C1198" t="s">
        <v>1491</v>
      </c>
      <c r="D1198" s="26" t="s">
        <v>3</v>
      </c>
      <c r="E1198" t="s">
        <v>865</v>
      </c>
      <c r="F1198" s="114">
        <v>3.75</v>
      </c>
      <c r="G1198" t="s">
        <v>710</v>
      </c>
      <c r="I1198" t="str">
        <f>VLOOKUP(E1198,'Trial Balance'!B:B,1,0)</f>
        <v>Bank Fees and Charges</v>
      </c>
    </row>
    <row r="1199" spans="1:9">
      <c r="A1199" s="1">
        <v>45925</v>
      </c>
      <c r="B1199" s="78">
        <v>45901</v>
      </c>
      <c r="C1199" t="s">
        <v>1492</v>
      </c>
      <c r="D1199" s="26" t="s">
        <v>8</v>
      </c>
      <c r="E1199" t="s">
        <v>1437</v>
      </c>
      <c r="F1199" s="111">
        <v>283172.2</v>
      </c>
      <c r="G1199" t="s">
        <v>710</v>
      </c>
      <c r="I1199" t="str">
        <f>VLOOKUP(E1199,'Trial Balance'!B:B,1,0)</f>
        <v>Salaries and Employee Wages</v>
      </c>
    </row>
    <row r="1200" spans="1:9">
      <c r="A1200" s="1">
        <v>45925</v>
      </c>
      <c r="B1200" s="78">
        <v>45901</v>
      </c>
      <c r="C1200" t="s">
        <v>1493</v>
      </c>
      <c r="D1200" s="26" t="s">
        <v>3</v>
      </c>
      <c r="E1200" t="s">
        <v>865</v>
      </c>
      <c r="F1200" s="113">
        <v>50</v>
      </c>
      <c r="G1200" t="s">
        <v>710</v>
      </c>
      <c r="I1200" t="str">
        <f>VLOOKUP(E1200,'Trial Balance'!B:B,1,0)</f>
        <v>Bank Fees and Charges</v>
      </c>
    </row>
    <row r="1201" spans="1:9">
      <c r="A1201" s="1">
        <v>45925</v>
      </c>
      <c r="B1201" s="78">
        <v>45901</v>
      </c>
      <c r="C1201" t="s">
        <v>1494</v>
      </c>
      <c r="D1201" s="26" t="s">
        <v>3</v>
      </c>
      <c r="E1201" t="s">
        <v>865</v>
      </c>
      <c r="F1201" s="114">
        <v>3.75</v>
      </c>
      <c r="G1201" t="s">
        <v>710</v>
      </c>
      <c r="I1201" t="str">
        <f>VLOOKUP(E1201,'Trial Balance'!B:B,1,0)</f>
        <v>Bank Fees and Charges</v>
      </c>
    </row>
    <row r="1202" spans="1:9">
      <c r="A1202" s="1">
        <v>45925</v>
      </c>
      <c r="B1202" s="78">
        <v>45901</v>
      </c>
      <c r="C1202" t="s">
        <v>1495</v>
      </c>
      <c r="D1202" s="26" t="s">
        <v>8</v>
      </c>
      <c r="E1202" t="s">
        <v>1437</v>
      </c>
      <c r="F1202" s="111">
        <v>140171.67000000001</v>
      </c>
      <c r="G1202" t="s">
        <v>710</v>
      </c>
      <c r="I1202" t="str">
        <f>VLOOKUP(E1202,'Trial Balance'!B:B,1,0)</f>
        <v>Salaries and Employee Wages</v>
      </c>
    </row>
    <row r="1203" spans="1:9">
      <c r="A1203" s="1">
        <v>45925</v>
      </c>
      <c r="B1203" s="78">
        <v>45901</v>
      </c>
      <c r="C1203" t="s">
        <v>1496</v>
      </c>
      <c r="D1203" s="26" t="s">
        <v>3</v>
      </c>
      <c r="E1203" t="s">
        <v>865</v>
      </c>
      <c r="F1203" s="113">
        <v>50</v>
      </c>
      <c r="G1203" t="s">
        <v>710</v>
      </c>
      <c r="I1203" t="str">
        <f>VLOOKUP(E1203,'Trial Balance'!B:B,1,0)</f>
        <v>Bank Fees and Charges</v>
      </c>
    </row>
    <row r="1204" spans="1:9">
      <c r="A1204" s="1">
        <v>45925</v>
      </c>
      <c r="B1204" s="78">
        <v>45901</v>
      </c>
      <c r="C1204" t="s">
        <v>1497</v>
      </c>
      <c r="D1204" s="26" t="s">
        <v>3</v>
      </c>
      <c r="E1204" t="s">
        <v>865</v>
      </c>
      <c r="F1204" s="114">
        <v>3.75</v>
      </c>
      <c r="G1204" t="s">
        <v>710</v>
      </c>
      <c r="I1204" t="str">
        <f>VLOOKUP(E1204,'Trial Balance'!B:B,1,0)</f>
        <v>Bank Fees and Charges</v>
      </c>
    </row>
    <row r="1205" spans="1:9">
      <c r="A1205" s="1">
        <v>45925</v>
      </c>
      <c r="B1205" s="78">
        <v>45901</v>
      </c>
      <c r="C1205" t="s">
        <v>1498</v>
      </c>
      <c r="D1205" s="26" t="s">
        <v>8</v>
      </c>
      <c r="E1205" t="s">
        <v>1437</v>
      </c>
      <c r="F1205" s="111">
        <v>52835</v>
      </c>
      <c r="G1205" t="s">
        <v>710</v>
      </c>
      <c r="I1205" t="str">
        <f>VLOOKUP(E1205,'Trial Balance'!B:B,1,0)</f>
        <v>Salaries and Employee Wages</v>
      </c>
    </row>
    <row r="1206" spans="1:9">
      <c r="A1206" s="1">
        <v>45925</v>
      </c>
      <c r="B1206" s="78">
        <v>45901</v>
      </c>
      <c r="C1206" t="s">
        <v>1499</v>
      </c>
      <c r="D1206" s="26" t="s">
        <v>3</v>
      </c>
      <c r="E1206" t="s">
        <v>865</v>
      </c>
      <c r="F1206" s="113">
        <v>50</v>
      </c>
      <c r="G1206" t="s">
        <v>710</v>
      </c>
      <c r="I1206" t="str">
        <f>VLOOKUP(E1206,'Trial Balance'!B:B,1,0)</f>
        <v>Bank Fees and Charges</v>
      </c>
    </row>
    <row r="1207" spans="1:9">
      <c r="A1207" s="1">
        <v>45925</v>
      </c>
      <c r="B1207" s="78">
        <v>45901</v>
      </c>
      <c r="C1207" t="s">
        <v>1500</v>
      </c>
      <c r="D1207" s="26" t="s">
        <v>3</v>
      </c>
      <c r="E1207" t="s">
        <v>865</v>
      </c>
      <c r="F1207" s="114">
        <v>3.75</v>
      </c>
      <c r="G1207" t="s">
        <v>710</v>
      </c>
      <c r="I1207" t="str">
        <f>VLOOKUP(E1207,'Trial Balance'!B:B,1,0)</f>
        <v>Bank Fees and Charges</v>
      </c>
    </row>
    <row r="1208" spans="1:9">
      <c r="A1208" s="1">
        <v>45925</v>
      </c>
      <c r="B1208" s="78">
        <v>45901</v>
      </c>
      <c r="C1208" t="s">
        <v>1501</v>
      </c>
      <c r="D1208" s="26" t="s">
        <v>8</v>
      </c>
      <c r="E1208" t="s">
        <v>1437</v>
      </c>
      <c r="F1208" s="111">
        <v>52835</v>
      </c>
      <c r="G1208" t="s">
        <v>710</v>
      </c>
      <c r="I1208" t="str">
        <f>VLOOKUP(E1208,'Trial Balance'!B:B,1,0)</f>
        <v>Salaries and Employee Wages</v>
      </c>
    </row>
    <row r="1209" spans="1:9">
      <c r="A1209" s="1">
        <v>45925</v>
      </c>
      <c r="B1209" s="78">
        <v>45901</v>
      </c>
      <c r="C1209" t="s">
        <v>1502</v>
      </c>
      <c r="D1209" s="26" t="s">
        <v>3</v>
      </c>
      <c r="E1209" t="s">
        <v>865</v>
      </c>
      <c r="F1209" s="113">
        <v>50</v>
      </c>
      <c r="G1209" t="s">
        <v>710</v>
      </c>
      <c r="I1209" t="str">
        <f>VLOOKUP(E1209,'Trial Balance'!B:B,1,0)</f>
        <v>Bank Fees and Charges</v>
      </c>
    </row>
    <row r="1210" spans="1:9">
      <c r="A1210" s="1">
        <v>45925</v>
      </c>
      <c r="B1210" s="78">
        <v>45901</v>
      </c>
      <c r="C1210" t="s">
        <v>1503</v>
      </c>
      <c r="D1210" s="26" t="s">
        <v>3</v>
      </c>
      <c r="E1210" t="s">
        <v>865</v>
      </c>
      <c r="F1210" s="114">
        <v>3.75</v>
      </c>
      <c r="G1210" t="s">
        <v>710</v>
      </c>
      <c r="I1210" t="str">
        <f>VLOOKUP(E1210,'Trial Balance'!B:B,1,0)</f>
        <v>Bank Fees and Charges</v>
      </c>
    </row>
    <row r="1211" spans="1:9">
      <c r="A1211" s="1">
        <v>45925</v>
      </c>
      <c r="B1211" s="78">
        <v>45901</v>
      </c>
      <c r="C1211" t="s">
        <v>1504</v>
      </c>
      <c r="D1211" s="26" t="s">
        <v>8</v>
      </c>
      <c r="E1211" t="s">
        <v>1437</v>
      </c>
      <c r="F1211" s="111">
        <v>44432.33</v>
      </c>
      <c r="G1211" t="s">
        <v>710</v>
      </c>
      <c r="I1211" t="str">
        <f>VLOOKUP(E1211,'Trial Balance'!B:B,1,0)</f>
        <v>Salaries and Employee Wages</v>
      </c>
    </row>
    <row r="1212" spans="1:9">
      <c r="A1212" s="1">
        <v>45925</v>
      </c>
      <c r="B1212" s="78">
        <v>45901</v>
      </c>
      <c r="C1212" t="s">
        <v>1505</v>
      </c>
      <c r="D1212" s="26" t="s">
        <v>3</v>
      </c>
      <c r="E1212" t="s">
        <v>865</v>
      </c>
      <c r="F1212" s="112">
        <v>25</v>
      </c>
      <c r="G1212" t="s">
        <v>710</v>
      </c>
      <c r="I1212" t="str">
        <f>VLOOKUP(E1212,'Trial Balance'!B:B,1,0)</f>
        <v>Bank Fees and Charges</v>
      </c>
    </row>
    <row r="1213" spans="1:9">
      <c r="A1213" s="1">
        <v>45925</v>
      </c>
      <c r="B1213" s="78">
        <v>45901</v>
      </c>
      <c r="C1213" t="s">
        <v>1506</v>
      </c>
      <c r="D1213" s="26" t="s">
        <v>3</v>
      </c>
      <c r="E1213" t="s">
        <v>865</v>
      </c>
      <c r="F1213" s="112">
        <v>1.8800000000046566</v>
      </c>
      <c r="G1213" t="s">
        <v>710</v>
      </c>
      <c r="I1213" t="str">
        <f>VLOOKUP(E1213,'Trial Balance'!B:B,1,0)</f>
        <v>Bank Fees and Charges</v>
      </c>
    </row>
    <row r="1214" spans="1:9">
      <c r="A1214" s="1">
        <v>45925</v>
      </c>
      <c r="B1214" s="78">
        <v>45901</v>
      </c>
      <c r="C1214" t="s">
        <v>1507</v>
      </c>
      <c r="D1214" s="26" t="s">
        <v>8</v>
      </c>
      <c r="E1214" t="s">
        <v>1437</v>
      </c>
      <c r="F1214" s="111">
        <v>283172.2</v>
      </c>
      <c r="G1214" t="s">
        <v>710</v>
      </c>
      <c r="I1214" t="str">
        <f>VLOOKUP(E1214,'Trial Balance'!B:B,1,0)</f>
        <v>Salaries and Employee Wages</v>
      </c>
    </row>
    <row r="1215" spans="1:9">
      <c r="A1215" s="1">
        <v>45925</v>
      </c>
      <c r="B1215" s="78">
        <v>45901</v>
      </c>
      <c r="C1215" t="s">
        <v>1508</v>
      </c>
      <c r="D1215" s="26" t="s">
        <v>3</v>
      </c>
      <c r="E1215" t="s">
        <v>865</v>
      </c>
      <c r="F1215" s="113">
        <v>50</v>
      </c>
      <c r="G1215" t="s">
        <v>710</v>
      </c>
      <c r="I1215" t="str">
        <f>VLOOKUP(E1215,'Trial Balance'!B:B,1,0)</f>
        <v>Bank Fees and Charges</v>
      </c>
    </row>
    <row r="1216" spans="1:9">
      <c r="A1216" s="1">
        <v>45925</v>
      </c>
      <c r="B1216" s="78">
        <v>45901</v>
      </c>
      <c r="C1216" t="s">
        <v>1509</v>
      </c>
      <c r="D1216" s="26" t="s">
        <v>3</v>
      </c>
      <c r="E1216" t="s">
        <v>865</v>
      </c>
      <c r="F1216" s="114">
        <v>3.75</v>
      </c>
      <c r="G1216" t="s">
        <v>710</v>
      </c>
      <c r="I1216" t="str">
        <f>VLOOKUP(E1216,'Trial Balance'!B:B,1,0)</f>
        <v>Bank Fees and Charges</v>
      </c>
    </row>
    <row r="1217" spans="1:9">
      <c r="A1217" s="1">
        <v>45925</v>
      </c>
      <c r="B1217" s="78">
        <v>45901</v>
      </c>
      <c r="C1217" t="s">
        <v>1510</v>
      </c>
      <c r="D1217" s="26" t="s">
        <v>8</v>
      </c>
      <c r="E1217" t="s">
        <v>1437</v>
      </c>
      <c r="F1217" s="111">
        <v>4019028.36</v>
      </c>
      <c r="G1217" t="s">
        <v>710</v>
      </c>
      <c r="I1217" t="str">
        <f>VLOOKUP(E1217,'Trial Balance'!B:B,1,0)</f>
        <v>Salaries and Employee Wages</v>
      </c>
    </row>
    <row r="1218" spans="1:9">
      <c r="A1218" s="1">
        <v>45925</v>
      </c>
      <c r="B1218" s="78">
        <v>45901</v>
      </c>
      <c r="C1218" t="s">
        <v>1511</v>
      </c>
      <c r="D1218" s="26" t="s">
        <v>3</v>
      </c>
      <c r="E1218" t="s">
        <v>865</v>
      </c>
      <c r="F1218" s="113">
        <v>50</v>
      </c>
      <c r="G1218" t="s">
        <v>710</v>
      </c>
      <c r="I1218" t="str">
        <f>VLOOKUP(E1218,'Trial Balance'!B:B,1,0)</f>
        <v>Bank Fees and Charges</v>
      </c>
    </row>
    <row r="1219" spans="1:9">
      <c r="A1219" s="1">
        <v>45925</v>
      </c>
      <c r="B1219" s="78">
        <v>45901</v>
      </c>
      <c r="C1219" t="s">
        <v>1512</v>
      </c>
      <c r="D1219" s="26" t="s">
        <v>3</v>
      </c>
      <c r="E1219" t="s">
        <v>865</v>
      </c>
      <c r="F1219" s="114">
        <v>3.75</v>
      </c>
      <c r="G1219" t="s">
        <v>710</v>
      </c>
      <c r="I1219" t="str">
        <f>VLOOKUP(E1219,'Trial Balance'!B:B,1,0)</f>
        <v>Bank Fees and Charges</v>
      </c>
    </row>
    <row r="1220" spans="1:9">
      <c r="A1220" s="1">
        <v>45925</v>
      </c>
      <c r="B1220" s="78">
        <v>45901</v>
      </c>
      <c r="C1220" t="s">
        <v>1513</v>
      </c>
      <c r="D1220" s="26" t="s">
        <v>8</v>
      </c>
      <c r="E1220" t="s">
        <v>1437</v>
      </c>
      <c r="F1220" s="111">
        <v>283172.2</v>
      </c>
      <c r="G1220" t="s">
        <v>710</v>
      </c>
      <c r="I1220" t="str">
        <f>VLOOKUP(E1220,'Trial Balance'!B:B,1,0)</f>
        <v>Salaries and Employee Wages</v>
      </c>
    </row>
    <row r="1221" spans="1:9">
      <c r="A1221" s="1">
        <v>45925</v>
      </c>
      <c r="B1221" s="78">
        <v>45901</v>
      </c>
      <c r="C1221" t="s">
        <v>1514</v>
      </c>
      <c r="D1221" s="26" t="s">
        <v>3</v>
      </c>
      <c r="E1221" t="s">
        <v>865</v>
      </c>
      <c r="F1221" s="113">
        <v>50</v>
      </c>
      <c r="G1221" t="s">
        <v>710</v>
      </c>
      <c r="I1221" t="str">
        <f>VLOOKUP(E1221,'Trial Balance'!B:B,1,0)</f>
        <v>Bank Fees and Charges</v>
      </c>
    </row>
    <row r="1222" spans="1:9">
      <c r="A1222" s="1">
        <v>45925</v>
      </c>
      <c r="B1222" s="78">
        <v>45901</v>
      </c>
      <c r="C1222" t="s">
        <v>1515</v>
      </c>
      <c r="D1222" s="26" t="s">
        <v>3</v>
      </c>
      <c r="E1222" t="s">
        <v>865</v>
      </c>
      <c r="F1222" s="114">
        <v>3.75</v>
      </c>
      <c r="G1222" t="s">
        <v>710</v>
      </c>
      <c r="I1222" t="str">
        <f>VLOOKUP(E1222,'Trial Balance'!B:B,1,0)</f>
        <v>Bank Fees and Charges</v>
      </c>
    </row>
    <row r="1223" spans="1:9">
      <c r="A1223" s="1">
        <v>45925</v>
      </c>
      <c r="B1223" s="78">
        <v>45901</v>
      </c>
      <c r="C1223" t="s">
        <v>1516</v>
      </c>
      <c r="D1223" s="26" t="s">
        <v>8</v>
      </c>
      <c r="E1223" t="s">
        <v>1437</v>
      </c>
      <c r="F1223" s="111">
        <v>2295519.56</v>
      </c>
      <c r="G1223" t="s">
        <v>710</v>
      </c>
      <c r="I1223" t="str">
        <f>VLOOKUP(E1223,'Trial Balance'!B:B,1,0)</f>
        <v>Salaries and Employee Wages</v>
      </c>
    </row>
    <row r="1224" spans="1:9">
      <c r="A1224" s="1">
        <v>45925</v>
      </c>
      <c r="B1224" s="78">
        <v>45901</v>
      </c>
      <c r="C1224" t="s">
        <v>1517</v>
      </c>
      <c r="D1224" s="26" t="s">
        <v>3</v>
      </c>
      <c r="E1224" t="s">
        <v>865</v>
      </c>
      <c r="F1224" s="113">
        <v>50</v>
      </c>
      <c r="G1224" t="s">
        <v>710</v>
      </c>
      <c r="I1224" t="str">
        <f>VLOOKUP(E1224,'Trial Balance'!B:B,1,0)</f>
        <v>Bank Fees and Charges</v>
      </c>
    </row>
    <row r="1225" spans="1:9">
      <c r="A1225" s="1">
        <v>45925</v>
      </c>
      <c r="B1225" s="78">
        <v>45901</v>
      </c>
      <c r="C1225" t="s">
        <v>1518</v>
      </c>
      <c r="D1225" s="26" t="s">
        <v>3</v>
      </c>
      <c r="E1225" t="s">
        <v>865</v>
      </c>
      <c r="F1225" s="114">
        <v>3.75</v>
      </c>
      <c r="G1225" t="s">
        <v>710</v>
      </c>
      <c r="I1225" t="str">
        <f>VLOOKUP(E1225,'Trial Balance'!B:B,1,0)</f>
        <v>Bank Fees and Charges</v>
      </c>
    </row>
    <row r="1226" spans="1:9">
      <c r="A1226" s="1">
        <v>45925</v>
      </c>
      <c r="B1226" s="78">
        <v>45901</v>
      </c>
      <c r="C1226" t="s">
        <v>1519</v>
      </c>
      <c r="D1226" s="26" t="s">
        <v>8</v>
      </c>
      <c r="E1226" t="s">
        <v>1437</v>
      </c>
      <c r="F1226" s="111">
        <v>52835</v>
      </c>
      <c r="G1226" t="s">
        <v>710</v>
      </c>
      <c r="I1226" t="str">
        <f>VLOOKUP(E1226,'Trial Balance'!B:B,1,0)</f>
        <v>Salaries and Employee Wages</v>
      </c>
    </row>
    <row r="1227" spans="1:9">
      <c r="A1227" s="1">
        <v>45925</v>
      </c>
      <c r="B1227" s="78">
        <v>45901</v>
      </c>
      <c r="C1227" t="s">
        <v>1520</v>
      </c>
      <c r="D1227" s="26" t="s">
        <v>3</v>
      </c>
      <c r="E1227" t="s">
        <v>865</v>
      </c>
      <c r="F1227" s="113">
        <v>50</v>
      </c>
      <c r="G1227" t="s">
        <v>710</v>
      </c>
      <c r="I1227" t="str">
        <f>VLOOKUP(E1227,'Trial Balance'!B:B,1,0)</f>
        <v>Bank Fees and Charges</v>
      </c>
    </row>
    <row r="1228" spans="1:9">
      <c r="A1228" s="1">
        <v>45925</v>
      </c>
      <c r="B1228" s="78">
        <v>45901</v>
      </c>
      <c r="C1228" t="s">
        <v>1521</v>
      </c>
      <c r="D1228" s="26" t="s">
        <v>3</v>
      </c>
      <c r="E1228" t="s">
        <v>865</v>
      </c>
      <c r="F1228" s="114">
        <v>3.75</v>
      </c>
      <c r="G1228" t="s">
        <v>710</v>
      </c>
      <c r="I1228" t="str">
        <f>VLOOKUP(E1228,'Trial Balance'!B:B,1,0)</f>
        <v>Bank Fees and Charges</v>
      </c>
    </row>
    <row r="1229" spans="1:9">
      <c r="A1229" s="1">
        <v>45925</v>
      </c>
      <c r="B1229" s="78">
        <v>45901</v>
      </c>
      <c r="C1229" t="s">
        <v>1522</v>
      </c>
      <c r="D1229" s="26" t="s">
        <v>8</v>
      </c>
      <c r="E1229" t="s">
        <v>1437</v>
      </c>
      <c r="F1229" s="111">
        <v>140171.67000000001</v>
      </c>
      <c r="G1229" t="s">
        <v>710</v>
      </c>
      <c r="I1229" t="str">
        <f>VLOOKUP(E1229,'Trial Balance'!B:B,1,0)</f>
        <v>Salaries and Employee Wages</v>
      </c>
    </row>
    <row r="1230" spans="1:9">
      <c r="A1230" s="1">
        <v>45925</v>
      </c>
      <c r="B1230" s="78">
        <v>45901</v>
      </c>
      <c r="C1230" t="s">
        <v>1523</v>
      </c>
      <c r="D1230" s="26" t="s">
        <v>3</v>
      </c>
      <c r="E1230" t="s">
        <v>865</v>
      </c>
      <c r="F1230" s="113">
        <v>50</v>
      </c>
      <c r="G1230" t="s">
        <v>710</v>
      </c>
      <c r="I1230" t="str">
        <f>VLOOKUP(E1230,'Trial Balance'!B:B,1,0)</f>
        <v>Bank Fees and Charges</v>
      </c>
    </row>
    <row r="1231" spans="1:9">
      <c r="A1231" s="1">
        <v>45925</v>
      </c>
      <c r="B1231" s="78">
        <v>45901</v>
      </c>
      <c r="C1231" t="s">
        <v>1524</v>
      </c>
      <c r="D1231" s="26" t="s">
        <v>3</v>
      </c>
      <c r="E1231" t="s">
        <v>865</v>
      </c>
      <c r="F1231" s="114">
        <v>3.75</v>
      </c>
      <c r="G1231" t="s">
        <v>710</v>
      </c>
      <c r="I1231" t="str">
        <f>VLOOKUP(E1231,'Trial Balance'!B:B,1,0)</f>
        <v>Bank Fees and Charges</v>
      </c>
    </row>
    <row r="1232" spans="1:9">
      <c r="A1232" s="1">
        <v>45925</v>
      </c>
      <c r="B1232" s="78">
        <v>45901</v>
      </c>
      <c r="C1232" t="s">
        <v>1525</v>
      </c>
      <c r="D1232" s="26" t="s">
        <v>8</v>
      </c>
      <c r="E1232" t="s">
        <v>1437</v>
      </c>
      <c r="F1232" s="111">
        <v>44432.33</v>
      </c>
      <c r="G1232" t="s">
        <v>710</v>
      </c>
      <c r="I1232" t="str">
        <f>VLOOKUP(E1232,'Trial Balance'!B:B,1,0)</f>
        <v>Salaries and Employee Wages</v>
      </c>
    </row>
    <row r="1233" spans="1:9">
      <c r="A1233" s="1">
        <v>45925</v>
      </c>
      <c r="B1233" s="78">
        <v>45901</v>
      </c>
      <c r="C1233" t="s">
        <v>1526</v>
      </c>
      <c r="D1233" s="26" t="s">
        <v>3</v>
      </c>
      <c r="E1233" t="s">
        <v>865</v>
      </c>
      <c r="F1233" s="112">
        <v>25</v>
      </c>
      <c r="G1233" t="s">
        <v>710</v>
      </c>
      <c r="I1233" t="str">
        <f>VLOOKUP(E1233,'Trial Balance'!B:B,1,0)</f>
        <v>Bank Fees and Charges</v>
      </c>
    </row>
    <row r="1234" spans="1:9">
      <c r="A1234" s="1">
        <v>45925</v>
      </c>
      <c r="B1234" s="78">
        <v>45901</v>
      </c>
      <c r="C1234" t="s">
        <v>1527</v>
      </c>
      <c r="D1234" s="26" t="s">
        <v>3</v>
      </c>
      <c r="E1234" t="s">
        <v>865</v>
      </c>
      <c r="F1234" s="112">
        <v>1.8800000000046566</v>
      </c>
      <c r="G1234" t="s">
        <v>710</v>
      </c>
      <c r="I1234" t="str">
        <f>VLOOKUP(E1234,'Trial Balance'!B:B,1,0)</f>
        <v>Bank Fees and Charges</v>
      </c>
    </row>
    <row r="1235" spans="1:9">
      <c r="A1235" s="1">
        <v>45925</v>
      </c>
      <c r="B1235" s="78">
        <v>45901</v>
      </c>
      <c r="C1235" t="s">
        <v>1528</v>
      </c>
      <c r="D1235" s="26" t="s">
        <v>8</v>
      </c>
      <c r="E1235" t="s">
        <v>1437</v>
      </c>
      <c r="F1235" s="111">
        <v>44432.33</v>
      </c>
      <c r="G1235" t="s">
        <v>710</v>
      </c>
      <c r="I1235" t="str">
        <f>VLOOKUP(E1235,'Trial Balance'!B:B,1,0)</f>
        <v>Salaries and Employee Wages</v>
      </c>
    </row>
    <row r="1236" spans="1:9">
      <c r="A1236" s="1">
        <v>45925</v>
      </c>
      <c r="B1236" s="78">
        <v>45901</v>
      </c>
      <c r="C1236" t="s">
        <v>1529</v>
      </c>
      <c r="D1236" s="26" t="s">
        <v>3</v>
      </c>
      <c r="E1236" t="s">
        <v>865</v>
      </c>
      <c r="F1236" s="112">
        <v>25</v>
      </c>
      <c r="G1236" t="s">
        <v>710</v>
      </c>
      <c r="I1236" t="str">
        <f>VLOOKUP(E1236,'Trial Balance'!B:B,1,0)</f>
        <v>Bank Fees and Charges</v>
      </c>
    </row>
    <row r="1237" spans="1:9">
      <c r="A1237" s="1">
        <v>45925</v>
      </c>
      <c r="B1237" s="78">
        <v>45901</v>
      </c>
      <c r="C1237" t="s">
        <v>1530</v>
      </c>
      <c r="D1237" s="26" t="s">
        <v>3</v>
      </c>
      <c r="E1237" t="s">
        <v>865</v>
      </c>
      <c r="F1237" s="112">
        <v>1.8800000000046566</v>
      </c>
      <c r="G1237" t="s">
        <v>710</v>
      </c>
      <c r="I1237" t="str">
        <f>VLOOKUP(E1237,'Trial Balance'!B:B,1,0)</f>
        <v>Bank Fees and Charges</v>
      </c>
    </row>
    <row r="1238" spans="1:9">
      <c r="A1238" s="1">
        <v>45925</v>
      </c>
      <c r="B1238" s="78">
        <v>45901</v>
      </c>
      <c r="C1238" t="s">
        <v>1531</v>
      </c>
      <c r="D1238" s="26" t="s">
        <v>8</v>
      </c>
      <c r="E1238" t="s">
        <v>1437</v>
      </c>
      <c r="F1238" s="111">
        <v>71025</v>
      </c>
      <c r="G1238" t="s">
        <v>710</v>
      </c>
      <c r="I1238" t="str">
        <f>VLOOKUP(E1238,'Trial Balance'!B:B,1,0)</f>
        <v>Salaries and Employee Wages</v>
      </c>
    </row>
    <row r="1239" spans="1:9">
      <c r="A1239" s="1">
        <v>45925</v>
      </c>
      <c r="B1239" s="78">
        <v>45901</v>
      </c>
      <c r="C1239" t="s">
        <v>1532</v>
      </c>
      <c r="D1239" s="26" t="s">
        <v>3</v>
      </c>
      <c r="E1239" t="s">
        <v>865</v>
      </c>
      <c r="F1239" s="113">
        <v>50</v>
      </c>
      <c r="G1239" t="s">
        <v>710</v>
      </c>
      <c r="I1239" t="str">
        <f>VLOOKUP(E1239,'Trial Balance'!B:B,1,0)</f>
        <v>Bank Fees and Charges</v>
      </c>
    </row>
    <row r="1240" spans="1:9">
      <c r="A1240" s="1">
        <v>45925</v>
      </c>
      <c r="B1240" s="78">
        <v>45901</v>
      </c>
      <c r="C1240" t="s">
        <v>1533</v>
      </c>
      <c r="D1240" s="26" t="s">
        <v>3</v>
      </c>
      <c r="E1240" t="s">
        <v>865</v>
      </c>
      <c r="F1240" s="114">
        <v>3.75</v>
      </c>
      <c r="G1240" t="s">
        <v>710</v>
      </c>
      <c r="I1240" t="str">
        <f>VLOOKUP(E1240,'Trial Balance'!B:B,1,0)</f>
        <v>Bank Fees and Charges</v>
      </c>
    </row>
    <row r="1241" spans="1:9">
      <c r="A1241" s="1">
        <v>45925</v>
      </c>
      <c r="B1241" s="78">
        <v>45901</v>
      </c>
      <c r="C1241" t="s">
        <v>1534</v>
      </c>
      <c r="D1241" s="26" t="s">
        <v>8</v>
      </c>
      <c r="E1241" t="s">
        <v>1437</v>
      </c>
      <c r="F1241" s="111">
        <v>283172.2</v>
      </c>
      <c r="G1241" t="s">
        <v>710</v>
      </c>
      <c r="I1241" t="str">
        <f>VLOOKUP(E1241,'Trial Balance'!B:B,1,0)</f>
        <v>Salaries and Employee Wages</v>
      </c>
    </row>
    <row r="1242" spans="1:9">
      <c r="A1242" s="1">
        <v>45925</v>
      </c>
      <c r="B1242" s="78">
        <v>45901</v>
      </c>
      <c r="C1242" t="s">
        <v>1535</v>
      </c>
      <c r="D1242" s="26" t="s">
        <v>3</v>
      </c>
      <c r="E1242" t="s">
        <v>865</v>
      </c>
      <c r="F1242" s="113">
        <v>50</v>
      </c>
      <c r="G1242" t="s">
        <v>710</v>
      </c>
      <c r="I1242" t="str">
        <f>VLOOKUP(E1242,'Trial Balance'!B:B,1,0)</f>
        <v>Bank Fees and Charges</v>
      </c>
    </row>
    <row r="1243" spans="1:9">
      <c r="A1243" s="1">
        <v>45925</v>
      </c>
      <c r="B1243" s="78">
        <v>45901</v>
      </c>
      <c r="C1243" t="s">
        <v>1536</v>
      </c>
      <c r="D1243" s="26" t="s">
        <v>3</v>
      </c>
      <c r="E1243" t="s">
        <v>865</v>
      </c>
      <c r="F1243" s="114">
        <v>3.75</v>
      </c>
      <c r="G1243" t="s">
        <v>710</v>
      </c>
      <c r="I1243" t="str">
        <f>VLOOKUP(E1243,'Trial Balance'!B:B,1,0)</f>
        <v>Bank Fees and Charges</v>
      </c>
    </row>
    <row r="1244" spans="1:9">
      <c r="A1244" s="1">
        <v>45925</v>
      </c>
      <c r="B1244" s="78">
        <v>45901</v>
      </c>
      <c r="C1244" t="s">
        <v>1537</v>
      </c>
      <c r="D1244" s="26" t="s">
        <v>8</v>
      </c>
      <c r="E1244" t="s">
        <v>1437</v>
      </c>
      <c r="F1244" s="111">
        <v>44432.33</v>
      </c>
      <c r="G1244" t="s">
        <v>710</v>
      </c>
      <c r="I1244" t="str">
        <f>VLOOKUP(E1244,'Trial Balance'!B:B,1,0)</f>
        <v>Salaries and Employee Wages</v>
      </c>
    </row>
    <row r="1245" spans="1:9">
      <c r="A1245" s="1">
        <v>45925</v>
      </c>
      <c r="B1245" s="78">
        <v>45901</v>
      </c>
      <c r="C1245" t="s">
        <v>1538</v>
      </c>
      <c r="D1245" s="26" t="s">
        <v>3</v>
      </c>
      <c r="E1245" t="s">
        <v>865</v>
      </c>
      <c r="F1245" s="112">
        <v>25</v>
      </c>
      <c r="G1245" t="s">
        <v>710</v>
      </c>
      <c r="I1245" t="str">
        <f>VLOOKUP(E1245,'Trial Balance'!B:B,1,0)</f>
        <v>Bank Fees and Charges</v>
      </c>
    </row>
    <row r="1246" spans="1:9">
      <c r="A1246" s="1">
        <v>45925</v>
      </c>
      <c r="B1246" s="78">
        <v>45901</v>
      </c>
      <c r="C1246" t="s">
        <v>1539</v>
      </c>
      <c r="D1246" s="26" t="s">
        <v>3</v>
      </c>
      <c r="E1246" t="s">
        <v>865</v>
      </c>
      <c r="F1246" s="112">
        <v>1.8800000000046566</v>
      </c>
      <c r="G1246" t="s">
        <v>710</v>
      </c>
      <c r="I1246" t="str">
        <f>VLOOKUP(E1246,'Trial Balance'!B:B,1,0)</f>
        <v>Bank Fees and Charges</v>
      </c>
    </row>
    <row r="1247" spans="1:9">
      <c r="A1247" s="1">
        <v>45925</v>
      </c>
      <c r="B1247" s="78">
        <v>45901</v>
      </c>
      <c r="C1247" t="s">
        <v>1540</v>
      </c>
      <c r="D1247" s="26" t="s">
        <v>8</v>
      </c>
      <c r="E1247" t="s">
        <v>1437</v>
      </c>
      <c r="F1247" s="111">
        <v>44432.33</v>
      </c>
      <c r="G1247" t="s">
        <v>710</v>
      </c>
      <c r="I1247" t="str">
        <f>VLOOKUP(E1247,'Trial Balance'!B:B,1,0)</f>
        <v>Salaries and Employee Wages</v>
      </c>
    </row>
    <row r="1248" spans="1:9">
      <c r="A1248" s="1">
        <v>45925</v>
      </c>
      <c r="B1248" s="78">
        <v>45901</v>
      </c>
      <c r="C1248" t="s">
        <v>1541</v>
      </c>
      <c r="D1248" s="26" t="s">
        <v>3</v>
      </c>
      <c r="E1248" t="s">
        <v>865</v>
      </c>
      <c r="F1248" s="112">
        <v>25</v>
      </c>
      <c r="G1248" t="s">
        <v>710</v>
      </c>
      <c r="I1248" t="str">
        <f>VLOOKUP(E1248,'Trial Balance'!B:B,1,0)</f>
        <v>Bank Fees and Charges</v>
      </c>
    </row>
    <row r="1249" spans="1:9">
      <c r="A1249" s="1">
        <v>45925</v>
      </c>
      <c r="B1249" s="78">
        <v>45901</v>
      </c>
      <c r="C1249" t="s">
        <v>1542</v>
      </c>
      <c r="D1249" s="26" t="s">
        <v>3</v>
      </c>
      <c r="E1249" t="s">
        <v>865</v>
      </c>
      <c r="F1249" s="112">
        <v>1.8800000000046566</v>
      </c>
      <c r="G1249" t="s">
        <v>710</v>
      </c>
      <c r="I1249" t="str">
        <f>VLOOKUP(E1249,'Trial Balance'!B:B,1,0)</f>
        <v>Bank Fees and Charges</v>
      </c>
    </row>
    <row r="1250" spans="1:9">
      <c r="A1250" s="1">
        <v>45925</v>
      </c>
      <c r="B1250" s="78">
        <v>45901</v>
      </c>
      <c r="C1250" t="s">
        <v>1543</v>
      </c>
      <c r="D1250" s="26" t="s">
        <v>8</v>
      </c>
      <c r="E1250" t="s">
        <v>1437</v>
      </c>
      <c r="F1250" s="111">
        <v>35000</v>
      </c>
      <c r="G1250" t="s">
        <v>710</v>
      </c>
      <c r="I1250" t="str">
        <f>VLOOKUP(E1250,'Trial Balance'!B:B,1,0)</f>
        <v>Salaries and Employee Wages</v>
      </c>
    </row>
    <row r="1251" spans="1:9">
      <c r="A1251" s="1">
        <v>45925</v>
      </c>
      <c r="B1251" s="78">
        <v>45901</v>
      </c>
      <c r="C1251" t="s">
        <v>1544</v>
      </c>
      <c r="D1251" s="26" t="s">
        <v>3</v>
      </c>
      <c r="E1251" t="s">
        <v>865</v>
      </c>
      <c r="F1251" s="112">
        <v>25</v>
      </c>
      <c r="G1251" t="s">
        <v>710</v>
      </c>
      <c r="I1251" t="str">
        <f>VLOOKUP(E1251,'Trial Balance'!B:B,1,0)</f>
        <v>Bank Fees and Charges</v>
      </c>
    </row>
    <row r="1252" spans="1:9">
      <c r="A1252" s="1">
        <v>45925</v>
      </c>
      <c r="B1252" s="78">
        <v>45901</v>
      </c>
      <c r="C1252" t="s">
        <v>1545</v>
      </c>
      <c r="D1252" s="26" t="s">
        <v>3</v>
      </c>
      <c r="E1252" t="s">
        <v>865</v>
      </c>
      <c r="F1252" s="112">
        <v>1.8800000000046566</v>
      </c>
      <c r="G1252" t="s">
        <v>710</v>
      </c>
      <c r="I1252" t="str">
        <f>VLOOKUP(E1252,'Trial Balance'!B:B,1,0)</f>
        <v>Bank Fees and Charges</v>
      </c>
    </row>
    <row r="1253" spans="1:9">
      <c r="A1253" s="1">
        <v>45925</v>
      </c>
      <c r="B1253" s="78">
        <v>45901</v>
      </c>
      <c r="C1253" t="s">
        <v>1546</v>
      </c>
      <c r="D1253" s="26" t="s">
        <v>8</v>
      </c>
      <c r="E1253" t="s">
        <v>1437</v>
      </c>
      <c r="F1253" s="111">
        <v>35000</v>
      </c>
      <c r="G1253" t="s">
        <v>710</v>
      </c>
      <c r="I1253" t="str">
        <f>VLOOKUP(E1253,'Trial Balance'!B:B,1,0)</f>
        <v>Salaries and Employee Wages</v>
      </c>
    </row>
    <row r="1254" spans="1:9">
      <c r="A1254" s="1">
        <v>45925</v>
      </c>
      <c r="B1254" s="78">
        <v>45901</v>
      </c>
      <c r="C1254" t="s">
        <v>1547</v>
      </c>
      <c r="D1254" s="26" t="s">
        <v>3</v>
      </c>
      <c r="E1254" t="s">
        <v>865</v>
      </c>
      <c r="F1254" s="112">
        <v>25</v>
      </c>
      <c r="G1254" t="s">
        <v>710</v>
      </c>
      <c r="I1254" t="str">
        <f>VLOOKUP(E1254,'Trial Balance'!B:B,1,0)</f>
        <v>Bank Fees and Charges</v>
      </c>
    </row>
    <row r="1255" spans="1:9">
      <c r="A1255" s="1">
        <v>45925</v>
      </c>
      <c r="B1255" s="78">
        <v>45901</v>
      </c>
      <c r="C1255" t="s">
        <v>1548</v>
      </c>
      <c r="D1255" s="26" t="s">
        <v>3</v>
      </c>
      <c r="E1255" t="s">
        <v>865</v>
      </c>
      <c r="F1255" s="112">
        <v>1.8800000000046566</v>
      </c>
      <c r="G1255" t="s">
        <v>710</v>
      </c>
      <c r="I1255" t="str">
        <f>VLOOKUP(E1255,'Trial Balance'!B:B,1,0)</f>
        <v>Bank Fees and Charges</v>
      </c>
    </row>
    <row r="1256" spans="1:9">
      <c r="A1256" s="1">
        <v>45925</v>
      </c>
      <c r="B1256" s="78">
        <v>45901</v>
      </c>
      <c r="C1256" t="s">
        <v>1549</v>
      </c>
      <c r="D1256" s="26" t="s">
        <v>8</v>
      </c>
      <c r="E1256" t="s">
        <v>1437</v>
      </c>
      <c r="F1256" s="111">
        <v>35000</v>
      </c>
      <c r="G1256" t="s">
        <v>710</v>
      </c>
      <c r="I1256" t="str">
        <f>VLOOKUP(E1256,'Trial Balance'!B:B,1,0)</f>
        <v>Salaries and Employee Wages</v>
      </c>
    </row>
    <row r="1257" spans="1:9">
      <c r="A1257" s="1">
        <v>45925</v>
      </c>
      <c r="B1257" s="78">
        <v>45901</v>
      </c>
      <c r="C1257" t="s">
        <v>1550</v>
      </c>
      <c r="D1257" s="26" t="s">
        <v>3</v>
      </c>
      <c r="E1257" t="s">
        <v>865</v>
      </c>
      <c r="F1257" s="112">
        <v>25</v>
      </c>
      <c r="G1257" t="s">
        <v>710</v>
      </c>
      <c r="I1257" t="str">
        <f>VLOOKUP(E1257,'Trial Balance'!B:B,1,0)</f>
        <v>Bank Fees and Charges</v>
      </c>
    </row>
    <row r="1258" spans="1:9">
      <c r="A1258" s="1">
        <v>45925</v>
      </c>
      <c r="B1258" s="78">
        <v>45901</v>
      </c>
      <c r="C1258" t="s">
        <v>1551</v>
      </c>
      <c r="D1258" s="26" t="s">
        <v>3</v>
      </c>
      <c r="E1258" t="s">
        <v>865</v>
      </c>
      <c r="F1258" s="112">
        <v>1.8800000000046566</v>
      </c>
      <c r="G1258" t="s">
        <v>710</v>
      </c>
      <c r="I1258" t="str">
        <f>VLOOKUP(E1258,'Trial Balance'!B:B,1,0)</f>
        <v>Bank Fees and Charges</v>
      </c>
    </row>
    <row r="1259" spans="1:9">
      <c r="A1259" s="1">
        <v>45925</v>
      </c>
      <c r="B1259" s="78">
        <v>45901</v>
      </c>
      <c r="C1259" t="s">
        <v>1552</v>
      </c>
      <c r="D1259" s="26" t="s">
        <v>8</v>
      </c>
      <c r="E1259" t="s">
        <v>1437</v>
      </c>
      <c r="F1259" s="111">
        <v>27500</v>
      </c>
      <c r="G1259" t="s">
        <v>710</v>
      </c>
      <c r="I1259" t="str">
        <f>VLOOKUP(E1259,'Trial Balance'!B:B,1,0)</f>
        <v>Salaries and Employee Wages</v>
      </c>
    </row>
    <row r="1260" spans="1:9">
      <c r="A1260" s="1">
        <v>45925</v>
      </c>
      <c r="B1260" s="78">
        <v>45901</v>
      </c>
      <c r="C1260" t="s">
        <v>1553</v>
      </c>
      <c r="D1260" s="26" t="s">
        <v>3</v>
      </c>
      <c r="E1260" t="s">
        <v>865</v>
      </c>
      <c r="F1260" s="112">
        <v>25</v>
      </c>
      <c r="G1260" t="s">
        <v>710</v>
      </c>
      <c r="I1260" t="str">
        <f>VLOOKUP(E1260,'Trial Balance'!B:B,1,0)</f>
        <v>Bank Fees and Charges</v>
      </c>
    </row>
    <row r="1261" spans="1:9">
      <c r="A1261" s="1">
        <v>45925</v>
      </c>
      <c r="B1261" s="78">
        <v>45901</v>
      </c>
      <c r="C1261" t="s">
        <v>1554</v>
      </c>
      <c r="D1261" s="26" t="s">
        <v>3</v>
      </c>
      <c r="E1261" t="s">
        <v>865</v>
      </c>
      <c r="F1261" s="112">
        <v>1.8800000000046566</v>
      </c>
      <c r="G1261" t="s">
        <v>710</v>
      </c>
      <c r="I1261" t="str">
        <f>VLOOKUP(E1261,'Trial Balance'!B:B,1,0)</f>
        <v>Bank Fees and Charges</v>
      </c>
    </row>
    <row r="1262" spans="1:9">
      <c r="A1262" s="1">
        <v>45925</v>
      </c>
      <c r="B1262" s="78">
        <v>45901</v>
      </c>
      <c r="C1262" t="s">
        <v>1555</v>
      </c>
      <c r="D1262" s="26" t="s">
        <v>8</v>
      </c>
      <c r="E1262" t="s">
        <v>1437</v>
      </c>
      <c r="F1262" s="111">
        <v>20000</v>
      </c>
      <c r="G1262" t="s">
        <v>710</v>
      </c>
      <c r="I1262" t="str">
        <f>VLOOKUP(E1262,'Trial Balance'!B:B,1,0)</f>
        <v>Salaries and Employee Wages</v>
      </c>
    </row>
    <row r="1263" spans="1:9">
      <c r="A1263" s="1">
        <v>45925</v>
      </c>
      <c r="B1263" s="78">
        <v>45901</v>
      </c>
      <c r="C1263" t="s">
        <v>1556</v>
      </c>
      <c r="D1263" s="26" t="s">
        <v>3</v>
      </c>
      <c r="E1263" t="s">
        <v>865</v>
      </c>
      <c r="F1263" s="112">
        <v>25</v>
      </c>
      <c r="G1263" t="s">
        <v>710</v>
      </c>
      <c r="I1263" t="str">
        <f>VLOOKUP(E1263,'Trial Balance'!B:B,1,0)</f>
        <v>Bank Fees and Charges</v>
      </c>
    </row>
    <row r="1264" spans="1:9">
      <c r="A1264" s="1">
        <v>45925</v>
      </c>
      <c r="B1264" s="78">
        <v>45901</v>
      </c>
      <c r="C1264" t="s">
        <v>1557</v>
      </c>
      <c r="D1264" s="26" t="s">
        <v>3</v>
      </c>
      <c r="E1264" t="s">
        <v>865</v>
      </c>
      <c r="F1264" s="112">
        <v>1.8800000000046566</v>
      </c>
      <c r="G1264" t="s">
        <v>710</v>
      </c>
      <c r="I1264" t="str">
        <f>VLOOKUP(E1264,'Trial Balance'!B:B,1,0)</f>
        <v>Bank Fees and Charges</v>
      </c>
    </row>
    <row r="1265" spans="1:9">
      <c r="A1265" s="1">
        <v>45925</v>
      </c>
      <c r="B1265" s="78">
        <v>45901</v>
      </c>
      <c r="C1265" t="s">
        <v>1558</v>
      </c>
      <c r="D1265" s="26" t="s">
        <v>8</v>
      </c>
      <c r="E1265" t="s">
        <v>1437</v>
      </c>
      <c r="F1265" s="111">
        <v>20000</v>
      </c>
      <c r="G1265" t="s">
        <v>710</v>
      </c>
      <c r="I1265" t="str">
        <f>VLOOKUP(E1265,'Trial Balance'!B:B,1,0)</f>
        <v>Salaries and Employee Wages</v>
      </c>
    </row>
    <row r="1266" spans="1:9">
      <c r="A1266" s="1">
        <v>45925</v>
      </c>
      <c r="B1266" s="78">
        <v>45901</v>
      </c>
      <c r="C1266" t="s">
        <v>1559</v>
      </c>
      <c r="D1266" s="26" t="s">
        <v>3</v>
      </c>
      <c r="E1266" t="s">
        <v>865</v>
      </c>
      <c r="F1266" s="112">
        <v>25</v>
      </c>
      <c r="G1266" t="s">
        <v>710</v>
      </c>
      <c r="I1266" t="str">
        <f>VLOOKUP(E1266,'Trial Balance'!B:B,1,0)</f>
        <v>Bank Fees and Charges</v>
      </c>
    </row>
    <row r="1267" spans="1:9">
      <c r="A1267" s="1">
        <v>45925</v>
      </c>
      <c r="B1267" s="78">
        <v>45901</v>
      </c>
      <c r="C1267" t="s">
        <v>1560</v>
      </c>
      <c r="D1267" s="26" t="s">
        <v>3</v>
      </c>
      <c r="E1267" t="s">
        <v>865</v>
      </c>
      <c r="F1267" s="112">
        <v>1.8800000000046566</v>
      </c>
      <c r="G1267" t="s">
        <v>710</v>
      </c>
      <c r="I1267" t="str">
        <f>VLOOKUP(E1267,'Trial Balance'!B:B,1,0)</f>
        <v>Bank Fees and Charges</v>
      </c>
    </row>
    <row r="1268" spans="1:9">
      <c r="A1268" s="1">
        <v>45925</v>
      </c>
      <c r="B1268" s="78">
        <v>45901</v>
      </c>
      <c r="C1268" t="s">
        <v>1561</v>
      </c>
      <c r="D1268" s="26" t="s">
        <v>8</v>
      </c>
      <c r="E1268" t="s">
        <v>1437</v>
      </c>
      <c r="F1268" s="111">
        <v>20000</v>
      </c>
      <c r="G1268" t="s">
        <v>710</v>
      </c>
      <c r="I1268" t="str">
        <f>VLOOKUP(E1268,'Trial Balance'!B:B,1,0)</f>
        <v>Salaries and Employee Wages</v>
      </c>
    </row>
    <row r="1269" spans="1:9">
      <c r="A1269" s="1">
        <v>45925</v>
      </c>
      <c r="B1269" s="78">
        <v>45901</v>
      </c>
      <c r="C1269" t="s">
        <v>1562</v>
      </c>
      <c r="D1269" s="26" t="s">
        <v>3</v>
      </c>
      <c r="E1269" t="s">
        <v>865</v>
      </c>
      <c r="F1269" s="112">
        <v>25</v>
      </c>
      <c r="G1269" t="s">
        <v>710</v>
      </c>
      <c r="I1269" t="str">
        <f>VLOOKUP(E1269,'Trial Balance'!B:B,1,0)</f>
        <v>Bank Fees and Charges</v>
      </c>
    </row>
    <row r="1270" spans="1:9">
      <c r="A1270" s="1">
        <v>45925</v>
      </c>
      <c r="B1270" s="78">
        <v>45901</v>
      </c>
      <c r="C1270" t="s">
        <v>1563</v>
      </c>
      <c r="D1270" s="26" t="s">
        <v>3</v>
      </c>
      <c r="E1270" t="s">
        <v>865</v>
      </c>
      <c r="F1270" s="112">
        <v>1.8800000000046566</v>
      </c>
      <c r="G1270" t="s">
        <v>710</v>
      </c>
      <c r="I1270" t="str">
        <f>VLOOKUP(E1270,'Trial Balance'!B:B,1,0)</f>
        <v>Bank Fees and Charges</v>
      </c>
    </row>
    <row r="1271" spans="1:9">
      <c r="A1271" s="1">
        <v>45925</v>
      </c>
      <c r="B1271" s="78">
        <v>45901</v>
      </c>
      <c r="C1271" t="s">
        <v>1564</v>
      </c>
      <c r="D1271" s="26" t="s">
        <v>8</v>
      </c>
      <c r="E1271" t="s">
        <v>1437</v>
      </c>
      <c r="F1271" s="111">
        <v>35000</v>
      </c>
      <c r="G1271" t="s">
        <v>710</v>
      </c>
      <c r="I1271" t="str">
        <f>VLOOKUP(E1271,'Trial Balance'!B:B,1,0)</f>
        <v>Salaries and Employee Wages</v>
      </c>
    </row>
    <row r="1272" spans="1:9">
      <c r="A1272" s="1">
        <v>45925</v>
      </c>
      <c r="B1272" s="78">
        <v>45901</v>
      </c>
      <c r="C1272" t="s">
        <v>1565</v>
      </c>
      <c r="D1272" s="26" t="s">
        <v>3</v>
      </c>
      <c r="E1272" t="s">
        <v>865</v>
      </c>
      <c r="F1272" s="112">
        <v>25</v>
      </c>
      <c r="G1272" t="s">
        <v>710</v>
      </c>
      <c r="I1272" t="str">
        <f>VLOOKUP(E1272,'Trial Balance'!B:B,1,0)</f>
        <v>Bank Fees and Charges</v>
      </c>
    </row>
    <row r="1273" spans="1:9">
      <c r="A1273" s="1">
        <v>45925</v>
      </c>
      <c r="B1273" s="78">
        <v>45901</v>
      </c>
      <c r="C1273" t="s">
        <v>1566</v>
      </c>
      <c r="D1273" s="26" t="s">
        <v>3</v>
      </c>
      <c r="E1273" t="s">
        <v>865</v>
      </c>
      <c r="F1273" s="112">
        <v>1.8800000000046566</v>
      </c>
      <c r="G1273" t="s">
        <v>710</v>
      </c>
      <c r="I1273" t="str">
        <f>VLOOKUP(E1273,'Trial Balance'!B:B,1,0)</f>
        <v>Bank Fees and Charges</v>
      </c>
    </row>
    <row r="1274" spans="1:9">
      <c r="A1274" s="1">
        <v>45925</v>
      </c>
      <c r="B1274" s="78">
        <v>45901</v>
      </c>
      <c r="C1274" t="s">
        <v>1567</v>
      </c>
      <c r="D1274" s="26" t="s">
        <v>8</v>
      </c>
      <c r="E1274" t="s">
        <v>1437</v>
      </c>
      <c r="F1274" s="111">
        <v>35000</v>
      </c>
      <c r="G1274" t="s">
        <v>710</v>
      </c>
      <c r="I1274" t="str">
        <f>VLOOKUP(E1274,'Trial Balance'!B:B,1,0)</f>
        <v>Salaries and Employee Wages</v>
      </c>
    </row>
    <row r="1275" spans="1:9">
      <c r="A1275" s="1">
        <v>45925</v>
      </c>
      <c r="B1275" s="78">
        <v>45901</v>
      </c>
      <c r="C1275" t="s">
        <v>1568</v>
      </c>
      <c r="D1275" s="26" t="s">
        <v>3</v>
      </c>
      <c r="E1275" t="s">
        <v>865</v>
      </c>
      <c r="F1275" s="112">
        <v>25</v>
      </c>
      <c r="G1275" t="s">
        <v>710</v>
      </c>
      <c r="I1275" t="str">
        <f>VLOOKUP(E1275,'Trial Balance'!B:B,1,0)</f>
        <v>Bank Fees and Charges</v>
      </c>
    </row>
    <row r="1276" spans="1:9">
      <c r="A1276" s="1">
        <v>45925</v>
      </c>
      <c r="B1276" s="78">
        <v>45901</v>
      </c>
      <c r="C1276" t="s">
        <v>1569</v>
      </c>
      <c r="D1276" s="26" t="s">
        <v>3</v>
      </c>
      <c r="E1276" t="s">
        <v>865</v>
      </c>
      <c r="F1276" s="112">
        <v>1.8800000000046566</v>
      </c>
      <c r="G1276" t="s">
        <v>710</v>
      </c>
      <c r="I1276" t="str">
        <f>VLOOKUP(E1276,'Trial Balance'!B:B,1,0)</f>
        <v>Bank Fees and Charges</v>
      </c>
    </row>
    <row r="1277" spans="1:9">
      <c r="A1277" s="1">
        <v>45925</v>
      </c>
      <c r="B1277" s="78">
        <v>45901</v>
      </c>
      <c r="C1277" t="s">
        <v>1570</v>
      </c>
      <c r="D1277" s="26" t="s">
        <v>8</v>
      </c>
      <c r="E1277" t="s">
        <v>1437</v>
      </c>
      <c r="F1277" s="111">
        <v>35000</v>
      </c>
      <c r="G1277" t="s">
        <v>710</v>
      </c>
      <c r="I1277" t="str">
        <f>VLOOKUP(E1277,'Trial Balance'!B:B,1,0)</f>
        <v>Salaries and Employee Wages</v>
      </c>
    </row>
    <row r="1278" spans="1:9">
      <c r="A1278" s="1">
        <v>45925</v>
      </c>
      <c r="B1278" s="78">
        <v>45901</v>
      </c>
      <c r="C1278" t="s">
        <v>1571</v>
      </c>
      <c r="D1278" s="26" t="s">
        <v>3</v>
      </c>
      <c r="E1278" t="s">
        <v>865</v>
      </c>
      <c r="F1278" s="112">
        <v>25</v>
      </c>
      <c r="G1278" t="s">
        <v>710</v>
      </c>
      <c r="I1278" t="str">
        <f>VLOOKUP(E1278,'Trial Balance'!B:B,1,0)</f>
        <v>Bank Fees and Charges</v>
      </c>
    </row>
    <row r="1279" spans="1:9">
      <c r="A1279" s="1">
        <v>45925</v>
      </c>
      <c r="B1279" s="78">
        <v>45901</v>
      </c>
      <c r="C1279" t="s">
        <v>1572</v>
      </c>
      <c r="D1279" s="26" t="s">
        <v>3</v>
      </c>
      <c r="E1279" t="s">
        <v>865</v>
      </c>
      <c r="F1279" s="112">
        <v>1.8800000000046566</v>
      </c>
      <c r="G1279" t="s">
        <v>710</v>
      </c>
      <c r="I1279" t="str">
        <f>VLOOKUP(E1279,'Trial Balance'!B:B,1,0)</f>
        <v>Bank Fees and Charges</v>
      </c>
    </row>
    <row r="1280" spans="1:9">
      <c r="A1280" s="1">
        <v>45925</v>
      </c>
      <c r="B1280" s="78">
        <v>45901</v>
      </c>
      <c r="C1280" t="s">
        <v>1573</v>
      </c>
      <c r="D1280" s="26" t="s">
        <v>8</v>
      </c>
      <c r="E1280" t="s">
        <v>1437</v>
      </c>
      <c r="F1280" s="111">
        <v>35000</v>
      </c>
      <c r="G1280" t="s">
        <v>710</v>
      </c>
      <c r="I1280" t="str">
        <f>VLOOKUP(E1280,'Trial Balance'!B:B,1,0)</f>
        <v>Salaries and Employee Wages</v>
      </c>
    </row>
    <row r="1281" spans="1:9">
      <c r="A1281" s="1">
        <v>45925</v>
      </c>
      <c r="B1281" s="78">
        <v>45901</v>
      </c>
      <c r="C1281" t="s">
        <v>1574</v>
      </c>
      <c r="D1281" s="26" t="s">
        <v>3</v>
      </c>
      <c r="E1281" t="s">
        <v>865</v>
      </c>
      <c r="F1281" s="112">
        <v>25</v>
      </c>
      <c r="G1281" t="s">
        <v>710</v>
      </c>
      <c r="I1281" t="str">
        <f>VLOOKUP(E1281,'Trial Balance'!B:B,1,0)</f>
        <v>Bank Fees and Charges</v>
      </c>
    </row>
    <row r="1282" spans="1:9">
      <c r="A1282" s="1">
        <v>45925</v>
      </c>
      <c r="B1282" s="78">
        <v>45901</v>
      </c>
      <c r="C1282" t="s">
        <v>1575</v>
      </c>
      <c r="D1282" s="26" t="s">
        <v>3</v>
      </c>
      <c r="E1282" t="s">
        <v>865</v>
      </c>
      <c r="F1282" s="112">
        <v>1.8800000000046566</v>
      </c>
      <c r="G1282" t="s">
        <v>710</v>
      </c>
      <c r="I1282" t="str">
        <f>VLOOKUP(E1282,'Trial Balance'!B:B,1,0)</f>
        <v>Bank Fees and Charges</v>
      </c>
    </row>
    <row r="1283" spans="1:9">
      <c r="A1283" s="1">
        <v>45925</v>
      </c>
      <c r="B1283" s="78">
        <v>45901</v>
      </c>
      <c r="C1283" t="s">
        <v>1576</v>
      </c>
      <c r="D1283" s="26" t="s">
        <v>8</v>
      </c>
      <c r="E1283" t="s">
        <v>1437</v>
      </c>
      <c r="F1283" s="111">
        <v>27500</v>
      </c>
      <c r="G1283" t="s">
        <v>710</v>
      </c>
      <c r="I1283" t="str">
        <f>VLOOKUP(E1283,'Trial Balance'!B:B,1,0)</f>
        <v>Salaries and Employee Wages</v>
      </c>
    </row>
    <row r="1284" spans="1:9">
      <c r="A1284" s="1">
        <v>45925</v>
      </c>
      <c r="B1284" s="78">
        <v>45901</v>
      </c>
      <c r="C1284" t="s">
        <v>1577</v>
      </c>
      <c r="D1284" s="26" t="s">
        <v>3</v>
      </c>
      <c r="E1284" t="s">
        <v>865</v>
      </c>
      <c r="F1284" s="112">
        <v>25</v>
      </c>
      <c r="G1284" t="s">
        <v>710</v>
      </c>
      <c r="I1284" t="str">
        <f>VLOOKUP(E1284,'Trial Balance'!B:B,1,0)</f>
        <v>Bank Fees and Charges</v>
      </c>
    </row>
    <row r="1285" spans="1:9">
      <c r="A1285" s="1">
        <v>45925</v>
      </c>
      <c r="B1285" s="78">
        <v>45901</v>
      </c>
      <c r="C1285" t="s">
        <v>1578</v>
      </c>
      <c r="D1285" s="26" t="s">
        <v>3</v>
      </c>
      <c r="E1285" t="s">
        <v>865</v>
      </c>
      <c r="F1285" s="112">
        <v>1.8800000000046566</v>
      </c>
      <c r="G1285" t="s">
        <v>710</v>
      </c>
      <c r="I1285" t="str">
        <f>VLOOKUP(E1285,'Trial Balance'!B:B,1,0)</f>
        <v>Bank Fees and Charges</v>
      </c>
    </row>
    <row r="1286" spans="1:9">
      <c r="A1286" s="1">
        <v>45925</v>
      </c>
      <c r="B1286" s="78">
        <v>45901</v>
      </c>
      <c r="C1286" t="s">
        <v>1579</v>
      </c>
      <c r="D1286" s="26" t="s">
        <v>8</v>
      </c>
      <c r="E1286" t="s">
        <v>1437</v>
      </c>
      <c r="F1286" s="111">
        <v>20000</v>
      </c>
      <c r="G1286" t="s">
        <v>710</v>
      </c>
      <c r="I1286" t="str">
        <f>VLOOKUP(E1286,'Trial Balance'!B:B,1,0)</f>
        <v>Salaries and Employee Wages</v>
      </c>
    </row>
    <row r="1287" spans="1:9">
      <c r="A1287" s="1">
        <v>45925</v>
      </c>
      <c r="B1287" s="78">
        <v>45901</v>
      </c>
      <c r="C1287" t="s">
        <v>1580</v>
      </c>
      <c r="D1287" s="26" t="s">
        <v>3</v>
      </c>
      <c r="E1287" t="s">
        <v>865</v>
      </c>
      <c r="F1287" s="112">
        <v>25</v>
      </c>
      <c r="G1287" t="s">
        <v>710</v>
      </c>
      <c r="I1287" t="str">
        <f>VLOOKUP(E1287,'Trial Balance'!B:B,1,0)</f>
        <v>Bank Fees and Charges</v>
      </c>
    </row>
    <row r="1288" spans="1:9">
      <c r="A1288" s="1">
        <v>45925</v>
      </c>
      <c r="B1288" s="78">
        <v>45901</v>
      </c>
      <c r="C1288" t="s">
        <v>1581</v>
      </c>
      <c r="D1288" s="26" t="s">
        <v>3</v>
      </c>
      <c r="E1288" t="s">
        <v>865</v>
      </c>
      <c r="F1288" s="112">
        <v>1.8800000000046566</v>
      </c>
      <c r="G1288" t="s">
        <v>710</v>
      </c>
      <c r="I1288" t="str">
        <f>VLOOKUP(E1288,'Trial Balance'!B:B,1,0)</f>
        <v>Bank Fees and Charges</v>
      </c>
    </row>
    <row r="1289" spans="1:9">
      <c r="A1289" s="1">
        <v>45925</v>
      </c>
      <c r="B1289" s="78">
        <v>45901</v>
      </c>
      <c r="C1289" t="s">
        <v>1582</v>
      </c>
      <c r="D1289" s="26" t="s">
        <v>8</v>
      </c>
      <c r="E1289" t="s">
        <v>1437</v>
      </c>
      <c r="F1289" s="111">
        <v>20000</v>
      </c>
      <c r="G1289" t="s">
        <v>710</v>
      </c>
      <c r="I1289" t="str">
        <f>VLOOKUP(E1289,'Trial Balance'!B:B,1,0)</f>
        <v>Salaries and Employee Wages</v>
      </c>
    </row>
    <row r="1290" spans="1:9">
      <c r="A1290" s="1">
        <v>45925</v>
      </c>
      <c r="B1290" s="78">
        <v>45901</v>
      </c>
      <c r="C1290" t="s">
        <v>1583</v>
      </c>
      <c r="D1290" s="26" t="s">
        <v>3</v>
      </c>
      <c r="E1290" t="s">
        <v>865</v>
      </c>
      <c r="F1290" s="112">
        <v>25</v>
      </c>
      <c r="G1290" t="s">
        <v>710</v>
      </c>
      <c r="I1290" t="str">
        <f>VLOOKUP(E1290,'Trial Balance'!B:B,1,0)</f>
        <v>Bank Fees and Charges</v>
      </c>
    </row>
    <row r="1291" spans="1:9">
      <c r="A1291" s="1">
        <v>45925</v>
      </c>
      <c r="B1291" s="78">
        <v>45901</v>
      </c>
      <c r="C1291" t="s">
        <v>1584</v>
      </c>
      <c r="D1291" s="26" t="s">
        <v>3</v>
      </c>
      <c r="E1291" t="s">
        <v>865</v>
      </c>
      <c r="F1291" s="112">
        <v>1.8800000000046566</v>
      </c>
      <c r="G1291" t="s">
        <v>710</v>
      </c>
      <c r="I1291" t="str">
        <f>VLOOKUP(E1291,'Trial Balance'!B:B,1,0)</f>
        <v>Bank Fees and Charges</v>
      </c>
    </row>
    <row r="1292" spans="1:9">
      <c r="A1292" s="1">
        <v>45925</v>
      </c>
      <c r="B1292" s="78">
        <v>45901</v>
      </c>
      <c r="C1292" t="s">
        <v>1585</v>
      </c>
      <c r="D1292" s="26" t="s">
        <v>8</v>
      </c>
      <c r="E1292" t="s">
        <v>1437</v>
      </c>
      <c r="F1292" s="111">
        <v>20000</v>
      </c>
      <c r="G1292" t="s">
        <v>710</v>
      </c>
      <c r="I1292" t="str">
        <f>VLOOKUP(E1292,'Trial Balance'!B:B,1,0)</f>
        <v>Salaries and Employee Wages</v>
      </c>
    </row>
    <row r="1293" spans="1:9">
      <c r="A1293" s="1">
        <v>45925</v>
      </c>
      <c r="B1293" s="78">
        <v>45901</v>
      </c>
      <c r="C1293" t="s">
        <v>1586</v>
      </c>
      <c r="D1293" s="26" t="s">
        <v>3</v>
      </c>
      <c r="E1293" t="s">
        <v>865</v>
      </c>
      <c r="F1293" s="112">
        <v>25</v>
      </c>
      <c r="G1293" t="s">
        <v>710</v>
      </c>
      <c r="I1293" t="str">
        <f>VLOOKUP(E1293,'Trial Balance'!B:B,1,0)</f>
        <v>Bank Fees and Charges</v>
      </c>
    </row>
    <row r="1294" spans="1:9">
      <c r="A1294" s="1">
        <v>45925</v>
      </c>
      <c r="B1294" s="78">
        <v>45901</v>
      </c>
      <c r="C1294" t="s">
        <v>1587</v>
      </c>
      <c r="D1294" s="26" t="s">
        <v>3</v>
      </c>
      <c r="E1294" t="s">
        <v>865</v>
      </c>
      <c r="F1294" s="112">
        <v>1.8800000000046566</v>
      </c>
      <c r="G1294" t="s">
        <v>710</v>
      </c>
      <c r="I1294" t="str">
        <f>VLOOKUP(E1294,'Trial Balance'!B:B,1,0)</f>
        <v>Bank Fees and Charges</v>
      </c>
    </row>
    <row r="1295" spans="1:9">
      <c r="A1295" s="1">
        <v>45925</v>
      </c>
      <c r="B1295" s="78">
        <v>45901</v>
      </c>
      <c r="C1295" t="s">
        <v>1588</v>
      </c>
      <c r="D1295" s="26" t="s">
        <v>8</v>
      </c>
      <c r="E1295" t="s">
        <v>1437</v>
      </c>
      <c r="F1295" s="111">
        <v>35000</v>
      </c>
      <c r="G1295" t="s">
        <v>710</v>
      </c>
      <c r="I1295" t="str">
        <f>VLOOKUP(E1295,'Trial Balance'!B:B,1,0)</f>
        <v>Salaries and Employee Wages</v>
      </c>
    </row>
    <row r="1296" spans="1:9">
      <c r="A1296" s="1">
        <v>45925</v>
      </c>
      <c r="B1296" s="78">
        <v>45901</v>
      </c>
      <c r="C1296" t="s">
        <v>1589</v>
      </c>
      <c r="D1296" s="26" t="s">
        <v>3</v>
      </c>
      <c r="E1296" t="s">
        <v>865</v>
      </c>
      <c r="F1296" s="112">
        <v>25</v>
      </c>
      <c r="G1296" t="s">
        <v>710</v>
      </c>
      <c r="I1296" t="str">
        <f>VLOOKUP(E1296,'Trial Balance'!B:B,1,0)</f>
        <v>Bank Fees and Charges</v>
      </c>
    </row>
    <row r="1297" spans="1:9">
      <c r="A1297" s="1">
        <v>45925</v>
      </c>
      <c r="B1297" s="78">
        <v>45901</v>
      </c>
      <c r="C1297" t="s">
        <v>1590</v>
      </c>
      <c r="D1297" s="26" t="s">
        <v>3</v>
      </c>
      <c r="E1297" t="s">
        <v>865</v>
      </c>
      <c r="F1297" s="112">
        <v>1.8800000000046566</v>
      </c>
      <c r="G1297" t="s">
        <v>710</v>
      </c>
      <c r="I1297" t="str">
        <f>VLOOKUP(E1297,'Trial Balance'!B:B,1,0)</f>
        <v>Bank Fees and Charges</v>
      </c>
    </row>
    <row r="1298" spans="1:9">
      <c r="A1298" s="1">
        <v>45925</v>
      </c>
      <c r="B1298" s="78">
        <v>45901</v>
      </c>
      <c r="C1298" t="s">
        <v>1591</v>
      </c>
      <c r="D1298" s="26" t="s">
        <v>8</v>
      </c>
      <c r="E1298" t="s">
        <v>1437</v>
      </c>
      <c r="F1298" s="111">
        <v>70000</v>
      </c>
      <c r="G1298" t="s">
        <v>710</v>
      </c>
      <c r="I1298" t="str">
        <f>VLOOKUP(E1298,'Trial Balance'!B:B,1,0)</f>
        <v>Salaries and Employee Wages</v>
      </c>
    </row>
    <row r="1299" spans="1:9">
      <c r="A1299" s="1">
        <v>45925</v>
      </c>
      <c r="B1299" s="78">
        <v>45901</v>
      </c>
      <c r="C1299" t="s">
        <v>1592</v>
      </c>
      <c r="D1299" s="26" t="s">
        <v>3</v>
      </c>
      <c r="E1299" t="s">
        <v>865</v>
      </c>
      <c r="F1299" s="112">
        <v>50</v>
      </c>
      <c r="G1299" t="s">
        <v>710</v>
      </c>
      <c r="I1299" t="str">
        <f>VLOOKUP(E1299,'Trial Balance'!B:B,1,0)</f>
        <v>Bank Fees and Charges</v>
      </c>
    </row>
    <row r="1300" spans="1:9">
      <c r="A1300" s="1">
        <v>45925</v>
      </c>
      <c r="B1300" s="78">
        <v>45901</v>
      </c>
      <c r="C1300" t="s">
        <v>1593</v>
      </c>
      <c r="D1300" s="26" t="s">
        <v>3</v>
      </c>
      <c r="E1300" t="s">
        <v>865</v>
      </c>
      <c r="F1300" s="112">
        <v>3.75</v>
      </c>
      <c r="G1300" t="s">
        <v>710</v>
      </c>
      <c r="I1300" t="str">
        <f>VLOOKUP(E1300,'Trial Balance'!B:B,1,0)</f>
        <v>Bank Fees and Charges</v>
      </c>
    </row>
    <row r="1301" spans="1:9">
      <c r="A1301" s="1">
        <v>45925</v>
      </c>
      <c r="B1301" s="78">
        <v>45901</v>
      </c>
      <c r="C1301" t="s">
        <v>1595</v>
      </c>
      <c r="D1301" s="26" t="s">
        <v>8</v>
      </c>
      <c r="E1301" t="s">
        <v>1437</v>
      </c>
      <c r="F1301" s="111">
        <v>35000</v>
      </c>
      <c r="G1301" t="s">
        <v>710</v>
      </c>
      <c r="I1301" t="str">
        <f>VLOOKUP(E1301,'Trial Balance'!B:B,1,0)</f>
        <v>Salaries and Employee Wages</v>
      </c>
    </row>
    <row r="1302" spans="1:9">
      <c r="A1302" s="1">
        <v>45925</v>
      </c>
      <c r="B1302" s="78">
        <v>45901</v>
      </c>
      <c r="C1302" t="s">
        <v>1596</v>
      </c>
      <c r="D1302" s="26" t="s">
        <v>3</v>
      </c>
      <c r="E1302" t="s">
        <v>865</v>
      </c>
      <c r="F1302" s="112">
        <v>25</v>
      </c>
      <c r="G1302" t="s">
        <v>710</v>
      </c>
      <c r="I1302" t="str">
        <f>VLOOKUP(E1302,'Trial Balance'!B:B,1,0)</f>
        <v>Bank Fees and Charges</v>
      </c>
    </row>
    <row r="1303" spans="1:9">
      <c r="A1303" s="1">
        <v>45925</v>
      </c>
      <c r="B1303" s="78">
        <v>45901</v>
      </c>
      <c r="C1303" t="s">
        <v>1597</v>
      </c>
      <c r="D1303" s="26" t="s">
        <v>3</v>
      </c>
      <c r="E1303" t="s">
        <v>865</v>
      </c>
      <c r="F1303" s="112">
        <v>1.8800000000046566</v>
      </c>
      <c r="G1303" t="s">
        <v>710</v>
      </c>
      <c r="I1303" t="str">
        <f>VLOOKUP(E1303,'Trial Balance'!B:B,1,0)</f>
        <v>Bank Fees and Charges</v>
      </c>
    </row>
    <row r="1304" spans="1:9">
      <c r="A1304" s="1">
        <v>45925</v>
      </c>
      <c r="B1304" s="78">
        <v>45901</v>
      </c>
      <c r="C1304" t="s">
        <v>1594</v>
      </c>
      <c r="D1304" s="26" t="s">
        <v>8</v>
      </c>
      <c r="E1304" t="s">
        <v>1437</v>
      </c>
      <c r="F1304" s="111">
        <v>70000</v>
      </c>
      <c r="G1304" t="s">
        <v>710</v>
      </c>
      <c r="I1304" t="str">
        <f>VLOOKUP(E1304,'Trial Balance'!B:B,1,0)</f>
        <v>Salaries and Employee Wages</v>
      </c>
    </row>
    <row r="1305" spans="1:9">
      <c r="A1305" s="1">
        <v>45925</v>
      </c>
      <c r="B1305" s="78">
        <v>45901</v>
      </c>
      <c r="C1305" t="s">
        <v>1598</v>
      </c>
      <c r="D1305" s="26" t="s">
        <v>3</v>
      </c>
      <c r="E1305" t="s">
        <v>865</v>
      </c>
      <c r="F1305" s="112">
        <v>50</v>
      </c>
      <c r="G1305" t="s">
        <v>710</v>
      </c>
      <c r="I1305" t="str">
        <f>VLOOKUP(E1305,'Trial Balance'!B:B,1,0)</f>
        <v>Bank Fees and Charges</v>
      </c>
    </row>
    <row r="1306" spans="1:9">
      <c r="A1306" s="1">
        <v>45925</v>
      </c>
      <c r="B1306" s="78">
        <v>45901</v>
      </c>
      <c r="C1306" t="s">
        <v>1599</v>
      </c>
      <c r="D1306" s="26" t="s">
        <v>3</v>
      </c>
      <c r="E1306" t="s">
        <v>865</v>
      </c>
      <c r="F1306" s="112">
        <v>3.75</v>
      </c>
      <c r="G1306" t="s">
        <v>710</v>
      </c>
      <c r="I1306" t="str">
        <f>VLOOKUP(E1306,'Trial Balance'!B:B,1,0)</f>
        <v>Bank Fees and Charges</v>
      </c>
    </row>
    <row r="1307" spans="1:9">
      <c r="A1307" s="1">
        <v>45925</v>
      </c>
      <c r="B1307" s="78">
        <v>45901</v>
      </c>
      <c r="C1307" t="s">
        <v>1600</v>
      </c>
      <c r="D1307" s="26" t="s">
        <v>8</v>
      </c>
      <c r="E1307" t="s">
        <v>1437</v>
      </c>
      <c r="F1307" s="111">
        <v>20000</v>
      </c>
      <c r="G1307" t="s">
        <v>710</v>
      </c>
      <c r="I1307" t="str">
        <f>VLOOKUP(E1307,'Trial Balance'!B:B,1,0)</f>
        <v>Salaries and Employee Wages</v>
      </c>
    </row>
    <row r="1308" spans="1:9">
      <c r="A1308" s="1">
        <v>45925</v>
      </c>
      <c r="B1308" s="78">
        <v>45901</v>
      </c>
      <c r="C1308" t="s">
        <v>1601</v>
      </c>
      <c r="D1308" s="26" t="s">
        <v>3</v>
      </c>
      <c r="E1308" t="s">
        <v>865</v>
      </c>
      <c r="F1308" s="112">
        <v>25</v>
      </c>
      <c r="G1308" t="s">
        <v>710</v>
      </c>
      <c r="I1308" t="str">
        <f>VLOOKUP(E1308,'Trial Balance'!B:B,1,0)</f>
        <v>Bank Fees and Charges</v>
      </c>
    </row>
    <row r="1309" spans="1:9">
      <c r="A1309" s="1">
        <v>45925</v>
      </c>
      <c r="B1309" s="78">
        <v>45901</v>
      </c>
      <c r="C1309" t="s">
        <v>1602</v>
      </c>
      <c r="D1309" s="26" t="s">
        <v>3</v>
      </c>
      <c r="E1309" t="s">
        <v>865</v>
      </c>
      <c r="F1309" s="112">
        <v>1.8800000000046566</v>
      </c>
      <c r="G1309" t="s">
        <v>710</v>
      </c>
      <c r="I1309" t="str">
        <f>VLOOKUP(E1309,'Trial Balance'!B:B,1,0)</f>
        <v>Bank Fees and Charges</v>
      </c>
    </row>
    <row r="1310" spans="1:9">
      <c r="A1310" s="1">
        <v>45925</v>
      </c>
      <c r="B1310" s="78">
        <v>45901</v>
      </c>
      <c r="C1310" t="s">
        <v>1603</v>
      </c>
      <c r="D1310" s="26" t="s">
        <v>8</v>
      </c>
      <c r="E1310" t="s">
        <v>1437</v>
      </c>
      <c r="F1310" s="111">
        <v>27500</v>
      </c>
      <c r="G1310" t="s">
        <v>710</v>
      </c>
      <c r="I1310" t="str">
        <f>VLOOKUP(E1310,'Trial Balance'!B:B,1,0)</f>
        <v>Salaries and Employee Wages</v>
      </c>
    </row>
    <row r="1311" spans="1:9">
      <c r="A1311" s="1">
        <v>45925</v>
      </c>
      <c r="B1311" s="78">
        <v>45901</v>
      </c>
      <c r="C1311" t="s">
        <v>1604</v>
      </c>
      <c r="D1311" s="26" t="s">
        <v>3</v>
      </c>
      <c r="E1311" t="s">
        <v>865</v>
      </c>
      <c r="F1311" s="112">
        <v>25</v>
      </c>
      <c r="G1311" t="s">
        <v>710</v>
      </c>
      <c r="I1311" t="str">
        <f>VLOOKUP(E1311,'Trial Balance'!B:B,1,0)</f>
        <v>Bank Fees and Charges</v>
      </c>
    </row>
    <row r="1312" spans="1:9">
      <c r="A1312" s="1">
        <v>45925</v>
      </c>
      <c r="B1312" s="78">
        <v>45901</v>
      </c>
      <c r="C1312" t="s">
        <v>1605</v>
      </c>
      <c r="D1312" s="26" t="s">
        <v>3</v>
      </c>
      <c r="E1312" t="s">
        <v>865</v>
      </c>
      <c r="F1312" s="112">
        <v>1.8800000000046566</v>
      </c>
      <c r="G1312" t="s">
        <v>710</v>
      </c>
      <c r="I1312" t="str">
        <f>VLOOKUP(E1312,'Trial Balance'!B:B,1,0)</f>
        <v>Bank Fees and Charges</v>
      </c>
    </row>
    <row r="1313" spans="1:9">
      <c r="A1313" s="1">
        <v>45925</v>
      </c>
      <c r="B1313" s="78">
        <v>45901</v>
      </c>
      <c r="C1313" t="s">
        <v>1606</v>
      </c>
      <c r="D1313" s="26" t="s">
        <v>8</v>
      </c>
      <c r="E1313" t="s">
        <v>1437</v>
      </c>
      <c r="F1313" s="111">
        <v>20000</v>
      </c>
      <c r="G1313" t="s">
        <v>710</v>
      </c>
      <c r="I1313" t="str">
        <f>VLOOKUP(E1313,'Trial Balance'!B:B,1,0)</f>
        <v>Salaries and Employee Wages</v>
      </c>
    </row>
    <row r="1314" spans="1:9">
      <c r="A1314" s="1">
        <v>45925</v>
      </c>
      <c r="B1314" s="78">
        <v>45901</v>
      </c>
      <c r="C1314" t="s">
        <v>1607</v>
      </c>
      <c r="D1314" s="26" t="s">
        <v>3</v>
      </c>
      <c r="E1314" t="s">
        <v>865</v>
      </c>
      <c r="F1314" s="112">
        <v>25</v>
      </c>
      <c r="G1314" t="s">
        <v>710</v>
      </c>
      <c r="I1314" t="str">
        <f>VLOOKUP(E1314,'Trial Balance'!B:B,1,0)</f>
        <v>Bank Fees and Charges</v>
      </c>
    </row>
    <row r="1315" spans="1:9">
      <c r="A1315" s="1">
        <v>45925</v>
      </c>
      <c r="B1315" s="78">
        <v>45901</v>
      </c>
      <c r="C1315" t="s">
        <v>1608</v>
      </c>
      <c r="D1315" s="26" t="s">
        <v>3</v>
      </c>
      <c r="E1315" t="s">
        <v>865</v>
      </c>
      <c r="F1315" s="112">
        <v>1.8800000000046566</v>
      </c>
      <c r="G1315" t="s">
        <v>710</v>
      </c>
      <c r="I1315" t="str">
        <f>VLOOKUP(E1315,'Trial Balance'!B:B,1,0)</f>
        <v>Bank Fees and Charges</v>
      </c>
    </row>
    <row r="1316" spans="1:9">
      <c r="A1316" s="1">
        <v>45925</v>
      </c>
      <c r="B1316" s="78">
        <v>45901</v>
      </c>
      <c r="C1316" t="s">
        <v>1609</v>
      </c>
      <c r="D1316" s="26" t="s">
        <v>8</v>
      </c>
      <c r="E1316" t="s">
        <v>1437</v>
      </c>
      <c r="F1316" s="111">
        <v>20000</v>
      </c>
      <c r="G1316" t="s">
        <v>710</v>
      </c>
      <c r="I1316" t="str">
        <f>VLOOKUP(E1316,'Trial Balance'!B:B,1,0)</f>
        <v>Salaries and Employee Wages</v>
      </c>
    </row>
    <row r="1317" spans="1:9">
      <c r="A1317" s="1">
        <v>45925</v>
      </c>
      <c r="B1317" s="78">
        <v>45901</v>
      </c>
      <c r="C1317" t="s">
        <v>1610</v>
      </c>
      <c r="D1317" s="26" t="s">
        <v>3</v>
      </c>
      <c r="E1317" t="s">
        <v>865</v>
      </c>
      <c r="F1317" s="112">
        <v>25</v>
      </c>
      <c r="G1317" t="s">
        <v>710</v>
      </c>
      <c r="I1317" t="str">
        <f>VLOOKUP(E1317,'Trial Balance'!B:B,1,0)</f>
        <v>Bank Fees and Charges</v>
      </c>
    </row>
    <row r="1318" spans="1:9">
      <c r="A1318" s="1">
        <v>45925</v>
      </c>
      <c r="B1318" s="78">
        <v>45901</v>
      </c>
      <c r="C1318" t="s">
        <v>1611</v>
      </c>
      <c r="D1318" s="26" t="s">
        <v>3</v>
      </c>
      <c r="E1318" t="s">
        <v>865</v>
      </c>
      <c r="F1318" s="112">
        <v>1.8800000000046566</v>
      </c>
      <c r="G1318" t="s">
        <v>710</v>
      </c>
      <c r="I1318" t="str">
        <f>VLOOKUP(E1318,'Trial Balance'!B:B,1,0)</f>
        <v>Bank Fees and Charges</v>
      </c>
    </row>
    <row r="1319" spans="1:9">
      <c r="A1319" s="1">
        <v>45925</v>
      </c>
      <c r="B1319" s="78">
        <v>45901</v>
      </c>
      <c r="C1319" t="s">
        <v>1612</v>
      </c>
      <c r="D1319" s="26" t="s">
        <v>8</v>
      </c>
      <c r="E1319" t="s">
        <v>1437</v>
      </c>
      <c r="F1319" s="111">
        <v>20000</v>
      </c>
      <c r="G1319" t="s">
        <v>710</v>
      </c>
      <c r="I1319" t="str">
        <f>VLOOKUP(E1319,'Trial Balance'!B:B,1,0)</f>
        <v>Salaries and Employee Wages</v>
      </c>
    </row>
    <row r="1320" spans="1:9">
      <c r="A1320" s="1">
        <v>45925</v>
      </c>
      <c r="B1320" s="78">
        <v>45901</v>
      </c>
      <c r="C1320" t="s">
        <v>1613</v>
      </c>
      <c r="D1320" s="26" t="s">
        <v>3</v>
      </c>
      <c r="E1320" t="s">
        <v>865</v>
      </c>
      <c r="F1320" s="112">
        <v>25</v>
      </c>
      <c r="G1320" t="s">
        <v>710</v>
      </c>
      <c r="I1320" t="str">
        <f>VLOOKUP(E1320,'Trial Balance'!B:B,1,0)</f>
        <v>Bank Fees and Charges</v>
      </c>
    </row>
    <row r="1321" spans="1:9">
      <c r="A1321" s="1">
        <v>45925</v>
      </c>
      <c r="B1321" s="78">
        <v>45901</v>
      </c>
      <c r="C1321" t="s">
        <v>1614</v>
      </c>
      <c r="D1321" s="26" t="s">
        <v>3</v>
      </c>
      <c r="E1321" t="s">
        <v>865</v>
      </c>
      <c r="F1321" s="112">
        <v>1.8800000000046566</v>
      </c>
      <c r="G1321" t="s">
        <v>710</v>
      </c>
      <c r="I1321" t="str">
        <f>VLOOKUP(E1321,'Trial Balance'!B:B,1,0)</f>
        <v>Bank Fees and Charges</v>
      </c>
    </row>
    <row r="1322" spans="1:9">
      <c r="A1322" s="1">
        <v>45925</v>
      </c>
      <c r="B1322" s="78">
        <v>45901</v>
      </c>
      <c r="C1322" t="s">
        <v>1615</v>
      </c>
      <c r="D1322" s="26" t="s">
        <v>8</v>
      </c>
      <c r="E1322" t="s">
        <v>1437</v>
      </c>
      <c r="F1322" s="111">
        <v>35000</v>
      </c>
      <c r="G1322" t="s">
        <v>710</v>
      </c>
      <c r="I1322" t="str">
        <f>VLOOKUP(E1322,'Trial Balance'!B:B,1,0)</f>
        <v>Salaries and Employee Wages</v>
      </c>
    </row>
    <row r="1323" spans="1:9">
      <c r="A1323" s="1">
        <v>45925</v>
      </c>
      <c r="B1323" s="78">
        <v>45901</v>
      </c>
      <c r="C1323" t="s">
        <v>1616</v>
      </c>
      <c r="D1323" s="26" t="s">
        <v>3</v>
      </c>
      <c r="E1323" t="s">
        <v>865</v>
      </c>
      <c r="F1323" s="112">
        <v>25</v>
      </c>
      <c r="G1323" t="s">
        <v>710</v>
      </c>
      <c r="I1323" t="str">
        <f>VLOOKUP(E1323,'Trial Balance'!B:B,1,0)</f>
        <v>Bank Fees and Charges</v>
      </c>
    </row>
    <row r="1324" spans="1:9">
      <c r="A1324" s="1">
        <v>45925</v>
      </c>
      <c r="B1324" s="78">
        <v>45901</v>
      </c>
      <c r="C1324" t="s">
        <v>1617</v>
      </c>
      <c r="D1324" s="26" t="s">
        <v>3</v>
      </c>
      <c r="E1324" t="s">
        <v>865</v>
      </c>
      <c r="F1324" s="112">
        <v>1.8800000000046566</v>
      </c>
      <c r="G1324" t="s">
        <v>710</v>
      </c>
      <c r="I1324" t="str">
        <f>VLOOKUP(E1324,'Trial Balance'!B:B,1,0)</f>
        <v>Bank Fees and Charges</v>
      </c>
    </row>
    <row r="1325" spans="1:9">
      <c r="A1325" s="1">
        <v>45925</v>
      </c>
      <c r="B1325" s="78">
        <v>45901</v>
      </c>
      <c r="C1325" t="s">
        <v>1618</v>
      </c>
      <c r="D1325" s="26" t="s">
        <v>8</v>
      </c>
      <c r="E1325" t="s">
        <v>1437</v>
      </c>
      <c r="F1325" s="111">
        <v>20000</v>
      </c>
      <c r="G1325" t="s">
        <v>710</v>
      </c>
      <c r="I1325" t="str">
        <f>VLOOKUP(E1325,'Trial Balance'!B:B,1,0)</f>
        <v>Salaries and Employee Wages</v>
      </c>
    </row>
    <row r="1326" spans="1:9">
      <c r="A1326" s="1">
        <v>45925</v>
      </c>
      <c r="B1326" s="78">
        <v>45901</v>
      </c>
      <c r="C1326" t="s">
        <v>1619</v>
      </c>
      <c r="D1326" s="26" t="s">
        <v>3</v>
      </c>
      <c r="E1326" t="s">
        <v>865</v>
      </c>
      <c r="F1326" s="112">
        <v>25</v>
      </c>
      <c r="G1326" t="s">
        <v>710</v>
      </c>
      <c r="I1326" t="str">
        <f>VLOOKUP(E1326,'Trial Balance'!B:B,1,0)</f>
        <v>Bank Fees and Charges</v>
      </c>
    </row>
    <row r="1327" spans="1:9">
      <c r="A1327" s="1">
        <v>45925</v>
      </c>
      <c r="B1327" s="78">
        <v>45901</v>
      </c>
      <c r="C1327" t="s">
        <v>1620</v>
      </c>
      <c r="D1327" s="26" t="s">
        <v>3</v>
      </c>
      <c r="E1327" t="s">
        <v>865</v>
      </c>
      <c r="F1327" s="112">
        <v>1.8800000000046566</v>
      </c>
      <c r="G1327" t="s">
        <v>710</v>
      </c>
      <c r="I1327" t="str">
        <f>VLOOKUP(E1327,'Trial Balance'!B:B,1,0)</f>
        <v>Bank Fees and Charges</v>
      </c>
    </row>
    <row r="1328" spans="1:9">
      <c r="A1328" s="1">
        <v>45925</v>
      </c>
      <c r="B1328" s="78">
        <v>45901</v>
      </c>
      <c r="C1328" t="s">
        <v>1621</v>
      </c>
      <c r="D1328" s="26" t="s">
        <v>8</v>
      </c>
      <c r="E1328" t="s">
        <v>1437</v>
      </c>
      <c r="F1328" s="111">
        <v>20000</v>
      </c>
      <c r="G1328" t="s">
        <v>710</v>
      </c>
      <c r="I1328" t="str">
        <f>VLOOKUP(E1328,'Trial Balance'!B:B,1,0)</f>
        <v>Salaries and Employee Wages</v>
      </c>
    </row>
    <row r="1329" spans="1:9">
      <c r="A1329" s="1">
        <v>45925</v>
      </c>
      <c r="B1329" s="78">
        <v>45901</v>
      </c>
      <c r="C1329" t="s">
        <v>1622</v>
      </c>
      <c r="D1329" s="26" t="s">
        <v>3</v>
      </c>
      <c r="E1329" t="s">
        <v>865</v>
      </c>
      <c r="F1329" s="112">
        <v>25</v>
      </c>
      <c r="G1329" t="s">
        <v>710</v>
      </c>
      <c r="I1329" t="str">
        <f>VLOOKUP(E1329,'Trial Balance'!B:B,1,0)</f>
        <v>Bank Fees and Charges</v>
      </c>
    </row>
    <row r="1330" spans="1:9">
      <c r="A1330" s="1">
        <v>45925</v>
      </c>
      <c r="B1330" s="78">
        <v>45901</v>
      </c>
      <c r="C1330" t="s">
        <v>1623</v>
      </c>
      <c r="D1330" s="26" t="s">
        <v>3</v>
      </c>
      <c r="E1330" t="s">
        <v>865</v>
      </c>
      <c r="F1330" s="112">
        <v>1.8800000000046566</v>
      </c>
      <c r="G1330" t="s">
        <v>710</v>
      </c>
      <c r="I1330" t="str">
        <f>VLOOKUP(E1330,'Trial Balance'!B:B,1,0)</f>
        <v>Bank Fees and Charges</v>
      </c>
    </row>
    <row r="1331" spans="1:9">
      <c r="A1331" s="1">
        <v>45925</v>
      </c>
      <c r="B1331" s="78">
        <v>45901</v>
      </c>
      <c r="C1331" t="s">
        <v>1624</v>
      </c>
      <c r="D1331" s="26" t="s">
        <v>8</v>
      </c>
      <c r="E1331" t="s">
        <v>1437</v>
      </c>
      <c r="F1331" s="111">
        <v>44432.33</v>
      </c>
      <c r="G1331" t="s">
        <v>710</v>
      </c>
      <c r="I1331" t="str">
        <f>VLOOKUP(E1331,'Trial Balance'!B:B,1,0)</f>
        <v>Salaries and Employee Wages</v>
      </c>
    </row>
    <row r="1332" spans="1:9">
      <c r="A1332" s="1">
        <v>45925</v>
      </c>
      <c r="B1332" s="78">
        <v>45901</v>
      </c>
      <c r="C1332" t="s">
        <v>1625</v>
      </c>
      <c r="D1332" s="26" t="s">
        <v>3</v>
      </c>
      <c r="E1332" t="s">
        <v>865</v>
      </c>
      <c r="F1332" s="112">
        <v>25</v>
      </c>
      <c r="G1332" t="s">
        <v>710</v>
      </c>
      <c r="I1332" t="str">
        <f>VLOOKUP(E1332,'Trial Balance'!B:B,1,0)</f>
        <v>Bank Fees and Charges</v>
      </c>
    </row>
    <row r="1333" spans="1:9">
      <c r="A1333" s="1">
        <v>45925</v>
      </c>
      <c r="B1333" s="78">
        <v>45901</v>
      </c>
      <c r="C1333" t="s">
        <v>1626</v>
      </c>
      <c r="D1333" s="26" t="s">
        <v>3</v>
      </c>
      <c r="E1333" t="s">
        <v>865</v>
      </c>
      <c r="F1333" s="112">
        <v>1.8800000000046566</v>
      </c>
      <c r="G1333" t="s">
        <v>710</v>
      </c>
      <c r="I1333" t="str">
        <f>VLOOKUP(E1333,'Trial Balance'!B:B,1,0)</f>
        <v>Bank Fees and Charges</v>
      </c>
    </row>
    <row r="1334" spans="1:9">
      <c r="A1334" s="1">
        <v>45925</v>
      </c>
      <c r="B1334" s="78">
        <v>45901</v>
      </c>
      <c r="C1334" t="s">
        <v>1627</v>
      </c>
      <c r="D1334" s="26" t="s">
        <v>8</v>
      </c>
      <c r="E1334" t="s">
        <v>1437</v>
      </c>
      <c r="F1334" s="111">
        <v>20000</v>
      </c>
      <c r="G1334" t="s">
        <v>710</v>
      </c>
      <c r="I1334" t="str">
        <f>VLOOKUP(E1334,'Trial Balance'!B:B,1,0)</f>
        <v>Salaries and Employee Wages</v>
      </c>
    </row>
    <row r="1335" spans="1:9">
      <c r="A1335" s="1">
        <v>45925</v>
      </c>
      <c r="B1335" s="78">
        <v>45901</v>
      </c>
      <c r="C1335" t="s">
        <v>1628</v>
      </c>
      <c r="D1335" s="26" t="s">
        <v>3</v>
      </c>
      <c r="E1335" t="s">
        <v>865</v>
      </c>
      <c r="F1335" s="112">
        <v>25</v>
      </c>
      <c r="G1335" t="s">
        <v>710</v>
      </c>
      <c r="I1335" t="str">
        <f>VLOOKUP(E1335,'Trial Balance'!B:B,1,0)</f>
        <v>Bank Fees and Charges</v>
      </c>
    </row>
    <row r="1336" spans="1:9">
      <c r="A1336" s="1">
        <v>45925</v>
      </c>
      <c r="B1336" s="78">
        <v>45901</v>
      </c>
      <c r="C1336" t="s">
        <v>1629</v>
      </c>
      <c r="D1336" s="26" t="s">
        <v>3</v>
      </c>
      <c r="E1336" t="s">
        <v>865</v>
      </c>
      <c r="F1336" s="112">
        <v>1.8800000000046566</v>
      </c>
      <c r="G1336" t="s">
        <v>710</v>
      </c>
      <c r="I1336" t="str">
        <f>VLOOKUP(E1336,'Trial Balance'!B:B,1,0)</f>
        <v>Bank Fees and Charges</v>
      </c>
    </row>
    <row r="1337" spans="1:9">
      <c r="A1337" s="1">
        <v>45925</v>
      </c>
      <c r="B1337" s="78">
        <v>45901</v>
      </c>
      <c r="C1337" t="s">
        <v>1471</v>
      </c>
      <c r="D1337" s="26" t="s">
        <v>8</v>
      </c>
      <c r="E1337" t="s">
        <v>1437</v>
      </c>
      <c r="F1337" s="121">
        <v>-140171.67000000001</v>
      </c>
      <c r="G1337" t="s">
        <v>710</v>
      </c>
      <c r="I1337" t="str">
        <f>VLOOKUP(E1337,'Trial Balance'!B:B,1,0)</f>
        <v>Salaries and Employee Wages</v>
      </c>
    </row>
    <row r="1338" spans="1:9">
      <c r="A1338" s="1">
        <v>45925</v>
      </c>
      <c r="B1338" s="78">
        <v>45901</v>
      </c>
      <c r="C1338" t="s">
        <v>1472</v>
      </c>
      <c r="D1338" s="26" t="s">
        <v>3</v>
      </c>
      <c r="E1338" t="s">
        <v>865</v>
      </c>
      <c r="F1338" s="121">
        <v>-50</v>
      </c>
      <c r="G1338" t="s">
        <v>710</v>
      </c>
      <c r="I1338" t="str">
        <f>VLOOKUP(E1338,'Trial Balance'!B:B,1,0)</f>
        <v>Bank Fees and Charges</v>
      </c>
    </row>
    <row r="1339" spans="1:9">
      <c r="A1339" s="1">
        <v>45925</v>
      </c>
      <c r="B1339" s="78">
        <v>45901</v>
      </c>
      <c r="C1339" t="s">
        <v>1473</v>
      </c>
      <c r="D1339" s="26" t="s">
        <v>3</v>
      </c>
      <c r="E1339" t="s">
        <v>865</v>
      </c>
      <c r="F1339" s="121">
        <v>-3.75</v>
      </c>
      <c r="G1339" t="s">
        <v>710</v>
      </c>
      <c r="I1339" t="str">
        <f>VLOOKUP(E1339,'Trial Balance'!B:B,1,0)</f>
        <v>Bank Fees and Charges</v>
      </c>
    </row>
    <row r="1340" spans="1:9">
      <c r="A1340" s="1">
        <v>45925</v>
      </c>
      <c r="B1340" s="78">
        <v>45901</v>
      </c>
      <c r="C1340" t="s">
        <v>1552</v>
      </c>
      <c r="D1340" s="26" t="s">
        <v>8</v>
      </c>
      <c r="E1340" t="s">
        <v>1437</v>
      </c>
      <c r="F1340" s="121">
        <v>-27500</v>
      </c>
      <c r="G1340" t="s">
        <v>710</v>
      </c>
      <c r="I1340" t="str">
        <f>VLOOKUP(E1340,'Trial Balance'!B:B,1,0)</f>
        <v>Salaries and Employee Wages</v>
      </c>
    </row>
    <row r="1341" spans="1:9">
      <c r="A1341" s="1">
        <v>45925</v>
      </c>
      <c r="B1341" s="78">
        <v>45901</v>
      </c>
      <c r="C1341" t="s">
        <v>1553</v>
      </c>
      <c r="D1341" s="26" t="s">
        <v>3</v>
      </c>
      <c r="E1341" t="s">
        <v>865</v>
      </c>
      <c r="F1341" s="121">
        <v>-25</v>
      </c>
      <c r="G1341" t="s">
        <v>710</v>
      </c>
      <c r="I1341" t="str">
        <f>VLOOKUP(E1341,'Trial Balance'!B:B,1,0)</f>
        <v>Bank Fees and Charges</v>
      </c>
    </row>
    <row r="1342" spans="1:9">
      <c r="A1342" s="1">
        <v>45925</v>
      </c>
      <c r="B1342" s="78">
        <v>45901</v>
      </c>
      <c r="C1342" t="s">
        <v>1554</v>
      </c>
      <c r="D1342" s="26" t="s">
        <v>3</v>
      </c>
      <c r="E1342" t="s">
        <v>865</v>
      </c>
      <c r="F1342" s="121">
        <v>-1.88</v>
      </c>
      <c r="G1342" t="s">
        <v>710</v>
      </c>
      <c r="I1342" t="str">
        <f>VLOOKUP(E1342,'Trial Balance'!B:B,1,0)</f>
        <v>Bank Fees and Charges</v>
      </c>
    </row>
    <row r="1343" spans="1:9">
      <c r="A1343" s="1">
        <v>45925</v>
      </c>
      <c r="B1343" s="78">
        <v>45901</v>
      </c>
      <c r="C1343" t="s">
        <v>1630</v>
      </c>
      <c r="D1343" s="26" t="s">
        <v>8</v>
      </c>
      <c r="E1343" t="s">
        <v>1437</v>
      </c>
      <c r="F1343" s="111">
        <v>27500</v>
      </c>
      <c r="G1343" t="s">
        <v>710</v>
      </c>
      <c r="I1343" t="str">
        <f>VLOOKUP(E1343,'Trial Balance'!B:B,1,0)</f>
        <v>Salaries and Employee Wages</v>
      </c>
    </row>
    <row r="1344" spans="1:9">
      <c r="A1344" s="1">
        <v>45925</v>
      </c>
      <c r="B1344" s="78">
        <v>45901</v>
      </c>
      <c r="C1344" t="s">
        <v>1631</v>
      </c>
      <c r="D1344" s="26" t="s">
        <v>3</v>
      </c>
      <c r="E1344" t="s">
        <v>865</v>
      </c>
      <c r="F1344" s="112">
        <v>25</v>
      </c>
      <c r="G1344" t="s">
        <v>710</v>
      </c>
      <c r="I1344" t="str">
        <f>VLOOKUP(E1344,'Trial Balance'!B:B,1,0)</f>
        <v>Bank Fees and Charges</v>
      </c>
    </row>
    <row r="1345" spans="1:9">
      <c r="A1345" s="1">
        <v>45925</v>
      </c>
      <c r="B1345" s="78">
        <v>45901</v>
      </c>
      <c r="C1345" t="s">
        <v>1632</v>
      </c>
      <c r="D1345" s="26" t="s">
        <v>3</v>
      </c>
      <c r="E1345" t="s">
        <v>865</v>
      </c>
      <c r="F1345" s="112">
        <v>1.8800000000046566</v>
      </c>
      <c r="G1345" t="s">
        <v>710</v>
      </c>
      <c r="I1345" t="str">
        <f>VLOOKUP(E1345,'Trial Balance'!B:B,1,0)</f>
        <v>Bank Fees and Charges</v>
      </c>
    </row>
    <row r="1346" spans="1:9">
      <c r="A1346" s="1">
        <v>45925</v>
      </c>
      <c r="B1346" s="78">
        <v>45901</v>
      </c>
      <c r="C1346" t="s">
        <v>1633</v>
      </c>
      <c r="D1346" s="26" t="s">
        <v>8</v>
      </c>
      <c r="E1346" t="s">
        <v>1437</v>
      </c>
      <c r="F1346" s="112">
        <v>140171.67000000001</v>
      </c>
      <c r="G1346" t="s">
        <v>710</v>
      </c>
      <c r="I1346" t="str">
        <f>VLOOKUP(E1346,'Trial Balance'!B:B,1,0)</f>
        <v>Salaries and Employee Wages</v>
      </c>
    </row>
    <row r="1347" spans="1:9">
      <c r="A1347" s="1">
        <v>45925</v>
      </c>
      <c r="B1347" s="78">
        <v>45901</v>
      </c>
      <c r="C1347" t="s">
        <v>1634</v>
      </c>
      <c r="D1347" s="26" t="s">
        <v>3</v>
      </c>
      <c r="E1347" t="s">
        <v>865</v>
      </c>
      <c r="F1347" s="112">
        <v>50</v>
      </c>
      <c r="G1347" t="s">
        <v>710</v>
      </c>
      <c r="I1347" t="str">
        <f>VLOOKUP(E1347,'Trial Balance'!B:B,1,0)</f>
        <v>Bank Fees and Charges</v>
      </c>
    </row>
    <row r="1348" spans="1:9">
      <c r="A1348" s="1">
        <v>45925</v>
      </c>
      <c r="B1348" s="78">
        <v>45901</v>
      </c>
      <c r="C1348" t="s">
        <v>1635</v>
      </c>
      <c r="D1348" s="26" t="s">
        <v>3</v>
      </c>
      <c r="E1348" t="s">
        <v>865</v>
      </c>
      <c r="F1348" s="112">
        <v>3.75</v>
      </c>
      <c r="G1348" t="s">
        <v>710</v>
      </c>
      <c r="I1348" t="str">
        <f>VLOOKUP(E1348,'Trial Balance'!B:B,1,0)</f>
        <v>Bank Fees and Charges</v>
      </c>
    </row>
    <row r="1349" spans="1:9">
      <c r="A1349" s="1">
        <v>45926</v>
      </c>
      <c r="B1349" s="78">
        <v>45901</v>
      </c>
      <c r="C1349" t="s">
        <v>1636</v>
      </c>
      <c r="D1349" s="26" t="s">
        <v>4</v>
      </c>
      <c r="E1349" t="s">
        <v>874</v>
      </c>
      <c r="F1349" s="111">
        <v>43500</v>
      </c>
      <c r="G1349" t="s">
        <v>710</v>
      </c>
      <c r="I1349" t="str">
        <f>VLOOKUP(E1349,'Trial Balance'!B:B,1,0)</f>
        <v>Office Supplies</v>
      </c>
    </row>
    <row r="1350" spans="1:9">
      <c r="A1350" s="1">
        <v>45926</v>
      </c>
      <c r="B1350" s="78">
        <v>45901</v>
      </c>
      <c r="C1350" t="s">
        <v>1637</v>
      </c>
      <c r="D1350" s="26" t="s">
        <v>3</v>
      </c>
      <c r="E1350" t="s">
        <v>865</v>
      </c>
      <c r="F1350" s="112">
        <v>25</v>
      </c>
      <c r="G1350" t="s">
        <v>710</v>
      </c>
      <c r="I1350" t="str">
        <f>VLOOKUP(E1350,'Trial Balance'!B:B,1,0)</f>
        <v>Bank Fees and Charges</v>
      </c>
    </row>
    <row r="1351" spans="1:9">
      <c r="A1351" s="1">
        <v>45926</v>
      </c>
      <c r="B1351" s="78">
        <v>45901</v>
      </c>
      <c r="C1351" t="s">
        <v>1637</v>
      </c>
      <c r="D1351" s="26" t="s">
        <v>3</v>
      </c>
      <c r="E1351" t="s">
        <v>865</v>
      </c>
      <c r="F1351" s="112">
        <v>1.8800000000046566</v>
      </c>
      <c r="G1351" t="s">
        <v>710</v>
      </c>
      <c r="I1351" t="str">
        <f>VLOOKUP(E1351,'Trial Balance'!B:B,1,0)</f>
        <v>Bank Fees and Charges</v>
      </c>
    </row>
    <row r="1352" spans="1:9">
      <c r="A1352" s="1">
        <v>45929</v>
      </c>
      <c r="B1352" s="78">
        <v>45901</v>
      </c>
      <c r="C1352" t="s">
        <v>1638</v>
      </c>
      <c r="D1352" s="26" t="s">
        <v>26</v>
      </c>
      <c r="E1352" t="s">
        <v>976</v>
      </c>
      <c r="F1352" s="111">
        <v>200000</v>
      </c>
      <c r="G1352" t="s">
        <v>710</v>
      </c>
      <c r="I1352" t="str">
        <f>VLOOKUP(E1352,'Trial Balance'!B:B,1,0)</f>
        <v>Travel expense - Local</v>
      </c>
    </row>
    <row r="1353" spans="1:9">
      <c r="A1353" s="1">
        <v>45929</v>
      </c>
      <c r="B1353" s="78">
        <v>45901</v>
      </c>
      <c r="C1353" t="s">
        <v>1638</v>
      </c>
      <c r="D1353" s="26" t="s">
        <v>3</v>
      </c>
      <c r="E1353" t="s">
        <v>865</v>
      </c>
      <c r="F1353" s="112">
        <v>50</v>
      </c>
      <c r="G1353" t="s">
        <v>710</v>
      </c>
      <c r="I1353" t="str">
        <f>VLOOKUP(E1353,'Trial Balance'!B:B,1,0)</f>
        <v>Bank Fees and Charges</v>
      </c>
    </row>
    <row r="1354" spans="1:9">
      <c r="A1354" s="1">
        <v>45929</v>
      </c>
      <c r="B1354" s="78">
        <v>45901</v>
      </c>
      <c r="C1354" t="s">
        <v>1638</v>
      </c>
      <c r="D1354" s="26" t="s">
        <v>3</v>
      </c>
      <c r="E1354" t="s">
        <v>865</v>
      </c>
      <c r="F1354" s="112">
        <v>3.75</v>
      </c>
      <c r="G1354" t="s">
        <v>710</v>
      </c>
      <c r="I1354" t="str">
        <f>VLOOKUP(E1354,'Trial Balance'!B:B,1,0)</f>
        <v>Bank Fees and Charges</v>
      </c>
    </row>
    <row r="1355" spans="1:9">
      <c r="A1355" s="1">
        <v>45929</v>
      </c>
      <c r="B1355" s="78">
        <v>45901</v>
      </c>
      <c r="C1355" t="s">
        <v>1639</v>
      </c>
      <c r="D1355" s="26" t="s">
        <v>6</v>
      </c>
      <c r="E1355" t="s">
        <v>840</v>
      </c>
      <c r="F1355" s="111">
        <v>1300000</v>
      </c>
      <c r="G1355" t="s">
        <v>710</v>
      </c>
      <c r="I1355" t="str">
        <f>VLOOKUP(E1355,'Trial Balance'!B:B,1,0)</f>
        <v>Janitorial Expense</v>
      </c>
    </row>
    <row r="1356" spans="1:9">
      <c r="A1356" s="1">
        <v>45929</v>
      </c>
      <c r="B1356" s="78">
        <v>45901</v>
      </c>
      <c r="C1356" t="s">
        <v>1640</v>
      </c>
      <c r="D1356" s="26" t="s">
        <v>3</v>
      </c>
      <c r="E1356" t="s">
        <v>865</v>
      </c>
      <c r="F1356" s="112">
        <v>50</v>
      </c>
      <c r="G1356" t="s">
        <v>710</v>
      </c>
      <c r="I1356" t="str">
        <f>VLOOKUP(E1356,'Trial Balance'!B:B,1,0)</f>
        <v>Bank Fees and Charges</v>
      </c>
    </row>
    <row r="1357" spans="1:9">
      <c r="A1357" s="1">
        <v>45929</v>
      </c>
      <c r="B1357" s="78">
        <v>45901</v>
      </c>
      <c r="C1357" t="s">
        <v>1641</v>
      </c>
      <c r="D1357" s="26" t="s">
        <v>3</v>
      </c>
      <c r="E1357" t="s">
        <v>865</v>
      </c>
      <c r="F1357" s="112">
        <v>3.75</v>
      </c>
      <c r="G1357" t="s">
        <v>710</v>
      </c>
      <c r="I1357" t="str">
        <f>VLOOKUP(E1357,'Trial Balance'!B:B,1,0)</f>
        <v>Bank Fees and Charges</v>
      </c>
    </row>
    <row r="1358" spans="1:9">
      <c r="A1358" s="1">
        <v>45929</v>
      </c>
      <c r="B1358" s="78">
        <v>45901</v>
      </c>
      <c r="C1358" t="s">
        <v>1642</v>
      </c>
      <c r="D1358" s="26" t="s">
        <v>16</v>
      </c>
      <c r="E1358" t="s">
        <v>974</v>
      </c>
      <c r="F1358" s="115">
        <v>950000</v>
      </c>
      <c r="G1358" t="s">
        <v>710</v>
      </c>
      <c r="I1358" t="str">
        <f>VLOOKUP(E1358,'Trial Balance'!B:B,1,0)</f>
        <v>Security expense</v>
      </c>
    </row>
    <row r="1359" spans="1:9">
      <c r="A1359" s="1">
        <v>45929</v>
      </c>
      <c r="B1359" s="78">
        <v>45901</v>
      </c>
      <c r="C1359" s="28" t="s">
        <v>1643</v>
      </c>
      <c r="D1359" s="28" t="s">
        <v>3</v>
      </c>
      <c r="E1359" s="28" t="s">
        <v>865</v>
      </c>
      <c r="F1359" s="112">
        <v>50</v>
      </c>
      <c r="G1359" t="s">
        <v>710</v>
      </c>
      <c r="I1359" t="str">
        <f>VLOOKUP(E1359,'Trial Balance'!B:B,1,0)</f>
        <v>Bank Fees and Charges</v>
      </c>
    </row>
    <row r="1360" spans="1:9">
      <c r="A1360" s="1">
        <v>45929</v>
      </c>
      <c r="B1360" s="78">
        <v>45901</v>
      </c>
      <c r="C1360" s="28" t="s">
        <v>1644</v>
      </c>
      <c r="D1360" s="28" t="s">
        <v>3</v>
      </c>
      <c r="E1360" s="28" t="s">
        <v>865</v>
      </c>
      <c r="F1360" s="112">
        <v>3.75</v>
      </c>
      <c r="G1360" t="s">
        <v>710</v>
      </c>
      <c r="I1360" t="str">
        <f>VLOOKUP(E1360,'Trial Balance'!B:B,1,0)</f>
        <v>Bank Fees and Charges</v>
      </c>
    </row>
    <row r="1361" spans="1:9">
      <c r="A1361" s="1">
        <v>45930</v>
      </c>
      <c r="B1361" s="78">
        <v>45901</v>
      </c>
      <c r="C1361" s="28" t="s">
        <v>1645</v>
      </c>
      <c r="D1361" s="28" t="s">
        <v>13</v>
      </c>
      <c r="E1361" s="28" t="s">
        <v>800</v>
      </c>
      <c r="F1361" s="115">
        <v>100000</v>
      </c>
      <c r="G1361" t="s">
        <v>710</v>
      </c>
      <c r="I1361" t="str">
        <f>VLOOKUP(E1361,'Trial Balance'!B:B,1,0)</f>
        <v>Repairs and Maintenance</v>
      </c>
    </row>
    <row r="1362" spans="1:9">
      <c r="A1362" s="1">
        <v>45930</v>
      </c>
      <c r="B1362" s="78">
        <v>45901</v>
      </c>
      <c r="C1362" s="28" t="s">
        <v>1646</v>
      </c>
      <c r="D1362" s="28" t="s">
        <v>3</v>
      </c>
      <c r="E1362" s="28" t="s">
        <v>865</v>
      </c>
      <c r="F1362" s="112">
        <v>50</v>
      </c>
      <c r="G1362" t="s">
        <v>710</v>
      </c>
      <c r="I1362" t="str">
        <f>VLOOKUP(E1362,'Trial Balance'!B:B,1,0)</f>
        <v>Bank Fees and Charges</v>
      </c>
    </row>
    <row r="1363" spans="1:9">
      <c r="A1363" s="1">
        <v>45930</v>
      </c>
      <c r="B1363" s="78">
        <v>45901</v>
      </c>
      <c r="C1363" s="28" t="s">
        <v>1647</v>
      </c>
      <c r="D1363" s="28" t="s">
        <v>3</v>
      </c>
      <c r="E1363" s="28" t="s">
        <v>865</v>
      </c>
      <c r="F1363" s="112">
        <v>3.75</v>
      </c>
      <c r="G1363" t="s">
        <v>710</v>
      </c>
      <c r="I1363" t="str">
        <f>VLOOKUP(E1363,'Trial Balance'!B:B,1,0)</f>
        <v>Bank Fees and Charges</v>
      </c>
    </row>
    <row r="1364" spans="1:9">
      <c r="A1364" s="1">
        <v>45930</v>
      </c>
      <c r="B1364" s="78">
        <v>45901</v>
      </c>
      <c r="C1364" s="28" t="s">
        <v>1648</v>
      </c>
      <c r="D1364" s="28" t="s">
        <v>3</v>
      </c>
      <c r="E1364" s="28" t="s">
        <v>865</v>
      </c>
      <c r="F1364" s="115">
        <v>2829.13</v>
      </c>
      <c r="G1364" t="s">
        <v>710</v>
      </c>
      <c r="I1364" t="str">
        <f>VLOOKUP(E1364,'Trial Balance'!B:B,1,0)</f>
        <v>Bank Fees and Charges</v>
      </c>
    </row>
    <row r="1365" spans="1:9">
      <c r="A1365" s="1">
        <v>45930</v>
      </c>
      <c r="B1365" s="78">
        <v>45901</v>
      </c>
      <c r="C1365" s="28" t="s">
        <v>1649</v>
      </c>
      <c r="D1365" s="28" t="s">
        <v>3</v>
      </c>
      <c r="E1365" s="28" t="s">
        <v>865</v>
      </c>
      <c r="F1365" s="115">
        <v>37720.559999999998</v>
      </c>
      <c r="G1365" t="s">
        <v>710</v>
      </c>
      <c r="I1365" t="str">
        <f>VLOOKUP(E1365,'Trial Balance'!B:B,1,0)</f>
        <v>Bank Fees and Charges</v>
      </c>
    </row>
    <row r="1366" spans="1:9" s="10" customFormat="1">
      <c r="A1366" s="8">
        <v>45930</v>
      </c>
      <c r="B1366" s="78">
        <v>45901</v>
      </c>
      <c r="C1366" s="10" t="s">
        <v>744</v>
      </c>
      <c r="D1366" s="10" t="s">
        <v>714</v>
      </c>
      <c r="E1366" s="5" t="s">
        <v>950</v>
      </c>
      <c r="F1366" s="117">
        <f>-SUM(F1015:F1365)</f>
        <v>-37665924.440000072</v>
      </c>
      <c r="G1366" s="10" t="s">
        <v>710</v>
      </c>
      <c r="I1366" t="str">
        <f>VLOOKUP(E1366,'Trial Balance'!B:B,1,0)</f>
        <v>Premium Trust bank</v>
      </c>
    </row>
    <row r="1367" spans="1:9">
      <c r="A1367" s="1">
        <v>45901</v>
      </c>
      <c r="B1367" s="78">
        <v>45901</v>
      </c>
      <c r="C1367" s="28" t="s">
        <v>1650</v>
      </c>
      <c r="D1367" s="28" t="s">
        <v>1651</v>
      </c>
      <c r="E1367" s="28" t="s">
        <v>27</v>
      </c>
      <c r="F1367" s="106">
        <v>500000</v>
      </c>
      <c r="G1367" s="28" t="s">
        <v>998</v>
      </c>
      <c r="I1367" t="str">
        <f>VLOOKUP(E1367,'Trial Balance'!B:B,1,0)</f>
        <v>Staff welfare</v>
      </c>
    </row>
    <row r="1368" spans="1:9">
      <c r="A1368" s="1">
        <v>45901</v>
      </c>
      <c r="B1368" s="78">
        <v>45901</v>
      </c>
      <c r="C1368" s="28" t="s">
        <v>727</v>
      </c>
      <c r="D1368" s="28" t="s">
        <v>3</v>
      </c>
      <c r="E1368" s="28" t="s">
        <v>865</v>
      </c>
      <c r="F1368" s="28">
        <v>53.75</v>
      </c>
      <c r="G1368" s="28" t="s">
        <v>998</v>
      </c>
      <c r="I1368" t="str">
        <f>VLOOKUP(E1368,'Trial Balance'!B:B,1,0)</f>
        <v>Bank Fees and Charges</v>
      </c>
    </row>
    <row r="1369" spans="1:9">
      <c r="A1369" s="1">
        <v>45901</v>
      </c>
      <c r="B1369" s="78">
        <v>45901</v>
      </c>
      <c r="C1369" s="28" t="s">
        <v>1652</v>
      </c>
      <c r="D1369" s="28" t="s">
        <v>31</v>
      </c>
      <c r="E1369" s="28" t="s">
        <v>986</v>
      </c>
      <c r="F1369" s="106">
        <v>100000</v>
      </c>
      <c r="G1369" s="28" t="s">
        <v>998</v>
      </c>
      <c r="I1369" t="str">
        <f>VLOOKUP(E1369,'Trial Balance'!B:B,1,0)</f>
        <v>Refundable security deposit</v>
      </c>
    </row>
    <row r="1370" spans="1:9">
      <c r="A1370" s="1">
        <v>45901</v>
      </c>
      <c r="B1370" s="78">
        <v>45901</v>
      </c>
      <c r="C1370" s="28" t="s">
        <v>727</v>
      </c>
      <c r="D1370" s="28" t="s">
        <v>3</v>
      </c>
      <c r="E1370" s="28" t="s">
        <v>865</v>
      </c>
      <c r="F1370" s="28">
        <v>53.75</v>
      </c>
      <c r="G1370" s="28" t="s">
        <v>998</v>
      </c>
      <c r="I1370" t="str">
        <f>VLOOKUP(E1370,'Trial Balance'!B:B,1,0)</f>
        <v>Bank Fees and Charges</v>
      </c>
    </row>
    <row r="1371" spans="1:9">
      <c r="A1371" s="1">
        <v>45902</v>
      </c>
      <c r="B1371" s="78">
        <v>45901</v>
      </c>
      <c r="C1371" s="28" t="s">
        <v>1653</v>
      </c>
      <c r="D1371" s="28" t="s">
        <v>15</v>
      </c>
      <c r="E1371" s="28" t="s">
        <v>1407</v>
      </c>
      <c r="F1371" s="2">
        <v>-676000</v>
      </c>
      <c r="G1371" s="28" t="s">
        <v>998</v>
      </c>
      <c r="I1371" t="str">
        <f>VLOOKUP(E1371,'Trial Balance'!B:B,1,0)</f>
        <v>Guest entertainment</v>
      </c>
    </row>
    <row r="1372" spans="1:9">
      <c r="A1372" s="1">
        <v>45907</v>
      </c>
      <c r="B1372" s="78">
        <v>45901</v>
      </c>
      <c r="C1372" s="28" t="s">
        <v>733</v>
      </c>
      <c r="D1372" s="28" t="s">
        <v>3</v>
      </c>
      <c r="E1372" s="28" t="s">
        <v>865</v>
      </c>
      <c r="F1372" s="2">
        <v>50</v>
      </c>
      <c r="G1372" s="28" t="s">
        <v>998</v>
      </c>
      <c r="I1372" t="str">
        <f>VLOOKUP(E1372,'Trial Balance'!B:B,1,0)</f>
        <v>Bank Fees and Charges</v>
      </c>
    </row>
    <row r="1373" spans="1:9">
      <c r="A1373" s="109">
        <v>45908</v>
      </c>
      <c r="B1373" s="78">
        <v>45901</v>
      </c>
      <c r="C1373" s="28" t="s">
        <v>1654</v>
      </c>
      <c r="D1373" s="28" t="s">
        <v>15</v>
      </c>
      <c r="E1373" s="28" t="s">
        <v>1407</v>
      </c>
      <c r="F1373" s="106">
        <v>104000</v>
      </c>
      <c r="G1373" s="28" t="s">
        <v>998</v>
      </c>
      <c r="I1373" t="str">
        <f>VLOOKUP(E1373,'Trial Balance'!B:B,1,0)</f>
        <v>Guest entertainment</v>
      </c>
    </row>
    <row r="1374" spans="1:9">
      <c r="A1374" s="109">
        <v>45908</v>
      </c>
      <c r="B1374" s="78">
        <v>45901</v>
      </c>
      <c r="C1374" s="28" t="s">
        <v>727</v>
      </c>
      <c r="D1374" s="28" t="s">
        <v>3</v>
      </c>
      <c r="E1374" s="28" t="s">
        <v>865</v>
      </c>
      <c r="F1374" s="28">
        <v>53.75</v>
      </c>
      <c r="G1374" s="28" t="s">
        <v>998</v>
      </c>
      <c r="I1374" t="str">
        <f>VLOOKUP(E1374,'Trial Balance'!B:B,1,0)</f>
        <v>Bank Fees and Charges</v>
      </c>
    </row>
    <row r="1375" spans="1:9">
      <c r="A1375" s="109">
        <v>45908</v>
      </c>
      <c r="B1375" s="78">
        <v>45901</v>
      </c>
      <c r="C1375" s="28" t="s">
        <v>1655</v>
      </c>
      <c r="D1375" s="28" t="s">
        <v>15</v>
      </c>
      <c r="E1375" s="28" t="s">
        <v>1407</v>
      </c>
      <c r="F1375" s="2">
        <v>-149962.5</v>
      </c>
      <c r="G1375" s="28" t="s">
        <v>998</v>
      </c>
      <c r="I1375" t="str">
        <f>VLOOKUP(E1375,'Trial Balance'!B:B,1,0)</f>
        <v>Guest entertainment</v>
      </c>
    </row>
    <row r="1376" spans="1:9">
      <c r="A1376" s="109">
        <v>45908</v>
      </c>
      <c r="B1376" s="78">
        <v>45901</v>
      </c>
      <c r="C1376" s="28" t="s">
        <v>1656</v>
      </c>
      <c r="D1376" s="28" t="s">
        <v>33</v>
      </c>
      <c r="E1376" s="28" t="s">
        <v>982</v>
      </c>
      <c r="F1376" s="106">
        <v>200000</v>
      </c>
      <c r="G1376" s="28" t="s">
        <v>998</v>
      </c>
      <c r="I1376" t="str">
        <f>VLOOKUP(E1376,'Trial Balance'!B:B,1,0)</f>
        <v>Staff allowances</v>
      </c>
    </row>
    <row r="1377" spans="1:9">
      <c r="A1377" s="109">
        <v>45908</v>
      </c>
      <c r="B1377" s="78">
        <v>45901</v>
      </c>
      <c r="C1377" s="28" t="s">
        <v>727</v>
      </c>
      <c r="D1377" s="28" t="s">
        <v>3</v>
      </c>
      <c r="E1377" s="28" t="s">
        <v>865</v>
      </c>
      <c r="F1377" s="28">
        <v>53.75</v>
      </c>
      <c r="G1377" s="28" t="s">
        <v>998</v>
      </c>
      <c r="I1377" t="str">
        <f>VLOOKUP(E1377,'Trial Balance'!B:B,1,0)</f>
        <v>Bank Fees and Charges</v>
      </c>
    </row>
    <row r="1378" spans="1:9">
      <c r="A1378" s="109">
        <v>45908</v>
      </c>
      <c r="B1378" s="78">
        <v>45901</v>
      </c>
      <c r="C1378" s="28" t="s">
        <v>1656</v>
      </c>
      <c r="D1378" s="28" t="s">
        <v>33</v>
      </c>
      <c r="E1378" s="28" t="s">
        <v>982</v>
      </c>
      <c r="F1378" s="106">
        <v>150000</v>
      </c>
      <c r="G1378" s="28" t="s">
        <v>998</v>
      </c>
      <c r="I1378" t="str">
        <f>VLOOKUP(E1378,'Trial Balance'!B:B,1,0)</f>
        <v>Staff allowances</v>
      </c>
    </row>
    <row r="1379" spans="1:9">
      <c r="A1379" s="109">
        <v>45908</v>
      </c>
      <c r="B1379" s="78">
        <v>45901</v>
      </c>
      <c r="C1379" s="28" t="s">
        <v>727</v>
      </c>
      <c r="D1379" s="28" t="s">
        <v>3</v>
      </c>
      <c r="E1379" s="28" t="s">
        <v>865</v>
      </c>
      <c r="F1379" s="28">
        <v>53.75</v>
      </c>
      <c r="G1379" s="28" t="s">
        <v>998</v>
      </c>
      <c r="I1379" t="str">
        <f>VLOOKUP(E1379,'Trial Balance'!B:B,1,0)</f>
        <v>Bank Fees and Charges</v>
      </c>
    </row>
    <row r="1380" spans="1:9">
      <c r="A1380" s="109">
        <v>45908</v>
      </c>
      <c r="B1380" s="78">
        <v>45901</v>
      </c>
      <c r="C1380" s="28" t="s">
        <v>1657</v>
      </c>
      <c r="D1380" s="28" t="s">
        <v>33</v>
      </c>
      <c r="E1380" s="28" t="s">
        <v>982</v>
      </c>
      <c r="F1380" s="106">
        <v>120000</v>
      </c>
      <c r="G1380" s="28" t="s">
        <v>998</v>
      </c>
      <c r="I1380" t="str">
        <f>VLOOKUP(E1380,'Trial Balance'!B:B,1,0)</f>
        <v>Staff allowances</v>
      </c>
    </row>
    <row r="1381" spans="1:9">
      <c r="A1381" s="109">
        <v>45908</v>
      </c>
      <c r="B1381" s="78">
        <v>45901</v>
      </c>
      <c r="C1381" s="28" t="s">
        <v>727</v>
      </c>
      <c r="D1381" s="28" t="s">
        <v>3</v>
      </c>
      <c r="E1381" s="28" t="s">
        <v>865</v>
      </c>
      <c r="F1381" s="28">
        <v>53.75</v>
      </c>
      <c r="G1381" s="28" t="s">
        <v>998</v>
      </c>
      <c r="I1381" t="str">
        <f>VLOOKUP(E1381,'Trial Balance'!B:B,1,0)</f>
        <v>Bank Fees and Charges</v>
      </c>
    </row>
    <row r="1382" spans="1:9">
      <c r="A1382" s="109">
        <v>45908</v>
      </c>
      <c r="B1382" s="78">
        <v>45901</v>
      </c>
      <c r="C1382" s="28" t="s">
        <v>1658</v>
      </c>
      <c r="D1382" s="28" t="s">
        <v>33</v>
      </c>
      <c r="E1382" s="28" t="s">
        <v>982</v>
      </c>
      <c r="F1382" s="106">
        <v>84000</v>
      </c>
      <c r="G1382" s="28" t="s">
        <v>998</v>
      </c>
      <c r="I1382" t="str">
        <f>VLOOKUP(E1382,'Trial Balance'!B:B,1,0)</f>
        <v>Staff allowances</v>
      </c>
    </row>
    <row r="1383" spans="1:9">
      <c r="A1383" s="109">
        <v>45908</v>
      </c>
      <c r="B1383" s="78">
        <v>45901</v>
      </c>
      <c r="C1383" s="28" t="s">
        <v>727</v>
      </c>
      <c r="D1383" s="28" t="s">
        <v>3</v>
      </c>
      <c r="E1383" s="28" t="s">
        <v>865</v>
      </c>
      <c r="F1383" s="28">
        <v>53.75</v>
      </c>
      <c r="G1383" s="28" t="s">
        <v>998</v>
      </c>
      <c r="I1383" t="str">
        <f>VLOOKUP(E1383,'Trial Balance'!B:B,1,0)</f>
        <v>Bank Fees and Charges</v>
      </c>
    </row>
    <row r="1384" spans="1:9">
      <c r="A1384" s="109">
        <v>45908</v>
      </c>
      <c r="B1384" s="78">
        <v>45901</v>
      </c>
      <c r="C1384" s="28" t="s">
        <v>1659</v>
      </c>
      <c r="D1384" s="28" t="s">
        <v>33</v>
      </c>
      <c r="E1384" s="28" t="s">
        <v>982</v>
      </c>
      <c r="F1384" s="106">
        <v>60000</v>
      </c>
      <c r="G1384" s="28" t="s">
        <v>998</v>
      </c>
      <c r="I1384" t="str">
        <f>VLOOKUP(E1384,'Trial Balance'!B:B,1,0)</f>
        <v>Staff allowances</v>
      </c>
    </row>
    <row r="1385" spans="1:9">
      <c r="A1385" s="109">
        <v>45908</v>
      </c>
      <c r="B1385" s="78">
        <v>45901</v>
      </c>
      <c r="C1385" s="28" t="s">
        <v>727</v>
      </c>
      <c r="D1385" s="28" t="s">
        <v>3</v>
      </c>
      <c r="E1385" s="28" t="s">
        <v>865</v>
      </c>
      <c r="F1385" s="28">
        <v>53.75</v>
      </c>
      <c r="G1385" s="28" t="s">
        <v>998</v>
      </c>
      <c r="I1385" t="str">
        <f>VLOOKUP(E1385,'Trial Balance'!B:B,1,0)</f>
        <v>Bank Fees and Charges</v>
      </c>
    </row>
    <row r="1386" spans="1:9">
      <c r="A1386" s="109">
        <v>45908</v>
      </c>
      <c r="B1386" s="78">
        <v>45901</v>
      </c>
      <c r="C1386" s="28" t="s">
        <v>1660</v>
      </c>
      <c r="D1386" s="28" t="s">
        <v>33</v>
      </c>
      <c r="E1386" s="28" t="s">
        <v>982</v>
      </c>
      <c r="F1386" s="106">
        <v>60000</v>
      </c>
      <c r="G1386" s="28" t="s">
        <v>998</v>
      </c>
      <c r="I1386" t="str">
        <f>VLOOKUP(E1386,'Trial Balance'!B:B,1,0)</f>
        <v>Staff allowances</v>
      </c>
    </row>
    <row r="1387" spans="1:9">
      <c r="A1387" s="109">
        <v>45908</v>
      </c>
      <c r="B1387" s="78">
        <v>45901</v>
      </c>
      <c r="C1387" s="28" t="s">
        <v>727</v>
      </c>
      <c r="D1387" s="28" t="s">
        <v>3</v>
      </c>
      <c r="E1387" s="28" t="s">
        <v>865</v>
      </c>
      <c r="F1387" s="28">
        <v>53.75</v>
      </c>
      <c r="G1387" s="28" t="s">
        <v>998</v>
      </c>
      <c r="I1387" t="str">
        <f>VLOOKUP(E1387,'Trial Balance'!B:B,1,0)</f>
        <v>Bank Fees and Charges</v>
      </c>
    </row>
    <row r="1388" spans="1:9">
      <c r="A1388" s="109">
        <v>45909</v>
      </c>
      <c r="B1388" s="78">
        <v>45901</v>
      </c>
      <c r="C1388" s="28" t="s">
        <v>1661</v>
      </c>
      <c r="D1388" s="28" t="s">
        <v>33</v>
      </c>
      <c r="E1388" s="28" t="s">
        <v>982</v>
      </c>
      <c r="F1388" s="106">
        <v>40000</v>
      </c>
      <c r="G1388" s="28" t="s">
        <v>998</v>
      </c>
      <c r="I1388" t="str">
        <f>VLOOKUP(E1388,'Trial Balance'!B:B,1,0)</f>
        <v>Staff allowances</v>
      </c>
    </row>
    <row r="1389" spans="1:9">
      <c r="A1389" s="109">
        <v>45909</v>
      </c>
      <c r="B1389" s="78">
        <v>45901</v>
      </c>
      <c r="C1389" s="28" t="s">
        <v>727</v>
      </c>
      <c r="D1389" s="28" t="s">
        <v>3</v>
      </c>
      <c r="E1389" s="28" t="s">
        <v>865</v>
      </c>
      <c r="F1389" s="28">
        <v>26.88</v>
      </c>
      <c r="G1389" s="28" t="s">
        <v>998</v>
      </c>
      <c r="I1389" t="str">
        <f>VLOOKUP(E1389,'Trial Balance'!B:B,1,0)</f>
        <v>Bank Fees and Charges</v>
      </c>
    </row>
    <row r="1390" spans="1:9">
      <c r="A1390" s="109">
        <v>45909</v>
      </c>
      <c r="B1390" s="78">
        <v>45901</v>
      </c>
      <c r="C1390" s="28" t="s">
        <v>1662</v>
      </c>
      <c r="D1390" s="28" t="s">
        <v>33</v>
      </c>
      <c r="E1390" s="28" t="s">
        <v>982</v>
      </c>
      <c r="F1390" s="106">
        <v>150000</v>
      </c>
      <c r="G1390" s="28" t="s">
        <v>998</v>
      </c>
      <c r="I1390" t="str">
        <f>VLOOKUP(E1390,'Trial Balance'!B:B,1,0)</f>
        <v>Staff allowances</v>
      </c>
    </row>
    <row r="1391" spans="1:9">
      <c r="A1391" s="109">
        <v>45909</v>
      </c>
      <c r="B1391" s="78">
        <v>45901</v>
      </c>
      <c r="C1391" s="28" t="s">
        <v>727</v>
      </c>
      <c r="D1391" s="28" t="s">
        <v>3</v>
      </c>
      <c r="E1391" s="28" t="s">
        <v>865</v>
      </c>
      <c r="F1391" s="28">
        <v>53.75</v>
      </c>
      <c r="G1391" s="28" t="s">
        <v>998</v>
      </c>
      <c r="I1391" t="str">
        <f>VLOOKUP(E1391,'Trial Balance'!B:B,1,0)</f>
        <v>Bank Fees and Charges</v>
      </c>
    </row>
    <row r="1392" spans="1:9">
      <c r="A1392" s="109">
        <v>45909</v>
      </c>
      <c r="B1392" s="78">
        <v>45901</v>
      </c>
      <c r="C1392" s="28" t="s">
        <v>1662</v>
      </c>
      <c r="D1392" s="28" t="s">
        <v>33</v>
      </c>
      <c r="E1392" s="28" t="s">
        <v>982</v>
      </c>
      <c r="F1392" s="106">
        <v>100000</v>
      </c>
      <c r="G1392" s="28" t="s">
        <v>998</v>
      </c>
      <c r="I1392" t="str">
        <f>VLOOKUP(E1392,'Trial Balance'!B:B,1,0)</f>
        <v>Staff allowances</v>
      </c>
    </row>
    <row r="1393" spans="1:9">
      <c r="A1393" s="109">
        <v>45909</v>
      </c>
      <c r="B1393" s="78">
        <v>45901</v>
      </c>
      <c r="C1393" s="28" t="s">
        <v>727</v>
      </c>
      <c r="D1393" s="28" t="s">
        <v>3</v>
      </c>
      <c r="E1393" s="28" t="s">
        <v>865</v>
      </c>
      <c r="F1393" s="28">
        <v>53.75</v>
      </c>
      <c r="G1393" s="28" t="s">
        <v>998</v>
      </c>
      <c r="I1393" t="str">
        <f>VLOOKUP(E1393,'Trial Balance'!B:B,1,0)</f>
        <v>Bank Fees and Charges</v>
      </c>
    </row>
    <row r="1394" spans="1:9">
      <c r="A1394" s="109">
        <v>45909</v>
      </c>
      <c r="B1394" s="78">
        <v>45901</v>
      </c>
      <c r="C1394" s="28" t="s">
        <v>1663</v>
      </c>
      <c r="D1394" s="28" t="s">
        <v>33</v>
      </c>
      <c r="E1394" s="28" t="s">
        <v>982</v>
      </c>
      <c r="F1394" s="106">
        <v>40000</v>
      </c>
      <c r="G1394" s="28" t="s">
        <v>998</v>
      </c>
      <c r="I1394" t="str">
        <f>VLOOKUP(E1394,'Trial Balance'!B:B,1,0)</f>
        <v>Staff allowances</v>
      </c>
    </row>
    <row r="1395" spans="1:9">
      <c r="A1395" s="109">
        <v>45909</v>
      </c>
      <c r="B1395" s="78">
        <v>45901</v>
      </c>
      <c r="C1395" s="28" t="s">
        <v>727</v>
      </c>
      <c r="D1395" s="28" t="s">
        <v>3</v>
      </c>
      <c r="E1395" s="28" t="s">
        <v>865</v>
      </c>
      <c r="F1395" s="28">
        <v>26.88</v>
      </c>
      <c r="G1395" s="28" t="s">
        <v>998</v>
      </c>
      <c r="I1395" t="str">
        <f>VLOOKUP(E1395,'Trial Balance'!B:B,1,0)</f>
        <v>Bank Fees and Charges</v>
      </c>
    </row>
    <row r="1396" spans="1:9">
      <c r="A1396" s="109">
        <v>45909</v>
      </c>
      <c r="B1396" s="78">
        <v>45901</v>
      </c>
      <c r="C1396" s="28" t="s">
        <v>1658</v>
      </c>
      <c r="D1396" s="28" t="s">
        <v>33</v>
      </c>
      <c r="E1396" s="28" t="s">
        <v>982</v>
      </c>
      <c r="F1396" s="106">
        <v>56000</v>
      </c>
      <c r="G1396" s="28" t="s">
        <v>998</v>
      </c>
      <c r="I1396" t="str">
        <f>VLOOKUP(E1396,'Trial Balance'!B:B,1,0)</f>
        <v>Staff allowances</v>
      </c>
    </row>
    <row r="1397" spans="1:9">
      <c r="A1397" s="109">
        <v>45909</v>
      </c>
      <c r="B1397" s="78">
        <v>45901</v>
      </c>
      <c r="C1397" s="28" t="s">
        <v>727</v>
      </c>
      <c r="D1397" s="28" t="s">
        <v>3</v>
      </c>
      <c r="E1397" s="28" t="s">
        <v>865</v>
      </c>
      <c r="F1397" s="28">
        <v>53.75</v>
      </c>
      <c r="G1397" s="28" t="s">
        <v>998</v>
      </c>
      <c r="I1397" t="str">
        <f>VLOOKUP(E1397,'Trial Balance'!B:B,1,0)</f>
        <v>Bank Fees and Charges</v>
      </c>
    </row>
    <row r="1398" spans="1:9">
      <c r="A1398" s="109">
        <v>45909</v>
      </c>
      <c r="B1398" s="78">
        <v>45901</v>
      </c>
      <c r="C1398" s="28" t="s">
        <v>1661</v>
      </c>
      <c r="D1398" s="28" t="s">
        <v>33</v>
      </c>
      <c r="E1398" s="28" t="s">
        <v>982</v>
      </c>
      <c r="F1398" s="106">
        <v>40000</v>
      </c>
      <c r="G1398" s="28" t="s">
        <v>998</v>
      </c>
      <c r="I1398" t="str">
        <f>VLOOKUP(E1398,'Trial Balance'!B:B,1,0)</f>
        <v>Staff allowances</v>
      </c>
    </row>
    <row r="1399" spans="1:9">
      <c r="A1399" s="109">
        <v>45909</v>
      </c>
      <c r="B1399" s="78">
        <v>45901</v>
      </c>
      <c r="C1399" s="28" t="s">
        <v>727</v>
      </c>
      <c r="D1399" s="28" t="s">
        <v>3</v>
      </c>
      <c r="E1399" s="28" t="s">
        <v>865</v>
      </c>
      <c r="F1399" s="28">
        <v>26.88</v>
      </c>
      <c r="G1399" s="28" t="s">
        <v>998</v>
      </c>
      <c r="I1399" t="str">
        <f>VLOOKUP(E1399,'Trial Balance'!B:B,1,0)</f>
        <v>Bank Fees and Charges</v>
      </c>
    </row>
    <row r="1400" spans="1:9">
      <c r="A1400" s="109">
        <v>45909</v>
      </c>
      <c r="B1400" s="78">
        <v>45901</v>
      </c>
      <c r="C1400" s="28" t="s">
        <v>1659</v>
      </c>
      <c r="D1400" s="28" t="s">
        <v>33</v>
      </c>
      <c r="E1400" s="28" t="s">
        <v>982</v>
      </c>
      <c r="F1400" s="106">
        <v>40000</v>
      </c>
      <c r="G1400" s="28" t="s">
        <v>998</v>
      </c>
      <c r="I1400" t="str">
        <f>VLOOKUP(E1400,'Trial Balance'!B:B,1,0)</f>
        <v>Staff allowances</v>
      </c>
    </row>
    <row r="1401" spans="1:9">
      <c r="A1401" s="109">
        <v>45909</v>
      </c>
      <c r="B1401" s="78">
        <v>45901</v>
      </c>
      <c r="C1401" s="28" t="s">
        <v>727</v>
      </c>
      <c r="D1401" s="28" t="s">
        <v>3</v>
      </c>
      <c r="E1401" s="28" t="s">
        <v>865</v>
      </c>
      <c r="F1401" s="28">
        <v>26.88</v>
      </c>
      <c r="G1401" s="28" t="s">
        <v>998</v>
      </c>
      <c r="I1401" t="str">
        <f>VLOOKUP(E1401,'Trial Balance'!B:B,1,0)</f>
        <v>Bank Fees and Charges</v>
      </c>
    </row>
    <row r="1402" spans="1:9">
      <c r="A1402" s="109">
        <v>45909</v>
      </c>
      <c r="B1402" s="78">
        <v>45901</v>
      </c>
      <c r="C1402" s="28" t="s">
        <v>1664</v>
      </c>
      <c r="D1402" s="28" t="s">
        <v>33</v>
      </c>
      <c r="E1402" s="28" t="s">
        <v>982</v>
      </c>
      <c r="F1402" s="106">
        <v>40000</v>
      </c>
      <c r="G1402" s="28" t="s">
        <v>998</v>
      </c>
      <c r="I1402" t="str">
        <f>VLOOKUP(E1402,'Trial Balance'!B:B,1,0)</f>
        <v>Staff allowances</v>
      </c>
    </row>
    <row r="1403" spans="1:9">
      <c r="A1403" s="109">
        <v>45909</v>
      </c>
      <c r="B1403" s="78">
        <v>45901</v>
      </c>
      <c r="C1403" s="28" t="s">
        <v>727</v>
      </c>
      <c r="D1403" s="28" t="s">
        <v>3</v>
      </c>
      <c r="E1403" s="28" t="s">
        <v>865</v>
      </c>
      <c r="F1403" s="28">
        <v>26.88</v>
      </c>
      <c r="G1403" s="28" t="s">
        <v>998</v>
      </c>
      <c r="I1403" t="str">
        <f>VLOOKUP(E1403,'Trial Balance'!B:B,1,0)</f>
        <v>Bank Fees and Charges</v>
      </c>
    </row>
    <row r="1404" spans="1:9">
      <c r="A1404" s="109">
        <v>45909</v>
      </c>
      <c r="B1404" s="78">
        <v>45901</v>
      </c>
      <c r="C1404" s="28" t="s">
        <v>1665</v>
      </c>
      <c r="D1404" s="28" t="s">
        <v>33</v>
      </c>
      <c r="E1404" s="28" t="s">
        <v>982</v>
      </c>
      <c r="F1404" s="106">
        <v>30000</v>
      </c>
      <c r="G1404" s="28" t="s">
        <v>998</v>
      </c>
      <c r="I1404" t="str">
        <f>VLOOKUP(E1404,'Trial Balance'!B:B,1,0)</f>
        <v>Staff allowances</v>
      </c>
    </row>
    <row r="1405" spans="1:9">
      <c r="A1405" s="109">
        <v>45909</v>
      </c>
      <c r="B1405" s="78">
        <v>45901</v>
      </c>
      <c r="C1405" s="28" t="s">
        <v>727</v>
      </c>
      <c r="D1405" s="28" t="s">
        <v>3</v>
      </c>
      <c r="E1405" s="28" t="s">
        <v>865</v>
      </c>
      <c r="F1405" s="28">
        <v>26.88</v>
      </c>
      <c r="G1405" s="28" t="s">
        <v>998</v>
      </c>
      <c r="I1405" t="str">
        <f>VLOOKUP(E1405,'Trial Balance'!B:B,1,0)</f>
        <v>Bank Fees and Charges</v>
      </c>
    </row>
    <row r="1406" spans="1:9">
      <c r="A1406" s="109">
        <v>45909</v>
      </c>
      <c r="B1406" s="78">
        <v>45901</v>
      </c>
      <c r="C1406" s="28" t="s">
        <v>1666</v>
      </c>
      <c r="D1406" s="28" t="s">
        <v>1667</v>
      </c>
      <c r="E1406" s="110" t="s">
        <v>990</v>
      </c>
      <c r="F1406" s="2">
        <v>-3422590</v>
      </c>
      <c r="G1406" s="28" t="s">
        <v>998</v>
      </c>
      <c r="I1406" t="str">
        <f>VLOOKUP(E1406,'Trial Balance'!B:B,1,0)</f>
        <v>Zenith bank</v>
      </c>
    </row>
    <row r="1407" spans="1:9">
      <c r="A1407" s="109">
        <v>45909</v>
      </c>
      <c r="B1407" s="78">
        <v>45901</v>
      </c>
      <c r="C1407" s="28" t="s">
        <v>1668</v>
      </c>
      <c r="D1407" s="28" t="s">
        <v>30</v>
      </c>
      <c r="E1407" s="28" t="s">
        <v>2</v>
      </c>
      <c r="F1407" s="2">
        <v>-430000</v>
      </c>
      <c r="G1407" s="28" t="s">
        <v>998</v>
      </c>
      <c r="I1407" t="str">
        <f>VLOOKUP(E1407,'Trial Balance'!B:B,1,0)</f>
        <v>Facility rentals</v>
      </c>
    </row>
    <row r="1408" spans="1:9">
      <c r="A1408" s="109">
        <v>45911</v>
      </c>
      <c r="B1408" s="78">
        <v>45901</v>
      </c>
      <c r="C1408" s="28" t="s">
        <v>1669</v>
      </c>
      <c r="D1408" s="28" t="s">
        <v>15</v>
      </c>
      <c r="E1408" s="28" t="s">
        <v>1407</v>
      </c>
      <c r="F1408" s="2">
        <v>-204000</v>
      </c>
      <c r="G1408" s="28" t="s">
        <v>998</v>
      </c>
      <c r="I1408" t="str">
        <f>VLOOKUP(E1408,'Trial Balance'!B:B,1,0)</f>
        <v>Guest entertainment</v>
      </c>
    </row>
    <row r="1409" spans="1:9">
      <c r="A1409" s="109">
        <v>45911</v>
      </c>
      <c r="B1409" s="78">
        <v>45901</v>
      </c>
      <c r="C1409" s="28" t="s">
        <v>1670</v>
      </c>
      <c r="D1409" s="28" t="s">
        <v>30</v>
      </c>
      <c r="E1409" s="28" t="s">
        <v>2</v>
      </c>
      <c r="F1409" s="2">
        <v>-100000</v>
      </c>
      <c r="G1409" s="28" t="s">
        <v>998</v>
      </c>
      <c r="I1409" t="str">
        <f>VLOOKUP(E1409,'Trial Balance'!B:B,1,0)</f>
        <v>Facility rentals</v>
      </c>
    </row>
    <row r="1410" spans="1:9">
      <c r="A1410" s="109">
        <v>45912</v>
      </c>
      <c r="B1410" s="78">
        <v>45901</v>
      </c>
      <c r="C1410" s="28" t="s">
        <v>1671</v>
      </c>
      <c r="D1410" s="28" t="s">
        <v>3</v>
      </c>
      <c r="E1410" s="28" t="s">
        <v>865</v>
      </c>
      <c r="F1410" s="107">
        <v>80</v>
      </c>
      <c r="G1410" s="28" t="s">
        <v>998</v>
      </c>
      <c r="I1410" t="str">
        <f>VLOOKUP(E1410,'Trial Balance'!B:B,1,0)</f>
        <v>Bank Fees and Charges</v>
      </c>
    </row>
    <row r="1411" spans="1:9">
      <c r="A1411" s="109">
        <v>45912</v>
      </c>
      <c r="B1411" s="78">
        <v>45901</v>
      </c>
      <c r="C1411" s="28" t="s">
        <v>1672</v>
      </c>
      <c r="D1411" s="28" t="s">
        <v>3</v>
      </c>
      <c r="E1411" s="28" t="s">
        <v>865</v>
      </c>
      <c r="F1411" s="107">
        <v>6</v>
      </c>
      <c r="G1411" s="28" t="s">
        <v>998</v>
      </c>
      <c r="I1411" t="str">
        <f>VLOOKUP(E1411,'Trial Balance'!B:B,1,0)</f>
        <v>Bank Fees and Charges</v>
      </c>
    </row>
    <row r="1412" spans="1:9">
      <c r="A1412" s="109">
        <v>45912</v>
      </c>
      <c r="B1412" s="78">
        <v>45901</v>
      </c>
      <c r="C1412" s="28" t="s">
        <v>1673</v>
      </c>
      <c r="D1412" s="28" t="s">
        <v>15</v>
      </c>
      <c r="E1412" s="28" t="s">
        <v>1407</v>
      </c>
      <c r="F1412" s="2">
        <v>-220000</v>
      </c>
      <c r="G1412" s="28" t="s">
        <v>998</v>
      </c>
      <c r="I1412" t="str">
        <f>VLOOKUP(E1412,'Trial Balance'!B:B,1,0)</f>
        <v>Guest entertainment</v>
      </c>
    </row>
    <row r="1413" spans="1:9">
      <c r="A1413" s="1">
        <v>45914</v>
      </c>
      <c r="B1413" s="78">
        <v>45901</v>
      </c>
      <c r="C1413" s="28" t="s">
        <v>1674</v>
      </c>
      <c r="D1413" s="28" t="s">
        <v>3</v>
      </c>
      <c r="E1413" s="28" t="s">
        <v>865</v>
      </c>
      <c r="F1413" s="2">
        <v>100</v>
      </c>
      <c r="G1413" s="28" t="s">
        <v>998</v>
      </c>
      <c r="I1413" t="str">
        <f>VLOOKUP(E1413,'Trial Balance'!B:B,1,0)</f>
        <v>Bank Fees and Charges</v>
      </c>
    </row>
    <row r="1414" spans="1:9">
      <c r="A1414" s="109">
        <v>45915</v>
      </c>
      <c r="B1414" s="78">
        <v>45901</v>
      </c>
      <c r="C1414" s="28" t="s">
        <v>1675</v>
      </c>
      <c r="D1414" s="28" t="s">
        <v>22</v>
      </c>
      <c r="E1414" s="28" t="s">
        <v>974</v>
      </c>
      <c r="F1414" s="2">
        <v>218000</v>
      </c>
      <c r="G1414" s="28" t="s">
        <v>998</v>
      </c>
      <c r="I1414" t="str">
        <f>VLOOKUP(E1414,'Trial Balance'!B:B,1,0)</f>
        <v>Security expense</v>
      </c>
    </row>
    <row r="1415" spans="1:9">
      <c r="A1415" s="109">
        <v>45915</v>
      </c>
      <c r="B1415" s="78">
        <v>45901</v>
      </c>
      <c r="C1415" s="28" t="s">
        <v>1676</v>
      </c>
      <c r="D1415" s="28" t="s">
        <v>3</v>
      </c>
      <c r="E1415" s="28" t="s">
        <v>865</v>
      </c>
      <c r="F1415" s="2">
        <v>53.75</v>
      </c>
      <c r="G1415" s="28" t="s">
        <v>998</v>
      </c>
      <c r="I1415" t="str">
        <f>VLOOKUP(E1415,'Trial Balance'!B:B,1,0)</f>
        <v>Bank Fees and Charges</v>
      </c>
    </row>
    <row r="1416" spans="1:9">
      <c r="A1416" s="109">
        <v>45916</v>
      </c>
      <c r="B1416" s="78">
        <v>45901</v>
      </c>
      <c r="C1416" s="28" t="s">
        <v>1677</v>
      </c>
      <c r="D1416" s="28" t="s">
        <v>1678</v>
      </c>
      <c r="E1416" s="26" t="s">
        <v>1352</v>
      </c>
      <c r="F1416" s="2">
        <v>-20220000</v>
      </c>
      <c r="G1416" s="28" t="s">
        <v>998</v>
      </c>
      <c r="I1416" t="str">
        <f>VLOOKUP(E1416,'Trial Balance'!B:B,1,0)</f>
        <v>Donations</v>
      </c>
    </row>
    <row r="1417" spans="1:9">
      <c r="A1417" s="109">
        <v>45916</v>
      </c>
      <c r="B1417" s="78">
        <v>45901</v>
      </c>
      <c r="C1417" s="28" t="s">
        <v>1679</v>
      </c>
      <c r="D1417" s="28" t="s">
        <v>24</v>
      </c>
      <c r="E1417" s="28" t="s">
        <v>986</v>
      </c>
      <c r="F1417" s="106">
        <v>100000</v>
      </c>
      <c r="G1417" s="28" t="s">
        <v>998</v>
      </c>
      <c r="I1417" t="str">
        <f>VLOOKUP(E1417,'Trial Balance'!B:B,1,0)</f>
        <v>Refundable security deposit</v>
      </c>
    </row>
    <row r="1418" spans="1:9">
      <c r="A1418" s="109">
        <v>45916</v>
      </c>
      <c r="B1418" s="78">
        <v>45901</v>
      </c>
      <c r="C1418" s="28" t="s">
        <v>1676</v>
      </c>
      <c r="D1418" s="28" t="s">
        <v>3</v>
      </c>
      <c r="E1418" s="28" t="s">
        <v>865</v>
      </c>
      <c r="F1418" s="2">
        <v>53.75</v>
      </c>
      <c r="G1418" s="28" t="s">
        <v>998</v>
      </c>
      <c r="I1418" t="str">
        <f>VLOOKUP(E1418,'Trial Balance'!B:B,1,0)</f>
        <v>Bank Fees and Charges</v>
      </c>
    </row>
    <row r="1419" spans="1:9">
      <c r="A1419" s="109">
        <v>45916</v>
      </c>
      <c r="B1419" s="78">
        <v>45901</v>
      </c>
      <c r="C1419" s="28" t="s">
        <v>1680</v>
      </c>
      <c r="D1419" s="28" t="s">
        <v>15</v>
      </c>
      <c r="E1419" s="28" t="s">
        <v>1407</v>
      </c>
      <c r="F1419" s="106">
        <v>286000</v>
      </c>
      <c r="G1419" s="28" t="s">
        <v>998</v>
      </c>
      <c r="I1419" t="str">
        <f>VLOOKUP(E1419,'Trial Balance'!B:B,1,0)</f>
        <v>Guest entertainment</v>
      </c>
    </row>
    <row r="1420" spans="1:9">
      <c r="A1420" s="109">
        <v>45916</v>
      </c>
      <c r="B1420" s="78">
        <v>45901</v>
      </c>
      <c r="C1420" s="28" t="s">
        <v>1676</v>
      </c>
      <c r="D1420" s="28" t="s">
        <v>3</v>
      </c>
      <c r="E1420" s="28" t="s">
        <v>865</v>
      </c>
      <c r="F1420" s="2">
        <v>53.75</v>
      </c>
      <c r="G1420" s="28" t="s">
        <v>998</v>
      </c>
      <c r="I1420" t="str">
        <f>VLOOKUP(E1420,'Trial Balance'!B:B,1,0)</f>
        <v>Bank Fees and Charges</v>
      </c>
    </row>
    <row r="1421" spans="1:9">
      <c r="A1421" s="109">
        <v>45916</v>
      </c>
      <c r="B1421" s="78">
        <v>45901</v>
      </c>
      <c r="C1421" s="28" t="s">
        <v>1681</v>
      </c>
      <c r="D1421" s="28" t="s">
        <v>30</v>
      </c>
      <c r="E1421" s="28" t="s">
        <v>2</v>
      </c>
      <c r="F1421" s="108">
        <v>-552000</v>
      </c>
      <c r="G1421" s="28" t="s">
        <v>998</v>
      </c>
      <c r="I1421" t="str">
        <f>VLOOKUP(E1421,'Trial Balance'!B:B,1,0)</f>
        <v>Facility rentals</v>
      </c>
    </row>
    <row r="1422" spans="1:9">
      <c r="A1422" s="109">
        <v>45919</v>
      </c>
      <c r="B1422" s="78">
        <v>45901</v>
      </c>
      <c r="C1422" s="28" t="s">
        <v>1682</v>
      </c>
      <c r="D1422" s="28" t="s">
        <v>1683</v>
      </c>
      <c r="E1422" s="26" t="s">
        <v>32</v>
      </c>
      <c r="F1422" s="106">
        <v>15409000</v>
      </c>
      <c r="G1422" s="28" t="s">
        <v>998</v>
      </c>
      <c r="I1422" t="str">
        <f>VLOOKUP(E1422,'Trial Balance'!B:B,1,0)</f>
        <v>Staff training</v>
      </c>
    </row>
    <row r="1423" spans="1:9">
      <c r="A1423" s="109">
        <v>45919</v>
      </c>
      <c r="B1423" s="78">
        <v>45901</v>
      </c>
      <c r="C1423" s="28" t="s">
        <v>1676</v>
      </c>
      <c r="D1423" s="28" t="s">
        <v>3</v>
      </c>
      <c r="E1423" s="28" t="s">
        <v>865</v>
      </c>
      <c r="F1423" s="2">
        <v>53.75</v>
      </c>
      <c r="G1423" s="28" t="s">
        <v>998</v>
      </c>
      <c r="I1423" t="str">
        <f>VLOOKUP(E1423,'Trial Balance'!B:B,1,0)</f>
        <v>Bank Fees and Charges</v>
      </c>
    </row>
    <row r="1424" spans="1:9">
      <c r="A1424" s="109">
        <v>45921</v>
      </c>
      <c r="B1424" s="78">
        <v>45901</v>
      </c>
      <c r="C1424" s="28" t="s">
        <v>1674</v>
      </c>
      <c r="D1424" s="28" t="s">
        <v>3</v>
      </c>
      <c r="E1424" s="28" t="s">
        <v>865</v>
      </c>
      <c r="F1424" s="2">
        <v>100</v>
      </c>
      <c r="G1424" s="28" t="s">
        <v>998</v>
      </c>
      <c r="I1424" t="str">
        <f>VLOOKUP(E1424,'Trial Balance'!B:B,1,0)</f>
        <v>Bank Fees and Charges</v>
      </c>
    </row>
    <row r="1425" spans="1:9">
      <c r="A1425" s="109">
        <v>45922</v>
      </c>
      <c r="B1425" s="78">
        <v>45901</v>
      </c>
      <c r="C1425" s="28" t="s">
        <v>1684</v>
      </c>
      <c r="D1425" s="28" t="s">
        <v>1683</v>
      </c>
      <c r="E1425" s="26" t="s">
        <v>32</v>
      </c>
      <c r="F1425" s="106">
        <v>811000</v>
      </c>
      <c r="G1425" s="28" t="s">
        <v>998</v>
      </c>
      <c r="I1425" t="str">
        <f>VLOOKUP(E1425,'Trial Balance'!B:B,1,0)</f>
        <v>Staff training</v>
      </c>
    </row>
    <row r="1426" spans="1:9">
      <c r="A1426" s="109">
        <v>45922</v>
      </c>
      <c r="B1426" s="78">
        <v>45901</v>
      </c>
      <c r="C1426" s="28" t="s">
        <v>1676</v>
      </c>
      <c r="D1426" s="28" t="s">
        <v>3</v>
      </c>
      <c r="E1426" s="28" t="s">
        <v>865</v>
      </c>
      <c r="F1426" s="2">
        <v>53.75</v>
      </c>
      <c r="G1426" s="28" t="s">
        <v>998</v>
      </c>
      <c r="I1426" t="str">
        <f>VLOOKUP(E1426,'Trial Balance'!B:B,1,0)</f>
        <v>Bank Fees and Charges</v>
      </c>
    </row>
    <row r="1427" spans="1:9">
      <c r="A1427" s="109">
        <v>45923</v>
      </c>
      <c r="B1427" s="78">
        <v>45901</v>
      </c>
      <c r="C1427" s="28" t="s">
        <v>1685</v>
      </c>
      <c r="D1427" s="28" t="s">
        <v>24</v>
      </c>
      <c r="E1427" s="28" t="s">
        <v>986</v>
      </c>
      <c r="F1427" s="2">
        <v>100000</v>
      </c>
      <c r="G1427" s="28" t="s">
        <v>998</v>
      </c>
      <c r="I1427" t="str">
        <f>VLOOKUP(E1427,'Trial Balance'!B:B,1,0)</f>
        <v>Refundable security deposit</v>
      </c>
    </row>
    <row r="1428" spans="1:9">
      <c r="A1428" s="109">
        <v>45923</v>
      </c>
      <c r="B1428" s="78">
        <v>45901</v>
      </c>
      <c r="C1428" s="28" t="s">
        <v>1676</v>
      </c>
      <c r="D1428" s="28" t="s">
        <v>3</v>
      </c>
      <c r="E1428" s="28" t="s">
        <v>865</v>
      </c>
      <c r="F1428" s="2">
        <v>53.75</v>
      </c>
      <c r="G1428" s="28" t="s">
        <v>998</v>
      </c>
      <c r="I1428" t="str">
        <f>VLOOKUP(E1428,'Trial Balance'!B:B,1,0)</f>
        <v>Bank Fees and Charges</v>
      </c>
    </row>
    <row r="1429" spans="1:9">
      <c r="A1429" s="109">
        <v>45923</v>
      </c>
      <c r="B1429" s="78">
        <v>45901</v>
      </c>
      <c r="C1429" s="28" t="s">
        <v>1686</v>
      </c>
      <c r="D1429" s="28" t="s">
        <v>24</v>
      </c>
      <c r="E1429" s="28" t="s">
        <v>986</v>
      </c>
      <c r="F1429" s="2">
        <v>100000</v>
      </c>
      <c r="G1429" s="28" t="s">
        <v>998</v>
      </c>
      <c r="I1429" t="str">
        <f>VLOOKUP(E1429,'Trial Balance'!B:B,1,0)</f>
        <v>Refundable security deposit</v>
      </c>
    </row>
    <row r="1430" spans="1:9">
      <c r="A1430" s="109">
        <v>45923</v>
      </c>
      <c r="B1430" s="78">
        <v>45901</v>
      </c>
      <c r="C1430" s="28" t="s">
        <v>1676</v>
      </c>
      <c r="D1430" s="28" t="s">
        <v>3</v>
      </c>
      <c r="E1430" s="28" t="s">
        <v>865</v>
      </c>
      <c r="F1430" s="2">
        <v>53.75</v>
      </c>
      <c r="G1430" s="28" t="s">
        <v>998</v>
      </c>
      <c r="I1430" t="str">
        <f>VLOOKUP(E1430,'Trial Balance'!B:B,1,0)</f>
        <v>Bank Fees and Charges</v>
      </c>
    </row>
    <row r="1431" spans="1:9">
      <c r="A1431" s="109">
        <v>45923</v>
      </c>
      <c r="B1431" s="78">
        <v>45901</v>
      </c>
      <c r="C1431" s="28" t="s">
        <v>1687</v>
      </c>
      <c r="D1431" s="28" t="s">
        <v>15</v>
      </c>
      <c r="E1431" s="28" t="s">
        <v>1407</v>
      </c>
      <c r="F1431" s="2">
        <v>130000</v>
      </c>
      <c r="G1431" s="28" t="s">
        <v>998</v>
      </c>
      <c r="I1431" t="str">
        <f>VLOOKUP(E1431,'Trial Balance'!B:B,1,0)</f>
        <v>Guest entertainment</v>
      </c>
    </row>
    <row r="1432" spans="1:9">
      <c r="A1432" s="109">
        <v>45926</v>
      </c>
      <c r="B1432" s="78">
        <v>45901</v>
      </c>
      <c r="C1432" s="28" t="s">
        <v>1676</v>
      </c>
      <c r="D1432" s="28" t="s">
        <v>3</v>
      </c>
      <c r="E1432" s="28" t="s">
        <v>865</v>
      </c>
      <c r="F1432" s="2">
        <v>53.75</v>
      </c>
      <c r="G1432" s="28" t="s">
        <v>998</v>
      </c>
      <c r="I1432" t="str">
        <f>VLOOKUP(E1432,'Trial Balance'!B:B,1,0)</f>
        <v>Bank Fees and Charges</v>
      </c>
    </row>
    <row r="1433" spans="1:9">
      <c r="A1433" s="109">
        <v>45926</v>
      </c>
      <c r="B1433" s="78">
        <v>45901</v>
      </c>
      <c r="C1433" s="28" t="s">
        <v>1688</v>
      </c>
      <c r="D1433" s="28" t="s">
        <v>15</v>
      </c>
      <c r="E1433" s="28" t="s">
        <v>1407</v>
      </c>
      <c r="F1433" s="2">
        <v>153500</v>
      </c>
      <c r="G1433" s="28" t="s">
        <v>998</v>
      </c>
      <c r="I1433" t="str">
        <f>VLOOKUP(E1433,'Trial Balance'!B:B,1,0)</f>
        <v>Guest entertainment</v>
      </c>
    </row>
    <row r="1434" spans="1:9">
      <c r="A1434" s="109">
        <v>45926</v>
      </c>
      <c r="B1434" s="78">
        <v>45901</v>
      </c>
      <c r="C1434" s="28" t="s">
        <v>1676</v>
      </c>
      <c r="D1434" s="28" t="s">
        <v>3</v>
      </c>
      <c r="E1434" s="28" t="s">
        <v>865</v>
      </c>
      <c r="F1434" s="2">
        <v>53.75</v>
      </c>
      <c r="G1434" s="28" t="s">
        <v>998</v>
      </c>
      <c r="I1434" t="str">
        <f>VLOOKUP(E1434,'Trial Balance'!B:B,1,0)</f>
        <v>Bank Fees and Charges</v>
      </c>
    </row>
    <row r="1435" spans="1:9">
      <c r="A1435" s="109">
        <v>45926</v>
      </c>
      <c r="B1435" s="78">
        <v>45901</v>
      </c>
      <c r="C1435" s="28" t="s">
        <v>1689</v>
      </c>
      <c r="D1435" s="28" t="s">
        <v>15</v>
      </c>
      <c r="E1435" s="28" t="s">
        <v>1407</v>
      </c>
      <c r="F1435" s="2">
        <v>-170000</v>
      </c>
      <c r="G1435" s="28" t="s">
        <v>998</v>
      </c>
      <c r="I1435" t="str">
        <f>VLOOKUP(E1435,'Trial Balance'!B:B,1,0)</f>
        <v>Guest entertainment</v>
      </c>
    </row>
    <row r="1436" spans="1:9">
      <c r="A1436" s="109">
        <v>45926</v>
      </c>
      <c r="B1436" s="78">
        <v>45901</v>
      </c>
      <c r="C1436" s="28" t="s">
        <v>1690</v>
      </c>
      <c r="D1436" s="28" t="s">
        <v>30</v>
      </c>
      <c r="E1436" s="28" t="s">
        <v>2</v>
      </c>
      <c r="F1436" s="2">
        <v>-600000</v>
      </c>
      <c r="G1436" s="28" t="s">
        <v>998</v>
      </c>
      <c r="I1436" t="str">
        <f>VLOOKUP(E1436,'Trial Balance'!B:B,1,0)</f>
        <v>Facility rentals</v>
      </c>
    </row>
    <row r="1437" spans="1:9">
      <c r="A1437" s="1">
        <v>45928</v>
      </c>
      <c r="B1437" s="78">
        <v>45901</v>
      </c>
      <c r="C1437" s="28" t="s">
        <v>1674</v>
      </c>
      <c r="D1437" s="28" t="s">
        <v>3</v>
      </c>
      <c r="E1437" s="28" t="s">
        <v>865</v>
      </c>
      <c r="F1437" s="2">
        <v>100</v>
      </c>
      <c r="G1437" s="28" t="s">
        <v>998</v>
      </c>
      <c r="I1437" t="str">
        <f>VLOOKUP(E1437,'Trial Balance'!B:B,1,0)</f>
        <v>Bank Fees and Charges</v>
      </c>
    </row>
    <row r="1438" spans="1:9">
      <c r="A1438" s="1">
        <v>45930</v>
      </c>
      <c r="B1438" s="78">
        <v>45901</v>
      </c>
      <c r="C1438" s="28" t="s">
        <v>1694</v>
      </c>
      <c r="D1438" s="28" t="s">
        <v>30</v>
      </c>
      <c r="E1438" s="28" t="s">
        <v>2</v>
      </c>
      <c r="F1438" s="2">
        <v>-700000</v>
      </c>
      <c r="G1438" s="28" t="s">
        <v>998</v>
      </c>
      <c r="I1438" t="str">
        <f>VLOOKUP(E1438,'Trial Balance'!B:B,1,0)</f>
        <v>Facility rentals</v>
      </c>
    </row>
    <row r="1439" spans="1:9">
      <c r="A1439" s="1">
        <v>45930</v>
      </c>
      <c r="B1439" s="78">
        <v>45901</v>
      </c>
      <c r="C1439" s="28" t="s">
        <v>1691</v>
      </c>
      <c r="D1439" s="28" t="s">
        <v>26</v>
      </c>
      <c r="E1439" s="28" t="s">
        <v>977</v>
      </c>
      <c r="F1439" s="2">
        <v>2295088</v>
      </c>
      <c r="G1439" s="28" t="s">
        <v>998</v>
      </c>
      <c r="I1439" t="str">
        <f>VLOOKUP(E1439,'Trial Balance'!B:B,1,0)</f>
        <v>Travel expense - International</v>
      </c>
    </row>
    <row r="1440" spans="1:9">
      <c r="A1440" s="1">
        <v>45930</v>
      </c>
      <c r="B1440" s="78">
        <v>45901</v>
      </c>
      <c r="C1440" s="28" t="s">
        <v>1676</v>
      </c>
      <c r="D1440" s="28" t="s">
        <v>3</v>
      </c>
      <c r="E1440" s="28" t="s">
        <v>865</v>
      </c>
      <c r="F1440" s="2">
        <v>53.75</v>
      </c>
      <c r="G1440" s="28" t="s">
        <v>998</v>
      </c>
      <c r="I1440" t="str">
        <f>VLOOKUP(E1440,'Trial Balance'!B:B,1,0)</f>
        <v>Bank Fees and Charges</v>
      </c>
    </row>
    <row r="1441" spans="1:9">
      <c r="A1441" s="1">
        <v>45930</v>
      </c>
      <c r="B1441" s="78">
        <v>45901</v>
      </c>
      <c r="C1441" s="28" t="s">
        <v>1692</v>
      </c>
      <c r="D1441" s="28" t="s">
        <v>3</v>
      </c>
      <c r="E1441" s="28" t="s">
        <v>865</v>
      </c>
      <c r="F1441" s="2">
        <v>21516.59</v>
      </c>
      <c r="G1441" s="28" t="s">
        <v>998</v>
      </c>
      <c r="I1441" t="str">
        <f>VLOOKUP(E1441,'Trial Balance'!B:B,1,0)</f>
        <v>Bank Fees and Charges</v>
      </c>
    </row>
    <row r="1442" spans="1:9">
      <c r="A1442" s="1">
        <v>45930</v>
      </c>
      <c r="B1442" s="78">
        <v>45901</v>
      </c>
      <c r="C1442" s="28" t="s">
        <v>1693</v>
      </c>
      <c r="D1442" s="28" t="s">
        <v>3</v>
      </c>
      <c r="E1442" s="28" t="s">
        <v>865</v>
      </c>
      <c r="F1442" s="2">
        <v>1613.74</v>
      </c>
      <c r="G1442" s="28" t="s">
        <v>998</v>
      </c>
      <c r="I1442" t="str">
        <f>VLOOKUP(E1442,'Trial Balance'!B:B,1,0)</f>
        <v>Bank Fees and Charges</v>
      </c>
    </row>
    <row r="1443" spans="1:9">
      <c r="A1443" s="8">
        <v>45930</v>
      </c>
      <c r="B1443" s="78">
        <v>45901</v>
      </c>
      <c r="C1443" s="10" t="s">
        <v>744</v>
      </c>
      <c r="D1443" s="10" t="s">
        <v>714</v>
      </c>
      <c r="E1443" s="86" t="s">
        <v>990</v>
      </c>
      <c r="F1443" s="11">
        <v>5903054.3899999987</v>
      </c>
      <c r="G1443" s="86" t="s">
        <v>998</v>
      </c>
      <c r="I1443" t="str">
        <f>VLOOKUP(E1443,'Trial Balance'!B:B,1,0)</f>
        <v>Zenith bank</v>
      </c>
    </row>
    <row r="1444" spans="1:9">
      <c r="A1444" s="1">
        <v>45902</v>
      </c>
      <c r="B1444" s="78">
        <v>45901</v>
      </c>
      <c r="C1444" s="28" t="s">
        <v>1695</v>
      </c>
      <c r="D1444" s="28" t="s">
        <v>30</v>
      </c>
      <c r="E1444" s="28" t="s">
        <v>2</v>
      </c>
      <c r="F1444" s="2">
        <v>-372500</v>
      </c>
      <c r="G1444" s="28" t="s">
        <v>711</v>
      </c>
      <c r="I1444" t="str">
        <f>VLOOKUP(E1444,'Trial Balance'!B:B,1,0)</f>
        <v>Facility rentals</v>
      </c>
    </row>
    <row r="1445" spans="1:9">
      <c r="A1445" s="1">
        <v>45903</v>
      </c>
      <c r="B1445" s="78">
        <v>45901</v>
      </c>
      <c r="C1445" s="28" t="s">
        <v>1696</v>
      </c>
      <c r="D1445" s="28" t="s">
        <v>30</v>
      </c>
      <c r="E1445" s="28" t="s">
        <v>2</v>
      </c>
      <c r="F1445" s="108">
        <v>-422500</v>
      </c>
      <c r="G1445" s="28" t="s">
        <v>711</v>
      </c>
      <c r="I1445" t="str">
        <f>VLOOKUP(E1445,'Trial Balance'!B:B,1,0)</f>
        <v>Facility rentals</v>
      </c>
    </row>
    <row r="1446" spans="1:9">
      <c r="A1446" s="1">
        <v>45908</v>
      </c>
      <c r="B1446" s="78">
        <v>45901</v>
      </c>
      <c r="C1446" s="28" t="s">
        <v>1697</v>
      </c>
      <c r="D1446" s="28" t="s">
        <v>15</v>
      </c>
      <c r="E1446" s="28" t="s">
        <v>1407</v>
      </c>
      <c r="F1446" s="108">
        <v>-200000</v>
      </c>
      <c r="G1446" s="28" t="s">
        <v>711</v>
      </c>
      <c r="I1446" t="str">
        <f>VLOOKUP(E1446,'Trial Balance'!B:B,1,0)</f>
        <v>Guest entertainment</v>
      </c>
    </row>
    <row r="1447" spans="1:9">
      <c r="A1447" s="1">
        <v>45908</v>
      </c>
      <c r="B1447" s="78">
        <v>45901</v>
      </c>
      <c r="C1447" s="28" t="s">
        <v>1698</v>
      </c>
      <c r="D1447" s="28" t="s">
        <v>1699</v>
      </c>
      <c r="E1447" s="110" t="s">
        <v>990</v>
      </c>
      <c r="F1447" s="108">
        <v>3422590</v>
      </c>
      <c r="G1447" s="28" t="s">
        <v>711</v>
      </c>
      <c r="I1447" t="str">
        <f>VLOOKUP(E1447,'Trial Balance'!B:B,1,0)</f>
        <v>Zenith bank</v>
      </c>
    </row>
    <row r="1448" spans="1:9">
      <c r="A1448" s="1">
        <v>45908</v>
      </c>
      <c r="B1448" s="78">
        <v>45901</v>
      </c>
      <c r="C1448" s="28" t="s">
        <v>1700</v>
      </c>
      <c r="D1448" s="28" t="s">
        <v>1699</v>
      </c>
      <c r="E1448" s="110" t="s">
        <v>990</v>
      </c>
      <c r="F1448" s="108">
        <v>-3422590</v>
      </c>
      <c r="G1448" s="28" t="s">
        <v>711</v>
      </c>
      <c r="I1448" t="str">
        <f>VLOOKUP(E1448,'Trial Balance'!B:B,1,0)</f>
        <v>Zenith bank</v>
      </c>
    </row>
    <row r="1449" spans="1:9">
      <c r="A1449" s="1">
        <v>45908</v>
      </c>
      <c r="B1449" s="78">
        <v>45901</v>
      </c>
      <c r="C1449" s="28" t="s">
        <v>1701</v>
      </c>
      <c r="E1449" s="110" t="s">
        <v>990</v>
      </c>
      <c r="F1449" s="108">
        <v>3422590</v>
      </c>
      <c r="G1449" s="28" t="s">
        <v>711</v>
      </c>
      <c r="I1449" t="str">
        <f>VLOOKUP(E1449,'Trial Balance'!B:B,1,0)</f>
        <v>Zenith bank</v>
      </c>
    </row>
    <row r="1450" spans="1:9">
      <c r="A1450" s="8">
        <v>45930</v>
      </c>
      <c r="B1450" s="78">
        <v>45901</v>
      </c>
      <c r="C1450" s="10" t="s">
        <v>744</v>
      </c>
      <c r="D1450" s="10" t="s">
        <v>714</v>
      </c>
      <c r="E1450" s="86" t="s">
        <v>999</v>
      </c>
      <c r="F1450" s="11">
        <v>-2427590</v>
      </c>
      <c r="G1450" s="86" t="s">
        <v>711</v>
      </c>
      <c r="I1450" t="str">
        <f>VLOOKUP(E1450,'Trial Balance'!B:B,1,0)</f>
        <v>Sterling bank</v>
      </c>
    </row>
    <row r="1451" spans="1:9">
      <c r="A1451" s="122" t="s">
        <v>1757</v>
      </c>
      <c r="B1451" s="78">
        <v>45931</v>
      </c>
      <c r="C1451" t="s">
        <v>1714</v>
      </c>
      <c r="D1451" s="28" t="s">
        <v>15</v>
      </c>
      <c r="E1451" s="28" t="s">
        <v>1407</v>
      </c>
      <c r="F1451" s="124">
        <v>325000</v>
      </c>
      <c r="G1451" s="28" t="s">
        <v>998</v>
      </c>
    </row>
    <row r="1452" spans="1:9">
      <c r="A1452" s="122" t="s">
        <v>1757</v>
      </c>
      <c r="B1452" s="78">
        <v>45931</v>
      </c>
      <c r="C1452" t="s">
        <v>727</v>
      </c>
      <c r="D1452" s="28" t="s">
        <v>3</v>
      </c>
      <c r="E1452" s="28" t="s">
        <v>865</v>
      </c>
      <c r="F1452" s="125">
        <v>53.75</v>
      </c>
      <c r="G1452" s="28" t="s">
        <v>998</v>
      </c>
    </row>
    <row r="1453" spans="1:9">
      <c r="A1453" s="122" t="s">
        <v>1758</v>
      </c>
      <c r="B1453" s="78">
        <v>45931</v>
      </c>
      <c r="C1453" t="s">
        <v>1715</v>
      </c>
      <c r="D1453" s="28" t="s">
        <v>30</v>
      </c>
      <c r="E1453" s="28" t="s">
        <v>2</v>
      </c>
      <c r="F1453" s="124">
        <v>-1650000</v>
      </c>
      <c r="G1453" s="28" t="s">
        <v>998</v>
      </c>
    </row>
    <row r="1454" spans="1:9">
      <c r="A1454" s="122" t="s">
        <v>1758</v>
      </c>
      <c r="B1454" s="78">
        <v>45931</v>
      </c>
      <c r="C1454" t="s">
        <v>1716</v>
      </c>
      <c r="D1454" s="28" t="s">
        <v>26</v>
      </c>
      <c r="E1454" s="28" t="s">
        <v>977</v>
      </c>
      <c r="F1454" s="124">
        <v>2517120</v>
      </c>
      <c r="G1454" s="28" t="s">
        <v>998</v>
      </c>
    </row>
    <row r="1455" spans="1:9">
      <c r="A1455" s="122" t="s">
        <v>1758</v>
      </c>
      <c r="B1455" s="78">
        <v>45931</v>
      </c>
      <c r="C1455" t="s">
        <v>727</v>
      </c>
      <c r="D1455" s="28" t="s">
        <v>3</v>
      </c>
      <c r="E1455" s="28" t="s">
        <v>865</v>
      </c>
      <c r="F1455" s="125">
        <v>53.75</v>
      </c>
      <c r="G1455" s="28" t="s">
        <v>998</v>
      </c>
    </row>
    <row r="1456" spans="1:9">
      <c r="A1456" s="122" t="s">
        <v>1758</v>
      </c>
      <c r="B1456" s="78">
        <v>45931</v>
      </c>
      <c r="C1456" t="s">
        <v>1717</v>
      </c>
      <c r="D1456" s="28" t="s">
        <v>30</v>
      </c>
      <c r="E1456" s="28" t="s">
        <v>2</v>
      </c>
      <c r="F1456" s="124">
        <v>-25000</v>
      </c>
      <c r="G1456" s="28" t="s">
        <v>998</v>
      </c>
    </row>
    <row r="1457" spans="1:7">
      <c r="A1457" s="122" t="s">
        <v>1759</v>
      </c>
      <c r="B1457" s="78">
        <v>45931</v>
      </c>
      <c r="C1457" t="s">
        <v>733</v>
      </c>
      <c r="D1457" s="28" t="s">
        <v>3</v>
      </c>
      <c r="E1457" s="28" t="s">
        <v>865</v>
      </c>
      <c r="F1457" s="125">
        <v>150</v>
      </c>
      <c r="G1457" s="28" t="s">
        <v>998</v>
      </c>
    </row>
    <row r="1458" spans="1:7">
      <c r="A1458" s="122" t="s">
        <v>1760</v>
      </c>
      <c r="B1458" s="78">
        <v>45931</v>
      </c>
      <c r="C1458" t="s">
        <v>1718</v>
      </c>
      <c r="D1458" s="28" t="s">
        <v>1678</v>
      </c>
      <c r="E1458" s="28" t="s">
        <v>1352</v>
      </c>
      <c r="F1458" s="124">
        <v>-212820000.19</v>
      </c>
      <c r="G1458" s="28" t="s">
        <v>998</v>
      </c>
    </row>
    <row r="1459" spans="1:7">
      <c r="A1459" s="122" t="s">
        <v>1761</v>
      </c>
      <c r="B1459" s="78">
        <v>45931</v>
      </c>
      <c r="C1459" t="s">
        <v>1719</v>
      </c>
      <c r="D1459" s="28" t="s">
        <v>26</v>
      </c>
      <c r="E1459" s="28" t="s">
        <v>977</v>
      </c>
      <c r="F1459" s="124">
        <v>1920401</v>
      </c>
      <c r="G1459" s="28" t="s">
        <v>998</v>
      </c>
    </row>
    <row r="1460" spans="1:7">
      <c r="A1460" s="122" t="s">
        <v>1761</v>
      </c>
      <c r="B1460" s="78">
        <v>45931</v>
      </c>
      <c r="C1460" t="s">
        <v>727</v>
      </c>
      <c r="D1460" s="28" t="s">
        <v>3</v>
      </c>
      <c r="E1460" s="28" t="s">
        <v>865</v>
      </c>
      <c r="F1460" s="125">
        <v>53.75</v>
      </c>
      <c r="G1460" s="28" t="s">
        <v>998</v>
      </c>
    </row>
    <row r="1461" spans="1:7">
      <c r="A1461" s="122" t="s">
        <v>1762</v>
      </c>
      <c r="B1461" s="78">
        <v>45931</v>
      </c>
      <c r="C1461" t="s">
        <v>1720</v>
      </c>
      <c r="D1461" s="28" t="s">
        <v>1683</v>
      </c>
      <c r="E1461" s="28" t="s">
        <v>32</v>
      </c>
      <c r="F1461" s="124">
        <v>85000000</v>
      </c>
      <c r="G1461" s="28" t="s">
        <v>998</v>
      </c>
    </row>
    <row r="1462" spans="1:7">
      <c r="A1462" s="122" t="s">
        <v>1762</v>
      </c>
      <c r="B1462" s="78">
        <v>45931</v>
      </c>
      <c r="C1462" t="s">
        <v>727</v>
      </c>
      <c r="D1462" s="28" t="s">
        <v>3</v>
      </c>
      <c r="E1462" s="28" t="s">
        <v>865</v>
      </c>
      <c r="F1462" s="125">
        <v>53.75</v>
      </c>
      <c r="G1462" s="28" t="s">
        <v>998</v>
      </c>
    </row>
    <row r="1463" spans="1:7">
      <c r="A1463" s="122" t="s">
        <v>1763</v>
      </c>
      <c r="B1463" s="78">
        <v>45931</v>
      </c>
      <c r="C1463" t="s">
        <v>733</v>
      </c>
      <c r="D1463" s="28" t="s">
        <v>3</v>
      </c>
      <c r="E1463" s="28" t="s">
        <v>865</v>
      </c>
      <c r="F1463" s="125">
        <v>50</v>
      </c>
      <c r="G1463" s="28" t="s">
        <v>998</v>
      </c>
    </row>
    <row r="1464" spans="1:7">
      <c r="A1464" s="122" t="s">
        <v>1764</v>
      </c>
      <c r="B1464" s="78">
        <v>45931</v>
      </c>
      <c r="C1464" t="s">
        <v>1721</v>
      </c>
      <c r="D1464" s="28" t="s">
        <v>15</v>
      </c>
      <c r="E1464" s="28" t="s">
        <v>1407</v>
      </c>
      <c r="F1464" s="124">
        <v>195000</v>
      </c>
      <c r="G1464" s="28" t="s">
        <v>998</v>
      </c>
    </row>
    <row r="1465" spans="1:7">
      <c r="A1465" s="122" t="s">
        <v>1764</v>
      </c>
      <c r="B1465" s="78">
        <v>45931</v>
      </c>
      <c r="C1465" t="s">
        <v>727</v>
      </c>
      <c r="D1465" s="28" t="s">
        <v>3</v>
      </c>
      <c r="E1465" s="28" t="s">
        <v>865</v>
      </c>
      <c r="F1465" s="125">
        <v>53.75</v>
      </c>
      <c r="G1465" s="28" t="s">
        <v>998</v>
      </c>
    </row>
    <row r="1466" spans="1:7">
      <c r="A1466" s="122" t="s">
        <v>1764</v>
      </c>
      <c r="B1466" s="78">
        <v>45931</v>
      </c>
      <c r="C1466" t="s">
        <v>1722</v>
      </c>
      <c r="D1466" s="28" t="s">
        <v>26</v>
      </c>
      <c r="E1466" s="28" t="s">
        <v>977</v>
      </c>
      <c r="F1466" s="124">
        <v>302000</v>
      </c>
      <c r="G1466" s="28" t="s">
        <v>998</v>
      </c>
    </row>
    <row r="1467" spans="1:7">
      <c r="A1467" s="122" t="s">
        <v>1764</v>
      </c>
      <c r="B1467" s="78">
        <v>45931</v>
      </c>
      <c r="C1467" t="s">
        <v>727</v>
      </c>
      <c r="D1467" s="28" t="s">
        <v>3</v>
      </c>
      <c r="E1467" s="28" t="s">
        <v>865</v>
      </c>
      <c r="F1467" s="125">
        <v>53.75</v>
      </c>
      <c r="G1467" s="28" t="s">
        <v>998</v>
      </c>
    </row>
    <row r="1468" spans="1:7">
      <c r="A1468" s="122" t="s">
        <v>1764</v>
      </c>
      <c r="B1468" s="78">
        <v>45931</v>
      </c>
      <c r="C1468" t="s">
        <v>1723</v>
      </c>
      <c r="D1468" s="28" t="s">
        <v>1683</v>
      </c>
      <c r="E1468" s="28" t="s">
        <v>32</v>
      </c>
      <c r="F1468" s="124">
        <v>1370325</v>
      </c>
      <c r="G1468" s="28" t="s">
        <v>998</v>
      </c>
    </row>
    <row r="1469" spans="1:7">
      <c r="A1469" s="122" t="s">
        <v>1764</v>
      </c>
      <c r="B1469" s="78">
        <v>45931</v>
      </c>
      <c r="C1469" t="s">
        <v>727</v>
      </c>
      <c r="D1469" s="28" t="s">
        <v>3</v>
      </c>
      <c r="E1469" s="28" t="s">
        <v>865</v>
      </c>
      <c r="F1469" s="125">
        <v>53.75</v>
      </c>
      <c r="G1469" s="28" t="s">
        <v>998</v>
      </c>
    </row>
    <row r="1470" spans="1:7">
      <c r="A1470" s="122" t="s">
        <v>1765</v>
      </c>
      <c r="B1470" s="78">
        <v>45931</v>
      </c>
      <c r="C1470" t="s">
        <v>1724</v>
      </c>
      <c r="D1470" s="28" t="s">
        <v>15</v>
      </c>
      <c r="E1470" s="28" t="s">
        <v>1354</v>
      </c>
      <c r="F1470" s="123">
        <v>-93000</v>
      </c>
      <c r="G1470" s="28" t="s">
        <v>998</v>
      </c>
    </row>
    <row r="1471" spans="1:7">
      <c r="A1471" s="122" t="s">
        <v>1766</v>
      </c>
      <c r="B1471" s="78">
        <v>45931</v>
      </c>
      <c r="C1471" t="s">
        <v>1725</v>
      </c>
      <c r="D1471" s="28" t="s">
        <v>30</v>
      </c>
      <c r="E1471" s="28" t="s">
        <v>2</v>
      </c>
      <c r="F1471" s="123">
        <v>-700000</v>
      </c>
      <c r="G1471" s="28" t="s">
        <v>998</v>
      </c>
    </row>
    <row r="1472" spans="1:7">
      <c r="A1472" s="122" t="s">
        <v>1766</v>
      </c>
      <c r="B1472" s="78">
        <v>45931</v>
      </c>
      <c r="C1472" t="s">
        <v>1726</v>
      </c>
      <c r="D1472" s="28" t="s">
        <v>15</v>
      </c>
      <c r="E1472" s="28" t="s">
        <v>1353</v>
      </c>
      <c r="F1472" s="124">
        <v>586300</v>
      </c>
      <c r="G1472" s="28" t="s">
        <v>998</v>
      </c>
    </row>
    <row r="1473" spans="1:7">
      <c r="A1473" s="122" t="s">
        <v>1766</v>
      </c>
      <c r="B1473" s="78">
        <v>45931</v>
      </c>
      <c r="C1473" t="s">
        <v>727</v>
      </c>
      <c r="D1473" s="28" t="s">
        <v>3</v>
      </c>
      <c r="E1473" s="28" t="s">
        <v>865</v>
      </c>
      <c r="F1473" s="125">
        <v>53.75</v>
      </c>
      <c r="G1473" s="28" t="s">
        <v>998</v>
      </c>
    </row>
    <row r="1474" spans="1:7">
      <c r="A1474" s="122" t="s">
        <v>1766</v>
      </c>
      <c r="B1474" s="78">
        <v>45931</v>
      </c>
      <c r="C1474" t="s">
        <v>1726</v>
      </c>
      <c r="D1474" s="28" t="s">
        <v>15</v>
      </c>
      <c r="E1474" s="28" t="s">
        <v>1353</v>
      </c>
      <c r="F1474" s="124">
        <v>586300</v>
      </c>
      <c r="G1474" s="28" t="s">
        <v>998</v>
      </c>
    </row>
    <row r="1475" spans="1:7">
      <c r="A1475" s="122" t="s">
        <v>1766</v>
      </c>
      <c r="B1475" s="78">
        <v>45931</v>
      </c>
      <c r="C1475" t="s">
        <v>727</v>
      </c>
      <c r="D1475" s="28" t="s">
        <v>3</v>
      </c>
      <c r="E1475" s="28" t="s">
        <v>865</v>
      </c>
      <c r="F1475" s="125">
        <v>53.75</v>
      </c>
      <c r="G1475" s="28" t="s">
        <v>998</v>
      </c>
    </row>
    <row r="1476" spans="1:7">
      <c r="A1476" s="122" t="s">
        <v>1766</v>
      </c>
      <c r="B1476" s="78">
        <v>45931</v>
      </c>
      <c r="C1476" t="s">
        <v>1727</v>
      </c>
      <c r="D1476" s="28" t="s">
        <v>15</v>
      </c>
      <c r="E1476" s="28" t="s">
        <v>1353</v>
      </c>
      <c r="F1476" s="123">
        <v>-586300</v>
      </c>
      <c r="G1476" s="28" t="s">
        <v>998</v>
      </c>
    </row>
    <row r="1477" spans="1:7">
      <c r="A1477" s="122" t="s">
        <v>1766</v>
      </c>
      <c r="B1477" s="78">
        <v>45931</v>
      </c>
      <c r="C1477" t="s">
        <v>1728</v>
      </c>
      <c r="D1477" s="28" t="s">
        <v>3</v>
      </c>
      <c r="E1477" s="28" t="s">
        <v>865</v>
      </c>
      <c r="F1477">
        <v>-53.75</v>
      </c>
      <c r="G1477" s="28" t="s">
        <v>998</v>
      </c>
    </row>
    <row r="1478" spans="1:7">
      <c r="A1478" s="122" t="s">
        <v>1766</v>
      </c>
      <c r="B1478" s="78">
        <v>45931</v>
      </c>
      <c r="C1478" t="s">
        <v>1727</v>
      </c>
      <c r="D1478" s="28" t="s">
        <v>15</v>
      </c>
      <c r="E1478" s="28" t="s">
        <v>1353</v>
      </c>
      <c r="F1478" s="123">
        <v>-586300</v>
      </c>
      <c r="G1478" s="28" t="s">
        <v>998</v>
      </c>
    </row>
    <row r="1479" spans="1:7">
      <c r="A1479" s="122" t="s">
        <v>1766</v>
      </c>
      <c r="B1479" s="78">
        <v>45931</v>
      </c>
      <c r="C1479" t="s">
        <v>1728</v>
      </c>
      <c r="D1479" s="28" t="s">
        <v>3</v>
      </c>
      <c r="E1479" s="28" t="s">
        <v>865</v>
      </c>
      <c r="F1479">
        <v>-53.75</v>
      </c>
      <c r="G1479" s="28" t="s">
        <v>998</v>
      </c>
    </row>
    <row r="1480" spans="1:7">
      <c r="A1480" s="122" t="s">
        <v>1767</v>
      </c>
      <c r="B1480" s="78">
        <v>45931</v>
      </c>
      <c r="C1480" t="s">
        <v>1729</v>
      </c>
      <c r="D1480" s="28" t="s">
        <v>30</v>
      </c>
      <c r="E1480" s="28" t="s">
        <v>2</v>
      </c>
      <c r="F1480" s="123">
        <v>-25000</v>
      </c>
      <c r="G1480" s="28" t="s">
        <v>998</v>
      </c>
    </row>
    <row r="1481" spans="1:7">
      <c r="A1481" s="122" t="s">
        <v>1767</v>
      </c>
      <c r="B1481" s="78">
        <v>45931</v>
      </c>
      <c r="C1481" t="s">
        <v>1730</v>
      </c>
      <c r="D1481" s="28" t="s">
        <v>15</v>
      </c>
      <c r="E1481" s="28" t="s">
        <v>1354</v>
      </c>
      <c r="F1481" s="123">
        <v>-54000</v>
      </c>
      <c r="G1481" s="28" t="s">
        <v>998</v>
      </c>
    </row>
    <row r="1482" spans="1:7">
      <c r="A1482" s="122" t="s">
        <v>1768</v>
      </c>
      <c r="B1482" s="78">
        <v>45931</v>
      </c>
      <c r="C1482" t="s">
        <v>1731</v>
      </c>
      <c r="D1482" s="28" t="s">
        <v>30</v>
      </c>
      <c r="E1482" s="28" t="s">
        <v>2</v>
      </c>
      <c r="F1482" s="123">
        <v>-420000</v>
      </c>
      <c r="G1482" s="28" t="s">
        <v>998</v>
      </c>
    </row>
    <row r="1483" spans="1:7">
      <c r="A1483" s="122" t="s">
        <v>1768</v>
      </c>
      <c r="B1483" s="78">
        <v>45931</v>
      </c>
      <c r="C1483" t="s">
        <v>733</v>
      </c>
      <c r="D1483" s="28" t="s">
        <v>3</v>
      </c>
      <c r="E1483" s="28" t="s">
        <v>865</v>
      </c>
      <c r="F1483" s="125">
        <v>250</v>
      </c>
      <c r="G1483" s="28" t="s">
        <v>998</v>
      </c>
    </row>
    <row r="1484" spans="1:7">
      <c r="A1484" s="122" t="s">
        <v>1769</v>
      </c>
      <c r="B1484" s="78">
        <v>45931</v>
      </c>
      <c r="C1484" t="s">
        <v>1726</v>
      </c>
      <c r="D1484" s="28" t="s">
        <v>15</v>
      </c>
      <c r="E1484" s="28" t="s">
        <v>1353</v>
      </c>
      <c r="F1484" s="124">
        <v>586300</v>
      </c>
      <c r="G1484" s="28" t="s">
        <v>998</v>
      </c>
    </row>
    <row r="1485" spans="1:7">
      <c r="A1485" s="122" t="s">
        <v>1769</v>
      </c>
      <c r="B1485" s="78">
        <v>45931</v>
      </c>
      <c r="C1485" t="s">
        <v>727</v>
      </c>
      <c r="D1485" s="28" t="s">
        <v>3</v>
      </c>
      <c r="E1485" s="28" t="s">
        <v>865</v>
      </c>
      <c r="F1485" s="125">
        <v>53.75</v>
      </c>
      <c r="G1485" s="28" t="s">
        <v>998</v>
      </c>
    </row>
    <row r="1486" spans="1:7">
      <c r="A1486" s="122" t="s">
        <v>1770</v>
      </c>
      <c r="B1486" s="78">
        <v>45931</v>
      </c>
      <c r="C1486" t="s">
        <v>1732</v>
      </c>
      <c r="D1486" s="28" t="s">
        <v>15</v>
      </c>
      <c r="E1486" s="28" t="s">
        <v>1354</v>
      </c>
      <c r="F1486" s="123">
        <v>-500000</v>
      </c>
      <c r="G1486" s="28" t="s">
        <v>998</v>
      </c>
    </row>
    <row r="1487" spans="1:7">
      <c r="A1487" s="122" t="s">
        <v>1770</v>
      </c>
      <c r="B1487" s="78">
        <v>45931</v>
      </c>
      <c r="C1487" t="s">
        <v>1733</v>
      </c>
      <c r="D1487" s="28" t="s">
        <v>26</v>
      </c>
      <c r="E1487" s="28" t="s">
        <v>976</v>
      </c>
      <c r="F1487" s="124">
        <v>250000</v>
      </c>
      <c r="G1487" s="28" t="s">
        <v>998</v>
      </c>
    </row>
    <row r="1488" spans="1:7">
      <c r="A1488" s="122" t="s">
        <v>1770</v>
      </c>
      <c r="B1488" s="78">
        <v>45931</v>
      </c>
      <c r="C1488" t="s">
        <v>727</v>
      </c>
      <c r="D1488" s="28" t="s">
        <v>3</v>
      </c>
      <c r="E1488" s="28" t="s">
        <v>865</v>
      </c>
      <c r="F1488" s="125">
        <v>53.75</v>
      </c>
      <c r="G1488" s="28" t="s">
        <v>998</v>
      </c>
    </row>
    <row r="1489" spans="1:7">
      <c r="A1489" s="122" t="s">
        <v>1770</v>
      </c>
      <c r="B1489" s="78">
        <v>45931</v>
      </c>
      <c r="C1489" t="s">
        <v>1734</v>
      </c>
      <c r="D1489" s="28" t="s">
        <v>26</v>
      </c>
      <c r="E1489" s="28" t="s">
        <v>976</v>
      </c>
      <c r="F1489" s="124">
        <v>750000</v>
      </c>
      <c r="G1489" s="28" t="s">
        <v>998</v>
      </c>
    </row>
    <row r="1490" spans="1:7">
      <c r="A1490" s="122" t="s">
        <v>1770</v>
      </c>
      <c r="B1490" s="78">
        <v>45931</v>
      </c>
      <c r="C1490" t="s">
        <v>727</v>
      </c>
      <c r="D1490" s="28" t="s">
        <v>3</v>
      </c>
      <c r="E1490" s="28" t="s">
        <v>865</v>
      </c>
      <c r="F1490" s="125">
        <v>53.75</v>
      </c>
      <c r="G1490" s="28" t="s">
        <v>998</v>
      </c>
    </row>
    <row r="1491" spans="1:7">
      <c r="A1491" s="122" t="s">
        <v>1770</v>
      </c>
      <c r="B1491" s="78">
        <v>45931</v>
      </c>
      <c r="C1491" t="s">
        <v>1735</v>
      </c>
      <c r="D1491" s="28" t="s">
        <v>30</v>
      </c>
      <c r="E1491" s="28" t="s">
        <v>2</v>
      </c>
      <c r="F1491" s="123">
        <v>-25000</v>
      </c>
      <c r="G1491" s="28" t="s">
        <v>998</v>
      </c>
    </row>
    <row r="1492" spans="1:7">
      <c r="A1492" s="122" t="s">
        <v>1770</v>
      </c>
      <c r="B1492" s="78">
        <v>45931</v>
      </c>
      <c r="C1492" t="s">
        <v>1736</v>
      </c>
      <c r="D1492" s="28" t="s">
        <v>30</v>
      </c>
      <c r="E1492" s="28" t="s">
        <v>2</v>
      </c>
      <c r="F1492" s="123">
        <v>-100000</v>
      </c>
      <c r="G1492" s="28" t="s">
        <v>998</v>
      </c>
    </row>
    <row r="1493" spans="1:7">
      <c r="A1493" s="122" t="s">
        <v>1771</v>
      </c>
      <c r="B1493" s="78">
        <v>45931</v>
      </c>
      <c r="C1493" t="s">
        <v>1737</v>
      </c>
      <c r="D1493" s="28" t="s">
        <v>30</v>
      </c>
      <c r="E1493" s="28" t="s">
        <v>2</v>
      </c>
      <c r="F1493" s="123">
        <v>-100000</v>
      </c>
      <c r="G1493" s="28" t="s">
        <v>998</v>
      </c>
    </row>
    <row r="1494" spans="1:7">
      <c r="A1494" s="122" t="s">
        <v>1771</v>
      </c>
      <c r="B1494" s="78">
        <v>45931</v>
      </c>
      <c r="C1494" t="s">
        <v>1738</v>
      </c>
      <c r="D1494" s="28" t="s">
        <v>13</v>
      </c>
      <c r="E1494" s="28" t="s">
        <v>800</v>
      </c>
      <c r="F1494" s="123">
        <v>1203000</v>
      </c>
      <c r="G1494" s="28" t="s">
        <v>998</v>
      </c>
    </row>
    <row r="1495" spans="1:7">
      <c r="A1495" s="122" t="s">
        <v>1771</v>
      </c>
      <c r="B1495" s="78">
        <v>45931</v>
      </c>
      <c r="C1495" t="s">
        <v>727</v>
      </c>
      <c r="D1495" s="28" t="s">
        <v>3</v>
      </c>
      <c r="E1495" s="28" t="s">
        <v>865</v>
      </c>
      <c r="F1495" s="116">
        <v>53.75</v>
      </c>
      <c r="G1495" s="28" t="s">
        <v>998</v>
      </c>
    </row>
    <row r="1496" spans="1:7">
      <c r="A1496" s="122" t="s">
        <v>1771</v>
      </c>
      <c r="B1496" s="78">
        <v>45931</v>
      </c>
      <c r="C1496" t="s">
        <v>1739</v>
      </c>
      <c r="D1496" s="28" t="s">
        <v>1683</v>
      </c>
      <c r="E1496" s="28" t="s">
        <v>32</v>
      </c>
      <c r="F1496" s="123">
        <v>50000000</v>
      </c>
      <c r="G1496" s="28" t="s">
        <v>998</v>
      </c>
    </row>
    <row r="1497" spans="1:7">
      <c r="A1497" s="122" t="s">
        <v>1771</v>
      </c>
      <c r="B1497" s="78">
        <v>45931</v>
      </c>
      <c r="C1497" t="s">
        <v>727</v>
      </c>
      <c r="D1497" s="28" t="s">
        <v>3</v>
      </c>
      <c r="E1497" s="28" t="s">
        <v>865</v>
      </c>
      <c r="F1497" s="116">
        <v>53.75</v>
      </c>
      <c r="G1497" s="28" t="s">
        <v>998</v>
      </c>
    </row>
    <row r="1498" spans="1:7">
      <c r="A1498" s="122" t="s">
        <v>1771</v>
      </c>
      <c r="B1498" s="78">
        <v>45931</v>
      </c>
      <c r="C1498" t="s">
        <v>1740</v>
      </c>
      <c r="D1498" s="28" t="s">
        <v>15</v>
      </c>
      <c r="E1498" s="28" t="s">
        <v>1354</v>
      </c>
      <c r="F1498" s="123">
        <v>-1700000</v>
      </c>
      <c r="G1498" s="28" t="s">
        <v>998</v>
      </c>
    </row>
    <row r="1499" spans="1:7">
      <c r="A1499" s="122" t="s">
        <v>1771</v>
      </c>
      <c r="B1499" s="78">
        <v>45931</v>
      </c>
      <c r="C1499" t="s">
        <v>1736</v>
      </c>
      <c r="D1499" s="28" t="s">
        <v>30</v>
      </c>
      <c r="E1499" s="28" t="s">
        <v>2</v>
      </c>
      <c r="F1499" s="123">
        <v>-20000</v>
      </c>
      <c r="G1499" s="28" t="s">
        <v>998</v>
      </c>
    </row>
    <row r="1500" spans="1:7">
      <c r="A1500" s="122" t="s">
        <v>1771</v>
      </c>
      <c r="B1500" s="78">
        <v>45931</v>
      </c>
      <c r="C1500" t="s">
        <v>1741</v>
      </c>
      <c r="D1500" s="28" t="s">
        <v>30</v>
      </c>
      <c r="E1500" s="28" t="s">
        <v>2</v>
      </c>
      <c r="F1500" s="123">
        <v>-700000</v>
      </c>
      <c r="G1500" s="28" t="s">
        <v>998</v>
      </c>
    </row>
    <row r="1501" spans="1:7">
      <c r="A1501" s="122" t="s">
        <v>1772</v>
      </c>
      <c r="B1501" s="78">
        <v>45931</v>
      </c>
      <c r="C1501" t="s">
        <v>1742</v>
      </c>
      <c r="D1501" s="28" t="s">
        <v>30</v>
      </c>
      <c r="E1501" s="28" t="s">
        <v>2</v>
      </c>
      <c r="F1501" s="123">
        <v>-500000</v>
      </c>
      <c r="G1501" s="28" t="s">
        <v>998</v>
      </c>
    </row>
    <row r="1502" spans="1:7">
      <c r="A1502" s="122" t="s">
        <v>1773</v>
      </c>
      <c r="B1502" s="78">
        <v>45931</v>
      </c>
      <c r="C1502" t="s">
        <v>733</v>
      </c>
      <c r="D1502" s="28" t="s">
        <v>3</v>
      </c>
      <c r="E1502" s="28" t="s">
        <v>865</v>
      </c>
      <c r="F1502" s="116">
        <v>400</v>
      </c>
      <c r="G1502" s="28" t="s">
        <v>998</v>
      </c>
    </row>
    <row r="1503" spans="1:7">
      <c r="A1503" s="122" t="s">
        <v>1774</v>
      </c>
      <c r="B1503" s="78">
        <v>45931</v>
      </c>
      <c r="C1503" t="s">
        <v>1743</v>
      </c>
      <c r="D1503" s="28" t="s">
        <v>15</v>
      </c>
      <c r="E1503" s="28" t="s">
        <v>1353</v>
      </c>
      <c r="F1503" s="123">
        <v>280500</v>
      </c>
      <c r="G1503" s="28" t="s">
        <v>998</v>
      </c>
    </row>
    <row r="1504" spans="1:7">
      <c r="A1504" s="122" t="s">
        <v>1774</v>
      </c>
      <c r="B1504" s="78">
        <v>45931</v>
      </c>
      <c r="C1504" t="s">
        <v>727</v>
      </c>
      <c r="D1504" s="28" t="s">
        <v>3</v>
      </c>
      <c r="E1504" s="28" t="s">
        <v>865</v>
      </c>
      <c r="F1504" s="116">
        <v>53.75</v>
      </c>
      <c r="G1504" s="28" t="s">
        <v>998</v>
      </c>
    </row>
    <row r="1505" spans="1:7">
      <c r="A1505" s="122" t="s">
        <v>1775</v>
      </c>
      <c r="B1505" s="78">
        <v>45931</v>
      </c>
      <c r="C1505" t="s">
        <v>1744</v>
      </c>
      <c r="D1505" s="28" t="s">
        <v>15</v>
      </c>
      <c r="E1505" s="28" t="s">
        <v>1353</v>
      </c>
      <c r="F1505" s="123">
        <v>221000</v>
      </c>
      <c r="G1505" s="28" t="s">
        <v>998</v>
      </c>
    </row>
    <row r="1506" spans="1:7">
      <c r="A1506" s="122" t="s">
        <v>1775</v>
      </c>
      <c r="B1506" s="78">
        <v>45931</v>
      </c>
      <c r="C1506" t="s">
        <v>727</v>
      </c>
      <c r="D1506" s="28" t="s">
        <v>3</v>
      </c>
      <c r="E1506" s="28" t="s">
        <v>865</v>
      </c>
      <c r="F1506" s="116">
        <v>53.75</v>
      </c>
      <c r="G1506" s="28" t="s">
        <v>998</v>
      </c>
    </row>
    <row r="1507" spans="1:7">
      <c r="A1507" s="122" t="s">
        <v>1775</v>
      </c>
      <c r="B1507" s="78">
        <v>45931</v>
      </c>
      <c r="C1507" t="s">
        <v>1745</v>
      </c>
      <c r="D1507" s="28" t="s">
        <v>15</v>
      </c>
      <c r="E1507" s="28" t="s">
        <v>1353</v>
      </c>
      <c r="F1507" s="123">
        <v>53000</v>
      </c>
      <c r="G1507" s="28" t="s">
        <v>998</v>
      </c>
    </row>
    <row r="1508" spans="1:7">
      <c r="A1508" s="122" t="s">
        <v>1775</v>
      </c>
      <c r="B1508" s="78">
        <v>45931</v>
      </c>
      <c r="C1508" t="s">
        <v>727</v>
      </c>
      <c r="D1508" s="28" t="s">
        <v>3</v>
      </c>
      <c r="E1508" s="28" t="s">
        <v>865</v>
      </c>
      <c r="F1508" s="116">
        <v>53.75</v>
      </c>
      <c r="G1508" s="28" t="s">
        <v>998</v>
      </c>
    </row>
    <row r="1509" spans="1:7">
      <c r="A1509" s="122" t="s">
        <v>1775</v>
      </c>
      <c r="B1509" s="78">
        <v>45931</v>
      </c>
      <c r="C1509" t="s">
        <v>1746</v>
      </c>
      <c r="D1509" s="28" t="s">
        <v>15</v>
      </c>
      <c r="E1509" s="28" t="s">
        <v>1353</v>
      </c>
      <c r="F1509" s="123">
        <v>91500</v>
      </c>
      <c r="G1509" s="28" t="s">
        <v>998</v>
      </c>
    </row>
    <row r="1510" spans="1:7">
      <c r="A1510" s="122" t="s">
        <v>1775</v>
      </c>
      <c r="B1510" s="78">
        <v>45931</v>
      </c>
      <c r="C1510" t="s">
        <v>727</v>
      </c>
      <c r="D1510" s="28" t="s">
        <v>3</v>
      </c>
      <c r="E1510" s="28" t="s">
        <v>865</v>
      </c>
      <c r="F1510" s="116">
        <v>53.75</v>
      </c>
      <c r="G1510" s="28" t="s">
        <v>998</v>
      </c>
    </row>
    <row r="1511" spans="1:7">
      <c r="A1511" s="122" t="s">
        <v>1775</v>
      </c>
      <c r="B1511" s="78">
        <v>45931</v>
      </c>
      <c r="C1511" t="s">
        <v>1747</v>
      </c>
      <c r="D1511" s="28" t="s">
        <v>15</v>
      </c>
      <c r="E1511" s="28" t="s">
        <v>1353</v>
      </c>
      <c r="F1511" s="123">
        <v>68000</v>
      </c>
      <c r="G1511" s="28" t="s">
        <v>998</v>
      </c>
    </row>
    <row r="1512" spans="1:7">
      <c r="A1512" s="122" t="s">
        <v>1775</v>
      </c>
      <c r="B1512" s="78">
        <v>45931</v>
      </c>
      <c r="C1512" t="s">
        <v>727</v>
      </c>
      <c r="D1512" s="28" t="s">
        <v>3</v>
      </c>
      <c r="E1512" s="28" t="s">
        <v>865</v>
      </c>
      <c r="F1512" s="116">
        <v>53.75</v>
      </c>
      <c r="G1512" s="28" t="s">
        <v>998</v>
      </c>
    </row>
    <row r="1513" spans="1:7">
      <c r="A1513" s="122" t="s">
        <v>1775</v>
      </c>
      <c r="B1513" s="78">
        <v>45931</v>
      </c>
      <c r="C1513" t="s">
        <v>1748</v>
      </c>
      <c r="D1513" s="28" t="s">
        <v>15</v>
      </c>
      <c r="E1513" s="28" t="s">
        <v>1353</v>
      </c>
      <c r="F1513" s="123">
        <v>35000</v>
      </c>
      <c r="G1513" s="28" t="s">
        <v>998</v>
      </c>
    </row>
    <row r="1514" spans="1:7">
      <c r="A1514" s="122" t="s">
        <v>1775</v>
      </c>
      <c r="B1514" s="78">
        <v>45931</v>
      </c>
      <c r="C1514" t="s">
        <v>727</v>
      </c>
      <c r="D1514" s="28" t="s">
        <v>3</v>
      </c>
      <c r="E1514" s="28" t="s">
        <v>865</v>
      </c>
      <c r="F1514" s="116">
        <v>26.88</v>
      </c>
      <c r="G1514" s="28" t="s">
        <v>998</v>
      </c>
    </row>
    <row r="1515" spans="1:7">
      <c r="A1515" s="122" t="s">
        <v>1776</v>
      </c>
      <c r="B1515" s="78">
        <v>45931</v>
      </c>
      <c r="C1515" t="s">
        <v>1749</v>
      </c>
      <c r="D1515" s="28" t="s">
        <v>15</v>
      </c>
      <c r="E1515" s="28" t="s">
        <v>1354</v>
      </c>
      <c r="F1515" s="123">
        <v>-895000</v>
      </c>
      <c r="G1515" s="28" t="s">
        <v>998</v>
      </c>
    </row>
    <row r="1516" spans="1:7">
      <c r="A1516" s="122" t="s">
        <v>1776</v>
      </c>
      <c r="B1516" s="78">
        <v>45931</v>
      </c>
      <c r="C1516" t="s">
        <v>1750</v>
      </c>
      <c r="D1516" s="28" t="s">
        <v>13</v>
      </c>
      <c r="E1516" s="28" t="s">
        <v>800</v>
      </c>
      <c r="F1516" s="123">
        <v>704000</v>
      </c>
      <c r="G1516" s="28" t="s">
        <v>998</v>
      </c>
    </row>
    <row r="1517" spans="1:7">
      <c r="A1517" s="122" t="s">
        <v>1776</v>
      </c>
      <c r="B1517" s="78">
        <v>45931</v>
      </c>
      <c r="C1517" t="s">
        <v>727</v>
      </c>
      <c r="D1517" s="28" t="s">
        <v>3</v>
      </c>
      <c r="E1517" s="28" t="s">
        <v>865</v>
      </c>
      <c r="F1517" s="116">
        <v>53.75</v>
      </c>
      <c r="G1517" s="28" t="s">
        <v>998</v>
      </c>
    </row>
    <row r="1518" spans="1:7">
      <c r="A1518" s="122" t="s">
        <v>1776</v>
      </c>
      <c r="B1518" s="78">
        <v>45931</v>
      </c>
      <c r="C1518" t="s">
        <v>1751</v>
      </c>
      <c r="D1518" s="28" t="s">
        <v>13</v>
      </c>
      <c r="E1518" s="28" t="s">
        <v>800</v>
      </c>
      <c r="F1518" s="123">
        <v>359587.5</v>
      </c>
      <c r="G1518" s="28" t="s">
        <v>998</v>
      </c>
    </row>
    <row r="1519" spans="1:7">
      <c r="A1519" s="122" t="s">
        <v>1776</v>
      </c>
      <c r="B1519" s="78">
        <v>45931</v>
      </c>
      <c r="C1519" t="s">
        <v>727</v>
      </c>
      <c r="D1519" s="28" t="s">
        <v>3</v>
      </c>
      <c r="E1519" s="28" t="s">
        <v>865</v>
      </c>
      <c r="F1519" s="116">
        <v>53.75</v>
      </c>
      <c r="G1519" s="28" t="s">
        <v>998</v>
      </c>
    </row>
    <row r="1520" spans="1:7">
      <c r="A1520" s="122" t="s">
        <v>1777</v>
      </c>
      <c r="B1520" s="78">
        <v>45931</v>
      </c>
      <c r="C1520" t="s">
        <v>1752</v>
      </c>
      <c r="D1520" t="s">
        <v>11</v>
      </c>
      <c r="E1520" t="s">
        <v>953</v>
      </c>
      <c r="F1520" s="123">
        <v>580623.37</v>
      </c>
      <c r="G1520" s="28" t="s">
        <v>998</v>
      </c>
    </row>
    <row r="1521" spans="1:8">
      <c r="A1521" s="122" t="s">
        <v>1777</v>
      </c>
      <c r="B1521" s="78">
        <v>45931</v>
      </c>
      <c r="C1521" t="s">
        <v>727</v>
      </c>
      <c r="D1521" t="s">
        <v>3</v>
      </c>
      <c r="E1521" t="s">
        <v>865</v>
      </c>
      <c r="F1521" s="116">
        <v>53.75</v>
      </c>
      <c r="G1521" s="28" t="s">
        <v>998</v>
      </c>
    </row>
    <row r="1522" spans="1:8">
      <c r="A1522" s="122" t="s">
        <v>1777</v>
      </c>
      <c r="B1522" s="78">
        <v>45931</v>
      </c>
      <c r="C1522" t="s">
        <v>1753</v>
      </c>
      <c r="D1522" s="28" t="s">
        <v>30</v>
      </c>
      <c r="E1522" s="28" t="s">
        <v>2</v>
      </c>
      <c r="F1522" s="123">
        <v>-25000</v>
      </c>
      <c r="G1522" s="28" t="s">
        <v>998</v>
      </c>
    </row>
    <row r="1523" spans="1:8">
      <c r="A1523" s="122" t="s">
        <v>1778</v>
      </c>
      <c r="B1523" s="78">
        <v>45931</v>
      </c>
      <c r="C1523" t="s">
        <v>1754</v>
      </c>
      <c r="D1523" s="28" t="s">
        <v>13</v>
      </c>
      <c r="E1523" s="28" t="s">
        <v>800</v>
      </c>
      <c r="F1523" s="123">
        <v>420000</v>
      </c>
      <c r="G1523" s="28" t="s">
        <v>998</v>
      </c>
    </row>
    <row r="1524" spans="1:8">
      <c r="A1524" s="122" t="s">
        <v>1778</v>
      </c>
      <c r="B1524" s="78">
        <v>45931</v>
      </c>
      <c r="C1524" t="s">
        <v>727</v>
      </c>
      <c r="D1524" s="28" t="s">
        <v>3</v>
      </c>
      <c r="E1524" s="28" t="s">
        <v>865</v>
      </c>
      <c r="F1524" s="116">
        <v>53.75</v>
      </c>
      <c r="G1524" s="28" t="s">
        <v>998</v>
      </c>
    </row>
    <row r="1525" spans="1:8">
      <c r="A1525" s="122" t="s">
        <v>1778</v>
      </c>
      <c r="B1525" s="78">
        <v>45931</v>
      </c>
      <c r="C1525" t="s">
        <v>1755</v>
      </c>
      <c r="D1525" s="28" t="s">
        <v>13</v>
      </c>
      <c r="E1525" s="28" t="s">
        <v>800</v>
      </c>
      <c r="F1525" s="123">
        <v>400000</v>
      </c>
      <c r="G1525" s="28" t="s">
        <v>998</v>
      </c>
    </row>
    <row r="1526" spans="1:8">
      <c r="A1526" s="122" t="s">
        <v>1778</v>
      </c>
      <c r="B1526" s="78">
        <v>45931</v>
      </c>
      <c r="C1526" t="s">
        <v>727</v>
      </c>
      <c r="D1526" s="28" t="s">
        <v>3</v>
      </c>
      <c r="E1526" s="28" t="s">
        <v>865</v>
      </c>
      <c r="F1526" s="116">
        <v>53.75</v>
      </c>
      <c r="G1526" s="28" t="s">
        <v>998</v>
      </c>
    </row>
    <row r="1527" spans="1:8">
      <c r="A1527" s="122" t="s">
        <v>1778</v>
      </c>
      <c r="B1527" s="78">
        <v>45931</v>
      </c>
      <c r="C1527" t="s">
        <v>1756</v>
      </c>
      <c r="D1527" t="s">
        <v>16</v>
      </c>
      <c r="E1527" t="s">
        <v>974</v>
      </c>
      <c r="F1527" s="123">
        <v>950000</v>
      </c>
      <c r="G1527" s="28" t="s">
        <v>998</v>
      </c>
    </row>
    <row r="1528" spans="1:8">
      <c r="A1528" s="122" t="s">
        <v>1778</v>
      </c>
      <c r="B1528" s="78">
        <v>45931</v>
      </c>
      <c r="C1528" t="s">
        <v>735</v>
      </c>
      <c r="D1528" t="s">
        <v>3</v>
      </c>
      <c r="E1528" t="s">
        <v>865</v>
      </c>
      <c r="F1528" s="123">
        <v>148582.35999999999</v>
      </c>
      <c r="G1528" s="28" t="s">
        <v>998</v>
      </c>
    </row>
    <row r="1529" spans="1:8">
      <c r="A1529" s="122" t="s">
        <v>1778</v>
      </c>
      <c r="B1529" s="78">
        <v>45931</v>
      </c>
      <c r="C1529" t="s">
        <v>736</v>
      </c>
      <c r="D1529" t="s">
        <v>3</v>
      </c>
      <c r="E1529" t="s">
        <v>865</v>
      </c>
      <c r="F1529" s="123">
        <v>11143.68</v>
      </c>
      <c r="G1529" s="28" t="s">
        <v>998</v>
      </c>
    </row>
    <row r="1530" spans="1:8">
      <c r="A1530" s="8">
        <v>45961</v>
      </c>
      <c r="B1530" s="126">
        <v>45931</v>
      </c>
      <c r="C1530" s="10" t="s">
        <v>1779</v>
      </c>
      <c r="D1530" s="10" t="s">
        <v>714</v>
      </c>
      <c r="E1530" s="86" t="s">
        <v>990</v>
      </c>
      <c r="F1530" s="11">
        <f>-SUM(F1451:F1529)</f>
        <v>71607857.899999991</v>
      </c>
      <c r="G1530" s="86" t="s">
        <v>998</v>
      </c>
      <c r="H1530" s="28"/>
    </row>
    <row r="1531" spans="1:8">
      <c r="A1531" s="122" t="s">
        <v>1757</v>
      </c>
      <c r="B1531" s="78">
        <v>45931</v>
      </c>
      <c r="C1531" s="127" t="s">
        <v>1780</v>
      </c>
      <c r="D1531" s="28" t="s">
        <v>15</v>
      </c>
      <c r="E1531" t="s">
        <v>1353</v>
      </c>
      <c r="F1531" s="128">
        <v>17000</v>
      </c>
      <c r="G1531" s="28" t="s">
        <v>710</v>
      </c>
    </row>
    <row r="1532" spans="1:8">
      <c r="A1532" s="122" t="s">
        <v>1757</v>
      </c>
      <c r="B1532" s="78">
        <v>45931</v>
      </c>
      <c r="C1532" s="127" t="s">
        <v>1780</v>
      </c>
      <c r="D1532" s="28" t="s">
        <v>3</v>
      </c>
      <c r="E1532" s="28" t="s">
        <v>865</v>
      </c>
      <c r="F1532" s="128">
        <v>25</v>
      </c>
      <c r="G1532" t="s">
        <v>710</v>
      </c>
    </row>
    <row r="1533" spans="1:8">
      <c r="A1533" s="122" t="s">
        <v>1757</v>
      </c>
      <c r="B1533" s="78">
        <v>45931</v>
      </c>
      <c r="C1533" s="127" t="s">
        <v>1780</v>
      </c>
      <c r="D1533" s="28" t="s">
        <v>3</v>
      </c>
      <c r="E1533" s="28" t="s">
        <v>865</v>
      </c>
      <c r="F1533" s="128">
        <v>1.88</v>
      </c>
      <c r="G1533" t="s">
        <v>710</v>
      </c>
    </row>
    <row r="1534" spans="1:8">
      <c r="A1534" s="122" t="s">
        <v>1757</v>
      </c>
      <c r="B1534" s="78">
        <v>45931</v>
      </c>
      <c r="C1534" s="127" t="s">
        <v>1781</v>
      </c>
      <c r="D1534" s="28" t="s">
        <v>30</v>
      </c>
      <c r="E1534" s="28" t="s">
        <v>2</v>
      </c>
      <c r="F1534" s="128">
        <v>52300</v>
      </c>
      <c r="G1534" t="s">
        <v>710</v>
      </c>
    </row>
    <row r="1535" spans="1:8">
      <c r="A1535" s="122" t="s">
        <v>1757</v>
      </c>
      <c r="B1535" s="78">
        <v>45931</v>
      </c>
      <c r="C1535" s="127" t="s">
        <v>1781</v>
      </c>
      <c r="D1535" s="28" t="s">
        <v>3</v>
      </c>
      <c r="E1535" s="28" t="s">
        <v>865</v>
      </c>
      <c r="F1535" s="128">
        <v>50</v>
      </c>
      <c r="G1535" t="s">
        <v>710</v>
      </c>
    </row>
    <row r="1536" spans="1:8">
      <c r="A1536" s="122" t="s">
        <v>1757</v>
      </c>
      <c r="B1536" s="78">
        <v>45931</v>
      </c>
      <c r="C1536" s="127" t="s">
        <v>1781</v>
      </c>
      <c r="D1536" s="28" t="s">
        <v>3</v>
      </c>
      <c r="E1536" s="28" t="s">
        <v>865</v>
      </c>
      <c r="F1536" s="128">
        <v>3.75</v>
      </c>
      <c r="G1536" t="s">
        <v>710</v>
      </c>
    </row>
    <row r="1537" spans="1:7">
      <c r="A1537" s="122" t="s">
        <v>1757</v>
      </c>
      <c r="B1537" s="78">
        <v>45931</v>
      </c>
      <c r="C1537" s="127" t="s">
        <v>1782</v>
      </c>
      <c r="D1537" s="28" t="s">
        <v>30</v>
      </c>
      <c r="E1537" s="28" t="s">
        <v>2</v>
      </c>
      <c r="F1537" s="128">
        <v>52300</v>
      </c>
      <c r="G1537" t="s">
        <v>710</v>
      </c>
    </row>
    <row r="1538" spans="1:7">
      <c r="A1538" s="122" t="s">
        <v>1757</v>
      </c>
      <c r="B1538" s="78">
        <v>45931</v>
      </c>
      <c r="C1538" s="127" t="s">
        <v>1782</v>
      </c>
      <c r="D1538" s="28" t="s">
        <v>3</v>
      </c>
      <c r="E1538" s="28" t="s">
        <v>865</v>
      </c>
      <c r="F1538" s="128">
        <v>50</v>
      </c>
      <c r="G1538" t="s">
        <v>710</v>
      </c>
    </row>
    <row r="1539" spans="1:7">
      <c r="A1539" s="122" t="s">
        <v>1757</v>
      </c>
      <c r="B1539" s="78">
        <v>45931</v>
      </c>
      <c r="C1539" s="127" t="s">
        <v>1782</v>
      </c>
      <c r="D1539" s="28" t="s">
        <v>3</v>
      </c>
      <c r="E1539" s="28" t="s">
        <v>865</v>
      </c>
      <c r="F1539" s="128">
        <v>3.75</v>
      </c>
      <c r="G1539" t="s">
        <v>710</v>
      </c>
    </row>
    <row r="1540" spans="1:7">
      <c r="A1540" s="129">
        <v>45933</v>
      </c>
      <c r="B1540" s="78">
        <v>45931</v>
      </c>
      <c r="C1540" s="127" t="s">
        <v>1781</v>
      </c>
      <c r="D1540" s="28" t="s">
        <v>30</v>
      </c>
      <c r="E1540" s="28" t="s">
        <v>2</v>
      </c>
      <c r="F1540" s="128">
        <v>-52300</v>
      </c>
      <c r="G1540" t="s">
        <v>710</v>
      </c>
    </row>
    <row r="1541" spans="1:7">
      <c r="A1541" s="129">
        <v>45933</v>
      </c>
      <c r="B1541" s="78">
        <v>45931</v>
      </c>
      <c r="C1541" s="127" t="s">
        <v>1781</v>
      </c>
      <c r="D1541" s="28" t="s">
        <v>3</v>
      </c>
      <c r="E1541" s="28" t="s">
        <v>865</v>
      </c>
      <c r="F1541" s="128">
        <v>-50</v>
      </c>
      <c r="G1541" t="s">
        <v>710</v>
      </c>
    </row>
    <row r="1542" spans="1:7">
      <c r="A1542" s="129">
        <v>45933</v>
      </c>
      <c r="B1542" s="78">
        <v>45931</v>
      </c>
      <c r="C1542" s="127" t="s">
        <v>1781</v>
      </c>
      <c r="D1542" s="28" t="s">
        <v>3</v>
      </c>
      <c r="E1542" s="28" t="s">
        <v>865</v>
      </c>
      <c r="F1542" s="128">
        <v>-3.75</v>
      </c>
      <c r="G1542" t="s">
        <v>710</v>
      </c>
    </row>
    <row r="1543" spans="1:7">
      <c r="A1543" s="129">
        <v>45933</v>
      </c>
      <c r="B1543" s="78">
        <v>45931</v>
      </c>
      <c r="C1543" s="127" t="s">
        <v>1783</v>
      </c>
      <c r="D1543" s="28" t="s">
        <v>13</v>
      </c>
      <c r="E1543" s="28" t="s">
        <v>800</v>
      </c>
      <c r="F1543" s="128">
        <v>1804750</v>
      </c>
      <c r="G1543" t="s">
        <v>710</v>
      </c>
    </row>
    <row r="1544" spans="1:7">
      <c r="A1544" s="129">
        <v>45933</v>
      </c>
      <c r="B1544" s="78">
        <v>45931</v>
      </c>
      <c r="C1544" s="127" t="s">
        <v>1784</v>
      </c>
      <c r="D1544" s="28" t="s">
        <v>3</v>
      </c>
      <c r="E1544" s="28" t="s">
        <v>865</v>
      </c>
      <c r="F1544" s="128">
        <v>50</v>
      </c>
      <c r="G1544" t="s">
        <v>710</v>
      </c>
    </row>
    <row r="1545" spans="1:7">
      <c r="A1545" s="129">
        <v>45933</v>
      </c>
      <c r="B1545" s="78">
        <v>45931</v>
      </c>
      <c r="C1545" s="127" t="s">
        <v>1785</v>
      </c>
      <c r="D1545" s="28" t="s">
        <v>3</v>
      </c>
      <c r="E1545" s="28" t="s">
        <v>865</v>
      </c>
      <c r="F1545" s="128">
        <v>3.75</v>
      </c>
      <c r="G1545" t="s">
        <v>710</v>
      </c>
    </row>
    <row r="1546" spans="1:7">
      <c r="A1546" s="129">
        <v>45933</v>
      </c>
      <c r="B1546" s="78">
        <v>45931</v>
      </c>
      <c r="C1546" s="127" t="s">
        <v>1786</v>
      </c>
      <c r="D1546" s="28" t="s">
        <v>15</v>
      </c>
      <c r="E1546" t="s">
        <v>1353</v>
      </c>
      <c r="F1546" s="128">
        <v>17000</v>
      </c>
      <c r="G1546" t="s">
        <v>710</v>
      </c>
    </row>
    <row r="1547" spans="1:7">
      <c r="A1547" s="129">
        <v>45933</v>
      </c>
      <c r="B1547" s="78">
        <v>45931</v>
      </c>
      <c r="C1547" s="127" t="s">
        <v>1786</v>
      </c>
      <c r="D1547" s="28" t="s">
        <v>3</v>
      </c>
      <c r="E1547" s="28" t="s">
        <v>865</v>
      </c>
      <c r="F1547" s="128">
        <v>25</v>
      </c>
      <c r="G1547" t="s">
        <v>710</v>
      </c>
    </row>
    <row r="1548" spans="1:7">
      <c r="A1548" s="129">
        <v>45933</v>
      </c>
      <c r="B1548" s="78">
        <v>45931</v>
      </c>
      <c r="C1548" s="127" t="s">
        <v>1786</v>
      </c>
      <c r="D1548" s="28" t="s">
        <v>3</v>
      </c>
      <c r="E1548" s="28" t="s">
        <v>865</v>
      </c>
      <c r="F1548" s="128">
        <v>1.88</v>
      </c>
      <c r="G1548" t="s">
        <v>710</v>
      </c>
    </row>
    <row r="1549" spans="1:7">
      <c r="A1549" s="129">
        <v>45933</v>
      </c>
      <c r="B1549" s="78">
        <v>45931</v>
      </c>
      <c r="C1549" s="127" t="s">
        <v>1787</v>
      </c>
      <c r="D1549" s="28" t="s">
        <v>15</v>
      </c>
      <c r="E1549" t="s">
        <v>1353</v>
      </c>
      <c r="F1549" s="128">
        <v>325000</v>
      </c>
      <c r="G1549" t="s">
        <v>710</v>
      </c>
    </row>
    <row r="1550" spans="1:7">
      <c r="A1550" s="129">
        <v>45933</v>
      </c>
      <c r="B1550" s="78">
        <v>45931</v>
      </c>
      <c r="C1550" s="127" t="s">
        <v>1787</v>
      </c>
      <c r="D1550" s="28" t="s">
        <v>3</v>
      </c>
      <c r="E1550" s="28" t="s">
        <v>865</v>
      </c>
      <c r="F1550" s="128">
        <v>50</v>
      </c>
      <c r="G1550" t="s">
        <v>710</v>
      </c>
    </row>
    <row r="1551" spans="1:7">
      <c r="A1551" s="129">
        <v>45933</v>
      </c>
      <c r="B1551" s="78">
        <v>45931</v>
      </c>
      <c r="C1551" s="127" t="s">
        <v>1787</v>
      </c>
      <c r="D1551" s="28" t="s">
        <v>3</v>
      </c>
      <c r="E1551" s="28" t="s">
        <v>865</v>
      </c>
      <c r="F1551" s="128">
        <v>3.75</v>
      </c>
      <c r="G1551" t="s">
        <v>710</v>
      </c>
    </row>
    <row r="1552" spans="1:7">
      <c r="A1552" s="129">
        <v>45933</v>
      </c>
      <c r="B1552" s="78">
        <v>45931</v>
      </c>
      <c r="C1552" s="127" t="s">
        <v>1788</v>
      </c>
      <c r="D1552" s="28" t="s">
        <v>15</v>
      </c>
      <c r="E1552" t="s">
        <v>1354</v>
      </c>
      <c r="F1552" s="128">
        <v>-325000</v>
      </c>
      <c r="G1552" t="s">
        <v>710</v>
      </c>
    </row>
    <row r="1553" spans="1:7">
      <c r="A1553" s="129">
        <v>45933</v>
      </c>
      <c r="B1553" s="78">
        <v>45931</v>
      </c>
      <c r="C1553" s="127" t="s">
        <v>1789</v>
      </c>
      <c r="D1553" s="28" t="s">
        <v>3</v>
      </c>
      <c r="E1553" s="28" t="s">
        <v>865</v>
      </c>
      <c r="F1553" s="128">
        <v>50</v>
      </c>
      <c r="G1553" t="s">
        <v>710</v>
      </c>
    </row>
    <row r="1554" spans="1:7">
      <c r="A1554" s="129">
        <v>45933</v>
      </c>
      <c r="B1554" s="78">
        <v>45931</v>
      </c>
      <c r="C1554" s="127" t="s">
        <v>1790</v>
      </c>
      <c r="D1554" s="28" t="s">
        <v>30</v>
      </c>
      <c r="E1554" s="28" t="s">
        <v>2</v>
      </c>
      <c r="F1554" s="128">
        <v>-52300</v>
      </c>
      <c r="G1554" t="s">
        <v>710</v>
      </c>
    </row>
    <row r="1555" spans="1:7">
      <c r="A1555" s="129">
        <v>45936</v>
      </c>
      <c r="B1555" s="78">
        <v>45931</v>
      </c>
      <c r="C1555" s="127" t="s">
        <v>1791</v>
      </c>
      <c r="D1555" s="28" t="s">
        <v>15</v>
      </c>
      <c r="E1555" t="s">
        <v>1353</v>
      </c>
      <c r="F1555" s="128">
        <v>34000</v>
      </c>
      <c r="G1555" t="s">
        <v>710</v>
      </c>
    </row>
    <row r="1556" spans="1:7">
      <c r="A1556" s="129">
        <v>45936</v>
      </c>
      <c r="B1556" s="78">
        <v>45931</v>
      </c>
      <c r="C1556" s="127" t="s">
        <v>1791</v>
      </c>
      <c r="D1556" s="28" t="s">
        <v>3</v>
      </c>
      <c r="E1556" s="28" t="s">
        <v>865</v>
      </c>
      <c r="F1556" s="128">
        <v>25</v>
      </c>
      <c r="G1556" t="s">
        <v>710</v>
      </c>
    </row>
    <row r="1557" spans="1:7">
      <c r="A1557" s="129">
        <v>45936</v>
      </c>
      <c r="B1557" s="78">
        <v>45931</v>
      </c>
      <c r="C1557" s="127" t="s">
        <v>1792</v>
      </c>
      <c r="D1557" s="28" t="s">
        <v>3</v>
      </c>
      <c r="E1557" s="28" t="s">
        <v>865</v>
      </c>
      <c r="F1557" s="128">
        <v>1.88</v>
      </c>
      <c r="G1557" t="s">
        <v>710</v>
      </c>
    </row>
    <row r="1558" spans="1:7">
      <c r="A1558" s="129">
        <v>45936</v>
      </c>
      <c r="B1558" s="78">
        <v>45931</v>
      </c>
      <c r="C1558" s="127" t="s">
        <v>1793</v>
      </c>
      <c r="D1558" s="28" t="s">
        <v>15</v>
      </c>
      <c r="E1558" t="s">
        <v>1353</v>
      </c>
      <c r="F1558" s="128">
        <v>153500</v>
      </c>
      <c r="G1558" t="s">
        <v>710</v>
      </c>
    </row>
    <row r="1559" spans="1:7">
      <c r="A1559" s="129">
        <v>45936</v>
      </c>
      <c r="B1559" s="78">
        <v>45931</v>
      </c>
      <c r="C1559" s="127" t="s">
        <v>1793</v>
      </c>
      <c r="D1559" s="28" t="s">
        <v>3</v>
      </c>
      <c r="E1559" s="28" t="s">
        <v>865</v>
      </c>
      <c r="F1559" s="128">
        <v>50</v>
      </c>
      <c r="G1559" t="s">
        <v>710</v>
      </c>
    </row>
    <row r="1560" spans="1:7">
      <c r="A1560" s="129">
        <v>45936</v>
      </c>
      <c r="B1560" s="78">
        <v>45931</v>
      </c>
      <c r="C1560" s="127" t="s">
        <v>1793</v>
      </c>
      <c r="D1560" s="28" t="s">
        <v>3</v>
      </c>
      <c r="E1560" s="28" t="s">
        <v>865</v>
      </c>
      <c r="F1560" s="128">
        <v>3.75</v>
      </c>
      <c r="G1560" t="s">
        <v>710</v>
      </c>
    </row>
    <row r="1561" spans="1:7">
      <c r="A1561" s="129">
        <v>45936</v>
      </c>
      <c r="B1561" s="78">
        <v>45931</v>
      </c>
      <c r="C1561" s="127" t="s">
        <v>1794</v>
      </c>
      <c r="D1561" s="28" t="s">
        <v>30</v>
      </c>
      <c r="E1561" s="28" t="s">
        <v>2</v>
      </c>
      <c r="F1561" s="128">
        <v>52300</v>
      </c>
      <c r="G1561" t="s">
        <v>710</v>
      </c>
    </row>
    <row r="1562" spans="1:7">
      <c r="A1562" s="129">
        <v>45936</v>
      </c>
      <c r="B1562" s="78">
        <v>45931</v>
      </c>
      <c r="C1562" s="127" t="s">
        <v>1794</v>
      </c>
      <c r="D1562" s="28" t="s">
        <v>3</v>
      </c>
      <c r="E1562" s="28" t="s">
        <v>865</v>
      </c>
      <c r="F1562" s="128">
        <v>50</v>
      </c>
      <c r="G1562" t="s">
        <v>710</v>
      </c>
    </row>
    <row r="1563" spans="1:7">
      <c r="A1563" s="129">
        <v>45936</v>
      </c>
      <c r="B1563" s="78">
        <v>45931</v>
      </c>
      <c r="C1563" s="127" t="s">
        <v>1794</v>
      </c>
      <c r="D1563" s="28" t="s">
        <v>3</v>
      </c>
      <c r="E1563" s="28" t="s">
        <v>865</v>
      </c>
      <c r="F1563" s="128">
        <v>3.75</v>
      </c>
      <c r="G1563" t="s">
        <v>710</v>
      </c>
    </row>
    <row r="1564" spans="1:7">
      <c r="A1564" s="129">
        <v>45936</v>
      </c>
      <c r="B1564" s="78">
        <v>45931</v>
      </c>
      <c r="C1564" s="127" t="s">
        <v>1795</v>
      </c>
      <c r="D1564" s="28" t="s">
        <v>15</v>
      </c>
      <c r="E1564" t="s">
        <v>1353</v>
      </c>
      <c r="F1564" s="128">
        <v>180000</v>
      </c>
      <c r="G1564" t="s">
        <v>710</v>
      </c>
    </row>
    <row r="1565" spans="1:7">
      <c r="A1565" s="129">
        <v>45936</v>
      </c>
      <c r="B1565" s="78">
        <v>45931</v>
      </c>
      <c r="C1565" s="127" t="s">
        <v>1795</v>
      </c>
      <c r="D1565" s="28" t="s">
        <v>3</v>
      </c>
      <c r="E1565" s="28" t="s">
        <v>865</v>
      </c>
      <c r="F1565" s="128">
        <v>50</v>
      </c>
      <c r="G1565" t="s">
        <v>710</v>
      </c>
    </row>
    <row r="1566" spans="1:7">
      <c r="A1566" s="129">
        <v>45936</v>
      </c>
      <c r="B1566" s="78">
        <v>45931</v>
      </c>
      <c r="C1566" s="127" t="s">
        <v>1795</v>
      </c>
      <c r="D1566" s="28" t="s">
        <v>3</v>
      </c>
      <c r="E1566" s="28" t="s">
        <v>865</v>
      </c>
      <c r="F1566" s="128">
        <v>3.75</v>
      </c>
      <c r="G1566" t="s">
        <v>710</v>
      </c>
    </row>
    <row r="1567" spans="1:7">
      <c r="A1567" s="129">
        <v>45943</v>
      </c>
      <c r="B1567" s="78">
        <v>45931</v>
      </c>
      <c r="C1567" s="127" t="s">
        <v>1796</v>
      </c>
      <c r="D1567" s="28" t="s">
        <v>1683</v>
      </c>
      <c r="E1567" s="28" t="s">
        <v>32</v>
      </c>
      <c r="F1567" s="128">
        <v>130000</v>
      </c>
      <c r="G1567" t="s">
        <v>710</v>
      </c>
    </row>
    <row r="1568" spans="1:7">
      <c r="A1568" s="129">
        <v>45943</v>
      </c>
      <c r="B1568" s="78">
        <v>45931</v>
      </c>
      <c r="C1568" s="127" t="s">
        <v>1796</v>
      </c>
      <c r="D1568" s="28" t="s">
        <v>3</v>
      </c>
      <c r="E1568" s="28" t="s">
        <v>865</v>
      </c>
      <c r="F1568" s="128">
        <v>50</v>
      </c>
      <c r="G1568" t="s">
        <v>710</v>
      </c>
    </row>
    <row r="1569" spans="1:7">
      <c r="A1569" s="129">
        <v>45943</v>
      </c>
      <c r="B1569" s="78">
        <v>45931</v>
      </c>
      <c r="C1569" s="127" t="s">
        <v>1796</v>
      </c>
      <c r="D1569" s="28" t="s">
        <v>3</v>
      </c>
      <c r="E1569" s="28" t="s">
        <v>865</v>
      </c>
      <c r="F1569" s="128">
        <v>3.75</v>
      </c>
      <c r="G1569" t="s">
        <v>710</v>
      </c>
    </row>
    <row r="1570" spans="1:7">
      <c r="A1570" s="129">
        <v>45943</v>
      </c>
      <c r="B1570" s="78">
        <v>45931</v>
      </c>
      <c r="C1570" s="127" t="s">
        <v>1797</v>
      </c>
      <c r="D1570" s="28" t="s">
        <v>1683</v>
      </c>
      <c r="E1570" s="28" t="s">
        <v>32</v>
      </c>
      <c r="F1570" s="128">
        <v>130000</v>
      </c>
      <c r="G1570" t="s">
        <v>710</v>
      </c>
    </row>
    <row r="1571" spans="1:7">
      <c r="A1571" s="129">
        <v>45943</v>
      </c>
      <c r="B1571" s="78">
        <v>45931</v>
      </c>
      <c r="C1571" s="127" t="s">
        <v>1797</v>
      </c>
      <c r="D1571" s="28" t="s">
        <v>3</v>
      </c>
      <c r="E1571" s="28" t="s">
        <v>865</v>
      </c>
      <c r="F1571" s="128">
        <v>50</v>
      </c>
      <c r="G1571" t="s">
        <v>710</v>
      </c>
    </row>
    <row r="1572" spans="1:7">
      <c r="A1572" s="129">
        <v>45943</v>
      </c>
      <c r="B1572" s="78">
        <v>45931</v>
      </c>
      <c r="C1572" s="127" t="s">
        <v>1797</v>
      </c>
      <c r="D1572" s="28" t="s">
        <v>3</v>
      </c>
      <c r="E1572" s="28" t="s">
        <v>865</v>
      </c>
      <c r="F1572" s="128">
        <v>3.75</v>
      </c>
      <c r="G1572" t="s">
        <v>710</v>
      </c>
    </row>
    <row r="1573" spans="1:7">
      <c r="A1573" s="129">
        <v>45943</v>
      </c>
      <c r="B1573" s="78">
        <v>45931</v>
      </c>
      <c r="C1573" s="127" t="s">
        <v>1798</v>
      </c>
      <c r="D1573" s="28" t="s">
        <v>26</v>
      </c>
      <c r="E1573" t="s">
        <v>977</v>
      </c>
      <c r="F1573" s="128">
        <v>453000</v>
      </c>
      <c r="G1573" t="s">
        <v>710</v>
      </c>
    </row>
    <row r="1574" spans="1:7">
      <c r="A1574" s="129">
        <v>45943</v>
      </c>
      <c r="B1574" s="78">
        <v>45931</v>
      </c>
      <c r="C1574" s="127" t="s">
        <v>1798</v>
      </c>
      <c r="D1574" s="28" t="s">
        <v>3</v>
      </c>
      <c r="E1574" s="28" t="s">
        <v>865</v>
      </c>
      <c r="F1574" s="128">
        <v>50</v>
      </c>
      <c r="G1574" t="s">
        <v>710</v>
      </c>
    </row>
    <row r="1575" spans="1:7">
      <c r="A1575" s="129">
        <v>45943</v>
      </c>
      <c r="B1575" s="78">
        <v>45931</v>
      </c>
      <c r="C1575" s="127" t="s">
        <v>1798</v>
      </c>
      <c r="D1575" s="28" t="s">
        <v>3</v>
      </c>
      <c r="E1575" s="28" t="s">
        <v>865</v>
      </c>
      <c r="F1575" s="128">
        <v>3.75</v>
      </c>
      <c r="G1575" t="s">
        <v>710</v>
      </c>
    </row>
    <row r="1576" spans="1:7">
      <c r="A1576" s="129">
        <v>45943</v>
      </c>
      <c r="B1576" s="78">
        <v>45931</v>
      </c>
      <c r="C1576" s="127" t="s">
        <v>1799</v>
      </c>
      <c r="D1576" s="28" t="s">
        <v>26</v>
      </c>
      <c r="E1576" t="s">
        <v>977</v>
      </c>
      <c r="F1576" s="128">
        <v>211400</v>
      </c>
      <c r="G1576" t="s">
        <v>710</v>
      </c>
    </row>
    <row r="1577" spans="1:7">
      <c r="A1577" s="129">
        <v>45943</v>
      </c>
      <c r="B1577" s="78">
        <v>45931</v>
      </c>
      <c r="C1577" s="127" t="s">
        <v>1799</v>
      </c>
      <c r="D1577" s="28" t="s">
        <v>3</v>
      </c>
      <c r="E1577" s="28" t="s">
        <v>865</v>
      </c>
      <c r="F1577" s="128">
        <v>50</v>
      </c>
      <c r="G1577" t="s">
        <v>710</v>
      </c>
    </row>
    <row r="1578" spans="1:7">
      <c r="A1578" s="129">
        <v>45943</v>
      </c>
      <c r="B1578" s="78">
        <v>45931</v>
      </c>
      <c r="C1578" s="127" t="s">
        <v>1799</v>
      </c>
      <c r="D1578" s="28" t="s">
        <v>3</v>
      </c>
      <c r="E1578" s="28" t="s">
        <v>865</v>
      </c>
      <c r="F1578" s="128">
        <v>3.75</v>
      </c>
      <c r="G1578" t="s">
        <v>710</v>
      </c>
    </row>
    <row r="1579" spans="1:7">
      <c r="A1579" s="129">
        <v>45944</v>
      </c>
      <c r="B1579" s="78">
        <v>45931</v>
      </c>
      <c r="C1579" s="127" t="s">
        <v>1800</v>
      </c>
      <c r="D1579" s="28" t="s">
        <v>15</v>
      </c>
      <c r="E1579" t="s">
        <v>1353</v>
      </c>
      <c r="F1579" s="128">
        <v>153500</v>
      </c>
      <c r="G1579" t="s">
        <v>710</v>
      </c>
    </row>
    <row r="1580" spans="1:7">
      <c r="A1580" s="129">
        <v>45944</v>
      </c>
      <c r="B1580" s="78">
        <v>45931</v>
      </c>
      <c r="C1580" s="127" t="s">
        <v>1800</v>
      </c>
      <c r="D1580" s="28" t="s">
        <v>3</v>
      </c>
      <c r="E1580" s="28" t="s">
        <v>865</v>
      </c>
      <c r="F1580" s="128">
        <v>50</v>
      </c>
      <c r="G1580" t="s">
        <v>710</v>
      </c>
    </row>
    <row r="1581" spans="1:7">
      <c r="A1581" s="129">
        <v>45944</v>
      </c>
      <c r="B1581" s="78">
        <v>45931</v>
      </c>
      <c r="C1581" s="127" t="s">
        <v>1800</v>
      </c>
      <c r="D1581" s="28" t="s">
        <v>3</v>
      </c>
      <c r="E1581" s="28" t="s">
        <v>865</v>
      </c>
      <c r="F1581" s="128">
        <v>3.75</v>
      </c>
      <c r="G1581" t="s">
        <v>710</v>
      </c>
    </row>
    <row r="1582" spans="1:7">
      <c r="A1582" s="129">
        <v>45944</v>
      </c>
      <c r="B1582" s="78">
        <v>45931</v>
      </c>
      <c r="C1582" s="127" t="s">
        <v>1801</v>
      </c>
      <c r="D1582" s="28" t="s">
        <v>15</v>
      </c>
      <c r="E1582" t="s">
        <v>1353</v>
      </c>
      <c r="F1582" s="128">
        <v>28000</v>
      </c>
      <c r="G1582" t="s">
        <v>710</v>
      </c>
    </row>
    <row r="1583" spans="1:7">
      <c r="A1583" s="129">
        <v>45944</v>
      </c>
      <c r="B1583" s="78">
        <v>45931</v>
      </c>
      <c r="C1583" s="127" t="s">
        <v>1801</v>
      </c>
      <c r="D1583" s="28" t="s">
        <v>3</v>
      </c>
      <c r="E1583" s="28" t="s">
        <v>865</v>
      </c>
      <c r="F1583" s="128">
        <v>25</v>
      </c>
      <c r="G1583" t="s">
        <v>710</v>
      </c>
    </row>
    <row r="1584" spans="1:7">
      <c r="A1584" s="129">
        <v>45944</v>
      </c>
      <c r="B1584" s="78">
        <v>45931</v>
      </c>
      <c r="C1584" s="127" t="s">
        <v>1801</v>
      </c>
      <c r="D1584" s="28" t="s">
        <v>3</v>
      </c>
      <c r="E1584" s="28" t="s">
        <v>865</v>
      </c>
      <c r="F1584" s="128">
        <v>1.88</v>
      </c>
      <c r="G1584" t="s">
        <v>710</v>
      </c>
    </row>
    <row r="1585" spans="1:7">
      <c r="A1585" s="129">
        <v>45945</v>
      </c>
      <c r="B1585" s="78">
        <v>45931</v>
      </c>
      <c r="C1585" s="127" t="s">
        <v>1802</v>
      </c>
      <c r="D1585" t="s">
        <v>8</v>
      </c>
      <c r="E1585" t="s">
        <v>815</v>
      </c>
      <c r="F1585" s="128">
        <v>102907.73</v>
      </c>
      <c r="G1585" t="s">
        <v>710</v>
      </c>
    </row>
    <row r="1586" spans="1:7">
      <c r="A1586" s="129">
        <v>45950</v>
      </c>
      <c r="B1586" s="78">
        <v>45931</v>
      </c>
      <c r="C1586" s="127" t="s">
        <v>1802</v>
      </c>
      <c r="D1586" s="26" t="s">
        <v>1412</v>
      </c>
      <c r="E1586" s="26" t="s">
        <v>1704</v>
      </c>
      <c r="F1586" s="128">
        <v>282911.25</v>
      </c>
      <c r="G1586" t="s">
        <v>710</v>
      </c>
    </row>
    <row r="1587" spans="1:7">
      <c r="A1587" s="129">
        <v>45951</v>
      </c>
      <c r="B1587" s="78">
        <v>45931</v>
      </c>
      <c r="C1587" s="127" t="s">
        <v>1803</v>
      </c>
      <c r="D1587" s="28" t="s">
        <v>26</v>
      </c>
      <c r="E1587" t="s">
        <v>976</v>
      </c>
      <c r="F1587" s="128">
        <v>217000</v>
      </c>
      <c r="G1587" t="s">
        <v>710</v>
      </c>
    </row>
    <row r="1588" spans="1:7">
      <c r="A1588" s="129">
        <v>45951</v>
      </c>
      <c r="B1588" s="78">
        <v>45931</v>
      </c>
      <c r="C1588" s="127" t="s">
        <v>1803</v>
      </c>
      <c r="D1588" s="28" t="s">
        <v>3</v>
      </c>
      <c r="E1588" s="28" t="s">
        <v>865</v>
      </c>
      <c r="F1588" s="128">
        <v>50</v>
      </c>
      <c r="G1588" t="s">
        <v>710</v>
      </c>
    </row>
    <row r="1589" spans="1:7">
      <c r="A1589" s="129">
        <v>45951</v>
      </c>
      <c r="B1589" s="78">
        <v>45931</v>
      </c>
      <c r="C1589" s="127" t="s">
        <v>1803</v>
      </c>
      <c r="D1589" s="28" t="s">
        <v>3</v>
      </c>
      <c r="E1589" s="28" t="s">
        <v>865</v>
      </c>
      <c r="F1589" s="128">
        <v>3.75</v>
      </c>
      <c r="G1589" t="s">
        <v>710</v>
      </c>
    </row>
    <row r="1590" spans="1:7">
      <c r="A1590" s="129">
        <v>45951</v>
      </c>
      <c r="B1590" s="78">
        <v>45931</v>
      </c>
      <c r="C1590" s="127" t="s">
        <v>1804</v>
      </c>
      <c r="D1590" s="28" t="s">
        <v>26</v>
      </c>
      <c r="E1590" t="s">
        <v>976</v>
      </c>
      <c r="F1590" s="128">
        <v>202000</v>
      </c>
      <c r="G1590" t="s">
        <v>710</v>
      </c>
    </row>
    <row r="1591" spans="1:7">
      <c r="A1591" s="129">
        <v>45951</v>
      </c>
      <c r="B1591" s="78">
        <v>45931</v>
      </c>
      <c r="C1591" s="127" t="s">
        <v>1804</v>
      </c>
      <c r="D1591" s="28" t="s">
        <v>3</v>
      </c>
      <c r="E1591" s="28" t="s">
        <v>865</v>
      </c>
      <c r="F1591" s="128">
        <v>50</v>
      </c>
      <c r="G1591" t="s">
        <v>710</v>
      </c>
    </row>
    <row r="1592" spans="1:7">
      <c r="A1592" s="129">
        <v>45951</v>
      </c>
      <c r="B1592" s="78">
        <v>45931</v>
      </c>
      <c r="C1592" s="127" t="s">
        <v>1804</v>
      </c>
      <c r="D1592" s="28" t="s">
        <v>3</v>
      </c>
      <c r="E1592" s="28" t="s">
        <v>865</v>
      </c>
      <c r="F1592" s="128">
        <v>3.75</v>
      </c>
      <c r="G1592" t="s">
        <v>710</v>
      </c>
    </row>
    <row r="1593" spans="1:7">
      <c r="A1593" s="129">
        <v>45951</v>
      </c>
      <c r="B1593" s="78">
        <v>45931</v>
      </c>
      <c r="C1593" s="127" t="s">
        <v>1805</v>
      </c>
      <c r="D1593" s="28" t="s">
        <v>15</v>
      </c>
      <c r="E1593" t="s">
        <v>1353</v>
      </c>
      <c r="F1593" s="128">
        <v>34000</v>
      </c>
      <c r="G1593" t="s">
        <v>710</v>
      </c>
    </row>
    <row r="1594" spans="1:7">
      <c r="A1594" s="129">
        <v>45951</v>
      </c>
      <c r="B1594" s="78">
        <v>45931</v>
      </c>
      <c r="C1594" s="127" t="s">
        <v>1805</v>
      </c>
      <c r="D1594" s="28" t="s">
        <v>3</v>
      </c>
      <c r="E1594" s="28" t="s">
        <v>865</v>
      </c>
      <c r="F1594" s="128">
        <v>25</v>
      </c>
      <c r="G1594" t="s">
        <v>710</v>
      </c>
    </row>
    <row r="1595" spans="1:7">
      <c r="A1595" s="129">
        <v>45951</v>
      </c>
      <c r="B1595" s="78">
        <v>45931</v>
      </c>
      <c r="C1595" s="127" t="s">
        <v>1805</v>
      </c>
      <c r="D1595" s="28" t="s">
        <v>3</v>
      </c>
      <c r="E1595" s="28" t="s">
        <v>865</v>
      </c>
      <c r="F1595" s="128">
        <v>1.88</v>
      </c>
      <c r="G1595" t="s">
        <v>710</v>
      </c>
    </row>
    <row r="1596" spans="1:7">
      <c r="A1596" s="129">
        <v>45952</v>
      </c>
      <c r="B1596" s="78">
        <v>45931</v>
      </c>
      <c r="C1596" s="127" t="s">
        <v>1806</v>
      </c>
      <c r="D1596" s="28" t="s">
        <v>13</v>
      </c>
      <c r="E1596" s="28" t="s">
        <v>800</v>
      </c>
      <c r="F1596" s="128">
        <v>102000</v>
      </c>
      <c r="G1596" t="s">
        <v>710</v>
      </c>
    </row>
    <row r="1597" spans="1:7">
      <c r="A1597" s="129">
        <v>45952</v>
      </c>
      <c r="B1597" s="78">
        <v>45931</v>
      </c>
      <c r="C1597" s="127" t="s">
        <v>1806</v>
      </c>
      <c r="D1597" s="28" t="s">
        <v>3</v>
      </c>
      <c r="E1597" s="28" t="s">
        <v>865</v>
      </c>
      <c r="F1597" s="128">
        <v>50</v>
      </c>
      <c r="G1597" t="s">
        <v>710</v>
      </c>
    </row>
    <row r="1598" spans="1:7">
      <c r="A1598" s="129">
        <v>45952</v>
      </c>
      <c r="B1598" s="78">
        <v>45931</v>
      </c>
      <c r="C1598" s="127" t="s">
        <v>1806</v>
      </c>
      <c r="D1598" s="28" t="s">
        <v>3</v>
      </c>
      <c r="E1598" s="28" t="s">
        <v>865</v>
      </c>
      <c r="F1598" s="128">
        <v>3.75</v>
      </c>
      <c r="G1598" t="s">
        <v>710</v>
      </c>
    </row>
    <row r="1599" spans="1:7">
      <c r="A1599" s="129">
        <v>45954</v>
      </c>
      <c r="B1599" s="78">
        <v>45931</v>
      </c>
      <c r="C1599" s="127" t="s">
        <v>1807</v>
      </c>
      <c r="D1599" t="s">
        <v>8</v>
      </c>
      <c r="E1599" t="s">
        <v>815</v>
      </c>
      <c r="F1599" s="128">
        <v>35000</v>
      </c>
      <c r="G1599" t="s">
        <v>710</v>
      </c>
    </row>
    <row r="1600" spans="1:7">
      <c r="A1600" s="129">
        <v>45954</v>
      </c>
      <c r="B1600" s="78">
        <v>45931</v>
      </c>
      <c r="C1600" s="127" t="s">
        <v>1808</v>
      </c>
      <c r="D1600" s="28" t="s">
        <v>3</v>
      </c>
      <c r="E1600" s="28" t="s">
        <v>865</v>
      </c>
      <c r="F1600" s="128">
        <v>25</v>
      </c>
      <c r="G1600" t="s">
        <v>710</v>
      </c>
    </row>
    <row r="1601" spans="1:7">
      <c r="A1601" s="129">
        <v>45954</v>
      </c>
      <c r="B1601" s="78">
        <v>45931</v>
      </c>
      <c r="C1601" s="127" t="s">
        <v>1809</v>
      </c>
      <c r="D1601" s="28" t="s">
        <v>3</v>
      </c>
      <c r="E1601" s="28" t="s">
        <v>865</v>
      </c>
      <c r="F1601" s="128">
        <v>1.88</v>
      </c>
      <c r="G1601" t="s">
        <v>710</v>
      </c>
    </row>
    <row r="1602" spans="1:7">
      <c r="A1602" s="129">
        <v>45954</v>
      </c>
      <c r="B1602" s="78">
        <v>45931</v>
      </c>
      <c r="C1602" s="127" t="s">
        <v>1810</v>
      </c>
      <c r="D1602" t="s">
        <v>8</v>
      </c>
      <c r="E1602" t="s">
        <v>815</v>
      </c>
      <c r="F1602" s="128">
        <v>35000</v>
      </c>
      <c r="G1602" t="s">
        <v>710</v>
      </c>
    </row>
    <row r="1603" spans="1:7">
      <c r="A1603" s="129">
        <v>45954</v>
      </c>
      <c r="B1603" s="78">
        <v>45931</v>
      </c>
      <c r="C1603" s="127" t="s">
        <v>1811</v>
      </c>
      <c r="D1603" s="28" t="s">
        <v>3</v>
      </c>
      <c r="E1603" s="28" t="s">
        <v>865</v>
      </c>
      <c r="F1603" s="128">
        <v>25</v>
      </c>
      <c r="G1603" t="s">
        <v>710</v>
      </c>
    </row>
    <row r="1604" spans="1:7">
      <c r="A1604" s="129">
        <v>45954</v>
      </c>
      <c r="B1604" s="78">
        <v>45931</v>
      </c>
      <c r="C1604" s="127" t="s">
        <v>1812</v>
      </c>
      <c r="D1604" s="28" t="s">
        <v>3</v>
      </c>
      <c r="E1604" s="28" t="s">
        <v>865</v>
      </c>
      <c r="F1604" s="128">
        <v>1.88</v>
      </c>
      <c r="G1604" t="s">
        <v>710</v>
      </c>
    </row>
    <row r="1605" spans="1:7">
      <c r="A1605" s="129">
        <v>45954</v>
      </c>
      <c r="B1605" s="78">
        <v>45931</v>
      </c>
      <c r="C1605" s="127" t="s">
        <v>1813</v>
      </c>
      <c r="D1605" t="s">
        <v>8</v>
      </c>
      <c r="E1605" t="s">
        <v>815</v>
      </c>
      <c r="F1605" s="128">
        <v>35000</v>
      </c>
      <c r="G1605" t="s">
        <v>710</v>
      </c>
    </row>
    <row r="1606" spans="1:7">
      <c r="A1606" s="129">
        <v>45954</v>
      </c>
      <c r="B1606" s="78">
        <v>45931</v>
      </c>
      <c r="C1606" s="127" t="s">
        <v>1814</v>
      </c>
      <c r="D1606" s="28" t="s">
        <v>3</v>
      </c>
      <c r="E1606" s="28" t="s">
        <v>865</v>
      </c>
      <c r="F1606" s="128">
        <v>25</v>
      </c>
      <c r="G1606" t="s">
        <v>710</v>
      </c>
    </row>
    <row r="1607" spans="1:7">
      <c r="A1607" s="129">
        <v>45954</v>
      </c>
      <c r="B1607" s="78">
        <v>45931</v>
      </c>
      <c r="C1607" s="127" t="s">
        <v>1815</v>
      </c>
      <c r="D1607" s="28" t="s">
        <v>3</v>
      </c>
      <c r="E1607" s="28" t="s">
        <v>865</v>
      </c>
      <c r="F1607" s="128">
        <v>1.88</v>
      </c>
      <c r="G1607" t="s">
        <v>710</v>
      </c>
    </row>
    <row r="1608" spans="1:7">
      <c r="A1608" s="129">
        <v>45954</v>
      </c>
      <c r="B1608" s="78">
        <v>45931</v>
      </c>
      <c r="C1608" s="127" t="s">
        <v>1816</v>
      </c>
      <c r="D1608" t="s">
        <v>8</v>
      </c>
      <c r="E1608" t="s">
        <v>815</v>
      </c>
      <c r="F1608" s="128">
        <v>27500</v>
      </c>
      <c r="G1608" t="s">
        <v>710</v>
      </c>
    </row>
    <row r="1609" spans="1:7">
      <c r="A1609" s="129">
        <v>45954</v>
      </c>
      <c r="B1609" s="78">
        <v>45931</v>
      </c>
      <c r="C1609" s="127" t="s">
        <v>1817</v>
      </c>
      <c r="D1609" s="28" t="s">
        <v>3</v>
      </c>
      <c r="E1609" s="28" t="s">
        <v>865</v>
      </c>
      <c r="F1609" s="128">
        <v>25</v>
      </c>
      <c r="G1609" t="s">
        <v>710</v>
      </c>
    </row>
    <row r="1610" spans="1:7">
      <c r="A1610" s="129">
        <v>45954</v>
      </c>
      <c r="B1610" s="78">
        <v>45931</v>
      </c>
      <c r="C1610" s="127" t="s">
        <v>1818</v>
      </c>
      <c r="D1610" s="28" t="s">
        <v>3</v>
      </c>
      <c r="E1610" s="28" t="s">
        <v>865</v>
      </c>
      <c r="F1610" s="128">
        <v>1.88</v>
      </c>
      <c r="G1610" t="s">
        <v>710</v>
      </c>
    </row>
    <row r="1611" spans="1:7">
      <c r="A1611" s="129">
        <v>45954</v>
      </c>
      <c r="B1611" s="78">
        <v>45931</v>
      </c>
      <c r="C1611" s="127" t="s">
        <v>1819</v>
      </c>
      <c r="D1611" t="s">
        <v>8</v>
      </c>
      <c r="E1611" t="s">
        <v>815</v>
      </c>
      <c r="F1611" s="128">
        <v>20000</v>
      </c>
      <c r="G1611" t="s">
        <v>710</v>
      </c>
    </row>
    <row r="1612" spans="1:7">
      <c r="A1612" s="129">
        <v>45954</v>
      </c>
      <c r="B1612" s="78">
        <v>45931</v>
      </c>
      <c r="C1612" s="127" t="s">
        <v>1820</v>
      </c>
      <c r="D1612" s="28" t="s">
        <v>3</v>
      </c>
      <c r="E1612" s="28" t="s">
        <v>865</v>
      </c>
      <c r="F1612" s="128">
        <v>25</v>
      </c>
      <c r="G1612" t="s">
        <v>710</v>
      </c>
    </row>
    <row r="1613" spans="1:7">
      <c r="A1613" s="129">
        <v>45954</v>
      </c>
      <c r="B1613" s="78">
        <v>45931</v>
      </c>
      <c r="C1613" s="127" t="s">
        <v>1821</v>
      </c>
      <c r="D1613" s="28" t="s">
        <v>3</v>
      </c>
      <c r="E1613" s="28" t="s">
        <v>865</v>
      </c>
      <c r="F1613" s="128">
        <v>1.88</v>
      </c>
      <c r="G1613" t="s">
        <v>710</v>
      </c>
    </row>
    <row r="1614" spans="1:7">
      <c r="A1614" s="129">
        <v>45954</v>
      </c>
      <c r="B1614" s="78">
        <v>45931</v>
      </c>
      <c r="C1614" s="127" t="s">
        <v>1822</v>
      </c>
      <c r="D1614" t="s">
        <v>8</v>
      </c>
      <c r="E1614" t="s">
        <v>815</v>
      </c>
      <c r="F1614" s="128">
        <v>20000</v>
      </c>
      <c r="G1614" t="s">
        <v>710</v>
      </c>
    </row>
    <row r="1615" spans="1:7">
      <c r="A1615" s="129">
        <v>45954</v>
      </c>
      <c r="B1615" s="78">
        <v>45931</v>
      </c>
      <c r="C1615" s="127" t="s">
        <v>1823</v>
      </c>
      <c r="D1615" s="28" t="s">
        <v>3</v>
      </c>
      <c r="E1615" s="28" t="s">
        <v>865</v>
      </c>
      <c r="F1615" s="128">
        <v>25</v>
      </c>
      <c r="G1615" t="s">
        <v>710</v>
      </c>
    </row>
    <row r="1616" spans="1:7">
      <c r="A1616" s="129">
        <v>45954</v>
      </c>
      <c r="B1616" s="78">
        <v>45931</v>
      </c>
      <c r="C1616" s="127" t="s">
        <v>1824</v>
      </c>
      <c r="D1616" s="28" t="s">
        <v>3</v>
      </c>
      <c r="E1616" s="28" t="s">
        <v>865</v>
      </c>
      <c r="F1616" s="128">
        <v>1.88</v>
      </c>
      <c r="G1616" t="s">
        <v>710</v>
      </c>
    </row>
    <row r="1617" spans="1:7">
      <c r="A1617" s="129">
        <v>45954</v>
      </c>
      <c r="B1617" s="78">
        <v>45931</v>
      </c>
      <c r="C1617" s="127" t="s">
        <v>1825</v>
      </c>
      <c r="D1617" t="s">
        <v>8</v>
      </c>
      <c r="E1617" t="s">
        <v>815</v>
      </c>
      <c r="F1617" s="128">
        <v>35000</v>
      </c>
      <c r="G1617" t="s">
        <v>710</v>
      </c>
    </row>
    <row r="1618" spans="1:7">
      <c r="A1618" s="129">
        <v>45954</v>
      </c>
      <c r="B1618" s="78">
        <v>45931</v>
      </c>
      <c r="C1618" s="127" t="s">
        <v>1826</v>
      </c>
      <c r="D1618" s="28" t="s">
        <v>3</v>
      </c>
      <c r="E1618" s="28" t="s">
        <v>865</v>
      </c>
      <c r="F1618" s="128">
        <v>25</v>
      </c>
      <c r="G1618" t="s">
        <v>710</v>
      </c>
    </row>
    <row r="1619" spans="1:7">
      <c r="A1619" s="129">
        <v>45954</v>
      </c>
      <c r="B1619" s="78">
        <v>45931</v>
      </c>
      <c r="C1619" s="127" t="s">
        <v>1827</v>
      </c>
      <c r="D1619" s="28" t="s">
        <v>3</v>
      </c>
      <c r="E1619" s="28" t="s">
        <v>865</v>
      </c>
      <c r="F1619" s="128">
        <v>1.88</v>
      </c>
      <c r="G1619" t="s">
        <v>710</v>
      </c>
    </row>
    <row r="1620" spans="1:7">
      <c r="A1620" s="129">
        <v>45954</v>
      </c>
      <c r="B1620" s="78">
        <v>45931</v>
      </c>
      <c r="C1620" s="127" t="s">
        <v>1828</v>
      </c>
      <c r="D1620" t="s">
        <v>8</v>
      </c>
      <c r="E1620" t="s">
        <v>815</v>
      </c>
      <c r="F1620" s="128">
        <v>35000</v>
      </c>
      <c r="G1620" t="s">
        <v>710</v>
      </c>
    </row>
    <row r="1621" spans="1:7">
      <c r="A1621" s="129">
        <v>45954</v>
      </c>
      <c r="B1621" s="78">
        <v>45931</v>
      </c>
      <c r="C1621" s="127" t="s">
        <v>1829</v>
      </c>
      <c r="D1621" s="28" t="s">
        <v>3</v>
      </c>
      <c r="E1621" s="28" t="s">
        <v>865</v>
      </c>
      <c r="F1621" s="128">
        <v>25</v>
      </c>
      <c r="G1621" t="s">
        <v>710</v>
      </c>
    </row>
    <row r="1622" spans="1:7">
      <c r="A1622" s="129">
        <v>45954</v>
      </c>
      <c r="B1622" s="78">
        <v>45931</v>
      </c>
      <c r="C1622" s="127" t="s">
        <v>1830</v>
      </c>
      <c r="D1622" s="28" t="s">
        <v>3</v>
      </c>
      <c r="E1622" s="28" t="s">
        <v>865</v>
      </c>
      <c r="F1622" s="128">
        <v>1.88</v>
      </c>
      <c r="G1622" t="s">
        <v>710</v>
      </c>
    </row>
    <row r="1623" spans="1:7">
      <c r="A1623" s="129">
        <v>45954</v>
      </c>
      <c r="B1623" s="78">
        <v>45931</v>
      </c>
      <c r="C1623" s="127" t="s">
        <v>1831</v>
      </c>
      <c r="D1623" t="s">
        <v>8</v>
      </c>
      <c r="E1623" t="s">
        <v>815</v>
      </c>
      <c r="F1623" s="128">
        <v>35000</v>
      </c>
      <c r="G1623" t="s">
        <v>710</v>
      </c>
    </row>
    <row r="1624" spans="1:7">
      <c r="A1624" s="129">
        <v>45954</v>
      </c>
      <c r="B1624" s="78">
        <v>45931</v>
      </c>
      <c r="C1624" s="127" t="s">
        <v>1832</v>
      </c>
      <c r="D1624" s="28" t="s">
        <v>3</v>
      </c>
      <c r="E1624" s="28" t="s">
        <v>865</v>
      </c>
      <c r="F1624" s="128">
        <v>25</v>
      </c>
      <c r="G1624" t="s">
        <v>710</v>
      </c>
    </row>
    <row r="1625" spans="1:7">
      <c r="A1625" s="129">
        <v>45954</v>
      </c>
      <c r="B1625" s="78">
        <v>45931</v>
      </c>
      <c r="C1625" s="127" t="s">
        <v>1833</v>
      </c>
      <c r="D1625" s="28" t="s">
        <v>3</v>
      </c>
      <c r="E1625" s="28" t="s">
        <v>865</v>
      </c>
      <c r="F1625" s="128">
        <v>1.88</v>
      </c>
      <c r="G1625" t="s">
        <v>710</v>
      </c>
    </row>
    <row r="1626" spans="1:7">
      <c r="A1626" s="129">
        <v>45954</v>
      </c>
      <c r="B1626" s="78">
        <v>45931</v>
      </c>
      <c r="C1626" s="127" t="s">
        <v>1834</v>
      </c>
      <c r="D1626" t="s">
        <v>8</v>
      </c>
      <c r="E1626" t="s">
        <v>815</v>
      </c>
      <c r="F1626" s="128">
        <v>35000</v>
      </c>
      <c r="G1626" t="s">
        <v>710</v>
      </c>
    </row>
    <row r="1627" spans="1:7">
      <c r="A1627" s="129">
        <v>45954</v>
      </c>
      <c r="B1627" s="78">
        <v>45931</v>
      </c>
      <c r="C1627" s="127" t="s">
        <v>1835</v>
      </c>
      <c r="D1627" s="28" t="s">
        <v>3</v>
      </c>
      <c r="E1627" s="28" t="s">
        <v>865</v>
      </c>
      <c r="F1627" s="128">
        <v>25</v>
      </c>
      <c r="G1627" t="s">
        <v>710</v>
      </c>
    </row>
    <row r="1628" spans="1:7">
      <c r="A1628" s="129">
        <v>45954</v>
      </c>
      <c r="B1628" s="78">
        <v>45931</v>
      </c>
      <c r="C1628" s="127" t="s">
        <v>1836</v>
      </c>
      <c r="D1628" s="28" t="s">
        <v>3</v>
      </c>
      <c r="E1628" s="28" t="s">
        <v>865</v>
      </c>
      <c r="F1628" s="128">
        <v>1.88</v>
      </c>
      <c r="G1628" t="s">
        <v>710</v>
      </c>
    </row>
    <row r="1629" spans="1:7">
      <c r="A1629" s="129">
        <v>45954</v>
      </c>
      <c r="B1629" s="78">
        <v>45931</v>
      </c>
      <c r="C1629" s="127" t="s">
        <v>1837</v>
      </c>
      <c r="D1629" t="s">
        <v>8</v>
      </c>
      <c r="E1629" t="s">
        <v>815</v>
      </c>
      <c r="F1629" s="128">
        <v>27500</v>
      </c>
      <c r="G1629" t="s">
        <v>710</v>
      </c>
    </row>
    <row r="1630" spans="1:7">
      <c r="A1630" s="129">
        <v>45954</v>
      </c>
      <c r="B1630" s="78">
        <v>45931</v>
      </c>
      <c r="C1630" s="127" t="s">
        <v>1838</v>
      </c>
      <c r="D1630" s="28" t="s">
        <v>3</v>
      </c>
      <c r="E1630" s="28" t="s">
        <v>865</v>
      </c>
      <c r="F1630" s="128">
        <v>25</v>
      </c>
      <c r="G1630" t="s">
        <v>710</v>
      </c>
    </row>
    <row r="1631" spans="1:7">
      <c r="A1631" s="129">
        <v>45954</v>
      </c>
      <c r="B1631" s="78">
        <v>45931</v>
      </c>
      <c r="C1631" s="127" t="s">
        <v>1839</v>
      </c>
      <c r="D1631" s="28" t="s">
        <v>3</v>
      </c>
      <c r="E1631" s="28" t="s">
        <v>865</v>
      </c>
      <c r="F1631" s="128">
        <v>1.88</v>
      </c>
      <c r="G1631" t="s">
        <v>710</v>
      </c>
    </row>
    <row r="1632" spans="1:7">
      <c r="A1632" s="129">
        <v>45954</v>
      </c>
      <c r="B1632" s="78">
        <v>45931</v>
      </c>
      <c r="C1632" s="127" t="s">
        <v>1840</v>
      </c>
      <c r="D1632" t="s">
        <v>8</v>
      </c>
      <c r="E1632" t="s">
        <v>815</v>
      </c>
      <c r="F1632" s="128">
        <v>20000</v>
      </c>
      <c r="G1632" t="s">
        <v>710</v>
      </c>
    </row>
    <row r="1633" spans="1:7">
      <c r="A1633" s="129">
        <v>45954</v>
      </c>
      <c r="B1633" s="78">
        <v>45931</v>
      </c>
      <c r="C1633" s="127" t="s">
        <v>1841</v>
      </c>
      <c r="D1633" s="28" t="s">
        <v>3</v>
      </c>
      <c r="E1633" s="28" t="s">
        <v>865</v>
      </c>
      <c r="F1633" s="128">
        <v>25</v>
      </c>
      <c r="G1633" t="s">
        <v>710</v>
      </c>
    </row>
    <row r="1634" spans="1:7">
      <c r="A1634" s="129">
        <v>45954</v>
      </c>
      <c r="B1634" s="78">
        <v>45931</v>
      </c>
      <c r="C1634" s="127" t="s">
        <v>1842</v>
      </c>
      <c r="D1634" s="28" t="s">
        <v>3</v>
      </c>
      <c r="E1634" s="28" t="s">
        <v>865</v>
      </c>
      <c r="F1634" s="128">
        <v>1.88</v>
      </c>
      <c r="G1634" t="s">
        <v>710</v>
      </c>
    </row>
    <row r="1635" spans="1:7">
      <c r="A1635" s="129">
        <v>45954</v>
      </c>
      <c r="B1635" s="78">
        <v>45931</v>
      </c>
      <c r="C1635" s="127" t="s">
        <v>1843</v>
      </c>
      <c r="D1635" t="s">
        <v>8</v>
      </c>
      <c r="E1635" t="s">
        <v>815</v>
      </c>
      <c r="F1635" s="128">
        <v>20000</v>
      </c>
      <c r="G1635" t="s">
        <v>710</v>
      </c>
    </row>
    <row r="1636" spans="1:7">
      <c r="A1636" s="129">
        <v>45954</v>
      </c>
      <c r="B1636" s="78">
        <v>45931</v>
      </c>
      <c r="C1636" s="127" t="s">
        <v>1844</v>
      </c>
      <c r="D1636" s="28" t="s">
        <v>3</v>
      </c>
      <c r="E1636" s="28" t="s">
        <v>865</v>
      </c>
      <c r="F1636" s="128">
        <v>25</v>
      </c>
      <c r="G1636" t="s">
        <v>710</v>
      </c>
    </row>
    <row r="1637" spans="1:7">
      <c r="A1637" s="129">
        <v>45954</v>
      </c>
      <c r="B1637" s="78">
        <v>45931</v>
      </c>
      <c r="C1637" s="127" t="s">
        <v>1845</v>
      </c>
      <c r="D1637" s="28" t="s">
        <v>3</v>
      </c>
      <c r="E1637" s="28" t="s">
        <v>865</v>
      </c>
      <c r="F1637" s="128">
        <v>1.88</v>
      </c>
      <c r="G1637" t="s">
        <v>710</v>
      </c>
    </row>
    <row r="1638" spans="1:7">
      <c r="A1638" s="129">
        <v>45954</v>
      </c>
      <c r="B1638" s="78">
        <v>45931</v>
      </c>
      <c r="C1638" s="127" t="s">
        <v>1846</v>
      </c>
      <c r="D1638" t="s">
        <v>8</v>
      </c>
      <c r="E1638" t="s">
        <v>815</v>
      </c>
      <c r="F1638" s="128">
        <v>20000</v>
      </c>
      <c r="G1638" t="s">
        <v>710</v>
      </c>
    </row>
    <row r="1639" spans="1:7">
      <c r="A1639" s="129">
        <v>45954</v>
      </c>
      <c r="B1639" s="78">
        <v>45931</v>
      </c>
      <c r="C1639" s="127" t="s">
        <v>1847</v>
      </c>
      <c r="D1639" s="28" t="s">
        <v>3</v>
      </c>
      <c r="E1639" s="28" t="s">
        <v>865</v>
      </c>
      <c r="F1639" s="128">
        <v>25</v>
      </c>
      <c r="G1639" t="s">
        <v>710</v>
      </c>
    </row>
    <row r="1640" spans="1:7">
      <c r="A1640" s="129">
        <v>45954</v>
      </c>
      <c r="B1640" s="78">
        <v>45931</v>
      </c>
      <c r="C1640" s="127" t="s">
        <v>1848</v>
      </c>
      <c r="D1640" s="28" t="s">
        <v>3</v>
      </c>
      <c r="E1640" s="28" t="s">
        <v>865</v>
      </c>
      <c r="F1640" s="128">
        <v>1.88</v>
      </c>
      <c r="G1640" t="s">
        <v>710</v>
      </c>
    </row>
    <row r="1641" spans="1:7">
      <c r="A1641" s="129">
        <v>45954</v>
      </c>
      <c r="B1641" s="78">
        <v>45931</v>
      </c>
      <c r="C1641" s="127" t="s">
        <v>1849</v>
      </c>
      <c r="D1641" t="s">
        <v>8</v>
      </c>
      <c r="E1641" t="s">
        <v>815</v>
      </c>
      <c r="F1641" s="128">
        <v>35000</v>
      </c>
      <c r="G1641" t="s">
        <v>710</v>
      </c>
    </row>
    <row r="1642" spans="1:7">
      <c r="A1642" s="129">
        <v>45954</v>
      </c>
      <c r="B1642" s="78">
        <v>45931</v>
      </c>
      <c r="C1642" s="127" t="s">
        <v>1850</v>
      </c>
      <c r="D1642" s="28" t="s">
        <v>3</v>
      </c>
      <c r="E1642" s="28" t="s">
        <v>865</v>
      </c>
      <c r="F1642" s="128">
        <v>25</v>
      </c>
      <c r="G1642" t="s">
        <v>710</v>
      </c>
    </row>
    <row r="1643" spans="1:7">
      <c r="A1643" s="129">
        <v>45954</v>
      </c>
      <c r="B1643" s="78">
        <v>45931</v>
      </c>
      <c r="C1643" s="127" t="s">
        <v>1851</v>
      </c>
      <c r="D1643" s="28" t="s">
        <v>3</v>
      </c>
      <c r="E1643" s="28" t="s">
        <v>865</v>
      </c>
      <c r="F1643" s="128">
        <v>1.88</v>
      </c>
      <c r="G1643" t="s">
        <v>710</v>
      </c>
    </row>
    <row r="1644" spans="1:7">
      <c r="A1644" s="129">
        <v>45954</v>
      </c>
      <c r="B1644" s="78">
        <v>45931</v>
      </c>
      <c r="C1644" s="127" t="s">
        <v>1852</v>
      </c>
      <c r="D1644" t="s">
        <v>8</v>
      </c>
      <c r="E1644" t="s">
        <v>815</v>
      </c>
      <c r="F1644" s="128">
        <v>70000</v>
      </c>
      <c r="G1644" t="s">
        <v>710</v>
      </c>
    </row>
    <row r="1645" spans="1:7">
      <c r="A1645" s="129">
        <v>45954</v>
      </c>
      <c r="B1645" s="78">
        <v>45931</v>
      </c>
      <c r="C1645" s="127" t="s">
        <v>1853</v>
      </c>
      <c r="D1645" s="28" t="s">
        <v>3</v>
      </c>
      <c r="E1645" s="28" t="s">
        <v>865</v>
      </c>
      <c r="F1645" s="128">
        <v>50</v>
      </c>
      <c r="G1645" t="s">
        <v>710</v>
      </c>
    </row>
    <row r="1646" spans="1:7">
      <c r="A1646" s="129">
        <v>45954</v>
      </c>
      <c r="B1646" s="78">
        <v>45931</v>
      </c>
      <c r="C1646" s="127" t="s">
        <v>1854</v>
      </c>
      <c r="D1646" s="28" t="s">
        <v>3</v>
      </c>
      <c r="E1646" s="28" t="s">
        <v>865</v>
      </c>
      <c r="F1646" s="128">
        <v>3.75</v>
      </c>
      <c r="G1646" t="s">
        <v>710</v>
      </c>
    </row>
    <row r="1647" spans="1:7">
      <c r="A1647" s="129">
        <v>45954</v>
      </c>
      <c r="B1647" s="78">
        <v>45931</v>
      </c>
      <c r="C1647" s="127" t="s">
        <v>1855</v>
      </c>
      <c r="D1647" t="s">
        <v>8</v>
      </c>
      <c r="E1647" t="s">
        <v>815</v>
      </c>
      <c r="F1647" s="128">
        <v>35000</v>
      </c>
      <c r="G1647" t="s">
        <v>710</v>
      </c>
    </row>
    <row r="1648" spans="1:7">
      <c r="A1648" s="129">
        <v>45954</v>
      </c>
      <c r="B1648" s="78">
        <v>45931</v>
      </c>
      <c r="C1648" s="127" t="s">
        <v>1856</v>
      </c>
      <c r="D1648" s="28" t="s">
        <v>3</v>
      </c>
      <c r="E1648" s="28" t="s">
        <v>865</v>
      </c>
      <c r="F1648" s="128">
        <v>25</v>
      </c>
      <c r="G1648" t="s">
        <v>710</v>
      </c>
    </row>
    <row r="1649" spans="1:7">
      <c r="A1649" s="129">
        <v>45954</v>
      </c>
      <c r="B1649" s="78">
        <v>45931</v>
      </c>
      <c r="C1649" s="127" t="s">
        <v>1857</v>
      </c>
      <c r="D1649" s="28" t="s">
        <v>3</v>
      </c>
      <c r="E1649" s="28" t="s">
        <v>865</v>
      </c>
      <c r="F1649" s="128">
        <v>1.88</v>
      </c>
      <c r="G1649" t="s">
        <v>710</v>
      </c>
    </row>
    <row r="1650" spans="1:7">
      <c r="A1650" s="129">
        <v>45954</v>
      </c>
      <c r="B1650" s="78">
        <v>45931</v>
      </c>
      <c r="C1650" s="127" t="s">
        <v>1858</v>
      </c>
      <c r="D1650" t="s">
        <v>8</v>
      </c>
      <c r="E1650" t="s">
        <v>815</v>
      </c>
      <c r="F1650" s="128">
        <v>70000</v>
      </c>
      <c r="G1650" t="s">
        <v>710</v>
      </c>
    </row>
    <row r="1651" spans="1:7">
      <c r="A1651" s="129">
        <v>45954</v>
      </c>
      <c r="B1651" s="78">
        <v>45931</v>
      </c>
      <c r="C1651" s="127" t="s">
        <v>1859</v>
      </c>
      <c r="D1651" s="28" t="s">
        <v>3</v>
      </c>
      <c r="E1651" s="28" t="s">
        <v>865</v>
      </c>
      <c r="F1651" s="128">
        <v>50</v>
      </c>
      <c r="G1651" t="s">
        <v>710</v>
      </c>
    </row>
    <row r="1652" spans="1:7">
      <c r="A1652" s="129">
        <v>45954</v>
      </c>
      <c r="B1652" s="78">
        <v>45931</v>
      </c>
      <c r="C1652" s="127" t="s">
        <v>1860</v>
      </c>
      <c r="D1652" s="28" t="s">
        <v>3</v>
      </c>
      <c r="E1652" s="28" t="s">
        <v>865</v>
      </c>
      <c r="F1652" s="128">
        <v>3.75</v>
      </c>
      <c r="G1652" t="s">
        <v>710</v>
      </c>
    </row>
    <row r="1653" spans="1:7">
      <c r="A1653" s="129">
        <v>45954</v>
      </c>
      <c r="B1653" s="78">
        <v>45931</v>
      </c>
      <c r="C1653" s="127" t="s">
        <v>1861</v>
      </c>
      <c r="D1653" t="s">
        <v>8</v>
      </c>
      <c r="E1653" t="s">
        <v>815</v>
      </c>
      <c r="F1653" s="128">
        <v>20000</v>
      </c>
      <c r="G1653" t="s">
        <v>710</v>
      </c>
    </row>
    <row r="1654" spans="1:7">
      <c r="A1654" s="129">
        <v>45954</v>
      </c>
      <c r="B1654" s="78">
        <v>45931</v>
      </c>
      <c r="C1654" s="127" t="s">
        <v>1862</v>
      </c>
      <c r="D1654" s="28" t="s">
        <v>3</v>
      </c>
      <c r="E1654" s="28" t="s">
        <v>865</v>
      </c>
      <c r="F1654" s="128">
        <v>25</v>
      </c>
      <c r="G1654" t="s">
        <v>710</v>
      </c>
    </row>
    <row r="1655" spans="1:7">
      <c r="A1655" s="129">
        <v>45954</v>
      </c>
      <c r="B1655" s="78">
        <v>45931</v>
      </c>
      <c r="C1655" s="127" t="s">
        <v>1863</v>
      </c>
      <c r="D1655" s="28" t="s">
        <v>3</v>
      </c>
      <c r="E1655" s="28" t="s">
        <v>865</v>
      </c>
      <c r="F1655" s="128">
        <v>1.88</v>
      </c>
      <c r="G1655" t="s">
        <v>710</v>
      </c>
    </row>
    <row r="1656" spans="1:7">
      <c r="A1656" s="129">
        <v>45954</v>
      </c>
      <c r="B1656" s="78">
        <v>45931</v>
      </c>
      <c r="C1656" s="127" t="s">
        <v>1864</v>
      </c>
      <c r="D1656" t="s">
        <v>8</v>
      </c>
      <c r="E1656" t="s">
        <v>815</v>
      </c>
      <c r="F1656" s="128">
        <v>27500</v>
      </c>
      <c r="G1656" t="s">
        <v>710</v>
      </c>
    </row>
    <row r="1657" spans="1:7">
      <c r="A1657" s="129">
        <v>45954</v>
      </c>
      <c r="B1657" s="78">
        <v>45931</v>
      </c>
      <c r="C1657" s="127" t="s">
        <v>1865</v>
      </c>
      <c r="D1657" s="28" t="s">
        <v>3</v>
      </c>
      <c r="E1657" s="28" t="s">
        <v>865</v>
      </c>
      <c r="F1657" s="128">
        <v>25</v>
      </c>
      <c r="G1657" t="s">
        <v>710</v>
      </c>
    </row>
    <row r="1658" spans="1:7">
      <c r="A1658" s="129">
        <v>45954</v>
      </c>
      <c r="B1658" s="78">
        <v>45931</v>
      </c>
      <c r="C1658" s="127" t="s">
        <v>1866</v>
      </c>
      <c r="D1658" s="28" t="s">
        <v>3</v>
      </c>
      <c r="E1658" s="28" t="s">
        <v>865</v>
      </c>
      <c r="F1658" s="128">
        <v>1.88</v>
      </c>
      <c r="G1658" t="s">
        <v>710</v>
      </c>
    </row>
    <row r="1659" spans="1:7">
      <c r="A1659" s="129">
        <v>45954</v>
      </c>
      <c r="B1659" s="78">
        <v>45931</v>
      </c>
      <c r="C1659" s="127" t="s">
        <v>1867</v>
      </c>
      <c r="D1659" t="s">
        <v>8</v>
      </c>
      <c r="E1659" t="s">
        <v>815</v>
      </c>
      <c r="F1659" s="128">
        <v>20000</v>
      </c>
      <c r="G1659" t="s">
        <v>710</v>
      </c>
    </row>
    <row r="1660" spans="1:7">
      <c r="A1660" s="129">
        <v>45954</v>
      </c>
      <c r="B1660" s="78">
        <v>45931</v>
      </c>
      <c r="C1660" s="127" t="s">
        <v>1868</v>
      </c>
      <c r="D1660" s="28" t="s">
        <v>3</v>
      </c>
      <c r="E1660" s="28" t="s">
        <v>865</v>
      </c>
      <c r="F1660" s="128">
        <v>25</v>
      </c>
      <c r="G1660" t="s">
        <v>710</v>
      </c>
    </row>
    <row r="1661" spans="1:7">
      <c r="A1661" s="129">
        <v>45954</v>
      </c>
      <c r="B1661" s="78">
        <v>45931</v>
      </c>
      <c r="C1661" s="127" t="s">
        <v>1869</v>
      </c>
      <c r="D1661" s="28" t="s">
        <v>3</v>
      </c>
      <c r="E1661" s="28" t="s">
        <v>865</v>
      </c>
      <c r="F1661" s="128">
        <v>1.88</v>
      </c>
      <c r="G1661" t="s">
        <v>710</v>
      </c>
    </row>
    <row r="1662" spans="1:7">
      <c r="A1662" s="129">
        <v>45954</v>
      </c>
      <c r="B1662" s="78">
        <v>45931</v>
      </c>
      <c r="C1662" s="127" t="s">
        <v>1870</v>
      </c>
      <c r="D1662" t="s">
        <v>8</v>
      </c>
      <c r="E1662" t="s">
        <v>815</v>
      </c>
      <c r="F1662" s="128">
        <v>20000</v>
      </c>
      <c r="G1662" t="s">
        <v>710</v>
      </c>
    </row>
    <row r="1663" spans="1:7">
      <c r="A1663" s="129">
        <v>45954</v>
      </c>
      <c r="B1663" s="78">
        <v>45931</v>
      </c>
      <c r="C1663" s="127" t="s">
        <v>1871</v>
      </c>
      <c r="D1663" s="28" t="s">
        <v>3</v>
      </c>
      <c r="E1663" s="28" t="s">
        <v>865</v>
      </c>
      <c r="F1663" s="128">
        <v>25</v>
      </c>
      <c r="G1663" t="s">
        <v>710</v>
      </c>
    </row>
    <row r="1664" spans="1:7">
      <c r="A1664" s="129">
        <v>45954</v>
      </c>
      <c r="B1664" s="78">
        <v>45931</v>
      </c>
      <c r="C1664" s="127" t="s">
        <v>1872</v>
      </c>
      <c r="D1664" s="28" t="s">
        <v>3</v>
      </c>
      <c r="E1664" s="28" t="s">
        <v>865</v>
      </c>
      <c r="F1664" s="128">
        <v>1.88</v>
      </c>
      <c r="G1664" t="s">
        <v>710</v>
      </c>
    </row>
    <row r="1665" spans="1:7">
      <c r="A1665" s="129">
        <v>45954</v>
      </c>
      <c r="B1665" s="78">
        <v>45931</v>
      </c>
      <c r="C1665" s="127" t="s">
        <v>1873</v>
      </c>
      <c r="D1665" t="s">
        <v>8</v>
      </c>
      <c r="E1665" t="s">
        <v>815</v>
      </c>
      <c r="F1665" s="128">
        <v>35000</v>
      </c>
      <c r="G1665" t="s">
        <v>710</v>
      </c>
    </row>
    <row r="1666" spans="1:7">
      <c r="A1666" s="129">
        <v>45954</v>
      </c>
      <c r="B1666" s="78">
        <v>45931</v>
      </c>
      <c r="C1666" s="127" t="s">
        <v>1874</v>
      </c>
      <c r="D1666" s="28" t="s">
        <v>3</v>
      </c>
      <c r="E1666" s="28" t="s">
        <v>865</v>
      </c>
      <c r="F1666" s="128">
        <v>25</v>
      </c>
      <c r="G1666" t="s">
        <v>710</v>
      </c>
    </row>
    <row r="1667" spans="1:7">
      <c r="A1667" s="129">
        <v>45954</v>
      </c>
      <c r="B1667" s="78">
        <v>45931</v>
      </c>
      <c r="C1667" s="127" t="s">
        <v>1875</v>
      </c>
      <c r="D1667" s="28" t="s">
        <v>3</v>
      </c>
      <c r="E1667" s="28" t="s">
        <v>865</v>
      </c>
      <c r="F1667" s="128">
        <v>1.88</v>
      </c>
      <c r="G1667" t="s">
        <v>710</v>
      </c>
    </row>
    <row r="1668" spans="1:7">
      <c r="A1668" s="129">
        <v>45954</v>
      </c>
      <c r="B1668" s="78">
        <v>45931</v>
      </c>
      <c r="C1668" s="127" t="s">
        <v>1876</v>
      </c>
      <c r="D1668" t="s">
        <v>8</v>
      </c>
      <c r="E1668" t="s">
        <v>815</v>
      </c>
      <c r="F1668" s="128">
        <v>20000</v>
      </c>
      <c r="G1668" t="s">
        <v>710</v>
      </c>
    </row>
    <row r="1669" spans="1:7">
      <c r="A1669" s="129">
        <v>45954</v>
      </c>
      <c r="B1669" s="78">
        <v>45931</v>
      </c>
      <c r="C1669" s="127" t="s">
        <v>1877</v>
      </c>
      <c r="D1669" s="28" t="s">
        <v>3</v>
      </c>
      <c r="E1669" s="28" t="s">
        <v>865</v>
      </c>
      <c r="F1669" s="128">
        <v>25</v>
      </c>
      <c r="G1669" t="s">
        <v>710</v>
      </c>
    </row>
    <row r="1670" spans="1:7">
      <c r="A1670" s="129">
        <v>45954</v>
      </c>
      <c r="B1670" s="78">
        <v>45931</v>
      </c>
      <c r="C1670" s="127" t="s">
        <v>1878</v>
      </c>
      <c r="D1670" s="28" t="s">
        <v>3</v>
      </c>
      <c r="E1670" s="28" t="s">
        <v>865</v>
      </c>
      <c r="F1670" s="128">
        <v>1.88</v>
      </c>
      <c r="G1670" t="s">
        <v>710</v>
      </c>
    </row>
    <row r="1671" spans="1:7">
      <c r="A1671" s="129">
        <v>45954</v>
      </c>
      <c r="B1671" s="78">
        <v>45931</v>
      </c>
      <c r="C1671" s="127" t="s">
        <v>1879</v>
      </c>
      <c r="D1671" t="s">
        <v>8</v>
      </c>
      <c r="E1671" t="s">
        <v>815</v>
      </c>
      <c r="F1671" s="128">
        <v>20000</v>
      </c>
      <c r="G1671" t="s">
        <v>710</v>
      </c>
    </row>
    <row r="1672" spans="1:7">
      <c r="A1672" s="129">
        <v>45954</v>
      </c>
      <c r="B1672" s="78">
        <v>45931</v>
      </c>
      <c r="C1672" s="127" t="s">
        <v>1880</v>
      </c>
      <c r="D1672" s="28" t="s">
        <v>3</v>
      </c>
      <c r="E1672" s="28" t="s">
        <v>865</v>
      </c>
      <c r="F1672" s="128">
        <v>25</v>
      </c>
      <c r="G1672" t="s">
        <v>710</v>
      </c>
    </row>
    <row r="1673" spans="1:7">
      <c r="A1673" s="129">
        <v>45954</v>
      </c>
      <c r="B1673" s="78">
        <v>45931</v>
      </c>
      <c r="C1673" s="127" t="s">
        <v>1881</v>
      </c>
      <c r="D1673" s="28" t="s">
        <v>3</v>
      </c>
      <c r="E1673" s="28" t="s">
        <v>865</v>
      </c>
      <c r="F1673" s="128">
        <v>1.88</v>
      </c>
      <c r="G1673" t="s">
        <v>710</v>
      </c>
    </row>
    <row r="1674" spans="1:7">
      <c r="A1674" s="129">
        <v>45954</v>
      </c>
      <c r="B1674" s="78">
        <v>45931</v>
      </c>
      <c r="C1674" s="127" t="s">
        <v>1882</v>
      </c>
      <c r="D1674" t="s">
        <v>8</v>
      </c>
      <c r="E1674" t="s">
        <v>815</v>
      </c>
      <c r="F1674" s="128">
        <v>158172.20000000001</v>
      </c>
      <c r="G1674" t="s">
        <v>710</v>
      </c>
    </row>
    <row r="1675" spans="1:7">
      <c r="A1675" s="129">
        <v>45954</v>
      </c>
      <c r="B1675" s="78">
        <v>45931</v>
      </c>
      <c r="C1675" s="127" t="s">
        <v>1883</v>
      </c>
      <c r="D1675" s="28" t="s">
        <v>3</v>
      </c>
      <c r="E1675" s="28" t="s">
        <v>865</v>
      </c>
      <c r="F1675" s="128">
        <v>50</v>
      </c>
      <c r="G1675" t="s">
        <v>710</v>
      </c>
    </row>
    <row r="1676" spans="1:7">
      <c r="A1676" s="129">
        <v>45954</v>
      </c>
      <c r="B1676" s="78">
        <v>45931</v>
      </c>
      <c r="C1676" s="127" t="s">
        <v>1884</v>
      </c>
      <c r="D1676" s="28" t="s">
        <v>3</v>
      </c>
      <c r="E1676" s="28" t="s">
        <v>865</v>
      </c>
      <c r="F1676" s="128">
        <v>3.75</v>
      </c>
      <c r="G1676" t="s">
        <v>710</v>
      </c>
    </row>
    <row r="1677" spans="1:7">
      <c r="A1677" s="129">
        <v>45954</v>
      </c>
      <c r="B1677" s="78">
        <v>45931</v>
      </c>
      <c r="C1677" s="127" t="s">
        <v>1885</v>
      </c>
      <c r="D1677" t="s">
        <v>8</v>
      </c>
      <c r="E1677" t="s">
        <v>815</v>
      </c>
      <c r="F1677" s="128">
        <v>283172.2</v>
      </c>
      <c r="G1677" t="s">
        <v>710</v>
      </c>
    </row>
    <row r="1678" spans="1:7">
      <c r="A1678" s="129">
        <v>45954</v>
      </c>
      <c r="B1678" s="78">
        <v>45931</v>
      </c>
      <c r="C1678" s="127" t="s">
        <v>1886</v>
      </c>
      <c r="D1678" s="28" t="s">
        <v>3</v>
      </c>
      <c r="E1678" s="28" t="s">
        <v>865</v>
      </c>
      <c r="F1678" s="128">
        <v>50</v>
      </c>
      <c r="G1678" t="s">
        <v>710</v>
      </c>
    </row>
    <row r="1679" spans="1:7">
      <c r="A1679" s="129">
        <v>45954</v>
      </c>
      <c r="B1679" s="78">
        <v>45931</v>
      </c>
      <c r="C1679" s="127" t="s">
        <v>1887</v>
      </c>
      <c r="D1679" s="28" t="s">
        <v>3</v>
      </c>
      <c r="E1679" s="28" t="s">
        <v>865</v>
      </c>
      <c r="F1679" s="128">
        <v>3.75</v>
      </c>
      <c r="G1679" t="s">
        <v>710</v>
      </c>
    </row>
    <row r="1680" spans="1:7">
      <c r="A1680" s="129">
        <v>45954</v>
      </c>
      <c r="B1680" s="78">
        <v>45931</v>
      </c>
      <c r="C1680" s="127" t="s">
        <v>1888</v>
      </c>
      <c r="D1680" t="s">
        <v>8</v>
      </c>
      <c r="E1680" t="s">
        <v>815</v>
      </c>
      <c r="F1680" s="128">
        <v>283172.2</v>
      </c>
      <c r="G1680" t="s">
        <v>710</v>
      </c>
    </row>
    <row r="1681" spans="1:7">
      <c r="A1681" s="129">
        <v>45954</v>
      </c>
      <c r="B1681" s="78">
        <v>45931</v>
      </c>
      <c r="C1681" s="127" t="s">
        <v>1889</v>
      </c>
      <c r="D1681" s="28" t="s">
        <v>3</v>
      </c>
      <c r="E1681" s="28" t="s">
        <v>865</v>
      </c>
      <c r="F1681" s="128">
        <v>50</v>
      </c>
      <c r="G1681" t="s">
        <v>710</v>
      </c>
    </row>
    <row r="1682" spans="1:7">
      <c r="A1682" s="129">
        <v>45954</v>
      </c>
      <c r="B1682" s="78">
        <v>45931</v>
      </c>
      <c r="C1682" s="127" t="s">
        <v>1890</v>
      </c>
      <c r="D1682" s="28" t="s">
        <v>3</v>
      </c>
      <c r="E1682" s="28" t="s">
        <v>865</v>
      </c>
      <c r="F1682" s="128">
        <v>3.75</v>
      </c>
      <c r="G1682" t="s">
        <v>710</v>
      </c>
    </row>
    <row r="1683" spans="1:7">
      <c r="A1683" s="129">
        <v>45954</v>
      </c>
      <c r="B1683" s="78">
        <v>45931</v>
      </c>
      <c r="C1683" s="127" t="s">
        <v>1891</v>
      </c>
      <c r="D1683" t="s">
        <v>8</v>
      </c>
      <c r="E1683" t="s">
        <v>815</v>
      </c>
      <c r="F1683" s="128">
        <v>140171.67000000001</v>
      </c>
      <c r="G1683" t="s">
        <v>710</v>
      </c>
    </row>
    <row r="1684" spans="1:7">
      <c r="A1684" s="129">
        <v>45954</v>
      </c>
      <c r="B1684" s="78">
        <v>45931</v>
      </c>
      <c r="C1684" s="127" t="s">
        <v>1892</v>
      </c>
      <c r="D1684" s="28" t="s">
        <v>3</v>
      </c>
      <c r="E1684" s="28" t="s">
        <v>865</v>
      </c>
      <c r="F1684" s="128">
        <v>50</v>
      </c>
      <c r="G1684" t="s">
        <v>710</v>
      </c>
    </row>
    <row r="1685" spans="1:7">
      <c r="A1685" s="129">
        <v>45954</v>
      </c>
      <c r="B1685" s="78">
        <v>45931</v>
      </c>
      <c r="C1685" s="127" t="s">
        <v>1893</v>
      </c>
      <c r="D1685" s="28" t="s">
        <v>3</v>
      </c>
      <c r="E1685" s="28" t="s">
        <v>865</v>
      </c>
      <c r="F1685" s="128">
        <v>3.75</v>
      </c>
      <c r="G1685" t="s">
        <v>710</v>
      </c>
    </row>
    <row r="1686" spans="1:7">
      <c r="A1686" s="129">
        <v>45954</v>
      </c>
      <c r="B1686" s="78">
        <v>45931</v>
      </c>
      <c r="C1686" s="127" t="s">
        <v>1894</v>
      </c>
      <c r="D1686" t="s">
        <v>8</v>
      </c>
      <c r="E1686" t="s">
        <v>815</v>
      </c>
      <c r="F1686" s="128">
        <v>44432.33</v>
      </c>
      <c r="G1686" t="s">
        <v>710</v>
      </c>
    </row>
    <row r="1687" spans="1:7">
      <c r="A1687" s="129">
        <v>45954</v>
      </c>
      <c r="B1687" s="78">
        <v>45931</v>
      </c>
      <c r="C1687" s="127" t="s">
        <v>1895</v>
      </c>
      <c r="D1687" s="28" t="s">
        <v>3</v>
      </c>
      <c r="E1687" s="28" t="s">
        <v>865</v>
      </c>
      <c r="F1687" s="128">
        <v>25</v>
      </c>
      <c r="G1687" t="s">
        <v>710</v>
      </c>
    </row>
    <row r="1688" spans="1:7">
      <c r="A1688" s="129">
        <v>45954</v>
      </c>
      <c r="B1688" s="78">
        <v>45931</v>
      </c>
      <c r="C1688" s="127" t="s">
        <v>1896</v>
      </c>
      <c r="D1688" s="28" t="s">
        <v>3</v>
      </c>
      <c r="E1688" s="28" t="s">
        <v>865</v>
      </c>
      <c r="F1688" s="128">
        <v>1.88</v>
      </c>
      <c r="G1688" t="s">
        <v>710</v>
      </c>
    </row>
    <row r="1689" spans="1:7">
      <c r="A1689" s="129">
        <v>45954</v>
      </c>
      <c r="B1689" s="78">
        <v>45931</v>
      </c>
      <c r="C1689" s="127" t="s">
        <v>1897</v>
      </c>
      <c r="D1689" t="s">
        <v>8</v>
      </c>
      <c r="E1689" t="s">
        <v>815</v>
      </c>
      <c r="F1689" s="128">
        <v>44432.33</v>
      </c>
      <c r="G1689" t="s">
        <v>710</v>
      </c>
    </row>
    <row r="1690" spans="1:7">
      <c r="A1690" s="129">
        <v>45954</v>
      </c>
      <c r="B1690" s="78">
        <v>45931</v>
      </c>
      <c r="C1690" s="127" t="s">
        <v>1898</v>
      </c>
      <c r="D1690" s="28" t="s">
        <v>3</v>
      </c>
      <c r="E1690" s="28" t="s">
        <v>865</v>
      </c>
      <c r="F1690" s="128">
        <v>25</v>
      </c>
      <c r="G1690" t="s">
        <v>710</v>
      </c>
    </row>
    <row r="1691" spans="1:7">
      <c r="A1691" s="129">
        <v>45954</v>
      </c>
      <c r="B1691" s="78">
        <v>45931</v>
      </c>
      <c r="C1691" s="127" t="s">
        <v>1899</v>
      </c>
      <c r="D1691" s="28" t="s">
        <v>3</v>
      </c>
      <c r="E1691" s="28" t="s">
        <v>865</v>
      </c>
      <c r="F1691" s="128">
        <v>1.88</v>
      </c>
      <c r="G1691" t="s">
        <v>710</v>
      </c>
    </row>
    <row r="1692" spans="1:7">
      <c r="A1692" s="129">
        <v>45954</v>
      </c>
      <c r="B1692" s="78">
        <v>45931</v>
      </c>
      <c r="C1692" s="127" t="s">
        <v>1900</v>
      </c>
      <c r="D1692" t="s">
        <v>8</v>
      </c>
      <c r="E1692" t="s">
        <v>815</v>
      </c>
      <c r="F1692" s="128">
        <v>486614.6</v>
      </c>
      <c r="G1692" t="s">
        <v>710</v>
      </c>
    </row>
    <row r="1693" spans="1:7">
      <c r="A1693" s="129">
        <v>45954</v>
      </c>
      <c r="B1693" s="78">
        <v>45931</v>
      </c>
      <c r="C1693" s="127" t="s">
        <v>1901</v>
      </c>
      <c r="D1693" s="28" t="s">
        <v>3</v>
      </c>
      <c r="E1693" s="28" t="s">
        <v>865</v>
      </c>
      <c r="F1693" s="128">
        <v>50</v>
      </c>
      <c r="G1693" t="s">
        <v>710</v>
      </c>
    </row>
    <row r="1694" spans="1:7">
      <c r="A1694" s="129">
        <v>45954</v>
      </c>
      <c r="B1694" s="78">
        <v>45931</v>
      </c>
      <c r="C1694" s="127" t="s">
        <v>1902</v>
      </c>
      <c r="D1694" s="28" t="s">
        <v>3</v>
      </c>
      <c r="E1694" s="28" t="s">
        <v>865</v>
      </c>
      <c r="F1694" s="128">
        <v>3.75</v>
      </c>
      <c r="G1694" t="s">
        <v>710</v>
      </c>
    </row>
    <row r="1695" spans="1:7">
      <c r="A1695" s="129">
        <v>45954</v>
      </c>
      <c r="B1695" s="78">
        <v>45931</v>
      </c>
      <c r="C1695" s="127" t="s">
        <v>1903</v>
      </c>
      <c r="D1695" t="s">
        <v>8</v>
      </c>
      <c r="E1695" t="s">
        <v>815</v>
      </c>
      <c r="F1695" s="128">
        <v>283172.2</v>
      </c>
      <c r="G1695" t="s">
        <v>710</v>
      </c>
    </row>
    <row r="1696" spans="1:7">
      <c r="A1696" s="129">
        <v>45954</v>
      </c>
      <c r="B1696" s="78">
        <v>45931</v>
      </c>
      <c r="C1696" s="127" t="s">
        <v>1904</v>
      </c>
      <c r="D1696" s="28" t="s">
        <v>3</v>
      </c>
      <c r="E1696" s="28" t="s">
        <v>865</v>
      </c>
      <c r="F1696" s="128">
        <v>50</v>
      </c>
      <c r="G1696" t="s">
        <v>710</v>
      </c>
    </row>
    <row r="1697" spans="1:7">
      <c r="A1697" s="129">
        <v>45954</v>
      </c>
      <c r="B1697" s="78">
        <v>45931</v>
      </c>
      <c r="C1697" s="127" t="s">
        <v>1905</v>
      </c>
      <c r="D1697" s="28" t="s">
        <v>3</v>
      </c>
      <c r="E1697" s="28" t="s">
        <v>865</v>
      </c>
      <c r="F1697" s="128">
        <v>3.75</v>
      </c>
      <c r="G1697" t="s">
        <v>710</v>
      </c>
    </row>
    <row r="1698" spans="1:7">
      <c r="A1698" s="129">
        <v>45954</v>
      </c>
      <c r="B1698" s="78">
        <v>45931</v>
      </c>
      <c r="C1698" s="127" t="s">
        <v>1906</v>
      </c>
      <c r="D1698" t="s">
        <v>8</v>
      </c>
      <c r="E1698" t="s">
        <v>815</v>
      </c>
      <c r="F1698" s="128">
        <v>283172.2</v>
      </c>
      <c r="G1698" t="s">
        <v>710</v>
      </c>
    </row>
    <row r="1699" spans="1:7">
      <c r="A1699" s="129">
        <v>45954</v>
      </c>
      <c r="B1699" s="78">
        <v>45931</v>
      </c>
      <c r="C1699" s="127" t="s">
        <v>1907</v>
      </c>
      <c r="D1699" s="28" t="s">
        <v>3</v>
      </c>
      <c r="E1699" s="28" t="s">
        <v>865</v>
      </c>
      <c r="F1699" s="128">
        <v>50</v>
      </c>
      <c r="G1699" t="s">
        <v>710</v>
      </c>
    </row>
    <row r="1700" spans="1:7">
      <c r="A1700" s="129">
        <v>45954</v>
      </c>
      <c r="B1700" s="78">
        <v>45931</v>
      </c>
      <c r="C1700" s="127" t="s">
        <v>1908</v>
      </c>
      <c r="D1700" s="28" t="s">
        <v>3</v>
      </c>
      <c r="E1700" s="28" t="s">
        <v>865</v>
      </c>
      <c r="F1700" s="128">
        <v>3.75</v>
      </c>
      <c r="G1700" t="s">
        <v>710</v>
      </c>
    </row>
    <row r="1701" spans="1:7">
      <c r="A1701" s="129">
        <v>45954</v>
      </c>
      <c r="B1701" s="78">
        <v>45931</v>
      </c>
      <c r="C1701" s="127" t="s">
        <v>1909</v>
      </c>
      <c r="D1701" t="s">
        <v>8</v>
      </c>
      <c r="E1701" t="s">
        <v>815</v>
      </c>
      <c r="F1701" s="128">
        <v>283172.2</v>
      </c>
      <c r="G1701" t="s">
        <v>710</v>
      </c>
    </row>
    <row r="1702" spans="1:7">
      <c r="A1702" s="129">
        <v>45954</v>
      </c>
      <c r="B1702" s="78">
        <v>45931</v>
      </c>
      <c r="C1702" s="127" t="s">
        <v>1910</v>
      </c>
      <c r="D1702" s="28" t="s">
        <v>3</v>
      </c>
      <c r="E1702" s="28" t="s">
        <v>865</v>
      </c>
      <c r="F1702" s="128">
        <v>50</v>
      </c>
      <c r="G1702" t="s">
        <v>710</v>
      </c>
    </row>
    <row r="1703" spans="1:7">
      <c r="A1703" s="129">
        <v>45954</v>
      </c>
      <c r="B1703" s="78">
        <v>45931</v>
      </c>
      <c r="C1703" s="127" t="s">
        <v>1911</v>
      </c>
      <c r="D1703" s="28" t="s">
        <v>3</v>
      </c>
      <c r="E1703" s="28" t="s">
        <v>865</v>
      </c>
      <c r="F1703" s="128">
        <v>3.75</v>
      </c>
      <c r="G1703" t="s">
        <v>710</v>
      </c>
    </row>
    <row r="1704" spans="1:7">
      <c r="A1704" s="129">
        <v>45954</v>
      </c>
      <c r="B1704" s="78">
        <v>45931</v>
      </c>
      <c r="C1704" s="127" t="s">
        <v>1912</v>
      </c>
      <c r="D1704" t="s">
        <v>8</v>
      </c>
      <c r="E1704" t="s">
        <v>815</v>
      </c>
      <c r="F1704" s="128">
        <v>140171.67000000001</v>
      </c>
      <c r="G1704" t="s">
        <v>710</v>
      </c>
    </row>
    <row r="1705" spans="1:7">
      <c r="A1705" s="129">
        <v>45954</v>
      </c>
      <c r="B1705" s="78">
        <v>45931</v>
      </c>
      <c r="C1705" s="127" t="s">
        <v>1913</v>
      </c>
      <c r="D1705" s="28" t="s">
        <v>3</v>
      </c>
      <c r="E1705" s="28" t="s">
        <v>865</v>
      </c>
      <c r="F1705" s="128">
        <v>50</v>
      </c>
      <c r="G1705" t="s">
        <v>710</v>
      </c>
    </row>
    <row r="1706" spans="1:7">
      <c r="A1706" s="129">
        <v>45954</v>
      </c>
      <c r="B1706" s="78">
        <v>45931</v>
      </c>
      <c r="C1706" s="127" t="s">
        <v>1914</v>
      </c>
      <c r="D1706" s="28" t="s">
        <v>3</v>
      </c>
      <c r="E1706" s="28" t="s">
        <v>865</v>
      </c>
      <c r="F1706" s="128">
        <v>3.75</v>
      </c>
      <c r="G1706" t="s">
        <v>710</v>
      </c>
    </row>
    <row r="1707" spans="1:7">
      <c r="A1707" s="129">
        <v>45954</v>
      </c>
      <c r="B1707" s="78">
        <v>45931</v>
      </c>
      <c r="C1707" s="127" t="s">
        <v>1915</v>
      </c>
      <c r="D1707" t="s">
        <v>8</v>
      </c>
      <c r="E1707" t="s">
        <v>815</v>
      </c>
      <c r="F1707" s="128">
        <v>52835</v>
      </c>
      <c r="G1707" t="s">
        <v>710</v>
      </c>
    </row>
    <row r="1708" spans="1:7">
      <c r="A1708" s="129">
        <v>45954</v>
      </c>
      <c r="B1708" s="78">
        <v>45931</v>
      </c>
      <c r="C1708" s="127" t="s">
        <v>1916</v>
      </c>
      <c r="D1708" s="28" t="s">
        <v>3</v>
      </c>
      <c r="E1708" s="28" t="s">
        <v>865</v>
      </c>
      <c r="F1708" s="128">
        <v>50</v>
      </c>
      <c r="G1708" t="s">
        <v>710</v>
      </c>
    </row>
    <row r="1709" spans="1:7">
      <c r="A1709" s="129">
        <v>45954</v>
      </c>
      <c r="B1709" s="78">
        <v>45931</v>
      </c>
      <c r="C1709" s="127" t="s">
        <v>1917</v>
      </c>
      <c r="D1709" s="28" t="s">
        <v>3</v>
      </c>
      <c r="E1709" s="28" t="s">
        <v>865</v>
      </c>
      <c r="F1709" s="128">
        <v>3.75</v>
      </c>
      <c r="G1709" t="s">
        <v>710</v>
      </c>
    </row>
    <row r="1710" spans="1:7">
      <c r="A1710" s="129">
        <v>45954</v>
      </c>
      <c r="B1710" s="78">
        <v>45931</v>
      </c>
      <c r="C1710" s="127" t="s">
        <v>1918</v>
      </c>
      <c r="D1710" t="s">
        <v>8</v>
      </c>
      <c r="E1710" t="s">
        <v>815</v>
      </c>
      <c r="F1710" s="128">
        <v>52835</v>
      </c>
      <c r="G1710" t="s">
        <v>710</v>
      </c>
    </row>
    <row r="1711" spans="1:7">
      <c r="A1711" s="129">
        <v>45954</v>
      </c>
      <c r="B1711" s="78">
        <v>45931</v>
      </c>
      <c r="C1711" s="127" t="s">
        <v>1919</v>
      </c>
      <c r="D1711" s="28" t="s">
        <v>3</v>
      </c>
      <c r="E1711" s="28" t="s">
        <v>865</v>
      </c>
      <c r="F1711" s="128">
        <v>50</v>
      </c>
      <c r="G1711" t="s">
        <v>710</v>
      </c>
    </row>
    <row r="1712" spans="1:7">
      <c r="A1712" s="129">
        <v>45954</v>
      </c>
      <c r="B1712" s="78">
        <v>45931</v>
      </c>
      <c r="C1712" s="127" t="s">
        <v>1920</v>
      </c>
      <c r="D1712" s="28" t="s">
        <v>3</v>
      </c>
      <c r="E1712" s="28" t="s">
        <v>865</v>
      </c>
      <c r="F1712" s="128">
        <v>3.75</v>
      </c>
      <c r="G1712" t="s">
        <v>710</v>
      </c>
    </row>
    <row r="1713" spans="1:7">
      <c r="A1713" s="129">
        <v>45954</v>
      </c>
      <c r="B1713" s="78">
        <v>45931</v>
      </c>
      <c r="C1713" s="127" t="s">
        <v>1921</v>
      </c>
      <c r="D1713" t="s">
        <v>8</v>
      </c>
      <c r="E1713" t="s">
        <v>815</v>
      </c>
      <c r="F1713" s="128">
        <v>44432.33</v>
      </c>
      <c r="G1713" t="s">
        <v>710</v>
      </c>
    </row>
    <row r="1714" spans="1:7">
      <c r="A1714" s="129">
        <v>45954</v>
      </c>
      <c r="B1714" s="78">
        <v>45931</v>
      </c>
      <c r="C1714" s="127" t="s">
        <v>1922</v>
      </c>
      <c r="D1714" s="28" t="s">
        <v>3</v>
      </c>
      <c r="E1714" s="28" t="s">
        <v>865</v>
      </c>
      <c r="F1714" s="128">
        <v>25</v>
      </c>
      <c r="G1714" t="s">
        <v>710</v>
      </c>
    </row>
    <row r="1715" spans="1:7">
      <c r="A1715" s="129">
        <v>45954</v>
      </c>
      <c r="B1715" s="78">
        <v>45931</v>
      </c>
      <c r="C1715" s="127" t="s">
        <v>1923</v>
      </c>
      <c r="D1715" s="28" t="s">
        <v>3</v>
      </c>
      <c r="E1715" s="28" t="s">
        <v>865</v>
      </c>
      <c r="F1715" s="128">
        <v>1.88</v>
      </c>
      <c r="G1715" t="s">
        <v>710</v>
      </c>
    </row>
    <row r="1716" spans="1:7">
      <c r="A1716" s="129">
        <v>45954</v>
      </c>
      <c r="B1716" s="78">
        <v>45931</v>
      </c>
      <c r="C1716" s="127" t="s">
        <v>1924</v>
      </c>
      <c r="D1716" t="s">
        <v>8</v>
      </c>
      <c r="E1716" t="s">
        <v>815</v>
      </c>
      <c r="F1716" s="128">
        <v>283172.2</v>
      </c>
      <c r="G1716" t="s">
        <v>710</v>
      </c>
    </row>
    <row r="1717" spans="1:7">
      <c r="A1717" s="129">
        <v>45954</v>
      </c>
      <c r="B1717" s="78">
        <v>45931</v>
      </c>
      <c r="C1717" s="127" t="s">
        <v>1925</v>
      </c>
      <c r="D1717" s="28" t="s">
        <v>3</v>
      </c>
      <c r="E1717" s="28" t="s">
        <v>865</v>
      </c>
      <c r="F1717" s="128">
        <v>50</v>
      </c>
      <c r="G1717" t="s">
        <v>710</v>
      </c>
    </row>
    <row r="1718" spans="1:7">
      <c r="A1718" s="129">
        <v>45954</v>
      </c>
      <c r="B1718" s="78">
        <v>45931</v>
      </c>
      <c r="C1718" s="127" t="s">
        <v>1926</v>
      </c>
      <c r="D1718" s="28" t="s">
        <v>3</v>
      </c>
      <c r="E1718" s="28" t="s">
        <v>865</v>
      </c>
      <c r="F1718" s="128">
        <v>3.75</v>
      </c>
      <c r="G1718" t="s">
        <v>710</v>
      </c>
    </row>
    <row r="1719" spans="1:7">
      <c r="A1719" s="129">
        <v>45954</v>
      </c>
      <c r="B1719" s="78">
        <v>45931</v>
      </c>
      <c r="C1719" s="127" t="s">
        <v>1927</v>
      </c>
      <c r="D1719" t="s">
        <v>8</v>
      </c>
      <c r="E1719" t="s">
        <v>815</v>
      </c>
      <c r="F1719" s="128">
        <v>4019028.36</v>
      </c>
      <c r="G1719" t="s">
        <v>710</v>
      </c>
    </row>
    <row r="1720" spans="1:7">
      <c r="A1720" s="129">
        <v>45954</v>
      </c>
      <c r="B1720" s="78">
        <v>45931</v>
      </c>
      <c r="C1720" s="127" t="s">
        <v>1928</v>
      </c>
      <c r="D1720" s="28" t="s">
        <v>3</v>
      </c>
      <c r="E1720" s="28" t="s">
        <v>865</v>
      </c>
      <c r="F1720" s="128">
        <v>50</v>
      </c>
      <c r="G1720" t="s">
        <v>710</v>
      </c>
    </row>
    <row r="1721" spans="1:7">
      <c r="A1721" s="129">
        <v>45954</v>
      </c>
      <c r="B1721" s="78">
        <v>45931</v>
      </c>
      <c r="C1721" s="127" t="s">
        <v>1929</v>
      </c>
      <c r="D1721" s="28" t="s">
        <v>3</v>
      </c>
      <c r="E1721" s="28" t="s">
        <v>865</v>
      </c>
      <c r="F1721" s="128">
        <v>3.75</v>
      </c>
      <c r="G1721" t="s">
        <v>710</v>
      </c>
    </row>
    <row r="1722" spans="1:7">
      <c r="A1722" s="129">
        <v>45954</v>
      </c>
      <c r="B1722" s="78">
        <v>45931</v>
      </c>
      <c r="C1722" s="127" t="s">
        <v>1930</v>
      </c>
      <c r="D1722" t="s">
        <v>8</v>
      </c>
      <c r="E1722" t="s">
        <v>815</v>
      </c>
      <c r="F1722" s="128">
        <v>283172.2</v>
      </c>
      <c r="G1722" t="s">
        <v>710</v>
      </c>
    </row>
    <row r="1723" spans="1:7">
      <c r="A1723" s="129">
        <v>45954</v>
      </c>
      <c r="B1723" s="78">
        <v>45931</v>
      </c>
      <c r="C1723" s="127" t="s">
        <v>1931</v>
      </c>
      <c r="D1723" s="28" t="s">
        <v>3</v>
      </c>
      <c r="E1723" s="28" t="s">
        <v>865</v>
      </c>
      <c r="F1723" s="128">
        <v>50</v>
      </c>
      <c r="G1723" t="s">
        <v>710</v>
      </c>
    </row>
    <row r="1724" spans="1:7">
      <c r="A1724" s="129">
        <v>45954</v>
      </c>
      <c r="B1724" s="78">
        <v>45931</v>
      </c>
      <c r="C1724" s="127" t="s">
        <v>1932</v>
      </c>
      <c r="D1724" s="28" t="s">
        <v>3</v>
      </c>
      <c r="E1724" s="28" t="s">
        <v>865</v>
      </c>
      <c r="F1724" s="128">
        <v>3.75</v>
      </c>
      <c r="G1724" t="s">
        <v>710</v>
      </c>
    </row>
    <row r="1725" spans="1:7">
      <c r="A1725" s="129">
        <v>45954</v>
      </c>
      <c r="B1725" s="78">
        <v>45931</v>
      </c>
      <c r="C1725" s="127" t="s">
        <v>1933</v>
      </c>
      <c r="D1725" t="s">
        <v>8</v>
      </c>
      <c r="E1725" t="s">
        <v>815</v>
      </c>
      <c r="F1725" s="128">
        <v>2295519.56</v>
      </c>
      <c r="G1725" t="s">
        <v>710</v>
      </c>
    </row>
    <row r="1726" spans="1:7">
      <c r="A1726" s="129">
        <v>45954</v>
      </c>
      <c r="B1726" s="78">
        <v>45931</v>
      </c>
      <c r="C1726" s="127" t="s">
        <v>1934</v>
      </c>
      <c r="D1726" s="28" t="s">
        <v>3</v>
      </c>
      <c r="E1726" s="28" t="s">
        <v>865</v>
      </c>
      <c r="F1726" s="128">
        <v>50</v>
      </c>
      <c r="G1726" t="s">
        <v>710</v>
      </c>
    </row>
    <row r="1727" spans="1:7">
      <c r="A1727" s="129">
        <v>45954</v>
      </c>
      <c r="B1727" s="78">
        <v>45931</v>
      </c>
      <c r="C1727" s="127" t="s">
        <v>1935</v>
      </c>
      <c r="D1727" s="28" t="s">
        <v>3</v>
      </c>
      <c r="E1727" s="28" t="s">
        <v>865</v>
      </c>
      <c r="F1727" s="128">
        <v>3.75</v>
      </c>
      <c r="G1727" t="s">
        <v>710</v>
      </c>
    </row>
    <row r="1728" spans="1:7">
      <c r="A1728" s="129">
        <v>45954</v>
      </c>
      <c r="B1728" s="78">
        <v>45931</v>
      </c>
      <c r="C1728" s="127" t="s">
        <v>1936</v>
      </c>
      <c r="D1728" t="s">
        <v>8</v>
      </c>
      <c r="E1728" t="s">
        <v>815</v>
      </c>
      <c r="F1728" s="128">
        <v>52835</v>
      </c>
      <c r="G1728" t="s">
        <v>710</v>
      </c>
    </row>
    <row r="1729" spans="1:7">
      <c r="A1729" s="129">
        <v>45954</v>
      </c>
      <c r="B1729" s="78">
        <v>45931</v>
      </c>
      <c r="C1729" s="127" t="s">
        <v>1937</v>
      </c>
      <c r="D1729" s="28" t="s">
        <v>3</v>
      </c>
      <c r="E1729" s="28" t="s">
        <v>865</v>
      </c>
      <c r="F1729" s="128">
        <v>50</v>
      </c>
      <c r="G1729" t="s">
        <v>710</v>
      </c>
    </row>
    <row r="1730" spans="1:7">
      <c r="A1730" s="129">
        <v>45954</v>
      </c>
      <c r="B1730" s="78">
        <v>45931</v>
      </c>
      <c r="C1730" s="127" t="s">
        <v>1938</v>
      </c>
      <c r="D1730" s="28" t="s">
        <v>3</v>
      </c>
      <c r="E1730" s="28" t="s">
        <v>865</v>
      </c>
      <c r="F1730" s="128">
        <v>3.75</v>
      </c>
      <c r="G1730" t="s">
        <v>710</v>
      </c>
    </row>
    <row r="1731" spans="1:7">
      <c r="A1731" s="129">
        <v>45954</v>
      </c>
      <c r="B1731" s="78">
        <v>45931</v>
      </c>
      <c r="C1731" s="127" t="s">
        <v>1939</v>
      </c>
      <c r="D1731" t="s">
        <v>8</v>
      </c>
      <c r="E1731" t="s">
        <v>815</v>
      </c>
      <c r="F1731" s="128">
        <v>140171.67000000001</v>
      </c>
      <c r="G1731" t="s">
        <v>710</v>
      </c>
    </row>
    <row r="1732" spans="1:7">
      <c r="A1732" s="129">
        <v>45954</v>
      </c>
      <c r="B1732" s="78">
        <v>45931</v>
      </c>
      <c r="C1732" s="127" t="s">
        <v>1940</v>
      </c>
      <c r="D1732" s="28" t="s">
        <v>3</v>
      </c>
      <c r="E1732" s="28" t="s">
        <v>865</v>
      </c>
      <c r="F1732" s="128">
        <v>50</v>
      </c>
      <c r="G1732" t="s">
        <v>710</v>
      </c>
    </row>
    <row r="1733" spans="1:7">
      <c r="A1733" s="129">
        <v>45954</v>
      </c>
      <c r="B1733" s="78">
        <v>45931</v>
      </c>
      <c r="C1733" s="127" t="s">
        <v>1941</v>
      </c>
      <c r="D1733" s="28" t="s">
        <v>3</v>
      </c>
      <c r="E1733" s="28" t="s">
        <v>865</v>
      </c>
      <c r="F1733" s="128">
        <v>3.75</v>
      </c>
      <c r="G1733" t="s">
        <v>710</v>
      </c>
    </row>
    <row r="1734" spans="1:7">
      <c r="A1734" s="129">
        <v>45954</v>
      </c>
      <c r="B1734" s="78">
        <v>45931</v>
      </c>
      <c r="C1734" s="127" t="s">
        <v>1942</v>
      </c>
      <c r="D1734" t="s">
        <v>8</v>
      </c>
      <c r="E1734" t="s">
        <v>815</v>
      </c>
      <c r="F1734" s="128">
        <v>44432.33</v>
      </c>
      <c r="G1734" t="s">
        <v>710</v>
      </c>
    </row>
    <row r="1735" spans="1:7">
      <c r="A1735" s="129">
        <v>45954</v>
      </c>
      <c r="B1735" s="78">
        <v>45931</v>
      </c>
      <c r="C1735" s="127" t="s">
        <v>1943</v>
      </c>
      <c r="D1735" s="28" t="s">
        <v>3</v>
      </c>
      <c r="E1735" s="28" t="s">
        <v>865</v>
      </c>
      <c r="F1735" s="128">
        <v>25</v>
      </c>
      <c r="G1735" t="s">
        <v>710</v>
      </c>
    </row>
    <row r="1736" spans="1:7">
      <c r="A1736" s="129">
        <v>45954</v>
      </c>
      <c r="B1736" s="78">
        <v>45931</v>
      </c>
      <c r="C1736" s="127" t="s">
        <v>1944</v>
      </c>
      <c r="D1736" s="28" t="s">
        <v>3</v>
      </c>
      <c r="E1736" s="28" t="s">
        <v>865</v>
      </c>
      <c r="F1736" s="128">
        <v>1.88</v>
      </c>
      <c r="G1736" t="s">
        <v>710</v>
      </c>
    </row>
    <row r="1737" spans="1:7">
      <c r="A1737" s="129">
        <v>45954</v>
      </c>
      <c r="B1737" s="78">
        <v>45931</v>
      </c>
      <c r="C1737" s="127" t="s">
        <v>1945</v>
      </c>
      <c r="D1737" t="s">
        <v>8</v>
      </c>
      <c r="E1737" t="s">
        <v>815</v>
      </c>
      <c r="F1737" s="128">
        <v>71025</v>
      </c>
      <c r="G1737" t="s">
        <v>710</v>
      </c>
    </row>
    <row r="1738" spans="1:7">
      <c r="A1738" s="129">
        <v>45954</v>
      </c>
      <c r="B1738" s="78">
        <v>45931</v>
      </c>
      <c r="C1738" s="127" t="s">
        <v>1946</v>
      </c>
      <c r="D1738" s="28" t="s">
        <v>3</v>
      </c>
      <c r="E1738" s="28" t="s">
        <v>865</v>
      </c>
      <c r="F1738" s="128">
        <v>50</v>
      </c>
      <c r="G1738" t="s">
        <v>710</v>
      </c>
    </row>
    <row r="1739" spans="1:7">
      <c r="A1739" s="129">
        <v>45954</v>
      </c>
      <c r="B1739" s="78">
        <v>45931</v>
      </c>
      <c r="C1739" s="127" t="s">
        <v>1947</v>
      </c>
      <c r="D1739" s="28" t="s">
        <v>3</v>
      </c>
      <c r="E1739" s="28" t="s">
        <v>865</v>
      </c>
      <c r="F1739" s="128">
        <v>3.75</v>
      </c>
      <c r="G1739" t="s">
        <v>710</v>
      </c>
    </row>
    <row r="1740" spans="1:7">
      <c r="A1740" s="129">
        <v>45954</v>
      </c>
      <c r="B1740" s="78">
        <v>45931</v>
      </c>
      <c r="C1740" s="127" t="s">
        <v>1948</v>
      </c>
      <c r="D1740" t="s">
        <v>8</v>
      </c>
      <c r="E1740" t="s">
        <v>815</v>
      </c>
      <c r="F1740" s="128">
        <v>283172.2</v>
      </c>
      <c r="G1740" t="s">
        <v>710</v>
      </c>
    </row>
    <row r="1741" spans="1:7">
      <c r="A1741" s="129">
        <v>45954</v>
      </c>
      <c r="B1741" s="78">
        <v>45931</v>
      </c>
      <c r="C1741" s="127" t="s">
        <v>1949</v>
      </c>
      <c r="D1741" s="28" t="s">
        <v>3</v>
      </c>
      <c r="E1741" s="28" t="s">
        <v>865</v>
      </c>
      <c r="F1741" s="128">
        <v>50</v>
      </c>
      <c r="G1741" t="s">
        <v>710</v>
      </c>
    </row>
    <row r="1742" spans="1:7">
      <c r="A1742" s="129">
        <v>45954</v>
      </c>
      <c r="B1742" s="78">
        <v>45931</v>
      </c>
      <c r="C1742" s="127" t="s">
        <v>1950</v>
      </c>
      <c r="D1742" s="28" t="s">
        <v>3</v>
      </c>
      <c r="E1742" s="28" t="s">
        <v>865</v>
      </c>
      <c r="F1742" s="128">
        <v>3.75</v>
      </c>
      <c r="G1742" t="s">
        <v>710</v>
      </c>
    </row>
    <row r="1743" spans="1:7">
      <c r="A1743" s="129">
        <v>45954</v>
      </c>
      <c r="B1743" s="78">
        <v>45931</v>
      </c>
      <c r="C1743" s="127" t="s">
        <v>1951</v>
      </c>
      <c r="D1743" t="s">
        <v>8</v>
      </c>
      <c r="E1743" t="s">
        <v>815</v>
      </c>
      <c r="F1743" s="128">
        <v>44432.33</v>
      </c>
      <c r="G1743" t="s">
        <v>710</v>
      </c>
    </row>
    <row r="1744" spans="1:7">
      <c r="A1744" s="129">
        <v>45954</v>
      </c>
      <c r="B1744" s="78">
        <v>45931</v>
      </c>
      <c r="C1744" s="127" t="s">
        <v>1952</v>
      </c>
      <c r="D1744" s="28" t="s">
        <v>3</v>
      </c>
      <c r="E1744" s="28" t="s">
        <v>865</v>
      </c>
      <c r="F1744" s="128">
        <v>25</v>
      </c>
      <c r="G1744" t="s">
        <v>710</v>
      </c>
    </row>
    <row r="1745" spans="1:7">
      <c r="A1745" s="129">
        <v>45954</v>
      </c>
      <c r="B1745" s="78">
        <v>45931</v>
      </c>
      <c r="C1745" s="127" t="s">
        <v>1953</v>
      </c>
      <c r="D1745" s="28" t="s">
        <v>3</v>
      </c>
      <c r="E1745" s="28" t="s">
        <v>865</v>
      </c>
      <c r="F1745" s="128">
        <v>1.88</v>
      </c>
      <c r="G1745" t="s">
        <v>710</v>
      </c>
    </row>
    <row r="1746" spans="1:7">
      <c r="A1746" s="129">
        <v>45954</v>
      </c>
      <c r="B1746" s="78">
        <v>45931</v>
      </c>
      <c r="C1746" s="127" t="s">
        <v>1954</v>
      </c>
      <c r="D1746" t="s">
        <v>8</v>
      </c>
      <c r="E1746" t="s">
        <v>815</v>
      </c>
      <c r="F1746" s="128">
        <v>44432.33</v>
      </c>
      <c r="G1746" t="s">
        <v>710</v>
      </c>
    </row>
    <row r="1747" spans="1:7">
      <c r="A1747" s="129">
        <v>45954</v>
      </c>
      <c r="B1747" s="78">
        <v>45931</v>
      </c>
      <c r="C1747" s="127" t="s">
        <v>1955</v>
      </c>
      <c r="D1747" s="28" t="s">
        <v>3</v>
      </c>
      <c r="E1747" s="28" t="s">
        <v>865</v>
      </c>
      <c r="F1747" s="128">
        <v>25</v>
      </c>
      <c r="G1747" t="s">
        <v>710</v>
      </c>
    </row>
    <row r="1748" spans="1:7">
      <c r="A1748" s="129">
        <v>45954</v>
      </c>
      <c r="B1748" s="78">
        <v>45931</v>
      </c>
      <c r="C1748" s="127" t="s">
        <v>1956</v>
      </c>
      <c r="D1748" s="28" t="s">
        <v>3</v>
      </c>
      <c r="E1748" s="28" t="s">
        <v>865</v>
      </c>
      <c r="F1748" s="128">
        <v>1.88</v>
      </c>
      <c r="G1748" t="s">
        <v>710</v>
      </c>
    </row>
    <row r="1749" spans="1:7">
      <c r="A1749" s="129">
        <v>45954</v>
      </c>
      <c r="B1749" s="78">
        <v>45931</v>
      </c>
      <c r="C1749" s="127" t="s">
        <v>1891</v>
      </c>
      <c r="D1749" t="s">
        <v>8</v>
      </c>
      <c r="E1749" t="s">
        <v>815</v>
      </c>
      <c r="F1749" s="128">
        <v>-140171.67000000001</v>
      </c>
      <c r="G1749" t="s">
        <v>710</v>
      </c>
    </row>
    <row r="1750" spans="1:7">
      <c r="A1750" s="129">
        <v>45954</v>
      </c>
      <c r="B1750" s="78">
        <v>45931</v>
      </c>
      <c r="C1750" s="127" t="s">
        <v>1892</v>
      </c>
      <c r="D1750" s="28" t="s">
        <v>3</v>
      </c>
      <c r="E1750" s="28" t="s">
        <v>865</v>
      </c>
      <c r="F1750" s="128">
        <v>-50</v>
      </c>
      <c r="G1750" t="s">
        <v>710</v>
      </c>
    </row>
    <row r="1751" spans="1:7">
      <c r="A1751" s="129">
        <v>45954</v>
      </c>
      <c r="B1751" s="78">
        <v>45931</v>
      </c>
      <c r="C1751" s="127" t="s">
        <v>1893</v>
      </c>
      <c r="D1751" s="28" t="s">
        <v>3</v>
      </c>
      <c r="E1751" s="28" t="s">
        <v>865</v>
      </c>
      <c r="F1751" s="128">
        <v>-3.75</v>
      </c>
      <c r="G1751" t="s">
        <v>710</v>
      </c>
    </row>
    <row r="1752" spans="1:7">
      <c r="A1752" s="129">
        <v>45954</v>
      </c>
      <c r="B1752" s="78">
        <v>45931</v>
      </c>
      <c r="C1752" s="127" t="s">
        <v>1957</v>
      </c>
      <c r="D1752" t="s">
        <v>8</v>
      </c>
      <c r="E1752" t="s">
        <v>815</v>
      </c>
      <c r="F1752" s="128">
        <v>-27500</v>
      </c>
      <c r="G1752" t="s">
        <v>710</v>
      </c>
    </row>
    <row r="1753" spans="1:7">
      <c r="A1753" s="129">
        <v>45954</v>
      </c>
      <c r="B1753" s="78">
        <v>45931</v>
      </c>
      <c r="C1753" s="127" t="s">
        <v>1817</v>
      </c>
      <c r="D1753" s="28" t="s">
        <v>3</v>
      </c>
      <c r="E1753" s="28" t="s">
        <v>865</v>
      </c>
      <c r="F1753" s="128">
        <v>-25</v>
      </c>
      <c r="G1753" t="s">
        <v>710</v>
      </c>
    </row>
    <row r="1754" spans="1:7">
      <c r="A1754" s="129">
        <v>45954</v>
      </c>
      <c r="B1754" s="78">
        <v>45931</v>
      </c>
      <c r="C1754" s="127" t="s">
        <v>1818</v>
      </c>
      <c r="D1754" s="28" t="s">
        <v>3</v>
      </c>
      <c r="E1754" s="28" t="s">
        <v>865</v>
      </c>
      <c r="F1754" s="128">
        <v>-1.88</v>
      </c>
      <c r="G1754" t="s">
        <v>710</v>
      </c>
    </row>
    <row r="1755" spans="1:7">
      <c r="A1755" s="129">
        <v>45957</v>
      </c>
      <c r="B1755" s="78">
        <v>45931</v>
      </c>
      <c r="C1755" s="127" t="s">
        <v>1958</v>
      </c>
      <c r="D1755" t="s">
        <v>8</v>
      </c>
      <c r="E1755" t="s">
        <v>815</v>
      </c>
      <c r="F1755" s="128">
        <v>20000</v>
      </c>
      <c r="G1755" t="s">
        <v>710</v>
      </c>
    </row>
    <row r="1756" spans="1:7">
      <c r="A1756" s="129">
        <v>45957</v>
      </c>
      <c r="B1756" s="78">
        <v>45931</v>
      </c>
      <c r="C1756" s="127" t="s">
        <v>1959</v>
      </c>
      <c r="D1756" s="28" t="s">
        <v>3</v>
      </c>
      <c r="E1756" s="28" t="s">
        <v>865</v>
      </c>
      <c r="F1756" s="128">
        <v>25</v>
      </c>
      <c r="G1756" t="s">
        <v>710</v>
      </c>
    </row>
    <row r="1757" spans="1:7">
      <c r="A1757" s="129">
        <v>45957</v>
      </c>
      <c r="B1757" s="78">
        <v>45931</v>
      </c>
      <c r="C1757" s="127" t="s">
        <v>1960</v>
      </c>
      <c r="D1757" s="28" t="s">
        <v>3</v>
      </c>
      <c r="E1757" s="28" t="s">
        <v>865</v>
      </c>
      <c r="F1757" s="128">
        <v>1.88</v>
      </c>
      <c r="G1757" t="s">
        <v>710</v>
      </c>
    </row>
    <row r="1758" spans="1:7">
      <c r="A1758" s="129">
        <v>45957</v>
      </c>
      <c r="B1758" s="78">
        <v>45931</v>
      </c>
      <c r="C1758" s="127" t="s">
        <v>1961</v>
      </c>
      <c r="D1758" t="s">
        <v>8</v>
      </c>
      <c r="E1758" t="s">
        <v>815</v>
      </c>
      <c r="F1758" s="128">
        <v>27500</v>
      </c>
      <c r="G1758" t="s">
        <v>710</v>
      </c>
    </row>
    <row r="1759" spans="1:7">
      <c r="A1759" s="129">
        <v>45957</v>
      </c>
      <c r="B1759" s="78">
        <v>45931</v>
      </c>
      <c r="C1759" s="127" t="s">
        <v>1962</v>
      </c>
      <c r="D1759" s="28" t="s">
        <v>3</v>
      </c>
      <c r="E1759" s="28" t="s">
        <v>865</v>
      </c>
      <c r="F1759" s="128">
        <v>25</v>
      </c>
      <c r="G1759" t="s">
        <v>710</v>
      </c>
    </row>
    <row r="1760" spans="1:7">
      <c r="A1760" s="129">
        <v>45957</v>
      </c>
      <c r="B1760" s="78">
        <v>45931</v>
      </c>
      <c r="C1760" s="127" t="s">
        <v>1963</v>
      </c>
      <c r="D1760" s="28" t="s">
        <v>3</v>
      </c>
      <c r="E1760" s="28" t="s">
        <v>865</v>
      </c>
      <c r="F1760" s="128">
        <v>1.88</v>
      </c>
      <c r="G1760" t="s">
        <v>710</v>
      </c>
    </row>
    <row r="1761" spans="1:7">
      <c r="A1761" s="129">
        <v>45957</v>
      </c>
      <c r="B1761" s="78">
        <v>45931</v>
      </c>
      <c r="C1761" s="127" t="s">
        <v>1964</v>
      </c>
      <c r="D1761" t="s">
        <v>8</v>
      </c>
      <c r="E1761" t="s">
        <v>815</v>
      </c>
      <c r="F1761" s="128">
        <v>140171.67000000001</v>
      </c>
      <c r="G1761" t="s">
        <v>710</v>
      </c>
    </row>
    <row r="1762" spans="1:7">
      <c r="A1762" s="129">
        <v>45957</v>
      </c>
      <c r="B1762" s="78">
        <v>45931</v>
      </c>
      <c r="C1762" s="127" t="s">
        <v>1965</v>
      </c>
      <c r="D1762" s="28" t="s">
        <v>3</v>
      </c>
      <c r="E1762" s="28" t="s">
        <v>865</v>
      </c>
      <c r="F1762" s="128">
        <v>50</v>
      </c>
      <c r="G1762" t="s">
        <v>710</v>
      </c>
    </row>
    <row r="1763" spans="1:7">
      <c r="A1763" s="129">
        <v>45957</v>
      </c>
      <c r="B1763" s="78">
        <v>45931</v>
      </c>
      <c r="C1763" s="127" t="s">
        <v>1966</v>
      </c>
      <c r="D1763" s="28" t="s">
        <v>3</v>
      </c>
      <c r="E1763" s="28" t="s">
        <v>865</v>
      </c>
      <c r="F1763" s="128">
        <v>3.75</v>
      </c>
      <c r="G1763" t="s">
        <v>710</v>
      </c>
    </row>
    <row r="1764" spans="1:7">
      <c r="A1764" s="129">
        <v>45957</v>
      </c>
      <c r="B1764" s="78">
        <v>45931</v>
      </c>
      <c r="C1764" s="127" t="s">
        <v>1967</v>
      </c>
      <c r="D1764" t="s">
        <v>8</v>
      </c>
      <c r="E1764" t="s">
        <v>815</v>
      </c>
      <c r="F1764" s="128">
        <v>44432.33</v>
      </c>
      <c r="G1764" t="s">
        <v>710</v>
      </c>
    </row>
    <row r="1765" spans="1:7">
      <c r="A1765" s="129">
        <v>45957</v>
      </c>
      <c r="B1765" s="78">
        <v>45931</v>
      </c>
      <c r="C1765" s="127" t="s">
        <v>1968</v>
      </c>
      <c r="D1765" s="28" t="s">
        <v>3</v>
      </c>
      <c r="E1765" s="28" t="s">
        <v>865</v>
      </c>
      <c r="F1765" s="128">
        <v>25</v>
      </c>
      <c r="G1765" t="s">
        <v>710</v>
      </c>
    </row>
    <row r="1766" spans="1:7">
      <c r="A1766" s="129">
        <v>45957</v>
      </c>
      <c r="B1766" s="78">
        <v>45931</v>
      </c>
      <c r="C1766" s="127" t="s">
        <v>1969</v>
      </c>
      <c r="D1766" s="28" t="s">
        <v>3</v>
      </c>
      <c r="E1766" s="28" t="s">
        <v>865</v>
      </c>
      <c r="F1766" s="128">
        <v>1.88</v>
      </c>
      <c r="G1766" t="s">
        <v>710</v>
      </c>
    </row>
    <row r="1767" spans="1:7">
      <c r="A1767" s="129">
        <v>45958</v>
      </c>
      <c r="B1767" s="78">
        <v>45931</v>
      </c>
      <c r="C1767" s="127" t="s">
        <v>1970</v>
      </c>
      <c r="D1767" t="s">
        <v>6</v>
      </c>
      <c r="E1767" t="s">
        <v>840</v>
      </c>
      <c r="F1767" s="128">
        <v>1300000</v>
      </c>
      <c r="G1767" t="s">
        <v>710</v>
      </c>
    </row>
    <row r="1768" spans="1:7">
      <c r="A1768" s="129">
        <v>45958</v>
      </c>
      <c r="B1768" s="78">
        <v>45931</v>
      </c>
      <c r="C1768" s="127" t="s">
        <v>1971</v>
      </c>
      <c r="D1768" t="s">
        <v>3</v>
      </c>
      <c r="E1768" t="s">
        <v>865</v>
      </c>
      <c r="F1768" s="128">
        <v>50</v>
      </c>
      <c r="G1768" t="s">
        <v>710</v>
      </c>
    </row>
    <row r="1769" spans="1:7">
      <c r="A1769" s="129">
        <v>45958</v>
      </c>
      <c r="B1769" s="78">
        <v>45931</v>
      </c>
      <c r="C1769" s="127" t="s">
        <v>1972</v>
      </c>
      <c r="D1769" t="s">
        <v>3</v>
      </c>
      <c r="E1769" t="s">
        <v>865</v>
      </c>
      <c r="F1769" s="128">
        <v>3.75</v>
      </c>
      <c r="G1769" t="s">
        <v>710</v>
      </c>
    </row>
    <row r="1770" spans="1:7">
      <c r="A1770" s="129">
        <v>45958</v>
      </c>
      <c r="B1770" s="78">
        <v>45931</v>
      </c>
      <c r="C1770" s="127" t="s">
        <v>1973</v>
      </c>
      <c r="D1770" s="26" t="s">
        <v>6</v>
      </c>
      <c r="E1770" t="s">
        <v>840</v>
      </c>
      <c r="F1770" s="128">
        <v>130000</v>
      </c>
      <c r="G1770" t="s">
        <v>710</v>
      </c>
    </row>
    <row r="1771" spans="1:7">
      <c r="A1771" s="129">
        <v>45958</v>
      </c>
      <c r="B1771" s="78">
        <v>45931</v>
      </c>
      <c r="C1771" s="127" t="s">
        <v>1974</v>
      </c>
      <c r="D1771" s="26" t="s">
        <v>3</v>
      </c>
      <c r="E1771" s="26" t="s">
        <v>865</v>
      </c>
      <c r="F1771" s="128">
        <v>50</v>
      </c>
      <c r="G1771" t="s">
        <v>710</v>
      </c>
    </row>
    <row r="1772" spans="1:7">
      <c r="A1772" s="129">
        <v>45958</v>
      </c>
      <c r="B1772" s="78">
        <v>45931</v>
      </c>
      <c r="C1772" s="127" t="s">
        <v>1975</v>
      </c>
      <c r="D1772" s="26" t="s">
        <v>3</v>
      </c>
      <c r="E1772" s="26" t="s">
        <v>865</v>
      </c>
      <c r="F1772" s="128">
        <v>3.75</v>
      </c>
      <c r="G1772" t="s">
        <v>710</v>
      </c>
    </row>
    <row r="1773" spans="1:7">
      <c r="A1773" s="129">
        <v>45958</v>
      </c>
      <c r="B1773" s="78">
        <v>45931</v>
      </c>
      <c r="C1773" s="127" t="s">
        <v>1976</v>
      </c>
      <c r="D1773" t="s">
        <v>13</v>
      </c>
      <c r="E1773" t="s">
        <v>800</v>
      </c>
      <c r="F1773" s="128">
        <v>150000</v>
      </c>
      <c r="G1773" t="s">
        <v>710</v>
      </c>
    </row>
    <row r="1774" spans="1:7">
      <c r="A1774" s="129">
        <v>45958</v>
      </c>
      <c r="B1774" s="78">
        <v>45931</v>
      </c>
      <c r="C1774" s="127" t="s">
        <v>1976</v>
      </c>
      <c r="D1774" t="s">
        <v>3</v>
      </c>
      <c r="E1774" t="s">
        <v>865</v>
      </c>
      <c r="F1774" s="128">
        <v>50</v>
      </c>
      <c r="G1774" t="s">
        <v>710</v>
      </c>
    </row>
    <row r="1775" spans="1:7">
      <c r="A1775" s="129">
        <v>45958</v>
      </c>
      <c r="B1775" s="78">
        <v>45931</v>
      </c>
      <c r="C1775" s="127" t="s">
        <v>1976</v>
      </c>
      <c r="D1775" t="s">
        <v>3</v>
      </c>
      <c r="E1775" t="s">
        <v>865</v>
      </c>
      <c r="F1775" s="128">
        <v>3.75</v>
      </c>
      <c r="G1775" t="s">
        <v>710</v>
      </c>
    </row>
    <row r="1776" spans="1:7">
      <c r="A1776" s="129">
        <v>45961</v>
      </c>
      <c r="B1776" s="78">
        <v>45931</v>
      </c>
      <c r="C1776" s="127" t="s">
        <v>1977</v>
      </c>
      <c r="D1776" s="28" t="s">
        <v>15</v>
      </c>
      <c r="E1776" t="s">
        <v>1353</v>
      </c>
      <c r="F1776" s="128">
        <v>97700</v>
      </c>
      <c r="G1776" t="s">
        <v>710</v>
      </c>
    </row>
    <row r="1777" spans="1:7">
      <c r="A1777" s="129">
        <v>45961</v>
      </c>
      <c r="B1777" s="78">
        <v>45931</v>
      </c>
      <c r="C1777" s="127" t="s">
        <v>1977</v>
      </c>
      <c r="D1777" t="s">
        <v>3</v>
      </c>
      <c r="E1777" t="s">
        <v>865</v>
      </c>
      <c r="F1777" s="128">
        <v>50</v>
      </c>
      <c r="G1777" t="s">
        <v>710</v>
      </c>
    </row>
    <row r="1778" spans="1:7">
      <c r="A1778" s="129">
        <v>45961</v>
      </c>
      <c r="B1778" s="78">
        <v>45931</v>
      </c>
      <c r="C1778" s="127" t="s">
        <v>1977</v>
      </c>
      <c r="D1778" t="s">
        <v>3</v>
      </c>
      <c r="E1778" t="s">
        <v>865</v>
      </c>
      <c r="F1778" s="128">
        <v>3.75</v>
      </c>
      <c r="G1778" t="s">
        <v>710</v>
      </c>
    </row>
    <row r="1779" spans="1:7">
      <c r="A1779" s="129">
        <v>45961</v>
      </c>
      <c r="B1779" s="78">
        <v>45931</v>
      </c>
      <c r="C1779" s="127" t="s">
        <v>1978</v>
      </c>
      <c r="D1779" s="28" t="s">
        <v>15</v>
      </c>
      <c r="E1779" t="s">
        <v>1353</v>
      </c>
      <c r="F1779" s="128">
        <v>85000</v>
      </c>
      <c r="G1779" t="s">
        <v>710</v>
      </c>
    </row>
    <row r="1780" spans="1:7">
      <c r="A1780" s="129">
        <v>45961</v>
      </c>
      <c r="B1780" s="78">
        <v>45931</v>
      </c>
      <c r="C1780" s="127" t="s">
        <v>1978</v>
      </c>
      <c r="D1780" t="s">
        <v>3</v>
      </c>
      <c r="E1780" t="s">
        <v>865</v>
      </c>
      <c r="F1780" s="128">
        <v>50</v>
      </c>
      <c r="G1780" t="s">
        <v>710</v>
      </c>
    </row>
    <row r="1781" spans="1:7">
      <c r="A1781" s="129">
        <v>45961</v>
      </c>
      <c r="B1781" s="78">
        <v>45931</v>
      </c>
      <c r="C1781" s="127" t="s">
        <v>1978</v>
      </c>
      <c r="D1781" t="s">
        <v>3</v>
      </c>
      <c r="E1781" t="s">
        <v>865</v>
      </c>
      <c r="F1781" s="128">
        <v>3.75</v>
      </c>
      <c r="G1781" t="s">
        <v>710</v>
      </c>
    </row>
    <row r="1782" spans="1:7">
      <c r="A1782" s="129">
        <v>45961</v>
      </c>
      <c r="B1782" s="78">
        <v>45931</v>
      </c>
      <c r="C1782" s="127" t="s">
        <v>1979</v>
      </c>
      <c r="D1782" t="s">
        <v>3</v>
      </c>
      <c r="E1782" t="s">
        <v>865</v>
      </c>
      <c r="F1782" s="128">
        <v>1306.83</v>
      </c>
      <c r="G1782" t="s">
        <v>710</v>
      </c>
    </row>
    <row r="1783" spans="1:7">
      <c r="A1783" s="129">
        <v>45961</v>
      </c>
      <c r="B1783" s="78">
        <v>45931</v>
      </c>
      <c r="C1783" s="127" t="s">
        <v>1980</v>
      </c>
      <c r="D1783" t="s">
        <v>3</v>
      </c>
      <c r="E1783" t="s">
        <v>865</v>
      </c>
      <c r="F1783" s="128">
        <v>17423.53</v>
      </c>
      <c r="G1783" t="s">
        <v>710</v>
      </c>
    </row>
    <row r="1784" spans="1:7">
      <c r="A1784" s="8">
        <v>45961</v>
      </c>
      <c r="B1784" s="126">
        <v>45931</v>
      </c>
      <c r="C1784" s="10" t="s">
        <v>1779</v>
      </c>
      <c r="D1784" s="10" t="s">
        <v>714</v>
      </c>
      <c r="E1784" s="86" t="s">
        <v>950</v>
      </c>
      <c r="F1784" s="11">
        <f>-SUM(F1531:F1783)</f>
        <v>-17068150.66</v>
      </c>
      <c r="G1784" s="86" t="s">
        <v>710</v>
      </c>
    </row>
    <row r="1785" spans="1:7">
      <c r="A1785" s="1">
        <v>45962</v>
      </c>
      <c r="B1785" s="78">
        <v>45962</v>
      </c>
      <c r="C1785" t="s">
        <v>1981</v>
      </c>
      <c r="D1785" t="s">
        <v>15</v>
      </c>
      <c r="E1785" t="s">
        <v>1354</v>
      </c>
      <c r="F1785" s="130">
        <v>-36000</v>
      </c>
      <c r="G1785" t="s">
        <v>998</v>
      </c>
    </row>
    <row r="1786" spans="1:7">
      <c r="A1786" s="1">
        <v>45963</v>
      </c>
      <c r="B1786" s="78">
        <v>45962</v>
      </c>
      <c r="C1786" t="s">
        <v>733</v>
      </c>
      <c r="D1786" t="s">
        <v>3</v>
      </c>
      <c r="E1786" t="s">
        <v>865</v>
      </c>
      <c r="F1786" s="2">
        <v>150</v>
      </c>
      <c r="G1786" t="s">
        <v>998</v>
      </c>
    </row>
    <row r="1787" spans="1:7">
      <c r="A1787" s="1">
        <v>45964</v>
      </c>
      <c r="B1787" s="78">
        <v>45962</v>
      </c>
      <c r="C1787" t="s">
        <v>1982</v>
      </c>
      <c r="D1787" s="28" t="s">
        <v>15</v>
      </c>
      <c r="E1787" t="s">
        <v>1354</v>
      </c>
      <c r="F1787" s="2">
        <v>-359500</v>
      </c>
      <c r="G1787" t="s">
        <v>998</v>
      </c>
    </row>
    <row r="1788" spans="1:7">
      <c r="A1788" s="1">
        <v>45964</v>
      </c>
      <c r="B1788" s="78">
        <v>45962</v>
      </c>
      <c r="C1788" t="s">
        <v>1983</v>
      </c>
      <c r="D1788" s="28" t="s">
        <v>15</v>
      </c>
      <c r="E1788" t="s">
        <v>1354</v>
      </c>
      <c r="F1788" s="2">
        <v>-231000</v>
      </c>
      <c r="G1788" t="s">
        <v>998</v>
      </c>
    </row>
    <row r="1789" spans="1:7">
      <c r="A1789" s="1">
        <v>45964</v>
      </c>
      <c r="B1789" s="78">
        <v>45962</v>
      </c>
      <c r="C1789" t="s">
        <v>1984</v>
      </c>
      <c r="D1789" t="s">
        <v>8</v>
      </c>
      <c r="E1789" t="s">
        <v>815</v>
      </c>
      <c r="F1789" s="2">
        <v>25000</v>
      </c>
      <c r="G1789" t="s">
        <v>998</v>
      </c>
    </row>
    <row r="1790" spans="1:7">
      <c r="A1790" s="1">
        <v>45964</v>
      </c>
      <c r="B1790" s="78">
        <v>45962</v>
      </c>
      <c r="C1790" t="s">
        <v>727</v>
      </c>
      <c r="D1790" t="s">
        <v>3</v>
      </c>
      <c r="E1790" t="s">
        <v>865</v>
      </c>
      <c r="F1790" s="2">
        <v>26.88</v>
      </c>
      <c r="G1790" t="s">
        <v>998</v>
      </c>
    </row>
    <row r="1791" spans="1:7">
      <c r="A1791" s="1">
        <v>45964</v>
      </c>
      <c r="B1791" s="78">
        <v>45962</v>
      </c>
      <c r="C1791" t="s">
        <v>1985</v>
      </c>
      <c r="D1791" t="s">
        <v>8</v>
      </c>
      <c r="E1791" t="s">
        <v>815</v>
      </c>
      <c r="F1791" s="2">
        <v>40000</v>
      </c>
      <c r="G1791" t="s">
        <v>998</v>
      </c>
    </row>
    <row r="1792" spans="1:7">
      <c r="A1792" s="1">
        <v>45964</v>
      </c>
      <c r="B1792" s="78">
        <v>45962</v>
      </c>
      <c r="C1792" t="s">
        <v>727</v>
      </c>
      <c r="D1792" t="s">
        <v>3</v>
      </c>
      <c r="E1792" t="s">
        <v>865</v>
      </c>
      <c r="F1792" s="2">
        <v>26.88</v>
      </c>
      <c r="G1792" t="s">
        <v>998</v>
      </c>
    </row>
    <row r="1793" spans="1:7">
      <c r="A1793" s="1">
        <v>45964</v>
      </c>
      <c r="B1793" s="78">
        <v>45962</v>
      </c>
      <c r="C1793" t="s">
        <v>1986</v>
      </c>
      <c r="D1793" t="s">
        <v>8</v>
      </c>
      <c r="E1793" t="s">
        <v>815</v>
      </c>
      <c r="F1793" s="2">
        <v>40000</v>
      </c>
      <c r="G1793" t="s">
        <v>998</v>
      </c>
    </row>
    <row r="1794" spans="1:7">
      <c r="A1794" s="1">
        <v>45964</v>
      </c>
      <c r="B1794" s="78">
        <v>45962</v>
      </c>
      <c r="C1794" t="s">
        <v>727</v>
      </c>
      <c r="D1794" t="s">
        <v>3</v>
      </c>
      <c r="E1794" t="s">
        <v>865</v>
      </c>
      <c r="F1794" s="2">
        <v>26.88</v>
      </c>
      <c r="G1794" t="s">
        <v>998</v>
      </c>
    </row>
    <row r="1795" spans="1:7">
      <c r="A1795" s="1">
        <v>45964</v>
      </c>
      <c r="B1795" s="78">
        <v>45962</v>
      </c>
      <c r="C1795" t="s">
        <v>1987</v>
      </c>
      <c r="D1795" t="s">
        <v>8</v>
      </c>
      <c r="E1795" t="s">
        <v>815</v>
      </c>
      <c r="F1795" s="2">
        <v>40000</v>
      </c>
      <c r="G1795" t="s">
        <v>998</v>
      </c>
    </row>
    <row r="1796" spans="1:7">
      <c r="A1796" s="1">
        <v>45964</v>
      </c>
      <c r="B1796" s="78">
        <v>45962</v>
      </c>
      <c r="C1796" t="s">
        <v>727</v>
      </c>
      <c r="D1796" t="s">
        <v>3</v>
      </c>
      <c r="E1796" t="s">
        <v>865</v>
      </c>
      <c r="F1796" s="2">
        <v>26.88</v>
      </c>
      <c r="G1796" t="s">
        <v>998</v>
      </c>
    </row>
    <row r="1797" spans="1:7">
      <c r="A1797" s="1">
        <v>45964</v>
      </c>
      <c r="B1797" s="78">
        <v>45962</v>
      </c>
      <c r="C1797" t="s">
        <v>1988</v>
      </c>
      <c r="D1797" t="s">
        <v>8</v>
      </c>
      <c r="E1797" t="s">
        <v>815</v>
      </c>
      <c r="F1797" s="2">
        <v>40000</v>
      </c>
      <c r="G1797" t="s">
        <v>998</v>
      </c>
    </row>
    <row r="1798" spans="1:7">
      <c r="A1798" s="1">
        <v>45964</v>
      </c>
      <c r="B1798" s="78">
        <v>45962</v>
      </c>
      <c r="C1798" t="s">
        <v>727</v>
      </c>
      <c r="D1798" t="s">
        <v>3</v>
      </c>
      <c r="E1798" t="s">
        <v>865</v>
      </c>
      <c r="F1798" s="2">
        <v>26.88</v>
      </c>
      <c r="G1798" t="s">
        <v>998</v>
      </c>
    </row>
    <row r="1799" spans="1:7">
      <c r="A1799" s="1">
        <v>45964</v>
      </c>
      <c r="B1799" s="78">
        <v>45962</v>
      </c>
      <c r="C1799" t="s">
        <v>1989</v>
      </c>
      <c r="D1799" t="s">
        <v>8</v>
      </c>
      <c r="E1799" t="s">
        <v>815</v>
      </c>
      <c r="F1799" s="2">
        <v>40000</v>
      </c>
      <c r="G1799" t="s">
        <v>998</v>
      </c>
    </row>
    <row r="1800" spans="1:7">
      <c r="A1800" s="1">
        <v>45964</v>
      </c>
      <c r="B1800" s="78">
        <v>45962</v>
      </c>
      <c r="C1800" t="s">
        <v>727</v>
      </c>
      <c r="D1800" t="s">
        <v>3</v>
      </c>
      <c r="E1800" t="s">
        <v>865</v>
      </c>
      <c r="F1800" s="2">
        <v>26.88</v>
      </c>
      <c r="G1800" t="s">
        <v>998</v>
      </c>
    </row>
    <row r="1801" spans="1:7">
      <c r="A1801" s="1">
        <v>45964</v>
      </c>
      <c r="B1801" s="78">
        <v>45962</v>
      </c>
      <c r="C1801" t="s">
        <v>1990</v>
      </c>
      <c r="D1801" t="s">
        <v>8</v>
      </c>
      <c r="E1801" t="s">
        <v>815</v>
      </c>
      <c r="F1801" s="2">
        <v>20000</v>
      </c>
      <c r="G1801" t="s">
        <v>998</v>
      </c>
    </row>
    <row r="1802" spans="1:7">
      <c r="A1802" s="1">
        <v>45964</v>
      </c>
      <c r="B1802" s="78">
        <v>45962</v>
      </c>
      <c r="C1802" t="s">
        <v>727</v>
      </c>
      <c r="D1802" t="s">
        <v>3</v>
      </c>
      <c r="E1802" t="s">
        <v>865</v>
      </c>
      <c r="F1802" s="2">
        <v>26.88</v>
      </c>
      <c r="G1802" t="s">
        <v>998</v>
      </c>
    </row>
    <row r="1803" spans="1:7">
      <c r="A1803" s="1">
        <v>45964</v>
      </c>
      <c r="B1803" s="78">
        <v>45962</v>
      </c>
      <c r="C1803" t="s">
        <v>1991</v>
      </c>
      <c r="D1803" t="s">
        <v>8</v>
      </c>
      <c r="E1803" t="s">
        <v>815</v>
      </c>
      <c r="F1803" s="2">
        <v>30000</v>
      </c>
      <c r="G1803" t="s">
        <v>998</v>
      </c>
    </row>
    <row r="1804" spans="1:7">
      <c r="A1804" s="1">
        <v>45964</v>
      </c>
      <c r="B1804" s="78">
        <v>45962</v>
      </c>
      <c r="C1804" t="s">
        <v>727</v>
      </c>
      <c r="D1804" t="s">
        <v>3</v>
      </c>
      <c r="E1804" t="s">
        <v>865</v>
      </c>
      <c r="F1804" s="2">
        <v>26.88</v>
      </c>
      <c r="G1804" t="s">
        <v>998</v>
      </c>
    </row>
    <row r="1805" spans="1:7">
      <c r="A1805" s="1">
        <v>45964</v>
      </c>
      <c r="B1805" s="78">
        <v>45962</v>
      </c>
      <c r="C1805" t="s">
        <v>1992</v>
      </c>
      <c r="D1805" t="s">
        <v>8</v>
      </c>
      <c r="E1805" t="s">
        <v>815</v>
      </c>
      <c r="F1805" s="2">
        <v>40000</v>
      </c>
      <c r="G1805" t="s">
        <v>998</v>
      </c>
    </row>
    <row r="1806" spans="1:7">
      <c r="A1806" s="1">
        <v>45964</v>
      </c>
      <c r="B1806" s="78">
        <v>45962</v>
      </c>
      <c r="C1806" t="s">
        <v>727</v>
      </c>
      <c r="D1806" t="s">
        <v>3</v>
      </c>
      <c r="E1806" t="s">
        <v>865</v>
      </c>
      <c r="F1806" s="2">
        <v>26.88</v>
      </c>
      <c r="G1806" t="s">
        <v>998</v>
      </c>
    </row>
    <row r="1807" spans="1:7">
      <c r="A1807" s="1">
        <v>45964</v>
      </c>
      <c r="B1807" s="78">
        <v>45962</v>
      </c>
      <c r="C1807" t="s">
        <v>1993</v>
      </c>
      <c r="D1807" t="s">
        <v>8</v>
      </c>
      <c r="E1807" t="s">
        <v>815</v>
      </c>
      <c r="F1807" s="2">
        <v>30000</v>
      </c>
      <c r="G1807" t="s">
        <v>998</v>
      </c>
    </row>
    <row r="1808" spans="1:7">
      <c r="A1808" s="1">
        <v>45964</v>
      </c>
      <c r="B1808" s="78">
        <v>45962</v>
      </c>
      <c r="C1808" t="s">
        <v>727</v>
      </c>
      <c r="D1808" t="s">
        <v>3</v>
      </c>
      <c r="E1808" t="s">
        <v>865</v>
      </c>
      <c r="F1808" s="2">
        <v>26.88</v>
      </c>
      <c r="G1808" t="s">
        <v>998</v>
      </c>
    </row>
    <row r="1809" spans="1:7">
      <c r="A1809" s="1">
        <v>45964</v>
      </c>
      <c r="B1809" s="78">
        <v>45962</v>
      </c>
      <c r="C1809" t="s">
        <v>1994</v>
      </c>
      <c r="D1809" t="s">
        <v>8</v>
      </c>
      <c r="E1809" t="s">
        <v>815</v>
      </c>
      <c r="F1809" s="2">
        <v>10000</v>
      </c>
      <c r="G1809" t="s">
        <v>998</v>
      </c>
    </row>
    <row r="1810" spans="1:7">
      <c r="A1810" s="1">
        <v>45964</v>
      </c>
      <c r="B1810" s="78">
        <v>45962</v>
      </c>
      <c r="C1810" t="s">
        <v>727</v>
      </c>
      <c r="D1810" t="s">
        <v>3</v>
      </c>
      <c r="E1810" t="s">
        <v>865</v>
      </c>
      <c r="F1810" s="2">
        <v>26.88</v>
      </c>
      <c r="G1810" t="s">
        <v>998</v>
      </c>
    </row>
    <row r="1811" spans="1:7">
      <c r="A1811" s="1">
        <v>45964</v>
      </c>
      <c r="B1811" s="78">
        <v>45962</v>
      </c>
      <c r="C1811" t="s">
        <v>1995</v>
      </c>
      <c r="D1811" t="s">
        <v>8</v>
      </c>
      <c r="E1811" t="s">
        <v>815</v>
      </c>
      <c r="F1811" s="2">
        <v>30000</v>
      </c>
      <c r="G1811" t="s">
        <v>998</v>
      </c>
    </row>
    <row r="1812" spans="1:7">
      <c r="A1812" s="1">
        <v>45964</v>
      </c>
      <c r="B1812" s="78">
        <v>45962</v>
      </c>
      <c r="C1812" t="s">
        <v>727</v>
      </c>
      <c r="D1812" t="s">
        <v>3</v>
      </c>
      <c r="E1812" t="s">
        <v>865</v>
      </c>
      <c r="F1812" s="2">
        <v>26.88</v>
      </c>
      <c r="G1812" t="s">
        <v>998</v>
      </c>
    </row>
    <row r="1813" spans="1:7">
      <c r="A1813" s="1">
        <v>45964</v>
      </c>
      <c r="B1813" s="78">
        <v>45962</v>
      </c>
      <c r="C1813" t="s">
        <v>1996</v>
      </c>
      <c r="D1813" t="s">
        <v>8</v>
      </c>
      <c r="E1813" t="s">
        <v>815</v>
      </c>
      <c r="F1813" s="2">
        <v>20000</v>
      </c>
      <c r="G1813" t="s">
        <v>998</v>
      </c>
    </row>
    <row r="1814" spans="1:7">
      <c r="A1814" s="1">
        <v>45964</v>
      </c>
      <c r="B1814" s="78">
        <v>45962</v>
      </c>
      <c r="C1814" t="s">
        <v>727</v>
      </c>
      <c r="D1814" t="s">
        <v>3</v>
      </c>
      <c r="E1814" t="s">
        <v>865</v>
      </c>
      <c r="F1814" s="2">
        <v>26.88</v>
      </c>
      <c r="G1814" t="s">
        <v>998</v>
      </c>
    </row>
    <row r="1815" spans="1:7">
      <c r="A1815" s="1">
        <v>45964</v>
      </c>
      <c r="B1815" s="78">
        <v>45962</v>
      </c>
      <c r="C1815" t="s">
        <v>1997</v>
      </c>
      <c r="D1815" t="s">
        <v>8</v>
      </c>
      <c r="E1815" t="s">
        <v>815</v>
      </c>
      <c r="F1815" s="2">
        <v>10000</v>
      </c>
      <c r="G1815" t="s">
        <v>998</v>
      </c>
    </row>
    <row r="1816" spans="1:7">
      <c r="A1816" s="1">
        <v>45964</v>
      </c>
      <c r="B1816" s="78">
        <v>45962</v>
      </c>
      <c r="C1816" t="s">
        <v>727</v>
      </c>
      <c r="D1816" t="s">
        <v>3</v>
      </c>
      <c r="E1816" t="s">
        <v>865</v>
      </c>
      <c r="F1816" s="2">
        <v>26.88</v>
      </c>
      <c r="G1816" t="s">
        <v>998</v>
      </c>
    </row>
    <row r="1817" spans="1:7">
      <c r="A1817" s="1">
        <v>45964</v>
      </c>
      <c r="B1817" s="78">
        <v>45962</v>
      </c>
      <c r="C1817" t="s">
        <v>1998</v>
      </c>
      <c r="D1817" t="s">
        <v>8</v>
      </c>
      <c r="E1817" t="s">
        <v>815</v>
      </c>
      <c r="F1817" s="2">
        <v>10000</v>
      </c>
      <c r="G1817" t="s">
        <v>998</v>
      </c>
    </row>
    <row r="1818" spans="1:7">
      <c r="A1818" s="1">
        <v>45964</v>
      </c>
      <c r="B1818" s="78">
        <v>45962</v>
      </c>
      <c r="C1818" t="s">
        <v>727</v>
      </c>
      <c r="D1818" t="s">
        <v>3</v>
      </c>
      <c r="E1818" t="s">
        <v>865</v>
      </c>
      <c r="F1818" s="2">
        <v>26.88</v>
      </c>
      <c r="G1818" t="s">
        <v>998</v>
      </c>
    </row>
    <row r="1819" spans="1:7">
      <c r="A1819" s="1">
        <v>45964</v>
      </c>
      <c r="B1819" s="78">
        <v>45962</v>
      </c>
      <c r="C1819" t="s">
        <v>1999</v>
      </c>
      <c r="D1819" t="s">
        <v>8</v>
      </c>
      <c r="E1819" t="s">
        <v>815</v>
      </c>
      <c r="F1819" s="2">
        <v>20000</v>
      </c>
      <c r="G1819" t="s">
        <v>998</v>
      </c>
    </row>
    <row r="1820" spans="1:7">
      <c r="A1820" s="1">
        <v>45964</v>
      </c>
      <c r="B1820" s="78">
        <v>45962</v>
      </c>
      <c r="C1820" t="s">
        <v>727</v>
      </c>
      <c r="D1820" t="s">
        <v>3</v>
      </c>
      <c r="E1820" t="s">
        <v>865</v>
      </c>
      <c r="F1820" s="2">
        <v>26.88</v>
      </c>
      <c r="G1820" t="s">
        <v>998</v>
      </c>
    </row>
    <row r="1821" spans="1:7">
      <c r="A1821" s="1">
        <v>45964</v>
      </c>
      <c r="B1821" s="78">
        <v>45962</v>
      </c>
      <c r="C1821" t="s">
        <v>2000</v>
      </c>
      <c r="D1821" t="s">
        <v>8</v>
      </c>
      <c r="E1821" t="s">
        <v>815</v>
      </c>
      <c r="F1821" s="2">
        <v>10000</v>
      </c>
      <c r="G1821" t="s">
        <v>998</v>
      </c>
    </row>
    <row r="1822" spans="1:7">
      <c r="A1822" s="1">
        <v>45964</v>
      </c>
      <c r="B1822" s="78">
        <v>45962</v>
      </c>
      <c r="C1822" t="s">
        <v>727</v>
      </c>
      <c r="D1822" t="s">
        <v>3</v>
      </c>
      <c r="E1822" t="s">
        <v>865</v>
      </c>
      <c r="F1822" s="2">
        <v>26.88</v>
      </c>
      <c r="G1822" t="s">
        <v>998</v>
      </c>
    </row>
    <row r="1823" spans="1:7">
      <c r="A1823" s="1">
        <v>45964</v>
      </c>
      <c r="B1823" s="78">
        <v>45962</v>
      </c>
      <c r="C1823" t="s">
        <v>2001</v>
      </c>
      <c r="D1823" t="s">
        <v>8</v>
      </c>
      <c r="E1823" t="s">
        <v>815</v>
      </c>
      <c r="F1823" s="2">
        <v>10000</v>
      </c>
      <c r="G1823" t="s">
        <v>998</v>
      </c>
    </row>
    <row r="1824" spans="1:7">
      <c r="A1824" s="1">
        <v>45964</v>
      </c>
      <c r="B1824" s="78">
        <v>45962</v>
      </c>
      <c r="C1824" t="s">
        <v>727</v>
      </c>
      <c r="D1824" t="s">
        <v>3</v>
      </c>
      <c r="E1824" t="s">
        <v>865</v>
      </c>
      <c r="F1824" s="2">
        <v>26.88</v>
      </c>
      <c r="G1824" t="s">
        <v>998</v>
      </c>
    </row>
    <row r="1825" spans="1:7">
      <c r="A1825" s="1">
        <v>45964</v>
      </c>
      <c r="B1825" s="78">
        <v>45962</v>
      </c>
      <c r="C1825" t="s">
        <v>2002</v>
      </c>
      <c r="D1825" t="s">
        <v>8</v>
      </c>
      <c r="E1825" t="s">
        <v>815</v>
      </c>
      <c r="F1825" s="2">
        <v>20000</v>
      </c>
      <c r="G1825" t="s">
        <v>998</v>
      </c>
    </row>
    <row r="1826" spans="1:7">
      <c r="A1826" s="1">
        <v>45964</v>
      </c>
      <c r="B1826" s="78">
        <v>45962</v>
      </c>
      <c r="C1826" t="s">
        <v>2003</v>
      </c>
      <c r="D1826" t="s">
        <v>8</v>
      </c>
      <c r="E1826" t="s">
        <v>815</v>
      </c>
      <c r="F1826" s="2">
        <v>20000</v>
      </c>
      <c r="G1826" t="s">
        <v>998</v>
      </c>
    </row>
    <row r="1827" spans="1:7">
      <c r="A1827" s="1">
        <v>45966</v>
      </c>
      <c r="B1827" s="78">
        <v>45962</v>
      </c>
      <c r="C1827" t="s">
        <v>2004</v>
      </c>
      <c r="D1827" s="28" t="s">
        <v>15</v>
      </c>
      <c r="E1827" t="s">
        <v>1354</v>
      </c>
      <c r="F1827" s="2">
        <v>-74000</v>
      </c>
      <c r="G1827" t="s">
        <v>998</v>
      </c>
    </row>
    <row r="1828" spans="1:7">
      <c r="A1828" s="1">
        <v>45967</v>
      </c>
      <c r="B1828" s="78">
        <v>45962</v>
      </c>
      <c r="C1828" t="s">
        <v>2005</v>
      </c>
      <c r="D1828" t="s">
        <v>15</v>
      </c>
      <c r="E1828" t="s">
        <v>1353</v>
      </c>
      <c r="F1828" s="2">
        <v>1225000</v>
      </c>
      <c r="G1828" t="s">
        <v>998</v>
      </c>
    </row>
    <row r="1829" spans="1:7">
      <c r="A1829" s="1">
        <v>45967</v>
      </c>
      <c r="B1829" s="78">
        <v>45962</v>
      </c>
      <c r="C1829" t="s">
        <v>727</v>
      </c>
      <c r="D1829" t="s">
        <v>3</v>
      </c>
      <c r="E1829" t="s">
        <v>865</v>
      </c>
      <c r="F1829" s="2">
        <v>53.75</v>
      </c>
      <c r="G1829" t="s">
        <v>998</v>
      </c>
    </row>
    <row r="1830" spans="1:7">
      <c r="A1830" s="1">
        <v>45967</v>
      </c>
      <c r="B1830" s="78">
        <v>45962</v>
      </c>
      <c r="C1830" t="s">
        <v>2006</v>
      </c>
      <c r="D1830" t="s">
        <v>15</v>
      </c>
      <c r="E1830" t="s">
        <v>1353</v>
      </c>
      <c r="F1830" s="2">
        <v>24000</v>
      </c>
      <c r="G1830" t="s">
        <v>998</v>
      </c>
    </row>
    <row r="1831" spans="1:7">
      <c r="A1831" s="1">
        <v>45967</v>
      </c>
      <c r="B1831" s="78">
        <v>45962</v>
      </c>
      <c r="C1831" t="s">
        <v>727</v>
      </c>
      <c r="D1831" t="s">
        <v>3</v>
      </c>
      <c r="E1831" t="s">
        <v>865</v>
      </c>
      <c r="F1831" s="2">
        <v>26.88</v>
      </c>
      <c r="G1831" t="s">
        <v>998</v>
      </c>
    </row>
    <row r="1832" spans="1:7">
      <c r="A1832" s="1">
        <v>45967</v>
      </c>
      <c r="B1832" s="78">
        <v>45962</v>
      </c>
      <c r="C1832" t="s">
        <v>2007</v>
      </c>
      <c r="D1832" t="s">
        <v>15</v>
      </c>
      <c r="E1832" t="s">
        <v>1353</v>
      </c>
      <c r="F1832" s="2">
        <v>136000</v>
      </c>
      <c r="G1832" t="s">
        <v>998</v>
      </c>
    </row>
    <row r="1833" spans="1:7">
      <c r="A1833" s="1">
        <v>45967</v>
      </c>
      <c r="B1833" s="78">
        <v>45962</v>
      </c>
      <c r="C1833" t="s">
        <v>727</v>
      </c>
      <c r="D1833" t="s">
        <v>3</v>
      </c>
      <c r="E1833" t="s">
        <v>865</v>
      </c>
      <c r="F1833" s="2">
        <v>53.75</v>
      </c>
      <c r="G1833" t="s">
        <v>998</v>
      </c>
    </row>
    <row r="1834" spans="1:7">
      <c r="A1834" s="1">
        <v>45970</v>
      </c>
      <c r="B1834" s="78">
        <v>45962</v>
      </c>
      <c r="C1834" t="s">
        <v>733</v>
      </c>
      <c r="D1834" t="s">
        <v>3</v>
      </c>
      <c r="E1834" t="s">
        <v>865</v>
      </c>
      <c r="F1834" s="2">
        <v>150</v>
      </c>
      <c r="G1834" t="s">
        <v>998</v>
      </c>
    </row>
    <row r="1835" spans="1:7">
      <c r="A1835" s="1">
        <v>45971</v>
      </c>
      <c r="B1835" s="78">
        <v>45962</v>
      </c>
      <c r="C1835" t="s">
        <v>2008</v>
      </c>
      <c r="D1835" s="28" t="s">
        <v>1651</v>
      </c>
      <c r="E1835" s="28" t="s">
        <v>2161</v>
      </c>
      <c r="F1835" s="131">
        <v>1500000</v>
      </c>
      <c r="G1835" t="s">
        <v>998</v>
      </c>
    </row>
    <row r="1836" spans="1:7">
      <c r="A1836" s="1">
        <v>45971</v>
      </c>
      <c r="B1836" s="78">
        <v>45962</v>
      </c>
      <c r="C1836" t="s">
        <v>727</v>
      </c>
      <c r="D1836" t="s">
        <v>3</v>
      </c>
      <c r="E1836" t="s">
        <v>865</v>
      </c>
      <c r="F1836" s="2">
        <v>53.75</v>
      </c>
      <c r="G1836" t="s">
        <v>998</v>
      </c>
    </row>
    <row r="1837" spans="1:7">
      <c r="A1837" s="1">
        <v>45971</v>
      </c>
      <c r="B1837" s="78">
        <v>45962</v>
      </c>
      <c r="C1837" t="s">
        <v>2032</v>
      </c>
      <c r="D1837" s="28" t="s">
        <v>8</v>
      </c>
      <c r="E1837" t="s">
        <v>815</v>
      </c>
      <c r="F1837" s="2">
        <v>102566.58</v>
      </c>
      <c r="G1837" t="s">
        <v>998</v>
      </c>
    </row>
    <row r="1838" spans="1:7">
      <c r="A1838" s="1">
        <v>45971</v>
      </c>
      <c r="B1838" s="78">
        <v>45962</v>
      </c>
      <c r="C1838" t="s">
        <v>2009</v>
      </c>
      <c r="D1838" t="s">
        <v>30</v>
      </c>
      <c r="E1838" t="s">
        <v>2</v>
      </c>
      <c r="F1838" s="2">
        <v>156000</v>
      </c>
      <c r="G1838" t="s">
        <v>998</v>
      </c>
    </row>
    <row r="1839" spans="1:7">
      <c r="A1839" s="1">
        <v>45971</v>
      </c>
      <c r="B1839" s="78">
        <v>45962</v>
      </c>
      <c r="C1839" t="s">
        <v>727</v>
      </c>
      <c r="D1839" t="s">
        <v>3</v>
      </c>
      <c r="E1839" t="s">
        <v>865</v>
      </c>
      <c r="F1839" s="2">
        <v>53.75</v>
      </c>
      <c r="G1839" t="s">
        <v>998</v>
      </c>
    </row>
    <row r="1840" spans="1:7">
      <c r="A1840" s="1">
        <v>45971</v>
      </c>
      <c r="B1840" s="78">
        <v>45962</v>
      </c>
      <c r="C1840" t="s">
        <v>2010</v>
      </c>
      <c r="D1840" s="28" t="s">
        <v>2164</v>
      </c>
      <c r="E1840" t="s">
        <v>2162</v>
      </c>
      <c r="F1840" s="131">
        <v>120000</v>
      </c>
      <c r="G1840" t="s">
        <v>998</v>
      </c>
    </row>
    <row r="1841" spans="1:7">
      <c r="A1841" s="1">
        <v>45971</v>
      </c>
      <c r="B1841" s="78">
        <v>45962</v>
      </c>
      <c r="C1841" t="s">
        <v>727</v>
      </c>
      <c r="D1841" t="s">
        <v>3</v>
      </c>
      <c r="E1841" t="s">
        <v>865</v>
      </c>
      <c r="F1841" s="2">
        <v>53.75</v>
      </c>
      <c r="G1841" t="s">
        <v>998</v>
      </c>
    </row>
    <row r="1842" spans="1:7">
      <c r="A1842" s="1">
        <v>45974</v>
      </c>
      <c r="B1842" s="78">
        <v>45962</v>
      </c>
      <c r="C1842" t="s">
        <v>2011</v>
      </c>
      <c r="D1842" t="s">
        <v>15</v>
      </c>
      <c r="E1842" t="s">
        <v>1353</v>
      </c>
      <c r="F1842" s="2">
        <v>270000</v>
      </c>
      <c r="G1842" t="s">
        <v>998</v>
      </c>
    </row>
    <row r="1843" spans="1:7">
      <c r="A1843" s="1">
        <v>45974</v>
      </c>
      <c r="B1843" s="78">
        <v>45962</v>
      </c>
      <c r="C1843" t="s">
        <v>727</v>
      </c>
      <c r="D1843" t="s">
        <v>3</v>
      </c>
      <c r="E1843" t="s">
        <v>865</v>
      </c>
      <c r="F1843" s="2">
        <v>53.75</v>
      </c>
      <c r="G1843" t="s">
        <v>998</v>
      </c>
    </row>
    <row r="1844" spans="1:7">
      <c r="A1844" s="1">
        <v>45974</v>
      </c>
      <c r="B1844" s="78">
        <v>45962</v>
      </c>
      <c r="C1844" t="s">
        <v>2012</v>
      </c>
      <c r="D1844" t="s">
        <v>15</v>
      </c>
      <c r="E1844" t="s">
        <v>1353</v>
      </c>
      <c r="F1844" s="2">
        <v>247500</v>
      </c>
      <c r="G1844" t="s">
        <v>998</v>
      </c>
    </row>
    <row r="1845" spans="1:7">
      <c r="A1845" s="1">
        <v>45974</v>
      </c>
      <c r="B1845" s="78">
        <v>45962</v>
      </c>
      <c r="C1845" t="s">
        <v>727</v>
      </c>
      <c r="D1845" t="s">
        <v>3</v>
      </c>
      <c r="E1845" t="s">
        <v>865</v>
      </c>
      <c r="F1845" s="2">
        <v>53.75</v>
      </c>
      <c r="G1845" t="s">
        <v>998</v>
      </c>
    </row>
    <row r="1846" spans="1:7">
      <c r="A1846" s="1">
        <v>45974</v>
      </c>
      <c r="B1846" s="78">
        <v>45962</v>
      </c>
      <c r="C1846" t="s">
        <v>2013</v>
      </c>
      <c r="D1846" t="s">
        <v>15</v>
      </c>
      <c r="E1846" t="s">
        <v>1353</v>
      </c>
      <c r="F1846" s="2">
        <v>178500</v>
      </c>
      <c r="G1846" t="s">
        <v>998</v>
      </c>
    </row>
    <row r="1847" spans="1:7">
      <c r="A1847" s="1">
        <v>45974</v>
      </c>
      <c r="B1847" s="78">
        <v>45962</v>
      </c>
      <c r="C1847" t="s">
        <v>727</v>
      </c>
      <c r="D1847" t="s">
        <v>3</v>
      </c>
      <c r="E1847" t="s">
        <v>865</v>
      </c>
      <c r="F1847" s="2">
        <v>53.75</v>
      </c>
      <c r="G1847" t="s">
        <v>998</v>
      </c>
    </row>
    <row r="1848" spans="1:7">
      <c r="A1848" s="1">
        <v>45974</v>
      </c>
      <c r="B1848" s="78">
        <v>45962</v>
      </c>
      <c r="C1848" t="s">
        <v>2014</v>
      </c>
      <c r="D1848" t="s">
        <v>15</v>
      </c>
      <c r="E1848" t="s">
        <v>1353</v>
      </c>
      <c r="F1848" s="2">
        <v>168000</v>
      </c>
      <c r="G1848" t="s">
        <v>998</v>
      </c>
    </row>
    <row r="1849" spans="1:7">
      <c r="A1849" s="1">
        <v>45974</v>
      </c>
      <c r="B1849" s="78">
        <v>45962</v>
      </c>
      <c r="C1849" t="s">
        <v>727</v>
      </c>
      <c r="D1849" t="s">
        <v>3</v>
      </c>
      <c r="E1849" t="s">
        <v>865</v>
      </c>
      <c r="F1849" s="2">
        <v>53.75</v>
      </c>
      <c r="G1849" t="s">
        <v>998</v>
      </c>
    </row>
    <row r="1850" spans="1:7">
      <c r="A1850" s="1">
        <v>45974</v>
      </c>
      <c r="B1850" s="78">
        <v>45962</v>
      </c>
      <c r="C1850" t="s">
        <v>2015</v>
      </c>
      <c r="D1850" t="s">
        <v>15</v>
      </c>
      <c r="E1850" t="s">
        <v>1353</v>
      </c>
      <c r="F1850" s="2">
        <v>203000</v>
      </c>
      <c r="G1850" t="s">
        <v>998</v>
      </c>
    </row>
    <row r="1851" spans="1:7">
      <c r="A1851" s="1">
        <v>45974</v>
      </c>
      <c r="B1851" s="78">
        <v>45962</v>
      </c>
      <c r="C1851" t="s">
        <v>727</v>
      </c>
      <c r="D1851" t="s">
        <v>3</v>
      </c>
      <c r="E1851" t="s">
        <v>865</v>
      </c>
      <c r="F1851" s="2">
        <v>53.75</v>
      </c>
      <c r="G1851" t="s">
        <v>998</v>
      </c>
    </row>
    <row r="1852" spans="1:7">
      <c r="A1852" s="1">
        <v>45975</v>
      </c>
      <c r="B1852" s="78">
        <v>45962</v>
      </c>
      <c r="C1852" t="s">
        <v>2016</v>
      </c>
      <c r="D1852" t="s">
        <v>15</v>
      </c>
      <c r="E1852" t="s">
        <v>1354</v>
      </c>
      <c r="F1852" s="2">
        <v>-2327000</v>
      </c>
      <c r="G1852" t="s">
        <v>998</v>
      </c>
    </row>
    <row r="1853" spans="1:7">
      <c r="A1853" s="1">
        <v>45977</v>
      </c>
      <c r="B1853" s="78">
        <v>45962</v>
      </c>
      <c r="C1853" t="s">
        <v>733</v>
      </c>
      <c r="D1853" t="s">
        <v>3</v>
      </c>
      <c r="E1853" t="s">
        <v>865</v>
      </c>
      <c r="F1853" s="2">
        <v>50</v>
      </c>
      <c r="G1853" t="s">
        <v>998</v>
      </c>
    </row>
    <row r="1854" spans="1:7">
      <c r="A1854" s="1">
        <v>45978</v>
      </c>
      <c r="B1854" s="78">
        <v>45962</v>
      </c>
      <c r="C1854" t="s">
        <v>2017</v>
      </c>
      <c r="D1854" t="s">
        <v>30</v>
      </c>
      <c r="E1854" t="s">
        <v>2</v>
      </c>
      <c r="F1854" s="2">
        <v>100000</v>
      </c>
      <c r="G1854" t="s">
        <v>998</v>
      </c>
    </row>
    <row r="1855" spans="1:7">
      <c r="A1855" s="1">
        <v>45978</v>
      </c>
      <c r="B1855" s="78">
        <v>45962</v>
      </c>
      <c r="C1855" t="s">
        <v>727</v>
      </c>
      <c r="D1855" t="s">
        <v>3</v>
      </c>
      <c r="E1855" t="s">
        <v>865</v>
      </c>
      <c r="F1855" s="2">
        <v>53.75</v>
      </c>
      <c r="G1855" t="s">
        <v>998</v>
      </c>
    </row>
    <row r="1856" spans="1:7">
      <c r="A1856" s="1">
        <v>45978</v>
      </c>
      <c r="B1856" s="78">
        <v>45962</v>
      </c>
      <c r="C1856" t="s">
        <v>2018</v>
      </c>
      <c r="D1856" t="s">
        <v>15</v>
      </c>
      <c r="E1856" t="s">
        <v>1353</v>
      </c>
      <c r="F1856" s="2">
        <v>59500</v>
      </c>
      <c r="G1856" t="s">
        <v>998</v>
      </c>
    </row>
    <row r="1857" spans="1:7">
      <c r="A1857" s="1">
        <v>45978</v>
      </c>
      <c r="B1857" s="78">
        <v>45962</v>
      </c>
      <c r="C1857" t="s">
        <v>727</v>
      </c>
      <c r="D1857" t="s">
        <v>3</v>
      </c>
      <c r="E1857" t="s">
        <v>865</v>
      </c>
      <c r="F1857" s="2">
        <v>53.75</v>
      </c>
      <c r="G1857" t="s">
        <v>998</v>
      </c>
    </row>
    <row r="1858" spans="1:7">
      <c r="A1858" s="1">
        <v>45978</v>
      </c>
      <c r="B1858" s="78">
        <v>45962</v>
      </c>
      <c r="C1858" t="s">
        <v>2019</v>
      </c>
      <c r="D1858" t="s">
        <v>15</v>
      </c>
      <c r="E1858" t="s">
        <v>1353</v>
      </c>
      <c r="F1858" s="2">
        <v>130000</v>
      </c>
      <c r="G1858" t="s">
        <v>998</v>
      </c>
    </row>
    <row r="1859" spans="1:7">
      <c r="A1859" s="1">
        <v>45978</v>
      </c>
      <c r="B1859" s="78">
        <v>45962</v>
      </c>
      <c r="C1859" t="s">
        <v>727</v>
      </c>
      <c r="D1859" t="s">
        <v>3</v>
      </c>
      <c r="E1859" t="s">
        <v>865</v>
      </c>
      <c r="F1859" s="2">
        <v>53.75</v>
      </c>
      <c r="G1859" t="s">
        <v>998</v>
      </c>
    </row>
    <row r="1860" spans="1:7">
      <c r="A1860" s="1">
        <v>45978</v>
      </c>
      <c r="B1860" s="78">
        <v>45962</v>
      </c>
      <c r="C1860" t="s">
        <v>2020</v>
      </c>
      <c r="D1860" t="s">
        <v>15</v>
      </c>
      <c r="E1860" t="s">
        <v>1353</v>
      </c>
      <c r="F1860" s="2">
        <v>270000</v>
      </c>
      <c r="G1860" t="s">
        <v>998</v>
      </c>
    </row>
    <row r="1861" spans="1:7">
      <c r="A1861" s="1">
        <v>45978</v>
      </c>
      <c r="B1861" s="78">
        <v>45962</v>
      </c>
      <c r="C1861" t="s">
        <v>727</v>
      </c>
      <c r="D1861" t="s">
        <v>3</v>
      </c>
      <c r="E1861" t="s">
        <v>865</v>
      </c>
      <c r="F1861" s="2">
        <v>53.75</v>
      </c>
      <c r="G1861" t="s">
        <v>998</v>
      </c>
    </row>
    <row r="1862" spans="1:7">
      <c r="A1862" s="1">
        <v>45978</v>
      </c>
      <c r="B1862" s="78">
        <v>45962</v>
      </c>
      <c r="C1862" t="s">
        <v>2021</v>
      </c>
      <c r="D1862" t="s">
        <v>15</v>
      </c>
      <c r="E1862" t="s">
        <v>1353</v>
      </c>
      <c r="F1862" s="2">
        <v>437400</v>
      </c>
      <c r="G1862" t="s">
        <v>998</v>
      </c>
    </row>
    <row r="1863" spans="1:7">
      <c r="A1863" s="1">
        <v>45978</v>
      </c>
      <c r="B1863" s="78">
        <v>45962</v>
      </c>
      <c r="C1863" t="s">
        <v>727</v>
      </c>
      <c r="D1863" t="s">
        <v>3</v>
      </c>
      <c r="E1863" t="s">
        <v>865</v>
      </c>
      <c r="F1863" s="2">
        <v>53.75</v>
      </c>
      <c r="G1863" t="s">
        <v>998</v>
      </c>
    </row>
    <row r="1864" spans="1:7">
      <c r="A1864" s="1">
        <v>45978</v>
      </c>
      <c r="B1864" s="78">
        <v>45962</v>
      </c>
      <c r="C1864" t="s">
        <v>2022</v>
      </c>
      <c r="D1864" t="s">
        <v>15</v>
      </c>
      <c r="E1864" t="s">
        <v>1353</v>
      </c>
      <c r="F1864" s="2">
        <v>576200</v>
      </c>
      <c r="G1864" t="s">
        <v>998</v>
      </c>
    </row>
    <row r="1865" spans="1:7">
      <c r="A1865" s="1">
        <v>45978</v>
      </c>
      <c r="B1865" s="78">
        <v>45962</v>
      </c>
      <c r="C1865" t="s">
        <v>727</v>
      </c>
      <c r="D1865" t="s">
        <v>3</v>
      </c>
      <c r="E1865" t="s">
        <v>865</v>
      </c>
      <c r="F1865" s="2">
        <v>53.75</v>
      </c>
      <c r="G1865" t="s">
        <v>998</v>
      </c>
    </row>
    <row r="1866" spans="1:7">
      <c r="A1866" s="1">
        <v>45978</v>
      </c>
      <c r="B1866" s="78">
        <v>45962</v>
      </c>
      <c r="C1866" t="s">
        <v>2023</v>
      </c>
      <c r="D1866" t="s">
        <v>15</v>
      </c>
      <c r="E1866" t="s">
        <v>1354</v>
      </c>
      <c r="F1866" s="2">
        <v>-386400</v>
      </c>
      <c r="G1866" t="s">
        <v>998</v>
      </c>
    </row>
    <row r="1867" spans="1:7">
      <c r="A1867" s="1">
        <v>45978</v>
      </c>
      <c r="B1867" s="78">
        <v>45962</v>
      </c>
      <c r="C1867" t="s">
        <v>2024</v>
      </c>
      <c r="D1867" t="s">
        <v>15</v>
      </c>
      <c r="E1867" t="s">
        <v>1354</v>
      </c>
      <c r="F1867" s="2">
        <v>-75000</v>
      </c>
      <c r="G1867" t="s">
        <v>998</v>
      </c>
    </row>
    <row r="1868" spans="1:7">
      <c r="A1868" s="1">
        <v>45978</v>
      </c>
      <c r="B1868" s="78">
        <v>45962</v>
      </c>
      <c r="C1868" t="s">
        <v>2025</v>
      </c>
      <c r="D1868" t="s">
        <v>15</v>
      </c>
      <c r="E1868" t="s">
        <v>1354</v>
      </c>
      <c r="F1868" s="2">
        <v>-18400</v>
      </c>
      <c r="G1868" t="s">
        <v>998</v>
      </c>
    </row>
    <row r="1869" spans="1:7">
      <c r="A1869" s="1">
        <v>45978</v>
      </c>
      <c r="B1869" s="78">
        <v>45962</v>
      </c>
      <c r="C1869" t="s">
        <v>2026</v>
      </c>
      <c r="D1869" t="s">
        <v>15</v>
      </c>
      <c r="E1869" t="s">
        <v>1354</v>
      </c>
      <c r="F1869" s="2">
        <v>-77300</v>
      </c>
      <c r="G1869" t="s">
        <v>998</v>
      </c>
    </row>
    <row r="1870" spans="1:7">
      <c r="A1870" s="1">
        <v>45979</v>
      </c>
      <c r="B1870" s="78">
        <v>45962</v>
      </c>
      <c r="C1870" t="s">
        <v>2027</v>
      </c>
      <c r="D1870" t="s">
        <v>15</v>
      </c>
      <c r="E1870" t="s">
        <v>1353</v>
      </c>
      <c r="F1870" s="2">
        <v>105000</v>
      </c>
      <c r="G1870" t="s">
        <v>998</v>
      </c>
    </row>
    <row r="1871" spans="1:7">
      <c r="A1871" s="1">
        <v>45979</v>
      </c>
      <c r="B1871" s="78">
        <v>45962</v>
      </c>
      <c r="C1871" t="s">
        <v>727</v>
      </c>
      <c r="D1871" t="s">
        <v>3</v>
      </c>
      <c r="E1871" t="s">
        <v>865</v>
      </c>
      <c r="F1871" s="2">
        <v>53.75</v>
      </c>
      <c r="G1871" t="s">
        <v>998</v>
      </c>
    </row>
    <row r="1872" spans="1:7">
      <c r="A1872" s="1">
        <v>45979</v>
      </c>
      <c r="B1872" s="78">
        <v>45962</v>
      </c>
      <c r="C1872" t="s">
        <v>2028</v>
      </c>
      <c r="D1872" t="s">
        <v>15</v>
      </c>
      <c r="E1872" t="s">
        <v>1353</v>
      </c>
      <c r="F1872" s="2">
        <v>52500</v>
      </c>
      <c r="G1872" t="s">
        <v>998</v>
      </c>
    </row>
    <row r="1873" spans="1:7">
      <c r="A1873" s="1">
        <v>45979</v>
      </c>
      <c r="B1873" s="78">
        <v>45962</v>
      </c>
      <c r="C1873" t="s">
        <v>727</v>
      </c>
      <c r="D1873" t="s">
        <v>3</v>
      </c>
      <c r="E1873" t="s">
        <v>865</v>
      </c>
      <c r="F1873" s="2">
        <v>53.75</v>
      </c>
      <c r="G1873" t="s">
        <v>998</v>
      </c>
    </row>
    <row r="1874" spans="1:7">
      <c r="A1874" s="1">
        <v>45980</v>
      </c>
      <c r="B1874" s="78">
        <v>45962</v>
      </c>
      <c r="C1874" t="s">
        <v>2029</v>
      </c>
      <c r="D1874" t="s">
        <v>30</v>
      </c>
      <c r="E1874" t="s">
        <v>2</v>
      </c>
      <c r="F1874" s="2">
        <v>107500</v>
      </c>
      <c r="G1874" t="s">
        <v>998</v>
      </c>
    </row>
    <row r="1875" spans="1:7">
      <c r="A1875" s="1">
        <v>45980</v>
      </c>
      <c r="B1875" s="78">
        <v>45962</v>
      </c>
      <c r="C1875" t="s">
        <v>727</v>
      </c>
      <c r="D1875" t="s">
        <v>3</v>
      </c>
      <c r="E1875" t="s">
        <v>865</v>
      </c>
      <c r="F1875" s="2">
        <v>53.75</v>
      </c>
      <c r="G1875" t="s">
        <v>998</v>
      </c>
    </row>
    <row r="1876" spans="1:7">
      <c r="A1876" s="1">
        <v>45980</v>
      </c>
      <c r="B1876" s="78">
        <v>45962</v>
      </c>
      <c r="C1876" t="s">
        <v>2033</v>
      </c>
      <c r="D1876" t="s">
        <v>13</v>
      </c>
      <c r="E1876" t="s">
        <v>800</v>
      </c>
      <c r="F1876" s="2">
        <v>400000</v>
      </c>
      <c r="G1876" t="s">
        <v>998</v>
      </c>
    </row>
    <row r="1877" spans="1:7">
      <c r="A1877" s="1">
        <v>45980</v>
      </c>
      <c r="B1877" s="78">
        <v>45962</v>
      </c>
      <c r="C1877" t="s">
        <v>727</v>
      </c>
      <c r="D1877" t="s">
        <v>3</v>
      </c>
      <c r="E1877" t="s">
        <v>865</v>
      </c>
      <c r="F1877" s="2">
        <v>53.75</v>
      </c>
      <c r="G1877" t="s">
        <v>998</v>
      </c>
    </row>
    <row r="1878" spans="1:7">
      <c r="A1878" s="1">
        <v>45980</v>
      </c>
      <c r="B1878" s="78">
        <v>45962</v>
      </c>
      <c r="C1878" t="s">
        <v>2030</v>
      </c>
      <c r="D1878" s="28" t="s">
        <v>1683</v>
      </c>
      <c r="E1878" s="26" t="s">
        <v>32</v>
      </c>
      <c r="F1878" s="131">
        <v>40000000</v>
      </c>
      <c r="G1878" t="s">
        <v>998</v>
      </c>
    </row>
    <row r="1879" spans="1:7">
      <c r="A1879" s="1">
        <v>45980</v>
      </c>
      <c r="B1879" s="78">
        <v>45962</v>
      </c>
      <c r="C1879" t="s">
        <v>727</v>
      </c>
      <c r="D1879" t="s">
        <v>3</v>
      </c>
      <c r="E1879" t="s">
        <v>865</v>
      </c>
      <c r="F1879" s="2">
        <v>53.75</v>
      </c>
      <c r="G1879" t="s">
        <v>998</v>
      </c>
    </row>
    <row r="1880" spans="1:7">
      <c r="A1880" s="1">
        <v>45980</v>
      </c>
      <c r="B1880" s="78">
        <v>45962</v>
      </c>
      <c r="C1880" t="s">
        <v>2034</v>
      </c>
      <c r="D1880" s="28" t="s">
        <v>2167</v>
      </c>
      <c r="E1880" t="s">
        <v>2165</v>
      </c>
      <c r="F1880" s="131">
        <v>1600000</v>
      </c>
      <c r="G1880" t="s">
        <v>998</v>
      </c>
    </row>
    <row r="1881" spans="1:7">
      <c r="A1881" s="1">
        <v>45980</v>
      </c>
      <c r="B1881" s="78">
        <v>45962</v>
      </c>
      <c r="C1881" t="s">
        <v>727</v>
      </c>
      <c r="D1881" t="s">
        <v>3</v>
      </c>
      <c r="E1881" t="s">
        <v>865</v>
      </c>
      <c r="F1881" s="2">
        <v>53.75</v>
      </c>
      <c r="G1881" t="s">
        <v>998</v>
      </c>
    </row>
    <row r="1882" spans="1:7">
      <c r="A1882" s="1">
        <v>45982</v>
      </c>
      <c r="B1882" s="78">
        <v>45962</v>
      </c>
      <c r="C1882" t="s">
        <v>2031</v>
      </c>
      <c r="D1882" t="s">
        <v>30</v>
      </c>
      <c r="E1882" t="s">
        <v>2</v>
      </c>
      <c r="F1882" s="2">
        <v>-530000</v>
      </c>
      <c r="G1882" t="s">
        <v>998</v>
      </c>
    </row>
    <row r="1883" spans="1:7">
      <c r="A1883" s="1">
        <v>45982</v>
      </c>
      <c r="B1883" s="78">
        <v>45962</v>
      </c>
      <c r="C1883" t="s">
        <v>2035</v>
      </c>
      <c r="D1883" s="28" t="s">
        <v>13</v>
      </c>
      <c r="E1883" s="28" t="s">
        <v>800</v>
      </c>
      <c r="F1883" s="2">
        <v>805000</v>
      </c>
      <c r="G1883" t="s">
        <v>998</v>
      </c>
    </row>
    <row r="1884" spans="1:7">
      <c r="A1884" s="1">
        <v>45982</v>
      </c>
      <c r="B1884" s="78">
        <v>45962</v>
      </c>
      <c r="C1884" t="s">
        <v>727</v>
      </c>
      <c r="D1884" t="s">
        <v>3</v>
      </c>
      <c r="E1884" t="s">
        <v>865</v>
      </c>
      <c r="F1884" s="2">
        <v>53.75</v>
      </c>
      <c r="G1884" t="s">
        <v>998</v>
      </c>
    </row>
    <row r="1885" spans="1:7">
      <c r="A1885" s="1">
        <v>45982</v>
      </c>
      <c r="B1885" s="78">
        <v>45962</v>
      </c>
      <c r="C1885" t="s">
        <v>2036</v>
      </c>
      <c r="D1885" s="28" t="s">
        <v>13</v>
      </c>
      <c r="E1885" s="28" t="s">
        <v>800</v>
      </c>
      <c r="F1885" s="2">
        <v>43500</v>
      </c>
      <c r="G1885" t="s">
        <v>998</v>
      </c>
    </row>
    <row r="1886" spans="1:7">
      <c r="A1886" s="1">
        <v>45982</v>
      </c>
      <c r="B1886" s="78">
        <v>45962</v>
      </c>
      <c r="C1886" t="s">
        <v>727</v>
      </c>
      <c r="D1886" t="s">
        <v>3</v>
      </c>
      <c r="E1886" t="s">
        <v>865</v>
      </c>
      <c r="F1886" s="2">
        <v>26.88</v>
      </c>
      <c r="G1886" t="s">
        <v>998</v>
      </c>
    </row>
    <row r="1887" spans="1:7">
      <c r="A1887" s="1">
        <v>45982</v>
      </c>
      <c r="B1887" s="78">
        <v>45962</v>
      </c>
      <c r="C1887" t="s">
        <v>2037</v>
      </c>
      <c r="D1887" s="28" t="s">
        <v>11</v>
      </c>
      <c r="E1887" s="28" t="s">
        <v>953</v>
      </c>
      <c r="F1887" s="2">
        <v>449000</v>
      </c>
      <c r="G1887" t="s">
        <v>998</v>
      </c>
    </row>
    <row r="1888" spans="1:7">
      <c r="A1888" s="1">
        <v>45982</v>
      </c>
      <c r="B1888" s="78">
        <v>45962</v>
      </c>
      <c r="C1888" t="s">
        <v>727</v>
      </c>
      <c r="D1888" t="s">
        <v>3</v>
      </c>
      <c r="E1888" t="s">
        <v>865</v>
      </c>
      <c r="F1888" s="2">
        <v>53.75</v>
      </c>
      <c r="G1888" t="s">
        <v>998</v>
      </c>
    </row>
    <row r="1889" spans="1:7">
      <c r="A1889" s="1">
        <v>45982</v>
      </c>
      <c r="B1889" s="78">
        <v>45962</v>
      </c>
      <c r="C1889" t="s">
        <v>2038</v>
      </c>
      <c r="D1889" s="28" t="s">
        <v>2168</v>
      </c>
      <c r="E1889" s="28" t="s">
        <v>846</v>
      </c>
      <c r="F1889" s="2">
        <v>192000</v>
      </c>
      <c r="G1889" t="s">
        <v>998</v>
      </c>
    </row>
    <row r="1890" spans="1:7">
      <c r="A1890" s="1">
        <v>45982</v>
      </c>
      <c r="B1890" s="78">
        <v>45962</v>
      </c>
      <c r="C1890" t="s">
        <v>727</v>
      </c>
      <c r="D1890" t="s">
        <v>3</v>
      </c>
      <c r="E1890" t="s">
        <v>865</v>
      </c>
      <c r="F1890" s="2">
        <v>53.75</v>
      </c>
      <c r="G1890" t="s">
        <v>998</v>
      </c>
    </row>
    <row r="1891" spans="1:7">
      <c r="A1891" s="1">
        <v>45982</v>
      </c>
      <c r="B1891" s="78">
        <v>45962</v>
      </c>
      <c r="C1891" t="s">
        <v>1726</v>
      </c>
      <c r="D1891" s="28" t="s">
        <v>15</v>
      </c>
      <c r="E1891" s="28" t="s">
        <v>1353</v>
      </c>
      <c r="F1891" s="2">
        <v>690000</v>
      </c>
      <c r="G1891" t="s">
        <v>998</v>
      </c>
    </row>
    <row r="1892" spans="1:7">
      <c r="A1892" s="1">
        <v>45982</v>
      </c>
      <c r="B1892" s="78">
        <v>45962</v>
      </c>
      <c r="C1892" t="s">
        <v>727</v>
      </c>
      <c r="D1892" t="s">
        <v>3</v>
      </c>
      <c r="E1892" t="s">
        <v>865</v>
      </c>
      <c r="F1892" s="2">
        <v>53.75</v>
      </c>
      <c r="G1892" t="s">
        <v>998</v>
      </c>
    </row>
    <row r="1893" spans="1:7">
      <c r="A1893" s="1">
        <v>45982</v>
      </c>
      <c r="B1893" s="78">
        <v>45962</v>
      </c>
      <c r="C1893" t="s">
        <v>2039</v>
      </c>
      <c r="D1893" s="28" t="s">
        <v>2168</v>
      </c>
      <c r="E1893" s="28" t="s">
        <v>846</v>
      </c>
      <c r="F1893" s="2">
        <v>57000</v>
      </c>
      <c r="G1893" t="s">
        <v>998</v>
      </c>
    </row>
    <row r="1894" spans="1:7">
      <c r="A1894" s="1">
        <v>45982</v>
      </c>
      <c r="B1894" s="78">
        <v>45962</v>
      </c>
      <c r="C1894" t="s">
        <v>727</v>
      </c>
      <c r="D1894" t="s">
        <v>3</v>
      </c>
      <c r="E1894" t="s">
        <v>865</v>
      </c>
      <c r="F1894" s="2">
        <v>53.75</v>
      </c>
      <c r="G1894" t="s">
        <v>998</v>
      </c>
    </row>
    <row r="1895" spans="1:7">
      <c r="A1895" s="1">
        <v>45982</v>
      </c>
      <c r="B1895" s="78">
        <v>45962</v>
      </c>
      <c r="C1895" t="s">
        <v>2040</v>
      </c>
      <c r="D1895" s="28" t="s">
        <v>15</v>
      </c>
      <c r="E1895" s="28" t="s">
        <v>1353</v>
      </c>
      <c r="F1895" s="2">
        <v>103600</v>
      </c>
      <c r="G1895" t="s">
        <v>998</v>
      </c>
    </row>
    <row r="1896" spans="1:7">
      <c r="A1896" s="1">
        <v>45982</v>
      </c>
      <c r="B1896" s="78">
        <v>45962</v>
      </c>
      <c r="C1896" t="s">
        <v>727</v>
      </c>
      <c r="D1896" t="s">
        <v>3</v>
      </c>
      <c r="E1896" t="s">
        <v>865</v>
      </c>
      <c r="F1896" s="2">
        <v>53.75</v>
      </c>
      <c r="G1896" t="s">
        <v>998</v>
      </c>
    </row>
    <row r="1897" spans="1:7">
      <c r="A1897" s="1">
        <v>45982</v>
      </c>
      <c r="B1897" s="78">
        <v>45962</v>
      </c>
      <c r="C1897" t="s">
        <v>2041</v>
      </c>
      <c r="D1897" t="s">
        <v>15</v>
      </c>
      <c r="E1897" t="s">
        <v>1353</v>
      </c>
      <c r="F1897" s="2">
        <v>255000</v>
      </c>
      <c r="G1897" t="s">
        <v>998</v>
      </c>
    </row>
    <row r="1898" spans="1:7">
      <c r="A1898" s="1">
        <v>45982</v>
      </c>
      <c r="B1898" s="78">
        <v>45962</v>
      </c>
      <c r="C1898" t="s">
        <v>727</v>
      </c>
      <c r="D1898" t="s">
        <v>3</v>
      </c>
      <c r="E1898" t="s">
        <v>865</v>
      </c>
      <c r="F1898" s="2">
        <v>53.75</v>
      </c>
      <c r="G1898" t="s">
        <v>998</v>
      </c>
    </row>
    <row r="1899" spans="1:7" ht="13.5" customHeight="1">
      <c r="A1899" s="1">
        <v>45984</v>
      </c>
      <c r="B1899" s="78">
        <v>45962</v>
      </c>
      <c r="C1899" t="s">
        <v>733</v>
      </c>
      <c r="D1899" t="s">
        <v>3</v>
      </c>
      <c r="E1899" t="s">
        <v>865</v>
      </c>
      <c r="F1899" s="2">
        <v>250</v>
      </c>
      <c r="G1899" t="s">
        <v>998</v>
      </c>
    </row>
    <row r="1900" spans="1:7">
      <c r="A1900" s="1">
        <v>45985</v>
      </c>
      <c r="B1900" s="78">
        <v>45962</v>
      </c>
      <c r="C1900" t="s">
        <v>2042</v>
      </c>
      <c r="D1900" s="28" t="s">
        <v>2168</v>
      </c>
      <c r="E1900" s="28" t="s">
        <v>911</v>
      </c>
      <c r="F1900" s="2">
        <v>4965000</v>
      </c>
      <c r="G1900" t="s">
        <v>998</v>
      </c>
    </row>
    <row r="1901" spans="1:7">
      <c r="A1901" s="1">
        <v>45985</v>
      </c>
      <c r="B1901" s="78">
        <v>45962</v>
      </c>
      <c r="C1901" t="s">
        <v>727</v>
      </c>
      <c r="D1901" t="s">
        <v>3</v>
      </c>
      <c r="E1901" t="s">
        <v>865</v>
      </c>
      <c r="F1901" s="2">
        <v>53.75</v>
      </c>
      <c r="G1901" t="s">
        <v>998</v>
      </c>
    </row>
    <row r="1902" spans="1:7">
      <c r="A1902" s="1">
        <v>45986</v>
      </c>
      <c r="B1902" s="78">
        <v>45962</v>
      </c>
      <c r="C1902" t="s">
        <v>2043</v>
      </c>
      <c r="D1902" t="s">
        <v>8</v>
      </c>
      <c r="E1902" t="s">
        <v>815</v>
      </c>
      <c r="F1902" s="2">
        <v>35000</v>
      </c>
      <c r="G1902" t="s">
        <v>998</v>
      </c>
    </row>
    <row r="1903" spans="1:7">
      <c r="A1903" s="1">
        <v>45986</v>
      </c>
      <c r="B1903" s="78">
        <v>45962</v>
      </c>
      <c r="C1903" t="s">
        <v>727</v>
      </c>
      <c r="D1903" t="s">
        <v>3</v>
      </c>
      <c r="E1903" t="s">
        <v>865</v>
      </c>
      <c r="F1903" s="2">
        <v>26.88</v>
      </c>
      <c r="G1903" t="s">
        <v>998</v>
      </c>
    </row>
    <row r="1904" spans="1:7">
      <c r="A1904" s="1">
        <v>45986</v>
      </c>
      <c r="B1904" s="78">
        <v>45962</v>
      </c>
      <c r="C1904" t="s">
        <v>2044</v>
      </c>
      <c r="D1904" t="s">
        <v>8</v>
      </c>
      <c r="E1904" t="s">
        <v>815</v>
      </c>
      <c r="F1904" s="2">
        <v>283172.2</v>
      </c>
      <c r="G1904" t="s">
        <v>998</v>
      </c>
    </row>
    <row r="1905" spans="1:7">
      <c r="A1905" s="1">
        <v>45986</v>
      </c>
      <c r="B1905" s="78">
        <v>45962</v>
      </c>
      <c r="C1905" t="s">
        <v>2045</v>
      </c>
      <c r="D1905" t="s">
        <v>8</v>
      </c>
      <c r="E1905" t="s">
        <v>815</v>
      </c>
      <c r="F1905" s="2">
        <v>20000</v>
      </c>
      <c r="G1905" t="s">
        <v>998</v>
      </c>
    </row>
    <row r="1906" spans="1:7">
      <c r="A1906" s="1">
        <v>45986</v>
      </c>
      <c r="B1906" s="78">
        <v>45962</v>
      </c>
      <c r="C1906" t="s">
        <v>727</v>
      </c>
      <c r="D1906" t="s">
        <v>3</v>
      </c>
      <c r="E1906" t="s">
        <v>865</v>
      </c>
      <c r="F1906" s="2">
        <v>26.88</v>
      </c>
      <c r="G1906" t="s">
        <v>998</v>
      </c>
    </row>
    <row r="1907" spans="1:7">
      <c r="A1907" s="1">
        <v>45986</v>
      </c>
      <c r="B1907" s="78">
        <v>45962</v>
      </c>
      <c r="C1907" t="s">
        <v>2046</v>
      </c>
      <c r="D1907" t="s">
        <v>8</v>
      </c>
      <c r="E1907" t="s">
        <v>815</v>
      </c>
      <c r="F1907" s="2">
        <v>70000</v>
      </c>
      <c r="G1907" t="s">
        <v>998</v>
      </c>
    </row>
    <row r="1908" spans="1:7">
      <c r="A1908" s="1">
        <v>45986</v>
      </c>
      <c r="B1908" s="78">
        <v>45962</v>
      </c>
      <c r="C1908" t="s">
        <v>727</v>
      </c>
      <c r="D1908" t="s">
        <v>3</v>
      </c>
      <c r="E1908" t="s">
        <v>865</v>
      </c>
      <c r="F1908" s="2">
        <v>53.75</v>
      </c>
      <c r="G1908" t="s">
        <v>998</v>
      </c>
    </row>
    <row r="1909" spans="1:7">
      <c r="A1909" s="1">
        <v>45986</v>
      </c>
      <c r="B1909" s="78">
        <v>45962</v>
      </c>
      <c r="C1909" t="s">
        <v>2047</v>
      </c>
      <c r="D1909" t="s">
        <v>8</v>
      </c>
      <c r="E1909" t="s">
        <v>815</v>
      </c>
      <c r="F1909" s="2">
        <v>35000</v>
      </c>
      <c r="G1909" t="s">
        <v>998</v>
      </c>
    </row>
    <row r="1910" spans="1:7">
      <c r="A1910" s="1">
        <v>45986</v>
      </c>
      <c r="B1910" s="78">
        <v>45962</v>
      </c>
      <c r="C1910" t="s">
        <v>727</v>
      </c>
      <c r="D1910" t="s">
        <v>3</v>
      </c>
      <c r="E1910" t="s">
        <v>865</v>
      </c>
      <c r="F1910" s="2">
        <v>26.88</v>
      </c>
      <c r="G1910" t="s">
        <v>998</v>
      </c>
    </row>
    <row r="1911" spans="1:7">
      <c r="A1911" s="1">
        <v>45986</v>
      </c>
      <c r="B1911" s="78">
        <v>45962</v>
      </c>
      <c r="C1911" t="s">
        <v>2048</v>
      </c>
      <c r="D1911" t="s">
        <v>8</v>
      </c>
      <c r="E1911" t="s">
        <v>815</v>
      </c>
      <c r="F1911" s="2">
        <v>283172.2</v>
      </c>
      <c r="G1911" t="s">
        <v>998</v>
      </c>
    </row>
    <row r="1912" spans="1:7">
      <c r="A1912" s="1">
        <v>45986</v>
      </c>
      <c r="B1912" s="78">
        <v>45962</v>
      </c>
      <c r="C1912" t="s">
        <v>727</v>
      </c>
      <c r="D1912" t="s">
        <v>3</v>
      </c>
      <c r="E1912" t="s">
        <v>865</v>
      </c>
      <c r="F1912" s="2">
        <v>53.75</v>
      </c>
      <c r="G1912" t="s">
        <v>998</v>
      </c>
    </row>
    <row r="1913" spans="1:7">
      <c r="A1913" s="1">
        <v>45986</v>
      </c>
      <c r="B1913" s="78">
        <v>45962</v>
      </c>
      <c r="C1913" t="s">
        <v>2049</v>
      </c>
      <c r="D1913" t="s">
        <v>8</v>
      </c>
      <c r="E1913" t="s">
        <v>815</v>
      </c>
      <c r="F1913" s="2">
        <v>27500</v>
      </c>
      <c r="G1913" t="s">
        <v>998</v>
      </c>
    </row>
    <row r="1914" spans="1:7">
      <c r="A1914" s="1">
        <v>45986</v>
      </c>
      <c r="B1914" s="78">
        <v>45962</v>
      </c>
      <c r="C1914" t="s">
        <v>727</v>
      </c>
      <c r="D1914" t="s">
        <v>3</v>
      </c>
      <c r="E1914" t="s">
        <v>865</v>
      </c>
      <c r="F1914" s="2">
        <v>26.88</v>
      </c>
      <c r="G1914" t="s">
        <v>998</v>
      </c>
    </row>
    <row r="1915" spans="1:7">
      <c r="A1915" s="1">
        <v>45986</v>
      </c>
      <c r="B1915" s="78">
        <v>45962</v>
      </c>
      <c r="C1915" t="s">
        <v>2050</v>
      </c>
      <c r="D1915" t="s">
        <v>8</v>
      </c>
      <c r="E1915" t="s">
        <v>815</v>
      </c>
      <c r="F1915" s="2">
        <v>283172.2</v>
      </c>
      <c r="G1915" t="s">
        <v>998</v>
      </c>
    </row>
    <row r="1916" spans="1:7">
      <c r="A1916" s="1">
        <v>45986</v>
      </c>
      <c r="B1916" s="78">
        <v>45962</v>
      </c>
      <c r="C1916" t="s">
        <v>727</v>
      </c>
      <c r="D1916" t="s">
        <v>3</v>
      </c>
      <c r="E1916" t="s">
        <v>865</v>
      </c>
      <c r="F1916" s="2">
        <v>53.75</v>
      </c>
      <c r="G1916" t="s">
        <v>998</v>
      </c>
    </row>
    <row r="1917" spans="1:7">
      <c r="A1917" s="1">
        <v>45986</v>
      </c>
      <c r="B1917" s="78">
        <v>45962</v>
      </c>
      <c r="C1917" t="s">
        <v>2051</v>
      </c>
      <c r="D1917" t="s">
        <v>8</v>
      </c>
      <c r="E1917" t="s">
        <v>815</v>
      </c>
      <c r="F1917" s="2">
        <v>35000</v>
      </c>
      <c r="G1917" t="s">
        <v>998</v>
      </c>
    </row>
    <row r="1918" spans="1:7">
      <c r="A1918" s="1">
        <v>45986</v>
      </c>
      <c r="B1918" s="78">
        <v>45962</v>
      </c>
      <c r="C1918" t="s">
        <v>2052</v>
      </c>
      <c r="D1918" t="s">
        <v>8</v>
      </c>
      <c r="E1918" t="s">
        <v>815</v>
      </c>
      <c r="F1918" s="2">
        <v>4019028.36</v>
      </c>
      <c r="G1918" t="s">
        <v>998</v>
      </c>
    </row>
    <row r="1919" spans="1:7">
      <c r="A1919" s="1">
        <v>45986</v>
      </c>
      <c r="B1919" s="78">
        <v>45962</v>
      </c>
      <c r="C1919" t="s">
        <v>727</v>
      </c>
      <c r="D1919" t="s">
        <v>3</v>
      </c>
      <c r="E1919" t="s">
        <v>865</v>
      </c>
      <c r="F1919" s="2">
        <v>53.75</v>
      </c>
      <c r="G1919" t="s">
        <v>998</v>
      </c>
    </row>
    <row r="1920" spans="1:7">
      <c r="A1920" s="1">
        <v>45986</v>
      </c>
      <c r="B1920" s="78">
        <v>45962</v>
      </c>
      <c r="C1920" t="s">
        <v>2053</v>
      </c>
      <c r="D1920" t="s">
        <v>8</v>
      </c>
      <c r="E1920" t="s">
        <v>815</v>
      </c>
      <c r="F1920" s="2">
        <v>44432.33</v>
      </c>
      <c r="G1920" t="s">
        <v>998</v>
      </c>
    </row>
    <row r="1921" spans="1:7">
      <c r="A1921" s="1">
        <v>45986</v>
      </c>
      <c r="B1921" s="78">
        <v>45962</v>
      </c>
      <c r="C1921" t="s">
        <v>727</v>
      </c>
      <c r="D1921" t="s">
        <v>3</v>
      </c>
      <c r="E1921" t="s">
        <v>865</v>
      </c>
      <c r="F1921" s="2">
        <v>26.88</v>
      </c>
      <c r="G1921" t="s">
        <v>998</v>
      </c>
    </row>
    <row r="1922" spans="1:7">
      <c r="A1922" s="1">
        <v>45986</v>
      </c>
      <c r="B1922" s="78">
        <v>45962</v>
      </c>
      <c r="C1922" t="s">
        <v>2054</v>
      </c>
      <c r="D1922" t="s">
        <v>8</v>
      </c>
      <c r="E1922" t="s">
        <v>815</v>
      </c>
      <c r="F1922" s="2">
        <v>140171.67000000001</v>
      </c>
      <c r="G1922" t="s">
        <v>998</v>
      </c>
    </row>
    <row r="1923" spans="1:7">
      <c r="A1923" s="1">
        <v>45986</v>
      </c>
      <c r="B1923" s="78">
        <v>45962</v>
      </c>
      <c r="C1923" t="s">
        <v>727</v>
      </c>
      <c r="D1923" t="s">
        <v>3</v>
      </c>
      <c r="E1923" t="s">
        <v>865</v>
      </c>
      <c r="F1923" s="2">
        <v>53.75</v>
      </c>
      <c r="G1923" t="s">
        <v>998</v>
      </c>
    </row>
    <row r="1924" spans="1:7">
      <c r="A1924" s="1">
        <v>45986</v>
      </c>
      <c r="B1924" s="78">
        <v>45962</v>
      </c>
      <c r="C1924" t="s">
        <v>2055</v>
      </c>
      <c r="D1924" t="s">
        <v>8</v>
      </c>
      <c r="E1924" t="s">
        <v>815</v>
      </c>
      <c r="F1924" s="2">
        <v>70000</v>
      </c>
      <c r="G1924" t="s">
        <v>998</v>
      </c>
    </row>
    <row r="1925" spans="1:7">
      <c r="A1925" s="1">
        <v>45986</v>
      </c>
      <c r="B1925" s="78">
        <v>45962</v>
      </c>
      <c r="C1925" t="s">
        <v>727</v>
      </c>
      <c r="D1925" t="s">
        <v>3</v>
      </c>
      <c r="E1925" t="s">
        <v>865</v>
      </c>
      <c r="F1925" s="2">
        <v>53.75</v>
      </c>
      <c r="G1925" t="s">
        <v>998</v>
      </c>
    </row>
    <row r="1926" spans="1:7">
      <c r="A1926" s="1">
        <v>45986</v>
      </c>
      <c r="B1926" s="78">
        <v>45962</v>
      </c>
      <c r="C1926" t="s">
        <v>2056</v>
      </c>
      <c r="D1926" t="s">
        <v>8</v>
      </c>
      <c r="E1926" t="s">
        <v>815</v>
      </c>
      <c r="F1926" s="2">
        <v>20000</v>
      </c>
      <c r="G1926" t="s">
        <v>998</v>
      </c>
    </row>
    <row r="1927" spans="1:7">
      <c r="A1927" s="1">
        <v>45986</v>
      </c>
      <c r="B1927" s="78">
        <v>45962</v>
      </c>
      <c r="C1927" t="s">
        <v>727</v>
      </c>
      <c r="D1927" t="s">
        <v>3</v>
      </c>
      <c r="E1927" t="s">
        <v>865</v>
      </c>
      <c r="F1927" s="2">
        <v>26.88</v>
      </c>
      <c r="G1927" t="s">
        <v>998</v>
      </c>
    </row>
    <row r="1928" spans="1:7">
      <c r="A1928" s="1">
        <v>45986</v>
      </c>
      <c r="B1928" s="78">
        <v>45962</v>
      </c>
      <c r="C1928" t="s">
        <v>2057</v>
      </c>
      <c r="D1928" t="s">
        <v>8</v>
      </c>
      <c r="E1928" t="s">
        <v>815</v>
      </c>
      <c r="F1928" s="2">
        <v>20000</v>
      </c>
      <c r="G1928" t="s">
        <v>998</v>
      </c>
    </row>
    <row r="1929" spans="1:7">
      <c r="A1929" s="1">
        <v>45986</v>
      </c>
      <c r="B1929" s="78">
        <v>45962</v>
      </c>
      <c r="C1929" t="s">
        <v>727</v>
      </c>
      <c r="D1929" t="s">
        <v>3</v>
      </c>
      <c r="E1929" t="s">
        <v>865</v>
      </c>
      <c r="F1929" s="2">
        <v>26.88</v>
      </c>
      <c r="G1929" t="s">
        <v>998</v>
      </c>
    </row>
    <row r="1930" spans="1:7">
      <c r="A1930" s="1">
        <v>45986</v>
      </c>
      <c r="B1930" s="78">
        <v>45962</v>
      </c>
      <c r="C1930" t="s">
        <v>2058</v>
      </c>
      <c r="D1930" t="s">
        <v>8</v>
      </c>
      <c r="E1930" t="s">
        <v>815</v>
      </c>
      <c r="F1930" s="2">
        <v>35000</v>
      </c>
      <c r="G1930" t="s">
        <v>998</v>
      </c>
    </row>
    <row r="1931" spans="1:7">
      <c r="A1931" s="1">
        <v>45986</v>
      </c>
      <c r="B1931" s="78">
        <v>45962</v>
      </c>
      <c r="C1931" t="s">
        <v>727</v>
      </c>
      <c r="D1931" t="s">
        <v>3</v>
      </c>
      <c r="E1931" t="s">
        <v>865</v>
      </c>
      <c r="F1931" s="2">
        <v>26.88</v>
      </c>
      <c r="G1931" t="s">
        <v>998</v>
      </c>
    </row>
    <row r="1932" spans="1:7">
      <c r="A1932" s="1">
        <v>45986</v>
      </c>
      <c r="B1932" s="78">
        <v>45962</v>
      </c>
      <c r="C1932" t="s">
        <v>2059</v>
      </c>
      <c r="D1932" t="s">
        <v>8</v>
      </c>
      <c r="E1932" t="s">
        <v>815</v>
      </c>
      <c r="F1932" s="2">
        <v>52835</v>
      </c>
      <c r="G1932" t="s">
        <v>998</v>
      </c>
    </row>
    <row r="1933" spans="1:7">
      <c r="A1933" s="1">
        <v>45986</v>
      </c>
      <c r="B1933" s="78">
        <v>45962</v>
      </c>
      <c r="C1933" t="s">
        <v>727</v>
      </c>
      <c r="D1933" t="s">
        <v>3</v>
      </c>
      <c r="E1933" t="s">
        <v>865</v>
      </c>
      <c r="F1933" s="2">
        <v>53.75</v>
      </c>
      <c r="G1933" t="s">
        <v>998</v>
      </c>
    </row>
    <row r="1934" spans="1:7">
      <c r="A1934" s="1">
        <v>45986</v>
      </c>
      <c r="B1934" s="78">
        <v>45962</v>
      </c>
      <c r="C1934" t="s">
        <v>2060</v>
      </c>
      <c r="D1934" t="s">
        <v>8</v>
      </c>
      <c r="E1934" t="s">
        <v>815</v>
      </c>
      <c r="F1934" s="2">
        <v>283172.2</v>
      </c>
      <c r="G1934" t="s">
        <v>998</v>
      </c>
    </row>
    <row r="1935" spans="1:7">
      <c r="A1935" s="1">
        <v>45986</v>
      </c>
      <c r="B1935" s="78">
        <v>45962</v>
      </c>
      <c r="C1935" t="s">
        <v>727</v>
      </c>
      <c r="D1935" t="s">
        <v>3</v>
      </c>
      <c r="E1935" t="s">
        <v>865</v>
      </c>
      <c r="F1935" s="2">
        <v>53.75</v>
      </c>
      <c r="G1935" t="s">
        <v>998</v>
      </c>
    </row>
    <row r="1936" spans="1:7">
      <c r="A1936" s="1">
        <v>45986</v>
      </c>
      <c r="B1936" s="78">
        <v>45962</v>
      </c>
      <c r="C1936" t="s">
        <v>2061</v>
      </c>
      <c r="D1936" t="s">
        <v>8</v>
      </c>
      <c r="E1936" t="s">
        <v>815</v>
      </c>
      <c r="F1936" s="2">
        <v>283172.2</v>
      </c>
      <c r="G1936" t="s">
        <v>998</v>
      </c>
    </row>
    <row r="1937" spans="1:7">
      <c r="A1937" s="1">
        <v>45986</v>
      </c>
      <c r="B1937" s="78">
        <v>45962</v>
      </c>
      <c r="C1937" t="s">
        <v>727</v>
      </c>
      <c r="D1937" t="s">
        <v>3</v>
      </c>
      <c r="E1937" t="s">
        <v>865</v>
      </c>
      <c r="F1937" s="2">
        <v>53.75</v>
      </c>
      <c r="G1937" t="s">
        <v>998</v>
      </c>
    </row>
    <row r="1938" spans="1:7">
      <c r="A1938" s="1">
        <v>45986</v>
      </c>
      <c r="B1938" s="78">
        <v>45962</v>
      </c>
      <c r="C1938" t="s">
        <v>2062</v>
      </c>
      <c r="D1938" t="s">
        <v>8</v>
      </c>
      <c r="E1938" t="s">
        <v>815</v>
      </c>
      <c r="F1938" s="2">
        <v>52835</v>
      </c>
      <c r="G1938" t="s">
        <v>998</v>
      </c>
    </row>
    <row r="1939" spans="1:7">
      <c r="A1939" s="1">
        <v>45986</v>
      </c>
      <c r="B1939" s="78">
        <v>45962</v>
      </c>
      <c r="C1939" t="s">
        <v>727</v>
      </c>
      <c r="D1939" t="s">
        <v>3</v>
      </c>
      <c r="E1939" t="s">
        <v>865</v>
      </c>
      <c r="F1939" s="2">
        <v>53.75</v>
      </c>
      <c r="G1939" t="s">
        <v>998</v>
      </c>
    </row>
    <row r="1940" spans="1:7">
      <c r="A1940" s="1">
        <v>45986</v>
      </c>
      <c r="B1940" s="78">
        <v>45962</v>
      </c>
      <c r="C1940" t="s">
        <v>2063</v>
      </c>
      <c r="D1940" t="s">
        <v>8</v>
      </c>
      <c r="E1940" t="s">
        <v>815</v>
      </c>
      <c r="F1940" s="2">
        <v>10000</v>
      </c>
      <c r="G1940" t="s">
        <v>998</v>
      </c>
    </row>
    <row r="1941" spans="1:7">
      <c r="A1941" s="1">
        <v>45986</v>
      </c>
      <c r="B1941" s="78">
        <v>45962</v>
      </c>
      <c r="C1941" t="s">
        <v>727</v>
      </c>
      <c r="D1941" t="s">
        <v>3</v>
      </c>
      <c r="E1941" t="s">
        <v>865</v>
      </c>
      <c r="F1941" s="2">
        <v>26.88</v>
      </c>
      <c r="G1941" t="s">
        <v>998</v>
      </c>
    </row>
    <row r="1942" spans="1:7">
      <c r="A1942" s="1">
        <v>45986</v>
      </c>
      <c r="B1942" s="78">
        <v>45962</v>
      </c>
      <c r="C1942" t="s">
        <v>2064</v>
      </c>
      <c r="D1942" t="s">
        <v>8</v>
      </c>
      <c r="E1942" t="s">
        <v>815</v>
      </c>
      <c r="F1942" s="2">
        <v>158172.20000000001</v>
      </c>
      <c r="G1942" t="s">
        <v>998</v>
      </c>
    </row>
    <row r="1943" spans="1:7">
      <c r="A1943" s="1">
        <v>45986</v>
      </c>
      <c r="B1943" s="78">
        <v>45962</v>
      </c>
      <c r="C1943" t="s">
        <v>727</v>
      </c>
      <c r="D1943" t="s">
        <v>3</v>
      </c>
      <c r="E1943" t="s">
        <v>865</v>
      </c>
      <c r="F1943" s="2">
        <v>53.75</v>
      </c>
      <c r="G1943" t="s">
        <v>998</v>
      </c>
    </row>
    <row r="1944" spans="1:7">
      <c r="A1944" s="1">
        <v>45986</v>
      </c>
      <c r="B1944" s="78">
        <v>45962</v>
      </c>
      <c r="C1944" t="s">
        <v>2065</v>
      </c>
      <c r="D1944" t="s">
        <v>8</v>
      </c>
      <c r="E1944" t="s">
        <v>815</v>
      </c>
      <c r="F1944" s="2">
        <v>71025</v>
      </c>
      <c r="G1944" t="s">
        <v>998</v>
      </c>
    </row>
    <row r="1945" spans="1:7">
      <c r="A1945" s="1">
        <v>45986</v>
      </c>
      <c r="B1945" s="78">
        <v>45962</v>
      </c>
      <c r="C1945" t="s">
        <v>727</v>
      </c>
      <c r="D1945" t="s">
        <v>3</v>
      </c>
      <c r="E1945" t="s">
        <v>865</v>
      </c>
      <c r="F1945" s="2">
        <v>53.75</v>
      </c>
      <c r="G1945" t="s">
        <v>998</v>
      </c>
    </row>
    <row r="1946" spans="1:7">
      <c r="A1946" s="1">
        <v>45986</v>
      </c>
      <c r="B1946" s="78">
        <v>45962</v>
      </c>
      <c r="C1946" t="s">
        <v>2066</v>
      </c>
      <c r="D1946" t="s">
        <v>8</v>
      </c>
      <c r="E1946" t="s">
        <v>815</v>
      </c>
      <c r="F1946" s="2">
        <v>35000</v>
      </c>
      <c r="G1946" t="s">
        <v>998</v>
      </c>
    </row>
    <row r="1947" spans="1:7">
      <c r="A1947" s="1">
        <v>45986</v>
      </c>
      <c r="B1947" s="78">
        <v>45962</v>
      </c>
      <c r="C1947" t="s">
        <v>727</v>
      </c>
      <c r="D1947" t="s">
        <v>3</v>
      </c>
      <c r="E1947" t="s">
        <v>865</v>
      </c>
      <c r="F1947" s="2">
        <v>26.88</v>
      </c>
      <c r="G1947" t="s">
        <v>998</v>
      </c>
    </row>
    <row r="1948" spans="1:7">
      <c r="A1948" s="1">
        <v>45986</v>
      </c>
      <c r="B1948" s="78">
        <v>45962</v>
      </c>
      <c r="C1948" t="s">
        <v>2067</v>
      </c>
      <c r="D1948" t="s">
        <v>8</v>
      </c>
      <c r="E1948" t="s">
        <v>815</v>
      </c>
      <c r="F1948" s="2">
        <v>35000</v>
      </c>
      <c r="G1948" t="s">
        <v>998</v>
      </c>
    </row>
    <row r="1949" spans="1:7">
      <c r="A1949" s="1">
        <v>45986</v>
      </c>
      <c r="B1949" s="78">
        <v>45962</v>
      </c>
      <c r="C1949" t="s">
        <v>727</v>
      </c>
      <c r="D1949" t="s">
        <v>3</v>
      </c>
      <c r="E1949" t="s">
        <v>865</v>
      </c>
      <c r="F1949" s="2">
        <v>26.88</v>
      </c>
      <c r="G1949" t="s">
        <v>998</v>
      </c>
    </row>
    <row r="1950" spans="1:7">
      <c r="A1950" s="1">
        <v>45986</v>
      </c>
      <c r="B1950" s="78">
        <v>45962</v>
      </c>
      <c r="C1950" t="s">
        <v>2068</v>
      </c>
      <c r="D1950" t="s">
        <v>8</v>
      </c>
      <c r="E1950" t="s">
        <v>815</v>
      </c>
      <c r="F1950" s="2">
        <v>2295519.56</v>
      </c>
      <c r="G1950" t="s">
        <v>998</v>
      </c>
    </row>
    <row r="1951" spans="1:7">
      <c r="A1951" s="1">
        <v>45986</v>
      </c>
      <c r="B1951" s="78">
        <v>45962</v>
      </c>
      <c r="C1951" t="s">
        <v>727</v>
      </c>
      <c r="D1951" t="s">
        <v>3</v>
      </c>
      <c r="E1951" t="s">
        <v>865</v>
      </c>
      <c r="F1951" s="2">
        <v>53.75</v>
      </c>
      <c r="G1951" t="s">
        <v>998</v>
      </c>
    </row>
    <row r="1952" spans="1:7">
      <c r="A1952" s="1">
        <v>45986</v>
      </c>
      <c r="B1952" s="78">
        <v>45962</v>
      </c>
      <c r="C1952" t="s">
        <v>727</v>
      </c>
      <c r="D1952" t="s">
        <v>3</v>
      </c>
      <c r="E1952" t="s">
        <v>865</v>
      </c>
      <c r="F1952" s="2">
        <v>26.88</v>
      </c>
      <c r="G1952" t="s">
        <v>998</v>
      </c>
    </row>
    <row r="1953" spans="1:7">
      <c r="A1953" s="1">
        <v>45986</v>
      </c>
      <c r="B1953" s="78">
        <v>45962</v>
      </c>
      <c r="C1953" t="s">
        <v>2069</v>
      </c>
      <c r="D1953" t="s">
        <v>8</v>
      </c>
      <c r="E1953" t="s">
        <v>815</v>
      </c>
      <c r="F1953" s="2">
        <v>20000</v>
      </c>
      <c r="G1953" t="s">
        <v>998</v>
      </c>
    </row>
    <row r="1954" spans="1:7">
      <c r="A1954" s="1">
        <v>45986</v>
      </c>
      <c r="B1954" s="78">
        <v>45962</v>
      </c>
      <c r="C1954" t="s">
        <v>2070</v>
      </c>
      <c r="D1954" t="s">
        <v>8</v>
      </c>
      <c r="E1954" t="s">
        <v>815</v>
      </c>
      <c r="F1954" s="2">
        <v>44432.33</v>
      </c>
      <c r="G1954" t="s">
        <v>998</v>
      </c>
    </row>
    <row r="1955" spans="1:7">
      <c r="A1955" s="1">
        <v>45986</v>
      </c>
      <c r="B1955" s="78">
        <v>45962</v>
      </c>
      <c r="C1955" t="s">
        <v>727</v>
      </c>
      <c r="D1955" t="s">
        <v>3</v>
      </c>
      <c r="E1955" t="s">
        <v>865</v>
      </c>
      <c r="F1955" s="2">
        <v>26.88</v>
      </c>
      <c r="G1955" t="s">
        <v>998</v>
      </c>
    </row>
    <row r="1956" spans="1:7">
      <c r="A1956" s="1">
        <v>45986</v>
      </c>
      <c r="B1956" s="78">
        <v>45962</v>
      </c>
      <c r="C1956" t="s">
        <v>2071</v>
      </c>
      <c r="D1956" t="s">
        <v>8</v>
      </c>
      <c r="E1956" t="s">
        <v>815</v>
      </c>
      <c r="F1956" s="2">
        <v>20000</v>
      </c>
      <c r="G1956" t="s">
        <v>998</v>
      </c>
    </row>
    <row r="1957" spans="1:7">
      <c r="A1957" s="1">
        <v>45986</v>
      </c>
      <c r="B1957" s="78">
        <v>45962</v>
      </c>
      <c r="C1957" t="s">
        <v>727</v>
      </c>
      <c r="D1957" t="s">
        <v>3</v>
      </c>
      <c r="E1957" t="s">
        <v>865</v>
      </c>
      <c r="F1957" s="2">
        <v>26.88</v>
      </c>
      <c r="G1957" t="s">
        <v>998</v>
      </c>
    </row>
    <row r="1958" spans="1:7">
      <c r="A1958" s="1">
        <v>45986</v>
      </c>
      <c r="B1958" s="78">
        <v>45962</v>
      </c>
      <c r="C1958" t="s">
        <v>2072</v>
      </c>
      <c r="D1958" t="s">
        <v>8</v>
      </c>
      <c r="E1958" t="s">
        <v>815</v>
      </c>
      <c r="F1958" s="2">
        <v>35537.5</v>
      </c>
      <c r="G1958" t="s">
        <v>998</v>
      </c>
    </row>
    <row r="1959" spans="1:7">
      <c r="A1959" s="1">
        <v>45986</v>
      </c>
      <c r="B1959" s="78">
        <v>45962</v>
      </c>
      <c r="C1959" t="s">
        <v>727</v>
      </c>
      <c r="D1959" t="s">
        <v>3</v>
      </c>
      <c r="E1959" t="s">
        <v>865</v>
      </c>
      <c r="F1959" s="2">
        <v>26.88</v>
      </c>
      <c r="G1959" t="s">
        <v>998</v>
      </c>
    </row>
    <row r="1960" spans="1:7">
      <c r="A1960" s="1">
        <v>45986</v>
      </c>
      <c r="B1960" s="78">
        <v>45962</v>
      </c>
      <c r="C1960" t="s">
        <v>2073</v>
      </c>
      <c r="D1960" t="s">
        <v>8</v>
      </c>
      <c r="E1960" t="s">
        <v>815</v>
      </c>
      <c r="F1960" s="2">
        <v>27500</v>
      </c>
      <c r="G1960" t="s">
        <v>998</v>
      </c>
    </row>
    <row r="1961" spans="1:7">
      <c r="A1961" s="1">
        <v>45986</v>
      </c>
      <c r="B1961" s="78">
        <v>45962</v>
      </c>
      <c r="C1961" t="s">
        <v>727</v>
      </c>
      <c r="D1961" t="s">
        <v>3</v>
      </c>
      <c r="E1961" t="s">
        <v>865</v>
      </c>
      <c r="F1961" s="2">
        <v>26.88</v>
      </c>
      <c r="G1961" t="s">
        <v>998</v>
      </c>
    </row>
    <row r="1962" spans="1:7">
      <c r="A1962" s="1">
        <v>45986</v>
      </c>
      <c r="B1962" s="78">
        <v>45962</v>
      </c>
      <c r="C1962" t="s">
        <v>2074</v>
      </c>
      <c r="D1962" t="s">
        <v>8</v>
      </c>
      <c r="E1962" t="s">
        <v>815</v>
      </c>
      <c r="F1962" s="2">
        <v>140171.67000000001</v>
      </c>
      <c r="G1962" t="s">
        <v>998</v>
      </c>
    </row>
    <row r="1963" spans="1:7">
      <c r="A1963" s="1">
        <v>45986</v>
      </c>
      <c r="B1963" s="78">
        <v>45962</v>
      </c>
      <c r="C1963" t="s">
        <v>727</v>
      </c>
      <c r="D1963" t="s">
        <v>3</v>
      </c>
      <c r="E1963" t="s">
        <v>865</v>
      </c>
      <c r="F1963" s="2">
        <v>53.75</v>
      </c>
      <c r="G1963" t="s">
        <v>998</v>
      </c>
    </row>
    <row r="1964" spans="1:7">
      <c r="A1964" s="1">
        <v>45986</v>
      </c>
      <c r="B1964" s="78">
        <v>45962</v>
      </c>
      <c r="C1964" t="s">
        <v>2075</v>
      </c>
      <c r="D1964" t="s">
        <v>8</v>
      </c>
      <c r="E1964" t="s">
        <v>815</v>
      </c>
      <c r="F1964" s="2">
        <v>27500</v>
      </c>
      <c r="G1964" t="s">
        <v>998</v>
      </c>
    </row>
    <row r="1965" spans="1:7">
      <c r="A1965" s="1">
        <v>45986</v>
      </c>
      <c r="B1965" s="78">
        <v>45962</v>
      </c>
      <c r="C1965" t="s">
        <v>727</v>
      </c>
      <c r="D1965" t="s">
        <v>3</v>
      </c>
      <c r="E1965" t="s">
        <v>865</v>
      </c>
      <c r="F1965" s="2">
        <v>26.88</v>
      </c>
      <c r="G1965" t="s">
        <v>998</v>
      </c>
    </row>
    <row r="1966" spans="1:7">
      <c r="A1966" s="1">
        <v>45986</v>
      </c>
      <c r="B1966" s="78">
        <v>45962</v>
      </c>
      <c r="C1966" t="s">
        <v>2076</v>
      </c>
      <c r="D1966" t="s">
        <v>8</v>
      </c>
      <c r="E1966" t="s">
        <v>815</v>
      </c>
      <c r="F1966" s="2">
        <v>140171.67000000001</v>
      </c>
      <c r="G1966" t="s">
        <v>998</v>
      </c>
    </row>
    <row r="1967" spans="1:7">
      <c r="A1967" s="1">
        <v>45986</v>
      </c>
      <c r="B1967" s="78">
        <v>45962</v>
      </c>
      <c r="C1967" t="s">
        <v>727</v>
      </c>
      <c r="D1967" t="s">
        <v>3</v>
      </c>
      <c r="E1967" t="s">
        <v>865</v>
      </c>
      <c r="F1967" s="2">
        <v>53.75</v>
      </c>
      <c r="G1967" t="s">
        <v>998</v>
      </c>
    </row>
    <row r="1968" spans="1:7">
      <c r="A1968" s="1">
        <v>45986</v>
      </c>
      <c r="B1968" s="78">
        <v>45962</v>
      </c>
      <c r="C1968" t="s">
        <v>2077</v>
      </c>
      <c r="D1968" t="s">
        <v>8</v>
      </c>
      <c r="E1968" t="s">
        <v>815</v>
      </c>
      <c r="F1968" s="2">
        <v>35000</v>
      </c>
      <c r="G1968" t="s">
        <v>998</v>
      </c>
    </row>
    <row r="1969" spans="1:7">
      <c r="A1969" s="1">
        <v>45986</v>
      </c>
      <c r="B1969" s="78">
        <v>45962</v>
      </c>
      <c r="C1969" t="s">
        <v>727</v>
      </c>
      <c r="D1969" t="s">
        <v>3</v>
      </c>
      <c r="E1969" t="s">
        <v>865</v>
      </c>
      <c r="F1969" s="2">
        <v>26.88</v>
      </c>
      <c r="G1969" t="s">
        <v>998</v>
      </c>
    </row>
    <row r="1970" spans="1:7">
      <c r="A1970" s="1">
        <v>45986</v>
      </c>
      <c r="B1970" s="78">
        <v>45962</v>
      </c>
      <c r="C1970" t="s">
        <v>2078</v>
      </c>
      <c r="D1970" t="s">
        <v>8</v>
      </c>
      <c r="E1970" t="s">
        <v>815</v>
      </c>
      <c r="F1970" s="2">
        <v>20000</v>
      </c>
      <c r="G1970" t="s">
        <v>998</v>
      </c>
    </row>
    <row r="1971" spans="1:7">
      <c r="A1971" s="1">
        <v>45986</v>
      </c>
      <c r="B1971" s="78">
        <v>45962</v>
      </c>
      <c r="C1971" t="s">
        <v>727</v>
      </c>
      <c r="D1971" t="s">
        <v>3</v>
      </c>
      <c r="E1971" t="s">
        <v>865</v>
      </c>
      <c r="F1971" s="2">
        <v>26.88</v>
      </c>
      <c r="G1971" t="s">
        <v>998</v>
      </c>
    </row>
    <row r="1972" spans="1:7">
      <c r="A1972" s="1">
        <v>45986</v>
      </c>
      <c r="B1972" s="78">
        <v>45962</v>
      </c>
      <c r="C1972" t="s">
        <v>2079</v>
      </c>
      <c r="D1972" t="s">
        <v>8</v>
      </c>
      <c r="E1972" t="s">
        <v>815</v>
      </c>
      <c r="F1972" s="2">
        <v>283172.2</v>
      </c>
      <c r="G1972" t="s">
        <v>998</v>
      </c>
    </row>
    <row r="1973" spans="1:7">
      <c r="A1973" s="1">
        <v>45986</v>
      </c>
      <c r="B1973" s="78">
        <v>45962</v>
      </c>
      <c r="C1973" t="s">
        <v>727</v>
      </c>
      <c r="D1973" t="s">
        <v>3</v>
      </c>
      <c r="E1973" t="s">
        <v>865</v>
      </c>
      <c r="F1973" s="2">
        <v>53.75</v>
      </c>
      <c r="G1973" t="s">
        <v>998</v>
      </c>
    </row>
    <row r="1974" spans="1:7">
      <c r="A1974" s="1">
        <v>45986</v>
      </c>
      <c r="B1974" s="78">
        <v>45962</v>
      </c>
      <c r="C1974" t="s">
        <v>2080</v>
      </c>
      <c r="D1974" t="s">
        <v>8</v>
      </c>
      <c r="E1974" t="s">
        <v>815</v>
      </c>
      <c r="F1974" s="2">
        <v>236614.6</v>
      </c>
      <c r="G1974" t="s">
        <v>998</v>
      </c>
    </row>
    <row r="1975" spans="1:7">
      <c r="A1975" s="1">
        <v>45986</v>
      </c>
      <c r="B1975" s="78">
        <v>45962</v>
      </c>
      <c r="C1975" t="s">
        <v>727</v>
      </c>
      <c r="D1975" t="s">
        <v>3</v>
      </c>
      <c r="E1975" t="s">
        <v>865</v>
      </c>
      <c r="F1975" s="2">
        <v>53.75</v>
      </c>
      <c r="G1975" t="s">
        <v>998</v>
      </c>
    </row>
    <row r="1976" spans="1:7">
      <c r="A1976" s="1">
        <v>45986</v>
      </c>
      <c r="B1976" s="78">
        <v>45962</v>
      </c>
      <c r="C1976" t="s">
        <v>2081</v>
      </c>
      <c r="D1976" t="s">
        <v>8</v>
      </c>
      <c r="E1976" t="s">
        <v>815</v>
      </c>
      <c r="F1976" s="2">
        <v>283172.2</v>
      </c>
      <c r="G1976" t="s">
        <v>998</v>
      </c>
    </row>
    <row r="1977" spans="1:7">
      <c r="A1977" s="1">
        <v>45986</v>
      </c>
      <c r="B1977" s="78">
        <v>45962</v>
      </c>
      <c r="C1977" t="s">
        <v>727</v>
      </c>
      <c r="D1977" t="s">
        <v>3</v>
      </c>
      <c r="E1977" t="s">
        <v>865</v>
      </c>
      <c r="F1977" s="2">
        <v>53.75</v>
      </c>
      <c r="G1977" t="s">
        <v>998</v>
      </c>
    </row>
    <row r="1978" spans="1:7">
      <c r="A1978" s="1">
        <v>45986</v>
      </c>
      <c r="B1978" s="78">
        <v>45962</v>
      </c>
      <c r="C1978" t="s">
        <v>2082</v>
      </c>
      <c r="D1978" t="s">
        <v>8</v>
      </c>
      <c r="E1978" t="s">
        <v>815</v>
      </c>
      <c r="F1978" s="2">
        <v>20000</v>
      </c>
      <c r="G1978" t="s">
        <v>998</v>
      </c>
    </row>
    <row r="1979" spans="1:7">
      <c r="A1979" s="1">
        <v>45986</v>
      </c>
      <c r="B1979" s="78">
        <v>45962</v>
      </c>
      <c r="C1979" t="s">
        <v>727</v>
      </c>
      <c r="D1979" t="s">
        <v>3</v>
      </c>
      <c r="E1979" t="s">
        <v>865</v>
      </c>
      <c r="F1979" s="2">
        <v>26.88</v>
      </c>
      <c r="G1979" t="s">
        <v>998</v>
      </c>
    </row>
    <row r="1980" spans="1:7">
      <c r="A1980" s="1">
        <v>45986</v>
      </c>
      <c r="B1980" s="78">
        <v>45962</v>
      </c>
      <c r="C1980" t="s">
        <v>2083</v>
      </c>
      <c r="D1980" t="s">
        <v>8</v>
      </c>
      <c r="E1980" t="s">
        <v>815</v>
      </c>
      <c r="F1980" s="2">
        <v>52835</v>
      </c>
      <c r="G1980" t="s">
        <v>998</v>
      </c>
    </row>
    <row r="1981" spans="1:7">
      <c r="A1981" s="1">
        <v>45986</v>
      </c>
      <c r="B1981" s="78">
        <v>45962</v>
      </c>
      <c r="C1981" t="s">
        <v>727</v>
      </c>
      <c r="D1981" t="s">
        <v>3</v>
      </c>
      <c r="E1981" t="s">
        <v>865</v>
      </c>
      <c r="F1981" s="2">
        <v>53.75</v>
      </c>
      <c r="G1981" t="s">
        <v>998</v>
      </c>
    </row>
    <row r="1982" spans="1:7">
      <c r="A1982" s="1">
        <v>45986</v>
      </c>
      <c r="B1982" s="78">
        <v>45962</v>
      </c>
      <c r="C1982" t="s">
        <v>727</v>
      </c>
      <c r="D1982" t="s">
        <v>3</v>
      </c>
      <c r="E1982" t="s">
        <v>865</v>
      </c>
      <c r="F1982" s="2">
        <v>53.75</v>
      </c>
      <c r="G1982" t="s">
        <v>998</v>
      </c>
    </row>
    <row r="1983" spans="1:7">
      <c r="A1983" s="1">
        <v>45986</v>
      </c>
      <c r="B1983" s="78">
        <v>45962</v>
      </c>
      <c r="C1983" t="s">
        <v>2084</v>
      </c>
      <c r="D1983" t="s">
        <v>8</v>
      </c>
      <c r="E1983" t="s">
        <v>815</v>
      </c>
      <c r="F1983" s="2">
        <v>198220.54</v>
      </c>
      <c r="G1983" t="s">
        <v>998</v>
      </c>
    </row>
    <row r="1984" spans="1:7">
      <c r="A1984" s="1">
        <v>45986</v>
      </c>
      <c r="B1984" s="78">
        <v>45962</v>
      </c>
      <c r="C1984" t="s">
        <v>2085</v>
      </c>
      <c r="D1984" t="s">
        <v>8</v>
      </c>
      <c r="E1984" t="s">
        <v>815</v>
      </c>
      <c r="F1984" s="2">
        <v>35000</v>
      </c>
      <c r="G1984" t="s">
        <v>998</v>
      </c>
    </row>
    <row r="1985" spans="1:7">
      <c r="A1985" s="1">
        <v>45986</v>
      </c>
      <c r="B1985" s="78">
        <v>45962</v>
      </c>
      <c r="C1985" t="s">
        <v>727</v>
      </c>
      <c r="D1985" t="s">
        <v>3</v>
      </c>
      <c r="E1985" t="s">
        <v>865</v>
      </c>
      <c r="F1985" s="2">
        <v>26.88</v>
      </c>
      <c r="G1985" t="s">
        <v>998</v>
      </c>
    </row>
    <row r="1986" spans="1:7">
      <c r="A1986" s="1">
        <v>45986</v>
      </c>
      <c r="B1986" s="78">
        <v>45962</v>
      </c>
      <c r="C1986" t="s">
        <v>2086</v>
      </c>
      <c r="D1986" t="s">
        <v>8</v>
      </c>
      <c r="E1986" t="s">
        <v>815</v>
      </c>
      <c r="F1986" s="2">
        <v>24500</v>
      </c>
      <c r="G1986" t="s">
        <v>998</v>
      </c>
    </row>
    <row r="1987" spans="1:7">
      <c r="A1987" s="1">
        <v>45986</v>
      </c>
      <c r="B1987" s="78">
        <v>45962</v>
      </c>
      <c r="C1987" t="s">
        <v>727</v>
      </c>
      <c r="D1987" t="s">
        <v>3</v>
      </c>
      <c r="E1987" t="s">
        <v>865</v>
      </c>
      <c r="F1987" s="2">
        <v>26.88</v>
      </c>
      <c r="G1987" t="s">
        <v>998</v>
      </c>
    </row>
    <row r="1988" spans="1:7">
      <c r="A1988" s="1">
        <v>45986</v>
      </c>
      <c r="B1988" s="78">
        <v>45962</v>
      </c>
      <c r="C1988" t="s">
        <v>2087</v>
      </c>
      <c r="D1988" t="s">
        <v>8</v>
      </c>
      <c r="E1988" t="s">
        <v>815</v>
      </c>
      <c r="F1988" s="2">
        <v>283172.2</v>
      </c>
      <c r="G1988" t="s">
        <v>998</v>
      </c>
    </row>
    <row r="1989" spans="1:7">
      <c r="A1989" s="1">
        <v>45986</v>
      </c>
      <c r="B1989" s="78">
        <v>45962</v>
      </c>
      <c r="C1989" t="s">
        <v>727</v>
      </c>
      <c r="D1989" t="s">
        <v>3</v>
      </c>
      <c r="E1989" t="s">
        <v>865</v>
      </c>
      <c r="F1989" s="2">
        <v>53.75</v>
      </c>
      <c r="G1989" t="s">
        <v>998</v>
      </c>
    </row>
    <row r="1990" spans="1:7">
      <c r="A1990" s="1">
        <v>45986</v>
      </c>
      <c r="B1990" s="78">
        <v>45962</v>
      </c>
      <c r="C1990" t="s">
        <v>2088</v>
      </c>
      <c r="D1990" t="s">
        <v>8</v>
      </c>
      <c r="E1990" t="s">
        <v>815</v>
      </c>
      <c r="F1990" s="2">
        <v>35000</v>
      </c>
      <c r="G1990" t="s">
        <v>998</v>
      </c>
    </row>
    <row r="1991" spans="1:7">
      <c r="A1991" s="1">
        <v>45986</v>
      </c>
      <c r="B1991" s="78">
        <v>45962</v>
      </c>
      <c r="C1991" t="s">
        <v>727</v>
      </c>
      <c r="D1991" t="s">
        <v>3</v>
      </c>
      <c r="E1991" t="s">
        <v>865</v>
      </c>
      <c r="F1991" s="2">
        <v>26.88</v>
      </c>
      <c r="G1991" t="s">
        <v>998</v>
      </c>
    </row>
    <row r="1992" spans="1:7">
      <c r="A1992" s="1">
        <v>45986</v>
      </c>
      <c r="B1992" s="78">
        <v>45962</v>
      </c>
      <c r="C1992" t="s">
        <v>2089</v>
      </c>
      <c r="D1992" t="s">
        <v>8</v>
      </c>
      <c r="E1992" t="s">
        <v>815</v>
      </c>
      <c r="F1992" s="2">
        <v>52835</v>
      </c>
      <c r="G1992" t="s">
        <v>998</v>
      </c>
    </row>
    <row r="1993" spans="1:7">
      <c r="A1993" s="1">
        <v>45986</v>
      </c>
      <c r="B1993" s="78">
        <v>45962</v>
      </c>
      <c r="C1993" t="s">
        <v>727</v>
      </c>
      <c r="D1993" t="s">
        <v>3</v>
      </c>
      <c r="E1993" t="s">
        <v>865</v>
      </c>
      <c r="F1993" s="2">
        <v>53.75</v>
      </c>
      <c r="G1993" t="s">
        <v>998</v>
      </c>
    </row>
    <row r="1994" spans="1:7">
      <c r="A1994" s="1">
        <v>45986</v>
      </c>
      <c r="B1994" s="78">
        <v>45962</v>
      </c>
      <c r="C1994" t="s">
        <v>2090</v>
      </c>
      <c r="D1994" t="s">
        <v>8</v>
      </c>
      <c r="E1994" t="s">
        <v>815</v>
      </c>
      <c r="F1994" s="2">
        <v>35000</v>
      </c>
      <c r="G1994" t="s">
        <v>998</v>
      </c>
    </row>
    <row r="1995" spans="1:7">
      <c r="A1995" s="1">
        <v>45986</v>
      </c>
      <c r="B1995" s="78">
        <v>45962</v>
      </c>
      <c r="C1995" t="s">
        <v>727</v>
      </c>
      <c r="D1995" t="s">
        <v>3</v>
      </c>
      <c r="E1995" t="s">
        <v>865</v>
      </c>
      <c r="F1995" s="2">
        <v>26.88</v>
      </c>
      <c r="G1995" t="s">
        <v>998</v>
      </c>
    </row>
    <row r="1996" spans="1:7">
      <c r="A1996" s="1">
        <v>45986</v>
      </c>
      <c r="B1996" s="78">
        <v>45962</v>
      </c>
      <c r="C1996" t="s">
        <v>2091</v>
      </c>
      <c r="D1996" s="28" t="s">
        <v>22</v>
      </c>
      <c r="E1996" s="28" t="s">
        <v>974</v>
      </c>
      <c r="F1996" s="131">
        <v>760000</v>
      </c>
      <c r="G1996" t="s">
        <v>998</v>
      </c>
    </row>
    <row r="1997" spans="1:7">
      <c r="A1997" s="1">
        <v>45986</v>
      </c>
      <c r="B1997" s="78">
        <v>45962</v>
      </c>
      <c r="C1997" t="s">
        <v>727</v>
      </c>
      <c r="D1997" t="s">
        <v>3</v>
      </c>
      <c r="E1997" t="s">
        <v>865</v>
      </c>
      <c r="F1997" s="131">
        <v>53.75</v>
      </c>
      <c r="G1997" t="s">
        <v>998</v>
      </c>
    </row>
    <row r="1998" spans="1:7">
      <c r="A1998" s="1">
        <v>45986</v>
      </c>
      <c r="B1998" s="78">
        <v>45962</v>
      </c>
      <c r="C1998" t="s">
        <v>2092</v>
      </c>
      <c r="D1998" s="28" t="s">
        <v>22</v>
      </c>
      <c r="E1998" s="28" t="s">
        <v>974</v>
      </c>
      <c r="F1998" s="131">
        <v>-760000</v>
      </c>
      <c r="G1998" t="s">
        <v>998</v>
      </c>
    </row>
    <row r="1999" spans="1:7">
      <c r="A1999" s="1">
        <v>45986</v>
      </c>
      <c r="B1999" s="78">
        <v>45962</v>
      </c>
      <c r="C1999" t="s">
        <v>1728</v>
      </c>
      <c r="D1999" t="s">
        <v>3</v>
      </c>
      <c r="E1999" t="s">
        <v>865</v>
      </c>
      <c r="F1999" s="131">
        <v>-53.75</v>
      </c>
      <c r="G1999" t="s">
        <v>998</v>
      </c>
    </row>
    <row r="2000" spans="1:7">
      <c r="A2000" s="1">
        <v>45986</v>
      </c>
      <c r="B2000" s="78">
        <v>45962</v>
      </c>
      <c r="C2000" t="s">
        <v>2093</v>
      </c>
      <c r="D2000" s="28" t="s">
        <v>30</v>
      </c>
      <c r="E2000" s="28" t="s">
        <v>984</v>
      </c>
      <c r="F2000" s="2">
        <v>2300000</v>
      </c>
      <c r="G2000" t="s">
        <v>998</v>
      </c>
    </row>
    <row r="2001" spans="1:7">
      <c r="A2001" s="1">
        <v>45986</v>
      </c>
      <c r="B2001" s="78">
        <v>45962</v>
      </c>
      <c r="C2001" t="s">
        <v>727</v>
      </c>
      <c r="D2001" t="s">
        <v>3</v>
      </c>
      <c r="E2001" t="s">
        <v>865</v>
      </c>
      <c r="F2001" s="2">
        <v>53.75</v>
      </c>
      <c r="G2001" t="s">
        <v>998</v>
      </c>
    </row>
    <row r="2002" spans="1:7">
      <c r="A2002" s="1">
        <v>45986</v>
      </c>
      <c r="B2002" s="78">
        <v>45962</v>
      </c>
      <c r="C2002" t="s">
        <v>2094</v>
      </c>
      <c r="D2002" t="s">
        <v>13</v>
      </c>
      <c r="E2002" t="s">
        <v>800</v>
      </c>
      <c r="F2002" s="2">
        <v>1441900</v>
      </c>
      <c r="G2002" t="s">
        <v>998</v>
      </c>
    </row>
    <row r="2003" spans="1:7">
      <c r="A2003" s="1">
        <v>45986</v>
      </c>
      <c r="B2003" s="78">
        <v>45962</v>
      </c>
      <c r="C2003" t="s">
        <v>727</v>
      </c>
      <c r="D2003" t="s">
        <v>3</v>
      </c>
      <c r="E2003" t="s">
        <v>865</v>
      </c>
      <c r="F2003" s="2">
        <v>53.75</v>
      </c>
      <c r="G2003" t="s">
        <v>998</v>
      </c>
    </row>
    <row r="2004" spans="1:7">
      <c r="A2004" s="1">
        <v>45986</v>
      </c>
      <c r="B2004" s="78">
        <v>45962</v>
      </c>
      <c r="C2004" t="s">
        <v>2095</v>
      </c>
      <c r="D2004" s="28" t="s">
        <v>22</v>
      </c>
      <c r="E2004" s="28" t="s">
        <v>974</v>
      </c>
      <c r="F2004" s="131">
        <v>760000</v>
      </c>
      <c r="G2004" t="s">
        <v>998</v>
      </c>
    </row>
    <row r="2005" spans="1:7">
      <c r="A2005" s="1">
        <v>45986</v>
      </c>
      <c r="B2005" s="78">
        <v>45962</v>
      </c>
      <c r="C2005" t="s">
        <v>727</v>
      </c>
      <c r="D2005" t="s">
        <v>3</v>
      </c>
      <c r="E2005" t="s">
        <v>865</v>
      </c>
      <c r="F2005" s="2">
        <v>53.75</v>
      </c>
      <c r="G2005" t="s">
        <v>998</v>
      </c>
    </row>
    <row r="2006" spans="1:7">
      <c r="A2006" s="1">
        <v>45986</v>
      </c>
      <c r="B2006" s="78">
        <v>45962</v>
      </c>
      <c r="C2006" t="s">
        <v>1728</v>
      </c>
      <c r="D2006" t="s">
        <v>3</v>
      </c>
      <c r="E2006" t="s">
        <v>865</v>
      </c>
      <c r="F2006" s="131">
        <v>-53.75</v>
      </c>
      <c r="G2006" t="s">
        <v>998</v>
      </c>
    </row>
    <row r="2007" spans="1:7">
      <c r="A2007" s="1">
        <v>45987</v>
      </c>
      <c r="B2007" s="78">
        <v>45962</v>
      </c>
      <c r="C2007" t="s">
        <v>2096</v>
      </c>
      <c r="D2007" s="28" t="s">
        <v>22</v>
      </c>
      <c r="E2007" s="28" t="s">
        <v>974</v>
      </c>
      <c r="F2007" s="131">
        <v>-760000</v>
      </c>
      <c r="G2007" t="s">
        <v>998</v>
      </c>
    </row>
    <row r="2008" spans="1:7">
      <c r="A2008" s="1">
        <v>45987</v>
      </c>
      <c r="B2008" s="78">
        <v>45962</v>
      </c>
      <c r="C2008" t="s">
        <v>2097</v>
      </c>
      <c r="D2008" t="s">
        <v>15</v>
      </c>
      <c r="E2008" t="s">
        <v>1354</v>
      </c>
      <c r="F2008" s="131">
        <v>-1530500</v>
      </c>
      <c r="G2008" t="s">
        <v>998</v>
      </c>
    </row>
    <row r="2009" spans="1:7">
      <c r="A2009" s="1">
        <v>45987</v>
      </c>
      <c r="B2009" s="78">
        <v>45962</v>
      </c>
      <c r="C2009" t="s">
        <v>2098</v>
      </c>
      <c r="D2009" s="28" t="s">
        <v>1683</v>
      </c>
      <c r="E2009" s="26" t="s">
        <v>32</v>
      </c>
      <c r="F2009" s="131">
        <v>10000000</v>
      </c>
      <c r="G2009" t="s">
        <v>998</v>
      </c>
    </row>
    <row r="2010" spans="1:7">
      <c r="A2010" s="1">
        <v>45987</v>
      </c>
      <c r="B2010" s="78">
        <v>45962</v>
      </c>
      <c r="C2010" t="s">
        <v>727</v>
      </c>
      <c r="D2010" t="s">
        <v>3</v>
      </c>
      <c r="E2010" t="s">
        <v>865</v>
      </c>
      <c r="F2010" s="2">
        <v>53.75</v>
      </c>
      <c r="G2010" t="s">
        <v>998</v>
      </c>
    </row>
    <row r="2011" spans="1:7">
      <c r="A2011" s="1">
        <v>45987</v>
      </c>
      <c r="B2011" s="78">
        <v>45962</v>
      </c>
      <c r="C2011" t="s">
        <v>2099</v>
      </c>
      <c r="D2011" s="28" t="s">
        <v>22</v>
      </c>
      <c r="E2011" s="28" t="s">
        <v>974</v>
      </c>
      <c r="F2011" s="131">
        <v>760000</v>
      </c>
      <c r="G2011" t="s">
        <v>998</v>
      </c>
    </row>
    <row r="2012" spans="1:7">
      <c r="A2012" s="1">
        <v>45987</v>
      </c>
      <c r="B2012" s="78">
        <v>45962</v>
      </c>
      <c r="C2012" t="s">
        <v>727</v>
      </c>
      <c r="D2012" t="s">
        <v>3</v>
      </c>
      <c r="E2012" t="s">
        <v>865</v>
      </c>
      <c r="F2012" s="131">
        <v>53.75</v>
      </c>
      <c r="G2012" t="s">
        <v>998</v>
      </c>
    </row>
    <row r="2013" spans="1:7">
      <c r="A2013" s="1">
        <v>45987</v>
      </c>
      <c r="B2013" s="78">
        <v>45962</v>
      </c>
      <c r="C2013" t="s">
        <v>2100</v>
      </c>
      <c r="D2013" s="28" t="s">
        <v>22</v>
      </c>
      <c r="E2013" s="28" t="s">
        <v>974</v>
      </c>
      <c r="F2013" s="131">
        <v>-760000</v>
      </c>
      <c r="G2013" t="s">
        <v>998</v>
      </c>
    </row>
    <row r="2014" spans="1:7">
      <c r="A2014" s="1">
        <v>45987</v>
      </c>
      <c r="B2014" s="78">
        <v>45962</v>
      </c>
      <c r="C2014" t="s">
        <v>1728</v>
      </c>
      <c r="D2014" t="s">
        <v>3</v>
      </c>
      <c r="E2014" t="s">
        <v>865</v>
      </c>
      <c r="F2014" s="2">
        <v>-53.75</v>
      </c>
      <c r="G2014" t="s">
        <v>998</v>
      </c>
    </row>
    <row r="2015" spans="1:7">
      <c r="A2015" s="1">
        <v>45987</v>
      </c>
      <c r="B2015" s="78">
        <v>45962</v>
      </c>
      <c r="C2015" t="s">
        <v>2101</v>
      </c>
      <c r="D2015" s="28" t="s">
        <v>22</v>
      </c>
      <c r="E2015" s="28" t="s">
        <v>974</v>
      </c>
      <c r="F2015" s="2">
        <v>760000</v>
      </c>
      <c r="G2015" t="s">
        <v>998</v>
      </c>
    </row>
    <row r="2016" spans="1:7">
      <c r="A2016" s="1">
        <v>45987</v>
      </c>
      <c r="B2016" s="78">
        <v>45962</v>
      </c>
      <c r="C2016" t="s">
        <v>727</v>
      </c>
      <c r="D2016" t="s">
        <v>3</v>
      </c>
      <c r="E2016" t="s">
        <v>865</v>
      </c>
      <c r="F2016" s="2">
        <v>53.75</v>
      </c>
      <c r="G2016" t="s">
        <v>998</v>
      </c>
    </row>
    <row r="2017" spans="1:7">
      <c r="A2017" s="1">
        <v>45988</v>
      </c>
      <c r="B2017" s="78">
        <v>45962</v>
      </c>
      <c r="C2017" t="s">
        <v>2102</v>
      </c>
      <c r="D2017" t="s">
        <v>8</v>
      </c>
      <c r="E2017" t="s">
        <v>815</v>
      </c>
      <c r="F2017" s="2">
        <v>20000</v>
      </c>
      <c r="G2017" t="s">
        <v>998</v>
      </c>
    </row>
    <row r="2018" spans="1:7">
      <c r="A2018" s="1">
        <v>45988</v>
      </c>
      <c r="B2018" s="78">
        <v>45962</v>
      </c>
      <c r="C2018" t="s">
        <v>727</v>
      </c>
      <c r="D2018" t="s">
        <v>3</v>
      </c>
      <c r="E2018" t="s">
        <v>865</v>
      </c>
      <c r="F2018" s="2">
        <v>26.88</v>
      </c>
      <c r="G2018" t="s">
        <v>998</v>
      </c>
    </row>
    <row r="2019" spans="1:7">
      <c r="A2019" s="1">
        <v>45988</v>
      </c>
      <c r="B2019" s="78">
        <v>45962</v>
      </c>
      <c r="C2019" t="s">
        <v>2103</v>
      </c>
      <c r="D2019" t="s">
        <v>8</v>
      </c>
      <c r="E2019" t="s">
        <v>815</v>
      </c>
      <c r="F2019" s="2">
        <v>44432.33</v>
      </c>
      <c r="G2019" t="s">
        <v>998</v>
      </c>
    </row>
    <row r="2020" spans="1:7">
      <c r="A2020" s="1">
        <v>45988</v>
      </c>
      <c r="B2020" s="78">
        <v>45962</v>
      </c>
      <c r="C2020" t="s">
        <v>727</v>
      </c>
      <c r="D2020" t="s">
        <v>3</v>
      </c>
      <c r="E2020" t="s">
        <v>865</v>
      </c>
      <c r="F2020" s="2">
        <v>26.88</v>
      </c>
      <c r="G2020" t="s">
        <v>998</v>
      </c>
    </row>
    <row r="2021" spans="1:7">
      <c r="A2021" s="1">
        <v>45989</v>
      </c>
      <c r="B2021" s="78">
        <v>45962</v>
      </c>
      <c r="C2021" t="s">
        <v>2104</v>
      </c>
      <c r="D2021" t="s">
        <v>6</v>
      </c>
      <c r="E2021" t="s">
        <v>840</v>
      </c>
      <c r="F2021" s="2">
        <v>100000</v>
      </c>
      <c r="G2021" t="s">
        <v>998</v>
      </c>
    </row>
    <row r="2022" spans="1:7">
      <c r="A2022" s="1">
        <v>45989</v>
      </c>
      <c r="B2022" s="78">
        <v>45962</v>
      </c>
      <c r="C2022" t="s">
        <v>727</v>
      </c>
      <c r="D2022" t="s">
        <v>3</v>
      </c>
      <c r="E2022" t="s">
        <v>865</v>
      </c>
      <c r="F2022" s="2">
        <v>53.75</v>
      </c>
      <c r="G2022" t="s">
        <v>998</v>
      </c>
    </row>
    <row r="2023" spans="1:7">
      <c r="A2023" s="1">
        <v>45989</v>
      </c>
      <c r="B2023" s="78">
        <v>45962</v>
      </c>
      <c r="C2023" t="s">
        <v>2105</v>
      </c>
      <c r="D2023" t="s">
        <v>6</v>
      </c>
      <c r="E2023" t="s">
        <v>840</v>
      </c>
      <c r="F2023" s="2">
        <v>60000</v>
      </c>
      <c r="G2023" t="s">
        <v>998</v>
      </c>
    </row>
    <row r="2024" spans="1:7">
      <c r="A2024" s="1">
        <v>45989</v>
      </c>
      <c r="B2024" s="78">
        <v>45962</v>
      </c>
      <c r="C2024" t="s">
        <v>727</v>
      </c>
      <c r="D2024" t="s">
        <v>3</v>
      </c>
      <c r="E2024" t="s">
        <v>865</v>
      </c>
      <c r="F2024" s="2">
        <v>53.75</v>
      </c>
      <c r="G2024" t="s">
        <v>998</v>
      </c>
    </row>
    <row r="2025" spans="1:7">
      <c r="A2025" s="1">
        <v>45989</v>
      </c>
      <c r="B2025" s="78">
        <v>45962</v>
      </c>
      <c r="C2025" t="s">
        <v>2106</v>
      </c>
      <c r="D2025" s="28" t="s">
        <v>22</v>
      </c>
      <c r="E2025" s="28" t="s">
        <v>974</v>
      </c>
      <c r="F2025" s="2">
        <v>340000</v>
      </c>
      <c r="G2025" t="s">
        <v>998</v>
      </c>
    </row>
    <row r="2026" spans="1:7">
      <c r="A2026" s="1">
        <v>45989</v>
      </c>
      <c r="B2026" s="78">
        <v>45962</v>
      </c>
      <c r="C2026" t="s">
        <v>727</v>
      </c>
      <c r="D2026" t="s">
        <v>3</v>
      </c>
      <c r="E2026" t="s">
        <v>865</v>
      </c>
      <c r="F2026" s="2">
        <v>53.75</v>
      </c>
      <c r="G2026" t="s">
        <v>998</v>
      </c>
    </row>
    <row r="2027" spans="1:7">
      <c r="A2027" s="1">
        <v>45991</v>
      </c>
      <c r="B2027" s="78">
        <v>45962</v>
      </c>
      <c r="C2027" t="s">
        <v>733</v>
      </c>
      <c r="D2027" t="s">
        <v>3</v>
      </c>
      <c r="E2027" t="s">
        <v>865</v>
      </c>
      <c r="F2027" s="2">
        <v>50</v>
      </c>
      <c r="G2027" t="s">
        <v>998</v>
      </c>
    </row>
    <row r="2028" spans="1:7">
      <c r="A2028" s="1">
        <v>45991</v>
      </c>
      <c r="B2028" s="78">
        <v>45962</v>
      </c>
      <c r="C2028" t="s">
        <v>735</v>
      </c>
      <c r="D2028" t="s">
        <v>3</v>
      </c>
      <c r="E2028" t="s">
        <v>865</v>
      </c>
      <c r="F2028" s="2">
        <v>82047.31</v>
      </c>
      <c r="G2028" t="s">
        <v>998</v>
      </c>
    </row>
    <row r="2029" spans="1:7">
      <c r="A2029" s="1">
        <v>45991</v>
      </c>
      <c r="B2029" s="78">
        <v>45962</v>
      </c>
      <c r="C2029" t="s">
        <v>736</v>
      </c>
      <c r="D2029" t="s">
        <v>3</v>
      </c>
      <c r="E2029" t="s">
        <v>865</v>
      </c>
      <c r="F2029" s="2">
        <v>6153.55</v>
      </c>
      <c r="G2029" t="s">
        <v>998</v>
      </c>
    </row>
    <row r="2030" spans="1:7">
      <c r="A2030" s="8">
        <v>45991</v>
      </c>
      <c r="B2030" s="126">
        <v>45962</v>
      </c>
      <c r="C2030" s="10" t="s">
        <v>2160</v>
      </c>
      <c r="D2030" s="10" t="s">
        <v>714</v>
      </c>
      <c r="E2030" s="86" t="s">
        <v>990</v>
      </c>
      <c r="F2030" s="11">
        <f>-SUM(F1785:F2029)</f>
        <v>-76495472.530000091</v>
      </c>
      <c r="G2030" s="86" t="s">
        <v>998</v>
      </c>
    </row>
    <row r="2031" spans="1:7">
      <c r="A2031" s="1">
        <v>45964</v>
      </c>
      <c r="B2031" s="78">
        <v>45962</v>
      </c>
      <c r="C2031" t="s">
        <v>2107</v>
      </c>
      <c r="D2031" t="s">
        <v>4</v>
      </c>
      <c r="E2031" t="s">
        <v>874</v>
      </c>
      <c r="F2031" s="2">
        <v>150000</v>
      </c>
      <c r="G2031" t="s">
        <v>710</v>
      </c>
    </row>
    <row r="2032" spans="1:7">
      <c r="A2032" s="1">
        <v>45964</v>
      </c>
      <c r="B2032" s="78">
        <v>45962</v>
      </c>
      <c r="C2032" t="s">
        <v>2108</v>
      </c>
      <c r="D2032" t="s">
        <v>3</v>
      </c>
      <c r="E2032" t="s">
        <v>865</v>
      </c>
      <c r="F2032" s="2">
        <v>50</v>
      </c>
      <c r="G2032" t="s">
        <v>710</v>
      </c>
    </row>
    <row r="2033" spans="1:7">
      <c r="A2033" s="1">
        <v>45964</v>
      </c>
      <c r="B2033" s="78">
        <v>45962</v>
      </c>
      <c r="C2033" t="s">
        <v>2107</v>
      </c>
      <c r="D2033" t="s">
        <v>3</v>
      </c>
      <c r="E2033" t="s">
        <v>865</v>
      </c>
      <c r="F2033" s="2">
        <v>3.75</v>
      </c>
      <c r="G2033" t="s">
        <v>710</v>
      </c>
    </row>
    <row r="2034" spans="1:7">
      <c r="A2034" s="1">
        <v>45964</v>
      </c>
      <c r="B2034" s="78">
        <v>45962</v>
      </c>
      <c r="C2034" t="s">
        <v>2109</v>
      </c>
      <c r="D2034" t="s">
        <v>11</v>
      </c>
      <c r="E2034" t="s">
        <v>953</v>
      </c>
      <c r="F2034" s="2">
        <v>57000</v>
      </c>
      <c r="G2034" t="s">
        <v>710</v>
      </c>
    </row>
    <row r="2035" spans="1:7">
      <c r="A2035" s="1">
        <v>45964</v>
      </c>
      <c r="B2035" s="78">
        <v>45962</v>
      </c>
      <c r="C2035" t="s">
        <v>2110</v>
      </c>
      <c r="D2035" t="s">
        <v>3</v>
      </c>
      <c r="E2035" t="s">
        <v>865</v>
      </c>
      <c r="F2035" s="2">
        <v>50</v>
      </c>
      <c r="G2035" t="s">
        <v>710</v>
      </c>
    </row>
    <row r="2036" spans="1:7">
      <c r="A2036" s="1">
        <v>45964</v>
      </c>
      <c r="B2036" s="78">
        <v>45962</v>
      </c>
      <c r="C2036" t="s">
        <v>2109</v>
      </c>
      <c r="D2036" t="s">
        <v>3</v>
      </c>
      <c r="E2036" t="s">
        <v>865</v>
      </c>
      <c r="F2036" s="2">
        <v>3.75</v>
      </c>
      <c r="G2036" t="s">
        <v>710</v>
      </c>
    </row>
    <row r="2037" spans="1:7">
      <c r="A2037" s="1">
        <v>45966</v>
      </c>
      <c r="B2037" s="78">
        <v>45962</v>
      </c>
      <c r="C2037" t="s">
        <v>2111</v>
      </c>
      <c r="D2037" t="s">
        <v>15</v>
      </c>
      <c r="E2037" t="s">
        <v>1353</v>
      </c>
      <c r="F2037" s="2">
        <v>71200</v>
      </c>
      <c r="G2037" t="s">
        <v>710</v>
      </c>
    </row>
    <row r="2038" spans="1:7">
      <c r="A2038" s="1">
        <v>45966</v>
      </c>
      <c r="B2038" s="78">
        <v>45962</v>
      </c>
      <c r="C2038" t="s">
        <v>2112</v>
      </c>
      <c r="D2038" t="s">
        <v>3</v>
      </c>
      <c r="E2038" t="s">
        <v>865</v>
      </c>
      <c r="F2038" s="2">
        <v>50</v>
      </c>
      <c r="G2038" t="s">
        <v>710</v>
      </c>
    </row>
    <row r="2039" spans="1:7">
      <c r="A2039" s="1">
        <v>45966</v>
      </c>
      <c r="B2039" s="78">
        <v>45962</v>
      </c>
      <c r="C2039" t="s">
        <v>2111</v>
      </c>
      <c r="D2039" t="s">
        <v>3</v>
      </c>
      <c r="E2039" t="s">
        <v>865</v>
      </c>
      <c r="F2039" s="2">
        <v>3.75</v>
      </c>
      <c r="G2039" t="s">
        <v>710</v>
      </c>
    </row>
    <row r="2040" spans="1:7">
      <c r="A2040" s="1">
        <v>45966</v>
      </c>
      <c r="B2040" s="78">
        <v>45962</v>
      </c>
      <c r="C2040" t="s">
        <v>2113</v>
      </c>
      <c r="D2040" t="s">
        <v>15</v>
      </c>
      <c r="E2040" t="s">
        <v>1353</v>
      </c>
      <c r="F2040" s="2">
        <v>71200</v>
      </c>
      <c r="G2040" t="s">
        <v>710</v>
      </c>
    </row>
    <row r="2041" spans="1:7">
      <c r="A2041" s="1">
        <v>45966</v>
      </c>
      <c r="B2041" s="78">
        <v>45962</v>
      </c>
      <c r="C2041" t="s">
        <v>2114</v>
      </c>
      <c r="D2041" t="s">
        <v>3</v>
      </c>
      <c r="E2041" t="s">
        <v>865</v>
      </c>
      <c r="F2041" s="2">
        <v>50</v>
      </c>
      <c r="G2041" t="s">
        <v>710</v>
      </c>
    </row>
    <row r="2042" spans="1:7">
      <c r="A2042" s="1">
        <v>45966</v>
      </c>
      <c r="B2042" s="78">
        <v>45962</v>
      </c>
      <c r="C2042" t="s">
        <v>2113</v>
      </c>
      <c r="D2042" t="s">
        <v>3</v>
      </c>
      <c r="E2042" t="s">
        <v>865</v>
      </c>
      <c r="F2042" s="2">
        <v>3.75</v>
      </c>
      <c r="G2042" t="s">
        <v>710</v>
      </c>
    </row>
    <row r="2043" spans="1:7">
      <c r="A2043" s="1">
        <v>45968</v>
      </c>
      <c r="B2043" s="78">
        <v>45962</v>
      </c>
      <c r="C2043" t="s">
        <v>2115</v>
      </c>
      <c r="D2043" t="s">
        <v>15</v>
      </c>
      <c r="E2043" t="s">
        <v>1353</v>
      </c>
      <c r="F2043" s="2">
        <v>96800</v>
      </c>
      <c r="G2043" t="s">
        <v>710</v>
      </c>
    </row>
    <row r="2044" spans="1:7">
      <c r="A2044" s="1">
        <v>45968</v>
      </c>
      <c r="B2044" s="78">
        <v>45962</v>
      </c>
      <c r="C2044" t="s">
        <v>2116</v>
      </c>
      <c r="D2044" t="s">
        <v>3</v>
      </c>
      <c r="E2044" t="s">
        <v>865</v>
      </c>
      <c r="F2044" s="2">
        <v>50</v>
      </c>
      <c r="G2044" t="s">
        <v>710</v>
      </c>
    </row>
    <row r="2045" spans="1:7">
      <c r="A2045" s="1">
        <v>45968</v>
      </c>
      <c r="B2045" s="78">
        <v>45962</v>
      </c>
      <c r="C2045" t="s">
        <v>2117</v>
      </c>
      <c r="D2045" t="s">
        <v>3</v>
      </c>
      <c r="E2045" t="s">
        <v>865</v>
      </c>
      <c r="F2045" s="2">
        <v>3.75</v>
      </c>
      <c r="G2045" t="s">
        <v>710</v>
      </c>
    </row>
    <row r="2046" spans="1:7">
      <c r="A2046" s="1">
        <v>45968</v>
      </c>
      <c r="B2046" s="78">
        <v>45962</v>
      </c>
      <c r="C2046" t="s">
        <v>2118</v>
      </c>
      <c r="D2046" t="s">
        <v>15</v>
      </c>
      <c r="E2046" t="s">
        <v>1353</v>
      </c>
      <c r="F2046" s="2">
        <v>76200</v>
      </c>
      <c r="G2046" t="s">
        <v>710</v>
      </c>
    </row>
    <row r="2047" spans="1:7">
      <c r="A2047" s="1">
        <v>45968</v>
      </c>
      <c r="B2047" s="78">
        <v>45962</v>
      </c>
      <c r="C2047" t="s">
        <v>2119</v>
      </c>
      <c r="D2047" t="s">
        <v>3</v>
      </c>
      <c r="E2047" t="s">
        <v>865</v>
      </c>
      <c r="F2047" s="2">
        <v>50</v>
      </c>
      <c r="G2047" t="s">
        <v>710</v>
      </c>
    </row>
    <row r="2048" spans="1:7">
      <c r="A2048" s="1">
        <v>45968</v>
      </c>
      <c r="B2048" s="78">
        <v>45962</v>
      </c>
      <c r="C2048" t="s">
        <v>2118</v>
      </c>
      <c r="D2048" t="s">
        <v>3</v>
      </c>
      <c r="E2048" t="s">
        <v>865</v>
      </c>
      <c r="F2048" s="2">
        <v>3.75</v>
      </c>
      <c r="G2048" t="s">
        <v>710</v>
      </c>
    </row>
    <row r="2049" spans="1:7">
      <c r="A2049" s="1">
        <v>45972</v>
      </c>
      <c r="B2049" s="78">
        <v>45962</v>
      </c>
      <c r="C2049" t="s">
        <v>2120</v>
      </c>
      <c r="D2049" t="s">
        <v>26</v>
      </c>
      <c r="E2049" t="s">
        <v>976</v>
      </c>
      <c r="F2049" s="2">
        <v>262000</v>
      </c>
      <c r="G2049" t="s">
        <v>710</v>
      </c>
    </row>
    <row r="2050" spans="1:7">
      <c r="A2050" s="1">
        <v>45972</v>
      </c>
      <c r="B2050" s="78">
        <v>45962</v>
      </c>
      <c r="C2050" t="s">
        <v>2121</v>
      </c>
      <c r="D2050" t="s">
        <v>3</v>
      </c>
      <c r="E2050" t="s">
        <v>865</v>
      </c>
      <c r="F2050" s="2">
        <v>50</v>
      </c>
      <c r="G2050" t="s">
        <v>710</v>
      </c>
    </row>
    <row r="2051" spans="1:7">
      <c r="A2051" s="1">
        <v>45972</v>
      </c>
      <c r="B2051" s="78">
        <v>45962</v>
      </c>
      <c r="C2051" t="s">
        <v>2120</v>
      </c>
      <c r="D2051" t="s">
        <v>3</v>
      </c>
      <c r="E2051" t="s">
        <v>865</v>
      </c>
      <c r="F2051" s="2">
        <v>3.75</v>
      </c>
      <c r="G2051" t="s">
        <v>710</v>
      </c>
    </row>
    <row r="2052" spans="1:7">
      <c r="A2052" s="1">
        <v>45972</v>
      </c>
      <c r="B2052" s="78">
        <v>45962</v>
      </c>
      <c r="C2052" t="s">
        <v>2122</v>
      </c>
      <c r="D2052" t="s">
        <v>15</v>
      </c>
      <c r="E2052" t="s">
        <v>1353</v>
      </c>
      <c r="F2052" s="2">
        <v>59500</v>
      </c>
      <c r="G2052" t="s">
        <v>710</v>
      </c>
    </row>
    <row r="2053" spans="1:7">
      <c r="A2053" s="1">
        <v>45972</v>
      </c>
      <c r="B2053" s="78">
        <v>45962</v>
      </c>
      <c r="C2053" t="s">
        <v>2123</v>
      </c>
      <c r="D2053" t="s">
        <v>3</v>
      </c>
      <c r="E2053" t="s">
        <v>865</v>
      </c>
      <c r="F2053" s="2">
        <v>50</v>
      </c>
      <c r="G2053" t="s">
        <v>710</v>
      </c>
    </row>
    <row r="2054" spans="1:7">
      <c r="A2054" s="1">
        <v>45972</v>
      </c>
      <c r="B2054" s="78">
        <v>45962</v>
      </c>
      <c r="C2054" t="s">
        <v>2122</v>
      </c>
      <c r="D2054" t="s">
        <v>3</v>
      </c>
      <c r="E2054" t="s">
        <v>865</v>
      </c>
      <c r="F2054" s="2">
        <v>3.75</v>
      </c>
      <c r="G2054" t="s">
        <v>710</v>
      </c>
    </row>
    <row r="2055" spans="1:7">
      <c r="A2055" s="1">
        <v>45972</v>
      </c>
      <c r="B2055" s="78">
        <v>45962</v>
      </c>
      <c r="C2055" t="s">
        <v>2124</v>
      </c>
      <c r="D2055" t="s">
        <v>15</v>
      </c>
      <c r="E2055" t="s">
        <v>1353</v>
      </c>
      <c r="F2055" s="2">
        <v>40100</v>
      </c>
      <c r="G2055" t="s">
        <v>710</v>
      </c>
    </row>
    <row r="2056" spans="1:7">
      <c r="A2056" s="1">
        <v>45972</v>
      </c>
      <c r="B2056" s="78">
        <v>45962</v>
      </c>
      <c r="C2056" t="s">
        <v>2125</v>
      </c>
      <c r="D2056" t="s">
        <v>3</v>
      </c>
      <c r="E2056" t="s">
        <v>865</v>
      </c>
      <c r="F2056" s="2">
        <v>25</v>
      </c>
      <c r="G2056" t="s">
        <v>710</v>
      </c>
    </row>
    <row r="2057" spans="1:7">
      <c r="A2057" s="1">
        <v>45972</v>
      </c>
      <c r="B2057" s="78">
        <v>45962</v>
      </c>
      <c r="C2057" t="s">
        <v>2124</v>
      </c>
      <c r="D2057" t="s">
        <v>3</v>
      </c>
      <c r="E2057" t="s">
        <v>865</v>
      </c>
      <c r="F2057" s="2">
        <v>1.88</v>
      </c>
      <c r="G2057" t="s">
        <v>710</v>
      </c>
    </row>
    <row r="2058" spans="1:7">
      <c r="A2058" s="1">
        <v>45972</v>
      </c>
      <c r="B2058" s="78">
        <v>45962</v>
      </c>
      <c r="C2058" t="s">
        <v>2126</v>
      </c>
      <c r="D2058" t="s">
        <v>10</v>
      </c>
      <c r="E2058" t="s">
        <v>956</v>
      </c>
      <c r="F2058" s="2">
        <v>16573</v>
      </c>
      <c r="G2058" t="s">
        <v>710</v>
      </c>
    </row>
    <row r="2059" spans="1:7">
      <c r="A2059" s="1">
        <v>45972</v>
      </c>
      <c r="B2059" s="78">
        <v>45962</v>
      </c>
      <c r="C2059" t="s">
        <v>2127</v>
      </c>
      <c r="D2059" t="s">
        <v>3</v>
      </c>
      <c r="E2059" t="s">
        <v>865</v>
      </c>
      <c r="F2059" s="2">
        <v>25</v>
      </c>
      <c r="G2059" t="s">
        <v>710</v>
      </c>
    </row>
    <row r="2060" spans="1:7">
      <c r="A2060" s="1">
        <v>45972</v>
      </c>
      <c r="B2060" s="78">
        <v>45962</v>
      </c>
      <c r="C2060" t="s">
        <v>2128</v>
      </c>
      <c r="D2060" t="s">
        <v>3</v>
      </c>
      <c r="E2060" t="s">
        <v>865</v>
      </c>
      <c r="F2060" s="2">
        <v>1.88</v>
      </c>
      <c r="G2060" t="s">
        <v>710</v>
      </c>
    </row>
    <row r="2061" spans="1:7">
      <c r="A2061" s="1">
        <v>45974</v>
      </c>
      <c r="B2061" s="78">
        <v>45962</v>
      </c>
      <c r="C2061" t="s">
        <v>2129</v>
      </c>
      <c r="D2061" t="s">
        <v>15</v>
      </c>
      <c r="E2061" t="s">
        <v>1353</v>
      </c>
      <c r="F2061" s="2">
        <v>59500</v>
      </c>
      <c r="G2061" t="s">
        <v>710</v>
      </c>
    </row>
    <row r="2062" spans="1:7">
      <c r="A2062" s="1">
        <v>45974</v>
      </c>
      <c r="B2062" s="78">
        <v>45962</v>
      </c>
      <c r="C2062" t="s">
        <v>2130</v>
      </c>
      <c r="D2062" t="s">
        <v>3</v>
      </c>
      <c r="E2062" t="s">
        <v>865</v>
      </c>
      <c r="F2062" s="2">
        <v>50</v>
      </c>
      <c r="G2062" t="s">
        <v>710</v>
      </c>
    </row>
    <row r="2063" spans="1:7">
      <c r="A2063" s="1">
        <v>45974</v>
      </c>
      <c r="B2063" s="78">
        <v>45962</v>
      </c>
      <c r="C2063" t="s">
        <v>2129</v>
      </c>
      <c r="D2063" t="s">
        <v>3</v>
      </c>
      <c r="E2063" t="s">
        <v>865</v>
      </c>
      <c r="F2063" s="2">
        <v>3.75</v>
      </c>
      <c r="G2063" t="s">
        <v>710</v>
      </c>
    </row>
    <row r="2064" spans="1:7">
      <c r="A2064" s="1">
        <v>45978</v>
      </c>
      <c r="B2064" s="78">
        <v>45962</v>
      </c>
      <c r="C2064" t="s">
        <v>2131</v>
      </c>
      <c r="D2064" t="s">
        <v>15</v>
      </c>
      <c r="E2064" t="s">
        <v>1353</v>
      </c>
      <c r="F2064" s="2">
        <v>15300</v>
      </c>
      <c r="G2064" t="s">
        <v>710</v>
      </c>
    </row>
    <row r="2065" spans="1:7">
      <c r="A2065" s="1">
        <v>45978</v>
      </c>
      <c r="B2065" s="78">
        <v>45962</v>
      </c>
      <c r="C2065" t="s">
        <v>2132</v>
      </c>
      <c r="D2065" t="s">
        <v>3</v>
      </c>
      <c r="E2065" t="s">
        <v>865</v>
      </c>
      <c r="F2065" s="2">
        <v>25</v>
      </c>
      <c r="G2065" t="s">
        <v>710</v>
      </c>
    </row>
    <row r="2066" spans="1:7">
      <c r="A2066" s="1">
        <v>45978</v>
      </c>
      <c r="B2066" s="78">
        <v>45962</v>
      </c>
      <c r="C2066" t="s">
        <v>2131</v>
      </c>
      <c r="D2066" t="s">
        <v>3</v>
      </c>
      <c r="E2066" t="s">
        <v>865</v>
      </c>
      <c r="F2066" s="2">
        <v>1.88</v>
      </c>
      <c r="G2066" t="s">
        <v>710</v>
      </c>
    </row>
    <row r="2067" spans="1:7">
      <c r="A2067" s="1">
        <v>45978</v>
      </c>
      <c r="B2067" s="78">
        <v>45962</v>
      </c>
      <c r="C2067" t="s">
        <v>2133</v>
      </c>
      <c r="D2067" t="s">
        <v>15</v>
      </c>
      <c r="E2067" t="s">
        <v>1353</v>
      </c>
      <c r="F2067" s="2">
        <v>17000</v>
      </c>
      <c r="G2067" t="s">
        <v>710</v>
      </c>
    </row>
    <row r="2068" spans="1:7">
      <c r="A2068" s="1">
        <v>45978</v>
      </c>
      <c r="B2068" s="78">
        <v>45962</v>
      </c>
      <c r="C2068" t="s">
        <v>2134</v>
      </c>
      <c r="D2068" t="s">
        <v>3</v>
      </c>
      <c r="E2068" t="s">
        <v>865</v>
      </c>
      <c r="F2068" s="2">
        <v>25</v>
      </c>
      <c r="G2068" t="s">
        <v>710</v>
      </c>
    </row>
    <row r="2069" spans="1:7">
      <c r="A2069" s="1">
        <v>45978</v>
      </c>
      <c r="B2069" s="78">
        <v>45962</v>
      </c>
      <c r="C2069" t="s">
        <v>2133</v>
      </c>
      <c r="D2069" t="s">
        <v>3</v>
      </c>
      <c r="E2069" t="s">
        <v>865</v>
      </c>
      <c r="F2069" s="2">
        <v>1.88</v>
      </c>
      <c r="G2069" t="s">
        <v>710</v>
      </c>
    </row>
    <row r="2070" spans="1:7">
      <c r="A2070" s="1">
        <v>45978</v>
      </c>
      <c r="B2070" s="78">
        <v>45962</v>
      </c>
      <c r="C2070" t="s">
        <v>2135</v>
      </c>
      <c r="D2070" t="s">
        <v>15</v>
      </c>
      <c r="E2070" t="s">
        <v>1353</v>
      </c>
      <c r="F2070" s="2">
        <v>52500</v>
      </c>
      <c r="G2070" t="s">
        <v>710</v>
      </c>
    </row>
    <row r="2071" spans="1:7">
      <c r="A2071" s="1">
        <v>45978</v>
      </c>
      <c r="B2071" s="78">
        <v>45962</v>
      </c>
      <c r="C2071" t="s">
        <v>2136</v>
      </c>
      <c r="D2071" t="s">
        <v>3</v>
      </c>
      <c r="E2071" t="s">
        <v>865</v>
      </c>
      <c r="F2071" s="2">
        <v>50</v>
      </c>
      <c r="G2071" t="s">
        <v>710</v>
      </c>
    </row>
    <row r="2072" spans="1:7">
      <c r="A2072" s="1">
        <v>45978</v>
      </c>
      <c r="B2072" s="78">
        <v>45962</v>
      </c>
      <c r="C2072" t="s">
        <v>2135</v>
      </c>
      <c r="D2072" t="s">
        <v>3</v>
      </c>
      <c r="E2072" t="s">
        <v>865</v>
      </c>
      <c r="F2072" s="2">
        <v>3.75</v>
      </c>
      <c r="G2072" t="s">
        <v>710</v>
      </c>
    </row>
    <row r="2073" spans="1:7">
      <c r="A2073" s="1">
        <v>45979</v>
      </c>
      <c r="B2073" s="78">
        <v>45962</v>
      </c>
      <c r="C2073" t="s">
        <v>2137</v>
      </c>
      <c r="D2073" t="s">
        <v>15</v>
      </c>
      <c r="E2073" t="s">
        <v>1353</v>
      </c>
      <c r="F2073" s="2">
        <v>30700</v>
      </c>
      <c r="G2073" t="s">
        <v>710</v>
      </c>
    </row>
    <row r="2074" spans="1:7">
      <c r="A2074" s="1">
        <v>45979</v>
      </c>
      <c r="B2074" s="78">
        <v>45962</v>
      </c>
      <c r="C2074" t="s">
        <v>2138</v>
      </c>
      <c r="D2074" t="s">
        <v>3</v>
      </c>
      <c r="E2074" t="s">
        <v>865</v>
      </c>
      <c r="F2074" s="2">
        <v>25</v>
      </c>
      <c r="G2074" t="s">
        <v>710</v>
      </c>
    </row>
    <row r="2075" spans="1:7">
      <c r="A2075" s="1">
        <v>45979</v>
      </c>
      <c r="B2075" s="78">
        <v>45962</v>
      </c>
      <c r="C2075" t="s">
        <v>2137</v>
      </c>
      <c r="D2075" t="s">
        <v>3</v>
      </c>
      <c r="E2075" t="s">
        <v>865</v>
      </c>
      <c r="F2075" s="2">
        <v>1.88</v>
      </c>
      <c r="G2075" t="s">
        <v>710</v>
      </c>
    </row>
    <row r="2076" spans="1:7">
      <c r="A2076" s="1">
        <v>45980</v>
      </c>
      <c r="B2076" s="78">
        <v>45962</v>
      </c>
      <c r="C2076" t="s">
        <v>2139</v>
      </c>
      <c r="D2076" s="28" t="s">
        <v>2167</v>
      </c>
      <c r="E2076" t="s">
        <v>2165</v>
      </c>
      <c r="F2076" s="2">
        <v>50000</v>
      </c>
      <c r="G2076" t="s">
        <v>710</v>
      </c>
    </row>
    <row r="2077" spans="1:7">
      <c r="A2077" s="1">
        <v>45980</v>
      </c>
      <c r="B2077" s="78">
        <v>45962</v>
      </c>
      <c r="C2077" t="s">
        <v>2140</v>
      </c>
      <c r="D2077" t="s">
        <v>3</v>
      </c>
      <c r="E2077" t="s">
        <v>865</v>
      </c>
      <c r="F2077" s="2">
        <v>25</v>
      </c>
      <c r="G2077" t="s">
        <v>710</v>
      </c>
    </row>
    <row r="2078" spans="1:7">
      <c r="A2078" s="1">
        <v>45980</v>
      </c>
      <c r="B2078" s="78">
        <v>45962</v>
      </c>
      <c r="C2078" t="s">
        <v>2141</v>
      </c>
      <c r="D2078" t="s">
        <v>3</v>
      </c>
      <c r="E2078" t="s">
        <v>865</v>
      </c>
      <c r="F2078" s="2">
        <v>1.88</v>
      </c>
      <c r="G2078" t="s">
        <v>710</v>
      </c>
    </row>
    <row r="2079" spans="1:7">
      <c r="A2079" s="1">
        <v>45980</v>
      </c>
      <c r="B2079" s="78">
        <v>45962</v>
      </c>
      <c r="C2079" t="s">
        <v>2142</v>
      </c>
      <c r="D2079" s="28" t="s">
        <v>2167</v>
      </c>
      <c r="E2079" t="s">
        <v>2165</v>
      </c>
      <c r="F2079" s="2">
        <v>50000</v>
      </c>
      <c r="G2079" t="s">
        <v>710</v>
      </c>
    </row>
    <row r="2080" spans="1:7">
      <c r="A2080" s="1">
        <v>45980</v>
      </c>
      <c r="B2080" s="78">
        <v>45962</v>
      </c>
      <c r="C2080" t="s">
        <v>2143</v>
      </c>
      <c r="D2080" t="s">
        <v>3</v>
      </c>
      <c r="E2080" t="s">
        <v>865</v>
      </c>
      <c r="F2080" s="2">
        <v>25</v>
      </c>
      <c r="G2080" t="s">
        <v>710</v>
      </c>
    </row>
    <row r="2081" spans="1:7">
      <c r="A2081" s="1">
        <v>45980</v>
      </c>
      <c r="B2081" s="78">
        <v>45962</v>
      </c>
      <c r="C2081" t="s">
        <v>2142</v>
      </c>
      <c r="D2081" t="s">
        <v>3</v>
      </c>
      <c r="E2081" t="s">
        <v>865</v>
      </c>
      <c r="F2081" s="2">
        <v>1.88</v>
      </c>
      <c r="G2081" t="s">
        <v>710</v>
      </c>
    </row>
    <row r="2082" spans="1:7">
      <c r="A2082" s="1">
        <v>45980</v>
      </c>
      <c r="B2082" s="78">
        <v>45962</v>
      </c>
      <c r="C2082" t="s">
        <v>2144</v>
      </c>
      <c r="D2082" s="28" t="s">
        <v>2167</v>
      </c>
      <c r="E2082" t="s">
        <v>2165</v>
      </c>
      <c r="F2082" s="2">
        <v>50000</v>
      </c>
      <c r="G2082" t="s">
        <v>710</v>
      </c>
    </row>
    <row r="2083" spans="1:7">
      <c r="A2083" s="1">
        <v>45980</v>
      </c>
      <c r="B2083" s="78">
        <v>45962</v>
      </c>
      <c r="C2083" t="s">
        <v>2145</v>
      </c>
      <c r="D2083" t="s">
        <v>3</v>
      </c>
      <c r="E2083" t="s">
        <v>865</v>
      </c>
      <c r="F2083" s="2">
        <v>25</v>
      </c>
      <c r="G2083" t="s">
        <v>710</v>
      </c>
    </row>
    <row r="2084" spans="1:7">
      <c r="A2084" s="1">
        <v>45980</v>
      </c>
      <c r="B2084" s="78">
        <v>45962</v>
      </c>
      <c r="C2084" t="s">
        <v>2144</v>
      </c>
      <c r="D2084" t="s">
        <v>3</v>
      </c>
      <c r="E2084" t="s">
        <v>865</v>
      </c>
      <c r="F2084" s="2">
        <v>1.88</v>
      </c>
      <c r="G2084" t="s">
        <v>710</v>
      </c>
    </row>
    <row r="2085" spans="1:7">
      <c r="A2085" s="1">
        <v>45980</v>
      </c>
      <c r="B2085" s="78">
        <v>45962</v>
      </c>
      <c r="C2085" t="s">
        <v>2146</v>
      </c>
      <c r="D2085" s="28" t="s">
        <v>2167</v>
      </c>
      <c r="E2085" t="s">
        <v>2165</v>
      </c>
      <c r="F2085" s="2">
        <v>50000</v>
      </c>
      <c r="G2085" t="s">
        <v>710</v>
      </c>
    </row>
    <row r="2086" spans="1:7">
      <c r="A2086" s="1">
        <v>45980</v>
      </c>
      <c r="B2086" s="78">
        <v>45962</v>
      </c>
      <c r="C2086" t="s">
        <v>2147</v>
      </c>
      <c r="D2086" t="s">
        <v>3</v>
      </c>
      <c r="E2086" t="s">
        <v>865</v>
      </c>
      <c r="F2086" s="2">
        <v>25</v>
      </c>
      <c r="G2086" t="s">
        <v>710</v>
      </c>
    </row>
    <row r="2087" spans="1:7">
      <c r="A2087" s="1">
        <v>45980</v>
      </c>
      <c r="B2087" s="78">
        <v>45962</v>
      </c>
      <c r="C2087" t="s">
        <v>2146</v>
      </c>
      <c r="D2087" t="s">
        <v>3</v>
      </c>
      <c r="E2087" t="s">
        <v>865</v>
      </c>
      <c r="F2087" s="2">
        <v>1.88</v>
      </c>
      <c r="G2087" t="s">
        <v>710</v>
      </c>
    </row>
    <row r="2088" spans="1:7">
      <c r="A2088" s="1">
        <v>45982</v>
      </c>
      <c r="B2088" s="78">
        <v>45962</v>
      </c>
      <c r="C2088" t="s">
        <v>2148</v>
      </c>
      <c r="D2088" t="s">
        <v>15</v>
      </c>
      <c r="E2088" t="s">
        <v>1353</v>
      </c>
      <c r="F2088" s="2">
        <v>8000</v>
      </c>
      <c r="G2088" t="s">
        <v>710</v>
      </c>
    </row>
    <row r="2089" spans="1:7">
      <c r="A2089" s="1">
        <v>45982</v>
      </c>
      <c r="B2089" s="78">
        <v>45962</v>
      </c>
      <c r="C2089" t="s">
        <v>2149</v>
      </c>
      <c r="D2089" t="s">
        <v>3</v>
      </c>
      <c r="E2089" t="s">
        <v>865</v>
      </c>
      <c r="F2089" s="2">
        <v>25</v>
      </c>
      <c r="G2089" t="s">
        <v>710</v>
      </c>
    </row>
    <row r="2090" spans="1:7">
      <c r="A2090" s="1">
        <v>45982</v>
      </c>
      <c r="B2090" s="78">
        <v>45962</v>
      </c>
      <c r="C2090" t="s">
        <v>2148</v>
      </c>
      <c r="D2090" t="s">
        <v>3</v>
      </c>
      <c r="E2090" t="s">
        <v>865</v>
      </c>
      <c r="F2090" s="2">
        <v>1.88</v>
      </c>
      <c r="G2090" t="s">
        <v>710</v>
      </c>
    </row>
    <row r="2091" spans="1:7">
      <c r="A2091" s="1">
        <v>45986</v>
      </c>
      <c r="B2091" s="78">
        <v>45962</v>
      </c>
      <c r="C2091" t="s">
        <v>2150</v>
      </c>
      <c r="D2091" t="s">
        <v>15</v>
      </c>
      <c r="E2091" t="s">
        <v>1353</v>
      </c>
      <c r="F2091" s="2">
        <v>59500</v>
      </c>
      <c r="G2091" t="s">
        <v>710</v>
      </c>
    </row>
    <row r="2092" spans="1:7">
      <c r="A2092" s="1">
        <v>45986</v>
      </c>
      <c r="B2092" s="78">
        <v>45962</v>
      </c>
      <c r="C2092" t="s">
        <v>2151</v>
      </c>
      <c r="D2092" t="s">
        <v>3</v>
      </c>
      <c r="E2092" t="s">
        <v>865</v>
      </c>
      <c r="F2092" s="2">
        <v>50</v>
      </c>
      <c r="G2092" t="s">
        <v>710</v>
      </c>
    </row>
    <row r="2093" spans="1:7">
      <c r="A2093" s="1">
        <v>45986</v>
      </c>
      <c r="B2093" s="78">
        <v>45962</v>
      </c>
      <c r="C2093" t="s">
        <v>2150</v>
      </c>
      <c r="D2093" t="s">
        <v>3</v>
      </c>
      <c r="E2093" t="s">
        <v>865</v>
      </c>
      <c r="F2093" s="2">
        <v>3.75</v>
      </c>
      <c r="G2093" t="s">
        <v>710</v>
      </c>
    </row>
    <row r="2094" spans="1:7">
      <c r="A2094" s="1">
        <v>45988</v>
      </c>
      <c r="B2094" s="78">
        <v>45962</v>
      </c>
      <c r="C2094" t="s">
        <v>2152</v>
      </c>
      <c r="D2094" t="s">
        <v>10</v>
      </c>
      <c r="E2094" t="s">
        <v>956</v>
      </c>
      <c r="F2094" s="2">
        <v>10232.36</v>
      </c>
      <c r="G2094" t="s">
        <v>710</v>
      </c>
    </row>
    <row r="2095" spans="1:7">
      <c r="A2095" s="1">
        <v>45988</v>
      </c>
      <c r="B2095" s="78">
        <v>45962</v>
      </c>
      <c r="C2095" t="s">
        <v>2153</v>
      </c>
      <c r="D2095" t="s">
        <v>3</v>
      </c>
      <c r="E2095" t="s">
        <v>865</v>
      </c>
      <c r="F2095" s="2">
        <v>25</v>
      </c>
      <c r="G2095" t="s">
        <v>710</v>
      </c>
    </row>
    <row r="2096" spans="1:7">
      <c r="A2096" s="1">
        <v>45988</v>
      </c>
      <c r="B2096" s="78">
        <v>45962</v>
      </c>
      <c r="C2096" t="s">
        <v>2152</v>
      </c>
      <c r="D2096" t="s">
        <v>3</v>
      </c>
      <c r="E2096" t="s">
        <v>865</v>
      </c>
      <c r="F2096" s="2">
        <v>1.88</v>
      </c>
      <c r="G2096" t="s">
        <v>710</v>
      </c>
    </row>
    <row r="2097" spans="1:7">
      <c r="A2097" s="1">
        <v>45988</v>
      </c>
      <c r="B2097" s="78">
        <v>45962</v>
      </c>
      <c r="C2097" t="s">
        <v>2154</v>
      </c>
      <c r="D2097" t="s">
        <v>7</v>
      </c>
      <c r="E2097" s="28" t="s">
        <v>1352</v>
      </c>
      <c r="F2097" s="2">
        <v>-87937386.489999995</v>
      </c>
      <c r="G2097" t="s">
        <v>710</v>
      </c>
    </row>
    <row r="2098" spans="1:7">
      <c r="A2098" s="1">
        <v>45988</v>
      </c>
      <c r="B2098" s="78">
        <v>45962</v>
      </c>
      <c r="C2098" t="s">
        <v>2155</v>
      </c>
      <c r="D2098" t="s">
        <v>7</v>
      </c>
      <c r="E2098" s="28" t="s">
        <v>1352</v>
      </c>
      <c r="F2098" s="2">
        <v>-126519419.95</v>
      </c>
      <c r="G2098" t="s">
        <v>710</v>
      </c>
    </row>
    <row r="2099" spans="1:7">
      <c r="A2099" s="1">
        <v>45988</v>
      </c>
      <c r="B2099" s="78">
        <v>45962</v>
      </c>
      <c r="C2099" t="s">
        <v>2156</v>
      </c>
      <c r="D2099" t="s">
        <v>3</v>
      </c>
      <c r="E2099" t="s">
        <v>865</v>
      </c>
      <c r="F2099" s="2">
        <v>50</v>
      </c>
      <c r="G2099" t="s">
        <v>710</v>
      </c>
    </row>
    <row r="2100" spans="1:7">
      <c r="A2100" s="1">
        <v>45988</v>
      </c>
      <c r="B2100" s="78">
        <v>45962</v>
      </c>
      <c r="C2100" t="s">
        <v>2157</v>
      </c>
      <c r="D2100" t="s">
        <v>3</v>
      </c>
      <c r="E2100" t="s">
        <v>865</v>
      </c>
      <c r="F2100" s="2">
        <v>50</v>
      </c>
      <c r="G2100" t="s">
        <v>710</v>
      </c>
    </row>
    <row r="2101" spans="1:7">
      <c r="A2101" s="1">
        <v>45989</v>
      </c>
      <c r="B2101" s="78">
        <v>45962</v>
      </c>
      <c r="C2101" t="s">
        <v>2158</v>
      </c>
      <c r="D2101" t="s">
        <v>3</v>
      </c>
      <c r="E2101" t="s">
        <v>865</v>
      </c>
      <c r="F2101" s="2">
        <v>101.51</v>
      </c>
      <c r="G2101" t="s">
        <v>710</v>
      </c>
    </row>
    <row r="2102" spans="1:7">
      <c r="A2102" s="1">
        <v>45989</v>
      </c>
      <c r="B2102" s="78">
        <v>45962</v>
      </c>
      <c r="C2102" t="s">
        <v>2159</v>
      </c>
      <c r="D2102" t="s">
        <v>3</v>
      </c>
      <c r="E2102" t="s">
        <v>865</v>
      </c>
      <c r="F2102" s="2">
        <v>1353.3</v>
      </c>
      <c r="G2102" t="s">
        <v>710</v>
      </c>
    </row>
    <row r="2103" spans="1:7">
      <c r="A2103" s="8">
        <v>45991</v>
      </c>
      <c r="B2103" s="126">
        <v>45962</v>
      </c>
      <c r="C2103" s="10" t="s">
        <v>2160</v>
      </c>
      <c r="D2103" s="10" t="s">
        <v>714</v>
      </c>
      <c r="E2103" s="86" t="s">
        <v>950</v>
      </c>
      <c r="F2103" s="11">
        <f>-SUM(F2031:F2102)</f>
        <v>213101059.33999997</v>
      </c>
      <c r="G2103" s="86" t="s">
        <v>998</v>
      </c>
    </row>
  </sheetData>
  <autoFilter ref="A1:I1450"/>
  <phoneticPr fontId="14" type="noConversion"/>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31">
        <x14:dataValidation type="list" allowBlank="1" showInputMessage="1" showErrorMessage="1">
          <x14:formula1>
            <xm:f>'Chart of Accounts'!$B$2:$B$138</xm:f>
          </x14:formula1>
          <xm:sqref>E2:E574 E2021 E2023 E2049 E2058 E2094 E2097:E2098</xm:sqref>
        </x14:dataValidation>
        <x14:dataValidation type="list" allowBlank="1" showInputMessage="1" showErrorMessage="1">
          <x14:formula1>
            <xm:f>'Chart of Accounts'!$B$2:$B$138</xm:f>
          </x14:formula1>
          <xm:sqref>E1450:E1452</xm:sqref>
        </x14:dataValidation>
        <x14:dataValidation type="list" allowBlank="1" showInputMessage="1" showErrorMessage="1">
          <x14:formula1>
            <xm:f>'Chart of Accounts'!$B$2:$B$138</xm:f>
          </x14:formula1>
          <xm:sqref>E1437:E1443</xm:sqref>
        </x14:dataValidation>
        <x14:dataValidation type="list" allowBlank="1" showInputMessage="1" showErrorMessage="1">
          <x14:formula1>
            <xm:f>'Chart of Accounts'!$B$2:$B$138</xm:f>
          </x14:formula1>
          <xm:sqref>E1434</xm:sqref>
        </x14:dataValidation>
        <x14:dataValidation type="list" allowBlank="1" showInputMessage="1" showErrorMessage="1">
          <x14:formula1>
            <xm:f>'Chart of Accounts'!$B$2:$B$138</xm:f>
          </x14:formula1>
          <xm:sqref>E1432</xm:sqref>
        </x14:dataValidation>
        <x14:dataValidation type="list" allowBlank="1" showInputMessage="1" showErrorMessage="1">
          <x14:formula1>
            <xm:f>'Chart of Accounts'!$B$2:$B$138</xm:f>
          </x14:formula1>
          <xm:sqref>E1422:E1430 E2009 E1878</xm:sqref>
        </x14:dataValidation>
        <x14:dataValidation type="list" allowBlank="1" showInputMessage="1" showErrorMessage="1">
          <x14:formula1>
            <xm:f>'Chart of Accounts'!$B$2:$B$138</xm:f>
          </x14:formula1>
          <xm:sqref>E1420</xm:sqref>
        </x14:dataValidation>
        <x14:dataValidation type="list" allowBlank="1" showInputMessage="1" showErrorMessage="1">
          <x14:formula1>
            <xm:f>'Chart of Accounts'!$B$2:$B$138</xm:f>
          </x14:formula1>
          <xm:sqref>E1415:E1418</xm:sqref>
        </x14:dataValidation>
        <x14:dataValidation type="list" allowBlank="1" showInputMessage="1" showErrorMessage="1">
          <x14:formula1>
            <xm:f>'Chart of Accounts'!$B$2:$B$138</xm:f>
          </x14:formula1>
          <xm:sqref>E1413</xm:sqref>
        </x14:dataValidation>
        <x14:dataValidation type="list" allowBlank="1" showInputMessage="1" showErrorMessage="1">
          <x14:formula1>
            <xm:f>'Chart of Accounts'!$B$2:$B$138</xm:f>
          </x14:formula1>
          <xm:sqref>E1410:E1411</xm:sqref>
        </x14:dataValidation>
        <x14:dataValidation type="list" allowBlank="1" showInputMessage="1" showErrorMessage="1">
          <x14:formula1>
            <xm:f>'Chart of Accounts'!$B$2:$B$138</xm:f>
          </x14:formula1>
          <xm:sqref>E1364:E1405</xm:sqref>
        </x14:dataValidation>
        <x14:dataValidation type="list" allowBlank="1" showInputMessage="1" showErrorMessage="1">
          <x14:formula1>
            <xm:f>'Chart of Accounts'!$B$2:$B$138</xm:f>
          </x14:formula1>
          <xm:sqref>E1361</xm:sqref>
        </x14:dataValidation>
        <x14:dataValidation type="list" allowBlank="1" showInputMessage="1" showErrorMessage="1">
          <x14:formula1>
            <xm:f>'Chart of Accounts'!$B$2:$B$138</xm:f>
          </x14:formula1>
          <xm:sqref>E1358</xm:sqref>
        </x14:dataValidation>
        <x14:dataValidation type="list" allowBlank="1" showInputMessage="1" showErrorMessage="1">
          <x14:formula1>
            <xm:f>'Chart of Accounts'!$B$2:$B$138</xm:f>
          </x14:formula1>
          <xm:sqref>E1060:E1239</xm:sqref>
        </x14:dataValidation>
        <x14:dataValidation type="list" allowBlank="1" showInputMessage="1" showErrorMessage="1">
          <x14:formula1>
            <xm:f>'Chart of Accounts'!$B$2:$B$138</xm:f>
          </x14:formula1>
          <xm:sqref>E576:E991</xm:sqref>
        </x14:dataValidation>
        <x14:dataValidation type="list" allowBlank="1" showInputMessage="1" showErrorMessage="1">
          <x14:formula1>
            <xm:f>'Chart of Accounts'!$B$2:$B$138</xm:f>
          </x14:formula1>
          <xm:sqref>E1454</xm:sqref>
        </x14:dataValidation>
        <x14:dataValidation type="list" allowBlank="1" showInputMessage="1" showErrorMessage="1">
          <x14:formula1>
            <xm:f>'Chart of Accounts'!$B$2:$B$138</xm:f>
          </x14:formula1>
          <xm:sqref>E1459</xm:sqref>
        </x14:dataValidation>
        <x14:dataValidation type="list" allowBlank="1" showInputMessage="1" showErrorMessage="1">
          <x14:formula1>
            <xm:f>'Chart of Accounts'!$B$2:$B$138</xm:f>
          </x14:formula1>
          <xm:sqref>E1461</xm:sqref>
        </x14:dataValidation>
        <x14:dataValidation type="list" allowBlank="1" showInputMessage="1" showErrorMessage="1">
          <x14:formula1>
            <xm:f>'Chart of Accounts'!$B$2:$B$138</xm:f>
          </x14:formula1>
          <xm:sqref>E1464</xm:sqref>
        </x14:dataValidation>
        <x14:dataValidation type="list" allowBlank="1" showInputMessage="1" showErrorMessage="1">
          <x14:formula1>
            <xm:f>'Chart of Accounts'!$B$2:$B$138</xm:f>
          </x14:formula1>
          <xm:sqref>E1466</xm:sqref>
        </x14:dataValidation>
        <x14:dataValidation type="list" allowBlank="1" showInputMessage="1" showErrorMessage="1">
          <x14:formula1>
            <xm:f>'Chart of Accounts'!$B$2:$B$138</xm:f>
          </x14:formula1>
          <xm:sqref>E1468</xm:sqref>
        </x14:dataValidation>
        <x14:dataValidation type="list" allowBlank="1" showInputMessage="1" showErrorMessage="1">
          <x14:formula1>
            <xm:f>'Chart of Accounts'!$B$2:$B$138</xm:f>
          </x14:formula1>
          <xm:sqref>E1470</xm:sqref>
        </x14:dataValidation>
        <x14:dataValidation type="list" allowBlank="1" showInputMessage="1" showErrorMessage="1">
          <x14:formula1>
            <xm:f>'Chart of Accounts'!$B$2:$B$138</xm:f>
          </x14:formula1>
          <xm:sqref>E1472</xm:sqref>
        </x14:dataValidation>
        <x14:dataValidation type="list" allowBlank="1" showInputMessage="1" showErrorMessage="1">
          <x14:formula1>
            <xm:f>'Chart of Accounts'!$B$2:$B$138</xm:f>
          </x14:formula1>
          <xm:sqref>E1474</xm:sqref>
        </x14:dataValidation>
        <x14:dataValidation type="list" allowBlank="1" showInputMessage="1" showErrorMessage="1">
          <x14:formula1>
            <xm:f>'Chart of Accounts'!$B$2:$B$138</xm:f>
          </x14:formula1>
          <xm:sqref>E1476</xm:sqref>
        </x14:dataValidation>
        <x14:dataValidation type="list" allowBlank="1" showInputMessage="1" showErrorMessage="1">
          <x14:formula1>
            <xm:f>'Chart of Accounts'!$B$2:$B$138</xm:f>
          </x14:formula1>
          <xm:sqref>E1478</xm:sqref>
        </x14:dataValidation>
        <x14:dataValidation type="list" allowBlank="1" showInputMessage="1" showErrorMessage="1">
          <x14:formula1>
            <xm:f>'Chart of Accounts'!$B$2:$B$138</xm:f>
          </x14:formula1>
          <xm:sqref>E1481:E1482</xm:sqref>
        </x14:dataValidation>
        <x14:dataValidation type="list" allowBlank="1" showInputMessage="1" showErrorMessage="1">
          <x14:formula1>
            <xm:f>'Chart of Accounts'!$B$2:$B$138</xm:f>
          </x14:formula1>
          <xm:sqref>E1484</xm:sqref>
        </x14:dataValidation>
        <x14:dataValidation type="list" allowBlank="1" showInputMessage="1" showErrorMessage="1">
          <x14:formula1>
            <xm:f>'Chart of Accounts'!$B$2:$B$138</xm:f>
          </x14:formula1>
          <xm:sqref>E1486:E1487</xm:sqref>
        </x14:dataValidation>
        <x14:dataValidation type="list" allowBlank="1" showInputMessage="1" showErrorMessage="1">
          <x14:formula1>
            <xm:f>'Chart of Accounts'!$B$2:$B$138</xm:f>
          </x14:formula1>
          <xm:sqref>E1489</xm:sqref>
        </x14:dataValidation>
        <x14:dataValidation type="list" allowBlank="1" showInputMessage="1" showErrorMessage="1">
          <x14:formula1>
            <xm:f>'Chart of Accounts'!$B$2:$B$138</xm:f>
          </x14:formula1>
          <xm:sqref>E1491:E1494</xm:sqref>
        </x14:dataValidation>
        <x14:dataValidation type="list" allowBlank="1" showInputMessage="1" showErrorMessage="1">
          <x14:formula1>
            <xm:f>'Chart of Accounts'!$B$2:$B$138</xm:f>
          </x14:formula1>
          <xm:sqref>E1498</xm:sqref>
        </x14:dataValidation>
        <x14:dataValidation type="list" allowBlank="1" showInputMessage="1" showErrorMessage="1">
          <x14:formula1>
            <xm:f>'Chart of Accounts'!$B$2:$B$138</xm:f>
          </x14:formula1>
          <xm:sqref>E1500:E1501</xm:sqref>
        </x14:dataValidation>
        <x14:dataValidation type="list" allowBlank="1" showInputMessage="1" showErrorMessage="1">
          <x14:formula1>
            <xm:f>'Chart of Accounts'!$B$2:$B$138</xm:f>
          </x14:formula1>
          <xm:sqref>E1503</xm:sqref>
        </x14:dataValidation>
        <x14:dataValidation type="list" allowBlank="1" showInputMessage="1" showErrorMessage="1">
          <x14:formula1>
            <xm:f>'Chart of Accounts'!$B$2:$B$138</xm:f>
          </x14:formula1>
          <xm:sqref>E1505</xm:sqref>
        </x14:dataValidation>
        <x14:dataValidation type="list" allowBlank="1" showInputMessage="1" showErrorMessage="1">
          <x14:formula1>
            <xm:f>'Chart of Accounts'!$B$2:$B$138</xm:f>
          </x14:formula1>
          <xm:sqref>E1507</xm:sqref>
        </x14:dataValidation>
        <x14:dataValidation type="list" allowBlank="1" showInputMessage="1" showErrorMessage="1">
          <x14:formula1>
            <xm:f>'Chart of Accounts'!$B$2:$B$138</xm:f>
          </x14:formula1>
          <xm:sqref>E1509</xm:sqref>
        </x14:dataValidation>
        <x14:dataValidation type="list" allowBlank="1" showInputMessage="1" showErrorMessage="1">
          <x14:formula1>
            <xm:f>'Chart of Accounts'!$B$2:$B$138</xm:f>
          </x14:formula1>
          <xm:sqref>E1511</xm:sqref>
        </x14:dataValidation>
        <x14:dataValidation type="list" allowBlank="1" showInputMessage="1" showErrorMessage="1">
          <x14:formula1>
            <xm:f>'Chart of Accounts'!$B$2:$B$138</xm:f>
          </x14:formula1>
          <xm:sqref>E1513</xm:sqref>
        </x14:dataValidation>
        <x14:dataValidation type="list" allowBlank="1" showInputMessage="1" showErrorMessage="1">
          <x14:formula1>
            <xm:f>'Chart of Accounts'!$B$2:$B$138</xm:f>
          </x14:formula1>
          <xm:sqref>E1515:E1516</xm:sqref>
        </x14:dataValidation>
        <x14:dataValidation type="list" allowBlank="1" showInputMessage="1" showErrorMessage="1">
          <x14:formula1>
            <xm:f>'Chart of Accounts'!$B$2:$B$138</xm:f>
          </x14:formula1>
          <xm:sqref>E1518</xm:sqref>
        </x14:dataValidation>
        <x14:dataValidation type="list" allowBlank="1" showInputMessage="1" showErrorMessage="1">
          <x14:formula1>
            <xm:f>'Chart of Accounts'!$B$2:$B$138</xm:f>
          </x14:formula1>
          <xm:sqref>E1520:E1521</xm:sqref>
        </x14:dataValidation>
        <x14:dataValidation type="list" allowBlank="1" showInputMessage="1" showErrorMessage="1">
          <x14:formula1>
            <xm:f>'Chart of Accounts'!$B$2:$B$138</xm:f>
          </x14:formula1>
          <xm:sqref>E1523</xm:sqref>
        </x14:dataValidation>
        <x14:dataValidation type="list" allowBlank="1" showInputMessage="1" showErrorMessage="1">
          <x14:formula1>
            <xm:f>'Chart of Accounts'!$B$2:$B$138</xm:f>
          </x14:formula1>
          <xm:sqref>E1525</xm:sqref>
        </x14:dataValidation>
        <x14:dataValidation type="list" allowBlank="1" showInputMessage="1" showErrorMessage="1">
          <x14:formula1>
            <xm:f>'Chart of Accounts'!$B$2:$B$138</xm:f>
          </x14:formula1>
          <xm:sqref>E1527:E1531</xm:sqref>
        </x14:dataValidation>
        <x14:dataValidation type="list" allowBlank="1" showInputMessage="1" showErrorMessage="1">
          <x14:formula1>
            <xm:f>'Chart of Accounts'!$B$2:$B$138</xm:f>
          </x14:formula1>
          <xm:sqref>E1543</xm:sqref>
        </x14:dataValidation>
        <x14:dataValidation type="list" allowBlank="1" showInputMessage="1" showErrorMessage="1">
          <x14:formula1>
            <xm:f>'Chart of Accounts'!$B$2:$B$138</xm:f>
          </x14:formula1>
          <xm:sqref>E1546</xm:sqref>
        </x14:dataValidation>
        <x14:dataValidation type="list" allowBlank="1" showInputMessage="1" showErrorMessage="1">
          <x14:formula1>
            <xm:f>'Chart of Accounts'!$B$2:$B$138</xm:f>
          </x14:formula1>
          <xm:sqref>E1549</xm:sqref>
        </x14:dataValidation>
        <x14:dataValidation type="list" allowBlank="1" showInputMessage="1" showErrorMessage="1">
          <x14:formula1>
            <xm:f>'Chart of Accounts'!$B$2:$B$138</xm:f>
          </x14:formula1>
          <xm:sqref>E1552</xm:sqref>
        </x14:dataValidation>
        <x14:dataValidation type="list" allowBlank="1" showInputMessage="1" showErrorMessage="1">
          <x14:formula1>
            <xm:f>'Chart of Accounts'!$B$2:$B$138</xm:f>
          </x14:formula1>
          <xm:sqref>E1555</xm:sqref>
        </x14:dataValidation>
        <x14:dataValidation type="list" allowBlank="1" showInputMessage="1" showErrorMessage="1">
          <x14:formula1>
            <xm:f>'Chart of Accounts'!$B$2:$B$138</xm:f>
          </x14:formula1>
          <xm:sqref>E1558</xm:sqref>
        </x14:dataValidation>
        <x14:dataValidation type="list" allowBlank="1" showInputMessage="1" showErrorMessage="1">
          <x14:formula1>
            <xm:f>'Chart of Accounts'!$B$2:$B$138</xm:f>
          </x14:formula1>
          <xm:sqref>E1564</xm:sqref>
        </x14:dataValidation>
        <x14:dataValidation type="list" allowBlank="1" showInputMessage="1" showErrorMessage="1">
          <x14:formula1>
            <xm:f>'Chart of Accounts'!$B$2:$B$138</xm:f>
          </x14:formula1>
          <xm:sqref>E1573</xm:sqref>
        </x14:dataValidation>
        <x14:dataValidation type="list" allowBlank="1" showInputMessage="1" showErrorMessage="1">
          <x14:formula1>
            <xm:f>'Chart of Accounts'!$B$2:$B$138</xm:f>
          </x14:formula1>
          <xm:sqref>E1576</xm:sqref>
        </x14:dataValidation>
        <x14:dataValidation type="list" allowBlank="1" showInputMessage="1" showErrorMessage="1">
          <x14:formula1>
            <xm:f>'Chart of Accounts'!$B$2:$B$138</xm:f>
          </x14:formula1>
          <xm:sqref>E1579</xm:sqref>
        </x14:dataValidation>
        <x14:dataValidation type="list" allowBlank="1" showInputMessage="1" showErrorMessage="1">
          <x14:formula1>
            <xm:f>'Chart of Accounts'!$B$2:$B$138</xm:f>
          </x14:formula1>
          <xm:sqref>E1582</xm:sqref>
        </x14:dataValidation>
        <x14:dataValidation type="list" allowBlank="1" showInputMessage="1" showErrorMessage="1">
          <x14:formula1>
            <xm:f>'Chart of Accounts'!$B$2:$B$138</xm:f>
          </x14:formula1>
          <xm:sqref>E1585:E1587</xm:sqref>
        </x14:dataValidation>
        <x14:dataValidation type="list" allowBlank="1" showInputMessage="1" showErrorMessage="1">
          <x14:formula1>
            <xm:f>'Chart of Accounts'!$B$2:$B$138</xm:f>
          </x14:formula1>
          <xm:sqref>E1590</xm:sqref>
        </x14:dataValidation>
        <x14:dataValidation type="list" allowBlank="1" showInputMessage="1" showErrorMessage="1">
          <x14:formula1>
            <xm:f>'Chart of Accounts'!$B$2:$B$138</xm:f>
          </x14:formula1>
          <xm:sqref>E1593</xm:sqref>
        </x14:dataValidation>
        <x14:dataValidation type="list" allowBlank="1" showInputMessage="1" showErrorMessage="1">
          <x14:formula1>
            <xm:f>'Chart of Accounts'!$B$2:$B$138</xm:f>
          </x14:formula1>
          <xm:sqref>E1599</xm:sqref>
        </x14:dataValidation>
        <x14:dataValidation type="list" allowBlank="1" showInputMessage="1" showErrorMessage="1">
          <x14:formula1>
            <xm:f>'Chart of Accounts'!$B$2:$B$138</xm:f>
          </x14:formula1>
          <xm:sqref>E1602</xm:sqref>
        </x14:dataValidation>
        <x14:dataValidation type="list" allowBlank="1" showInputMessage="1" showErrorMessage="1">
          <x14:formula1>
            <xm:f>'Chart of Accounts'!$B$2:$B$138</xm:f>
          </x14:formula1>
          <xm:sqref>E1605</xm:sqref>
        </x14:dataValidation>
        <x14:dataValidation type="list" allowBlank="1" showInputMessage="1" showErrorMessage="1">
          <x14:formula1>
            <xm:f>'Chart of Accounts'!$B$2:$B$138</xm:f>
          </x14:formula1>
          <xm:sqref>E1608</xm:sqref>
        </x14:dataValidation>
        <x14:dataValidation type="list" allowBlank="1" showInputMessage="1" showErrorMessage="1">
          <x14:formula1>
            <xm:f>'Chart of Accounts'!$B$2:$B$138</xm:f>
          </x14:formula1>
          <xm:sqref>E1611</xm:sqref>
        </x14:dataValidation>
        <x14:dataValidation type="list" allowBlank="1" showInputMessage="1" showErrorMessage="1">
          <x14:formula1>
            <xm:f>'Chart of Accounts'!$B$2:$B$138</xm:f>
          </x14:formula1>
          <xm:sqref>E1614</xm:sqref>
        </x14:dataValidation>
        <x14:dataValidation type="list" allowBlank="1" showInputMessage="1" showErrorMessage="1">
          <x14:formula1>
            <xm:f>'Chart of Accounts'!$B$2:$B$138</xm:f>
          </x14:formula1>
          <xm:sqref>E1617</xm:sqref>
        </x14:dataValidation>
        <x14:dataValidation type="list" allowBlank="1" showInputMessage="1" showErrorMessage="1">
          <x14:formula1>
            <xm:f>'Chart of Accounts'!$B$2:$B$138</xm:f>
          </x14:formula1>
          <xm:sqref>E1620</xm:sqref>
        </x14:dataValidation>
        <x14:dataValidation type="list" allowBlank="1" showInputMessage="1" showErrorMessage="1">
          <x14:formula1>
            <xm:f>'Chart of Accounts'!$B$2:$B$138</xm:f>
          </x14:formula1>
          <xm:sqref>E1623</xm:sqref>
        </x14:dataValidation>
        <x14:dataValidation type="list" allowBlank="1" showInputMessage="1" showErrorMessage="1">
          <x14:formula1>
            <xm:f>'Chart of Accounts'!$B$2:$B$138</xm:f>
          </x14:formula1>
          <xm:sqref>E1626</xm:sqref>
        </x14:dataValidation>
        <x14:dataValidation type="list" allowBlank="1" showInputMessage="1" showErrorMessage="1">
          <x14:formula1>
            <xm:f>'Chart of Accounts'!$B$2:$B$138</xm:f>
          </x14:formula1>
          <xm:sqref>E1629</xm:sqref>
        </x14:dataValidation>
        <x14:dataValidation type="list" allowBlank="1" showInputMessage="1" showErrorMessage="1">
          <x14:formula1>
            <xm:f>'Chart of Accounts'!$B$2:$B$138</xm:f>
          </x14:formula1>
          <xm:sqref>E1632</xm:sqref>
        </x14:dataValidation>
        <x14:dataValidation type="list" allowBlank="1" showInputMessage="1" showErrorMessage="1">
          <x14:formula1>
            <xm:f>'Chart of Accounts'!$B$2:$B$138</xm:f>
          </x14:formula1>
          <xm:sqref>E1635</xm:sqref>
        </x14:dataValidation>
        <x14:dataValidation type="list" allowBlank="1" showInputMessage="1" showErrorMessage="1">
          <x14:formula1>
            <xm:f>'Chart of Accounts'!$B$2:$B$138</xm:f>
          </x14:formula1>
          <xm:sqref>E1638</xm:sqref>
        </x14:dataValidation>
        <x14:dataValidation type="list" allowBlank="1" showInputMessage="1" showErrorMessage="1">
          <x14:formula1>
            <xm:f>'Chart of Accounts'!$B$2:$B$138</xm:f>
          </x14:formula1>
          <xm:sqref>E1641</xm:sqref>
        </x14:dataValidation>
        <x14:dataValidation type="list" allowBlank="1" showInputMessage="1" showErrorMessage="1">
          <x14:formula1>
            <xm:f>'Chart of Accounts'!$B$2:$B$138</xm:f>
          </x14:formula1>
          <xm:sqref>E1644</xm:sqref>
        </x14:dataValidation>
        <x14:dataValidation type="list" allowBlank="1" showInputMessage="1" showErrorMessage="1">
          <x14:formula1>
            <xm:f>'Chart of Accounts'!$B$2:$B$138</xm:f>
          </x14:formula1>
          <xm:sqref>E1647</xm:sqref>
        </x14:dataValidation>
        <x14:dataValidation type="list" allowBlank="1" showInputMessage="1" showErrorMessage="1">
          <x14:formula1>
            <xm:f>'Chart of Accounts'!$B$2:$B$138</xm:f>
          </x14:formula1>
          <xm:sqref>E1650</xm:sqref>
        </x14:dataValidation>
        <x14:dataValidation type="list" allowBlank="1" showInputMessage="1" showErrorMessage="1">
          <x14:formula1>
            <xm:f>'Chart of Accounts'!$B$2:$B$138</xm:f>
          </x14:formula1>
          <xm:sqref>E1653</xm:sqref>
        </x14:dataValidation>
        <x14:dataValidation type="list" allowBlank="1" showInputMessage="1" showErrorMessage="1">
          <x14:formula1>
            <xm:f>'Chart of Accounts'!$B$2:$B$138</xm:f>
          </x14:formula1>
          <xm:sqref>E1656</xm:sqref>
        </x14:dataValidation>
        <x14:dataValidation type="list" allowBlank="1" showInputMessage="1" showErrorMessage="1">
          <x14:formula1>
            <xm:f>'Chart of Accounts'!$B$2:$B$138</xm:f>
          </x14:formula1>
          <xm:sqref>E1659</xm:sqref>
        </x14:dataValidation>
        <x14:dataValidation type="list" allowBlank="1" showInputMessage="1" showErrorMessage="1">
          <x14:formula1>
            <xm:f>'Chart of Accounts'!$B$2:$B$138</xm:f>
          </x14:formula1>
          <xm:sqref>E1662</xm:sqref>
        </x14:dataValidation>
        <x14:dataValidation type="list" allowBlank="1" showInputMessage="1" showErrorMessage="1">
          <x14:formula1>
            <xm:f>'Chart of Accounts'!$B$2:$B$138</xm:f>
          </x14:formula1>
          <xm:sqref>E1665</xm:sqref>
        </x14:dataValidation>
        <x14:dataValidation type="list" allowBlank="1" showInputMessage="1" showErrorMessage="1">
          <x14:formula1>
            <xm:f>'Chart of Accounts'!$B$2:$B$138</xm:f>
          </x14:formula1>
          <xm:sqref>E1668</xm:sqref>
        </x14:dataValidation>
        <x14:dataValidation type="list" allowBlank="1" showInputMessage="1" showErrorMessage="1">
          <x14:formula1>
            <xm:f>'Chart of Accounts'!$B$2:$B$138</xm:f>
          </x14:formula1>
          <xm:sqref>E1671</xm:sqref>
        </x14:dataValidation>
        <x14:dataValidation type="list" allowBlank="1" showInputMessage="1" showErrorMessage="1">
          <x14:formula1>
            <xm:f>'Chart of Accounts'!$B$2:$B$138</xm:f>
          </x14:formula1>
          <xm:sqref>E1674</xm:sqref>
        </x14:dataValidation>
        <x14:dataValidation type="list" allowBlank="1" showInputMessage="1" showErrorMessage="1">
          <x14:formula1>
            <xm:f>'Chart of Accounts'!$B$2:$B$138</xm:f>
          </x14:formula1>
          <xm:sqref>E1677</xm:sqref>
        </x14:dataValidation>
        <x14:dataValidation type="list" allowBlank="1" showInputMessage="1" showErrorMessage="1">
          <x14:formula1>
            <xm:f>'Chart of Accounts'!$B$2:$B$138</xm:f>
          </x14:formula1>
          <xm:sqref>E1680</xm:sqref>
        </x14:dataValidation>
        <x14:dataValidation type="list" allowBlank="1" showInputMessage="1" showErrorMessage="1">
          <x14:formula1>
            <xm:f>'Chart of Accounts'!$B$2:$B$138</xm:f>
          </x14:formula1>
          <xm:sqref>E1683</xm:sqref>
        </x14:dataValidation>
        <x14:dataValidation type="list" allowBlank="1" showInputMessage="1" showErrorMessage="1">
          <x14:formula1>
            <xm:f>'Chart of Accounts'!$B$2:$B$138</xm:f>
          </x14:formula1>
          <xm:sqref>E1686</xm:sqref>
        </x14:dataValidation>
        <x14:dataValidation type="list" allowBlank="1" showInputMessage="1" showErrorMessage="1">
          <x14:formula1>
            <xm:f>'Chart of Accounts'!$B$2:$B$138</xm:f>
          </x14:formula1>
          <xm:sqref>E1689</xm:sqref>
        </x14:dataValidation>
        <x14:dataValidation type="list" allowBlank="1" showInputMessage="1" showErrorMessage="1">
          <x14:formula1>
            <xm:f>'Chart of Accounts'!$B$2:$B$138</xm:f>
          </x14:formula1>
          <xm:sqref>E1692</xm:sqref>
        </x14:dataValidation>
        <x14:dataValidation type="list" allowBlank="1" showInputMessage="1" showErrorMessage="1">
          <x14:formula1>
            <xm:f>'Chart of Accounts'!$B$2:$B$138</xm:f>
          </x14:formula1>
          <xm:sqref>E1695</xm:sqref>
        </x14:dataValidation>
        <x14:dataValidation type="list" allowBlank="1" showInputMessage="1" showErrorMessage="1">
          <x14:formula1>
            <xm:f>'Chart of Accounts'!$B$2:$B$138</xm:f>
          </x14:formula1>
          <xm:sqref>E1698</xm:sqref>
        </x14:dataValidation>
        <x14:dataValidation type="list" allowBlank="1" showInputMessage="1" showErrorMessage="1">
          <x14:formula1>
            <xm:f>'Chart of Accounts'!$B$2:$B$138</xm:f>
          </x14:formula1>
          <xm:sqref>E1701</xm:sqref>
        </x14:dataValidation>
        <x14:dataValidation type="list" allowBlank="1" showInputMessage="1" showErrorMessage="1">
          <x14:formula1>
            <xm:f>'Chart of Accounts'!$B$2:$B$138</xm:f>
          </x14:formula1>
          <xm:sqref>E1704</xm:sqref>
        </x14:dataValidation>
        <x14:dataValidation type="list" allowBlank="1" showInputMessage="1" showErrorMessage="1">
          <x14:formula1>
            <xm:f>'Chart of Accounts'!$B$2:$B$138</xm:f>
          </x14:formula1>
          <xm:sqref>E1707</xm:sqref>
        </x14:dataValidation>
        <x14:dataValidation type="list" allowBlank="1" showInputMessage="1" showErrorMessage="1">
          <x14:formula1>
            <xm:f>'Chart of Accounts'!$B$2:$B$138</xm:f>
          </x14:formula1>
          <xm:sqref>E1710</xm:sqref>
        </x14:dataValidation>
        <x14:dataValidation type="list" allowBlank="1" showInputMessage="1" showErrorMessage="1">
          <x14:formula1>
            <xm:f>'Chart of Accounts'!$B$2:$B$138</xm:f>
          </x14:formula1>
          <xm:sqref>E1713</xm:sqref>
        </x14:dataValidation>
        <x14:dataValidation type="list" allowBlank="1" showInputMessage="1" showErrorMessage="1">
          <x14:formula1>
            <xm:f>'Chart of Accounts'!$B$2:$B$138</xm:f>
          </x14:formula1>
          <xm:sqref>E1716</xm:sqref>
        </x14:dataValidation>
        <x14:dataValidation type="list" allowBlank="1" showInputMessage="1" showErrorMessage="1">
          <x14:formula1>
            <xm:f>'Chart of Accounts'!$B$2:$B$138</xm:f>
          </x14:formula1>
          <xm:sqref>E1719</xm:sqref>
        </x14:dataValidation>
        <x14:dataValidation type="list" allowBlank="1" showInputMessage="1" showErrorMessage="1">
          <x14:formula1>
            <xm:f>'Chart of Accounts'!$B$2:$B$138</xm:f>
          </x14:formula1>
          <xm:sqref>E1722</xm:sqref>
        </x14:dataValidation>
        <x14:dataValidation type="list" allowBlank="1" showInputMessage="1" showErrorMessage="1">
          <x14:formula1>
            <xm:f>'Chart of Accounts'!$B$2:$B$138</xm:f>
          </x14:formula1>
          <xm:sqref>E1725</xm:sqref>
        </x14:dataValidation>
        <x14:dataValidation type="list" allowBlank="1" showInputMessage="1" showErrorMessage="1">
          <x14:formula1>
            <xm:f>'Chart of Accounts'!$B$2:$B$138</xm:f>
          </x14:formula1>
          <xm:sqref>E1728</xm:sqref>
        </x14:dataValidation>
        <x14:dataValidation type="list" allowBlank="1" showInputMessage="1" showErrorMessage="1">
          <x14:formula1>
            <xm:f>'Chart of Accounts'!$B$2:$B$138</xm:f>
          </x14:formula1>
          <xm:sqref>E1731</xm:sqref>
        </x14:dataValidation>
        <x14:dataValidation type="list" allowBlank="1" showInputMessage="1" showErrorMessage="1">
          <x14:formula1>
            <xm:f>'Chart of Accounts'!$B$2:$B$138</xm:f>
          </x14:formula1>
          <xm:sqref>E1734</xm:sqref>
        </x14:dataValidation>
        <x14:dataValidation type="list" allowBlank="1" showInputMessage="1" showErrorMessage="1">
          <x14:formula1>
            <xm:f>'Chart of Accounts'!$B$2:$B$138</xm:f>
          </x14:formula1>
          <xm:sqref>E1737</xm:sqref>
        </x14:dataValidation>
        <x14:dataValidation type="list" allowBlank="1" showInputMessage="1" showErrorMessage="1">
          <x14:formula1>
            <xm:f>'Chart of Accounts'!$B$2:$B$138</xm:f>
          </x14:formula1>
          <xm:sqref>E1740</xm:sqref>
        </x14:dataValidation>
        <x14:dataValidation type="list" allowBlank="1" showInputMessage="1" showErrorMessage="1">
          <x14:formula1>
            <xm:f>'Chart of Accounts'!$B$2:$B$138</xm:f>
          </x14:formula1>
          <xm:sqref>E1743</xm:sqref>
        </x14:dataValidation>
        <x14:dataValidation type="list" allowBlank="1" showInputMessage="1" showErrorMessage="1">
          <x14:formula1>
            <xm:f>'Chart of Accounts'!$B$2:$B$138</xm:f>
          </x14:formula1>
          <xm:sqref>E1746</xm:sqref>
        </x14:dataValidation>
        <x14:dataValidation type="list" allowBlank="1" showInputMessage="1" showErrorMessage="1">
          <x14:formula1>
            <xm:f>'Chart of Accounts'!$B$2:$B$138</xm:f>
          </x14:formula1>
          <xm:sqref>E1749</xm:sqref>
        </x14:dataValidation>
        <x14:dataValidation type="list" allowBlank="1" showInputMessage="1" showErrorMessage="1">
          <x14:formula1>
            <xm:f>'Chart of Accounts'!$B$2:$B$138</xm:f>
          </x14:formula1>
          <xm:sqref>E1752</xm:sqref>
        </x14:dataValidation>
        <x14:dataValidation type="list" allowBlank="1" showInputMessage="1" showErrorMessage="1">
          <x14:formula1>
            <xm:f>'Chart of Accounts'!$B$2:$B$138</xm:f>
          </x14:formula1>
          <xm:sqref>E1755</xm:sqref>
        </x14:dataValidation>
        <x14:dataValidation type="list" allowBlank="1" showInputMessage="1" showErrorMessage="1">
          <x14:formula1>
            <xm:f>'Chart of Accounts'!$B$2:$B$138</xm:f>
          </x14:formula1>
          <xm:sqref>E1758</xm:sqref>
        </x14:dataValidation>
        <x14:dataValidation type="list" allowBlank="1" showInputMessage="1" showErrorMessage="1">
          <x14:formula1>
            <xm:f>'Chart of Accounts'!$B$2:$B$138</xm:f>
          </x14:formula1>
          <xm:sqref>E1761</xm:sqref>
        </x14:dataValidation>
        <x14:dataValidation type="list" allowBlank="1" showInputMessage="1" showErrorMessage="1">
          <x14:formula1>
            <xm:f>'Chart of Accounts'!$B$2:$B$138</xm:f>
          </x14:formula1>
          <xm:sqref>E1764</xm:sqref>
        </x14:dataValidation>
        <x14:dataValidation type="list" allowBlank="1" showInputMessage="1" showErrorMessage="1">
          <x14:formula1>
            <xm:f>'Chart of Accounts'!$B$2:$B$138</xm:f>
          </x14:formula1>
          <xm:sqref>E1767:E1770</xm:sqref>
        </x14:dataValidation>
        <x14:dataValidation type="list" allowBlank="1" showInputMessage="1" showErrorMessage="1">
          <x14:formula1>
            <xm:f>'Chart of Accounts'!$B$2:$B$138</xm:f>
          </x14:formula1>
          <xm:sqref>E1773:E1789</xm:sqref>
        </x14:dataValidation>
        <x14:dataValidation type="list" allowBlank="1" showInputMessage="1" showErrorMessage="1">
          <x14:formula1>
            <xm:f>'Chart of Accounts'!$B$2:$B$138</xm:f>
          </x14:formula1>
          <xm:sqref>E1852</xm:sqref>
        </x14:dataValidation>
        <x14:dataValidation type="list" allowBlank="1" showInputMessage="1" showErrorMessage="1">
          <x14:formula1>
            <xm:f>'Chart of Accounts'!$B$2:$B$138</xm:f>
          </x14:formula1>
          <xm:sqref>E1866:E1869</xm:sqref>
        </x14:dataValidation>
        <x14:dataValidation type="list" allowBlank="1" showInputMessage="1" showErrorMessage="1">
          <x14:formula1>
            <xm:f>'Chart of Accounts'!$B$2:$B$138</xm:f>
          </x14:formula1>
          <xm:sqref>E2030:E2031 E2103</xm:sqref>
        </x14:dataValidation>
        <x14:dataValidation type="list" allowBlank="1" showInputMessage="1" showErrorMessage="1">
          <x14:formula1>
            <xm:f>'Chart of Accounts'!$B$2:$B$138</xm:f>
          </x14:formula1>
          <xm:sqref>E1837 E1827</xm:sqref>
        </x14:dataValidation>
        <x14:dataValidation type="list" allowBlank="1" showInputMessage="1" showErrorMessage="1">
          <x14:formula1>
            <xm:f>'Chart of Accounts'!$B$2:$B$138</xm:f>
          </x14:formula1>
          <xm:sqref>E1840</xm:sqref>
        </x14:dataValidation>
        <x14:dataValidation type="list" allowBlank="1" showInputMessage="1" showErrorMessage="1">
          <x14:formula1>
            <xm:f>'Chart of Accounts'!$B$2:$B$138</xm:f>
          </x14:formula1>
          <xm:sqref>E1880 E2076 E2079 E2082 E2085</xm:sqref>
        </x14:dataValidation>
        <x14:dataValidation type="list" allowBlank="1" showInputMessage="1" showErrorMessage="1">
          <x14:formula1>
            <xm:f>'Chart of Accounts'!$B$2:$B$138</xm:f>
          </x14:formula1>
          <xm:sqref>E1883</xm:sqref>
        </x14:dataValidation>
        <x14:dataValidation type="list" allowBlank="1" showInputMessage="1" showErrorMessage="1">
          <x14:formula1>
            <xm:f>'Chart of Accounts'!$B$2:$B$138</xm:f>
          </x14:formula1>
          <xm:sqref>E1885</xm:sqref>
        </x14:dataValidation>
        <x14:dataValidation type="list" allowBlank="1" showInputMessage="1" showErrorMessage="1">
          <x14:formula1>
            <xm:f>'Chart of Accounts'!$B$2:$B$138</xm:f>
          </x14:formula1>
          <xm:sqref>E1887</xm:sqref>
        </x14:dataValidation>
        <x14:dataValidation type="list" allowBlank="1" showInputMessage="1" showErrorMessage="1">
          <x14:formula1>
            <xm:f>'Chart of Accounts'!$B$2:$B$138</xm:f>
          </x14:formula1>
          <xm:sqref>E1889</xm:sqref>
        </x14:dataValidation>
        <x14:dataValidation type="list" allowBlank="1" showInputMessage="1" showErrorMessage="1">
          <x14:formula1>
            <xm:f>'Chart of Accounts'!$B$2:$B$138</xm:f>
          </x14:formula1>
          <xm:sqref>E1891</xm:sqref>
        </x14:dataValidation>
        <x14:dataValidation type="list" allowBlank="1" showInputMessage="1" showErrorMessage="1">
          <x14:formula1>
            <xm:f>'Chart of Accounts'!$B$2:$B$138</xm:f>
          </x14:formula1>
          <xm:sqref>E1893</xm:sqref>
        </x14:dataValidation>
        <x14:dataValidation type="list" allowBlank="1" showInputMessage="1" showErrorMessage="1">
          <x14:formula1>
            <xm:f>'Chart of Accounts'!$B$2:$B$138</xm:f>
          </x14:formula1>
          <xm:sqref>E1895</xm:sqref>
        </x14:dataValidation>
        <x14:dataValidation type="list" allowBlank="1" showInputMessage="1" showErrorMessage="1">
          <x14:formula1>
            <xm:f>'Chart of Accounts'!$B$2:$B$138</xm:f>
          </x14:formula1>
          <xm:sqref>E1900</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sheetPr>
  <dimension ref="A2:G2103"/>
  <sheetViews>
    <sheetView showGridLines="0" zoomScale="110" zoomScaleNormal="110" workbookViewId="0">
      <selection activeCell="F1785" sqref="F1785:F2030"/>
    </sheetView>
  </sheetViews>
  <sheetFormatPr defaultRowHeight="13"/>
  <cols>
    <col min="2" max="2" width="28" customWidth="1"/>
    <col min="3" max="3" width="18.69921875" customWidth="1"/>
  </cols>
  <sheetData>
    <row r="2" spans="2:3">
      <c r="B2" s="21" t="s">
        <v>951</v>
      </c>
    </row>
    <row r="3" spans="2:3">
      <c r="B3" s="28" t="s">
        <v>1706</v>
      </c>
      <c r="C3" s="77">
        <f>'MoM Transactions'!D27+'MoM Transactions'!E27</f>
        <v>2427592.5</v>
      </c>
    </row>
    <row r="4" spans="2:3">
      <c r="B4" s="28" t="s">
        <v>1710</v>
      </c>
      <c r="C4" s="77">
        <f>-GL_Transactions!F1444</f>
        <v>372500</v>
      </c>
    </row>
    <row r="5" spans="2:3">
      <c r="B5" s="28" t="s">
        <v>1710</v>
      </c>
      <c r="C5" s="77">
        <f>-GL_Transactions!F1445</f>
        <v>422500</v>
      </c>
    </row>
    <row r="6" spans="2:3">
      <c r="B6" s="28" t="s">
        <v>1711</v>
      </c>
      <c r="C6" s="77">
        <f>-GL_Transactions!F1446</f>
        <v>200000</v>
      </c>
    </row>
    <row r="7" spans="2:3">
      <c r="B7" s="28" t="s">
        <v>1709</v>
      </c>
      <c r="C7" s="119">
        <f>SUM(C3:C6)</f>
        <v>3422592.5</v>
      </c>
    </row>
    <row r="8" spans="2:3">
      <c r="B8" s="28" t="s">
        <v>1708</v>
      </c>
      <c r="C8" s="77">
        <f>GL_Transactions!F1448</f>
        <v>-3422590</v>
      </c>
    </row>
    <row r="9" spans="2:3" ht="13.5" thickBot="1">
      <c r="B9" s="28" t="s">
        <v>1707</v>
      </c>
      <c r="C9" s="120">
        <f>C8+C7</f>
        <v>2.5</v>
      </c>
    </row>
    <row r="10" spans="2:3" ht="13.5" thickTop="1"/>
    <row r="2032" spans="4:7">
      <c r="D2032">
        <v>50</v>
      </c>
      <c r="F2032">
        <v>547690.81000000006</v>
      </c>
      <c r="G2032" t="s">
        <v>710</v>
      </c>
    </row>
    <row r="2033" spans="1:7">
      <c r="F2033">
        <v>547687.06000000006</v>
      </c>
      <c r="G2033" t="s">
        <v>710</v>
      </c>
    </row>
    <row r="2034" spans="1:7">
      <c r="C2034" t="s">
        <v>2107</v>
      </c>
      <c r="F2034">
        <v>3.75</v>
      </c>
      <c r="G2034" t="s">
        <v>710</v>
      </c>
    </row>
    <row r="2035" spans="1:7">
      <c r="C2035" t="s">
        <v>2109</v>
      </c>
      <c r="F2035">
        <v>57000</v>
      </c>
      <c r="G2035" t="s">
        <v>710</v>
      </c>
    </row>
    <row r="2036" spans="1:7">
      <c r="C2036" t="s">
        <v>2110</v>
      </c>
      <c r="F2036">
        <v>50</v>
      </c>
      <c r="G2036" t="s">
        <v>710</v>
      </c>
    </row>
    <row r="2037" spans="1:7">
      <c r="C2037" t="s">
        <v>2109</v>
      </c>
      <c r="F2037">
        <v>3.75</v>
      </c>
      <c r="G2037" t="s">
        <v>710</v>
      </c>
    </row>
    <row r="2038" spans="1:7">
      <c r="A2038" s="1">
        <v>45966</v>
      </c>
      <c r="C2038" t="s">
        <v>2111</v>
      </c>
      <c r="F2038">
        <v>71200</v>
      </c>
      <c r="G2038" t="s">
        <v>710</v>
      </c>
    </row>
    <row r="2039" spans="1:7">
      <c r="A2039" s="1">
        <v>45966</v>
      </c>
      <c r="C2039" t="s">
        <v>2112</v>
      </c>
      <c r="F2039">
        <v>50</v>
      </c>
      <c r="G2039" t="s">
        <v>710</v>
      </c>
    </row>
    <row r="2040" spans="1:7">
      <c r="A2040" s="1">
        <v>45966</v>
      </c>
      <c r="C2040" t="s">
        <v>2111</v>
      </c>
      <c r="F2040">
        <v>3.75</v>
      </c>
      <c r="G2040" t="s">
        <v>710</v>
      </c>
    </row>
    <row r="2041" spans="1:7">
      <c r="A2041" s="1">
        <v>45966</v>
      </c>
      <c r="C2041" t="s">
        <v>2113</v>
      </c>
      <c r="D2041" t="s">
        <v>15</v>
      </c>
      <c r="E2041" t="s">
        <v>1353</v>
      </c>
      <c r="F2041">
        <v>71200</v>
      </c>
      <c r="G2041" t="s">
        <v>710</v>
      </c>
    </row>
    <row r="2042" spans="1:7">
      <c r="A2042" s="1">
        <v>45966</v>
      </c>
      <c r="C2042" t="s">
        <v>2114</v>
      </c>
      <c r="F2042">
        <v>50</v>
      </c>
      <c r="G2042" t="s">
        <v>710</v>
      </c>
    </row>
    <row r="2043" spans="1:7">
      <c r="A2043" s="1">
        <v>45966</v>
      </c>
      <c r="C2043" t="s">
        <v>2113</v>
      </c>
      <c r="F2043">
        <v>3.75</v>
      </c>
      <c r="G2043" t="s">
        <v>710</v>
      </c>
    </row>
    <row r="2044" spans="1:7">
      <c r="A2044" s="1">
        <v>45968</v>
      </c>
      <c r="C2044" t="s">
        <v>2115</v>
      </c>
      <c r="D2044" t="s">
        <v>15</v>
      </c>
      <c r="E2044" t="s">
        <v>1353</v>
      </c>
      <c r="F2044">
        <v>96800</v>
      </c>
      <c r="G2044" t="s">
        <v>710</v>
      </c>
    </row>
    <row r="2045" spans="1:7">
      <c r="A2045" s="1">
        <v>45968</v>
      </c>
      <c r="C2045" t="s">
        <v>2116</v>
      </c>
      <c r="D2045" t="s">
        <v>3</v>
      </c>
      <c r="E2045" t="s">
        <v>865</v>
      </c>
      <c r="F2045">
        <v>50</v>
      </c>
      <c r="G2045" t="s">
        <v>710</v>
      </c>
    </row>
    <row r="2046" spans="1:7">
      <c r="A2046" s="1">
        <v>45968</v>
      </c>
      <c r="C2046" t="s">
        <v>2117</v>
      </c>
      <c r="D2046" t="s">
        <v>3</v>
      </c>
      <c r="E2046" t="s">
        <v>865</v>
      </c>
      <c r="F2046">
        <v>3.75</v>
      </c>
      <c r="G2046" t="s">
        <v>710</v>
      </c>
    </row>
    <row r="2047" spans="1:7">
      <c r="A2047" s="1">
        <v>45968</v>
      </c>
      <c r="C2047" t="s">
        <v>2118</v>
      </c>
      <c r="D2047" t="s">
        <v>15</v>
      </c>
      <c r="E2047" t="s">
        <v>1353</v>
      </c>
      <c r="F2047">
        <v>76200</v>
      </c>
      <c r="G2047" t="s">
        <v>710</v>
      </c>
    </row>
    <row r="2048" spans="1:7">
      <c r="A2048" s="1">
        <v>45968</v>
      </c>
      <c r="C2048" t="s">
        <v>2119</v>
      </c>
      <c r="D2048" t="s">
        <v>3</v>
      </c>
      <c r="E2048" t="s">
        <v>865</v>
      </c>
      <c r="F2048">
        <v>50</v>
      </c>
      <c r="G2048" t="s">
        <v>710</v>
      </c>
    </row>
    <row r="2049" spans="1:7">
      <c r="A2049" s="1">
        <v>45968</v>
      </c>
      <c r="C2049" t="s">
        <v>2118</v>
      </c>
      <c r="D2049" t="s">
        <v>3</v>
      </c>
      <c r="E2049" t="s">
        <v>865</v>
      </c>
      <c r="F2049">
        <v>3.75</v>
      </c>
      <c r="G2049" t="s">
        <v>710</v>
      </c>
    </row>
    <row r="2050" spans="1:7">
      <c r="A2050" s="1">
        <v>45972</v>
      </c>
      <c r="C2050" t="s">
        <v>2120</v>
      </c>
      <c r="F2050">
        <v>262000</v>
      </c>
      <c r="G2050" t="s">
        <v>710</v>
      </c>
    </row>
    <row r="2051" spans="1:7">
      <c r="A2051" s="1">
        <v>45972</v>
      </c>
      <c r="C2051" t="s">
        <v>2121</v>
      </c>
      <c r="D2051" t="s">
        <v>3</v>
      </c>
      <c r="E2051" t="s">
        <v>865</v>
      </c>
      <c r="F2051">
        <v>50</v>
      </c>
      <c r="G2051" t="s">
        <v>710</v>
      </c>
    </row>
    <row r="2052" spans="1:7">
      <c r="A2052" s="1">
        <v>45972</v>
      </c>
      <c r="C2052" t="s">
        <v>2120</v>
      </c>
      <c r="D2052" t="s">
        <v>3</v>
      </c>
      <c r="E2052" t="s">
        <v>865</v>
      </c>
      <c r="F2052">
        <v>3.75</v>
      </c>
      <c r="G2052" t="s">
        <v>710</v>
      </c>
    </row>
    <row r="2053" spans="1:7">
      <c r="A2053" s="1">
        <v>45972</v>
      </c>
      <c r="C2053" t="s">
        <v>2122</v>
      </c>
      <c r="D2053" t="s">
        <v>15</v>
      </c>
      <c r="E2053" t="s">
        <v>1353</v>
      </c>
      <c r="F2053">
        <v>59500</v>
      </c>
      <c r="G2053" t="s">
        <v>710</v>
      </c>
    </row>
    <row r="2054" spans="1:7">
      <c r="A2054" s="1">
        <v>45972</v>
      </c>
      <c r="C2054" t="s">
        <v>2123</v>
      </c>
      <c r="D2054" t="s">
        <v>3</v>
      </c>
      <c r="E2054" t="s">
        <v>865</v>
      </c>
      <c r="F2054">
        <v>50</v>
      </c>
      <c r="G2054" t="s">
        <v>710</v>
      </c>
    </row>
    <row r="2055" spans="1:7">
      <c r="A2055" s="1">
        <v>45972</v>
      </c>
      <c r="C2055" t="s">
        <v>2122</v>
      </c>
      <c r="D2055" t="s">
        <v>3</v>
      </c>
      <c r="E2055" t="s">
        <v>865</v>
      </c>
      <c r="F2055">
        <v>3.75</v>
      </c>
      <c r="G2055" t="s">
        <v>710</v>
      </c>
    </row>
    <row r="2056" spans="1:7">
      <c r="A2056" s="1">
        <v>45972</v>
      </c>
      <c r="C2056" t="s">
        <v>2124</v>
      </c>
      <c r="D2056" t="s">
        <v>15</v>
      </c>
      <c r="E2056" t="s">
        <v>1353</v>
      </c>
      <c r="F2056">
        <v>40100</v>
      </c>
      <c r="G2056" t="s">
        <v>710</v>
      </c>
    </row>
    <row r="2057" spans="1:7">
      <c r="A2057" s="1">
        <v>45972</v>
      </c>
      <c r="C2057" t="s">
        <v>2125</v>
      </c>
      <c r="D2057" t="s">
        <v>3</v>
      </c>
      <c r="E2057" t="s">
        <v>865</v>
      </c>
      <c r="F2057">
        <v>25</v>
      </c>
      <c r="G2057" t="s">
        <v>710</v>
      </c>
    </row>
    <row r="2058" spans="1:7">
      <c r="A2058" s="1">
        <v>45972</v>
      </c>
      <c r="C2058" t="s">
        <v>2124</v>
      </c>
      <c r="D2058" t="s">
        <v>3</v>
      </c>
      <c r="E2058" t="s">
        <v>865</v>
      </c>
      <c r="F2058">
        <v>1.88</v>
      </c>
      <c r="G2058" t="s">
        <v>710</v>
      </c>
    </row>
    <row r="2059" spans="1:7">
      <c r="A2059" s="1">
        <v>45972</v>
      </c>
      <c r="C2059" t="s">
        <v>2126</v>
      </c>
      <c r="F2059">
        <v>16573</v>
      </c>
      <c r="G2059" t="s">
        <v>710</v>
      </c>
    </row>
    <row r="2060" spans="1:7">
      <c r="A2060" s="1">
        <v>45972</v>
      </c>
      <c r="C2060" t="s">
        <v>2127</v>
      </c>
      <c r="D2060" t="s">
        <v>3</v>
      </c>
      <c r="E2060" t="s">
        <v>865</v>
      </c>
      <c r="F2060">
        <v>25</v>
      </c>
      <c r="G2060" t="s">
        <v>710</v>
      </c>
    </row>
    <row r="2061" spans="1:7">
      <c r="A2061" s="1">
        <v>45972</v>
      </c>
      <c r="C2061" t="s">
        <v>2128</v>
      </c>
      <c r="D2061" t="s">
        <v>3</v>
      </c>
      <c r="E2061" t="s">
        <v>865</v>
      </c>
      <c r="F2061">
        <v>1.88</v>
      </c>
      <c r="G2061" t="s">
        <v>710</v>
      </c>
    </row>
    <row r="2062" spans="1:7">
      <c r="A2062" s="1">
        <v>45974</v>
      </c>
      <c r="C2062" t="s">
        <v>2129</v>
      </c>
      <c r="D2062" t="s">
        <v>15</v>
      </c>
      <c r="E2062" t="s">
        <v>1353</v>
      </c>
      <c r="F2062">
        <v>59500</v>
      </c>
      <c r="G2062" t="s">
        <v>710</v>
      </c>
    </row>
    <row r="2063" spans="1:7">
      <c r="A2063" s="1">
        <v>45974</v>
      </c>
      <c r="C2063" t="s">
        <v>2130</v>
      </c>
      <c r="D2063" t="s">
        <v>3</v>
      </c>
      <c r="E2063" t="s">
        <v>865</v>
      </c>
      <c r="F2063">
        <v>50</v>
      </c>
      <c r="G2063" t="s">
        <v>710</v>
      </c>
    </row>
    <row r="2064" spans="1:7">
      <c r="A2064" s="1">
        <v>45974</v>
      </c>
      <c r="C2064" t="s">
        <v>2129</v>
      </c>
      <c r="D2064" t="s">
        <v>3</v>
      </c>
      <c r="E2064" t="s">
        <v>865</v>
      </c>
      <c r="F2064">
        <v>3.75</v>
      </c>
      <c r="G2064" t="s">
        <v>710</v>
      </c>
    </row>
    <row r="2065" spans="1:7">
      <c r="A2065" s="1">
        <v>45978</v>
      </c>
      <c r="C2065" t="s">
        <v>2131</v>
      </c>
      <c r="D2065" t="s">
        <v>15</v>
      </c>
      <c r="E2065" t="s">
        <v>1353</v>
      </c>
      <c r="F2065">
        <v>15300</v>
      </c>
      <c r="G2065" t="s">
        <v>710</v>
      </c>
    </row>
    <row r="2066" spans="1:7">
      <c r="A2066" s="1">
        <v>45978</v>
      </c>
      <c r="C2066" t="s">
        <v>2132</v>
      </c>
      <c r="D2066" t="s">
        <v>3</v>
      </c>
      <c r="E2066" t="s">
        <v>865</v>
      </c>
      <c r="F2066">
        <v>25</v>
      </c>
      <c r="G2066" t="s">
        <v>710</v>
      </c>
    </row>
    <row r="2067" spans="1:7">
      <c r="A2067" s="1">
        <v>45978</v>
      </c>
      <c r="C2067" t="s">
        <v>2131</v>
      </c>
      <c r="D2067" t="s">
        <v>3</v>
      </c>
      <c r="E2067" t="s">
        <v>865</v>
      </c>
      <c r="F2067">
        <v>1.88</v>
      </c>
      <c r="G2067" t="s">
        <v>710</v>
      </c>
    </row>
    <row r="2068" spans="1:7">
      <c r="A2068" s="1">
        <v>45978</v>
      </c>
      <c r="C2068" t="s">
        <v>2133</v>
      </c>
      <c r="D2068" t="s">
        <v>15</v>
      </c>
      <c r="E2068" t="s">
        <v>1353</v>
      </c>
      <c r="F2068">
        <v>17000</v>
      </c>
      <c r="G2068" t="s">
        <v>710</v>
      </c>
    </row>
    <row r="2069" spans="1:7">
      <c r="A2069" s="1">
        <v>45978</v>
      </c>
      <c r="C2069" t="s">
        <v>2134</v>
      </c>
      <c r="D2069" t="s">
        <v>3</v>
      </c>
      <c r="E2069" t="s">
        <v>865</v>
      </c>
      <c r="F2069">
        <v>25</v>
      </c>
      <c r="G2069" t="s">
        <v>710</v>
      </c>
    </row>
    <row r="2070" spans="1:7">
      <c r="A2070" s="1">
        <v>45978</v>
      </c>
      <c r="C2070" t="s">
        <v>2133</v>
      </c>
      <c r="D2070" t="s">
        <v>3</v>
      </c>
      <c r="E2070" t="s">
        <v>865</v>
      </c>
      <c r="F2070">
        <v>1.88</v>
      </c>
      <c r="G2070" t="s">
        <v>710</v>
      </c>
    </row>
    <row r="2071" spans="1:7">
      <c r="A2071" s="1">
        <v>45978</v>
      </c>
      <c r="C2071" t="s">
        <v>2135</v>
      </c>
      <c r="D2071" t="s">
        <v>15</v>
      </c>
      <c r="E2071" t="s">
        <v>1353</v>
      </c>
      <c r="F2071">
        <v>52500</v>
      </c>
      <c r="G2071" t="s">
        <v>710</v>
      </c>
    </row>
    <row r="2072" spans="1:7">
      <c r="A2072" s="1">
        <v>45978</v>
      </c>
      <c r="C2072" t="s">
        <v>2136</v>
      </c>
      <c r="D2072" t="s">
        <v>3</v>
      </c>
      <c r="E2072" t="s">
        <v>865</v>
      </c>
      <c r="F2072">
        <v>50</v>
      </c>
      <c r="G2072" t="s">
        <v>710</v>
      </c>
    </row>
    <row r="2073" spans="1:7">
      <c r="A2073" s="1">
        <v>45978</v>
      </c>
      <c r="C2073" t="s">
        <v>2135</v>
      </c>
      <c r="D2073" t="s">
        <v>3</v>
      </c>
      <c r="E2073" t="s">
        <v>865</v>
      </c>
      <c r="F2073">
        <v>3.75</v>
      </c>
      <c r="G2073" t="s">
        <v>710</v>
      </c>
    </row>
    <row r="2074" spans="1:7">
      <c r="A2074" s="1">
        <v>45979</v>
      </c>
      <c r="C2074" t="s">
        <v>2137</v>
      </c>
      <c r="D2074" t="s">
        <v>15</v>
      </c>
      <c r="E2074" t="s">
        <v>1353</v>
      </c>
      <c r="F2074">
        <v>30700</v>
      </c>
      <c r="G2074" t="s">
        <v>710</v>
      </c>
    </row>
    <row r="2075" spans="1:7">
      <c r="A2075" s="1">
        <v>45979</v>
      </c>
      <c r="C2075" t="s">
        <v>2138</v>
      </c>
      <c r="D2075" t="s">
        <v>3</v>
      </c>
      <c r="E2075" t="s">
        <v>865</v>
      </c>
      <c r="F2075">
        <v>25</v>
      </c>
      <c r="G2075" t="s">
        <v>710</v>
      </c>
    </row>
    <row r="2076" spans="1:7">
      <c r="A2076" s="1">
        <v>45979</v>
      </c>
      <c r="C2076" t="s">
        <v>2137</v>
      </c>
      <c r="D2076" t="s">
        <v>3</v>
      </c>
      <c r="E2076" t="s">
        <v>865</v>
      </c>
      <c r="F2076">
        <v>1.88</v>
      </c>
      <c r="G2076" t="s">
        <v>710</v>
      </c>
    </row>
    <row r="2077" spans="1:7">
      <c r="A2077">
        <v>45980</v>
      </c>
      <c r="C2077" t="s">
        <v>2139</v>
      </c>
      <c r="F2077">
        <v>50000</v>
      </c>
      <c r="G2077" t="s">
        <v>710</v>
      </c>
    </row>
    <row r="2078" spans="1:7">
      <c r="A2078">
        <v>45980</v>
      </c>
      <c r="C2078" t="s">
        <v>2140</v>
      </c>
      <c r="D2078" t="s">
        <v>3</v>
      </c>
      <c r="E2078" t="s">
        <v>865</v>
      </c>
      <c r="F2078">
        <v>25</v>
      </c>
      <c r="G2078" t="s">
        <v>710</v>
      </c>
    </row>
    <row r="2079" spans="1:7">
      <c r="A2079">
        <v>45980</v>
      </c>
      <c r="C2079" t="s">
        <v>2141</v>
      </c>
      <c r="D2079" t="s">
        <v>3</v>
      </c>
      <c r="E2079" t="s">
        <v>865</v>
      </c>
      <c r="F2079">
        <v>1.88</v>
      </c>
      <c r="G2079" t="s">
        <v>710</v>
      </c>
    </row>
    <row r="2080" spans="1:7">
      <c r="A2080">
        <v>45980</v>
      </c>
      <c r="C2080" t="s">
        <v>2142</v>
      </c>
      <c r="F2080">
        <v>50000</v>
      </c>
      <c r="G2080" t="s">
        <v>710</v>
      </c>
    </row>
    <row r="2081" spans="1:7">
      <c r="A2081">
        <v>45980</v>
      </c>
      <c r="C2081" t="s">
        <v>2143</v>
      </c>
      <c r="D2081" t="s">
        <v>3</v>
      </c>
      <c r="E2081" t="s">
        <v>865</v>
      </c>
      <c r="F2081">
        <v>25</v>
      </c>
      <c r="G2081" t="s">
        <v>710</v>
      </c>
    </row>
    <row r="2082" spans="1:7">
      <c r="A2082">
        <v>45980</v>
      </c>
      <c r="C2082" t="s">
        <v>2142</v>
      </c>
      <c r="D2082" t="s">
        <v>3</v>
      </c>
      <c r="E2082" t="s">
        <v>865</v>
      </c>
      <c r="F2082">
        <v>1.88</v>
      </c>
      <c r="G2082" t="s">
        <v>710</v>
      </c>
    </row>
    <row r="2083" spans="1:7">
      <c r="A2083">
        <v>45980</v>
      </c>
      <c r="C2083" t="s">
        <v>2144</v>
      </c>
      <c r="F2083">
        <v>50000</v>
      </c>
      <c r="G2083" t="s">
        <v>710</v>
      </c>
    </row>
    <row r="2084" spans="1:7">
      <c r="A2084">
        <v>45980</v>
      </c>
      <c r="C2084" t="s">
        <v>2145</v>
      </c>
      <c r="D2084" t="s">
        <v>3</v>
      </c>
      <c r="E2084" t="s">
        <v>865</v>
      </c>
      <c r="F2084">
        <v>25</v>
      </c>
      <c r="G2084" t="s">
        <v>710</v>
      </c>
    </row>
    <row r="2085" spans="1:7">
      <c r="A2085">
        <v>45980</v>
      </c>
      <c r="C2085" t="s">
        <v>2144</v>
      </c>
      <c r="D2085" t="s">
        <v>3</v>
      </c>
      <c r="E2085" t="s">
        <v>865</v>
      </c>
      <c r="F2085">
        <v>1.88</v>
      </c>
      <c r="G2085" t="s">
        <v>710</v>
      </c>
    </row>
    <row r="2086" spans="1:7">
      <c r="A2086">
        <v>45980</v>
      </c>
      <c r="C2086" t="s">
        <v>2146</v>
      </c>
      <c r="F2086">
        <v>50000</v>
      </c>
      <c r="G2086" t="s">
        <v>710</v>
      </c>
    </row>
    <row r="2087" spans="1:7">
      <c r="A2087">
        <v>45980</v>
      </c>
      <c r="C2087" t="s">
        <v>2147</v>
      </c>
      <c r="D2087" t="s">
        <v>3</v>
      </c>
      <c r="E2087" t="s">
        <v>865</v>
      </c>
      <c r="F2087">
        <v>25</v>
      </c>
      <c r="G2087" t="s">
        <v>710</v>
      </c>
    </row>
    <row r="2088" spans="1:7">
      <c r="A2088">
        <v>45980</v>
      </c>
      <c r="C2088" t="s">
        <v>2146</v>
      </c>
      <c r="D2088" t="s">
        <v>3</v>
      </c>
      <c r="E2088" t="s">
        <v>865</v>
      </c>
      <c r="F2088">
        <v>1.88</v>
      </c>
      <c r="G2088" t="s">
        <v>710</v>
      </c>
    </row>
    <row r="2089" spans="1:7">
      <c r="A2089">
        <v>45982</v>
      </c>
      <c r="C2089" t="s">
        <v>2148</v>
      </c>
      <c r="D2089" t="s">
        <v>15</v>
      </c>
      <c r="E2089" t="s">
        <v>1353</v>
      </c>
      <c r="F2089">
        <v>8000</v>
      </c>
      <c r="G2089" t="s">
        <v>710</v>
      </c>
    </row>
    <row r="2090" spans="1:7">
      <c r="A2090">
        <v>45982</v>
      </c>
      <c r="C2090" t="s">
        <v>2149</v>
      </c>
      <c r="D2090" t="s">
        <v>3</v>
      </c>
      <c r="E2090" t="s">
        <v>865</v>
      </c>
      <c r="F2090">
        <v>25</v>
      </c>
      <c r="G2090" t="s">
        <v>710</v>
      </c>
    </row>
    <row r="2091" spans="1:7">
      <c r="A2091">
        <v>45982</v>
      </c>
      <c r="C2091" t="s">
        <v>2148</v>
      </c>
      <c r="D2091" t="s">
        <v>3</v>
      </c>
      <c r="E2091" t="s">
        <v>865</v>
      </c>
      <c r="F2091">
        <v>1.88</v>
      </c>
      <c r="G2091" t="s">
        <v>710</v>
      </c>
    </row>
    <row r="2092" spans="1:7">
      <c r="A2092">
        <v>45986</v>
      </c>
      <c r="C2092" t="s">
        <v>2150</v>
      </c>
      <c r="D2092" t="s">
        <v>15</v>
      </c>
      <c r="E2092" t="s">
        <v>1353</v>
      </c>
      <c r="F2092">
        <v>59500</v>
      </c>
      <c r="G2092" t="s">
        <v>710</v>
      </c>
    </row>
    <row r="2093" spans="1:7">
      <c r="A2093">
        <v>45986</v>
      </c>
      <c r="C2093" t="s">
        <v>2151</v>
      </c>
      <c r="D2093" t="s">
        <v>3</v>
      </c>
      <c r="E2093" t="s">
        <v>865</v>
      </c>
      <c r="F2093">
        <v>50</v>
      </c>
      <c r="G2093" t="s">
        <v>710</v>
      </c>
    </row>
    <row r="2094" spans="1:7">
      <c r="A2094">
        <v>45986</v>
      </c>
      <c r="C2094" t="s">
        <v>2150</v>
      </c>
      <c r="D2094" t="s">
        <v>3</v>
      </c>
      <c r="E2094" t="s">
        <v>865</v>
      </c>
      <c r="F2094">
        <v>3.75</v>
      </c>
      <c r="G2094" t="s">
        <v>710</v>
      </c>
    </row>
    <row r="2095" spans="1:7">
      <c r="A2095">
        <v>45988</v>
      </c>
      <c r="C2095" t="s">
        <v>2152</v>
      </c>
      <c r="F2095">
        <v>10232.36</v>
      </c>
      <c r="G2095" t="s">
        <v>710</v>
      </c>
    </row>
    <row r="2096" spans="1:7">
      <c r="A2096">
        <v>45988</v>
      </c>
      <c r="C2096" t="s">
        <v>2153</v>
      </c>
      <c r="D2096" t="s">
        <v>3</v>
      </c>
      <c r="E2096" t="s">
        <v>865</v>
      </c>
      <c r="F2096">
        <v>25</v>
      </c>
      <c r="G2096" t="s">
        <v>710</v>
      </c>
    </row>
    <row r="2097" spans="1:7">
      <c r="A2097">
        <v>45988</v>
      </c>
      <c r="C2097" t="s">
        <v>2152</v>
      </c>
      <c r="D2097" t="s">
        <v>3</v>
      </c>
      <c r="E2097" t="s">
        <v>865</v>
      </c>
      <c r="F2097">
        <v>1.88</v>
      </c>
      <c r="G2097" t="s">
        <v>710</v>
      </c>
    </row>
    <row r="2098" spans="1:7">
      <c r="A2098">
        <v>45988</v>
      </c>
      <c r="C2098" t="s">
        <v>2154</v>
      </c>
      <c r="F2098">
        <v>-87937386.489999995</v>
      </c>
      <c r="G2098" t="s">
        <v>710</v>
      </c>
    </row>
    <row r="2099" spans="1:7">
      <c r="A2099">
        <v>45988</v>
      </c>
      <c r="C2099" t="s">
        <v>2155</v>
      </c>
      <c r="F2099">
        <v>-126519419.95</v>
      </c>
      <c r="G2099" t="s">
        <v>710</v>
      </c>
    </row>
    <row r="2100" spans="1:7">
      <c r="A2100">
        <v>45988</v>
      </c>
      <c r="C2100" t="s">
        <v>2156</v>
      </c>
      <c r="D2100" t="s">
        <v>3</v>
      </c>
      <c r="E2100" t="s">
        <v>865</v>
      </c>
      <c r="F2100">
        <v>50</v>
      </c>
      <c r="G2100" t="s">
        <v>710</v>
      </c>
    </row>
    <row r="2101" spans="1:7">
      <c r="A2101">
        <v>45988</v>
      </c>
      <c r="C2101" t="s">
        <v>2157</v>
      </c>
      <c r="D2101" t="s">
        <v>3</v>
      </c>
      <c r="E2101" t="s">
        <v>865</v>
      </c>
      <c r="F2101">
        <v>50</v>
      </c>
      <c r="G2101" t="s">
        <v>710</v>
      </c>
    </row>
    <row r="2102" spans="1:7">
      <c r="A2102">
        <v>45989</v>
      </c>
      <c r="C2102" t="s">
        <v>2158</v>
      </c>
      <c r="D2102" t="s">
        <v>3</v>
      </c>
      <c r="E2102" t="s">
        <v>865</v>
      </c>
      <c r="F2102">
        <v>101.51</v>
      </c>
      <c r="G2102" t="s">
        <v>710</v>
      </c>
    </row>
    <row r="2103" spans="1:7">
      <c r="A2103">
        <v>45989</v>
      </c>
      <c r="C2103" t="s">
        <v>2159</v>
      </c>
      <c r="D2103" t="s">
        <v>3</v>
      </c>
      <c r="E2103" t="s">
        <v>865</v>
      </c>
      <c r="F2103">
        <v>1353.3</v>
      </c>
      <c r="G2103" t="s">
        <v>710</v>
      </c>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6"/>
  <sheetViews>
    <sheetView showGridLines="0" workbookViewId="0">
      <selection activeCell="D3" sqref="D3"/>
    </sheetView>
  </sheetViews>
  <sheetFormatPr defaultRowHeight="13"/>
  <cols>
    <col min="1" max="1" width="4" customWidth="1"/>
    <col min="3" max="3" width="130.296875" customWidth="1"/>
    <col min="4" max="4" width="15.19921875" customWidth="1"/>
    <col min="5" max="5" width="28.296875" customWidth="1"/>
    <col min="6" max="6" width="11.5" bestFit="1" customWidth="1"/>
  </cols>
  <sheetData>
    <row r="2" spans="2:6">
      <c r="B2" t="s">
        <v>1101</v>
      </c>
    </row>
    <row r="3" spans="2:6">
      <c r="B3" s="102" t="s">
        <v>1102</v>
      </c>
      <c r="C3" s="102" t="s">
        <v>1103</v>
      </c>
      <c r="D3" s="102"/>
      <c r="E3" s="102" t="s">
        <v>1104</v>
      </c>
      <c r="F3" s="102" t="s">
        <v>1107</v>
      </c>
    </row>
    <row r="4" spans="2:6">
      <c r="B4" s="1">
        <v>45824</v>
      </c>
      <c r="C4" t="s">
        <v>102</v>
      </c>
      <c r="D4" t="s">
        <v>1105</v>
      </c>
      <c r="E4" t="s">
        <v>911</v>
      </c>
      <c r="F4" s="2">
        <v>902000</v>
      </c>
    </row>
    <row r="5" spans="2:6">
      <c r="B5" s="1">
        <v>45831</v>
      </c>
      <c r="C5" t="s">
        <v>134</v>
      </c>
      <c r="D5" t="s">
        <v>1106</v>
      </c>
      <c r="E5" t="s">
        <v>911</v>
      </c>
      <c r="F5" s="2">
        <v>465000</v>
      </c>
    </row>
    <row r="6" spans="2:6">
      <c r="B6" s="1"/>
      <c r="F6" s="2"/>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activeCell="D2" sqref="D2"/>
    </sheetView>
  </sheetViews>
  <sheetFormatPr defaultRowHeight="13"/>
  <cols>
    <col min="1" max="1" width="13.796875" customWidth="1"/>
    <col min="2" max="2" width="9.69921875" customWidth="1"/>
    <col min="3" max="3" width="21.69921875" customWidth="1"/>
    <col min="4" max="4" width="25.796875" customWidth="1"/>
    <col min="5" max="5" width="20.5" customWidth="1"/>
    <col min="6" max="6" width="15.69921875" customWidth="1"/>
  </cols>
  <sheetData>
    <row r="1" spans="1:6">
      <c r="A1" t="s">
        <v>37</v>
      </c>
      <c r="B1" t="s">
        <v>1100</v>
      </c>
      <c r="C1" t="s">
        <v>39</v>
      </c>
      <c r="D1" t="s">
        <v>0</v>
      </c>
      <c r="E1" t="s">
        <v>947</v>
      </c>
      <c r="F1" t="s">
        <v>1</v>
      </c>
    </row>
    <row r="2" spans="1:6" ht="169">
      <c r="A2" s="1">
        <v>45895</v>
      </c>
      <c r="B2" s="1">
        <v>45900</v>
      </c>
      <c r="C2" s="12" t="s">
        <v>1000</v>
      </c>
      <c r="D2" t="s">
        <v>15</v>
      </c>
      <c r="F2">
        <v>-40000</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40"/>
  <sheetViews>
    <sheetView showGridLines="0" topLeftCell="A19" workbookViewId="0">
      <selection activeCell="H37" sqref="H37"/>
    </sheetView>
  </sheetViews>
  <sheetFormatPr defaultRowHeight="13"/>
  <cols>
    <col min="1" max="1" width="25.296875" customWidth="1"/>
    <col min="2" max="2" width="16" customWidth="1"/>
    <col min="3" max="3" width="15.59765625" customWidth="1"/>
    <col min="4" max="6" width="14.59765625" customWidth="1"/>
    <col min="7" max="7" width="15.59765625" customWidth="1"/>
    <col min="8" max="8" width="13.8984375" customWidth="1"/>
    <col min="9" max="9" width="15.59765625" customWidth="1"/>
    <col min="10" max="10" width="15.796875" bestFit="1" customWidth="1"/>
    <col min="11" max="12" width="12.796875" bestFit="1" customWidth="1"/>
    <col min="13" max="13" width="11.69921875" bestFit="1" customWidth="1"/>
    <col min="14" max="14" width="12.296875" bestFit="1" customWidth="1"/>
    <col min="15" max="15" width="12.796875" bestFit="1" customWidth="1"/>
    <col min="16" max="16" width="12.19921875" bestFit="1" customWidth="1"/>
    <col min="17" max="18" width="11.69921875" bestFit="1" customWidth="1"/>
    <col min="19" max="19" width="14.19921875" bestFit="1" customWidth="1"/>
    <col min="20" max="20" width="12.796875" bestFit="1" customWidth="1"/>
    <col min="21" max="21" width="14.19921875" bestFit="1" customWidth="1"/>
    <col min="22" max="22" width="11.69921875" bestFit="1" customWidth="1"/>
    <col min="23" max="23" width="12.296875" bestFit="1" customWidth="1"/>
    <col min="24" max="24" width="11.69921875" bestFit="1" customWidth="1"/>
    <col min="25" max="25" width="12.796875" bestFit="1" customWidth="1"/>
    <col min="26" max="26" width="11.69921875" bestFit="1" customWidth="1"/>
    <col min="27" max="27" width="10.5" bestFit="1" customWidth="1"/>
    <col min="28" max="28" width="10.69921875" bestFit="1" customWidth="1"/>
    <col min="29" max="29" width="12.796875" bestFit="1" customWidth="1"/>
    <col min="30" max="30" width="10.69921875" bestFit="1" customWidth="1"/>
    <col min="31" max="31" width="12.296875" bestFit="1" customWidth="1"/>
    <col min="32" max="32" width="11.69921875" bestFit="1" customWidth="1"/>
    <col min="33" max="33" width="10.69921875" bestFit="1" customWidth="1"/>
    <col min="34" max="35" width="11.69921875" bestFit="1" customWidth="1"/>
    <col min="36" max="36" width="14.19921875" bestFit="1" customWidth="1"/>
    <col min="37" max="39" width="11.69921875" bestFit="1" customWidth="1"/>
    <col min="40" max="40" width="14.796875" bestFit="1" customWidth="1"/>
    <col min="41" max="41" width="11.69921875" bestFit="1" customWidth="1"/>
    <col min="42" max="42" width="12.796875" bestFit="1" customWidth="1"/>
    <col min="43" max="43" width="11.69921875" bestFit="1" customWidth="1"/>
    <col min="44" max="44" width="10.19921875" bestFit="1" customWidth="1"/>
    <col min="45" max="45" width="12.796875" bestFit="1" customWidth="1"/>
    <col min="46" max="46" width="10.69921875" bestFit="1" customWidth="1"/>
    <col min="47" max="48" width="11.69921875" bestFit="1" customWidth="1"/>
    <col min="49" max="49" width="10.69921875" bestFit="1" customWidth="1"/>
    <col min="50" max="50" width="11.69921875" bestFit="1" customWidth="1"/>
    <col min="51" max="51" width="14.19921875" bestFit="1" customWidth="1"/>
    <col min="52" max="52" width="12.19921875" bestFit="1" customWidth="1"/>
    <col min="53" max="54" width="11.69921875" bestFit="1" customWidth="1"/>
    <col min="55" max="55" width="14.796875" bestFit="1" customWidth="1"/>
    <col min="56" max="56" width="9.5" bestFit="1" customWidth="1"/>
    <col min="57" max="57" width="10.69921875" bestFit="1" customWidth="1"/>
    <col min="58" max="58" width="12.296875" bestFit="1" customWidth="1"/>
    <col min="59" max="59" width="10.69921875" bestFit="1" customWidth="1"/>
    <col min="60" max="60" width="11.796875" bestFit="1" customWidth="1"/>
    <col min="61" max="61" width="10.69921875" bestFit="1" customWidth="1"/>
    <col min="62" max="62" width="9.5" bestFit="1" customWidth="1"/>
    <col min="63" max="63" width="11.69921875" bestFit="1" customWidth="1"/>
    <col min="64" max="65" width="10.69921875" bestFit="1" customWidth="1"/>
    <col min="66" max="66" width="12.796875" bestFit="1" customWidth="1"/>
  </cols>
  <sheetData>
    <row r="3" spans="1:9">
      <c r="A3" s="75" t="s">
        <v>1099</v>
      </c>
      <c r="B3" s="75" t="s">
        <v>1096</v>
      </c>
    </row>
    <row r="4" spans="1:9">
      <c r="A4" s="75" t="s">
        <v>1098</v>
      </c>
      <c r="B4" s="1">
        <v>45808</v>
      </c>
      <c r="C4" s="1">
        <v>45838</v>
      </c>
      <c r="D4" s="1">
        <v>45869</v>
      </c>
      <c r="E4" s="1">
        <v>45900</v>
      </c>
      <c r="F4" s="1">
        <v>45901</v>
      </c>
      <c r="G4" s="1">
        <v>45931</v>
      </c>
      <c r="H4" s="1">
        <v>45962</v>
      </c>
      <c r="I4" t="s">
        <v>1097</v>
      </c>
    </row>
    <row r="5" spans="1:9">
      <c r="A5" s="76" t="s">
        <v>871</v>
      </c>
      <c r="B5" s="77"/>
      <c r="C5" s="77">
        <v>1770000</v>
      </c>
      <c r="D5" s="77">
        <v>2250000</v>
      </c>
      <c r="E5" s="77"/>
      <c r="F5" s="77"/>
      <c r="G5" s="77"/>
      <c r="H5" s="77"/>
      <c r="I5" s="77">
        <v>4020000</v>
      </c>
    </row>
    <row r="6" spans="1:9">
      <c r="A6" s="76" t="s">
        <v>865</v>
      </c>
      <c r="B6" s="77">
        <v>10952.989999999991</v>
      </c>
      <c r="C6" s="77">
        <v>64623.700000010431</v>
      </c>
      <c r="D6" s="77">
        <v>47728.379999985918</v>
      </c>
      <c r="E6" s="77">
        <v>42842.839999990305</v>
      </c>
      <c r="F6" s="77">
        <v>70186.280000000203</v>
      </c>
      <c r="G6" s="77">
        <v>183683.46000000014</v>
      </c>
      <c r="H6" s="77">
        <v>4685.2200000000021</v>
      </c>
      <c r="I6" s="77">
        <v>424702.86999998702</v>
      </c>
    </row>
    <row r="7" spans="1:9">
      <c r="A7" s="76" t="s">
        <v>991</v>
      </c>
      <c r="B7" s="77"/>
      <c r="C7" s="77"/>
      <c r="D7" s="77"/>
      <c r="E7" s="77">
        <v>-450000</v>
      </c>
      <c r="F7" s="77"/>
      <c r="G7" s="77"/>
      <c r="H7" s="77"/>
      <c r="I7" s="77">
        <v>-450000</v>
      </c>
    </row>
    <row r="8" spans="1:9">
      <c r="A8" s="76" t="s">
        <v>963</v>
      </c>
      <c r="B8" s="77"/>
      <c r="C8" s="77">
        <v>320161.25</v>
      </c>
      <c r="D8" s="77"/>
      <c r="E8" s="77"/>
      <c r="F8" s="77"/>
      <c r="G8" s="77"/>
      <c r="H8" s="77"/>
      <c r="I8" s="77">
        <v>320161.25</v>
      </c>
    </row>
    <row r="9" spans="1:9">
      <c r="A9" s="76" t="s">
        <v>2</v>
      </c>
      <c r="B9" s="77">
        <v>-444000</v>
      </c>
      <c r="C9" s="77">
        <v>-420000</v>
      </c>
      <c r="D9" s="77">
        <v>-3557950</v>
      </c>
      <c r="E9" s="77">
        <v>-734000</v>
      </c>
      <c r="F9" s="77">
        <v>-3177000</v>
      </c>
      <c r="G9" s="77">
        <v>-4237700</v>
      </c>
      <c r="H9" s="77">
        <v>-166500</v>
      </c>
      <c r="I9" s="77">
        <v>-12737150</v>
      </c>
    </row>
    <row r="10" spans="1:9">
      <c r="A10" s="76" t="s">
        <v>960</v>
      </c>
      <c r="B10" s="77"/>
      <c r="C10" s="77"/>
      <c r="D10" s="77">
        <v>120000</v>
      </c>
      <c r="E10" s="77">
        <v>240100</v>
      </c>
      <c r="F10" s="77">
        <v>147610</v>
      </c>
      <c r="G10" s="77"/>
      <c r="H10" s="77"/>
      <c r="I10" s="77">
        <v>507710</v>
      </c>
    </row>
    <row r="11" spans="1:9">
      <c r="A11" s="76" t="s">
        <v>911</v>
      </c>
      <c r="B11" s="77"/>
      <c r="C11" s="77">
        <v>1367000</v>
      </c>
      <c r="D11" s="77"/>
      <c r="E11" s="77"/>
      <c r="F11" s="77"/>
      <c r="G11" s="77"/>
      <c r="H11" s="77">
        <v>4965000</v>
      </c>
      <c r="I11" s="77">
        <v>6332000</v>
      </c>
    </row>
    <row r="12" spans="1:9">
      <c r="A12" s="76" t="s">
        <v>846</v>
      </c>
      <c r="B12" s="77"/>
      <c r="C12" s="77">
        <v>370000</v>
      </c>
      <c r="D12" s="77"/>
      <c r="E12" s="77">
        <v>36116.760000005364</v>
      </c>
      <c r="F12" s="77">
        <v>215000</v>
      </c>
      <c r="G12" s="77"/>
      <c r="H12" s="77">
        <v>249000</v>
      </c>
      <c r="I12" s="77">
        <v>870116.76000000536</v>
      </c>
    </row>
    <row r="13" spans="1:9">
      <c r="A13" s="76" t="s">
        <v>840</v>
      </c>
      <c r="B13" s="77">
        <v>12000</v>
      </c>
      <c r="C13" s="77">
        <v>1690000</v>
      </c>
      <c r="D13" s="77">
        <v>650000</v>
      </c>
      <c r="E13" s="77">
        <v>1300000</v>
      </c>
      <c r="F13" s="77">
        <v>2640000</v>
      </c>
      <c r="G13" s="77">
        <v>1430000</v>
      </c>
      <c r="H13" s="77"/>
      <c r="I13" s="77">
        <v>7722000</v>
      </c>
    </row>
    <row r="14" spans="1:9">
      <c r="A14" s="76" t="s">
        <v>809</v>
      </c>
      <c r="B14" s="77"/>
      <c r="C14" s="77">
        <v>244400</v>
      </c>
      <c r="D14" s="77">
        <v>381876</v>
      </c>
      <c r="E14" s="77">
        <v>88500</v>
      </c>
      <c r="F14" s="77"/>
      <c r="G14" s="77"/>
      <c r="H14" s="77"/>
      <c r="I14" s="77">
        <v>714776</v>
      </c>
    </row>
    <row r="15" spans="1:9">
      <c r="A15" s="76" t="s">
        <v>874</v>
      </c>
      <c r="B15" s="77">
        <v>40000</v>
      </c>
      <c r="C15" s="77">
        <v>1622500</v>
      </c>
      <c r="D15" s="77">
        <v>755164</v>
      </c>
      <c r="E15" s="77">
        <v>693500</v>
      </c>
      <c r="F15" s="77">
        <v>3462760.75</v>
      </c>
      <c r="G15" s="77"/>
      <c r="H15" s="77"/>
      <c r="I15" s="77">
        <v>6573924.75</v>
      </c>
    </row>
    <row r="16" spans="1:9">
      <c r="A16" s="76" t="s">
        <v>5</v>
      </c>
      <c r="B16" s="77">
        <v>15300</v>
      </c>
      <c r="C16" s="77">
        <v>232261.25</v>
      </c>
      <c r="D16" s="77">
        <v>8062.5</v>
      </c>
      <c r="E16" s="77"/>
      <c r="F16" s="77"/>
      <c r="G16" s="77"/>
      <c r="H16" s="77"/>
      <c r="I16" s="77">
        <v>255623.75</v>
      </c>
    </row>
    <row r="17" spans="1:9">
      <c r="A17" s="133" t="s">
        <v>950</v>
      </c>
      <c r="B17" s="132">
        <v>365747.01</v>
      </c>
      <c r="C17" s="132">
        <v>101330337.19999997</v>
      </c>
      <c r="D17" s="132">
        <v>-22153745.299999997</v>
      </c>
      <c r="E17" s="132">
        <v>-23416246.75</v>
      </c>
      <c r="F17" s="132">
        <v>-37665924.440000072</v>
      </c>
      <c r="G17" s="132">
        <v>-17068150.66</v>
      </c>
      <c r="H17" s="132"/>
      <c r="I17" s="132">
        <v>1392017.0599999093</v>
      </c>
    </row>
    <row r="18" spans="1:9">
      <c r="A18" s="76" t="s">
        <v>986</v>
      </c>
      <c r="B18" s="77"/>
      <c r="C18" s="77">
        <v>200000</v>
      </c>
      <c r="D18" s="77"/>
      <c r="E18" s="77">
        <v>180000</v>
      </c>
      <c r="F18" s="77">
        <v>400000</v>
      </c>
      <c r="G18" s="77"/>
      <c r="H18" s="77"/>
      <c r="I18" s="77">
        <v>780000</v>
      </c>
    </row>
    <row r="19" spans="1:9">
      <c r="A19" s="76" t="s">
        <v>984</v>
      </c>
      <c r="B19" s="77"/>
      <c r="C19" s="77"/>
      <c r="D19" s="77">
        <v>120000</v>
      </c>
      <c r="E19" s="77">
        <v>560000</v>
      </c>
      <c r="F19" s="77">
        <v>920000</v>
      </c>
      <c r="G19" s="77"/>
      <c r="H19" s="77">
        <v>2300000</v>
      </c>
      <c r="I19" s="77">
        <v>3900000</v>
      </c>
    </row>
    <row r="20" spans="1:9">
      <c r="A20" s="76" t="s">
        <v>800</v>
      </c>
      <c r="B20" s="77"/>
      <c r="C20" s="77">
        <v>2969025</v>
      </c>
      <c r="D20" s="77">
        <v>1719000</v>
      </c>
      <c r="E20" s="77">
        <v>720000</v>
      </c>
      <c r="F20" s="77">
        <v>3050000</v>
      </c>
      <c r="G20" s="77">
        <v>5143337.5</v>
      </c>
      <c r="H20" s="77">
        <v>2690400</v>
      </c>
      <c r="I20" s="77">
        <v>16291762.5</v>
      </c>
    </row>
    <row r="21" spans="1:9">
      <c r="A21" s="76" t="s">
        <v>815</v>
      </c>
      <c r="B21" s="77"/>
      <c r="C21" s="77">
        <v>24602438.140000008</v>
      </c>
      <c r="D21" s="77">
        <v>10105872.410000011</v>
      </c>
      <c r="E21" s="77">
        <v>10447814.890000001</v>
      </c>
      <c r="F21" s="77">
        <v>11246029.550000001</v>
      </c>
      <c r="G21" s="77">
        <v>11081191.369999999</v>
      </c>
      <c r="H21" s="77">
        <v>11354781.609999998</v>
      </c>
      <c r="I21" s="77">
        <v>78838127.970000029</v>
      </c>
    </row>
    <row r="22" spans="1:9">
      <c r="A22" s="76" t="s">
        <v>974</v>
      </c>
      <c r="B22" s="77"/>
      <c r="C22" s="77">
        <v>1344300</v>
      </c>
      <c r="D22" s="77">
        <v>950000</v>
      </c>
      <c r="E22" s="77"/>
      <c r="F22" s="77">
        <v>2118000</v>
      </c>
      <c r="G22" s="77">
        <v>950000</v>
      </c>
      <c r="H22" s="77">
        <v>0</v>
      </c>
      <c r="I22" s="77">
        <v>5362300</v>
      </c>
    </row>
    <row r="23" spans="1:9">
      <c r="A23" s="76" t="s">
        <v>956</v>
      </c>
      <c r="B23" s="77"/>
      <c r="C23" s="77">
        <v>1241019.2199999988</v>
      </c>
      <c r="D23" s="77"/>
      <c r="E23" s="77">
        <v>236336.25</v>
      </c>
      <c r="F23" s="77">
        <v>119032.72</v>
      </c>
      <c r="G23" s="77"/>
      <c r="H23" s="77"/>
      <c r="I23" s="77">
        <v>1596388.1899999988</v>
      </c>
    </row>
    <row r="24" spans="1:9">
      <c r="A24" s="76" t="s">
        <v>982</v>
      </c>
      <c r="B24" s="77"/>
      <c r="C24" s="77"/>
      <c r="D24" s="77"/>
      <c r="E24" s="77">
        <v>772500</v>
      </c>
      <c r="F24" s="77">
        <v>1210000</v>
      </c>
      <c r="G24" s="77"/>
      <c r="H24" s="77"/>
      <c r="I24" s="77">
        <v>1982500</v>
      </c>
    </row>
    <row r="25" spans="1:9">
      <c r="A25" s="76" t="s">
        <v>32</v>
      </c>
      <c r="B25" s="77"/>
      <c r="C25" s="77"/>
      <c r="D25" s="77">
        <v>500000</v>
      </c>
      <c r="E25" s="77">
        <v>2218342</v>
      </c>
      <c r="F25" s="77">
        <v>16220000</v>
      </c>
      <c r="G25" s="77">
        <v>136630325</v>
      </c>
      <c r="H25" s="77">
        <v>40000000</v>
      </c>
      <c r="I25" s="77">
        <v>195568667</v>
      </c>
    </row>
    <row r="26" spans="1:9">
      <c r="A26" s="76" t="s">
        <v>27</v>
      </c>
      <c r="B26" s="77"/>
      <c r="C26" s="77"/>
      <c r="D26" s="77">
        <v>2220851</v>
      </c>
      <c r="E26" s="77"/>
      <c r="F26" s="77">
        <v>500000</v>
      </c>
      <c r="G26" s="77"/>
      <c r="H26" s="77">
        <v>1500000</v>
      </c>
      <c r="I26" s="77">
        <v>4220851</v>
      </c>
    </row>
    <row r="27" spans="1:9">
      <c r="A27" s="133" t="s">
        <v>999</v>
      </c>
      <c r="B27" s="132"/>
      <c r="C27" s="132"/>
      <c r="D27" s="132">
        <v>1693592.5</v>
      </c>
      <c r="E27" s="132">
        <v>734000</v>
      </c>
      <c r="F27" s="132">
        <v>-2427590</v>
      </c>
      <c r="G27" s="132"/>
      <c r="H27" s="132"/>
      <c r="I27" s="132">
        <v>2.5</v>
      </c>
    </row>
    <row r="28" spans="1:9">
      <c r="A28" s="76" t="s">
        <v>953</v>
      </c>
      <c r="B28" s="77"/>
      <c r="C28" s="77">
        <v>6123175.799999997</v>
      </c>
      <c r="D28" s="77">
        <v>87000</v>
      </c>
      <c r="E28" s="77">
        <v>30000</v>
      </c>
      <c r="F28" s="77">
        <v>114000</v>
      </c>
      <c r="G28" s="77">
        <v>580623.37</v>
      </c>
      <c r="H28" s="77">
        <v>449000</v>
      </c>
      <c r="I28" s="77">
        <v>7383799.1699999971</v>
      </c>
    </row>
    <row r="29" spans="1:9">
      <c r="A29" s="76" t="s">
        <v>977</v>
      </c>
      <c r="B29" s="77"/>
      <c r="C29" s="77"/>
      <c r="D29" s="77"/>
      <c r="E29" s="77">
        <v>5147471.8400000036</v>
      </c>
      <c r="F29" s="77">
        <v>2295088</v>
      </c>
      <c r="G29" s="77">
        <v>5403921</v>
      </c>
      <c r="H29" s="77"/>
      <c r="I29" s="77">
        <v>12846480.840000004</v>
      </c>
    </row>
    <row r="30" spans="1:9">
      <c r="A30" s="76" t="s">
        <v>976</v>
      </c>
      <c r="B30" s="77"/>
      <c r="C30" s="77">
        <v>835600</v>
      </c>
      <c r="D30" s="77">
        <v>1607958</v>
      </c>
      <c r="E30" s="77">
        <v>1143300</v>
      </c>
      <c r="F30" s="77">
        <v>2448600</v>
      </c>
      <c r="G30" s="77">
        <v>1419000</v>
      </c>
      <c r="H30" s="77"/>
      <c r="I30" s="77">
        <v>7454458</v>
      </c>
    </row>
    <row r="31" spans="1:9">
      <c r="A31" s="133" t="s">
        <v>990</v>
      </c>
      <c r="B31" s="132"/>
      <c r="C31" s="132"/>
      <c r="D31" s="132">
        <v>2276688.75</v>
      </c>
      <c r="E31" s="132">
        <v>-268826.07000000007</v>
      </c>
      <c r="F31" s="132">
        <v>5903054.3899999987</v>
      </c>
      <c r="G31" s="132">
        <v>71607857.899999991</v>
      </c>
      <c r="H31" s="132"/>
      <c r="I31" s="132">
        <v>79518774.969999984</v>
      </c>
    </row>
    <row r="32" spans="1:9">
      <c r="A32" s="76" t="s">
        <v>1352</v>
      </c>
      <c r="B32" s="77"/>
      <c r="C32" s="77">
        <v>-146127941.56</v>
      </c>
      <c r="D32" s="77"/>
      <c r="E32" s="77"/>
      <c r="F32" s="77">
        <v>-20220000</v>
      </c>
      <c r="G32" s="77">
        <v>-212820000.19</v>
      </c>
      <c r="H32" s="77"/>
      <c r="I32" s="77">
        <v>-379167941.75</v>
      </c>
    </row>
    <row r="33" spans="1:9">
      <c r="A33" s="76" t="s">
        <v>1354</v>
      </c>
      <c r="B33" s="77"/>
      <c r="C33" s="77">
        <v>-201300</v>
      </c>
      <c r="D33" s="77">
        <v>-1865250</v>
      </c>
      <c r="E33" s="77">
        <v>-318000</v>
      </c>
      <c r="F33" s="77"/>
      <c r="G33" s="77">
        <v>-3567000</v>
      </c>
      <c r="H33" s="77">
        <v>-3584600</v>
      </c>
      <c r="I33" s="77">
        <v>-9536150</v>
      </c>
    </row>
    <row r="34" spans="1:9">
      <c r="A34" s="76" t="s">
        <v>1353</v>
      </c>
      <c r="B34" s="77"/>
      <c r="C34" s="77">
        <v>422400</v>
      </c>
      <c r="D34" s="77">
        <v>1852600</v>
      </c>
      <c r="E34" s="77">
        <v>826800</v>
      </c>
      <c r="F34" s="77">
        <v>-501708.75</v>
      </c>
      <c r="G34" s="77">
        <v>2980000</v>
      </c>
      <c r="H34" s="77">
        <v>5131200</v>
      </c>
      <c r="I34" s="77">
        <v>10711291.25</v>
      </c>
    </row>
    <row r="35" spans="1:9">
      <c r="A35" s="76" t="s">
        <v>1702</v>
      </c>
      <c r="B35" s="77"/>
      <c r="C35" s="77"/>
      <c r="D35" s="77"/>
      <c r="E35" s="77"/>
      <c r="F35" s="77">
        <v>9595004.4800000004</v>
      </c>
      <c r="G35" s="77"/>
      <c r="H35" s="77"/>
      <c r="I35" s="77">
        <v>9595004.4800000004</v>
      </c>
    </row>
    <row r="36" spans="1:9">
      <c r="A36" s="76" t="s">
        <v>1704</v>
      </c>
      <c r="B36" s="77"/>
      <c r="C36" s="77"/>
      <c r="D36" s="77"/>
      <c r="E36" s="77"/>
      <c r="F36" s="77">
        <v>1317857.02</v>
      </c>
      <c r="G36" s="77">
        <v>282911.25</v>
      </c>
      <c r="H36" s="77"/>
      <c r="I36" s="77">
        <v>1600768.27</v>
      </c>
    </row>
    <row r="37" spans="1:9">
      <c r="A37" s="76" t="s">
        <v>2162</v>
      </c>
      <c r="B37" s="77"/>
      <c r="C37" s="77"/>
      <c r="D37" s="77"/>
      <c r="E37" s="77"/>
      <c r="F37" s="77"/>
      <c r="G37" s="77"/>
      <c r="H37" s="77">
        <v>120000</v>
      </c>
      <c r="I37" s="77">
        <v>120000</v>
      </c>
    </row>
    <row r="38" spans="1:9">
      <c r="A38" s="76" t="s">
        <v>2165</v>
      </c>
      <c r="B38" s="77"/>
      <c r="C38" s="77"/>
      <c r="D38" s="77"/>
      <c r="E38" s="77"/>
      <c r="F38" s="77"/>
      <c r="G38" s="77"/>
      <c r="H38" s="77">
        <v>1600000</v>
      </c>
      <c r="I38" s="77">
        <v>1600000</v>
      </c>
    </row>
    <row r="39" spans="1:9">
      <c r="A39" s="76" t="s">
        <v>1097</v>
      </c>
      <c r="B39" s="116">
        <v>0</v>
      </c>
      <c r="C39" s="116">
        <v>0</v>
      </c>
      <c r="D39" s="77">
        <v>-230551.75999999791</v>
      </c>
      <c r="E39" s="77">
        <v>230551.75999999815</v>
      </c>
      <c r="F39" s="77">
        <v>-7.0314854383468628E-8</v>
      </c>
      <c r="G39" s="116">
        <v>0</v>
      </c>
      <c r="H39" s="116">
        <v>66612966.829999998</v>
      </c>
      <c r="I39" s="77">
        <v>66612966.829999872</v>
      </c>
    </row>
    <row r="40" spans="1:9">
      <c r="F40" s="77">
        <f>F31+F27+F17</f>
        <v>-34190460.050000072</v>
      </c>
    </row>
  </sheetData>
  <pageMargins left="0.7" right="0.7" top="0.75" bottom="0.75" header="0.3" footer="0.3"/>
  <pageSetup orientation="portrait"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sheetPr>
  <dimension ref="A1:M81"/>
  <sheetViews>
    <sheetView topLeftCell="A55" workbookViewId="0">
      <selection activeCell="D78" sqref="D78"/>
    </sheetView>
  </sheetViews>
  <sheetFormatPr defaultColWidth="9.296875" defaultRowHeight="12.5"/>
  <cols>
    <col min="1" max="1" width="22.796875" style="13" customWidth="1"/>
    <col min="2" max="2" width="38.19921875" style="13" customWidth="1"/>
    <col min="3" max="3" width="22.796875" style="13" customWidth="1"/>
    <col min="4" max="4" width="87.796875" style="13" customWidth="1"/>
    <col min="5" max="6" width="42.19921875" style="13" customWidth="1"/>
    <col min="7" max="13" width="22.796875" style="13" customWidth="1"/>
    <col min="14" max="16384" width="9.296875" style="13"/>
  </cols>
  <sheetData>
    <row r="1" spans="1:13" ht="13">
      <c r="A1" s="15" t="s">
        <v>939</v>
      </c>
      <c r="B1" s="15" t="s">
        <v>938</v>
      </c>
      <c r="C1" s="15" t="s">
        <v>937</v>
      </c>
      <c r="D1" s="15" t="s">
        <v>749</v>
      </c>
      <c r="E1" s="15" t="s">
        <v>936</v>
      </c>
      <c r="F1" s="15" t="s">
        <v>944</v>
      </c>
      <c r="G1" s="15" t="s">
        <v>935</v>
      </c>
      <c r="H1" s="15" t="s">
        <v>934</v>
      </c>
      <c r="I1" s="15" t="s">
        <v>933</v>
      </c>
      <c r="J1" s="15" t="s">
        <v>932</v>
      </c>
      <c r="K1" s="15" t="s">
        <v>931</v>
      </c>
      <c r="L1" s="15" t="s">
        <v>930</v>
      </c>
      <c r="M1" s="15" t="s">
        <v>929</v>
      </c>
    </row>
    <row r="2" spans="1:13">
      <c r="A2" s="13" t="s">
        <v>928</v>
      </c>
      <c r="B2" s="13" t="s">
        <v>927</v>
      </c>
      <c r="C2" s="13" t="s">
        <v>760</v>
      </c>
      <c r="D2" s="13" t="s">
        <v>926</v>
      </c>
      <c r="E2" s="13" t="s">
        <v>12</v>
      </c>
      <c r="F2" s="13" t="s">
        <v>12</v>
      </c>
      <c r="G2" s="13" t="s">
        <v>765</v>
      </c>
      <c r="H2" s="13" t="s">
        <v>760</v>
      </c>
      <c r="I2" s="13" t="s">
        <v>764</v>
      </c>
      <c r="J2" s="13" t="s">
        <v>760</v>
      </c>
      <c r="K2" s="13" t="s">
        <v>762</v>
      </c>
      <c r="L2" s="13" t="s">
        <v>761</v>
      </c>
      <c r="M2" s="13" t="s">
        <v>760</v>
      </c>
    </row>
    <row r="3" spans="1:13">
      <c r="A3" s="13" t="s">
        <v>925</v>
      </c>
      <c r="B3" s="13" t="s">
        <v>924</v>
      </c>
      <c r="C3" s="13" t="s">
        <v>760</v>
      </c>
      <c r="D3" s="13" t="s">
        <v>923</v>
      </c>
      <c r="E3" s="13" t="s">
        <v>716</v>
      </c>
      <c r="F3" s="13" t="s">
        <v>1003</v>
      </c>
      <c r="G3" s="13" t="s">
        <v>765</v>
      </c>
      <c r="H3" s="13" t="s">
        <v>760</v>
      </c>
      <c r="I3" s="13" t="s">
        <v>764</v>
      </c>
      <c r="J3" s="13" t="s">
        <v>760</v>
      </c>
      <c r="K3" s="13" t="s">
        <v>762</v>
      </c>
      <c r="L3" s="13" t="s">
        <v>761</v>
      </c>
      <c r="M3" s="13" t="s">
        <v>760</v>
      </c>
    </row>
    <row r="4" spans="1:13">
      <c r="A4" s="13" t="s">
        <v>922</v>
      </c>
      <c r="B4" s="13" t="s">
        <v>921</v>
      </c>
      <c r="C4" s="13" t="s">
        <v>760</v>
      </c>
      <c r="D4" s="13" t="s">
        <v>920</v>
      </c>
      <c r="E4" s="13" t="s">
        <v>916</v>
      </c>
      <c r="F4" s="13" t="s">
        <v>941</v>
      </c>
      <c r="G4" s="13" t="s">
        <v>765</v>
      </c>
      <c r="H4" s="13" t="s">
        <v>760</v>
      </c>
      <c r="I4" s="13" t="s">
        <v>764</v>
      </c>
      <c r="J4" s="13" t="s">
        <v>760</v>
      </c>
      <c r="K4" s="13" t="s">
        <v>762</v>
      </c>
      <c r="L4" s="13" t="s">
        <v>761</v>
      </c>
      <c r="M4" s="13" t="s">
        <v>760</v>
      </c>
    </row>
    <row r="5" spans="1:13">
      <c r="A5" s="13" t="s">
        <v>919</v>
      </c>
      <c r="B5" s="13" t="s">
        <v>918</v>
      </c>
      <c r="C5" s="13" t="s">
        <v>760</v>
      </c>
      <c r="D5" s="13" t="s">
        <v>917</v>
      </c>
      <c r="E5" s="13" t="s">
        <v>916</v>
      </c>
      <c r="F5" s="13" t="s">
        <v>941</v>
      </c>
      <c r="G5" s="13" t="s">
        <v>765</v>
      </c>
      <c r="H5" s="13" t="s">
        <v>760</v>
      </c>
      <c r="I5" s="13" t="s">
        <v>764</v>
      </c>
      <c r="J5" s="13" t="s">
        <v>760</v>
      </c>
      <c r="K5" s="13" t="s">
        <v>762</v>
      </c>
      <c r="L5" s="13" t="s">
        <v>761</v>
      </c>
      <c r="M5" s="13" t="s">
        <v>760</v>
      </c>
    </row>
    <row r="6" spans="1:13">
      <c r="A6" s="13" t="s">
        <v>915</v>
      </c>
      <c r="B6" s="13" t="s">
        <v>913</v>
      </c>
      <c r="C6" s="13" t="s">
        <v>760</v>
      </c>
      <c r="D6" s="13" t="s">
        <v>914</v>
      </c>
      <c r="E6" s="13" t="s">
        <v>913</v>
      </c>
      <c r="F6" s="13" t="s">
        <v>941</v>
      </c>
      <c r="G6" s="13" t="s">
        <v>765</v>
      </c>
      <c r="H6" s="13" t="s">
        <v>760</v>
      </c>
      <c r="I6" s="13" t="s">
        <v>764</v>
      </c>
      <c r="J6" s="13" t="s">
        <v>760</v>
      </c>
      <c r="K6" s="13" t="s">
        <v>762</v>
      </c>
      <c r="L6" s="13" t="s">
        <v>761</v>
      </c>
      <c r="M6" s="13" t="s">
        <v>760</v>
      </c>
    </row>
    <row r="7" spans="1:13">
      <c r="A7" s="13" t="s">
        <v>912</v>
      </c>
      <c r="B7" s="13" t="s">
        <v>911</v>
      </c>
      <c r="C7" s="13" t="s">
        <v>760</v>
      </c>
      <c r="D7" s="13" t="s">
        <v>910</v>
      </c>
      <c r="E7" s="13" t="s">
        <v>909</v>
      </c>
      <c r="F7" s="13" t="s">
        <v>945</v>
      </c>
      <c r="G7" s="13" t="s">
        <v>765</v>
      </c>
      <c r="H7" s="13" t="s">
        <v>760</v>
      </c>
      <c r="I7" s="13" t="s">
        <v>764</v>
      </c>
      <c r="J7" s="13" t="s">
        <v>760</v>
      </c>
      <c r="K7" s="13" t="s">
        <v>762</v>
      </c>
      <c r="L7" s="13" t="s">
        <v>761</v>
      </c>
      <c r="M7" s="13" t="s">
        <v>760</v>
      </c>
    </row>
    <row r="8" spans="1:13">
      <c r="A8" s="13" t="s">
        <v>908</v>
      </c>
      <c r="B8" s="13" t="s">
        <v>907</v>
      </c>
      <c r="C8" s="13" t="s">
        <v>760</v>
      </c>
      <c r="D8" s="13" t="s">
        <v>906</v>
      </c>
      <c r="E8" s="13" t="s">
        <v>774</v>
      </c>
      <c r="F8" s="13" t="s">
        <v>941</v>
      </c>
      <c r="G8" s="13" t="s">
        <v>765</v>
      </c>
      <c r="H8" s="13" t="s">
        <v>760</v>
      </c>
      <c r="I8" s="13" t="s">
        <v>764</v>
      </c>
      <c r="J8" s="13" t="s">
        <v>760</v>
      </c>
      <c r="K8" s="13" t="s">
        <v>762</v>
      </c>
      <c r="L8" s="13" t="s">
        <v>761</v>
      </c>
      <c r="M8" s="13" t="s">
        <v>760</v>
      </c>
    </row>
    <row r="9" spans="1:13">
      <c r="A9" s="13" t="s">
        <v>905</v>
      </c>
      <c r="B9" s="13" t="s">
        <v>903</v>
      </c>
      <c r="C9" s="13" t="s">
        <v>760</v>
      </c>
      <c r="D9" s="13" t="s">
        <v>904</v>
      </c>
      <c r="E9" s="13" t="s">
        <v>903</v>
      </c>
      <c r="F9" s="13" t="s">
        <v>946</v>
      </c>
      <c r="G9" s="13" t="s">
        <v>765</v>
      </c>
      <c r="H9" s="13" t="s">
        <v>760</v>
      </c>
      <c r="I9" s="13" t="s">
        <v>764</v>
      </c>
      <c r="J9" s="13" t="s">
        <v>760</v>
      </c>
      <c r="K9" s="13" t="s">
        <v>762</v>
      </c>
      <c r="L9" s="13" t="s">
        <v>761</v>
      </c>
      <c r="M9" s="13" t="s">
        <v>760</v>
      </c>
    </row>
    <row r="10" spans="1:13">
      <c r="A10" s="13" t="s">
        <v>902</v>
      </c>
      <c r="B10" s="13" t="s">
        <v>901</v>
      </c>
      <c r="C10" s="13" t="s">
        <v>760</v>
      </c>
      <c r="D10" s="13" t="s">
        <v>900</v>
      </c>
      <c r="E10" s="13" t="s">
        <v>817</v>
      </c>
      <c r="F10" s="13" t="s">
        <v>946</v>
      </c>
      <c r="G10" s="13" t="s">
        <v>765</v>
      </c>
      <c r="H10" s="13" t="s">
        <v>760</v>
      </c>
      <c r="I10" s="13" t="s">
        <v>764</v>
      </c>
      <c r="J10" s="13" t="s">
        <v>760</v>
      </c>
      <c r="K10" s="13" t="s">
        <v>762</v>
      </c>
      <c r="L10" s="13" t="s">
        <v>761</v>
      </c>
      <c r="M10" s="13" t="s">
        <v>760</v>
      </c>
    </row>
    <row r="11" spans="1:13">
      <c r="A11" s="13" t="s">
        <v>899</v>
      </c>
      <c r="B11" s="13" t="s">
        <v>898</v>
      </c>
      <c r="C11" s="13" t="s">
        <v>760</v>
      </c>
      <c r="D11" s="13" t="s">
        <v>897</v>
      </c>
      <c r="E11" s="13" t="s">
        <v>781</v>
      </c>
      <c r="F11" s="13" t="s">
        <v>943</v>
      </c>
      <c r="G11" s="13" t="s">
        <v>765</v>
      </c>
      <c r="H11" s="13" t="s">
        <v>760</v>
      </c>
      <c r="I11" s="13" t="s">
        <v>764</v>
      </c>
      <c r="J11" s="13" t="s">
        <v>760</v>
      </c>
      <c r="K11" s="13" t="s">
        <v>762</v>
      </c>
      <c r="L11" s="13" t="s">
        <v>761</v>
      </c>
      <c r="M11" s="13" t="s">
        <v>760</v>
      </c>
    </row>
    <row r="12" spans="1:13">
      <c r="A12" s="13" t="s">
        <v>896</v>
      </c>
      <c r="B12" s="13" t="s">
        <v>895</v>
      </c>
      <c r="C12" s="13" t="s">
        <v>760</v>
      </c>
      <c r="D12" s="13" t="s">
        <v>894</v>
      </c>
      <c r="E12" s="13" t="s">
        <v>781</v>
      </c>
      <c r="F12" s="13" t="s">
        <v>943</v>
      </c>
      <c r="G12" s="13" t="s">
        <v>765</v>
      </c>
      <c r="H12" s="13" t="s">
        <v>760</v>
      </c>
      <c r="I12" s="13" t="s">
        <v>764</v>
      </c>
      <c r="J12" s="13" t="s">
        <v>760</v>
      </c>
      <c r="K12" s="13" t="s">
        <v>762</v>
      </c>
      <c r="L12" s="13" t="s">
        <v>761</v>
      </c>
      <c r="M12" s="13" t="s">
        <v>760</v>
      </c>
    </row>
    <row r="13" spans="1:13">
      <c r="A13" s="13" t="s">
        <v>893</v>
      </c>
      <c r="B13" s="13" t="s">
        <v>892</v>
      </c>
      <c r="C13" s="13" t="s">
        <v>760</v>
      </c>
      <c r="D13" s="13" t="s">
        <v>891</v>
      </c>
      <c r="E13" s="13" t="s">
        <v>781</v>
      </c>
      <c r="F13" s="13" t="s">
        <v>943</v>
      </c>
      <c r="G13" s="13" t="s">
        <v>765</v>
      </c>
      <c r="H13" s="13" t="s">
        <v>760</v>
      </c>
      <c r="I13" s="13" t="s">
        <v>764</v>
      </c>
      <c r="J13" s="13" t="s">
        <v>760</v>
      </c>
      <c r="K13" s="13" t="s">
        <v>762</v>
      </c>
      <c r="L13" s="13" t="s">
        <v>761</v>
      </c>
      <c r="M13" s="13" t="s">
        <v>760</v>
      </c>
    </row>
    <row r="14" spans="1:13">
      <c r="A14" s="13" t="s">
        <v>890</v>
      </c>
      <c r="B14" s="13" t="s">
        <v>889</v>
      </c>
      <c r="C14" s="13" t="s">
        <v>760</v>
      </c>
      <c r="D14" s="13" t="s">
        <v>888</v>
      </c>
      <c r="E14" s="13" t="s">
        <v>12</v>
      </c>
      <c r="F14" s="13" t="s">
        <v>12</v>
      </c>
      <c r="G14" s="13" t="s">
        <v>765</v>
      </c>
      <c r="H14" s="13" t="s">
        <v>760</v>
      </c>
      <c r="I14" s="13" t="s">
        <v>764</v>
      </c>
      <c r="J14" s="13" t="s">
        <v>760</v>
      </c>
      <c r="K14" s="13" t="s">
        <v>762</v>
      </c>
      <c r="L14" s="13" t="s">
        <v>761</v>
      </c>
      <c r="M14" s="13" t="s">
        <v>760</v>
      </c>
    </row>
    <row r="15" spans="1:13">
      <c r="A15" s="13" t="s">
        <v>887</v>
      </c>
      <c r="B15" s="13" t="s">
        <v>886</v>
      </c>
      <c r="C15" s="13" t="s">
        <v>760</v>
      </c>
      <c r="D15" s="13" t="s">
        <v>885</v>
      </c>
      <c r="E15" s="13" t="s">
        <v>12</v>
      </c>
      <c r="F15" s="13" t="s">
        <v>12</v>
      </c>
      <c r="G15" s="13" t="s">
        <v>765</v>
      </c>
      <c r="H15" s="13" t="s">
        <v>760</v>
      </c>
      <c r="I15" s="13" t="s">
        <v>764</v>
      </c>
      <c r="J15" s="13" t="s">
        <v>760</v>
      </c>
      <c r="K15" s="13" t="s">
        <v>762</v>
      </c>
      <c r="L15" s="13" t="s">
        <v>761</v>
      </c>
      <c r="M15" s="13" t="s">
        <v>760</v>
      </c>
    </row>
    <row r="16" spans="1:13">
      <c r="A16" s="13" t="s">
        <v>884</v>
      </c>
      <c r="B16" s="13" t="s">
        <v>883</v>
      </c>
      <c r="C16" s="13" t="s">
        <v>760</v>
      </c>
      <c r="D16" s="13" t="s">
        <v>882</v>
      </c>
      <c r="E16" s="13" t="s">
        <v>817</v>
      </c>
      <c r="F16" s="13" t="s">
        <v>946</v>
      </c>
      <c r="G16" s="13" t="s">
        <v>765</v>
      </c>
      <c r="H16" s="13" t="s">
        <v>760</v>
      </c>
      <c r="I16" s="13" t="s">
        <v>764</v>
      </c>
      <c r="J16" s="13" t="s">
        <v>760</v>
      </c>
      <c r="K16" s="13" t="s">
        <v>762</v>
      </c>
      <c r="L16" s="13" t="s">
        <v>761</v>
      </c>
      <c r="M16" s="13" t="s">
        <v>760</v>
      </c>
    </row>
    <row r="17" spans="1:13">
      <c r="A17" s="13" t="s">
        <v>881</v>
      </c>
      <c r="B17" s="13" t="s">
        <v>880</v>
      </c>
      <c r="C17" s="13" t="s">
        <v>760</v>
      </c>
      <c r="D17" s="13" t="s">
        <v>879</v>
      </c>
      <c r="E17" s="13" t="s">
        <v>12</v>
      </c>
      <c r="F17" s="13" t="s">
        <v>12</v>
      </c>
      <c r="G17" s="13" t="s">
        <v>765</v>
      </c>
      <c r="H17" s="13" t="s">
        <v>760</v>
      </c>
      <c r="I17" s="13" t="s">
        <v>764</v>
      </c>
      <c r="J17" s="13" t="s">
        <v>760</v>
      </c>
      <c r="K17" s="13" t="s">
        <v>762</v>
      </c>
      <c r="L17" s="13" t="s">
        <v>761</v>
      </c>
      <c r="M17" s="13" t="s">
        <v>760</v>
      </c>
    </row>
    <row r="18" spans="1:13">
      <c r="A18" s="13" t="s">
        <v>878</v>
      </c>
      <c r="B18" s="13" t="s">
        <v>877</v>
      </c>
      <c r="C18" s="13" t="s">
        <v>760</v>
      </c>
      <c r="D18" s="13" t="s">
        <v>876</v>
      </c>
      <c r="E18" s="13" t="s">
        <v>12</v>
      </c>
      <c r="F18" s="13" t="s">
        <v>12</v>
      </c>
      <c r="G18" s="13" t="s">
        <v>765</v>
      </c>
      <c r="H18" s="13" t="s">
        <v>760</v>
      </c>
      <c r="I18" s="13" t="s">
        <v>764</v>
      </c>
      <c r="J18" s="13" t="s">
        <v>760</v>
      </c>
      <c r="K18" s="13" t="s">
        <v>762</v>
      </c>
      <c r="L18" s="13" t="s">
        <v>761</v>
      </c>
      <c r="M18" s="13" t="s">
        <v>760</v>
      </c>
    </row>
    <row r="19" spans="1:13">
      <c r="A19" s="13" t="s">
        <v>875</v>
      </c>
      <c r="B19" s="13" t="s">
        <v>874</v>
      </c>
      <c r="C19" s="13" t="s">
        <v>760</v>
      </c>
      <c r="D19" s="13" t="s">
        <v>873</v>
      </c>
      <c r="E19" s="13" t="s">
        <v>716</v>
      </c>
      <c r="F19" s="13" t="s">
        <v>1003</v>
      </c>
      <c r="G19" s="13" t="s">
        <v>765</v>
      </c>
      <c r="H19" s="13" t="s">
        <v>760</v>
      </c>
      <c r="I19" s="13" t="s">
        <v>764</v>
      </c>
      <c r="J19" s="13" t="s">
        <v>760</v>
      </c>
      <c r="K19" s="13" t="s">
        <v>762</v>
      </c>
      <c r="L19" s="13" t="s">
        <v>761</v>
      </c>
      <c r="M19" s="13" t="s">
        <v>760</v>
      </c>
    </row>
    <row r="20" spans="1:13">
      <c r="A20" s="13" t="s">
        <v>872</v>
      </c>
      <c r="B20" s="13" t="s">
        <v>871</v>
      </c>
      <c r="C20" s="13" t="s">
        <v>760</v>
      </c>
      <c r="D20" s="13" t="s">
        <v>870</v>
      </c>
      <c r="E20" s="13" t="s">
        <v>716</v>
      </c>
      <c r="F20" s="13" t="s">
        <v>1003</v>
      </c>
      <c r="G20" s="13" t="s">
        <v>765</v>
      </c>
      <c r="H20" s="13" t="s">
        <v>760</v>
      </c>
      <c r="I20" s="13" t="s">
        <v>764</v>
      </c>
      <c r="J20" s="13" t="s">
        <v>760</v>
      </c>
      <c r="K20" s="13" t="s">
        <v>762</v>
      </c>
      <c r="L20" s="13" t="s">
        <v>761</v>
      </c>
      <c r="M20" s="13" t="s">
        <v>760</v>
      </c>
    </row>
    <row r="21" spans="1:13">
      <c r="A21" s="13" t="s">
        <v>869</v>
      </c>
      <c r="B21" s="13" t="s">
        <v>868</v>
      </c>
      <c r="C21" s="13" t="s">
        <v>760</v>
      </c>
      <c r="D21" s="13" t="s">
        <v>867</v>
      </c>
      <c r="E21" s="13" t="s">
        <v>12</v>
      </c>
      <c r="F21" s="13" t="s">
        <v>12</v>
      </c>
      <c r="G21" s="13" t="s">
        <v>765</v>
      </c>
      <c r="H21" s="13" t="s">
        <v>760</v>
      </c>
      <c r="I21" s="13" t="s">
        <v>764</v>
      </c>
      <c r="J21" s="13" t="s">
        <v>760</v>
      </c>
      <c r="K21" s="13" t="s">
        <v>762</v>
      </c>
      <c r="L21" s="13" t="s">
        <v>761</v>
      </c>
      <c r="M21" s="13" t="s">
        <v>760</v>
      </c>
    </row>
    <row r="22" spans="1:13">
      <c r="A22" s="13" t="s">
        <v>866</v>
      </c>
      <c r="B22" s="13" t="s">
        <v>865</v>
      </c>
      <c r="C22" s="13" t="s">
        <v>760</v>
      </c>
      <c r="D22" s="13" t="s">
        <v>864</v>
      </c>
      <c r="E22" s="13" t="s">
        <v>716</v>
      </c>
      <c r="F22" s="13" t="s">
        <v>1003</v>
      </c>
      <c r="G22" s="13" t="s">
        <v>765</v>
      </c>
      <c r="H22" s="13" t="s">
        <v>760</v>
      </c>
      <c r="I22" s="13" t="s">
        <v>764</v>
      </c>
      <c r="J22" s="13" t="s">
        <v>760</v>
      </c>
      <c r="K22" s="13" t="s">
        <v>762</v>
      </c>
      <c r="L22" s="13" t="s">
        <v>761</v>
      </c>
      <c r="M22" s="13" t="s">
        <v>760</v>
      </c>
    </row>
    <row r="23" spans="1:13">
      <c r="A23" s="13" t="s">
        <v>863</v>
      </c>
      <c r="B23" s="13" t="s">
        <v>862</v>
      </c>
      <c r="C23" s="13" t="s">
        <v>760</v>
      </c>
      <c r="D23" s="13" t="s">
        <v>861</v>
      </c>
      <c r="E23" s="13" t="s">
        <v>716</v>
      </c>
      <c r="F23" s="13" t="s">
        <v>1003</v>
      </c>
      <c r="G23" s="13" t="s">
        <v>765</v>
      </c>
      <c r="H23" s="13" t="s">
        <v>760</v>
      </c>
      <c r="I23" s="13" t="s">
        <v>764</v>
      </c>
      <c r="J23" s="13" t="s">
        <v>760</v>
      </c>
      <c r="K23" s="13" t="s">
        <v>762</v>
      </c>
      <c r="L23" s="13" t="s">
        <v>761</v>
      </c>
      <c r="M23" s="13" t="s">
        <v>760</v>
      </c>
    </row>
    <row r="24" spans="1:13">
      <c r="A24" s="13" t="s">
        <v>860</v>
      </c>
      <c r="B24" s="13" t="s">
        <v>859</v>
      </c>
      <c r="C24" s="13" t="s">
        <v>760</v>
      </c>
      <c r="D24" s="13" t="s">
        <v>858</v>
      </c>
      <c r="E24" s="13" t="s">
        <v>857</v>
      </c>
      <c r="F24" s="13" t="s">
        <v>1003</v>
      </c>
      <c r="G24" s="13" t="s">
        <v>765</v>
      </c>
      <c r="H24" s="13" t="s">
        <v>760</v>
      </c>
      <c r="I24" s="13" t="s">
        <v>764</v>
      </c>
      <c r="J24" s="13" t="s">
        <v>760</v>
      </c>
      <c r="K24" s="13" t="s">
        <v>762</v>
      </c>
      <c r="L24" s="13" t="s">
        <v>761</v>
      </c>
      <c r="M24" s="13" t="s">
        <v>760</v>
      </c>
    </row>
    <row r="25" spans="1:13">
      <c r="A25" s="13" t="s">
        <v>856</v>
      </c>
      <c r="B25" s="13" t="s">
        <v>855</v>
      </c>
      <c r="C25" s="13" t="s">
        <v>760</v>
      </c>
      <c r="D25" s="13" t="s">
        <v>854</v>
      </c>
      <c r="E25" s="13" t="s">
        <v>716</v>
      </c>
      <c r="F25" s="13" t="s">
        <v>1003</v>
      </c>
      <c r="G25" s="13" t="s">
        <v>765</v>
      </c>
      <c r="H25" s="13" t="s">
        <v>760</v>
      </c>
      <c r="I25" s="13" t="s">
        <v>764</v>
      </c>
      <c r="J25" s="13" t="s">
        <v>760</v>
      </c>
      <c r="K25" s="13" t="s">
        <v>762</v>
      </c>
      <c r="L25" s="13" t="s">
        <v>761</v>
      </c>
      <c r="M25" s="13" t="s">
        <v>760</v>
      </c>
    </row>
    <row r="26" spans="1:13">
      <c r="A26" s="13" t="s">
        <v>853</v>
      </c>
      <c r="B26" s="13" t="s">
        <v>852</v>
      </c>
      <c r="C26" s="13" t="s">
        <v>760</v>
      </c>
      <c r="D26" s="13" t="s">
        <v>851</v>
      </c>
      <c r="E26" s="13" t="s">
        <v>716</v>
      </c>
      <c r="F26" s="13" t="s">
        <v>1003</v>
      </c>
      <c r="G26" s="13" t="s">
        <v>765</v>
      </c>
      <c r="H26" s="13" t="s">
        <v>760</v>
      </c>
      <c r="I26" s="13" t="s">
        <v>764</v>
      </c>
      <c r="J26" s="13" t="s">
        <v>760</v>
      </c>
      <c r="K26" s="13" t="s">
        <v>762</v>
      </c>
      <c r="L26" s="13" t="s">
        <v>761</v>
      </c>
      <c r="M26" s="13" t="s">
        <v>760</v>
      </c>
    </row>
    <row r="27" spans="1:13">
      <c r="A27" s="13" t="s">
        <v>850</v>
      </c>
      <c r="B27" s="13" t="s">
        <v>849</v>
      </c>
      <c r="C27" s="13" t="s">
        <v>760</v>
      </c>
      <c r="D27" s="13" t="s">
        <v>848</v>
      </c>
      <c r="E27" s="13" t="s">
        <v>716</v>
      </c>
      <c r="F27" s="13" t="s">
        <v>1003</v>
      </c>
      <c r="G27" s="13" t="s">
        <v>765</v>
      </c>
      <c r="H27" s="13" t="s">
        <v>760</v>
      </c>
      <c r="I27" s="13" t="s">
        <v>764</v>
      </c>
      <c r="J27" s="13" t="s">
        <v>760</v>
      </c>
      <c r="K27" s="13" t="s">
        <v>762</v>
      </c>
      <c r="L27" s="13" t="s">
        <v>761</v>
      </c>
      <c r="M27" s="13" t="s">
        <v>760</v>
      </c>
    </row>
    <row r="28" spans="1:13">
      <c r="A28" s="13" t="s">
        <v>847</v>
      </c>
      <c r="B28" s="13" t="s">
        <v>846</v>
      </c>
      <c r="C28" s="13" t="s">
        <v>760</v>
      </c>
      <c r="D28" s="13" t="s">
        <v>845</v>
      </c>
      <c r="E28" s="13" t="s">
        <v>716</v>
      </c>
      <c r="F28" s="13" t="s">
        <v>1003</v>
      </c>
      <c r="G28" s="13" t="s">
        <v>765</v>
      </c>
      <c r="H28" s="13" t="s">
        <v>760</v>
      </c>
      <c r="I28" s="13" t="s">
        <v>764</v>
      </c>
      <c r="J28" s="13" t="s">
        <v>760</v>
      </c>
      <c r="K28" s="13" t="s">
        <v>762</v>
      </c>
      <c r="L28" s="13" t="s">
        <v>761</v>
      </c>
      <c r="M28" s="13" t="s">
        <v>760</v>
      </c>
    </row>
    <row r="29" spans="1:13">
      <c r="A29" s="13" t="s">
        <v>844</v>
      </c>
      <c r="B29" s="13" t="s">
        <v>843</v>
      </c>
      <c r="C29" s="13" t="s">
        <v>760</v>
      </c>
      <c r="D29" s="13" t="s">
        <v>842</v>
      </c>
      <c r="E29" s="13" t="s">
        <v>716</v>
      </c>
      <c r="F29" s="13" t="s">
        <v>1003</v>
      </c>
      <c r="G29" s="13" t="s">
        <v>765</v>
      </c>
      <c r="H29" s="13" t="s">
        <v>760</v>
      </c>
      <c r="I29" s="13" t="s">
        <v>764</v>
      </c>
      <c r="J29" s="13" t="s">
        <v>760</v>
      </c>
      <c r="K29" s="13" t="s">
        <v>762</v>
      </c>
      <c r="L29" s="13" t="s">
        <v>761</v>
      </c>
      <c r="M29" s="13" t="s">
        <v>760</v>
      </c>
    </row>
    <row r="30" spans="1:13">
      <c r="A30" s="13" t="s">
        <v>841</v>
      </c>
      <c r="B30" s="13" t="s">
        <v>840</v>
      </c>
      <c r="C30" s="13" t="s">
        <v>760</v>
      </c>
      <c r="D30" s="13" t="s">
        <v>839</v>
      </c>
      <c r="E30" s="13" t="s">
        <v>716</v>
      </c>
      <c r="F30" s="13" t="s">
        <v>1003</v>
      </c>
      <c r="G30" s="13" t="s">
        <v>765</v>
      </c>
      <c r="H30" s="13" t="s">
        <v>760</v>
      </c>
      <c r="I30" s="13" t="s">
        <v>764</v>
      </c>
      <c r="J30" s="13" t="s">
        <v>760</v>
      </c>
      <c r="K30" s="13" t="s">
        <v>762</v>
      </c>
      <c r="L30" s="13" t="s">
        <v>761</v>
      </c>
      <c r="M30" s="13" t="s">
        <v>760</v>
      </c>
    </row>
    <row r="31" spans="1:13">
      <c r="A31" s="13" t="s">
        <v>838</v>
      </c>
      <c r="B31" s="13" t="s">
        <v>837</v>
      </c>
      <c r="C31" s="13" t="s">
        <v>760</v>
      </c>
      <c r="D31" s="13" t="s">
        <v>836</v>
      </c>
      <c r="E31" s="13" t="s">
        <v>12</v>
      </c>
      <c r="F31" s="13" t="s">
        <v>12</v>
      </c>
      <c r="G31" s="13" t="s">
        <v>765</v>
      </c>
      <c r="H31" s="13" t="s">
        <v>760</v>
      </c>
      <c r="I31" s="13" t="s">
        <v>764</v>
      </c>
      <c r="J31" s="13" t="s">
        <v>760</v>
      </c>
      <c r="K31" s="13" t="s">
        <v>762</v>
      </c>
      <c r="L31" s="13" t="s">
        <v>761</v>
      </c>
      <c r="M31" s="13" t="s">
        <v>760</v>
      </c>
    </row>
    <row r="32" spans="1:13">
      <c r="A32" s="13" t="s">
        <v>835</v>
      </c>
      <c r="B32" s="13" t="s">
        <v>834</v>
      </c>
      <c r="C32" s="13" t="s">
        <v>760</v>
      </c>
      <c r="D32" s="13" t="s">
        <v>833</v>
      </c>
      <c r="E32" s="13" t="s">
        <v>716</v>
      </c>
      <c r="F32" s="13" t="s">
        <v>1003</v>
      </c>
      <c r="G32" s="13" t="s">
        <v>765</v>
      </c>
      <c r="H32" s="13" t="s">
        <v>760</v>
      </c>
      <c r="I32" s="13" t="s">
        <v>764</v>
      </c>
      <c r="J32" s="13" t="s">
        <v>760</v>
      </c>
      <c r="K32" s="13" t="s">
        <v>762</v>
      </c>
      <c r="L32" s="13" t="s">
        <v>761</v>
      </c>
      <c r="M32" s="13" t="s">
        <v>760</v>
      </c>
    </row>
    <row r="33" spans="1:13">
      <c r="A33" s="13" t="s">
        <v>832</v>
      </c>
      <c r="B33" s="13" t="s">
        <v>831</v>
      </c>
      <c r="C33" s="13" t="s">
        <v>760</v>
      </c>
      <c r="D33" s="13" t="s">
        <v>830</v>
      </c>
      <c r="E33" s="13" t="s">
        <v>716</v>
      </c>
      <c r="F33" s="13" t="s">
        <v>1003</v>
      </c>
      <c r="G33" s="13" t="s">
        <v>765</v>
      </c>
      <c r="H33" s="13" t="s">
        <v>760</v>
      </c>
      <c r="I33" s="13" t="s">
        <v>764</v>
      </c>
      <c r="J33" s="13" t="s">
        <v>760</v>
      </c>
      <c r="K33" s="13" t="s">
        <v>762</v>
      </c>
      <c r="L33" s="13" t="s">
        <v>761</v>
      </c>
      <c r="M33" s="13" t="s">
        <v>760</v>
      </c>
    </row>
    <row r="34" spans="1:13">
      <c r="A34" s="13" t="s">
        <v>829</v>
      </c>
      <c r="B34" s="13" t="s">
        <v>828</v>
      </c>
      <c r="C34" s="13" t="s">
        <v>760</v>
      </c>
      <c r="D34" s="13" t="s">
        <v>827</v>
      </c>
      <c r="E34" s="13" t="s">
        <v>817</v>
      </c>
      <c r="F34" s="13" t="s">
        <v>946</v>
      </c>
      <c r="G34" s="13" t="s">
        <v>765</v>
      </c>
      <c r="H34" s="13" t="s">
        <v>760</v>
      </c>
      <c r="I34" s="13" t="s">
        <v>764</v>
      </c>
      <c r="J34" s="13" t="s">
        <v>760</v>
      </c>
      <c r="K34" s="13" t="s">
        <v>762</v>
      </c>
      <c r="L34" s="13" t="s">
        <v>761</v>
      </c>
      <c r="M34" s="13" t="s">
        <v>760</v>
      </c>
    </row>
    <row r="35" spans="1:13">
      <c r="A35" s="13" t="s">
        <v>826</v>
      </c>
      <c r="B35" s="13" t="s">
        <v>825</v>
      </c>
      <c r="C35" s="13" t="s">
        <v>760</v>
      </c>
      <c r="D35" s="13" t="s">
        <v>824</v>
      </c>
      <c r="E35" s="13" t="s">
        <v>774</v>
      </c>
      <c r="F35" s="13" t="s">
        <v>941</v>
      </c>
      <c r="G35" s="13" t="s">
        <v>765</v>
      </c>
      <c r="H35" s="13" t="s">
        <v>760</v>
      </c>
      <c r="I35" s="13" t="s">
        <v>764</v>
      </c>
      <c r="J35" s="13" t="s">
        <v>760</v>
      </c>
      <c r="K35" s="13" t="s">
        <v>762</v>
      </c>
      <c r="L35" s="13" t="s">
        <v>761</v>
      </c>
      <c r="M35" s="13" t="s">
        <v>760</v>
      </c>
    </row>
    <row r="36" spans="1:13">
      <c r="A36" s="13" t="s">
        <v>823</v>
      </c>
      <c r="B36" s="13" t="s">
        <v>822</v>
      </c>
      <c r="C36" s="13" t="s">
        <v>760</v>
      </c>
      <c r="D36" s="13" t="s">
        <v>821</v>
      </c>
      <c r="E36" s="13" t="s">
        <v>716</v>
      </c>
      <c r="F36" s="13" t="s">
        <v>1003</v>
      </c>
      <c r="G36" s="13" t="s">
        <v>765</v>
      </c>
      <c r="H36" s="13" t="s">
        <v>760</v>
      </c>
      <c r="I36" s="13" t="s">
        <v>764</v>
      </c>
      <c r="J36" s="13" t="s">
        <v>760</v>
      </c>
      <c r="K36" s="13" t="s">
        <v>762</v>
      </c>
      <c r="L36" s="13" t="s">
        <v>761</v>
      </c>
      <c r="M36" s="13" t="s">
        <v>760</v>
      </c>
    </row>
    <row r="37" spans="1:13">
      <c r="A37" s="13" t="s">
        <v>820</v>
      </c>
      <c r="B37" s="13" t="s">
        <v>819</v>
      </c>
      <c r="C37" s="13" t="s">
        <v>760</v>
      </c>
      <c r="D37" s="13" t="s">
        <v>818</v>
      </c>
      <c r="E37" s="13" t="s">
        <v>817</v>
      </c>
      <c r="F37" s="13" t="s">
        <v>946</v>
      </c>
      <c r="G37" s="13" t="s">
        <v>765</v>
      </c>
      <c r="H37" s="13" t="s">
        <v>760</v>
      </c>
      <c r="I37" s="13" t="s">
        <v>764</v>
      </c>
      <c r="J37" s="13" t="s">
        <v>760</v>
      </c>
      <c r="K37" s="13" t="s">
        <v>762</v>
      </c>
      <c r="L37" s="13" t="s">
        <v>761</v>
      </c>
      <c r="M37" s="13" t="s">
        <v>760</v>
      </c>
    </row>
    <row r="38" spans="1:13">
      <c r="A38" s="13" t="s">
        <v>816</v>
      </c>
      <c r="B38" s="13" t="s">
        <v>815</v>
      </c>
      <c r="C38" s="13" t="s">
        <v>760</v>
      </c>
      <c r="D38" s="13" t="s">
        <v>814</v>
      </c>
      <c r="E38" s="13" t="s">
        <v>716</v>
      </c>
      <c r="F38" s="13" t="s">
        <v>1003</v>
      </c>
      <c r="G38" s="13" t="s">
        <v>765</v>
      </c>
      <c r="H38" s="13" t="s">
        <v>760</v>
      </c>
      <c r="I38" s="13" t="s">
        <v>764</v>
      </c>
      <c r="J38" s="13" t="s">
        <v>760</v>
      </c>
      <c r="K38" s="13" t="s">
        <v>762</v>
      </c>
      <c r="L38" s="13" t="s">
        <v>761</v>
      </c>
      <c r="M38" s="13" t="s">
        <v>760</v>
      </c>
    </row>
    <row r="39" spans="1:13">
      <c r="A39" s="13" t="s">
        <v>813</v>
      </c>
      <c r="B39" s="13" t="s">
        <v>812</v>
      </c>
      <c r="C39" s="13" t="s">
        <v>760</v>
      </c>
      <c r="D39" s="13" t="s">
        <v>811</v>
      </c>
      <c r="E39" s="13" t="s">
        <v>716</v>
      </c>
      <c r="F39" s="13" t="s">
        <v>1003</v>
      </c>
      <c r="G39" s="13" t="s">
        <v>765</v>
      </c>
      <c r="H39" s="13" t="s">
        <v>760</v>
      </c>
      <c r="I39" s="13" t="s">
        <v>764</v>
      </c>
      <c r="J39" s="13" t="s">
        <v>760</v>
      </c>
      <c r="K39" s="13" t="s">
        <v>762</v>
      </c>
      <c r="L39" s="13" t="s">
        <v>761</v>
      </c>
      <c r="M39" s="13" t="s">
        <v>760</v>
      </c>
    </row>
    <row r="40" spans="1:13">
      <c r="A40" s="13" t="s">
        <v>810</v>
      </c>
      <c r="B40" s="13" t="s">
        <v>809</v>
      </c>
      <c r="C40" s="13" t="s">
        <v>760</v>
      </c>
      <c r="D40" s="13" t="s">
        <v>808</v>
      </c>
      <c r="E40" s="13" t="s">
        <v>716</v>
      </c>
      <c r="F40" s="13" t="s">
        <v>1003</v>
      </c>
      <c r="G40" s="13" t="s">
        <v>765</v>
      </c>
      <c r="H40" s="13" t="s">
        <v>760</v>
      </c>
      <c r="I40" s="13" t="s">
        <v>764</v>
      </c>
      <c r="J40" s="13" t="s">
        <v>760</v>
      </c>
      <c r="K40" s="13" t="s">
        <v>762</v>
      </c>
      <c r="L40" s="13" t="s">
        <v>761</v>
      </c>
      <c r="M40" s="13" t="s">
        <v>760</v>
      </c>
    </row>
    <row r="41" spans="1:13">
      <c r="A41" s="13" t="s">
        <v>807</v>
      </c>
      <c r="B41" s="13" t="s">
        <v>806</v>
      </c>
      <c r="C41" s="13" t="s">
        <v>760</v>
      </c>
      <c r="D41" s="13" t="s">
        <v>805</v>
      </c>
      <c r="E41" s="13" t="s">
        <v>716</v>
      </c>
      <c r="F41" s="13" t="s">
        <v>1003</v>
      </c>
      <c r="G41" s="13" t="s">
        <v>765</v>
      </c>
      <c r="H41" s="13" t="s">
        <v>760</v>
      </c>
      <c r="I41" s="13" t="s">
        <v>764</v>
      </c>
      <c r="J41" s="13" t="s">
        <v>760</v>
      </c>
      <c r="K41" s="13" t="s">
        <v>762</v>
      </c>
      <c r="L41" s="13" t="s">
        <v>761</v>
      </c>
      <c r="M41" s="13" t="s">
        <v>760</v>
      </c>
    </row>
    <row r="42" spans="1:13">
      <c r="A42" s="13" t="s">
        <v>804</v>
      </c>
      <c r="B42" s="13" t="s">
        <v>803</v>
      </c>
      <c r="C42" s="13" t="s">
        <v>760</v>
      </c>
      <c r="D42" s="13" t="s">
        <v>802</v>
      </c>
      <c r="E42" s="13" t="s">
        <v>716</v>
      </c>
      <c r="F42" s="13" t="s">
        <v>1003</v>
      </c>
      <c r="G42" s="13" t="s">
        <v>765</v>
      </c>
      <c r="H42" s="13" t="s">
        <v>760</v>
      </c>
      <c r="I42" s="13" t="s">
        <v>764</v>
      </c>
      <c r="J42" s="13" t="s">
        <v>760</v>
      </c>
      <c r="K42" s="13" t="s">
        <v>762</v>
      </c>
      <c r="L42" s="13" t="s">
        <v>761</v>
      </c>
      <c r="M42" s="13" t="s">
        <v>760</v>
      </c>
    </row>
    <row r="43" spans="1:13">
      <c r="A43" s="13" t="s">
        <v>801</v>
      </c>
      <c r="B43" s="13" t="s">
        <v>800</v>
      </c>
      <c r="C43" s="13" t="s">
        <v>760</v>
      </c>
      <c r="D43" s="13" t="s">
        <v>799</v>
      </c>
      <c r="E43" s="13" t="s">
        <v>716</v>
      </c>
      <c r="F43" s="13" t="s">
        <v>1003</v>
      </c>
      <c r="G43" s="13" t="s">
        <v>765</v>
      </c>
      <c r="H43" s="13" t="s">
        <v>760</v>
      </c>
      <c r="I43" s="13" t="s">
        <v>764</v>
      </c>
      <c r="J43" s="13" t="s">
        <v>760</v>
      </c>
      <c r="K43" s="13" t="s">
        <v>762</v>
      </c>
      <c r="L43" s="13" t="s">
        <v>761</v>
      </c>
      <c r="M43" s="13" t="s">
        <v>760</v>
      </c>
    </row>
    <row r="44" spans="1:13">
      <c r="A44" s="13" t="s">
        <v>798</v>
      </c>
      <c r="B44" s="13" t="s">
        <v>797</v>
      </c>
      <c r="C44" s="13" t="s">
        <v>760</v>
      </c>
      <c r="D44" s="13" t="s">
        <v>796</v>
      </c>
      <c r="E44" s="13" t="s">
        <v>795</v>
      </c>
      <c r="F44" s="13" t="s">
        <v>946</v>
      </c>
      <c r="G44" s="13" t="s">
        <v>765</v>
      </c>
      <c r="H44" s="13" t="s">
        <v>760</v>
      </c>
      <c r="I44" s="13" t="s">
        <v>764</v>
      </c>
      <c r="J44" s="13" t="s">
        <v>760</v>
      </c>
      <c r="K44" s="13" t="s">
        <v>762</v>
      </c>
      <c r="L44" s="13" t="s">
        <v>761</v>
      </c>
      <c r="M44" s="13" t="s">
        <v>760</v>
      </c>
    </row>
    <row r="45" spans="1:13">
      <c r="A45" s="13" t="s">
        <v>794</v>
      </c>
      <c r="B45" s="13" t="s">
        <v>5</v>
      </c>
      <c r="C45" s="13" t="s">
        <v>760</v>
      </c>
      <c r="D45" s="13" t="s">
        <v>793</v>
      </c>
      <c r="E45" s="13" t="s">
        <v>716</v>
      </c>
      <c r="F45" s="13" t="s">
        <v>1003</v>
      </c>
      <c r="G45" s="13" t="s">
        <v>765</v>
      </c>
      <c r="H45" s="13" t="s">
        <v>760</v>
      </c>
      <c r="I45" s="13" t="s">
        <v>764</v>
      </c>
      <c r="J45" s="13" t="s">
        <v>760</v>
      </c>
      <c r="K45" s="13" t="s">
        <v>762</v>
      </c>
      <c r="L45" s="13" t="s">
        <v>761</v>
      </c>
      <c r="M45" s="13" t="s">
        <v>760</v>
      </c>
    </row>
    <row r="46" spans="1:13">
      <c r="A46" s="13" t="s">
        <v>792</v>
      </c>
      <c r="B46" s="13" t="s">
        <v>791</v>
      </c>
      <c r="C46" s="13" t="s">
        <v>760</v>
      </c>
      <c r="D46" s="13" t="s">
        <v>790</v>
      </c>
      <c r="E46" s="13" t="s">
        <v>789</v>
      </c>
      <c r="F46" s="13" t="s">
        <v>941</v>
      </c>
      <c r="G46" s="13" t="s">
        <v>765</v>
      </c>
      <c r="H46" s="13" t="s">
        <v>760</v>
      </c>
      <c r="I46" s="13" t="s">
        <v>764</v>
      </c>
      <c r="J46" s="13" t="s">
        <v>760</v>
      </c>
      <c r="K46" s="13" t="s">
        <v>762</v>
      </c>
      <c r="L46" s="13" t="s">
        <v>761</v>
      </c>
      <c r="M46" s="13" t="s">
        <v>760</v>
      </c>
    </row>
    <row r="47" spans="1:13">
      <c r="A47" s="13" t="s">
        <v>788</v>
      </c>
      <c r="B47" s="13" t="s">
        <v>787</v>
      </c>
      <c r="C47" s="13" t="s">
        <v>760</v>
      </c>
      <c r="D47" s="13" t="s">
        <v>786</v>
      </c>
      <c r="E47" s="13" t="s">
        <v>785</v>
      </c>
      <c r="F47" s="13" t="s">
        <v>940</v>
      </c>
      <c r="G47" s="13" t="s">
        <v>765</v>
      </c>
      <c r="H47" s="13" t="s">
        <v>760</v>
      </c>
      <c r="I47" s="13" t="s">
        <v>764</v>
      </c>
      <c r="J47" s="13" t="s">
        <v>760</v>
      </c>
      <c r="K47" s="13" t="s">
        <v>762</v>
      </c>
      <c r="L47" s="13" t="s">
        <v>761</v>
      </c>
      <c r="M47" s="13" t="s">
        <v>760</v>
      </c>
    </row>
    <row r="48" spans="1:13">
      <c r="A48" s="13" t="s">
        <v>784</v>
      </c>
      <c r="B48" s="13" t="s">
        <v>783</v>
      </c>
      <c r="C48" s="13" t="s">
        <v>760</v>
      </c>
      <c r="D48" s="13" t="s">
        <v>782</v>
      </c>
      <c r="E48" s="13" t="s">
        <v>781</v>
      </c>
      <c r="F48" s="13" t="s">
        <v>943</v>
      </c>
      <c r="G48" s="13" t="s">
        <v>765</v>
      </c>
      <c r="H48" s="13" t="s">
        <v>760</v>
      </c>
      <c r="I48" s="13" t="s">
        <v>764</v>
      </c>
      <c r="J48" s="13" t="s">
        <v>760</v>
      </c>
      <c r="K48" s="13" t="s">
        <v>762</v>
      </c>
      <c r="L48" s="13" t="s">
        <v>761</v>
      </c>
      <c r="M48" s="13" t="s">
        <v>760</v>
      </c>
    </row>
    <row r="49" spans="1:13">
      <c r="A49" s="13" t="s">
        <v>780</v>
      </c>
      <c r="B49" s="13" t="s">
        <v>779</v>
      </c>
      <c r="C49" s="13" t="s">
        <v>760</v>
      </c>
      <c r="D49" s="13" t="s">
        <v>778</v>
      </c>
      <c r="E49" s="13" t="s">
        <v>716</v>
      </c>
      <c r="F49" s="13" t="s">
        <v>1003</v>
      </c>
      <c r="G49" s="13" t="s">
        <v>765</v>
      </c>
      <c r="H49" s="13" t="s">
        <v>760</v>
      </c>
      <c r="I49" s="13" t="s">
        <v>764</v>
      </c>
      <c r="J49" s="13" t="s">
        <v>760</v>
      </c>
      <c r="K49" s="13" t="s">
        <v>762</v>
      </c>
      <c r="L49" s="13" t="s">
        <v>761</v>
      </c>
      <c r="M49" s="13" t="s">
        <v>760</v>
      </c>
    </row>
    <row r="50" spans="1:13">
      <c r="A50" s="13" t="s">
        <v>777</v>
      </c>
      <c r="B50" s="13" t="s">
        <v>776</v>
      </c>
      <c r="C50" s="13" t="s">
        <v>760</v>
      </c>
      <c r="D50" s="13" t="s">
        <v>775</v>
      </c>
      <c r="E50" s="13" t="s">
        <v>774</v>
      </c>
      <c r="F50" s="13" t="s">
        <v>941</v>
      </c>
      <c r="G50" s="13" t="s">
        <v>765</v>
      </c>
      <c r="H50" s="13" t="s">
        <v>760</v>
      </c>
      <c r="I50" s="13" t="s">
        <v>764</v>
      </c>
      <c r="J50" s="13" t="s">
        <v>760</v>
      </c>
      <c r="K50" s="13" t="s">
        <v>762</v>
      </c>
      <c r="L50" s="13" t="s">
        <v>761</v>
      </c>
      <c r="M50" s="13" t="s">
        <v>760</v>
      </c>
    </row>
    <row r="51" spans="1:13">
      <c r="A51" s="13" t="s">
        <v>773</v>
      </c>
      <c r="B51" s="13" t="s">
        <v>772</v>
      </c>
      <c r="C51" s="13" t="s">
        <v>760</v>
      </c>
      <c r="D51" s="13" t="s">
        <v>771</v>
      </c>
      <c r="E51" s="13" t="s">
        <v>716</v>
      </c>
      <c r="F51" s="13" t="s">
        <v>1003</v>
      </c>
      <c r="G51" s="13" t="s">
        <v>765</v>
      </c>
      <c r="H51" s="13" t="s">
        <v>760</v>
      </c>
      <c r="I51" s="13" t="s">
        <v>764</v>
      </c>
      <c r="J51" s="13" t="s">
        <v>760</v>
      </c>
      <c r="K51" s="13" t="s">
        <v>762</v>
      </c>
      <c r="L51" s="13" t="s">
        <v>761</v>
      </c>
      <c r="M51" s="13" t="s">
        <v>760</v>
      </c>
    </row>
    <row r="52" spans="1:13">
      <c r="A52" s="13" t="s">
        <v>770</v>
      </c>
      <c r="B52" s="13" t="s">
        <v>769</v>
      </c>
      <c r="C52" s="13" t="s">
        <v>760</v>
      </c>
      <c r="D52" s="13" t="s">
        <v>768</v>
      </c>
      <c r="E52" s="13" t="s">
        <v>716</v>
      </c>
      <c r="F52" s="13" t="s">
        <v>1003</v>
      </c>
      <c r="G52" s="13" t="s">
        <v>765</v>
      </c>
      <c r="H52" s="13" t="s">
        <v>760</v>
      </c>
      <c r="I52" s="13" t="s">
        <v>764</v>
      </c>
      <c r="J52" s="13" t="s">
        <v>760</v>
      </c>
      <c r="K52" s="13" t="s">
        <v>762</v>
      </c>
      <c r="L52" s="13" t="s">
        <v>761</v>
      </c>
      <c r="M52" s="13" t="s">
        <v>760</v>
      </c>
    </row>
    <row r="53" spans="1:13">
      <c r="A53" s="13" t="s">
        <v>767</v>
      </c>
      <c r="B53" s="13" t="s">
        <v>766</v>
      </c>
      <c r="C53" s="13" t="s">
        <v>760</v>
      </c>
      <c r="D53" s="13" t="s">
        <v>760</v>
      </c>
      <c r="E53" s="13" t="s">
        <v>709</v>
      </c>
      <c r="F53" s="13" t="s">
        <v>941</v>
      </c>
      <c r="G53" s="13" t="s">
        <v>765</v>
      </c>
      <c r="H53" s="13" t="s">
        <v>760</v>
      </c>
      <c r="I53" s="13" t="s">
        <v>764</v>
      </c>
      <c r="J53" s="13" t="s">
        <v>763</v>
      </c>
      <c r="K53" s="13" t="s">
        <v>762</v>
      </c>
      <c r="L53" s="13" t="s">
        <v>761</v>
      </c>
      <c r="M53" s="13" t="s">
        <v>760</v>
      </c>
    </row>
    <row r="54" spans="1:13">
      <c r="A54" s="16" t="s">
        <v>948</v>
      </c>
      <c r="B54" s="13" t="s">
        <v>949</v>
      </c>
      <c r="D54" s="13" t="s">
        <v>952</v>
      </c>
      <c r="E54" s="13" t="s">
        <v>709</v>
      </c>
      <c r="F54" s="13" t="s">
        <v>941</v>
      </c>
    </row>
    <row r="55" spans="1:13">
      <c r="A55" s="16" t="s">
        <v>948</v>
      </c>
      <c r="B55" s="13" t="s">
        <v>950</v>
      </c>
      <c r="D55" s="13" t="s">
        <v>952</v>
      </c>
      <c r="E55" s="13" t="s">
        <v>709</v>
      </c>
      <c r="F55" s="13" t="s">
        <v>941</v>
      </c>
    </row>
    <row r="56" spans="1:13">
      <c r="A56" s="16" t="s">
        <v>948</v>
      </c>
      <c r="B56" s="13" t="s">
        <v>951</v>
      </c>
      <c r="D56" s="13" t="s">
        <v>952</v>
      </c>
      <c r="E56" s="13" t="s">
        <v>709</v>
      </c>
      <c r="F56" s="13" t="s">
        <v>941</v>
      </c>
    </row>
    <row r="57" spans="1:13">
      <c r="A57" s="16" t="s">
        <v>948</v>
      </c>
      <c r="B57" s="13" t="s">
        <v>1352</v>
      </c>
      <c r="D57" s="118" t="s">
        <v>1703</v>
      </c>
      <c r="E57" s="13" t="s">
        <v>12</v>
      </c>
      <c r="F57" s="13" t="s">
        <v>12</v>
      </c>
    </row>
    <row r="58" spans="1:13">
      <c r="A58" s="16" t="s">
        <v>948</v>
      </c>
      <c r="B58" s="13" t="s">
        <v>986</v>
      </c>
      <c r="D58" s="13" t="s">
        <v>987</v>
      </c>
      <c r="E58" s="13" t="s">
        <v>903</v>
      </c>
      <c r="F58" s="13" t="s">
        <v>946</v>
      </c>
    </row>
    <row r="59" spans="1:13">
      <c r="A59" s="16" t="s">
        <v>948</v>
      </c>
      <c r="B59" s="13" t="s">
        <v>953</v>
      </c>
      <c r="D59" s="13" t="s">
        <v>954</v>
      </c>
      <c r="E59" s="13" t="s">
        <v>716</v>
      </c>
      <c r="F59" s="13" t="s">
        <v>1003</v>
      </c>
    </row>
    <row r="60" spans="1:13">
      <c r="A60" s="16" t="s">
        <v>948</v>
      </c>
      <c r="B60" s="13" t="s">
        <v>956</v>
      </c>
      <c r="D60" s="13" t="s">
        <v>955</v>
      </c>
      <c r="E60" s="13" t="s">
        <v>716</v>
      </c>
      <c r="F60" s="13" t="s">
        <v>1003</v>
      </c>
    </row>
    <row r="61" spans="1:13">
      <c r="A61" s="16" t="s">
        <v>948</v>
      </c>
      <c r="B61" s="13" t="s">
        <v>1353</v>
      </c>
      <c r="D61" s="13" t="s">
        <v>957</v>
      </c>
      <c r="E61" s="13" t="s">
        <v>716</v>
      </c>
      <c r="F61" s="13" t="s">
        <v>940</v>
      </c>
    </row>
    <row r="62" spans="1:13">
      <c r="A62" s="16" t="s">
        <v>948</v>
      </c>
      <c r="B62" s="13" t="s">
        <v>2</v>
      </c>
      <c r="D62" s="13" t="s">
        <v>958</v>
      </c>
      <c r="E62" s="13" t="s">
        <v>12</v>
      </c>
      <c r="F62" s="13" t="s">
        <v>12</v>
      </c>
    </row>
    <row r="63" spans="1:13">
      <c r="A63" s="16" t="s">
        <v>948</v>
      </c>
      <c r="B63" s="13" t="s">
        <v>1354</v>
      </c>
      <c r="D63" s="13" t="s">
        <v>959</v>
      </c>
      <c r="E63" s="13" t="s">
        <v>12</v>
      </c>
      <c r="F63" s="13" t="s">
        <v>12</v>
      </c>
    </row>
    <row r="64" spans="1:13">
      <c r="A64" s="16" t="s">
        <v>948</v>
      </c>
      <c r="B64" s="13" t="s">
        <v>960</v>
      </c>
      <c r="D64" s="13" t="s">
        <v>961</v>
      </c>
      <c r="E64" s="13" t="s">
        <v>716</v>
      </c>
      <c r="F64" s="13" t="s">
        <v>1003</v>
      </c>
    </row>
    <row r="65" spans="1:6">
      <c r="A65" s="16" t="s">
        <v>948</v>
      </c>
      <c r="B65" s="13" t="s">
        <v>963</v>
      </c>
      <c r="D65" s="13" t="s">
        <v>962</v>
      </c>
      <c r="E65" s="13" t="s">
        <v>716</v>
      </c>
      <c r="F65" s="13" t="s">
        <v>1003</v>
      </c>
    </row>
    <row r="66" spans="1:6">
      <c r="A66" s="16" t="s">
        <v>948</v>
      </c>
      <c r="B66" s="13" t="s">
        <v>974</v>
      </c>
      <c r="D66" s="13" t="s">
        <v>975</v>
      </c>
      <c r="E66" s="13" t="s">
        <v>716</v>
      </c>
      <c r="F66" s="13" t="s">
        <v>1003</v>
      </c>
    </row>
    <row r="67" spans="1:6">
      <c r="A67" s="16" t="s">
        <v>948</v>
      </c>
      <c r="B67" s="13" t="s">
        <v>976</v>
      </c>
      <c r="D67" s="13" t="s">
        <v>978</v>
      </c>
      <c r="E67" s="13" t="s">
        <v>716</v>
      </c>
      <c r="F67" s="13" t="s">
        <v>1003</v>
      </c>
    </row>
    <row r="68" spans="1:6">
      <c r="A68" s="16" t="s">
        <v>948</v>
      </c>
      <c r="B68" s="13" t="s">
        <v>977</v>
      </c>
      <c r="D68" s="13" t="s">
        <v>979</v>
      </c>
      <c r="E68" s="13" t="s">
        <v>716</v>
      </c>
      <c r="F68" s="13" t="s">
        <v>1003</v>
      </c>
    </row>
    <row r="69" spans="1:6">
      <c r="A69" s="16" t="s">
        <v>948</v>
      </c>
      <c r="B69" s="13" t="s">
        <v>32</v>
      </c>
      <c r="D69" s="13" t="s">
        <v>980</v>
      </c>
      <c r="E69" s="13" t="s">
        <v>716</v>
      </c>
      <c r="F69" s="13" t="s">
        <v>1003</v>
      </c>
    </row>
    <row r="70" spans="1:6">
      <c r="A70" s="16" t="s">
        <v>948</v>
      </c>
      <c r="B70" s="13" t="s">
        <v>27</v>
      </c>
      <c r="D70" s="13" t="s">
        <v>981</v>
      </c>
      <c r="E70" s="13" t="s">
        <v>716</v>
      </c>
      <c r="F70" s="13" t="s">
        <v>1003</v>
      </c>
    </row>
    <row r="71" spans="1:6">
      <c r="A71" s="16" t="s">
        <v>948</v>
      </c>
      <c r="B71" s="13" t="s">
        <v>982</v>
      </c>
      <c r="D71" s="13" t="s">
        <v>983</v>
      </c>
      <c r="E71" s="13" t="s">
        <v>716</v>
      </c>
      <c r="F71" s="13" t="s">
        <v>1003</v>
      </c>
    </row>
    <row r="72" spans="1:6">
      <c r="A72" s="16" t="s">
        <v>948</v>
      </c>
      <c r="B72" s="13" t="s">
        <v>984</v>
      </c>
      <c r="D72" s="13" t="s">
        <v>985</v>
      </c>
      <c r="E72" s="13" t="s">
        <v>716</v>
      </c>
      <c r="F72" s="13" t="s">
        <v>1003</v>
      </c>
    </row>
    <row r="73" spans="1:6">
      <c r="A73" s="16" t="s">
        <v>948</v>
      </c>
      <c r="B73" s="13" t="s">
        <v>991</v>
      </c>
      <c r="D73" s="13" t="s">
        <v>992</v>
      </c>
      <c r="E73" s="13" t="s">
        <v>716</v>
      </c>
      <c r="F73" s="13" t="s">
        <v>1003</v>
      </c>
    </row>
    <row r="74" spans="1:6">
      <c r="A74" s="16" t="s">
        <v>948</v>
      </c>
      <c r="B74" s="13" t="s">
        <v>994</v>
      </c>
      <c r="C74" s="13" t="s">
        <v>760</v>
      </c>
      <c r="D74" s="13" t="s">
        <v>993</v>
      </c>
      <c r="E74" s="13" t="s">
        <v>909</v>
      </c>
      <c r="F74" s="13" t="s">
        <v>945</v>
      </c>
    </row>
    <row r="75" spans="1:6">
      <c r="A75" s="16" t="s">
        <v>948</v>
      </c>
      <c r="B75" s="13" t="s">
        <v>995</v>
      </c>
      <c r="D75" s="13" t="s">
        <v>996</v>
      </c>
      <c r="E75" s="13" t="s">
        <v>995</v>
      </c>
      <c r="F75" s="13" t="s">
        <v>943</v>
      </c>
    </row>
    <row r="76" spans="1:6">
      <c r="A76" s="16" t="s">
        <v>948</v>
      </c>
      <c r="B76" s="13" t="s">
        <v>943</v>
      </c>
      <c r="E76" s="13" t="s">
        <v>943</v>
      </c>
      <c r="F76" s="13" t="s">
        <v>943</v>
      </c>
    </row>
    <row r="77" spans="1:6">
      <c r="A77" s="16" t="s">
        <v>948</v>
      </c>
      <c r="B77" s="13" t="s">
        <v>997</v>
      </c>
      <c r="E77" s="13" t="s">
        <v>997</v>
      </c>
      <c r="F77" s="13" t="s">
        <v>943</v>
      </c>
    </row>
    <row r="78" spans="1:6">
      <c r="A78" s="16" t="s">
        <v>948</v>
      </c>
      <c r="B78" s="118" t="s">
        <v>1704</v>
      </c>
      <c r="E78" s="13" t="s">
        <v>716</v>
      </c>
      <c r="F78" s="13" t="s">
        <v>1003</v>
      </c>
    </row>
    <row r="79" spans="1:6" s="105" customFormat="1">
      <c r="A79" s="16" t="s">
        <v>948</v>
      </c>
      <c r="B79" s="118" t="s">
        <v>1702</v>
      </c>
      <c r="D79" s="105" t="s">
        <v>1378</v>
      </c>
      <c r="E79" s="105" t="s">
        <v>716</v>
      </c>
      <c r="F79" s="105" t="s">
        <v>1003</v>
      </c>
    </row>
    <row r="80" spans="1:6">
      <c r="A80" s="16" t="s">
        <v>948</v>
      </c>
      <c r="B80" s="13" t="s">
        <v>2162</v>
      </c>
      <c r="D80" s="13" t="s">
        <v>2163</v>
      </c>
      <c r="E80" s="13" t="s">
        <v>716</v>
      </c>
      <c r="F80" s="13" t="s">
        <v>1003</v>
      </c>
    </row>
    <row r="81" spans="1:6">
      <c r="A81" s="16" t="s">
        <v>948</v>
      </c>
      <c r="B81" s="13" t="s">
        <v>2165</v>
      </c>
      <c r="D81" s="13" t="s">
        <v>2166</v>
      </c>
      <c r="E81" s="13" t="s">
        <v>716</v>
      </c>
      <c r="F81" s="13" t="s">
        <v>1003</v>
      </c>
    </row>
  </sheetData>
  <autoFilter ref="A1:M77"/>
  <pageMargins left="0.75" right="0.75" top="1" bottom="1" header="0.5" footer="0.5"/>
  <pageSetup orientation="portrait" horizontalDpi="300" verticalDpi="300"/>
  <headerFooter alignWithMargins="0"/>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D13"/>
  <sheetViews>
    <sheetView workbookViewId="0">
      <selection activeCell="D15" sqref="D15"/>
    </sheetView>
  </sheetViews>
  <sheetFormatPr defaultRowHeight="13"/>
  <cols>
    <col min="2" max="2" width="41" customWidth="1"/>
    <col min="3" max="3" width="20" customWidth="1"/>
    <col min="4" max="4" width="15" customWidth="1"/>
  </cols>
  <sheetData>
    <row r="3" spans="2:4">
      <c r="B3" t="s">
        <v>964</v>
      </c>
      <c r="C3" t="s">
        <v>965</v>
      </c>
    </row>
    <row r="4" spans="2:4">
      <c r="B4" t="s">
        <v>966</v>
      </c>
      <c r="C4" s="17">
        <v>1040000</v>
      </c>
    </row>
    <row r="5" spans="2:4">
      <c r="B5" t="s">
        <v>967</v>
      </c>
      <c r="C5" s="17">
        <v>68000</v>
      </c>
    </row>
    <row r="6" spans="2:4">
      <c r="B6" t="s">
        <v>968</v>
      </c>
      <c r="C6" s="17">
        <v>57000</v>
      </c>
    </row>
    <row r="7" spans="2:4">
      <c r="B7" t="s">
        <v>969</v>
      </c>
      <c r="C7" s="17">
        <v>11610</v>
      </c>
      <c r="D7" s="17">
        <f>C7+C8+C10</f>
        <v>122550</v>
      </c>
    </row>
    <row r="8" spans="2:4">
      <c r="B8" t="s">
        <v>969</v>
      </c>
      <c r="C8" s="17">
        <v>11610</v>
      </c>
    </row>
    <row r="10" spans="2:4">
      <c r="B10" t="s">
        <v>969</v>
      </c>
      <c r="C10" s="17">
        <v>99330</v>
      </c>
    </row>
    <row r="11" spans="2:4">
      <c r="B11" t="s">
        <v>970</v>
      </c>
      <c r="C11" s="17">
        <v>40000</v>
      </c>
      <c r="D11" s="17">
        <f>C11+C12</f>
        <v>70000</v>
      </c>
    </row>
    <row r="12" spans="2:4">
      <c r="B12" t="s">
        <v>971</v>
      </c>
      <c r="C12" s="17">
        <v>30000</v>
      </c>
    </row>
    <row r="13" spans="2:4">
      <c r="B13" t="s">
        <v>972</v>
      </c>
      <c r="C13" s="18">
        <f>SUM(C4:C12)</f>
        <v>1357550</v>
      </c>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4"/>
  <sheetViews>
    <sheetView topLeftCell="C37" workbookViewId="0">
      <selection activeCell="F33" sqref="F33"/>
    </sheetView>
  </sheetViews>
  <sheetFormatPr defaultColWidth="9.296875" defaultRowHeight="13"/>
  <cols>
    <col min="1" max="1" width="22.5" style="13" customWidth="1"/>
    <col min="2" max="2" width="15.296875" style="13" customWidth="1"/>
    <col min="3" max="3" width="17.69921875" style="13" customWidth="1"/>
    <col min="4" max="4" width="45.5" style="13" hidden="1" customWidth="1"/>
    <col min="5" max="5" width="14.796875" style="13" customWidth="1"/>
    <col min="6" max="6" width="16.19921875" style="13" customWidth="1"/>
    <col min="7" max="7" width="45.5" style="13" hidden="1" customWidth="1"/>
    <col min="8" max="8" width="45.5" style="13" customWidth="1"/>
    <col min="9" max="10" width="17.19921875" style="87" customWidth="1"/>
    <col min="11" max="11" width="17.19921875" style="87" hidden="1" customWidth="1"/>
    <col min="12" max="12" width="23" style="87" customWidth="1"/>
    <col min="13" max="13" width="17.19921875" style="87" customWidth="1"/>
    <col min="14" max="14" width="45.5" style="13" hidden="1" customWidth="1"/>
    <col min="15" max="15" width="7.796875" style="13" customWidth="1"/>
    <col min="16" max="21" width="45.5" style="13" customWidth="1"/>
    <col min="22" max="16384" width="9.296875" style="13"/>
  </cols>
  <sheetData>
    <row r="1" spans="1:21" ht="20.25" customHeight="1">
      <c r="A1" s="134" t="s">
        <v>1351</v>
      </c>
      <c r="B1" s="135"/>
      <c r="C1" s="135"/>
      <c r="D1" s="135"/>
      <c r="E1" s="135"/>
      <c r="F1" s="135"/>
      <c r="G1" s="135"/>
      <c r="H1" s="135"/>
      <c r="I1" s="135"/>
      <c r="J1" s="135"/>
      <c r="K1" s="135"/>
      <c r="L1" s="135"/>
      <c r="M1" s="135"/>
      <c r="N1" s="135"/>
      <c r="O1" s="135"/>
      <c r="P1" s="135"/>
      <c r="Q1" s="135"/>
      <c r="R1" s="135"/>
      <c r="S1" s="135"/>
      <c r="T1" s="135"/>
      <c r="U1" s="135"/>
    </row>
    <row r="2" spans="1:21">
      <c r="A2" s="89" t="s">
        <v>1350</v>
      </c>
      <c r="B2" s="89" t="s">
        <v>1349</v>
      </c>
      <c r="C2" s="89" t="s">
        <v>1348</v>
      </c>
      <c r="D2" s="89" t="s">
        <v>1347</v>
      </c>
      <c r="E2" s="89" t="s">
        <v>1346</v>
      </c>
      <c r="F2" s="89" t="s">
        <v>1345</v>
      </c>
      <c r="G2" s="89" t="s">
        <v>1344</v>
      </c>
      <c r="H2" s="89" t="s">
        <v>1343</v>
      </c>
      <c r="I2" s="90" t="s">
        <v>1342</v>
      </c>
      <c r="J2" s="90" t="s">
        <v>1341</v>
      </c>
      <c r="K2" s="90" t="s">
        <v>1340</v>
      </c>
      <c r="L2" s="90" t="s">
        <v>1339</v>
      </c>
      <c r="M2" s="90" t="s">
        <v>1338</v>
      </c>
      <c r="N2" s="89" t="s">
        <v>1337</v>
      </c>
      <c r="O2" s="89" t="s">
        <v>1336</v>
      </c>
      <c r="P2" s="89" t="s">
        <v>1335</v>
      </c>
      <c r="Q2" s="89" t="s">
        <v>1334</v>
      </c>
      <c r="R2" s="89" t="s">
        <v>1333</v>
      </c>
      <c r="S2" s="89" t="s">
        <v>1332</v>
      </c>
      <c r="T2" s="89" t="s">
        <v>1331</v>
      </c>
      <c r="U2" s="89" t="s">
        <v>1330</v>
      </c>
    </row>
    <row r="3" spans="1:21">
      <c r="A3" s="13" t="s">
        <v>1329</v>
      </c>
      <c r="B3" s="13" t="s">
        <v>1256</v>
      </c>
      <c r="C3" s="13" t="s">
        <v>1324</v>
      </c>
      <c r="D3" s="13" t="s">
        <v>760</v>
      </c>
      <c r="E3" s="13" t="s">
        <v>1324</v>
      </c>
      <c r="F3" s="13" t="s">
        <v>1328</v>
      </c>
      <c r="G3" s="13" t="s">
        <v>760</v>
      </c>
      <c r="H3" s="13" t="s">
        <v>1190</v>
      </c>
      <c r="I3" s="87">
        <v>95767543.569999993</v>
      </c>
      <c r="J3" s="87">
        <v>1074771.3500000001</v>
      </c>
      <c r="K3" s="87" t="s">
        <v>760</v>
      </c>
      <c r="L3" s="87">
        <v>4030392.58</v>
      </c>
      <c r="M3" s="92">
        <v>94692772.219999999</v>
      </c>
      <c r="N3" s="13" t="s">
        <v>760</v>
      </c>
      <c r="O3" s="13" t="s">
        <v>761</v>
      </c>
      <c r="P3" s="13" t="s">
        <v>1131</v>
      </c>
      <c r="Q3" s="13" t="s">
        <v>1189</v>
      </c>
      <c r="R3" s="13">
        <v>2</v>
      </c>
      <c r="S3" s="13" t="s">
        <v>764</v>
      </c>
      <c r="T3" s="13">
        <v>0</v>
      </c>
      <c r="U3" s="13">
        <v>1</v>
      </c>
    </row>
    <row r="4" spans="1:21">
      <c r="A4" s="13" t="s">
        <v>1327</v>
      </c>
      <c r="B4" s="13" t="s">
        <v>1256</v>
      </c>
      <c r="C4" s="13" t="s">
        <v>1324</v>
      </c>
      <c r="D4" s="13" t="s">
        <v>760</v>
      </c>
      <c r="E4" s="13" t="s">
        <v>1324</v>
      </c>
      <c r="F4" s="13" t="s">
        <v>1326</v>
      </c>
      <c r="G4" s="13" t="s">
        <v>760</v>
      </c>
      <c r="H4" s="13" t="s">
        <v>1190</v>
      </c>
      <c r="I4" s="87">
        <v>45342959.280000001</v>
      </c>
      <c r="J4" s="87">
        <v>843589.94</v>
      </c>
      <c r="K4" s="87" t="s">
        <v>760</v>
      </c>
      <c r="L4" s="87">
        <v>3163462.28</v>
      </c>
      <c r="M4" s="92">
        <v>44499369.340000004</v>
      </c>
      <c r="N4" s="13" t="s">
        <v>760</v>
      </c>
      <c r="O4" s="13" t="s">
        <v>761</v>
      </c>
      <c r="P4" s="13" t="s">
        <v>1131</v>
      </c>
      <c r="Q4" s="13" t="s">
        <v>1189</v>
      </c>
      <c r="R4" s="13">
        <v>2</v>
      </c>
      <c r="S4" s="13" t="s">
        <v>764</v>
      </c>
      <c r="T4" s="13">
        <v>0</v>
      </c>
      <c r="U4" s="13">
        <v>1</v>
      </c>
    </row>
    <row r="5" spans="1:21">
      <c r="A5" s="13" t="s">
        <v>1325</v>
      </c>
      <c r="B5" s="13" t="s">
        <v>1256</v>
      </c>
      <c r="C5" s="13" t="s">
        <v>1324</v>
      </c>
      <c r="D5" s="13" t="s">
        <v>760</v>
      </c>
      <c r="E5" s="13" t="s">
        <v>1324</v>
      </c>
      <c r="F5" s="13" t="s">
        <v>1323</v>
      </c>
      <c r="G5" s="13" t="s">
        <v>760</v>
      </c>
      <c r="H5" s="13" t="s">
        <v>1190</v>
      </c>
      <c r="I5" s="87">
        <v>6945600</v>
      </c>
      <c r="J5" s="87">
        <v>9800</v>
      </c>
      <c r="K5" s="87" t="s">
        <v>760</v>
      </c>
      <c r="L5" s="87">
        <v>36750</v>
      </c>
      <c r="M5" s="92">
        <v>6935800</v>
      </c>
      <c r="N5" s="13" t="s">
        <v>760</v>
      </c>
      <c r="O5" s="13" t="s">
        <v>761</v>
      </c>
      <c r="P5" s="13" t="s">
        <v>1131</v>
      </c>
      <c r="Q5" s="13" t="s">
        <v>1189</v>
      </c>
      <c r="R5" s="13">
        <v>2</v>
      </c>
      <c r="S5" s="13" t="s">
        <v>764</v>
      </c>
      <c r="T5" s="13">
        <v>0</v>
      </c>
      <c r="U5" s="13">
        <v>1</v>
      </c>
    </row>
    <row r="6" spans="1:21">
      <c r="A6" s="13" t="s">
        <v>1322</v>
      </c>
      <c r="B6" s="13" t="s">
        <v>1136</v>
      </c>
      <c r="C6" s="13" t="s">
        <v>1321</v>
      </c>
      <c r="D6" s="13" t="s">
        <v>760</v>
      </c>
      <c r="E6" s="13" t="s">
        <v>1321</v>
      </c>
      <c r="F6" s="13" t="s">
        <v>1320</v>
      </c>
      <c r="G6" s="13" t="s">
        <v>760</v>
      </c>
      <c r="H6" s="13" t="s">
        <v>1319</v>
      </c>
      <c r="I6" s="87">
        <v>444000</v>
      </c>
      <c r="J6" s="87">
        <v>0</v>
      </c>
      <c r="K6" s="87" t="s">
        <v>760</v>
      </c>
      <c r="L6" s="87">
        <v>24000</v>
      </c>
      <c r="M6" s="92">
        <v>444000</v>
      </c>
      <c r="N6" s="13" t="s">
        <v>760</v>
      </c>
      <c r="O6" s="13" t="s">
        <v>761</v>
      </c>
      <c r="P6" s="13" t="s">
        <v>1131</v>
      </c>
      <c r="Q6" s="13" t="s">
        <v>1318</v>
      </c>
      <c r="R6" s="13">
        <v>2</v>
      </c>
      <c r="S6" s="13" t="s">
        <v>1306</v>
      </c>
      <c r="T6" s="13">
        <v>0</v>
      </c>
      <c r="U6" s="13">
        <v>1</v>
      </c>
    </row>
    <row r="7" spans="1:21">
      <c r="A7" s="13" t="s">
        <v>1317</v>
      </c>
      <c r="B7" s="13" t="s">
        <v>1136</v>
      </c>
      <c r="C7" s="13" t="s">
        <v>1316</v>
      </c>
      <c r="D7" s="13" t="s">
        <v>760</v>
      </c>
      <c r="E7" s="13" t="s">
        <v>1316</v>
      </c>
      <c r="F7" s="13" t="s">
        <v>1315</v>
      </c>
      <c r="G7" s="13" t="s">
        <v>760</v>
      </c>
      <c r="H7" s="13" t="s">
        <v>1150</v>
      </c>
      <c r="I7" s="87">
        <v>135300</v>
      </c>
      <c r="J7" s="87">
        <v>0</v>
      </c>
      <c r="K7" s="87" t="s">
        <v>760</v>
      </c>
      <c r="L7" s="87">
        <v>0</v>
      </c>
      <c r="M7" s="92">
        <v>135300</v>
      </c>
      <c r="N7" s="13" t="s">
        <v>760</v>
      </c>
      <c r="O7" s="13" t="s">
        <v>761</v>
      </c>
      <c r="P7" s="13" t="s">
        <v>1131</v>
      </c>
      <c r="Q7" s="13" t="s">
        <v>1149</v>
      </c>
      <c r="R7" s="13">
        <v>2</v>
      </c>
      <c r="S7" s="13" t="s">
        <v>1306</v>
      </c>
      <c r="T7" s="13">
        <v>0</v>
      </c>
      <c r="U7" s="13">
        <v>1</v>
      </c>
    </row>
    <row r="8" spans="1:21">
      <c r="A8" s="13" t="s">
        <v>1314</v>
      </c>
      <c r="B8" s="13" t="s">
        <v>1136</v>
      </c>
      <c r="C8" s="13" t="s">
        <v>1313</v>
      </c>
      <c r="D8" s="13" t="s">
        <v>760</v>
      </c>
      <c r="E8" s="13" t="s">
        <v>1313</v>
      </c>
      <c r="F8" s="13" t="s">
        <v>1312</v>
      </c>
      <c r="G8" s="13" t="s">
        <v>760</v>
      </c>
      <c r="H8" s="13" t="s">
        <v>1150</v>
      </c>
      <c r="I8" s="87">
        <v>48000</v>
      </c>
      <c r="J8" s="87">
        <v>0</v>
      </c>
      <c r="K8" s="87" t="s">
        <v>760</v>
      </c>
      <c r="L8" s="87">
        <v>0</v>
      </c>
      <c r="M8" s="92">
        <v>48000</v>
      </c>
      <c r="N8" s="13" t="s">
        <v>760</v>
      </c>
      <c r="O8" s="13" t="s">
        <v>761</v>
      </c>
      <c r="P8" s="13" t="s">
        <v>1131</v>
      </c>
      <c r="Q8" s="13" t="s">
        <v>1149</v>
      </c>
      <c r="R8" s="13">
        <v>2</v>
      </c>
      <c r="S8" s="13" t="s">
        <v>1306</v>
      </c>
      <c r="T8" s="13">
        <v>0</v>
      </c>
      <c r="U8" s="13">
        <v>1</v>
      </c>
    </row>
    <row r="9" spans="1:21">
      <c r="A9" s="13" t="s">
        <v>1311</v>
      </c>
      <c r="B9" s="13" t="s">
        <v>1136</v>
      </c>
      <c r="C9" s="13" t="s">
        <v>1310</v>
      </c>
      <c r="D9" s="13" t="s">
        <v>760</v>
      </c>
      <c r="E9" s="13" t="s">
        <v>1310</v>
      </c>
      <c r="F9" s="13" t="s">
        <v>1309</v>
      </c>
      <c r="G9" s="13" t="s">
        <v>760</v>
      </c>
      <c r="H9" s="13" t="s">
        <v>1308</v>
      </c>
      <c r="I9" s="87">
        <v>420000</v>
      </c>
      <c r="J9" s="87">
        <v>0</v>
      </c>
      <c r="K9" s="87" t="s">
        <v>760</v>
      </c>
      <c r="L9" s="87">
        <v>0</v>
      </c>
      <c r="M9" s="92">
        <v>420000</v>
      </c>
      <c r="N9" s="13" t="s">
        <v>760</v>
      </c>
      <c r="O9" s="13" t="s">
        <v>761</v>
      </c>
      <c r="P9" s="13" t="s">
        <v>1131</v>
      </c>
      <c r="Q9" s="13" t="s">
        <v>1307</v>
      </c>
      <c r="R9" s="13">
        <v>2</v>
      </c>
      <c r="S9" s="13" t="s">
        <v>1306</v>
      </c>
      <c r="T9" s="13">
        <v>0</v>
      </c>
      <c r="U9" s="13">
        <v>1</v>
      </c>
    </row>
    <row r="10" spans="1:21">
      <c r="A10" s="13" t="s">
        <v>1305</v>
      </c>
      <c r="B10" s="13" t="s">
        <v>1136</v>
      </c>
      <c r="C10" s="13" t="s">
        <v>1304</v>
      </c>
      <c r="D10" s="13" t="s">
        <v>760</v>
      </c>
      <c r="E10" s="13" t="s">
        <v>1304</v>
      </c>
      <c r="F10" s="13" t="s">
        <v>1303</v>
      </c>
      <c r="G10" s="13" t="s">
        <v>760</v>
      </c>
      <c r="H10" s="13" t="s">
        <v>1302</v>
      </c>
      <c r="I10" s="87">
        <v>18000</v>
      </c>
      <c r="J10" s="87">
        <v>0</v>
      </c>
      <c r="K10" s="87" t="s">
        <v>760</v>
      </c>
      <c r="L10" s="87">
        <v>0</v>
      </c>
      <c r="M10" s="92">
        <v>18000</v>
      </c>
      <c r="N10" s="13" t="s">
        <v>760</v>
      </c>
      <c r="O10" s="13" t="s">
        <v>761</v>
      </c>
      <c r="P10" s="13" t="s">
        <v>1131</v>
      </c>
      <c r="Q10" s="13" t="s">
        <v>1301</v>
      </c>
      <c r="R10" s="13">
        <v>2</v>
      </c>
      <c r="S10" s="13" t="s">
        <v>764</v>
      </c>
      <c r="T10" s="13">
        <v>0</v>
      </c>
      <c r="U10" s="13">
        <v>1</v>
      </c>
    </row>
    <row r="11" spans="1:21">
      <c r="A11" s="13" t="s">
        <v>1300</v>
      </c>
      <c r="B11" s="13" t="s">
        <v>1141</v>
      </c>
      <c r="C11" s="13" t="s">
        <v>1299</v>
      </c>
      <c r="D11" s="13" t="s">
        <v>760</v>
      </c>
      <c r="E11" s="13" t="s">
        <v>1299</v>
      </c>
      <c r="F11" s="13" t="s">
        <v>1298</v>
      </c>
      <c r="G11" s="13" t="s">
        <v>760</v>
      </c>
      <c r="H11" s="13" t="s">
        <v>1279</v>
      </c>
      <c r="I11" s="87">
        <v>1634000</v>
      </c>
      <c r="J11" s="87">
        <v>1634000</v>
      </c>
      <c r="K11" s="87" t="s">
        <v>760</v>
      </c>
      <c r="L11" s="87">
        <v>114000</v>
      </c>
      <c r="M11" s="87">
        <v>0</v>
      </c>
      <c r="N11" s="13" t="s">
        <v>760</v>
      </c>
      <c r="O11" s="13" t="s">
        <v>761</v>
      </c>
      <c r="P11" s="13" t="s">
        <v>1131</v>
      </c>
      <c r="Q11" s="13" t="s">
        <v>1278</v>
      </c>
      <c r="R11" s="13">
        <v>2</v>
      </c>
      <c r="S11" s="13" t="s">
        <v>764</v>
      </c>
      <c r="T11" s="13">
        <v>0</v>
      </c>
      <c r="U11" s="13">
        <v>1</v>
      </c>
    </row>
    <row r="12" spans="1:21">
      <c r="A12" s="13" t="s">
        <v>1297</v>
      </c>
      <c r="B12" s="13" t="s">
        <v>1136</v>
      </c>
      <c r="C12" s="13" t="s">
        <v>1296</v>
      </c>
      <c r="D12" s="13" t="s">
        <v>760</v>
      </c>
      <c r="E12" s="13" t="s">
        <v>1296</v>
      </c>
      <c r="F12" s="13" t="s">
        <v>1295</v>
      </c>
      <c r="G12" s="13" t="s">
        <v>760</v>
      </c>
      <c r="H12" s="13" t="s">
        <v>1279</v>
      </c>
      <c r="I12" s="87">
        <v>324200</v>
      </c>
      <c r="J12" s="87">
        <v>0</v>
      </c>
      <c r="K12" s="87" t="s">
        <v>760</v>
      </c>
      <c r="L12" s="87">
        <v>0</v>
      </c>
      <c r="M12" s="92">
        <v>324200</v>
      </c>
      <c r="N12" s="13" t="s">
        <v>760</v>
      </c>
      <c r="O12" s="13" t="s">
        <v>761</v>
      </c>
      <c r="P12" s="13" t="s">
        <v>1131</v>
      </c>
      <c r="Q12" s="13" t="s">
        <v>1278</v>
      </c>
      <c r="R12" s="13">
        <v>2</v>
      </c>
      <c r="S12" s="13" t="s">
        <v>764</v>
      </c>
      <c r="T12" s="13">
        <v>0</v>
      </c>
      <c r="U12" s="13">
        <v>1</v>
      </c>
    </row>
    <row r="13" spans="1:21">
      <c r="A13" s="13" t="s">
        <v>1294</v>
      </c>
      <c r="B13" s="13" t="s">
        <v>1136</v>
      </c>
      <c r="C13" s="13" t="s">
        <v>1293</v>
      </c>
      <c r="D13" s="13" t="s">
        <v>760</v>
      </c>
      <c r="E13" s="13" t="s">
        <v>1293</v>
      </c>
      <c r="F13" s="13" t="s">
        <v>1292</v>
      </c>
      <c r="G13" s="13" t="s">
        <v>760</v>
      </c>
      <c r="H13" s="13" t="s">
        <v>1279</v>
      </c>
      <c r="I13" s="87">
        <v>234200</v>
      </c>
      <c r="J13" s="87">
        <v>0</v>
      </c>
      <c r="K13" s="87" t="s">
        <v>760</v>
      </c>
      <c r="L13" s="87">
        <v>0</v>
      </c>
      <c r="M13" s="93">
        <v>234200</v>
      </c>
      <c r="N13" s="13" t="s">
        <v>760</v>
      </c>
      <c r="O13" s="13" t="s">
        <v>761</v>
      </c>
      <c r="P13" s="13" t="s">
        <v>1131</v>
      </c>
      <c r="Q13" s="13" t="s">
        <v>1278</v>
      </c>
      <c r="R13" s="13">
        <v>2</v>
      </c>
      <c r="S13" s="13" t="s">
        <v>764</v>
      </c>
      <c r="T13" s="13">
        <v>0</v>
      </c>
      <c r="U13" s="13">
        <v>1</v>
      </c>
    </row>
    <row r="14" spans="1:21">
      <c r="A14" s="13" t="s">
        <v>1291</v>
      </c>
      <c r="B14" s="13" t="s">
        <v>1136</v>
      </c>
      <c r="C14" s="13" t="s">
        <v>1286</v>
      </c>
      <c r="D14" s="13" t="s">
        <v>760</v>
      </c>
      <c r="E14" s="13" t="s">
        <v>1286</v>
      </c>
      <c r="F14" s="13" t="s">
        <v>1290</v>
      </c>
      <c r="G14" s="13" t="s">
        <v>760</v>
      </c>
      <c r="H14" s="13" t="s">
        <v>1216</v>
      </c>
      <c r="I14" s="87">
        <v>43000</v>
      </c>
      <c r="J14" s="87">
        <v>0</v>
      </c>
      <c r="K14" s="87" t="s">
        <v>760</v>
      </c>
      <c r="L14" s="87">
        <v>3000</v>
      </c>
      <c r="M14" s="93">
        <v>43000</v>
      </c>
      <c r="N14" s="13" t="s">
        <v>760</v>
      </c>
      <c r="O14" s="13" t="s">
        <v>761</v>
      </c>
      <c r="P14" s="13" t="s">
        <v>1131</v>
      </c>
      <c r="Q14" s="13" t="s">
        <v>1215</v>
      </c>
      <c r="R14" s="13">
        <v>2</v>
      </c>
      <c r="S14" s="13" t="s">
        <v>764</v>
      </c>
      <c r="T14" s="13">
        <v>0</v>
      </c>
      <c r="U14" s="13">
        <v>1</v>
      </c>
    </row>
    <row r="15" spans="1:21">
      <c r="A15" s="13" t="s">
        <v>1289</v>
      </c>
      <c r="B15" s="13" t="s">
        <v>1136</v>
      </c>
      <c r="C15" s="13" t="s">
        <v>1286</v>
      </c>
      <c r="D15" s="13" t="s">
        <v>760</v>
      </c>
      <c r="E15" s="13" t="s">
        <v>1286</v>
      </c>
      <c r="F15" s="13" t="s">
        <v>1288</v>
      </c>
      <c r="G15" s="13" t="s">
        <v>760</v>
      </c>
      <c r="H15" s="13" t="s">
        <v>1216</v>
      </c>
      <c r="I15" s="87">
        <v>32250</v>
      </c>
      <c r="J15" s="87">
        <v>0</v>
      </c>
      <c r="K15" s="87" t="s">
        <v>760</v>
      </c>
      <c r="L15" s="87">
        <v>2250</v>
      </c>
      <c r="M15" s="93">
        <v>32250</v>
      </c>
      <c r="N15" s="13" t="s">
        <v>760</v>
      </c>
      <c r="O15" s="13" t="s">
        <v>761</v>
      </c>
      <c r="P15" s="13" t="s">
        <v>1131</v>
      </c>
      <c r="Q15" s="13" t="s">
        <v>1215</v>
      </c>
      <c r="R15" s="13">
        <v>2</v>
      </c>
      <c r="S15" s="13" t="s">
        <v>764</v>
      </c>
      <c r="T15" s="13">
        <v>0</v>
      </c>
      <c r="U15" s="13">
        <v>1</v>
      </c>
    </row>
    <row r="16" spans="1:21">
      <c r="A16" s="13" t="s">
        <v>1287</v>
      </c>
      <c r="B16" s="13" t="s">
        <v>1136</v>
      </c>
      <c r="C16" s="13" t="s">
        <v>1286</v>
      </c>
      <c r="D16" s="13" t="s">
        <v>760</v>
      </c>
      <c r="E16" s="13" t="s">
        <v>1286</v>
      </c>
      <c r="F16" s="13" t="s">
        <v>1285</v>
      </c>
      <c r="G16" s="13" t="s">
        <v>760</v>
      </c>
      <c r="H16" s="13" t="s">
        <v>1279</v>
      </c>
      <c r="I16" s="87">
        <v>52500</v>
      </c>
      <c r="J16" s="87">
        <v>0</v>
      </c>
      <c r="K16" s="87" t="s">
        <v>760</v>
      </c>
      <c r="L16" s="87">
        <v>0</v>
      </c>
      <c r="M16" s="93">
        <v>52500</v>
      </c>
      <c r="N16" s="13" t="s">
        <v>760</v>
      </c>
      <c r="O16" s="13" t="s">
        <v>761</v>
      </c>
      <c r="P16" s="13" t="s">
        <v>1131</v>
      </c>
      <c r="Q16" s="13" t="s">
        <v>1278</v>
      </c>
      <c r="R16" s="13">
        <v>2</v>
      </c>
      <c r="S16" s="13" t="s">
        <v>764</v>
      </c>
      <c r="T16" s="13">
        <v>0</v>
      </c>
      <c r="U16" s="13">
        <v>1</v>
      </c>
    </row>
    <row r="17" spans="1:21">
      <c r="A17" s="13" t="s">
        <v>1284</v>
      </c>
      <c r="B17" s="13" t="s">
        <v>1136</v>
      </c>
      <c r="C17" s="13" t="s">
        <v>1281</v>
      </c>
      <c r="D17" s="13" t="s">
        <v>760</v>
      </c>
      <c r="E17" s="13" t="s">
        <v>1281</v>
      </c>
      <c r="F17" s="13" t="s">
        <v>1283</v>
      </c>
      <c r="G17" s="13" t="s">
        <v>760</v>
      </c>
      <c r="H17" s="13" t="s">
        <v>1216</v>
      </c>
      <c r="I17" s="87">
        <v>25000</v>
      </c>
      <c r="J17" s="87">
        <v>0</v>
      </c>
      <c r="K17" s="87" t="s">
        <v>760</v>
      </c>
      <c r="L17" s="87">
        <v>0</v>
      </c>
      <c r="M17" s="93">
        <v>25000</v>
      </c>
      <c r="N17" s="13" t="s">
        <v>760</v>
      </c>
      <c r="O17" s="13" t="s">
        <v>761</v>
      </c>
      <c r="P17" s="13" t="s">
        <v>1131</v>
      </c>
      <c r="Q17" s="13" t="s">
        <v>1215</v>
      </c>
      <c r="R17" s="13">
        <v>2</v>
      </c>
      <c r="S17" s="13" t="s">
        <v>764</v>
      </c>
      <c r="T17" s="13">
        <v>0</v>
      </c>
      <c r="U17" s="13">
        <v>1</v>
      </c>
    </row>
    <row r="18" spans="1:21">
      <c r="A18" s="13" t="s">
        <v>1282</v>
      </c>
      <c r="B18" s="13" t="s">
        <v>1136</v>
      </c>
      <c r="C18" s="13" t="s">
        <v>1281</v>
      </c>
      <c r="D18" s="13" t="s">
        <v>760</v>
      </c>
      <c r="E18" s="13" t="s">
        <v>1281</v>
      </c>
      <c r="F18" s="13" t="s">
        <v>1280</v>
      </c>
      <c r="G18" s="13" t="s">
        <v>760</v>
      </c>
      <c r="H18" s="13" t="s">
        <v>1279</v>
      </c>
      <c r="I18" s="87">
        <v>220000</v>
      </c>
      <c r="J18" s="87">
        <v>0</v>
      </c>
      <c r="K18" s="87" t="s">
        <v>760</v>
      </c>
      <c r="L18" s="87">
        <v>0</v>
      </c>
      <c r="M18" s="93">
        <v>220000</v>
      </c>
      <c r="N18" s="13" t="s">
        <v>760</v>
      </c>
      <c r="O18" s="13" t="s">
        <v>761</v>
      </c>
      <c r="P18" s="13" t="s">
        <v>1131</v>
      </c>
      <c r="Q18" s="13" t="s">
        <v>1278</v>
      </c>
      <c r="R18" s="13">
        <v>2</v>
      </c>
      <c r="S18" s="13" t="s">
        <v>764</v>
      </c>
      <c r="T18" s="13">
        <v>0</v>
      </c>
      <c r="U18" s="13">
        <v>1</v>
      </c>
    </row>
    <row r="19" spans="1:21">
      <c r="A19" s="13" t="s">
        <v>1277</v>
      </c>
      <c r="B19" s="13" t="s">
        <v>1136</v>
      </c>
      <c r="C19" s="13" t="s">
        <v>1274</v>
      </c>
      <c r="D19" s="13" t="s">
        <v>760</v>
      </c>
      <c r="E19" s="13" t="s">
        <v>1274</v>
      </c>
      <c r="F19" s="13" t="s">
        <v>1276</v>
      </c>
      <c r="G19" s="13" t="s">
        <v>760</v>
      </c>
      <c r="H19" s="13" t="s">
        <v>1216</v>
      </c>
      <c r="I19" s="87">
        <v>25000</v>
      </c>
      <c r="J19" s="87">
        <v>0</v>
      </c>
      <c r="K19" s="87" t="s">
        <v>760</v>
      </c>
      <c r="L19" s="87">
        <v>0</v>
      </c>
      <c r="M19" s="92">
        <v>25000</v>
      </c>
      <c r="N19" s="13" t="s">
        <v>760</v>
      </c>
      <c r="O19" s="13" t="s">
        <v>761</v>
      </c>
      <c r="P19" s="13" t="s">
        <v>1131</v>
      </c>
      <c r="Q19" s="13" t="s">
        <v>1215</v>
      </c>
      <c r="R19" s="13">
        <v>2</v>
      </c>
      <c r="S19" s="13" t="s">
        <v>764</v>
      </c>
      <c r="T19" s="13">
        <v>0</v>
      </c>
      <c r="U19" s="13">
        <v>1</v>
      </c>
    </row>
    <row r="20" spans="1:21">
      <c r="A20" s="13" t="s">
        <v>1275</v>
      </c>
      <c r="B20" s="13" t="s">
        <v>1136</v>
      </c>
      <c r="C20" s="13" t="s">
        <v>1274</v>
      </c>
      <c r="D20" s="13" t="s">
        <v>760</v>
      </c>
      <c r="E20" s="13" t="s">
        <v>1274</v>
      </c>
      <c r="F20" s="13" t="s">
        <v>1273</v>
      </c>
      <c r="G20" s="13" t="s">
        <v>760</v>
      </c>
      <c r="H20" s="13" t="s">
        <v>1216</v>
      </c>
      <c r="I20" s="87">
        <v>8300</v>
      </c>
      <c r="J20" s="87">
        <v>0</v>
      </c>
      <c r="K20" s="87" t="s">
        <v>760</v>
      </c>
      <c r="L20" s="87">
        <v>0</v>
      </c>
      <c r="M20" s="92">
        <v>8300</v>
      </c>
      <c r="N20" s="13" t="s">
        <v>760</v>
      </c>
      <c r="O20" s="13" t="s">
        <v>761</v>
      </c>
      <c r="P20" s="13" t="s">
        <v>1131</v>
      </c>
      <c r="Q20" s="13" t="s">
        <v>1215</v>
      </c>
      <c r="R20" s="13">
        <v>2</v>
      </c>
      <c r="S20" s="13" t="s">
        <v>764</v>
      </c>
      <c r="T20" s="13">
        <v>0</v>
      </c>
      <c r="U20" s="13">
        <v>1</v>
      </c>
    </row>
    <row r="21" spans="1:21" s="94" customFormat="1">
      <c r="A21" s="94" t="s">
        <v>1272</v>
      </c>
      <c r="B21" s="94" t="s">
        <v>1141</v>
      </c>
      <c r="C21" s="94" t="s">
        <v>1259</v>
      </c>
      <c r="D21" s="13" t="s">
        <v>760</v>
      </c>
      <c r="E21" s="94" t="s">
        <v>1259</v>
      </c>
      <c r="F21" s="94" t="s">
        <v>1271</v>
      </c>
      <c r="G21" s="13" t="s">
        <v>760</v>
      </c>
      <c r="H21" s="94" t="s">
        <v>1234</v>
      </c>
      <c r="I21" s="95">
        <v>1228750</v>
      </c>
      <c r="J21" s="95">
        <v>1228750</v>
      </c>
      <c r="K21" s="87" t="s">
        <v>760</v>
      </c>
      <c r="L21" s="95">
        <v>78750</v>
      </c>
      <c r="M21" s="95">
        <v>0</v>
      </c>
      <c r="N21" s="13" t="s">
        <v>760</v>
      </c>
      <c r="O21" s="94" t="s">
        <v>761</v>
      </c>
      <c r="P21" s="94" t="s">
        <v>1131</v>
      </c>
      <c r="Q21" s="94" t="s">
        <v>1233</v>
      </c>
      <c r="R21" s="94">
        <v>2</v>
      </c>
      <c r="S21" s="94" t="s">
        <v>764</v>
      </c>
      <c r="T21" s="94">
        <v>0</v>
      </c>
      <c r="U21" s="94">
        <v>1</v>
      </c>
    </row>
    <row r="22" spans="1:21" s="94" customFormat="1">
      <c r="A22" s="94" t="s">
        <v>1270</v>
      </c>
      <c r="B22" s="94" t="s">
        <v>1141</v>
      </c>
      <c r="C22" s="94" t="s">
        <v>1259</v>
      </c>
      <c r="D22" s="13" t="s">
        <v>760</v>
      </c>
      <c r="E22" s="94" t="s">
        <v>1269</v>
      </c>
      <c r="F22" s="94" t="s">
        <v>1268</v>
      </c>
      <c r="G22" s="13" t="s">
        <v>760</v>
      </c>
      <c r="H22" s="94" t="s">
        <v>1216</v>
      </c>
      <c r="I22" s="95">
        <v>500000</v>
      </c>
      <c r="J22" s="95">
        <v>500000</v>
      </c>
      <c r="K22" s="87" t="s">
        <v>760</v>
      </c>
      <c r="L22" s="95">
        <v>0</v>
      </c>
      <c r="M22" s="95">
        <v>0</v>
      </c>
      <c r="N22" s="13" t="s">
        <v>760</v>
      </c>
      <c r="O22" s="94" t="s">
        <v>761</v>
      </c>
      <c r="P22" s="94" t="s">
        <v>1131</v>
      </c>
      <c r="Q22" s="94" t="s">
        <v>1215</v>
      </c>
      <c r="R22" s="94">
        <v>2</v>
      </c>
      <c r="S22" s="94" t="s">
        <v>764</v>
      </c>
      <c r="T22" s="94">
        <v>0</v>
      </c>
      <c r="U22" s="94">
        <v>1</v>
      </c>
    </row>
    <row r="23" spans="1:21">
      <c r="A23" s="13" t="s">
        <v>1267</v>
      </c>
      <c r="B23" s="13" t="s">
        <v>1256</v>
      </c>
      <c r="C23" s="13" t="s">
        <v>1259</v>
      </c>
      <c r="D23" s="13" t="s">
        <v>760</v>
      </c>
      <c r="E23" s="13" t="s">
        <v>1266</v>
      </c>
      <c r="F23" s="13" t="s">
        <v>1265</v>
      </c>
      <c r="G23" s="13" t="s">
        <v>760</v>
      </c>
      <c r="H23" s="13" t="s">
        <v>1264</v>
      </c>
      <c r="I23" s="87">
        <v>745000</v>
      </c>
      <c r="J23" s="87">
        <v>595000</v>
      </c>
      <c r="K23" s="87" t="s">
        <v>760</v>
      </c>
      <c r="L23" s="87">
        <v>45000</v>
      </c>
      <c r="M23" s="92">
        <v>150000</v>
      </c>
      <c r="N23" s="13" t="s">
        <v>760</v>
      </c>
      <c r="O23" s="13" t="s">
        <v>761</v>
      </c>
      <c r="P23" s="13" t="s">
        <v>1131</v>
      </c>
      <c r="Q23" s="13" t="s">
        <v>1263</v>
      </c>
      <c r="R23" s="13">
        <v>2</v>
      </c>
      <c r="S23" s="13" t="s">
        <v>764</v>
      </c>
      <c r="T23" s="13">
        <v>0</v>
      </c>
      <c r="U23" s="13">
        <v>1</v>
      </c>
    </row>
    <row r="24" spans="1:21" s="94" customFormat="1">
      <c r="A24" s="94" t="s">
        <v>1262</v>
      </c>
      <c r="B24" s="94" t="s">
        <v>1141</v>
      </c>
      <c r="C24" s="94" t="s">
        <v>1259</v>
      </c>
      <c r="D24" s="13" t="s">
        <v>760</v>
      </c>
      <c r="E24" s="94" t="s">
        <v>1259</v>
      </c>
      <c r="F24" s="94" t="s">
        <v>1261</v>
      </c>
      <c r="G24" s="13" t="s">
        <v>760</v>
      </c>
      <c r="H24" s="94" t="s">
        <v>1216</v>
      </c>
      <c r="I24" s="95">
        <v>500000</v>
      </c>
      <c r="J24" s="95">
        <v>500000</v>
      </c>
      <c r="K24" s="87" t="s">
        <v>760</v>
      </c>
      <c r="L24" s="95">
        <v>0</v>
      </c>
      <c r="M24" s="95">
        <v>0</v>
      </c>
      <c r="N24" s="13" t="s">
        <v>760</v>
      </c>
      <c r="O24" s="94" t="s">
        <v>761</v>
      </c>
      <c r="P24" s="94" t="s">
        <v>1131</v>
      </c>
      <c r="Q24" s="94" t="s">
        <v>1215</v>
      </c>
      <c r="R24" s="94">
        <v>2</v>
      </c>
      <c r="S24" s="94" t="s">
        <v>764</v>
      </c>
      <c r="T24" s="94">
        <v>0</v>
      </c>
      <c r="U24" s="94">
        <v>1</v>
      </c>
    </row>
    <row r="25" spans="1:21" s="96" customFormat="1">
      <c r="A25" s="96" t="s">
        <v>1260</v>
      </c>
      <c r="B25" s="96" t="s">
        <v>1141</v>
      </c>
      <c r="C25" s="96" t="s">
        <v>1259</v>
      </c>
      <c r="D25" s="13" t="s">
        <v>760</v>
      </c>
      <c r="E25" s="96" t="s">
        <v>1259</v>
      </c>
      <c r="F25" s="96" t="s">
        <v>1258</v>
      </c>
      <c r="G25" s="13" t="s">
        <v>760</v>
      </c>
      <c r="H25" s="96" t="s">
        <v>1216</v>
      </c>
      <c r="I25" s="97">
        <v>33400</v>
      </c>
      <c r="J25" s="97">
        <v>33400</v>
      </c>
      <c r="K25" s="87" t="s">
        <v>760</v>
      </c>
      <c r="L25" s="97">
        <v>0</v>
      </c>
      <c r="M25" s="97">
        <v>0</v>
      </c>
      <c r="N25" s="13" t="s">
        <v>760</v>
      </c>
      <c r="O25" s="96" t="s">
        <v>761</v>
      </c>
      <c r="P25" s="96" t="s">
        <v>1131</v>
      </c>
      <c r="Q25" s="96" t="s">
        <v>1215</v>
      </c>
      <c r="R25" s="96">
        <v>2</v>
      </c>
      <c r="S25" s="96" t="s">
        <v>764</v>
      </c>
      <c r="T25" s="96">
        <v>0</v>
      </c>
      <c r="U25" s="96">
        <v>1</v>
      </c>
    </row>
    <row r="26" spans="1:21">
      <c r="A26" s="13" t="s">
        <v>1257</v>
      </c>
      <c r="B26" s="13" t="s">
        <v>1256</v>
      </c>
      <c r="C26" s="13" t="s">
        <v>1251</v>
      </c>
      <c r="D26" s="13" t="s">
        <v>760</v>
      </c>
      <c r="E26" s="13" t="s">
        <v>1251</v>
      </c>
      <c r="F26" s="13" t="s">
        <v>1255</v>
      </c>
      <c r="G26" s="13" t="s">
        <v>760</v>
      </c>
      <c r="H26" s="13" t="s">
        <v>1254</v>
      </c>
      <c r="I26" s="87">
        <v>320000</v>
      </c>
      <c r="J26" s="87">
        <v>320000</v>
      </c>
      <c r="K26" s="87" t="s">
        <v>760</v>
      </c>
      <c r="L26" s="87">
        <v>0</v>
      </c>
      <c r="M26" s="87">
        <v>0</v>
      </c>
      <c r="N26" s="13" t="s">
        <v>760</v>
      </c>
      <c r="O26" s="13" t="s">
        <v>761</v>
      </c>
      <c r="P26" s="13" t="s">
        <v>1131</v>
      </c>
      <c r="Q26" s="13" t="s">
        <v>1253</v>
      </c>
      <c r="R26" s="13">
        <v>2</v>
      </c>
      <c r="S26" s="13" t="s">
        <v>764</v>
      </c>
      <c r="T26" s="13">
        <v>0</v>
      </c>
      <c r="U26" s="13">
        <v>1</v>
      </c>
    </row>
    <row r="27" spans="1:21">
      <c r="A27" s="13" t="s">
        <v>1252</v>
      </c>
      <c r="B27" s="13" t="s">
        <v>1141</v>
      </c>
      <c r="C27" s="13" t="s">
        <v>1251</v>
      </c>
      <c r="D27" s="13" t="s">
        <v>760</v>
      </c>
      <c r="E27" s="13" t="s">
        <v>1231</v>
      </c>
      <c r="F27" s="13" t="s">
        <v>1250</v>
      </c>
      <c r="G27" s="13" t="s">
        <v>760</v>
      </c>
      <c r="H27" s="13" t="s">
        <v>1165</v>
      </c>
      <c r="I27" s="87">
        <v>170000</v>
      </c>
      <c r="J27" s="87">
        <v>170000</v>
      </c>
      <c r="K27" s="87" t="s">
        <v>760</v>
      </c>
      <c r="L27" s="87">
        <v>0</v>
      </c>
      <c r="M27" s="87">
        <v>0</v>
      </c>
      <c r="N27" s="13" t="s">
        <v>760</v>
      </c>
      <c r="O27" s="13" t="s">
        <v>761</v>
      </c>
      <c r="P27" s="13" t="s">
        <v>1131</v>
      </c>
      <c r="Q27" s="13" t="s">
        <v>1164</v>
      </c>
      <c r="R27" s="13">
        <v>2</v>
      </c>
      <c r="S27" s="13" t="s">
        <v>764</v>
      </c>
      <c r="T27" s="13">
        <v>0</v>
      </c>
      <c r="U27" s="13">
        <v>1</v>
      </c>
    </row>
    <row r="28" spans="1:21" s="94" customFormat="1">
      <c r="A28" s="94" t="s">
        <v>1249</v>
      </c>
      <c r="B28" s="94" t="s">
        <v>1141</v>
      </c>
      <c r="C28" s="94" t="s">
        <v>1240</v>
      </c>
      <c r="D28" s="13" t="s">
        <v>760</v>
      </c>
      <c r="E28" s="94" t="s">
        <v>1248</v>
      </c>
      <c r="F28" s="94" t="s">
        <v>1247</v>
      </c>
      <c r="G28" s="13" t="s">
        <v>760</v>
      </c>
      <c r="H28" s="94" t="s">
        <v>1234</v>
      </c>
      <c r="I28" s="95">
        <v>376000</v>
      </c>
      <c r="J28" s="95">
        <v>376000</v>
      </c>
      <c r="K28" s="87" t="s">
        <v>760</v>
      </c>
      <c r="L28" s="95">
        <v>0</v>
      </c>
      <c r="M28" s="95">
        <v>0</v>
      </c>
      <c r="N28" s="13" t="s">
        <v>760</v>
      </c>
      <c r="O28" s="94" t="s">
        <v>761</v>
      </c>
      <c r="P28" s="94" t="s">
        <v>1131</v>
      </c>
      <c r="Q28" s="94" t="s">
        <v>1233</v>
      </c>
      <c r="R28" s="94">
        <v>2</v>
      </c>
      <c r="S28" s="94" t="s">
        <v>764</v>
      </c>
      <c r="T28" s="94">
        <v>0</v>
      </c>
      <c r="U28" s="94">
        <v>1</v>
      </c>
    </row>
    <row r="29" spans="1:21" s="94" customFormat="1">
      <c r="A29" s="94" t="s">
        <v>1246</v>
      </c>
      <c r="B29" s="94" t="s">
        <v>1141</v>
      </c>
      <c r="C29" s="94" t="s">
        <v>1240</v>
      </c>
      <c r="D29" s="13" t="s">
        <v>760</v>
      </c>
      <c r="E29" s="94" t="s">
        <v>1245</v>
      </c>
      <c r="F29" s="94" t="s">
        <v>1244</v>
      </c>
      <c r="G29" s="13" t="s">
        <v>760</v>
      </c>
      <c r="H29" s="94" t="s">
        <v>1234</v>
      </c>
      <c r="I29" s="95">
        <v>345000</v>
      </c>
      <c r="J29" s="95">
        <v>345000</v>
      </c>
      <c r="K29" s="87" t="s">
        <v>760</v>
      </c>
      <c r="L29" s="95">
        <v>0</v>
      </c>
      <c r="M29" s="95">
        <v>0</v>
      </c>
      <c r="N29" s="13" t="s">
        <v>760</v>
      </c>
      <c r="O29" s="94" t="s">
        <v>761</v>
      </c>
      <c r="P29" s="94" t="s">
        <v>1131</v>
      </c>
      <c r="Q29" s="94" t="s">
        <v>1233</v>
      </c>
      <c r="R29" s="94">
        <v>2</v>
      </c>
      <c r="S29" s="94" t="s">
        <v>764</v>
      </c>
      <c r="T29" s="94">
        <v>0</v>
      </c>
      <c r="U29" s="94">
        <v>1</v>
      </c>
    </row>
    <row r="30" spans="1:21" s="94" customFormat="1">
      <c r="A30" s="94" t="s">
        <v>1243</v>
      </c>
      <c r="B30" s="94" t="s">
        <v>1141</v>
      </c>
      <c r="C30" s="94" t="s">
        <v>1240</v>
      </c>
      <c r="D30" s="13" t="s">
        <v>760</v>
      </c>
      <c r="E30" s="94" t="s">
        <v>1239</v>
      </c>
      <c r="F30" s="94" t="s">
        <v>1242</v>
      </c>
      <c r="G30" s="13" t="s">
        <v>760</v>
      </c>
      <c r="H30" s="94" t="s">
        <v>1234</v>
      </c>
      <c r="I30" s="95">
        <v>376000</v>
      </c>
      <c r="J30" s="95">
        <v>376000</v>
      </c>
      <c r="K30" s="87" t="s">
        <v>760</v>
      </c>
      <c r="L30" s="95">
        <v>0</v>
      </c>
      <c r="M30" s="95">
        <v>0</v>
      </c>
      <c r="N30" s="13" t="s">
        <v>760</v>
      </c>
      <c r="O30" s="94" t="s">
        <v>761</v>
      </c>
      <c r="P30" s="94" t="s">
        <v>1131</v>
      </c>
      <c r="Q30" s="94" t="s">
        <v>1233</v>
      </c>
      <c r="R30" s="94">
        <v>2</v>
      </c>
      <c r="S30" s="94" t="s">
        <v>764</v>
      </c>
      <c r="T30" s="94">
        <v>0</v>
      </c>
      <c r="U30" s="94">
        <v>1</v>
      </c>
    </row>
    <row r="31" spans="1:21" s="94" customFormat="1">
      <c r="A31" s="94" t="s">
        <v>1241</v>
      </c>
      <c r="B31" s="94" t="s">
        <v>1141</v>
      </c>
      <c r="C31" s="94" t="s">
        <v>1240</v>
      </c>
      <c r="D31" s="13" t="s">
        <v>760</v>
      </c>
      <c r="E31" s="94" t="s">
        <v>1239</v>
      </c>
      <c r="F31" s="94" t="s">
        <v>1238</v>
      </c>
      <c r="G31" s="13" t="s">
        <v>760</v>
      </c>
      <c r="H31" s="94" t="s">
        <v>1216</v>
      </c>
      <c r="I31" s="95">
        <v>32000</v>
      </c>
      <c r="J31" s="95">
        <v>32000</v>
      </c>
      <c r="K31" s="87" t="s">
        <v>760</v>
      </c>
      <c r="L31" s="95">
        <v>0</v>
      </c>
      <c r="M31" s="95">
        <v>0</v>
      </c>
      <c r="N31" s="13" t="s">
        <v>760</v>
      </c>
      <c r="O31" s="94" t="s">
        <v>761</v>
      </c>
      <c r="P31" s="94" t="s">
        <v>1131</v>
      </c>
      <c r="Q31" s="94" t="s">
        <v>1215</v>
      </c>
      <c r="R31" s="94">
        <v>2</v>
      </c>
      <c r="S31" s="94" t="s">
        <v>764</v>
      </c>
      <c r="T31" s="94">
        <v>0</v>
      </c>
      <c r="U31" s="94">
        <v>1</v>
      </c>
    </row>
    <row r="32" spans="1:21" s="94" customFormat="1">
      <c r="A32" s="94" t="s">
        <v>1237</v>
      </c>
      <c r="B32" s="94" t="s">
        <v>1141</v>
      </c>
      <c r="C32" s="94" t="s">
        <v>1236</v>
      </c>
      <c r="D32" s="13" t="s">
        <v>760</v>
      </c>
      <c r="E32" s="94" t="s">
        <v>1236</v>
      </c>
      <c r="F32" s="94" t="s">
        <v>1235</v>
      </c>
      <c r="G32" s="13" t="s">
        <v>760</v>
      </c>
      <c r="H32" s="94" t="s">
        <v>1234</v>
      </c>
      <c r="I32" s="95">
        <v>400000</v>
      </c>
      <c r="J32" s="95">
        <v>400000</v>
      </c>
      <c r="K32" s="87" t="s">
        <v>760</v>
      </c>
      <c r="L32" s="95">
        <v>0</v>
      </c>
      <c r="M32" s="95">
        <v>0</v>
      </c>
      <c r="N32" s="13" t="s">
        <v>760</v>
      </c>
      <c r="O32" s="94" t="s">
        <v>761</v>
      </c>
      <c r="P32" s="94" t="s">
        <v>1131</v>
      </c>
      <c r="Q32" s="94" t="s">
        <v>1233</v>
      </c>
      <c r="R32" s="94">
        <v>2</v>
      </c>
      <c r="S32" s="94" t="s">
        <v>764</v>
      </c>
      <c r="T32" s="94">
        <v>0</v>
      </c>
      <c r="U32" s="94">
        <v>1</v>
      </c>
    </row>
    <row r="33" spans="1:21">
      <c r="A33" s="13" t="s">
        <v>1232</v>
      </c>
      <c r="B33" s="13" t="s">
        <v>1141</v>
      </c>
      <c r="C33" s="13" t="s">
        <v>1231</v>
      </c>
      <c r="D33" s="13" t="s">
        <v>760</v>
      </c>
      <c r="E33" s="13" t="s">
        <v>1231</v>
      </c>
      <c r="F33" s="13" t="s">
        <v>1230</v>
      </c>
      <c r="G33" s="13" t="s">
        <v>760</v>
      </c>
      <c r="H33" s="13" t="s">
        <v>1165</v>
      </c>
      <c r="I33" s="87">
        <v>420000</v>
      </c>
      <c r="J33" s="87">
        <v>420000</v>
      </c>
      <c r="K33" s="87" t="s">
        <v>760</v>
      </c>
      <c r="L33" s="87">
        <v>0</v>
      </c>
      <c r="M33" s="87">
        <v>0</v>
      </c>
      <c r="N33" s="13" t="s">
        <v>760</v>
      </c>
      <c r="O33" s="13" t="s">
        <v>761</v>
      </c>
      <c r="P33" s="13" t="s">
        <v>1131</v>
      </c>
      <c r="Q33" s="13" t="s">
        <v>1164</v>
      </c>
      <c r="R33" s="13">
        <v>2</v>
      </c>
      <c r="S33" s="13" t="s">
        <v>764</v>
      </c>
      <c r="T33" s="13">
        <v>0</v>
      </c>
      <c r="U33" s="13">
        <v>1</v>
      </c>
    </row>
    <row r="34" spans="1:21">
      <c r="A34" s="13" t="s">
        <v>1229</v>
      </c>
      <c r="B34" s="13" t="s">
        <v>1141</v>
      </c>
      <c r="C34" s="13" t="s">
        <v>1223</v>
      </c>
      <c r="D34" s="13" t="s">
        <v>760</v>
      </c>
      <c r="E34" s="13" t="s">
        <v>1226</v>
      </c>
      <c r="F34" s="13" t="s">
        <v>1228</v>
      </c>
      <c r="G34" s="13" t="s">
        <v>760</v>
      </c>
      <c r="H34" s="13" t="s">
        <v>1150</v>
      </c>
      <c r="I34" s="87">
        <v>260000</v>
      </c>
      <c r="J34" s="87">
        <v>260000</v>
      </c>
      <c r="K34" s="87" t="s">
        <v>760</v>
      </c>
      <c r="L34" s="87">
        <v>0</v>
      </c>
      <c r="M34" s="87">
        <v>0</v>
      </c>
      <c r="N34" s="13" t="s">
        <v>760</v>
      </c>
      <c r="O34" s="13" t="s">
        <v>761</v>
      </c>
      <c r="P34" s="13" t="s">
        <v>1131</v>
      </c>
      <c r="Q34" s="13" t="s">
        <v>1149</v>
      </c>
      <c r="R34" s="13">
        <v>2</v>
      </c>
      <c r="S34" s="13" t="s">
        <v>764</v>
      </c>
      <c r="T34" s="13">
        <v>0</v>
      </c>
      <c r="U34" s="13">
        <v>1</v>
      </c>
    </row>
    <row r="35" spans="1:21">
      <c r="A35" s="13" t="s">
        <v>1227</v>
      </c>
      <c r="B35" s="13" t="s">
        <v>1141</v>
      </c>
      <c r="C35" s="13" t="s">
        <v>1223</v>
      </c>
      <c r="D35" s="13" t="s">
        <v>760</v>
      </c>
      <c r="E35" s="13" t="s">
        <v>1226</v>
      </c>
      <c r="F35" s="13" t="s">
        <v>1225</v>
      </c>
      <c r="G35" s="13" t="s">
        <v>760</v>
      </c>
      <c r="H35" s="13" t="s">
        <v>1150</v>
      </c>
      <c r="I35" s="87">
        <v>208000</v>
      </c>
      <c r="J35" s="87">
        <v>208000</v>
      </c>
      <c r="K35" s="87" t="s">
        <v>760</v>
      </c>
      <c r="L35" s="87">
        <v>0</v>
      </c>
      <c r="M35" s="87">
        <v>0</v>
      </c>
      <c r="N35" s="13" t="s">
        <v>760</v>
      </c>
      <c r="O35" s="13" t="s">
        <v>761</v>
      </c>
      <c r="P35" s="13" t="s">
        <v>1131</v>
      </c>
      <c r="Q35" s="13" t="s">
        <v>1149</v>
      </c>
      <c r="R35" s="13">
        <v>2</v>
      </c>
      <c r="S35" s="13" t="s">
        <v>764</v>
      </c>
      <c r="T35" s="13">
        <v>0</v>
      </c>
      <c r="U35" s="13">
        <v>1</v>
      </c>
    </row>
    <row r="36" spans="1:21">
      <c r="A36" s="13" t="s">
        <v>1224</v>
      </c>
      <c r="B36" s="13" t="s">
        <v>1141</v>
      </c>
      <c r="C36" s="13" t="s">
        <v>1223</v>
      </c>
      <c r="D36" s="13" t="s">
        <v>760</v>
      </c>
      <c r="E36" s="13" t="s">
        <v>1223</v>
      </c>
      <c r="F36" s="13" t="s">
        <v>1222</v>
      </c>
      <c r="G36" s="13" t="s">
        <v>760</v>
      </c>
      <c r="H36" s="13" t="s">
        <v>1150</v>
      </c>
      <c r="I36" s="87">
        <v>208000</v>
      </c>
      <c r="J36" s="87">
        <v>208000</v>
      </c>
      <c r="K36" s="87" t="s">
        <v>760</v>
      </c>
      <c r="L36" s="87">
        <v>0</v>
      </c>
      <c r="M36" s="87">
        <v>0</v>
      </c>
      <c r="N36" s="13" t="s">
        <v>760</v>
      </c>
      <c r="O36" s="13" t="s">
        <v>761</v>
      </c>
      <c r="P36" s="13" t="s">
        <v>1131</v>
      </c>
      <c r="Q36" s="13" t="s">
        <v>1149</v>
      </c>
      <c r="R36" s="13">
        <v>2</v>
      </c>
      <c r="S36" s="13" t="s">
        <v>764</v>
      </c>
      <c r="T36" s="13">
        <v>0</v>
      </c>
      <c r="U36" s="13">
        <v>1</v>
      </c>
    </row>
    <row r="37" spans="1:21" s="94" customFormat="1">
      <c r="A37" s="94" t="s">
        <v>1221</v>
      </c>
      <c r="B37" s="94" t="s">
        <v>1141</v>
      </c>
      <c r="C37" s="94" t="s">
        <v>1218</v>
      </c>
      <c r="D37" s="13" t="s">
        <v>760</v>
      </c>
      <c r="E37" s="94" t="s">
        <v>1218</v>
      </c>
      <c r="F37" s="94" t="s">
        <v>1220</v>
      </c>
      <c r="G37" s="13" t="s">
        <v>760</v>
      </c>
      <c r="H37" s="94" t="s">
        <v>1216</v>
      </c>
      <c r="I37" s="95">
        <v>40000</v>
      </c>
      <c r="J37" s="95">
        <v>40000</v>
      </c>
      <c r="K37" s="87" t="s">
        <v>760</v>
      </c>
      <c r="L37" s="95">
        <v>0</v>
      </c>
      <c r="M37" s="95">
        <v>0</v>
      </c>
      <c r="N37" s="13" t="s">
        <v>760</v>
      </c>
      <c r="O37" s="94" t="s">
        <v>761</v>
      </c>
      <c r="P37" s="94" t="s">
        <v>1131</v>
      </c>
      <c r="Q37" s="94" t="s">
        <v>1215</v>
      </c>
      <c r="R37" s="94">
        <v>2</v>
      </c>
      <c r="S37" s="94" t="s">
        <v>764</v>
      </c>
      <c r="T37" s="94">
        <v>0</v>
      </c>
      <c r="U37" s="94">
        <v>1</v>
      </c>
    </row>
    <row r="38" spans="1:21" s="94" customFormat="1">
      <c r="A38" s="94" t="s">
        <v>1219</v>
      </c>
      <c r="B38" s="94" t="s">
        <v>1141</v>
      </c>
      <c r="C38" s="94" t="s">
        <v>1218</v>
      </c>
      <c r="D38" s="13" t="s">
        <v>760</v>
      </c>
      <c r="E38" s="94" t="s">
        <v>1218</v>
      </c>
      <c r="F38" s="94" t="s">
        <v>1217</v>
      </c>
      <c r="G38" s="13" t="s">
        <v>760</v>
      </c>
      <c r="H38" s="94" t="s">
        <v>1216</v>
      </c>
      <c r="I38" s="95">
        <v>54000</v>
      </c>
      <c r="J38" s="95">
        <v>54000</v>
      </c>
      <c r="K38" s="87" t="s">
        <v>760</v>
      </c>
      <c r="L38" s="95">
        <v>0</v>
      </c>
      <c r="M38" s="95">
        <v>0</v>
      </c>
      <c r="N38" s="13" t="s">
        <v>760</v>
      </c>
      <c r="O38" s="94" t="s">
        <v>761</v>
      </c>
      <c r="P38" s="94" t="s">
        <v>1131</v>
      </c>
      <c r="Q38" s="94" t="s">
        <v>1215</v>
      </c>
      <c r="R38" s="94">
        <v>2</v>
      </c>
      <c r="S38" s="94" t="s">
        <v>764</v>
      </c>
      <c r="T38" s="94">
        <v>0</v>
      </c>
      <c r="U38" s="94">
        <v>1</v>
      </c>
    </row>
    <row r="39" spans="1:21">
      <c r="A39" s="13" t="s">
        <v>1214</v>
      </c>
      <c r="B39" s="13" t="s">
        <v>1136</v>
      </c>
      <c r="C39" s="13" t="s">
        <v>1206</v>
      </c>
      <c r="D39" s="13" t="s">
        <v>760</v>
      </c>
      <c r="E39" s="13" t="s">
        <v>1211</v>
      </c>
      <c r="F39" s="13" t="s">
        <v>1213</v>
      </c>
      <c r="G39" s="13" t="s">
        <v>760</v>
      </c>
      <c r="H39" s="13" t="s">
        <v>1209</v>
      </c>
      <c r="I39" s="87">
        <v>250000</v>
      </c>
      <c r="J39" s="87">
        <v>0</v>
      </c>
      <c r="K39" s="87" t="s">
        <v>760</v>
      </c>
      <c r="L39" s="87">
        <v>0</v>
      </c>
      <c r="M39" s="92">
        <v>250000</v>
      </c>
      <c r="N39" s="13" t="s">
        <v>760</v>
      </c>
      <c r="O39" s="13" t="s">
        <v>761</v>
      </c>
      <c r="P39" s="13" t="s">
        <v>1131</v>
      </c>
      <c r="Q39" s="13" t="s">
        <v>1208</v>
      </c>
      <c r="R39" s="13">
        <v>2</v>
      </c>
      <c r="S39" s="13" t="s">
        <v>764</v>
      </c>
      <c r="T39" s="13">
        <v>0</v>
      </c>
      <c r="U39" s="13">
        <v>1</v>
      </c>
    </row>
    <row r="40" spans="1:21">
      <c r="A40" s="13" t="s">
        <v>1212</v>
      </c>
      <c r="B40" s="13" t="s">
        <v>1136</v>
      </c>
      <c r="C40" s="13" t="s">
        <v>1206</v>
      </c>
      <c r="D40" s="13" t="s">
        <v>760</v>
      </c>
      <c r="E40" s="13" t="s">
        <v>1211</v>
      </c>
      <c r="F40" s="13" t="s">
        <v>1210</v>
      </c>
      <c r="G40" s="13" t="s">
        <v>760</v>
      </c>
      <c r="H40" s="13" t="s">
        <v>1209</v>
      </c>
      <c r="I40" s="87">
        <v>85000</v>
      </c>
      <c r="J40" s="87">
        <v>0</v>
      </c>
      <c r="K40" s="87" t="s">
        <v>760</v>
      </c>
      <c r="L40" s="87">
        <v>0</v>
      </c>
      <c r="M40" s="92">
        <v>85000</v>
      </c>
      <c r="N40" s="13" t="s">
        <v>760</v>
      </c>
      <c r="O40" s="13" t="s">
        <v>761</v>
      </c>
      <c r="P40" s="13" t="s">
        <v>1131</v>
      </c>
      <c r="Q40" s="13" t="s">
        <v>1208</v>
      </c>
      <c r="R40" s="13">
        <v>2</v>
      </c>
      <c r="S40" s="13" t="s">
        <v>764</v>
      </c>
      <c r="T40" s="13">
        <v>0</v>
      </c>
      <c r="U40" s="13">
        <v>1</v>
      </c>
    </row>
    <row r="41" spans="1:21">
      <c r="A41" s="13" t="s">
        <v>1207</v>
      </c>
      <c r="B41" s="13" t="s">
        <v>1141</v>
      </c>
      <c r="C41" s="13" t="s">
        <v>1206</v>
      </c>
      <c r="D41" s="13" t="s">
        <v>760</v>
      </c>
      <c r="E41" s="13" t="s">
        <v>1205</v>
      </c>
      <c r="F41" s="13" t="s">
        <v>1204</v>
      </c>
      <c r="G41" s="13" t="s">
        <v>760</v>
      </c>
      <c r="H41" s="13" t="s">
        <v>1203</v>
      </c>
      <c r="I41" s="87">
        <v>700000</v>
      </c>
      <c r="J41" s="87">
        <v>700000</v>
      </c>
      <c r="K41" s="87" t="s">
        <v>760</v>
      </c>
      <c r="L41" s="87">
        <v>0</v>
      </c>
      <c r="M41" s="87">
        <v>0</v>
      </c>
      <c r="N41" s="13" t="s">
        <v>760</v>
      </c>
      <c r="O41" s="13" t="s">
        <v>761</v>
      </c>
      <c r="P41" s="13" t="s">
        <v>1131</v>
      </c>
      <c r="Q41" s="13" t="s">
        <v>1202</v>
      </c>
      <c r="R41" s="13">
        <v>2</v>
      </c>
      <c r="S41" s="13" t="s">
        <v>764</v>
      </c>
      <c r="T41" s="13">
        <v>0</v>
      </c>
      <c r="U41" s="13">
        <v>1</v>
      </c>
    </row>
    <row r="42" spans="1:21" s="94" customFormat="1">
      <c r="A42" s="94" t="s">
        <v>1201</v>
      </c>
      <c r="B42" s="94" t="s">
        <v>1141</v>
      </c>
      <c r="C42" s="94" t="s">
        <v>1200</v>
      </c>
      <c r="D42" s="13" t="s">
        <v>760</v>
      </c>
      <c r="E42" s="94" t="s">
        <v>1199</v>
      </c>
      <c r="F42" s="94" t="s">
        <v>1198</v>
      </c>
      <c r="G42" s="13" t="s">
        <v>760</v>
      </c>
      <c r="H42" s="94" t="s">
        <v>1150</v>
      </c>
      <c r="I42" s="95">
        <v>168000</v>
      </c>
      <c r="J42" s="95">
        <v>168000</v>
      </c>
      <c r="K42" s="87" t="s">
        <v>760</v>
      </c>
      <c r="L42" s="95">
        <v>0</v>
      </c>
      <c r="M42" s="95">
        <v>0</v>
      </c>
      <c r="N42" s="13" t="s">
        <v>760</v>
      </c>
      <c r="O42" s="94" t="s">
        <v>761</v>
      </c>
      <c r="P42" s="94" t="s">
        <v>1131</v>
      </c>
      <c r="Q42" s="94" t="s">
        <v>1149</v>
      </c>
      <c r="R42" s="94">
        <v>2</v>
      </c>
      <c r="S42" s="94" t="s">
        <v>764</v>
      </c>
      <c r="T42" s="94">
        <v>0</v>
      </c>
      <c r="U42" s="94">
        <v>1</v>
      </c>
    </row>
    <row r="43" spans="1:21">
      <c r="A43" s="13" t="s">
        <v>1197</v>
      </c>
      <c r="B43" s="13" t="s">
        <v>1136</v>
      </c>
      <c r="C43" s="13" t="s">
        <v>1196</v>
      </c>
      <c r="D43" s="13" t="s">
        <v>760</v>
      </c>
      <c r="E43" s="13" t="s">
        <v>1187</v>
      </c>
      <c r="F43" s="13" t="s">
        <v>1195</v>
      </c>
      <c r="G43" s="13" t="s">
        <v>760</v>
      </c>
      <c r="H43" s="13" t="s">
        <v>1194</v>
      </c>
      <c r="I43" s="87">
        <v>444000</v>
      </c>
      <c r="J43" s="87">
        <v>0</v>
      </c>
      <c r="K43" s="87" t="s">
        <v>760</v>
      </c>
      <c r="L43" s="87">
        <v>24000</v>
      </c>
      <c r="M43" s="92">
        <v>444000</v>
      </c>
      <c r="N43" s="13" t="s">
        <v>760</v>
      </c>
      <c r="O43" s="13" t="s">
        <v>761</v>
      </c>
      <c r="P43" s="13" t="s">
        <v>1131</v>
      </c>
      <c r="Q43" s="13" t="s">
        <v>1193</v>
      </c>
      <c r="R43" s="13">
        <v>2</v>
      </c>
      <c r="S43" s="13" t="s">
        <v>764</v>
      </c>
      <c r="T43" s="13">
        <v>0</v>
      </c>
      <c r="U43" s="13">
        <v>1</v>
      </c>
    </row>
    <row r="44" spans="1:21">
      <c r="A44" s="13" t="s">
        <v>1192</v>
      </c>
      <c r="B44" s="13" t="s">
        <v>1141</v>
      </c>
      <c r="C44" s="13" t="s">
        <v>1187</v>
      </c>
      <c r="D44" s="13" t="s">
        <v>760</v>
      </c>
      <c r="E44" s="13" t="s">
        <v>1187</v>
      </c>
      <c r="F44" s="13" t="s">
        <v>1191</v>
      </c>
      <c r="G44" s="13" t="s">
        <v>760</v>
      </c>
      <c r="H44" s="13" t="s">
        <v>1190</v>
      </c>
      <c r="I44" s="87">
        <v>87937386.489999995</v>
      </c>
      <c r="J44" s="87">
        <v>87937386.489999995</v>
      </c>
      <c r="K44" s="87" t="s">
        <v>760</v>
      </c>
      <c r="L44" s="87">
        <v>2777813.45</v>
      </c>
      <c r="M44" s="87">
        <v>0</v>
      </c>
      <c r="N44" s="13" t="s">
        <v>760</v>
      </c>
      <c r="O44" s="13" t="s">
        <v>761</v>
      </c>
      <c r="P44" s="13" t="s">
        <v>1131</v>
      </c>
      <c r="Q44" s="13" t="s">
        <v>1189</v>
      </c>
      <c r="R44" s="13">
        <v>2</v>
      </c>
      <c r="S44" s="13" t="s">
        <v>764</v>
      </c>
      <c r="T44" s="13">
        <v>0</v>
      </c>
      <c r="U44" s="13">
        <v>1</v>
      </c>
    </row>
    <row r="45" spans="1:21">
      <c r="A45" s="13" t="s">
        <v>1188</v>
      </c>
      <c r="B45" s="13" t="s">
        <v>1141</v>
      </c>
      <c r="C45" s="13" t="s">
        <v>1187</v>
      </c>
      <c r="D45" s="13" t="s">
        <v>760</v>
      </c>
      <c r="E45" s="13" t="s">
        <v>1186</v>
      </c>
      <c r="F45" s="13" t="s">
        <v>1185</v>
      </c>
      <c r="G45" s="13" t="s">
        <v>760</v>
      </c>
      <c r="H45" s="13" t="s">
        <v>1155</v>
      </c>
      <c r="I45" s="87">
        <v>745000</v>
      </c>
      <c r="J45" s="87">
        <v>745000</v>
      </c>
      <c r="K45" s="87" t="s">
        <v>760</v>
      </c>
      <c r="L45" s="87">
        <v>45000</v>
      </c>
      <c r="M45" s="87">
        <v>0</v>
      </c>
      <c r="N45" s="13" t="s">
        <v>760</v>
      </c>
      <c r="O45" s="13" t="s">
        <v>761</v>
      </c>
      <c r="P45" s="13" t="s">
        <v>1131</v>
      </c>
      <c r="Q45" s="13" t="s">
        <v>1154</v>
      </c>
      <c r="R45" s="13">
        <v>2</v>
      </c>
      <c r="S45" s="13" t="s">
        <v>764</v>
      </c>
      <c r="T45" s="13">
        <v>0</v>
      </c>
      <c r="U45" s="13">
        <v>1</v>
      </c>
    </row>
    <row r="46" spans="1:21">
      <c r="A46" s="13" t="s">
        <v>1184</v>
      </c>
      <c r="B46" s="13" t="s">
        <v>1136</v>
      </c>
      <c r="C46" s="13" t="s">
        <v>1183</v>
      </c>
      <c r="D46" s="13" t="s">
        <v>760</v>
      </c>
      <c r="E46" s="13" t="s">
        <v>1157</v>
      </c>
      <c r="F46" s="13" t="s">
        <v>1182</v>
      </c>
      <c r="G46" s="13" t="s">
        <v>760</v>
      </c>
      <c r="H46" s="13" t="s">
        <v>1160</v>
      </c>
      <c r="I46" s="87">
        <v>422500</v>
      </c>
      <c r="J46" s="87">
        <v>0</v>
      </c>
      <c r="K46" s="87" t="s">
        <v>760</v>
      </c>
      <c r="L46" s="87">
        <v>22500</v>
      </c>
      <c r="M46" s="87">
        <v>422500</v>
      </c>
      <c r="N46" s="13" t="s">
        <v>760</v>
      </c>
      <c r="O46" s="13" t="s">
        <v>761</v>
      </c>
      <c r="P46" s="13" t="s">
        <v>1131</v>
      </c>
      <c r="Q46" s="13" t="s">
        <v>1159</v>
      </c>
      <c r="R46" s="13">
        <v>2</v>
      </c>
      <c r="S46" s="13" t="s">
        <v>764</v>
      </c>
      <c r="T46" s="13">
        <v>0</v>
      </c>
      <c r="U46" s="13">
        <v>1</v>
      </c>
    </row>
    <row r="47" spans="1:21">
      <c r="A47" s="13" t="s">
        <v>1181</v>
      </c>
      <c r="B47" s="13" t="s">
        <v>1141</v>
      </c>
      <c r="C47" s="13" t="s">
        <v>1180</v>
      </c>
      <c r="D47" s="13" t="s">
        <v>760</v>
      </c>
      <c r="E47" s="13" t="s">
        <v>1147</v>
      </c>
      <c r="F47" s="13" t="s">
        <v>1179</v>
      </c>
      <c r="G47" s="13" t="s">
        <v>760</v>
      </c>
      <c r="H47" s="13" t="s">
        <v>1178</v>
      </c>
      <c r="I47" s="87">
        <v>8256000</v>
      </c>
      <c r="J47" s="87">
        <v>8256000</v>
      </c>
      <c r="K47" s="87" t="s">
        <v>760</v>
      </c>
      <c r="L47" s="87">
        <v>576000</v>
      </c>
      <c r="M47" s="87">
        <v>0</v>
      </c>
      <c r="N47" s="13" t="s">
        <v>760</v>
      </c>
      <c r="O47" s="13" t="s">
        <v>761</v>
      </c>
      <c r="P47" s="13" t="s">
        <v>1131</v>
      </c>
      <c r="Q47" s="13" t="s">
        <v>1177</v>
      </c>
      <c r="R47" s="13">
        <v>2</v>
      </c>
      <c r="S47" s="13" t="s">
        <v>764</v>
      </c>
      <c r="T47" s="13">
        <v>0</v>
      </c>
      <c r="U47" s="13">
        <v>1</v>
      </c>
    </row>
    <row r="48" spans="1:21">
      <c r="A48" s="13" t="s">
        <v>1176</v>
      </c>
      <c r="B48" s="13" t="s">
        <v>1141</v>
      </c>
      <c r="C48" s="13" t="s">
        <v>1175</v>
      </c>
      <c r="D48" s="13" t="s">
        <v>760</v>
      </c>
      <c r="E48" s="13" t="s">
        <v>1157</v>
      </c>
      <c r="F48" s="13" t="s">
        <v>1174</v>
      </c>
      <c r="G48" s="13" t="s">
        <v>760</v>
      </c>
      <c r="H48" s="13" t="s">
        <v>1173</v>
      </c>
      <c r="I48" s="87">
        <v>149962.5</v>
      </c>
      <c r="J48" s="87">
        <v>149962.5</v>
      </c>
      <c r="K48" s="87" t="s">
        <v>760</v>
      </c>
      <c r="L48" s="87">
        <v>10462.5</v>
      </c>
      <c r="M48" s="87">
        <v>0</v>
      </c>
      <c r="N48" s="13" t="s">
        <v>760</v>
      </c>
      <c r="O48" s="13" t="s">
        <v>761</v>
      </c>
      <c r="P48" s="13" t="s">
        <v>1131</v>
      </c>
      <c r="Q48" s="13" t="s">
        <v>1172</v>
      </c>
      <c r="R48" s="13">
        <v>2</v>
      </c>
      <c r="S48" s="13" t="s">
        <v>764</v>
      </c>
      <c r="T48" s="13">
        <v>0</v>
      </c>
      <c r="U48" s="13">
        <v>1</v>
      </c>
    </row>
    <row r="49" spans="1:21">
      <c r="A49" s="13" t="s">
        <v>1171</v>
      </c>
      <c r="B49" s="13" t="s">
        <v>1141</v>
      </c>
      <c r="C49" s="13" t="s">
        <v>1162</v>
      </c>
      <c r="D49" s="13" t="s">
        <v>760</v>
      </c>
      <c r="E49" s="13" t="s">
        <v>1157</v>
      </c>
      <c r="F49" s="13" t="s">
        <v>1170</v>
      </c>
      <c r="G49" s="13" t="s">
        <v>760</v>
      </c>
      <c r="H49" s="13" t="s">
        <v>1160</v>
      </c>
      <c r="I49" s="87">
        <v>170000</v>
      </c>
      <c r="J49" s="87">
        <v>170000</v>
      </c>
      <c r="K49" s="87" t="s">
        <v>760</v>
      </c>
      <c r="L49" s="87">
        <v>0</v>
      </c>
      <c r="M49" s="87">
        <v>0</v>
      </c>
      <c r="N49" s="13" t="s">
        <v>760</v>
      </c>
      <c r="O49" s="13" t="s">
        <v>761</v>
      </c>
      <c r="P49" s="13" t="s">
        <v>1131</v>
      </c>
      <c r="Q49" s="13" t="s">
        <v>1159</v>
      </c>
      <c r="R49" s="13">
        <v>2</v>
      </c>
      <c r="S49" s="13" t="s">
        <v>764</v>
      </c>
      <c r="T49" s="13">
        <v>0</v>
      </c>
      <c r="U49" s="13">
        <v>1</v>
      </c>
    </row>
    <row r="50" spans="1:21">
      <c r="A50" s="13" t="s">
        <v>1169</v>
      </c>
      <c r="B50" s="13" t="s">
        <v>1141</v>
      </c>
      <c r="C50" s="13" t="s">
        <v>1162</v>
      </c>
      <c r="D50" s="13" t="s">
        <v>760</v>
      </c>
      <c r="E50" s="13" t="s">
        <v>1157</v>
      </c>
      <c r="F50" s="13" t="s">
        <v>1168</v>
      </c>
      <c r="G50" s="13" t="s">
        <v>760</v>
      </c>
      <c r="H50" s="13" t="s">
        <v>1165</v>
      </c>
      <c r="I50" s="87">
        <v>204000</v>
      </c>
      <c r="J50" s="87">
        <v>204000</v>
      </c>
      <c r="K50" s="87" t="s">
        <v>760</v>
      </c>
      <c r="L50" s="87">
        <v>0</v>
      </c>
      <c r="M50" s="87">
        <v>0</v>
      </c>
      <c r="N50" s="13" t="s">
        <v>760</v>
      </c>
      <c r="O50" s="13" t="s">
        <v>761</v>
      </c>
      <c r="P50" s="13" t="s">
        <v>1131</v>
      </c>
      <c r="Q50" s="13" t="s">
        <v>1164</v>
      </c>
      <c r="R50" s="13">
        <v>2</v>
      </c>
      <c r="S50" s="13" t="s">
        <v>764</v>
      </c>
      <c r="T50" s="13">
        <v>0</v>
      </c>
      <c r="U50" s="13">
        <v>1</v>
      </c>
    </row>
    <row r="51" spans="1:21">
      <c r="A51" s="13" t="s">
        <v>1167</v>
      </c>
      <c r="B51" s="13" t="s">
        <v>1136</v>
      </c>
      <c r="C51" s="13" t="s">
        <v>1162</v>
      </c>
      <c r="D51" s="13" t="s">
        <v>760</v>
      </c>
      <c r="E51" s="13" t="s">
        <v>1157</v>
      </c>
      <c r="F51" s="13" t="s">
        <v>1166</v>
      </c>
      <c r="G51" s="13" t="s">
        <v>760</v>
      </c>
      <c r="H51" s="13" t="s">
        <v>1165</v>
      </c>
      <c r="I51" s="87">
        <v>530000</v>
      </c>
      <c r="J51" s="87">
        <v>0</v>
      </c>
      <c r="K51" s="87" t="s">
        <v>760</v>
      </c>
      <c r="L51" s="87">
        <v>30000</v>
      </c>
      <c r="M51" s="87">
        <v>530000</v>
      </c>
      <c r="N51" s="13" t="s">
        <v>760</v>
      </c>
      <c r="O51" s="13" t="s">
        <v>761</v>
      </c>
      <c r="P51" s="13" t="s">
        <v>1131</v>
      </c>
      <c r="Q51" s="13" t="s">
        <v>1164</v>
      </c>
      <c r="R51" s="13">
        <v>2</v>
      </c>
      <c r="S51" s="13" t="s">
        <v>764</v>
      </c>
      <c r="T51" s="13">
        <v>0</v>
      </c>
      <c r="U51" s="13">
        <v>1</v>
      </c>
    </row>
    <row r="52" spans="1:21">
      <c r="A52" s="13" t="s">
        <v>1163</v>
      </c>
      <c r="B52" s="13" t="s">
        <v>1141</v>
      </c>
      <c r="C52" s="13" t="s">
        <v>1162</v>
      </c>
      <c r="D52" s="13" t="s">
        <v>760</v>
      </c>
      <c r="E52" s="13" t="s">
        <v>1157</v>
      </c>
      <c r="F52" s="13" t="s">
        <v>1161</v>
      </c>
      <c r="G52" s="13" t="s">
        <v>760</v>
      </c>
      <c r="H52" s="13" t="s">
        <v>1160</v>
      </c>
      <c r="I52" s="87">
        <v>220000</v>
      </c>
      <c r="J52" s="87">
        <v>220000</v>
      </c>
      <c r="K52" s="87" t="s">
        <v>760</v>
      </c>
      <c r="L52" s="87">
        <v>0</v>
      </c>
      <c r="M52" s="87">
        <v>0</v>
      </c>
      <c r="N52" s="13" t="s">
        <v>760</v>
      </c>
      <c r="O52" s="13" t="s">
        <v>761</v>
      </c>
      <c r="P52" s="13" t="s">
        <v>1131</v>
      </c>
      <c r="Q52" s="13" t="s">
        <v>1159</v>
      </c>
      <c r="R52" s="13">
        <v>2</v>
      </c>
      <c r="S52" s="13" t="s">
        <v>764</v>
      </c>
      <c r="T52" s="13">
        <v>0</v>
      </c>
      <c r="U52" s="13">
        <v>1</v>
      </c>
    </row>
    <row r="53" spans="1:21">
      <c r="A53" s="13" t="s">
        <v>1158</v>
      </c>
      <c r="B53" s="13" t="s">
        <v>1141</v>
      </c>
      <c r="C53" s="13" t="s">
        <v>1157</v>
      </c>
      <c r="D53" s="13" t="s">
        <v>760</v>
      </c>
      <c r="E53" s="13" t="s">
        <v>1134</v>
      </c>
      <c r="F53" s="13" t="s">
        <v>1156</v>
      </c>
      <c r="G53" s="13" t="s">
        <v>760</v>
      </c>
      <c r="H53" s="13" t="s">
        <v>1155</v>
      </c>
      <c r="I53" s="87">
        <v>606400</v>
      </c>
      <c r="J53" s="87">
        <v>606400</v>
      </c>
      <c r="K53" s="87" t="s">
        <v>760</v>
      </c>
      <c r="L53" s="87">
        <v>54400</v>
      </c>
      <c r="M53" s="87">
        <v>0</v>
      </c>
      <c r="N53" s="13" t="s">
        <v>760</v>
      </c>
      <c r="O53" s="13" t="s">
        <v>761</v>
      </c>
      <c r="P53" s="13" t="s">
        <v>1131</v>
      </c>
      <c r="Q53" s="13" t="s">
        <v>1154</v>
      </c>
      <c r="R53" s="13">
        <v>2</v>
      </c>
      <c r="S53" s="13" t="s">
        <v>764</v>
      </c>
      <c r="T53" s="13">
        <v>0</v>
      </c>
      <c r="U53" s="13">
        <v>1</v>
      </c>
    </row>
    <row r="54" spans="1:21">
      <c r="A54" s="13" t="s">
        <v>1153</v>
      </c>
      <c r="B54" s="13" t="s">
        <v>1136</v>
      </c>
      <c r="C54" s="13" t="s">
        <v>1152</v>
      </c>
      <c r="D54" s="13" t="s">
        <v>760</v>
      </c>
      <c r="E54" s="13" t="s">
        <v>1135</v>
      </c>
      <c r="F54" s="13" t="s">
        <v>1151</v>
      </c>
      <c r="G54" s="13" t="s">
        <v>760</v>
      </c>
      <c r="H54" s="13" t="s">
        <v>1150</v>
      </c>
      <c r="I54" s="87">
        <v>170000</v>
      </c>
      <c r="J54" s="87">
        <v>0</v>
      </c>
      <c r="K54" s="87" t="s">
        <v>760</v>
      </c>
      <c r="L54" s="87">
        <v>0</v>
      </c>
      <c r="M54" s="87">
        <v>170000</v>
      </c>
      <c r="N54" s="13" t="s">
        <v>760</v>
      </c>
      <c r="O54" s="13" t="s">
        <v>761</v>
      </c>
      <c r="P54" s="13" t="s">
        <v>1131</v>
      </c>
      <c r="Q54" s="13" t="s">
        <v>1149</v>
      </c>
      <c r="R54" s="13">
        <v>2</v>
      </c>
      <c r="S54" s="13" t="s">
        <v>764</v>
      </c>
      <c r="T54" s="13">
        <v>0</v>
      </c>
      <c r="U54" s="13">
        <v>1</v>
      </c>
    </row>
    <row r="55" spans="1:21">
      <c r="A55" s="13" t="s">
        <v>1148</v>
      </c>
      <c r="B55" s="13" t="s">
        <v>1141</v>
      </c>
      <c r="C55" s="13" t="s">
        <v>1147</v>
      </c>
      <c r="D55" s="13" t="s">
        <v>760</v>
      </c>
      <c r="E55" s="13" t="s">
        <v>1146</v>
      </c>
      <c r="F55" s="13" t="s">
        <v>1145</v>
      </c>
      <c r="G55" s="13" t="s">
        <v>760</v>
      </c>
      <c r="H55" s="13" t="s">
        <v>1144</v>
      </c>
      <c r="I55" s="87">
        <v>1653500</v>
      </c>
      <c r="J55" s="87">
        <v>1653500</v>
      </c>
      <c r="K55" s="87" t="s">
        <v>760</v>
      </c>
      <c r="L55" s="87">
        <v>0</v>
      </c>
      <c r="M55" s="87">
        <v>0</v>
      </c>
      <c r="N55" s="13" t="s">
        <v>760</v>
      </c>
      <c r="O55" s="13" t="s">
        <v>761</v>
      </c>
      <c r="P55" s="13" t="s">
        <v>1131</v>
      </c>
      <c r="Q55" s="13" t="s">
        <v>1143</v>
      </c>
      <c r="R55" s="13">
        <v>2</v>
      </c>
      <c r="S55" s="13" t="s">
        <v>764</v>
      </c>
      <c r="T55" s="13">
        <v>0</v>
      </c>
      <c r="U55" s="13">
        <v>1</v>
      </c>
    </row>
    <row r="56" spans="1:21">
      <c r="A56" s="13" t="s">
        <v>1142</v>
      </c>
      <c r="B56" s="13" t="s">
        <v>1141</v>
      </c>
      <c r="C56" s="13" t="s">
        <v>1135</v>
      </c>
      <c r="D56" s="13" t="s">
        <v>760</v>
      </c>
      <c r="E56" s="13" t="s">
        <v>1135</v>
      </c>
      <c r="F56" s="13" t="s">
        <v>1140</v>
      </c>
      <c r="G56" s="13" t="s">
        <v>760</v>
      </c>
      <c r="H56" s="13" t="s">
        <v>1139</v>
      </c>
      <c r="I56" s="87">
        <v>25000</v>
      </c>
      <c r="J56" s="87">
        <v>25000</v>
      </c>
      <c r="K56" s="87" t="s">
        <v>760</v>
      </c>
      <c r="L56" s="87">
        <v>0</v>
      </c>
      <c r="M56" s="87">
        <v>0</v>
      </c>
      <c r="N56" s="13" t="s">
        <v>760</v>
      </c>
      <c r="O56" s="13" t="s">
        <v>761</v>
      </c>
      <c r="P56" s="13" t="s">
        <v>1131</v>
      </c>
      <c r="Q56" s="13" t="s">
        <v>1138</v>
      </c>
      <c r="R56" s="13">
        <v>2</v>
      </c>
      <c r="S56" s="13" t="s">
        <v>764</v>
      </c>
      <c r="T56" s="13">
        <v>0</v>
      </c>
      <c r="U56" s="13">
        <v>1</v>
      </c>
    </row>
    <row r="57" spans="1:21">
      <c r="A57" s="13" t="s">
        <v>1137</v>
      </c>
      <c r="B57" s="13" t="s">
        <v>1136</v>
      </c>
      <c r="C57" s="13" t="s">
        <v>1135</v>
      </c>
      <c r="D57" s="13" t="s">
        <v>760</v>
      </c>
      <c r="E57" s="13" t="s">
        <v>1134</v>
      </c>
      <c r="F57" s="13" t="s">
        <v>1133</v>
      </c>
      <c r="G57" s="13" t="s">
        <v>760</v>
      </c>
      <c r="H57" s="13" t="s">
        <v>1132</v>
      </c>
      <c r="I57" s="87">
        <v>700000</v>
      </c>
      <c r="J57" s="87">
        <v>0</v>
      </c>
      <c r="K57" s="87" t="s">
        <v>760</v>
      </c>
      <c r="L57" s="87">
        <v>0</v>
      </c>
      <c r="M57" s="87">
        <v>700000</v>
      </c>
      <c r="N57" s="13" t="s">
        <v>760</v>
      </c>
      <c r="O57" s="13" t="s">
        <v>761</v>
      </c>
      <c r="P57" s="13" t="s">
        <v>1131</v>
      </c>
      <c r="Q57" s="13" t="s">
        <v>1130</v>
      </c>
      <c r="R57" s="13">
        <v>2</v>
      </c>
      <c r="S57" s="13" t="s">
        <v>764</v>
      </c>
      <c r="T57" s="13">
        <v>0</v>
      </c>
      <c r="U57" s="13">
        <v>1</v>
      </c>
    </row>
    <row r="58" spans="1:21" ht="14">
      <c r="A58" s="134" t="s">
        <v>760</v>
      </c>
      <c r="B58" s="135"/>
      <c r="C58" s="135"/>
      <c r="D58" s="135"/>
      <c r="E58" s="135"/>
      <c r="F58" s="135"/>
      <c r="G58" s="135"/>
      <c r="H58" s="135"/>
      <c r="I58" s="135"/>
      <c r="J58" s="135"/>
      <c r="K58" s="135"/>
      <c r="L58" s="135"/>
      <c r="M58" s="135"/>
      <c r="N58" s="135"/>
      <c r="O58" s="135"/>
      <c r="P58" s="135"/>
      <c r="Q58" s="135"/>
      <c r="R58" s="135"/>
      <c r="S58" s="135"/>
      <c r="T58" s="135"/>
      <c r="U58" s="135"/>
    </row>
    <row r="60" spans="1:21">
      <c r="H60" s="88" t="s">
        <v>1129</v>
      </c>
      <c r="I60" s="88" t="s">
        <v>1128</v>
      </c>
      <c r="L60" s="88" t="s">
        <v>1127</v>
      </c>
      <c r="M60" s="88" t="s">
        <v>1126</v>
      </c>
    </row>
    <row r="61" spans="1:21">
      <c r="H61" s="87">
        <f>I6</f>
        <v>444000</v>
      </c>
      <c r="I61" s="87">
        <f>H61-M61</f>
        <v>420000</v>
      </c>
      <c r="L61" s="87">
        <v>100000</v>
      </c>
      <c r="M61" s="87">
        <f>L6</f>
        <v>24000</v>
      </c>
    </row>
    <row r="64" spans="1:21">
      <c r="L64" s="87">
        <f>I11-L11</f>
        <v>1520000</v>
      </c>
    </row>
  </sheetData>
  <autoFilter ref="A2:U58"/>
  <mergeCells count="2">
    <mergeCell ref="A1:U1"/>
    <mergeCell ref="A58:U58"/>
  </mergeCells>
  <pageMargins left="0.75" right="0.75" top="1" bottom="1" header="0.5" footer="0.5"/>
  <pageSetup orientation="portrait" horizontalDpi="300" verticalDpi="30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b6513a3-e1f3-4cc5-ae82-936310e9d6b3">
      <Terms xmlns="http://schemas.microsoft.com/office/infopath/2007/PartnerControls"/>
    </lcf76f155ced4ddcb4097134ff3c332f>
    <TaxCatchAll xmlns="965dad2f-625e-4dab-9b19-36f41d3d1c5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440474FB2A7D340BB250A76724FCF11" ma:contentTypeVersion="16" ma:contentTypeDescription="Create a new document." ma:contentTypeScope="" ma:versionID="c13d9cb04c9f0a101e90866076bfc9b9">
  <xsd:schema xmlns:xsd="http://www.w3.org/2001/XMLSchema" xmlns:xs="http://www.w3.org/2001/XMLSchema" xmlns:p="http://schemas.microsoft.com/office/2006/metadata/properties" xmlns:ns2="965dad2f-625e-4dab-9b19-36f41d3d1c57" xmlns:ns3="ab6513a3-e1f3-4cc5-ae82-936310e9d6b3" targetNamespace="http://schemas.microsoft.com/office/2006/metadata/properties" ma:root="true" ma:fieldsID="04bf87c68083cd6aa4b42b0c2454bb61" ns2:_="" ns3:_="">
    <xsd:import namespace="965dad2f-625e-4dab-9b19-36f41d3d1c57"/>
    <xsd:import namespace="ab6513a3-e1f3-4cc5-ae82-936310e9d6b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5dad2f-625e-4dab-9b19-36f41d3d1c5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ad4ff11a-1bdf-4041-93cf-f27bfac842c1}" ma:internalName="TaxCatchAll" ma:showField="CatchAllData" ma:web="965dad2f-625e-4dab-9b19-36f41d3d1c5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b6513a3-e1f3-4cc5-ae82-936310e9d6b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f635bc1-86f2-4f38-96db-0311e431f0d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DFCD649-DEFA-48CF-A0F1-F3F60EC03073}">
  <ds:schemaRefs>
    <ds:schemaRef ds:uri="ab6513a3-e1f3-4cc5-ae82-936310e9d6b3"/>
    <ds:schemaRef ds:uri="http://schemas.microsoft.com/office/2006/metadata/properties"/>
    <ds:schemaRef ds:uri="http://purl.org/dc/dcmitype/"/>
    <ds:schemaRef ds:uri="http://purl.org/dc/elements/1.1/"/>
    <ds:schemaRef ds:uri="http://schemas.openxmlformats.org/package/2006/metadata/core-properties"/>
    <ds:schemaRef ds:uri="965dad2f-625e-4dab-9b19-36f41d3d1c57"/>
    <ds:schemaRef ds:uri="http://schemas.microsoft.com/office/2006/documentManagement/types"/>
    <ds:schemaRef ds:uri="http://schemas.microsoft.com/office/infopath/2007/PartnerControls"/>
    <ds:schemaRef ds:uri="http://www.w3.org/XML/1998/namespace"/>
    <ds:schemaRef ds:uri="http://purl.org/dc/terms/"/>
  </ds:schemaRefs>
</ds:datastoreItem>
</file>

<file path=customXml/itemProps2.xml><?xml version="1.0" encoding="utf-8"?>
<ds:datastoreItem xmlns:ds="http://schemas.openxmlformats.org/officeDocument/2006/customXml" ds:itemID="{495EC5CF-2427-4F9D-93D3-DD36955C962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5dad2f-625e-4dab-9b19-36f41d3d1c57"/>
    <ds:schemaRef ds:uri="ab6513a3-e1f3-4cc5-ae82-936310e9d6b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7F9092D-11BE-402E-80DB-77577BD1E71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4</vt:i4>
      </vt:variant>
    </vt:vector>
  </HeadingPairs>
  <TitlesOfParts>
    <vt:vector size="20" baseType="lpstr">
      <vt:lpstr>Sheet2 (2)</vt:lpstr>
      <vt:lpstr>Cover</vt:lpstr>
      <vt:lpstr>SCI</vt:lpstr>
      <vt:lpstr>SFP</vt:lpstr>
      <vt:lpstr>SCF</vt:lpstr>
      <vt:lpstr>Notes</vt:lpstr>
      <vt:lpstr>&gt;&gt;&gt;&gt;</vt:lpstr>
      <vt:lpstr>Trial Balance</vt:lpstr>
      <vt:lpstr>GL_Transactions</vt:lpstr>
      <vt:lpstr>Recon</vt:lpstr>
      <vt:lpstr>FAR</vt:lpstr>
      <vt:lpstr>Sheet1</vt:lpstr>
      <vt:lpstr>MoM Transactions</vt:lpstr>
      <vt:lpstr>Chart of Accounts</vt:lpstr>
      <vt:lpstr>Breakdown of MD reimbu</vt:lpstr>
      <vt:lpstr>invoice_details</vt:lpstr>
      <vt:lpstr>Cover!Print_Area</vt:lpstr>
      <vt:lpstr>SCF!Print_Area</vt:lpstr>
      <vt:lpstr>SCI!Print_Area</vt:lpstr>
      <vt:lpstr>SFP!Print_Area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Chiamaka C. Oduche-Mokwe</dc:creator>
  <cp:lastModifiedBy>IIH</cp:lastModifiedBy>
  <cp:lastPrinted>2025-10-07T20:41:54Z</cp:lastPrinted>
  <dcterms:created xsi:type="dcterms:W3CDTF">2025-09-25T12:41:18Z</dcterms:created>
  <dcterms:modified xsi:type="dcterms:W3CDTF">2025-12-14T13:13:38Z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0x010100D440474FB2A7D340BB250A76724FCF11</vt:lpwstr>
  </property>
  <property fmtid="{D5CDD505-2E9C-101B-9397-08002B2CF9AE}" pid="3" name="MediaServiceImageTags">
    <vt:lpwstr/>
  </property>
</Properties>
</file>