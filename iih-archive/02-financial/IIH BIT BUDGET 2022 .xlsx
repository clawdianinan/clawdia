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 showInkAnnotation="0"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2813190E-EAC6-E146-8490-B357F5FC4B17}" xr6:coauthVersionLast="46" xr6:coauthVersionMax="46" xr10:uidLastSave="{00000000-0000-0000-0000-000000000000}"/>
  <bookViews>
    <workbookView xWindow="100" yWindow="500" windowWidth="28620" windowHeight="17420" tabRatio="500" xr2:uid="{00000000-000D-0000-FFFF-FFFF00000000}"/>
  </bookViews>
  <sheets>
    <sheet name="Summary" sheetId="1" r:id="rId1"/>
    <sheet name="Stationery &amp; Supplies" sheetId="3" r:id="rId2"/>
    <sheet name="Computers &amp; Equipment" sheetId="4" r:id="rId3"/>
    <sheet name="Utilities" sheetId="5" r:id="rId4"/>
    <sheet name="Internet &amp; Phone" sheetId="7" r:id="rId5"/>
    <sheet name="PR &amp; Advertising" sheetId="8" r:id="rId6"/>
    <sheet name="Travel &amp; Conferences" sheetId="9" r:id="rId7"/>
    <sheet name="Talent Training" sheetId="10" r:id="rId8"/>
    <sheet name="Cleaning &amp; Maintenance" sheetId="11" r:id="rId9"/>
    <sheet name="Security" sheetId="12" r:id="rId10"/>
    <sheet name="Events" sheetId="13" r:id="rId11"/>
    <sheet name="Salaries" sheetId="14" r:id="rId12"/>
  </sheets>
  <definedNames>
    <definedName name="_xlnm.Print_Area" localSheetId="8">'Cleaning &amp; Maintenance'!$A$1:$G$25</definedName>
    <definedName name="_xlnm.Print_Area" localSheetId="2">'Computers &amp; Equipment'!$A$1:$G$23</definedName>
    <definedName name="_xlnm.Print_Area" localSheetId="10">Events!$A$1:$G$25</definedName>
    <definedName name="_xlnm.Print_Area" localSheetId="4">'Internet &amp; Phone'!$A$1:$G$25</definedName>
    <definedName name="_xlnm.Print_Area" localSheetId="5">'PR &amp; Advertising'!$A$1:$G$25</definedName>
    <definedName name="_xlnm.Print_Area" localSheetId="11">Salaries!$A$1:$G$25</definedName>
    <definedName name="_xlnm.Print_Area" localSheetId="9">Security!$A$1:$G$25</definedName>
    <definedName name="_xlnm.Print_Area" localSheetId="1">'Stationery &amp; Supplies'!$A$1:$G$25</definedName>
    <definedName name="_xlnm.Print_Area" localSheetId="0">Summary!$A$1:$F$23</definedName>
    <definedName name="_xlnm.Print_Area" localSheetId="7">'Talent Training'!$A$1:$G$18</definedName>
    <definedName name="_xlnm.Print_Area" localSheetId="6">'Travel &amp; Conferences'!$A$1:$G$25</definedName>
    <definedName name="_xlnm.Print_Area" localSheetId="3">Utilities!$A$1:$G$25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2" i="1" l="1"/>
  <c r="E7" i="4" l="1"/>
  <c r="E6" i="12"/>
  <c r="E6" i="5"/>
  <c r="E16" i="8"/>
  <c r="E5" i="4"/>
  <c r="E17" i="3"/>
  <c r="E7" i="9"/>
  <c r="E5" i="9"/>
  <c r="E6" i="9"/>
  <c r="E9" i="9"/>
  <c r="E10" i="9"/>
  <c r="E11" i="9"/>
  <c r="E12" i="9"/>
  <c r="E13" i="9"/>
  <c r="E14" i="9"/>
  <c r="E15" i="9"/>
  <c r="E16" i="9"/>
  <c r="E5" i="8"/>
  <c r="E6" i="8"/>
  <c r="E7" i="8"/>
  <c r="E8" i="8"/>
  <c r="E9" i="8"/>
  <c r="E10" i="8"/>
  <c r="E11" i="8"/>
  <c r="E12" i="8"/>
  <c r="E13" i="8"/>
  <c r="E14" i="8"/>
  <c r="E15" i="8"/>
  <c r="E18" i="8"/>
  <c r="E5" i="12"/>
  <c r="E17" i="12" s="1"/>
  <c r="D17" i="1" s="1"/>
  <c r="E7" i="13"/>
  <c r="E6" i="3"/>
  <c r="E21" i="3"/>
  <c r="E22" i="3"/>
  <c r="E23" i="3"/>
  <c r="E5" i="14"/>
  <c r="E11" i="4"/>
  <c r="E6" i="4"/>
  <c r="E7" i="3"/>
  <c r="E8" i="3"/>
  <c r="E10" i="3"/>
  <c r="E11" i="3"/>
  <c r="E12" i="3"/>
  <c r="E13" i="3"/>
  <c r="E14" i="3"/>
  <c r="E15" i="3"/>
  <c r="E16" i="3"/>
  <c r="E18" i="3"/>
  <c r="E19" i="3"/>
  <c r="E20" i="3"/>
  <c r="E5" i="3"/>
  <c r="E5" i="10"/>
  <c r="E6" i="10"/>
  <c r="E7" i="10"/>
  <c r="E8" i="10"/>
  <c r="E9" i="10"/>
  <c r="E5" i="13"/>
  <c r="E8" i="13"/>
  <c r="E9" i="13"/>
  <c r="E10" i="13"/>
  <c r="E11" i="13"/>
  <c r="E12" i="13"/>
  <c r="E13" i="13"/>
  <c r="E14" i="13"/>
  <c r="E15" i="13"/>
  <c r="E16" i="13"/>
  <c r="E6" i="13"/>
  <c r="E9" i="4"/>
  <c r="E10" i="4"/>
  <c r="E9" i="14"/>
  <c r="E10" i="14"/>
  <c r="E8" i="14"/>
  <c r="E6" i="14"/>
  <c r="E7" i="14"/>
  <c r="E11" i="14"/>
  <c r="E12" i="14"/>
  <c r="E13" i="14"/>
  <c r="E14" i="14"/>
  <c r="E15" i="14"/>
  <c r="E16" i="14"/>
  <c r="E6" i="11"/>
  <c r="E7" i="11"/>
  <c r="E8" i="11"/>
  <c r="E9" i="11"/>
  <c r="E10" i="11"/>
  <c r="E11" i="11"/>
  <c r="E12" i="11"/>
  <c r="E13" i="11"/>
  <c r="E14" i="11"/>
  <c r="E15" i="11"/>
  <c r="E16" i="11"/>
  <c r="E5" i="11"/>
  <c r="E6" i="7"/>
  <c r="E7" i="7"/>
  <c r="E8" i="7"/>
  <c r="E9" i="7"/>
  <c r="E12" i="7"/>
  <c r="E13" i="7"/>
  <c r="E14" i="7"/>
  <c r="E15" i="7"/>
  <c r="E16" i="7"/>
  <c r="E5" i="7"/>
  <c r="E5" i="5"/>
  <c r="E9" i="3"/>
  <c r="E8" i="4"/>
  <c r="E12" i="4"/>
  <c r="E13" i="4"/>
  <c r="E14" i="4"/>
  <c r="E15" i="4"/>
  <c r="E24" i="3" l="1"/>
  <c r="D6" i="1" s="1"/>
  <c r="E17" i="5"/>
  <c r="D11" i="1" s="1"/>
  <c r="E17" i="14"/>
  <c r="D19" i="1" s="1"/>
  <c r="E17" i="7"/>
  <c r="D12" i="1" s="1"/>
  <c r="E17" i="9"/>
  <c r="D14" i="1" s="1"/>
  <c r="E10" i="10"/>
  <c r="D15" i="1" s="1"/>
  <c r="E17" i="11"/>
  <c r="D16" i="1" s="1"/>
  <c r="E17" i="13"/>
  <c r="D18" i="1" s="1"/>
  <c r="E19" i="8"/>
  <c r="D13" i="1" s="1"/>
  <c r="E16" i="4"/>
  <c r="D7" i="1" s="1"/>
  <c r="D8" i="1" l="1"/>
  <c r="D20" i="1"/>
  <c r="D22" i="1" l="1"/>
</calcChain>
</file>

<file path=xl/sharedStrings.xml><?xml version="1.0" encoding="utf-8"?>
<sst xmlns="http://schemas.openxmlformats.org/spreadsheetml/2006/main" count="184" uniqueCount="120">
  <si>
    <t>SN</t>
  </si>
  <si>
    <t>Budget Summary</t>
  </si>
  <si>
    <t>Amount (N)</t>
  </si>
  <si>
    <t>Launch Event</t>
  </si>
  <si>
    <t>Cleaning &amp; Maintenance</t>
  </si>
  <si>
    <t>Internet &amp; Phone</t>
  </si>
  <si>
    <t>Grand Total</t>
  </si>
  <si>
    <t>Travel &amp; Conferences</t>
  </si>
  <si>
    <t>Secuity</t>
  </si>
  <si>
    <t>Computers &amp; Equipment</t>
  </si>
  <si>
    <t>Item</t>
  </si>
  <si>
    <t>QTY</t>
  </si>
  <si>
    <t>PRICE (N)</t>
  </si>
  <si>
    <t>TOTAL (N)</t>
  </si>
  <si>
    <t>Stationery &amp; Supplies</t>
  </si>
  <si>
    <t>STATIONERY &amp; SUPPLIES</t>
  </si>
  <si>
    <t>COMPUTERS &amp; EQUIPMENT</t>
  </si>
  <si>
    <t>INTERNET &amp; PHONE</t>
  </si>
  <si>
    <t>LAUNCH EVENT</t>
  </si>
  <si>
    <t>SECURITY</t>
  </si>
  <si>
    <t>CLEANING &amp; MAINTENANCE</t>
  </si>
  <si>
    <t>TRAVEL &amp; CONFERENCES</t>
  </si>
  <si>
    <t>Salaries</t>
  </si>
  <si>
    <t>SALARIES</t>
  </si>
  <si>
    <t>Capital Expenses</t>
  </si>
  <si>
    <t>Operating Expenses</t>
  </si>
  <si>
    <t>Total</t>
  </si>
  <si>
    <t>Brochures</t>
  </si>
  <si>
    <t>File Jackets</t>
  </si>
  <si>
    <t>Letterheaded Paper</t>
  </si>
  <si>
    <t>White Board</t>
  </si>
  <si>
    <t>Punch</t>
  </si>
  <si>
    <t>Stapler</t>
  </si>
  <si>
    <t>Highlighter</t>
  </si>
  <si>
    <t>Electricity</t>
  </si>
  <si>
    <t>Internet Subscription</t>
  </si>
  <si>
    <t>Desk GSM Phone</t>
  </si>
  <si>
    <t>Intercom Phones</t>
  </si>
  <si>
    <t>Intercom Installation &amp; Setup</t>
  </si>
  <si>
    <t>Desk GSM Phone Airtime</t>
  </si>
  <si>
    <t>PR &amp; ADVERTISING</t>
  </si>
  <si>
    <t>PR &amp; Advertising</t>
  </si>
  <si>
    <t>Cleaning Fee</t>
  </si>
  <si>
    <t>Maintenance &amp; Repairs</t>
  </si>
  <si>
    <t>TALENT TRAINING</t>
  </si>
  <si>
    <t xml:space="preserve">Talent Training </t>
  </si>
  <si>
    <t>Community Manager</t>
  </si>
  <si>
    <t xml:space="preserve">Front Desk </t>
  </si>
  <si>
    <t>Managing Director</t>
  </si>
  <si>
    <t>IT Support</t>
  </si>
  <si>
    <t>Head of Talent &amp; Training</t>
  </si>
  <si>
    <t>Accounts &amp; Admin</t>
  </si>
  <si>
    <t>Plain Paper (ream)</t>
  </si>
  <si>
    <t>Corporate Mugs</t>
  </si>
  <si>
    <t>Small Paper Bags</t>
  </si>
  <si>
    <t>Flyers</t>
  </si>
  <si>
    <t>Radio Jingle Production</t>
  </si>
  <si>
    <t>Radio Jingle Airtime</t>
  </si>
  <si>
    <t>Gift Pens</t>
  </si>
  <si>
    <t>Pens (pack)</t>
  </si>
  <si>
    <t>Small Envelopes</t>
  </si>
  <si>
    <t>Large Envelopes</t>
  </si>
  <si>
    <t>Amazon Web Service Server Space</t>
  </si>
  <si>
    <t>SSL Certificates</t>
  </si>
  <si>
    <t>1TB Drives</t>
  </si>
  <si>
    <t>HP Laserjet M479FDW Wireless Printer</t>
  </si>
  <si>
    <t>Tanke Junction Billboard</t>
  </si>
  <si>
    <t>Self-Inking Stamp Pads</t>
  </si>
  <si>
    <t>Flash Drives</t>
  </si>
  <si>
    <t>Events</t>
  </si>
  <si>
    <t>Local Travel</t>
  </si>
  <si>
    <t>Digital Marketing</t>
  </si>
  <si>
    <t>Weekly Meetups</t>
  </si>
  <si>
    <t>GRAND TOTAL FOR 1 YEAR</t>
  </si>
  <si>
    <t>Beverages</t>
  </si>
  <si>
    <t>Dispenser Water</t>
  </si>
  <si>
    <t>International Innovation Conference</t>
  </si>
  <si>
    <t>Continuation Sheets</t>
  </si>
  <si>
    <t>Inverter ACs</t>
  </si>
  <si>
    <t>Mentor Travel &amp; Accomodation</t>
  </si>
  <si>
    <t>Mentor Honorarium</t>
  </si>
  <si>
    <t>Unity Roundabout LED Billboard (1 month)</t>
  </si>
  <si>
    <t>Campus Tours</t>
  </si>
  <si>
    <t>Diesel</t>
  </si>
  <si>
    <t>UTILITIES &amp; DIESEL</t>
  </si>
  <si>
    <t>Utilities &amp; Diesel</t>
  </si>
  <si>
    <t>ILORIN INNOVATION HUB ONE YEAR OPERATING BUDGET ESTIMATE SUMMARY</t>
  </si>
  <si>
    <t>Ilorin Tech Skills Training Program</t>
  </si>
  <si>
    <t>Business Cards (for Mgt Team)</t>
  </si>
  <si>
    <t>Mini Data Center Setup</t>
  </si>
  <si>
    <t>Roll-up Banners</t>
  </si>
  <si>
    <t>Dummy Cheque (for Prizes)</t>
  </si>
  <si>
    <t>Night Security Guard x3</t>
  </si>
  <si>
    <t>Day Security Guard x 3</t>
  </si>
  <si>
    <t>Macbook Pro</t>
  </si>
  <si>
    <t>HP Desktop Computers</t>
  </si>
  <si>
    <t>HP Notebooks</t>
  </si>
  <si>
    <t>Kwara Jobs Portal Implementation &amp; Operations</t>
  </si>
  <si>
    <t xml:space="preserve">Space </t>
  </si>
  <si>
    <t>Rate</t>
  </si>
  <si>
    <t>Number of Units</t>
  </si>
  <si>
    <t>Revenue</t>
  </si>
  <si>
    <t>Office Plan 1 (downstairs)</t>
  </si>
  <si>
    <t>Office Plan 2 (upstairs)</t>
  </si>
  <si>
    <t>Office Plan 3 (upstairs)</t>
  </si>
  <si>
    <t>Individual Workspace (upstairs)</t>
  </si>
  <si>
    <t>Individual Workspace</t>
  </si>
  <si>
    <t>(in multipurpose hall downstairs)</t>
  </si>
  <si>
    <t>Cafeteria</t>
  </si>
  <si>
    <t>Coffee Shop</t>
  </si>
  <si>
    <t>Retail Shops</t>
  </si>
  <si>
    <t>Conference Hall Rentals (estimate)</t>
  </si>
  <si>
    <t>Main Hall Rentals (estimate)</t>
  </si>
  <si>
    <t>ILORIN INNOVATION HUB ONE YEAR REVENUE</t>
  </si>
  <si>
    <t>Printing &amp; Other Services</t>
  </si>
  <si>
    <t>Meeting Room Rentals</t>
  </si>
  <si>
    <t>Junior Officers</t>
  </si>
  <si>
    <t xml:space="preserve">In the first year, the Innovation Hub is expected to run at a loss because of the fact that there will be no startup investments yet, which will be brought via the startup program. By the second year, the. </t>
  </si>
  <si>
    <t>Grants</t>
  </si>
  <si>
    <t>We also expect at least N100m in grants (or more) as the hub will attract  a lot of attention in the tech space.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</si>
</sst>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5" xfId="0" applyFont="1" applyBorder="1" applyAlignment="1"/>
    <xf numFmtId="0" fontId="2" fillId="0" borderId="6" xfId="0" applyFont="1" applyBorder="1" applyAlignment="1"/>
    <xf numFmtId="3" fontId="1" fillId="0" borderId="1" xfId="0" applyNumberFormat="1" applyFont="1" applyBorder="1"/>
    <xf numFmtId="3" fontId="2" fillId="0" borderId="7" xfId="0" applyNumberFormat="1" applyFont="1" applyBorder="1"/>
    <xf numFmtId="0" fontId="2" fillId="0" borderId="2" xfId="0" applyFont="1" applyBorder="1" applyAlignment="1">
      <alignment horizontal="center"/>
    </xf>
    <xf numFmtId="3" fontId="2" fillId="0" borderId="1" xfId="0" applyNumberFormat="1" applyFont="1" applyBorder="1"/>
    <xf numFmtId="3" fontId="1" fillId="0" borderId="4" xfId="0" applyNumberFormat="1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3" fontId="7" fillId="0" borderId="1" xfId="0" applyNumberFormat="1" applyFont="1" applyBorder="1"/>
    <xf numFmtId="0" fontId="7" fillId="0" borderId="0" xfId="0" applyFont="1"/>
    <xf numFmtId="0" fontId="7" fillId="0" borderId="1" xfId="0" applyFont="1" applyBorder="1" applyAlignment="1">
      <alignment horizontal="center" vertical="top"/>
    </xf>
    <xf numFmtId="0" fontId="7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3" fontId="5" fillId="0" borderId="1" xfId="0" applyNumberFormat="1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3" fontId="5" fillId="0" borderId="1" xfId="0" applyNumberFormat="1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vertical="top" wrapText="1"/>
    </xf>
    <xf numFmtId="3" fontId="4" fillId="0" borderId="7" xfId="0" applyNumberFormat="1" applyFont="1" applyBorder="1" applyAlignment="1">
      <alignment horizontal="left" vertical="center" wrapText="1" readingOrder="1"/>
    </xf>
    <xf numFmtId="3" fontId="5" fillId="0" borderId="4" xfId="0" applyNumberFormat="1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46"/>
  <sheetViews>
    <sheetView tabSelected="1" topLeftCell="A13" workbookViewId="0">
      <selection activeCell="F44" sqref="F44"/>
    </sheetView>
  </sheetViews>
  <sheetFormatPr baseColWidth="10" defaultRowHeight="16" x14ac:dyDescent="0.2"/>
  <cols>
    <col min="1" max="1" width="8.5" style="6" customWidth="1"/>
    <col min="2" max="2" width="40.6640625" style="1" customWidth="1"/>
    <col min="3" max="3" width="15.1640625" style="1" customWidth="1"/>
    <col min="4" max="4" width="22" style="1" customWidth="1"/>
    <col min="5" max="5" width="20.33203125" style="1" customWidth="1"/>
    <col min="6" max="6" width="10.83203125" style="1"/>
    <col min="7" max="7" width="23.83203125" style="1" customWidth="1"/>
    <col min="8" max="8" width="25.5" style="1" customWidth="1"/>
    <col min="9" max="16384" width="10.83203125" style="1"/>
  </cols>
  <sheetData>
    <row r="2" spans="1:5" s="2" customFormat="1" x14ac:dyDescent="0.2">
      <c r="A2" s="4"/>
      <c r="B2" s="2" t="s">
        <v>86</v>
      </c>
    </row>
    <row r="4" spans="1:5" ht="17" thickBot="1" x14ac:dyDescent="0.25">
      <c r="A4" s="8" t="s">
        <v>0</v>
      </c>
      <c r="B4" s="9" t="s">
        <v>1</v>
      </c>
      <c r="C4" s="9"/>
      <c r="D4" s="29" t="s">
        <v>2</v>
      </c>
      <c r="E4" s="30"/>
    </row>
    <row r="5" spans="1:5" s="2" customFormat="1" x14ac:dyDescent="0.2">
      <c r="A5" s="17"/>
      <c r="B5" s="10" t="s">
        <v>24</v>
      </c>
      <c r="C5" s="10"/>
      <c r="D5" s="10"/>
      <c r="E5" s="10"/>
    </row>
    <row r="6" spans="1:5" x14ac:dyDescent="0.2">
      <c r="A6" s="5">
        <v>1</v>
      </c>
      <c r="B6" s="3" t="s">
        <v>14</v>
      </c>
      <c r="C6" s="3"/>
      <c r="D6" s="15">
        <f>'Stationery &amp; Supplies'!E24</f>
        <v>1990600</v>
      </c>
      <c r="E6" s="15"/>
    </row>
    <row r="7" spans="1:5" x14ac:dyDescent="0.2">
      <c r="A7" s="5">
        <v>2</v>
      </c>
      <c r="B7" s="3" t="s">
        <v>9</v>
      </c>
      <c r="C7" s="3"/>
      <c r="D7" s="15">
        <f>'Computers &amp; Equipment'!E16</f>
        <v>22360000</v>
      </c>
      <c r="E7" s="15"/>
    </row>
    <row r="8" spans="1:5" s="2" customFormat="1" x14ac:dyDescent="0.2">
      <c r="A8" s="11"/>
      <c r="B8" s="12" t="s">
        <v>26</v>
      </c>
      <c r="C8" s="12"/>
      <c r="D8" s="18">
        <f>SUM(D6:D7)</f>
        <v>24350600</v>
      </c>
      <c r="E8" s="18"/>
    </row>
    <row r="9" spans="1:5" x14ac:dyDescent="0.2">
      <c r="A9" s="5"/>
      <c r="B9" s="3"/>
      <c r="C9" s="3"/>
      <c r="D9" s="15"/>
      <c r="E9" s="15"/>
    </row>
    <row r="10" spans="1:5" s="2" customFormat="1" x14ac:dyDescent="0.2">
      <c r="A10" s="11"/>
      <c r="B10" s="12" t="s">
        <v>25</v>
      </c>
      <c r="C10" s="12"/>
      <c r="D10" s="10"/>
      <c r="E10" s="10"/>
    </row>
    <row r="11" spans="1:5" x14ac:dyDescent="0.2">
      <c r="A11" s="5">
        <v>3</v>
      </c>
      <c r="B11" s="3" t="s">
        <v>85</v>
      </c>
      <c r="C11" s="3"/>
      <c r="D11" s="15">
        <f>Utilities!E17</f>
        <v>7200000</v>
      </c>
      <c r="E11" s="15"/>
    </row>
    <row r="12" spans="1:5" x14ac:dyDescent="0.2">
      <c r="A12" s="5">
        <v>4</v>
      </c>
      <c r="B12" s="3" t="s">
        <v>5</v>
      </c>
      <c r="C12" s="3"/>
      <c r="D12" s="15">
        <f>'Internet &amp; Phone'!E17</f>
        <v>12595000</v>
      </c>
      <c r="E12" s="15"/>
    </row>
    <row r="13" spans="1:5" x14ac:dyDescent="0.2">
      <c r="A13" s="5">
        <v>5</v>
      </c>
      <c r="B13" s="3" t="s">
        <v>41</v>
      </c>
      <c r="C13" s="3"/>
      <c r="D13" s="15">
        <f>'PR &amp; Advertising'!E19</f>
        <v>8365000</v>
      </c>
      <c r="E13" s="15"/>
    </row>
    <row r="14" spans="1:5" x14ac:dyDescent="0.2">
      <c r="A14" s="5">
        <v>6</v>
      </c>
      <c r="B14" s="3" t="s">
        <v>7</v>
      </c>
      <c r="C14" s="3"/>
      <c r="D14" s="15">
        <f>'Travel &amp; Conferences'!E17</f>
        <v>14000000</v>
      </c>
      <c r="E14" s="15"/>
    </row>
    <row r="15" spans="1:5" x14ac:dyDescent="0.2">
      <c r="A15" s="5">
        <v>7</v>
      </c>
      <c r="B15" s="3" t="s">
        <v>45</v>
      </c>
      <c r="C15" s="3"/>
      <c r="D15" s="15">
        <f>'Talent Training'!E10</f>
        <v>5000000</v>
      </c>
      <c r="E15" s="15"/>
    </row>
    <row r="16" spans="1:5" x14ac:dyDescent="0.2">
      <c r="A16" s="5">
        <v>8</v>
      </c>
      <c r="B16" s="3" t="s">
        <v>4</v>
      </c>
      <c r="C16" s="3"/>
      <c r="D16" s="15">
        <f>'Cleaning &amp; Maintenance'!E17</f>
        <v>4800000</v>
      </c>
      <c r="E16" s="15"/>
    </row>
    <row r="17" spans="1:5" x14ac:dyDescent="0.2">
      <c r="A17" s="5">
        <v>9</v>
      </c>
      <c r="B17" s="3" t="s">
        <v>8</v>
      </c>
      <c r="C17" s="3"/>
      <c r="D17" s="15">
        <f>Security!E17</f>
        <v>1800000</v>
      </c>
      <c r="E17" s="15"/>
    </row>
    <row r="18" spans="1:5" x14ac:dyDescent="0.2">
      <c r="A18" s="5">
        <v>10</v>
      </c>
      <c r="B18" s="3" t="s">
        <v>69</v>
      </c>
      <c r="C18" s="3"/>
      <c r="D18" s="15">
        <f>Events!E17</f>
        <v>13200000</v>
      </c>
      <c r="E18" s="15"/>
    </row>
    <row r="19" spans="1:5" x14ac:dyDescent="0.2">
      <c r="A19" s="5">
        <v>11</v>
      </c>
      <c r="B19" s="1" t="s">
        <v>22</v>
      </c>
      <c r="C19" s="3"/>
      <c r="D19" s="15">
        <f>Salaries!E17</f>
        <v>12480000</v>
      </c>
      <c r="E19" s="15"/>
    </row>
    <row r="20" spans="1:5" x14ac:dyDescent="0.2">
      <c r="A20" s="11"/>
      <c r="B20" s="12" t="s">
        <v>26</v>
      </c>
      <c r="C20" s="12"/>
      <c r="D20" s="18">
        <f>SUM(D11:D19)</f>
        <v>79440000</v>
      </c>
      <c r="E20" s="18"/>
    </row>
    <row r="21" spans="1:5" x14ac:dyDescent="0.2">
      <c r="A21" s="11"/>
      <c r="B21" s="12"/>
      <c r="C21" s="12"/>
      <c r="D21" s="18"/>
      <c r="E21" s="18"/>
    </row>
    <row r="22" spans="1:5" ht="17" thickBot="1" x14ac:dyDescent="0.25">
      <c r="A22" s="21"/>
      <c r="B22" s="20" t="s">
        <v>73</v>
      </c>
      <c r="C22" s="20"/>
      <c r="D22" s="16">
        <f>D8+D20</f>
        <v>103790600</v>
      </c>
      <c r="E22" s="15"/>
    </row>
    <row r="23" spans="1:5" ht="17" thickTop="1" x14ac:dyDescent="0.2"/>
    <row r="25" spans="1:5" s="2" customFormat="1" x14ac:dyDescent="0.2">
      <c r="A25" s="4"/>
      <c r="B25" s="2" t="s">
        <v>113</v>
      </c>
    </row>
    <row r="27" spans="1:5" ht="17" x14ac:dyDescent="0.2">
      <c r="A27" s="37" t="s">
        <v>0</v>
      </c>
      <c r="B27" s="38" t="s">
        <v>98</v>
      </c>
      <c r="C27" s="38" t="s">
        <v>99</v>
      </c>
      <c r="D27" s="38" t="s">
        <v>100</v>
      </c>
      <c r="E27" s="38" t="s">
        <v>101</v>
      </c>
    </row>
    <row r="28" spans="1:5" ht="17" x14ac:dyDescent="0.2">
      <c r="A28" s="39">
        <v>1</v>
      </c>
      <c r="B28" s="40" t="s">
        <v>102</v>
      </c>
      <c r="C28" s="41">
        <v>1500000</v>
      </c>
      <c r="D28" s="40">
        <v>3</v>
      </c>
      <c r="E28" s="41">
        <v>4500000</v>
      </c>
    </row>
    <row r="29" spans="1:5" ht="17" x14ac:dyDescent="0.2">
      <c r="A29" s="39">
        <v>2</v>
      </c>
      <c r="B29" s="40" t="s">
        <v>103</v>
      </c>
      <c r="C29" s="41">
        <v>600000</v>
      </c>
      <c r="D29" s="40">
        <v>5</v>
      </c>
      <c r="E29" s="41">
        <v>3000000</v>
      </c>
    </row>
    <row r="30" spans="1:5" ht="17" x14ac:dyDescent="0.2">
      <c r="A30" s="39">
        <v>3</v>
      </c>
      <c r="B30" s="40" t="s">
        <v>104</v>
      </c>
      <c r="C30" s="41">
        <v>700000</v>
      </c>
      <c r="D30" s="40">
        <v>2</v>
      </c>
      <c r="E30" s="41">
        <v>1400000</v>
      </c>
    </row>
    <row r="31" spans="1:5" ht="17" x14ac:dyDescent="0.2">
      <c r="A31" s="39">
        <v>4</v>
      </c>
      <c r="B31" s="40" t="s">
        <v>105</v>
      </c>
      <c r="C31" s="41">
        <v>20000</v>
      </c>
      <c r="D31" s="40">
        <v>100</v>
      </c>
      <c r="E31" s="41">
        <v>2000000</v>
      </c>
    </row>
    <row r="32" spans="1:5" ht="17" x14ac:dyDescent="0.2">
      <c r="A32" s="42">
        <v>5</v>
      </c>
      <c r="B32" s="40" t="s">
        <v>106</v>
      </c>
      <c r="C32" s="43">
        <v>20000</v>
      </c>
      <c r="D32" s="44">
        <v>150</v>
      </c>
      <c r="E32" s="43">
        <v>3000000</v>
      </c>
    </row>
    <row r="33" spans="1:5" ht="17" x14ac:dyDescent="0.2">
      <c r="A33" s="42"/>
      <c r="B33" s="40" t="s">
        <v>107</v>
      </c>
      <c r="C33" s="43"/>
      <c r="D33" s="44"/>
      <c r="E33" s="43"/>
    </row>
    <row r="34" spans="1:5" ht="17" x14ac:dyDescent="0.2">
      <c r="A34" s="39">
        <v>6</v>
      </c>
      <c r="B34" s="40" t="s">
        <v>108</v>
      </c>
      <c r="C34" s="41">
        <v>6000000</v>
      </c>
      <c r="D34" s="40">
        <v>1</v>
      </c>
      <c r="E34" s="41">
        <v>6000000</v>
      </c>
    </row>
    <row r="35" spans="1:5" ht="17" x14ac:dyDescent="0.2">
      <c r="A35" s="39">
        <v>7</v>
      </c>
      <c r="B35" s="40" t="s">
        <v>109</v>
      </c>
      <c r="C35" s="41">
        <v>2000000</v>
      </c>
      <c r="D35" s="40">
        <v>1</v>
      </c>
      <c r="E35" s="41">
        <v>2000000</v>
      </c>
    </row>
    <row r="36" spans="1:5" ht="17" x14ac:dyDescent="0.2">
      <c r="A36" s="39">
        <v>8</v>
      </c>
      <c r="B36" s="40" t="s">
        <v>110</v>
      </c>
      <c r="C36" s="41">
        <v>1000000</v>
      </c>
      <c r="D36" s="40">
        <v>3</v>
      </c>
      <c r="E36" s="41">
        <v>3000000</v>
      </c>
    </row>
    <row r="37" spans="1:5" ht="17" x14ac:dyDescent="0.2">
      <c r="A37" s="39">
        <v>9</v>
      </c>
      <c r="B37" s="40" t="s">
        <v>111</v>
      </c>
      <c r="C37" s="41">
        <v>10800000</v>
      </c>
      <c r="D37" s="40">
        <v>1</v>
      </c>
      <c r="E37" s="41">
        <v>10800000</v>
      </c>
    </row>
    <row r="38" spans="1:5" ht="17" x14ac:dyDescent="0.2">
      <c r="A38" s="39">
        <v>10</v>
      </c>
      <c r="B38" s="40" t="s">
        <v>112</v>
      </c>
      <c r="C38" s="41">
        <v>8400000</v>
      </c>
      <c r="D38" s="40">
        <v>1</v>
      </c>
      <c r="E38" s="41">
        <v>8400000</v>
      </c>
    </row>
    <row r="39" spans="1:5" ht="17" x14ac:dyDescent="0.2">
      <c r="A39" s="39">
        <v>11</v>
      </c>
      <c r="B39" s="40" t="s">
        <v>114</v>
      </c>
      <c r="C39" s="41">
        <v>300000</v>
      </c>
      <c r="D39" s="40">
        <v>1</v>
      </c>
      <c r="E39" s="41">
        <v>300000</v>
      </c>
    </row>
    <row r="40" spans="1:5" ht="17" x14ac:dyDescent="0.2">
      <c r="A40" s="39">
        <v>12</v>
      </c>
      <c r="B40" s="40" t="s">
        <v>115</v>
      </c>
      <c r="C40" s="41">
        <v>1200000</v>
      </c>
      <c r="D40" s="40">
        <v>3</v>
      </c>
      <c r="E40" s="47">
        <v>300000</v>
      </c>
    </row>
    <row r="41" spans="1:5" ht="17" x14ac:dyDescent="0.2">
      <c r="A41" s="39">
        <v>13</v>
      </c>
      <c r="B41" s="40" t="s">
        <v>118</v>
      </c>
      <c r="C41" s="41">
        <v>50000000</v>
      </c>
      <c r="D41" s="40">
        <v>2</v>
      </c>
      <c r="E41" s="47">
        <v>100000000</v>
      </c>
    </row>
    <row r="42" spans="1:5" ht="18" thickBot="1" x14ac:dyDescent="0.25">
      <c r="A42" s="45"/>
      <c r="B42" s="38" t="s">
        <v>26</v>
      </c>
      <c r="C42" s="45"/>
      <c r="D42" s="45"/>
      <c r="E42" s="46">
        <f>SUM(E28:E41)</f>
        <v>144700000</v>
      </c>
    </row>
    <row r="43" spans="1:5" ht="17" thickTop="1" x14ac:dyDescent="0.2"/>
    <row r="45" spans="1:5" x14ac:dyDescent="0.2">
      <c r="B45" s="1" t="s">
        <v>117</v>
      </c>
    </row>
    <row r="46" spans="1:5" x14ac:dyDescent="0.2">
      <c r="B46" s="1" t="s">
        <v>119</v>
      </c>
    </row>
  </sheetData>
  <mergeCells count="5">
    <mergeCell ref="D4:E4"/>
    <mergeCell ref="A32:A33"/>
    <mergeCell ref="C32:C33"/>
    <mergeCell ref="D32:D33"/>
    <mergeCell ref="E32:E33"/>
  </mergeCells>
  <phoneticPr fontId="3" type="noConversion"/>
  <pageMargins left="0.7" right="0.7" top="0.75" bottom="0.75" header="0.3" footer="0.3"/>
  <pageSetup paperSize="9" scale="86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5"/>
  <sheetViews>
    <sheetView workbookViewId="0">
      <selection activeCell="E26" sqref="E26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15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29</v>
      </c>
      <c r="C5" s="3">
        <v>5000</v>
      </c>
      <c r="D5" s="15">
        <v>50</v>
      </c>
      <c r="E5" s="15">
        <f>C5*D5</f>
        <v>250000</v>
      </c>
    </row>
    <row r="6" spans="1:5" x14ac:dyDescent="0.2">
      <c r="A6" s="5">
        <v>2</v>
      </c>
      <c r="B6" s="3" t="s">
        <v>77</v>
      </c>
      <c r="C6" s="3">
        <v>5000</v>
      </c>
      <c r="D6" s="15">
        <v>50</v>
      </c>
      <c r="E6" s="15">
        <f>C6*D6</f>
        <v>250000</v>
      </c>
    </row>
    <row r="7" spans="1:5" x14ac:dyDescent="0.2">
      <c r="A7" s="5">
        <v>3</v>
      </c>
      <c r="B7" s="3" t="s">
        <v>52</v>
      </c>
      <c r="C7" s="3">
        <v>20</v>
      </c>
      <c r="D7" s="15">
        <v>2000</v>
      </c>
      <c r="E7" s="15">
        <f t="shared" ref="E7:E16" si="0">C7*D7</f>
        <v>40000</v>
      </c>
    </row>
    <row r="8" spans="1:5" x14ac:dyDescent="0.2">
      <c r="A8" s="5">
        <v>4</v>
      </c>
      <c r="B8" s="3" t="s">
        <v>61</v>
      </c>
      <c r="C8" s="3">
        <v>1000</v>
      </c>
      <c r="D8" s="15">
        <v>80.400000000000006</v>
      </c>
      <c r="E8" s="15">
        <f t="shared" si="0"/>
        <v>80400</v>
      </c>
    </row>
    <row r="9" spans="1:5" x14ac:dyDescent="0.2">
      <c r="A9" s="5">
        <v>5</v>
      </c>
      <c r="B9" s="3" t="s">
        <v>60</v>
      </c>
      <c r="C9" s="3">
        <v>1000</v>
      </c>
      <c r="D9" s="15">
        <v>40</v>
      </c>
      <c r="E9" s="15">
        <f t="shared" ref="E9" si="1">C9*D9</f>
        <v>40000</v>
      </c>
    </row>
    <row r="10" spans="1:5" x14ac:dyDescent="0.2">
      <c r="A10" s="5">
        <v>6</v>
      </c>
      <c r="B10" s="3" t="s">
        <v>59</v>
      </c>
      <c r="C10" s="3">
        <v>10</v>
      </c>
      <c r="D10" s="15">
        <v>3000</v>
      </c>
      <c r="E10" s="15">
        <f t="shared" si="0"/>
        <v>30000</v>
      </c>
    </row>
    <row r="11" spans="1:5" x14ac:dyDescent="0.2">
      <c r="A11" s="5">
        <v>7</v>
      </c>
      <c r="B11" s="3" t="s">
        <v>58</v>
      </c>
      <c r="C11" s="3">
        <v>500</v>
      </c>
      <c r="D11" s="15">
        <v>130</v>
      </c>
      <c r="E11" s="15">
        <f t="shared" si="0"/>
        <v>65000</v>
      </c>
    </row>
    <row r="12" spans="1:5" x14ac:dyDescent="0.2">
      <c r="A12" s="5">
        <v>8</v>
      </c>
      <c r="B12" s="3" t="s">
        <v>33</v>
      </c>
      <c r="C12" s="3">
        <v>4</v>
      </c>
      <c r="D12" s="15">
        <v>1800</v>
      </c>
      <c r="E12" s="15">
        <f t="shared" si="0"/>
        <v>7200</v>
      </c>
    </row>
    <row r="13" spans="1:5" x14ac:dyDescent="0.2">
      <c r="A13" s="5">
        <v>9</v>
      </c>
      <c r="B13" s="3" t="s">
        <v>32</v>
      </c>
      <c r="C13" s="3">
        <v>5</v>
      </c>
      <c r="D13" s="15">
        <v>2500</v>
      </c>
      <c r="E13" s="15">
        <f t="shared" si="0"/>
        <v>12500</v>
      </c>
    </row>
    <row r="14" spans="1:5" x14ac:dyDescent="0.2">
      <c r="A14" s="5">
        <v>10</v>
      </c>
      <c r="B14" s="1" t="s">
        <v>31</v>
      </c>
      <c r="C14" s="3">
        <v>5</v>
      </c>
      <c r="D14" s="15">
        <v>1500</v>
      </c>
      <c r="E14" s="15">
        <f t="shared" si="0"/>
        <v>7500</v>
      </c>
    </row>
    <row r="15" spans="1:5" x14ac:dyDescent="0.2">
      <c r="A15" s="5">
        <v>11</v>
      </c>
      <c r="B15" s="3" t="s">
        <v>67</v>
      </c>
      <c r="C15" s="3">
        <v>10000</v>
      </c>
      <c r="D15" s="15">
        <v>3</v>
      </c>
      <c r="E15" s="15">
        <f t="shared" si="0"/>
        <v>30000</v>
      </c>
    </row>
    <row r="16" spans="1:5" x14ac:dyDescent="0.2">
      <c r="A16" s="5">
        <v>12</v>
      </c>
      <c r="B16" s="3" t="s">
        <v>30</v>
      </c>
      <c r="C16" s="3">
        <v>2</v>
      </c>
      <c r="D16" s="15">
        <v>15000</v>
      </c>
      <c r="E16" s="15">
        <f t="shared" si="0"/>
        <v>30000</v>
      </c>
    </row>
    <row r="17" spans="1:5" x14ac:dyDescent="0.2">
      <c r="A17" s="5">
        <v>13</v>
      </c>
      <c r="B17" s="3" t="s">
        <v>28</v>
      </c>
      <c r="C17" s="3">
        <v>500</v>
      </c>
      <c r="D17" s="15">
        <v>300</v>
      </c>
      <c r="E17" s="15">
        <f>C17*D17</f>
        <v>150000</v>
      </c>
    </row>
    <row r="18" spans="1:5" x14ac:dyDescent="0.2">
      <c r="A18" s="5">
        <v>14</v>
      </c>
      <c r="B18" s="1" t="s">
        <v>88</v>
      </c>
      <c r="C18" s="7">
        <v>5000</v>
      </c>
      <c r="D18" s="19">
        <v>60</v>
      </c>
      <c r="E18" s="15">
        <f>C18*D18</f>
        <v>300000</v>
      </c>
    </row>
    <row r="19" spans="1:5" x14ac:dyDescent="0.2">
      <c r="A19" s="5">
        <v>15</v>
      </c>
      <c r="B19" s="3" t="s">
        <v>64</v>
      </c>
      <c r="C19" s="3">
        <v>2</v>
      </c>
      <c r="D19" s="15">
        <v>20000</v>
      </c>
      <c r="E19" s="19">
        <f>C19*D19</f>
        <v>40000</v>
      </c>
    </row>
    <row r="20" spans="1:5" x14ac:dyDescent="0.2">
      <c r="A20" s="5">
        <v>16</v>
      </c>
      <c r="B20" s="3" t="s">
        <v>68</v>
      </c>
      <c r="C20" s="7">
        <v>4</v>
      </c>
      <c r="D20" s="19">
        <v>2500</v>
      </c>
      <c r="E20" s="19">
        <f>C20*D20</f>
        <v>10000</v>
      </c>
    </row>
    <row r="21" spans="1:5" x14ac:dyDescent="0.2">
      <c r="A21" s="5">
        <v>17</v>
      </c>
      <c r="B21" s="1" t="s">
        <v>74</v>
      </c>
      <c r="C21" s="3">
        <v>12</v>
      </c>
      <c r="D21" s="3">
        <v>50000</v>
      </c>
      <c r="E21" s="19">
        <f t="shared" ref="E21:E23" si="2">C21*D21</f>
        <v>600000</v>
      </c>
    </row>
    <row r="22" spans="1:5" x14ac:dyDescent="0.2">
      <c r="A22" s="5">
        <v>18</v>
      </c>
      <c r="B22" s="3" t="s">
        <v>75</v>
      </c>
      <c r="C22" s="3">
        <v>120</v>
      </c>
      <c r="D22" s="15">
        <v>400</v>
      </c>
      <c r="E22" s="19">
        <f t="shared" si="2"/>
        <v>48000</v>
      </c>
    </row>
    <row r="23" spans="1:5" x14ac:dyDescent="0.2">
      <c r="A23" s="5"/>
      <c r="B23" s="3"/>
      <c r="C23" s="3"/>
      <c r="D23" s="15"/>
      <c r="E23" s="19">
        <f t="shared" si="2"/>
        <v>0</v>
      </c>
    </row>
    <row r="24" spans="1:5" ht="17" thickBot="1" x14ac:dyDescent="0.25">
      <c r="A24" s="5"/>
      <c r="B24" s="12" t="s">
        <v>6</v>
      </c>
      <c r="C24" s="12"/>
      <c r="D24" s="18"/>
      <c r="E24" s="16">
        <f>SUM(E5:E22)</f>
        <v>1990600</v>
      </c>
    </row>
    <row r="25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17"/>
  <sheetViews>
    <sheetView workbookViewId="0">
      <selection activeCell="A12" sqref="A12:XFD12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16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94</v>
      </c>
      <c r="C5" s="15">
        <v>4</v>
      </c>
      <c r="D5" s="15">
        <v>1200000</v>
      </c>
      <c r="E5" s="15">
        <f>C5*D5</f>
        <v>4800000</v>
      </c>
    </row>
    <row r="6" spans="1:5" x14ac:dyDescent="0.2">
      <c r="A6" s="5">
        <v>2</v>
      </c>
      <c r="B6" s="3" t="s">
        <v>96</v>
      </c>
      <c r="C6" s="3">
        <v>5</v>
      </c>
      <c r="D6" s="15">
        <v>300000</v>
      </c>
      <c r="E6" s="15">
        <f t="shared" ref="E6:E15" si="0">C6*D6</f>
        <v>1500000</v>
      </c>
    </row>
    <row r="7" spans="1:5" x14ac:dyDescent="0.2">
      <c r="A7" s="5">
        <v>3</v>
      </c>
      <c r="B7" s="3" t="s">
        <v>95</v>
      </c>
      <c r="C7" s="3">
        <v>10</v>
      </c>
      <c r="D7" s="15">
        <v>300000</v>
      </c>
      <c r="E7" s="15">
        <f t="shared" si="0"/>
        <v>3000000</v>
      </c>
    </row>
    <row r="8" spans="1:5" x14ac:dyDescent="0.2">
      <c r="A8" s="5">
        <v>4</v>
      </c>
      <c r="B8" s="3" t="s">
        <v>65</v>
      </c>
      <c r="C8" s="3">
        <v>4</v>
      </c>
      <c r="D8" s="15">
        <v>200000</v>
      </c>
      <c r="E8" s="15">
        <f t="shared" si="0"/>
        <v>800000</v>
      </c>
    </row>
    <row r="9" spans="1:5" x14ac:dyDescent="0.2">
      <c r="A9" s="5">
        <v>5</v>
      </c>
      <c r="B9" s="3" t="s">
        <v>62</v>
      </c>
      <c r="C9" s="3">
        <v>12</v>
      </c>
      <c r="D9" s="15">
        <v>100000</v>
      </c>
      <c r="E9" s="15">
        <f t="shared" si="0"/>
        <v>1200000</v>
      </c>
    </row>
    <row r="10" spans="1:5" x14ac:dyDescent="0.2">
      <c r="A10" s="5">
        <v>6</v>
      </c>
      <c r="B10" s="3" t="s">
        <v>63</v>
      </c>
      <c r="C10" s="3">
        <v>3</v>
      </c>
      <c r="D10" s="15">
        <v>20000</v>
      </c>
      <c r="E10" s="15">
        <f t="shared" si="0"/>
        <v>60000</v>
      </c>
    </row>
    <row r="11" spans="1:5" x14ac:dyDescent="0.2">
      <c r="A11" s="5">
        <v>7</v>
      </c>
      <c r="B11" s="3" t="s">
        <v>78</v>
      </c>
      <c r="C11" s="3">
        <v>5</v>
      </c>
      <c r="D11" s="15">
        <v>200000</v>
      </c>
      <c r="E11" s="15">
        <f t="shared" si="0"/>
        <v>1000000</v>
      </c>
    </row>
    <row r="12" spans="1:5" s="34" customFormat="1" x14ac:dyDescent="0.2">
      <c r="A12" s="31">
        <v>8</v>
      </c>
      <c r="B12" s="32" t="s">
        <v>89</v>
      </c>
      <c r="C12" s="32">
        <v>1</v>
      </c>
      <c r="D12" s="33">
        <v>10000000</v>
      </c>
      <c r="E12" s="33">
        <f t="shared" si="0"/>
        <v>10000000</v>
      </c>
    </row>
    <row r="13" spans="1:5" x14ac:dyDescent="0.2">
      <c r="A13" s="5"/>
      <c r="B13" s="3"/>
      <c r="C13" s="3"/>
      <c r="D13" s="15"/>
      <c r="E13" s="15">
        <f t="shared" si="0"/>
        <v>0</v>
      </c>
    </row>
    <row r="14" spans="1:5" x14ac:dyDescent="0.2">
      <c r="A14" s="5"/>
      <c r="B14" s="3"/>
      <c r="C14" s="3"/>
      <c r="D14" s="15"/>
      <c r="E14" s="15">
        <f t="shared" si="0"/>
        <v>0</v>
      </c>
    </row>
    <row r="15" spans="1:5" x14ac:dyDescent="0.2">
      <c r="A15" s="5"/>
      <c r="C15" s="3"/>
      <c r="D15" s="15"/>
      <c r="E15" s="15">
        <f t="shared" si="0"/>
        <v>0</v>
      </c>
    </row>
    <row r="16" spans="1:5" ht="17" thickBot="1" x14ac:dyDescent="0.25">
      <c r="A16" s="11"/>
      <c r="B16" s="12" t="s">
        <v>6</v>
      </c>
      <c r="C16" s="12"/>
      <c r="D16" s="18"/>
      <c r="E16" s="16">
        <f>SUM(E5:E15)</f>
        <v>22360000</v>
      </c>
    </row>
    <row r="17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8"/>
  <sheetViews>
    <sheetView workbookViewId="0">
      <selection activeCell="D6" sqref="D6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84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34</v>
      </c>
      <c r="C5" s="3">
        <v>12</v>
      </c>
      <c r="D5" s="15">
        <v>300000</v>
      </c>
      <c r="E5" s="15">
        <f>C5*D5</f>
        <v>3600000</v>
      </c>
    </row>
    <row r="6" spans="1:5" x14ac:dyDescent="0.2">
      <c r="A6" s="5">
        <v>2</v>
      </c>
      <c r="B6" s="3" t="s">
        <v>83</v>
      </c>
      <c r="C6" s="3">
        <v>12</v>
      </c>
      <c r="D6" s="15">
        <v>300000</v>
      </c>
      <c r="E6" s="15">
        <f>C6*D6</f>
        <v>3600000</v>
      </c>
    </row>
    <row r="7" spans="1:5" x14ac:dyDescent="0.2">
      <c r="A7" s="5"/>
      <c r="B7" s="3"/>
      <c r="C7" s="3"/>
      <c r="D7" s="15"/>
      <c r="E7" s="15"/>
    </row>
    <row r="8" spans="1:5" x14ac:dyDescent="0.2">
      <c r="A8" s="5"/>
      <c r="B8" s="3"/>
      <c r="C8" s="3"/>
      <c r="D8" s="15"/>
      <c r="E8" s="15"/>
    </row>
    <row r="9" spans="1:5" x14ac:dyDescent="0.2">
      <c r="A9" s="5"/>
      <c r="B9" s="3"/>
      <c r="C9" s="3"/>
      <c r="D9" s="15"/>
      <c r="E9" s="15"/>
    </row>
    <row r="10" spans="1:5" x14ac:dyDescent="0.2">
      <c r="A10" s="5"/>
      <c r="B10" s="3"/>
      <c r="C10" s="3"/>
      <c r="D10" s="15"/>
      <c r="E10" s="15"/>
    </row>
    <row r="11" spans="1:5" x14ac:dyDescent="0.2">
      <c r="A11" s="5"/>
      <c r="B11" s="3"/>
      <c r="C11" s="3"/>
      <c r="D11" s="15"/>
      <c r="E11" s="15"/>
    </row>
    <row r="12" spans="1:5" x14ac:dyDescent="0.2">
      <c r="A12" s="5"/>
      <c r="B12" s="3"/>
      <c r="C12" s="3"/>
      <c r="D12" s="15"/>
      <c r="E12" s="15"/>
    </row>
    <row r="13" spans="1:5" x14ac:dyDescent="0.2">
      <c r="A13" s="5"/>
      <c r="B13" s="3"/>
      <c r="C13" s="3"/>
      <c r="D13" s="15"/>
      <c r="E13" s="15"/>
    </row>
    <row r="14" spans="1:5" x14ac:dyDescent="0.2">
      <c r="A14" s="5"/>
      <c r="B14" s="3"/>
      <c r="C14" s="3"/>
      <c r="D14" s="15"/>
      <c r="E14" s="15"/>
    </row>
    <row r="15" spans="1:5" x14ac:dyDescent="0.2">
      <c r="A15" s="5"/>
      <c r="B15" s="3"/>
      <c r="C15" s="3"/>
      <c r="D15" s="15"/>
      <c r="E15" s="15"/>
    </row>
    <row r="16" spans="1:5" x14ac:dyDescent="0.2">
      <c r="A16" s="5"/>
      <c r="C16" s="3"/>
      <c r="D16" s="15"/>
      <c r="E16" s="15"/>
    </row>
    <row r="17" spans="1:5" ht="17" thickBot="1" x14ac:dyDescent="0.25">
      <c r="A17" s="11"/>
      <c r="B17" s="12" t="s">
        <v>6</v>
      </c>
      <c r="C17" s="12"/>
      <c r="D17" s="18"/>
      <c r="E17" s="16">
        <f>SUM(E5:E16)</f>
        <v>7200000</v>
      </c>
    </row>
    <row r="18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18"/>
  <sheetViews>
    <sheetView workbookViewId="0">
      <selection activeCell="D9" sqref="D9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17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35</v>
      </c>
      <c r="C5" s="3">
        <v>12</v>
      </c>
      <c r="D5" s="15">
        <v>1000000</v>
      </c>
      <c r="E5" s="15">
        <f>C5*D5</f>
        <v>12000000</v>
      </c>
    </row>
    <row r="6" spans="1:5" x14ac:dyDescent="0.2">
      <c r="A6" s="5">
        <v>2</v>
      </c>
      <c r="B6" s="3" t="s">
        <v>36</v>
      </c>
      <c r="C6" s="3">
        <v>5</v>
      </c>
      <c r="D6" s="15">
        <v>15000</v>
      </c>
      <c r="E6" s="15">
        <f>C6*D6</f>
        <v>75000</v>
      </c>
    </row>
    <row r="7" spans="1:5" x14ac:dyDescent="0.2">
      <c r="A7" s="5">
        <v>3</v>
      </c>
      <c r="B7" s="3" t="s">
        <v>37</v>
      </c>
      <c r="C7" s="3">
        <v>10</v>
      </c>
      <c r="D7" s="15">
        <v>10000</v>
      </c>
      <c r="E7" s="15">
        <f>C7*D7</f>
        <v>100000</v>
      </c>
    </row>
    <row r="8" spans="1:5" x14ac:dyDescent="0.2">
      <c r="A8" s="5">
        <v>4</v>
      </c>
      <c r="B8" s="3" t="s">
        <v>38</v>
      </c>
      <c r="C8" s="3">
        <v>1</v>
      </c>
      <c r="D8" s="15">
        <v>300000</v>
      </c>
      <c r="E8" s="15">
        <f>C8*D8</f>
        <v>300000</v>
      </c>
    </row>
    <row r="9" spans="1:5" x14ac:dyDescent="0.2">
      <c r="A9" s="5">
        <v>5</v>
      </c>
      <c r="B9" s="3" t="s">
        <v>39</v>
      </c>
      <c r="C9" s="3">
        <v>12</v>
      </c>
      <c r="D9" s="15">
        <v>10000</v>
      </c>
      <c r="E9" s="15">
        <f>C9*D9</f>
        <v>120000</v>
      </c>
    </row>
    <row r="10" spans="1:5" x14ac:dyDescent="0.2">
      <c r="A10" s="5"/>
      <c r="B10" s="3"/>
      <c r="C10" s="3"/>
      <c r="D10" s="3"/>
      <c r="E10" s="15"/>
    </row>
    <row r="11" spans="1:5" x14ac:dyDescent="0.2">
      <c r="A11" s="5"/>
      <c r="B11" s="3"/>
      <c r="C11" s="3"/>
      <c r="D11" s="3"/>
      <c r="E11" s="15"/>
    </row>
    <row r="12" spans="1:5" x14ac:dyDescent="0.2">
      <c r="A12" s="5"/>
      <c r="B12" s="3"/>
      <c r="C12" s="3"/>
      <c r="D12" s="15"/>
      <c r="E12" s="15">
        <f>C12*D12</f>
        <v>0</v>
      </c>
    </row>
    <row r="13" spans="1:5" x14ac:dyDescent="0.2">
      <c r="A13" s="5"/>
      <c r="B13" s="3"/>
      <c r="C13" s="3"/>
      <c r="D13" s="15"/>
      <c r="E13" s="15">
        <f>C13*D13</f>
        <v>0</v>
      </c>
    </row>
    <row r="14" spans="1:5" x14ac:dyDescent="0.2">
      <c r="A14" s="5"/>
      <c r="B14" s="3"/>
      <c r="C14" s="3"/>
      <c r="D14" s="15"/>
      <c r="E14" s="15">
        <f>C14*D14</f>
        <v>0</v>
      </c>
    </row>
    <row r="15" spans="1:5" x14ac:dyDescent="0.2">
      <c r="A15" s="5"/>
      <c r="B15" s="3"/>
      <c r="C15" s="3"/>
      <c r="D15" s="15"/>
      <c r="E15" s="15">
        <f>C15*D15</f>
        <v>0</v>
      </c>
    </row>
    <row r="16" spans="1:5" x14ac:dyDescent="0.2">
      <c r="A16" s="5"/>
      <c r="C16" s="3"/>
      <c r="D16" s="15"/>
      <c r="E16" s="15">
        <f>C16*D16</f>
        <v>0</v>
      </c>
    </row>
    <row r="17" spans="1:5" ht="17" thickBot="1" x14ac:dyDescent="0.25">
      <c r="A17" s="11"/>
      <c r="B17" s="12" t="s">
        <v>6</v>
      </c>
      <c r="C17" s="12"/>
      <c r="D17" s="18"/>
      <c r="E17" s="16">
        <f>SUM(E5:E16)</f>
        <v>12595000</v>
      </c>
    </row>
    <row r="18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20"/>
  <sheetViews>
    <sheetView workbookViewId="0">
      <selection activeCell="D16" sqref="D16"/>
    </sheetView>
  </sheetViews>
  <sheetFormatPr baseColWidth="10" defaultRowHeight="16" x14ac:dyDescent="0.2"/>
  <cols>
    <col min="1" max="1" width="8.5" style="6" customWidth="1"/>
    <col min="2" max="2" width="29.5" style="25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2" t="s">
        <v>40</v>
      </c>
    </row>
    <row r="4" spans="1:5" ht="17" thickBot="1" x14ac:dyDescent="0.25">
      <c r="A4" s="8" t="s">
        <v>0</v>
      </c>
      <c r="B4" s="23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27">
        <v>1</v>
      </c>
      <c r="B5" s="24" t="s">
        <v>53</v>
      </c>
      <c r="C5" s="3">
        <v>10</v>
      </c>
      <c r="D5" s="15">
        <v>2000</v>
      </c>
      <c r="E5" s="15">
        <f>C5*D5</f>
        <v>20000</v>
      </c>
    </row>
    <row r="6" spans="1:5" ht="17" x14ac:dyDescent="0.2">
      <c r="A6" s="27">
        <v>2</v>
      </c>
      <c r="B6" s="24" t="s">
        <v>90</v>
      </c>
      <c r="C6" s="3">
        <v>10</v>
      </c>
      <c r="D6" s="15">
        <v>30000</v>
      </c>
      <c r="E6" s="15">
        <f t="shared" ref="E6:E18" si="0">C6*D6</f>
        <v>300000</v>
      </c>
    </row>
    <row r="7" spans="1:5" x14ac:dyDescent="0.2">
      <c r="A7" s="27">
        <v>3</v>
      </c>
      <c r="B7" s="24" t="s">
        <v>54</v>
      </c>
      <c r="C7" s="3">
        <v>500</v>
      </c>
      <c r="D7" s="15">
        <v>300</v>
      </c>
      <c r="E7" s="15">
        <f t="shared" si="0"/>
        <v>150000</v>
      </c>
    </row>
    <row r="8" spans="1:5" ht="17" x14ac:dyDescent="0.2">
      <c r="A8" s="27">
        <v>4</v>
      </c>
      <c r="B8" s="24" t="s">
        <v>91</v>
      </c>
      <c r="C8" s="3">
        <v>25</v>
      </c>
      <c r="D8" s="15">
        <v>15000</v>
      </c>
      <c r="E8" s="15">
        <f t="shared" si="0"/>
        <v>375000</v>
      </c>
    </row>
    <row r="9" spans="1:5" x14ac:dyDescent="0.2">
      <c r="A9" s="27">
        <v>5</v>
      </c>
      <c r="B9" s="24" t="s">
        <v>55</v>
      </c>
      <c r="C9" s="3">
        <v>1000</v>
      </c>
      <c r="D9" s="15">
        <v>40</v>
      </c>
      <c r="E9" s="15">
        <f t="shared" si="0"/>
        <v>40000</v>
      </c>
    </row>
    <row r="10" spans="1:5" x14ac:dyDescent="0.2">
      <c r="A10" s="27">
        <v>6</v>
      </c>
      <c r="B10" s="24" t="s">
        <v>27</v>
      </c>
      <c r="C10" s="3">
        <v>300</v>
      </c>
      <c r="D10" s="15">
        <v>3500</v>
      </c>
      <c r="E10" s="15">
        <f t="shared" si="0"/>
        <v>1050000</v>
      </c>
    </row>
    <row r="11" spans="1:5" x14ac:dyDescent="0.2">
      <c r="A11" s="27">
        <v>7</v>
      </c>
      <c r="B11" s="24" t="s">
        <v>71</v>
      </c>
      <c r="C11" s="3">
        <v>12</v>
      </c>
      <c r="D11" s="15">
        <v>100000</v>
      </c>
      <c r="E11" s="15">
        <f t="shared" si="0"/>
        <v>1200000</v>
      </c>
    </row>
    <row r="12" spans="1:5" x14ac:dyDescent="0.2">
      <c r="A12" s="27">
        <v>8</v>
      </c>
      <c r="B12" s="24" t="s">
        <v>56</v>
      </c>
      <c r="C12" s="3">
        <v>5</v>
      </c>
      <c r="D12" s="15">
        <v>30000</v>
      </c>
      <c r="E12" s="15">
        <f t="shared" si="0"/>
        <v>150000</v>
      </c>
    </row>
    <row r="13" spans="1:5" x14ac:dyDescent="0.2">
      <c r="A13" s="27">
        <v>9</v>
      </c>
      <c r="B13" s="24" t="s">
        <v>57</v>
      </c>
      <c r="C13" s="3">
        <v>52</v>
      </c>
      <c r="D13" s="15">
        <v>15000</v>
      </c>
      <c r="E13" s="15">
        <f t="shared" si="0"/>
        <v>780000</v>
      </c>
    </row>
    <row r="14" spans="1:5" s="34" customFormat="1" ht="34" x14ac:dyDescent="0.2">
      <c r="A14" s="35">
        <v>10</v>
      </c>
      <c r="B14" s="36" t="s">
        <v>81</v>
      </c>
      <c r="C14" s="32">
        <v>6</v>
      </c>
      <c r="D14" s="33">
        <v>300000</v>
      </c>
      <c r="E14" s="33">
        <f t="shared" si="0"/>
        <v>1800000</v>
      </c>
    </row>
    <row r="15" spans="1:5" x14ac:dyDescent="0.2">
      <c r="A15" s="27">
        <v>11</v>
      </c>
      <c r="B15" s="24" t="s">
        <v>66</v>
      </c>
      <c r="C15" s="3">
        <v>5</v>
      </c>
      <c r="D15" s="15">
        <v>100000</v>
      </c>
      <c r="E15" s="15">
        <f t="shared" si="0"/>
        <v>500000</v>
      </c>
    </row>
    <row r="16" spans="1:5" x14ac:dyDescent="0.2">
      <c r="A16" s="27">
        <v>12</v>
      </c>
      <c r="B16" s="24" t="s">
        <v>80</v>
      </c>
      <c r="C16" s="3">
        <v>10</v>
      </c>
      <c r="D16" s="15">
        <v>200000</v>
      </c>
      <c r="E16" s="15">
        <f>C16*D16</f>
        <v>2000000</v>
      </c>
    </row>
    <row r="17" spans="1:5" x14ac:dyDescent="0.2">
      <c r="A17" s="27"/>
      <c r="B17" s="24"/>
      <c r="C17" s="3"/>
      <c r="D17" s="15"/>
      <c r="E17" s="15"/>
    </row>
    <row r="18" spans="1:5" x14ac:dyDescent="0.2">
      <c r="A18" s="27"/>
      <c r="B18" s="24"/>
      <c r="C18" s="3"/>
      <c r="D18" s="15"/>
      <c r="E18" s="15">
        <f t="shared" si="0"/>
        <v>0</v>
      </c>
    </row>
    <row r="19" spans="1:5" ht="17" thickBot="1" x14ac:dyDescent="0.25">
      <c r="A19" s="28"/>
      <c r="B19" s="26" t="s">
        <v>6</v>
      </c>
      <c r="C19" s="12"/>
      <c r="D19" s="18"/>
      <c r="E19" s="16">
        <f>SUM(E5:E18)</f>
        <v>8365000</v>
      </c>
    </row>
    <row r="20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E18"/>
  <sheetViews>
    <sheetView workbookViewId="0">
      <selection activeCell="A5" sqref="A5:XFD5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21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s="34" customFormat="1" x14ac:dyDescent="0.2">
      <c r="A5" s="31">
        <v>1</v>
      </c>
      <c r="B5" s="32" t="s">
        <v>76</v>
      </c>
      <c r="C5" s="32">
        <v>2</v>
      </c>
      <c r="D5" s="33">
        <v>2000000</v>
      </c>
      <c r="E5" s="33">
        <f>C5*D5</f>
        <v>4000000</v>
      </c>
    </row>
    <row r="6" spans="1:5" x14ac:dyDescent="0.2">
      <c r="A6" s="5">
        <v>2</v>
      </c>
      <c r="B6" s="3" t="s">
        <v>70</v>
      </c>
      <c r="C6" s="3">
        <v>12</v>
      </c>
      <c r="D6" s="15">
        <v>500000</v>
      </c>
      <c r="E6" s="15">
        <f>C6*D6</f>
        <v>6000000</v>
      </c>
    </row>
    <row r="7" spans="1:5" x14ac:dyDescent="0.2">
      <c r="A7" s="5">
        <v>3</v>
      </c>
      <c r="B7" s="3" t="s">
        <v>79</v>
      </c>
      <c r="C7" s="3">
        <v>10</v>
      </c>
      <c r="D7" s="15">
        <v>400000</v>
      </c>
      <c r="E7" s="15">
        <f>C7*D7</f>
        <v>4000000</v>
      </c>
    </row>
    <row r="8" spans="1:5" x14ac:dyDescent="0.2">
      <c r="A8" s="5"/>
      <c r="B8" s="3"/>
      <c r="C8" s="3"/>
      <c r="D8" s="3"/>
      <c r="E8" s="3"/>
    </row>
    <row r="9" spans="1:5" x14ac:dyDescent="0.2">
      <c r="A9" s="5"/>
      <c r="B9" s="3"/>
      <c r="C9" s="3"/>
      <c r="D9" s="15"/>
      <c r="E9" s="15">
        <f t="shared" ref="E9:E16" si="0">C9*D9</f>
        <v>0</v>
      </c>
    </row>
    <row r="10" spans="1:5" x14ac:dyDescent="0.2">
      <c r="A10" s="5"/>
      <c r="B10" s="3"/>
      <c r="C10" s="3"/>
      <c r="D10" s="15"/>
      <c r="E10" s="15">
        <f t="shared" si="0"/>
        <v>0</v>
      </c>
    </row>
    <row r="11" spans="1:5" x14ac:dyDescent="0.2">
      <c r="A11" s="5"/>
      <c r="B11" s="3"/>
      <c r="C11" s="3"/>
      <c r="D11" s="15"/>
      <c r="E11" s="15">
        <f t="shared" si="0"/>
        <v>0</v>
      </c>
    </row>
    <row r="12" spans="1:5" x14ac:dyDescent="0.2">
      <c r="A12" s="5"/>
      <c r="B12" s="3"/>
      <c r="C12" s="3"/>
      <c r="D12" s="15"/>
      <c r="E12" s="15">
        <f t="shared" si="0"/>
        <v>0</v>
      </c>
    </row>
    <row r="13" spans="1:5" x14ac:dyDescent="0.2">
      <c r="A13" s="5"/>
      <c r="B13" s="3"/>
      <c r="C13" s="3"/>
      <c r="D13" s="15"/>
      <c r="E13" s="15">
        <f t="shared" si="0"/>
        <v>0</v>
      </c>
    </row>
    <row r="14" spans="1:5" x14ac:dyDescent="0.2">
      <c r="A14" s="5"/>
      <c r="B14" s="3"/>
      <c r="C14" s="3"/>
      <c r="D14" s="15"/>
      <c r="E14" s="15">
        <f t="shared" si="0"/>
        <v>0</v>
      </c>
    </row>
    <row r="15" spans="1:5" x14ac:dyDescent="0.2">
      <c r="A15" s="5"/>
      <c r="B15" s="3"/>
      <c r="C15" s="3"/>
      <c r="D15" s="15"/>
      <c r="E15" s="15">
        <f t="shared" si="0"/>
        <v>0</v>
      </c>
    </row>
    <row r="16" spans="1:5" x14ac:dyDescent="0.2">
      <c r="A16" s="5"/>
      <c r="C16" s="3"/>
      <c r="D16" s="15"/>
      <c r="E16" s="15">
        <f t="shared" si="0"/>
        <v>0</v>
      </c>
    </row>
    <row r="17" spans="1:5" ht="17" thickBot="1" x14ac:dyDescent="0.25">
      <c r="A17" s="11"/>
      <c r="B17" s="12" t="s">
        <v>6</v>
      </c>
      <c r="C17" s="12"/>
      <c r="D17" s="18"/>
      <c r="E17" s="16">
        <f>SUM(E5:E16)</f>
        <v>14000000</v>
      </c>
    </row>
    <row r="18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E11"/>
  <sheetViews>
    <sheetView workbookViewId="0">
      <selection activeCell="I24" sqref="I24"/>
    </sheetView>
  </sheetViews>
  <sheetFormatPr baseColWidth="10" defaultRowHeight="16" x14ac:dyDescent="0.2"/>
  <cols>
    <col min="1" max="1" width="7.5" style="6" customWidth="1"/>
    <col min="2" max="2" width="40.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44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87</v>
      </c>
      <c r="C5" s="3">
        <v>1</v>
      </c>
      <c r="D5" s="15">
        <v>3000000</v>
      </c>
      <c r="E5" s="15">
        <f>C5*D5</f>
        <v>3000000</v>
      </c>
    </row>
    <row r="6" spans="1:5" s="34" customFormat="1" x14ac:dyDescent="0.2">
      <c r="A6" s="31">
        <v>2</v>
      </c>
      <c r="B6" s="32" t="s">
        <v>97</v>
      </c>
      <c r="C6" s="32">
        <v>1</v>
      </c>
      <c r="D6" s="33">
        <v>2000000</v>
      </c>
      <c r="E6" s="33">
        <f t="shared" ref="E6:E9" si="0">C6*D6</f>
        <v>2000000</v>
      </c>
    </row>
    <row r="7" spans="1:5" x14ac:dyDescent="0.2">
      <c r="A7" s="5"/>
      <c r="B7" s="3"/>
      <c r="C7" s="3"/>
      <c r="D7" s="15"/>
      <c r="E7" s="15">
        <f t="shared" si="0"/>
        <v>0</v>
      </c>
    </row>
    <row r="8" spans="1:5" x14ac:dyDescent="0.2">
      <c r="A8" s="5"/>
      <c r="B8" s="3"/>
      <c r="C8" s="3"/>
      <c r="D8" s="15"/>
      <c r="E8" s="15">
        <f t="shared" si="0"/>
        <v>0</v>
      </c>
    </row>
    <row r="9" spans="1:5" x14ac:dyDescent="0.2">
      <c r="A9" s="5"/>
      <c r="C9" s="3"/>
      <c r="D9" s="15"/>
      <c r="E9" s="15">
        <f t="shared" si="0"/>
        <v>0</v>
      </c>
    </row>
    <row r="10" spans="1:5" ht="17" thickBot="1" x14ac:dyDescent="0.25">
      <c r="A10" s="11"/>
      <c r="B10" s="12" t="s">
        <v>6</v>
      </c>
      <c r="C10" s="12"/>
      <c r="D10" s="18"/>
      <c r="E10" s="16">
        <f>SUM(E5:E9)</f>
        <v>5000000</v>
      </c>
    </row>
    <row r="11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E18"/>
  <sheetViews>
    <sheetView workbookViewId="0">
      <selection activeCell="F19" sqref="F19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20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42</v>
      </c>
      <c r="C5" s="3">
        <v>12</v>
      </c>
      <c r="D5" s="15">
        <v>250000</v>
      </c>
      <c r="E5" s="15">
        <f>C5*D5</f>
        <v>3000000</v>
      </c>
    </row>
    <row r="6" spans="1:5" x14ac:dyDescent="0.2">
      <c r="A6" s="5">
        <v>2</v>
      </c>
      <c r="B6" s="3" t="s">
        <v>43</v>
      </c>
      <c r="C6" s="3">
        <v>12</v>
      </c>
      <c r="D6" s="15">
        <v>150000</v>
      </c>
      <c r="E6" s="15">
        <f t="shared" ref="E6:E16" si="0">C6*D6</f>
        <v>1800000</v>
      </c>
    </row>
    <row r="7" spans="1:5" x14ac:dyDescent="0.2">
      <c r="A7" s="5">
        <v>3</v>
      </c>
      <c r="B7" s="3"/>
      <c r="C7" s="3"/>
      <c r="D7" s="15"/>
      <c r="E7" s="15">
        <f t="shared" si="0"/>
        <v>0</v>
      </c>
    </row>
    <row r="8" spans="1:5" x14ac:dyDescent="0.2">
      <c r="A8" s="5">
        <v>4</v>
      </c>
      <c r="B8" s="3"/>
      <c r="C8" s="3"/>
      <c r="D8" s="15"/>
      <c r="E8" s="15">
        <f t="shared" si="0"/>
        <v>0</v>
      </c>
    </row>
    <row r="9" spans="1:5" x14ac:dyDescent="0.2">
      <c r="A9" s="5">
        <v>5</v>
      </c>
      <c r="B9" s="3"/>
      <c r="C9" s="3"/>
      <c r="D9" s="15"/>
      <c r="E9" s="15">
        <f t="shared" si="0"/>
        <v>0</v>
      </c>
    </row>
    <row r="10" spans="1:5" x14ac:dyDescent="0.2">
      <c r="A10" s="5"/>
      <c r="B10" s="3"/>
      <c r="C10" s="3"/>
      <c r="D10" s="15"/>
      <c r="E10" s="15">
        <f t="shared" si="0"/>
        <v>0</v>
      </c>
    </row>
    <row r="11" spans="1:5" x14ac:dyDescent="0.2">
      <c r="A11" s="5"/>
      <c r="B11" s="3"/>
      <c r="C11" s="3"/>
      <c r="D11" s="15"/>
      <c r="E11" s="15">
        <f t="shared" si="0"/>
        <v>0</v>
      </c>
    </row>
    <row r="12" spans="1:5" x14ac:dyDescent="0.2">
      <c r="A12" s="5"/>
      <c r="B12" s="3"/>
      <c r="C12" s="3"/>
      <c r="D12" s="15"/>
      <c r="E12" s="15">
        <f t="shared" si="0"/>
        <v>0</v>
      </c>
    </row>
    <row r="13" spans="1:5" x14ac:dyDescent="0.2">
      <c r="A13" s="5"/>
      <c r="B13" s="3"/>
      <c r="C13" s="3"/>
      <c r="D13" s="15"/>
      <c r="E13" s="15">
        <f t="shared" si="0"/>
        <v>0</v>
      </c>
    </row>
    <row r="14" spans="1:5" x14ac:dyDescent="0.2">
      <c r="A14" s="5"/>
      <c r="B14" s="3"/>
      <c r="C14" s="3"/>
      <c r="D14" s="15"/>
      <c r="E14" s="15">
        <f t="shared" si="0"/>
        <v>0</v>
      </c>
    </row>
    <row r="15" spans="1:5" x14ac:dyDescent="0.2">
      <c r="A15" s="5"/>
      <c r="B15" s="3"/>
      <c r="C15" s="3"/>
      <c r="D15" s="15"/>
      <c r="E15" s="15">
        <f t="shared" si="0"/>
        <v>0</v>
      </c>
    </row>
    <row r="16" spans="1:5" x14ac:dyDescent="0.2">
      <c r="A16" s="5"/>
      <c r="C16" s="3"/>
      <c r="D16" s="15"/>
      <c r="E16" s="15">
        <f t="shared" si="0"/>
        <v>0</v>
      </c>
    </row>
    <row r="17" spans="1:5" ht="17" thickBot="1" x14ac:dyDescent="0.25">
      <c r="A17" s="11"/>
      <c r="B17" s="12" t="s">
        <v>6</v>
      </c>
      <c r="C17" s="12"/>
      <c r="D17" s="18"/>
      <c r="E17" s="16">
        <f>SUM(E5:E16)</f>
        <v>4800000</v>
      </c>
    </row>
    <row r="18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E18"/>
  <sheetViews>
    <sheetView workbookViewId="0">
      <selection activeCell="A6" sqref="A6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19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92</v>
      </c>
      <c r="C5" s="3">
        <v>12</v>
      </c>
      <c r="D5" s="15">
        <v>75000</v>
      </c>
      <c r="E5" s="15">
        <f>C5*D5</f>
        <v>900000</v>
      </c>
    </row>
    <row r="6" spans="1:5" x14ac:dyDescent="0.2">
      <c r="A6" s="5">
        <v>2</v>
      </c>
      <c r="B6" s="3" t="s">
        <v>93</v>
      </c>
      <c r="C6" s="3">
        <v>12</v>
      </c>
      <c r="D6" s="15">
        <v>75000</v>
      </c>
      <c r="E6" s="15">
        <f>C6*D6</f>
        <v>900000</v>
      </c>
    </row>
    <row r="7" spans="1:5" x14ac:dyDescent="0.2">
      <c r="A7" s="5"/>
      <c r="B7" s="3"/>
      <c r="C7" s="3"/>
      <c r="D7" s="15"/>
      <c r="E7" s="15"/>
    </row>
    <row r="8" spans="1:5" x14ac:dyDescent="0.2">
      <c r="A8" s="5"/>
      <c r="B8" s="3"/>
      <c r="C8" s="3"/>
      <c r="D8" s="15"/>
      <c r="E8" s="15"/>
    </row>
    <row r="9" spans="1:5" x14ac:dyDescent="0.2">
      <c r="A9" s="5"/>
      <c r="B9" s="3"/>
      <c r="C9" s="3"/>
      <c r="D9" s="15"/>
      <c r="E9" s="15"/>
    </row>
    <row r="10" spans="1:5" x14ac:dyDescent="0.2">
      <c r="A10" s="5"/>
      <c r="B10" s="3"/>
      <c r="C10" s="3"/>
      <c r="D10" s="15"/>
      <c r="E10" s="15"/>
    </row>
    <row r="11" spans="1:5" x14ac:dyDescent="0.2">
      <c r="A11" s="5"/>
      <c r="B11" s="3"/>
      <c r="C11" s="3"/>
      <c r="D11" s="15"/>
      <c r="E11" s="15"/>
    </row>
    <row r="12" spans="1:5" x14ac:dyDescent="0.2">
      <c r="A12" s="5"/>
      <c r="B12" s="3"/>
      <c r="C12" s="3"/>
      <c r="D12" s="15"/>
      <c r="E12" s="15"/>
    </row>
    <row r="13" spans="1:5" x14ac:dyDescent="0.2">
      <c r="A13" s="5"/>
      <c r="B13" s="3"/>
      <c r="C13" s="3"/>
      <c r="D13" s="15"/>
      <c r="E13" s="15"/>
    </row>
    <row r="14" spans="1:5" x14ac:dyDescent="0.2">
      <c r="A14" s="5"/>
      <c r="B14" s="3"/>
      <c r="C14" s="3"/>
      <c r="D14" s="15"/>
      <c r="E14" s="15"/>
    </row>
    <row r="15" spans="1:5" x14ac:dyDescent="0.2">
      <c r="A15" s="5"/>
      <c r="B15" s="3"/>
      <c r="C15" s="3"/>
      <c r="D15" s="15"/>
      <c r="E15" s="15"/>
    </row>
    <row r="16" spans="1:5" x14ac:dyDescent="0.2">
      <c r="A16" s="5"/>
      <c r="C16" s="3"/>
      <c r="D16" s="15"/>
      <c r="E16" s="15"/>
    </row>
    <row r="17" spans="1:5" ht="17" thickBot="1" x14ac:dyDescent="0.25">
      <c r="A17" s="11"/>
      <c r="B17" s="12" t="s">
        <v>6</v>
      </c>
      <c r="C17" s="12"/>
      <c r="D17" s="18"/>
      <c r="E17" s="16">
        <f>SUM(E5:E16)</f>
        <v>1800000</v>
      </c>
    </row>
    <row r="18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E18"/>
  <sheetViews>
    <sheetView workbookViewId="0">
      <selection activeCell="A7" sqref="A7:XFD7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18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3</v>
      </c>
      <c r="C5" s="3">
        <v>1</v>
      </c>
      <c r="D5" s="15">
        <v>7000000</v>
      </c>
      <c r="E5" s="15">
        <f>C5*D5</f>
        <v>7000000</v>
      </c>
    </row>
    <row r="6" spans="1:5" x14ac:dyDescent="0.2">
      <c r="A6" s="5">
        <v>2</v>
      </c>
      <c r="B6" s="3" t="s">
        <v>82</v>
      </c>
      <c r="C6" s="3">
        <v>5</v>
      </c>
      <c r="D6" s="15">
        <v>200000</v>
      </c>
      <c r="E6" s="15">
        <f>C6*D6</f>
        <v>1000000</v>
      </c>
    </row>
    <row r="7" spans="1:5" s="34" customFormat="1" x14ac:dyDescent="0.2">
      <c r="A7" s="31">
        <v>3</v>
      </c>
      <c r="B7" s="32" t="s">
        <v>72</v>
      </c>
      <c r="C7" s="32">
        <v>52</v>
      </c>
      <c r="D7" s="33">
        <v>100000</v>
      </c>
      <c r="E7" s="33">
        <f t="shared" ref="E7:E16" si="0">C7*D7</f>
        <v>5200000</v>
      </c>
    </row>
    <row r="8" spans="1:5" x14ac:dyDescent="0.2">
      <c r="A8" s="5"/>
      <c r="B8" s="3"/>
      <c r="C8" s="3"/>
      <c r="D8" s="15"/>
      <c r="E8" s="15">
        <f t="shared" si="0"/>
        <v>0</v>
      </c>
    </row>
    <row r="9" spans="1:5" x14ac:dyDescent="0.2">
      <c r="A9" s="5"/>
      <c r="B9" s="3"/>
      <c r="C9" s="3"/>
      <c r="D9" s="15"/>
      <c r="E9" s="15">
        <f t="shared" si="0"/>
        <v>0</v>
      </c>
    </row>
    <row r="10" spans="1:5" x14ac:dyDescent="0.2">
      <c r="A10" s="5"/>
      <c r="B10" s="3"/>
      <c r="C10" s="3"/>
      <c r="D10" s="15"/>
      <c r="E10" s="15">
        <f t="shared" si="0"/>
        <v>0</v>
      </c>
    </row>
    <row r="11" spans="1:5" x14ac:dyDescent="0.2">
      <c r="A11" s="5"/>
      <c r="B11" s="3"/>
      <c r="C11" s="3"/>
      <c r="D11" s="15"/>
      <c r="E11" s="15">
        <f t="shared" si="0"/>
        <v>0</v>
      </c>
    </row>
    <row r="12" spans="1:5" x14ac:dyDescent="0.2">
      <c r="A12" s="5"/>
      <c r="B12" s="3"/>
      <c r="C12" s="3"/>
      <c r="D12" s="15"/>
      <c r="E12" s="15">
        <f t="shared" si="0"/>
        <v>0</v>
      </c>
    </row>
    <row r="13" spans="1:5" x14ac:dyDescent="0.2">
      <c r="A13" s="5"/>
      <c r="B13" s="3"/>
      <c r="C13" s="3"/>
      <c r="D13" s="15"/>
      <c r="E13" s="15">
        <f t="shared" si="0"/>
        <v>0</v>
      </c>
    </row>
    <row r="14" spans="1:5" x14ac:dyDescent="0.2">
      <c r="A14" s="5"/>
      <c r="B14" s="3"/>
      <c r="C14" s="3"/>
      <c r="D14" s="15"/>
      <c r="E14" s="15">
        <f t="shared" si="0"/>
        <v>0</v>
      </c>
    </row>
    <row r="15" spans="1:5" x14ac:dyDescent="0.2">
      <c r="A15" s="5"/>
      <c r="B15" s="3"/>
      <c r="C15" s="3"/>
      <c r="D15" s="15"/>
      <c r="E15" s="15">
        <f t="shared" si="0"/>
        <v>0</v>
      </c>
    </row>
    <row r="16" spans="1:5" x14ac:dyDescent="0.2">
      <c r="A16" s="5"/>
      <c r="C16" s="3"/>
      <c r="D16" s="15"/>
      <c r="E16" s="15">
        <f t="shared" si="0"/>
        <v>0</v>
      </c>
    </row>
    <row r="17" spans="1:5" ht="17" thickBot="1" x14ac:dyDescent="0.25">
      <c r="A17" s="11"/>
      <c r="B17" s="12" t="s">
        <v>6</v>
      </c>
      <c r="C17" s="12"/>
      <c r="D17" s="18"/>
      <c r="E17" s="16">
        <f>SUM(E5:E16)</f>
        <v>13200000</v>
      </c>
    </row>
    <row r="18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E18"/>
  <sheetViews>
    <sheetView workbookViewId="0">
      <selection activeCell="D9" sqref="D9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23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48</v>
      </c>
      <c r="C5" s="3">
        <v>12</v>
      </c>
      <c r="D5" s="15">
        <v>500000</v>
      </c>
      <c r="E5" s="15">
        <f>C5*D5</f>
        <v>6000000</v>
      </c>
    </row>
    <row r="6" spans="1:5" x14ac:dyDescent="0.2">
      <c r="A6" s="5">
        <v>2</v>
      </c>
      <c r="B6" s="3" t="s">
        <v>46</v>
      </c>
      <c r="C6" s="3">
        <v>12</v>
      </c>
      <c r="D6" s="15">
        <v>100000</v>
      </c>
      <c r="E6" s="15">
        <f t="shared" ref="E6:E16" si="0">C6*D6</f>
        <v>1200000</v>
      </c>
    </row>
    <row r="7" spans="1:5" x14ac:dyDescent="0.2">
      <c r="A7" s="5">
        <v>3</v>
      </c>
      <c r="B7" s="3" t="s">
        <v>47</v>
      </c>
      <c r="C7" s="3">
        <v>12</v>
      </c>
      <c r="D7" s="15">
        <v>50000</v>
      </c>
      <c r="E7" s="15">
        <f t="shared" si="0"/>
        <v>600000</v>
      </c>
    </row>
    <row r="8" spans="1:5" x14ac:dyDescent="0.2">
      <c r="A8" s="5">
        <v>4</v>
      </c>
      <c r="B8" s="3" t="s">
        <v>51</v>
      </c>
      <c r="C8" s="3">
        <v>12</v>
      </c>
      <c r="D8" s="15">
        <v>70000</v>
      </c>
      <c r="E8" s="15">
        <f t="shared" si="0"/>
        <v>840000</v>
      </c>
    </row>
    <row r="9" spans="1:5" x14ac:dyDescent="0.2">
      <c r="A9" s="5">
        <v>5</v>
      </c>
      <c r="B9" s="3" t="s">
        <v>50</v>
      </c>
      <c r="C9" s="3">
        <v>12</v>
      </c>
      <c r="D9" s="15">
        <v>150000</v>
      </c>
      <c r="E9" s="15">
        <f t="shared" si="0"/>
        <v>1800000</v>
      </c>
    </row>
    <row r="10" spans="1:5" x14ac:dyDescent="0.2">
      <c r="A10" s="5">
        <v>6</v>
      </c>
      <c r="B10" s="3" t="s">
        <v>49</v>
      </c>
      <c r="C10" s="3">
        <v>12</v>
      </c>
      <c r="D10" s="15">
        <v>50000</v>
      </c>
      <c r="E10" s="15">
        <f t="shared" si="0"/>
        <v>600000</v>
      </c>
    </row>
    <row r="11" spans="1:5" x14ac:dyDescent="0.2">
      <c r="A11" s="5">
        <v>7</v>
      </c>
      <c r="B11" s="3" t="s">
        <v>116</v>
      </c>
      <c r="C11" s="3">
        <v>12</v>
      </c>
      <c r="D11" s="15">
        <v>120000</v>
      </c>
      <c r="E11" s="15">
        <f t="shared" si="0"/>
        <v>1440000</v>
      </c>
    </row>
    <row r="12" spans="1:5" x14ac:dyDescent="0.2">
      <c r="A12" s="5"/>
      <c r="B12" s="3"/>
      <c r="C12" s="3"/>
      <c r="D12" s="15"/>
      <c r="E12" s="15">
        <f t="shared" si="0"/>
        <v>0</v>
      </c>
    </row>
    <row r="13" spans="1:5" x14ac:dyDescent="0.2">
      <c r="A13" s="5"/>
      <c r="B13" s="3"/>
      <c r="C13" s="3"/>
      <c r="D13" s="15"/>
      <c r="E13" s="15">
        <f t="shared" si="0"/>
        <v>0</v>
      </c>
    </row>
    <row r="14" spans="1:5" x14ac:dyDescent="0.2">
      <c r="A14" s="5"/>
      <c r="B14" s="3"/>
      <c r="C14" s="3"/>
      <c r="D14" s="15"/>
      <c r="E14" s="15">
        <f t="shared" si="0"/>
        <v>0</v>
      </c>
    </row>
    <row r="15" spans="1:5" x14ac:dyDescent="0.2">
      <c r="A15" s="5"/>
      <c r="B15" s="3"/>
      <c r="C15" s="3"/>
      <c r="D15" s="15"/>
      <c r="E15" s="15">
        <f t="shared" si="0"/>
        <v>0</v>
      </c>
    </row>
    <row r="16" spans="1:5" x14ac:dyDescent="0.2">
      <c r="A16" s="5"/>
      <c r="C16" s="3"/>
      <c r="D16" s="15"/>
      <c r="E16" s="15">
        <f t="shared" si="0"/>
        <v>0</v>
      </c>
    </row>
    <row r="17" spans="1:5" ht="17" thickBot="1" x14ac:dyDescent="0.25">
      <c r="A17" s="11"/>
      <c r="B17" s="12" t="s">
        <v>6</v>
      </c>
      <c r="C17" s="12"/>
      <c r="D17" s="18"/>
      <c r="E17" s="16">
        <f>SUM(E5:E16)</f>
        <v>12480000</v>
      </c>
    </row>
    <row r="18" spans="1:5" ht="17" thickTop="1" x14ac:dyDescent="0.2"/>
  </sheetData>
  <phoneticPr fontId="3" type="noConversion"/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Summary</vt:lpstr>
      <vt:lpstr>Stationery &amp; Supplies</vt:lpstr>
      <vt:lpstr>Computers &amp; Equipment</vt:lpstr>
      <vt:lpstr>Utilities</vt:lpstr>
      <vt:lpstr>Internet &amp; Phone</vt:lpstr>
      <vt:lpstr>PR &amp; Advertising</vt:lpstr>
      <vt:lpstr>Travel &amp; Conferences</vt:lpstr>
      <vt:lpstr>Talent Training</vt:lpstr>
      <vt:lpstr>Cleaning &amp; Maintenance</vt:lpstr>
      <vt:lpstr>Security</vt:lpstr>
      <vt:lpstr>Events</vt:lpstr>
      <vt:lpstr>Salaries</vt:lpstr>
      <vt:lpstr>'Cleaning &amp; Maintenance'!Print_Area</vt:lpstr>
      <vt:lpstr>'Computers &amp; Equipment'!Print_Area</vt:lpstr>
      <vt:lpstr>Events!Print_Area</vt:lpstr>
      <vt:lpstr>'Internet &amp; Phone'!Print_Area</vt:lpstr>
      <vt:lpstr>'PR &amp; Advertising'!Print_Area</vt:lpstr>
      <vt:lpstr>Salaries!Print_Area</vt:lpstr>
      <vt:lpstr>Security!Print_Area</vt:lpstr>
      <vt:lpstr>'Stationery &amp; Supplies'!Print_Area</vt:lpstr>
      <vt:lpstr>Summary!Print_Area</vt:lpstr>
      <vt:lpstr>'Talent Training'!Print_Area</vt:lpstr>
      <vt:lpstr>'Travel &amp; Conferences'!Print_Area</vt:lpstr>
      <vt:lpstr>Utilities!Print_Area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 Kolawole</dc:creator>
  <cp:lastModifiedBy>Temi Kolawole</cp:lastModifiedBy>
  <cp:lastPrinted>2020-03-17T13:49:27Z</cp:lastPrinted>
  <dcterms:created xsi:type="dcterms:W3CDTF">2020-03-14T14:01:12Z</dcterms:created>
  <dcterms:modified xsi:type="dcterms:W3CDTF">2021-10-21T09:27:53Z</dcterms:modified>
</cp:coreProperties>
</file>