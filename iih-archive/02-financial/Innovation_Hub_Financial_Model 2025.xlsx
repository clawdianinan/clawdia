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v/Documents/Ilorin Innovation Hub/"/>
    </mc:Choice>
  </mc:AlternateContent>
  <xr:revisionPtr revIDLastSave="0" documentId="13_ncr:1_{AB028A00-00CA-3243-9503-8833AE9623EE}" xr6:coauthVersionLast="47" xr6:coauthVersionMax="47" xr10:uidLastSave="{00000000-0000-0000-0000-000000000000}"/>
  <bookViews>
    <workbookView xWindow="600" yWindow="500" windowWidth="26900" windowHeight="16380" xr2:uid="{00000000-000D-0000-FFFF-FFFF00000000}"/>
  </bookViews>
  <sheets>
    <sheet name="Sheet1" sheetId="1" r:id="rId1"/>
    <sheet name="Sal" sheetId="2" r:id="rId2"/>
    <sheet name="Facility Renta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1" l="1"/>
  <c r="G65" i="1"/>
  <c r="H65" i="1"/>
  <c r="I65" i="1"/>
  <c r="J65" i="1"/>
  <c r="K65" i="1"/>
  <c r="L65" i="1"/>
  <c r="N65" i="1"/>
  <c r="O65" i="1"/>
  <c r="P62" i="1"/>
  <c r="P16" i="1" l="1"/>
  <c r="P17" i="1" l="1"/>
  <c r="P15" i="1"/>
  <c r="P14" i="1"/>
  <c r="P13" i="1"/>
  <c r="P11" i="1"/>
  <c r="P23" i="1"/>
  <c r="P39" i="1"/>
  <c r="D9" i="1"/>
  <c r="N12" i="1" s="1"/>
  <c r="N18" i="1" s="1"/>
  <c r="P91" i="1"/>
  <c r="P86" i="1"/>
  <c r="P85" i="1"/>
  <c r="P84" i="1"/>
  <c r="P83" i="1"/>
  <c r="P77" i="1"/>
  <c r="P76" i="1"/>
  <c r="P75" i="1"/>
  <c r="P74" i="1"/>
  <c r="P73" i="1"/>
  <c r="P72" i="1"/>
  <c r="P71" i="1"/>
  <c r="P70" i="1"/>
  <c r="P69" i="1"/>
  <c r="P63" i="1"/>
  <c r="P61" i="1"/>
  <c r="P57" i="1"/>
  <c r="P56" i="1"/>
  <c r="P55" i="1"/>
  <c r="P54" i="1"/>
  <c r="P53" i="1"/>
  <c r="P48" i="1"/>
  <c r="P47" i="1"/>
  <c r="P46" i="1"/>
  <c r="P45" i="1"/>
  <c r="P40" i="1"/>
  <c r="P38" i="1"/>
  <c r="P37" i="1"/>
  <c r="P36" i="1"/>
  <c r="P33" i="1"/>
  <c r="P32" i="1"/>
  <c r="P31" i="1"/>
  <c r="P30" i="1"/>
  <c r="P29" i="1"/>
  <c r="P28" i="1"/>
  <c r="E18" i="1"/>
  <c r="D18" i="1"/>
  <c r="M65" i="1"/>
  <c r="P44" i="1" l="1"/>
  <c r="P65" i="1"/>
  <c r="F12" i="1"/>
  <c r="G12" i="1"/>
  <c r="G18" i="1" s="1"/>
  <c r="H12" i="1"/>
  <c r="H18" i="1" s="1"/>
  <c r="I12" i="1"/>
  <c r="I18" i="1" s="1"/>
  <c r="J12" i="1"/>
  <c r="J18" i="1" s="1"/>
  <c r="K12" i="1"/>
  <c r="K18" i="1" s="1"/>
  <c r="L12" i="1"/>
  <c r="L18" i="1" s="1"/>
  <c r="O12" i="1"/>
  <c r="O18" i="1" s="1"/>
  <c r="M12" i="1"/>
  <c r="M18" i="1" s="1"/>
  <c r="F18" i="1" l="1"/>
  <c r="P12" i="1"/>
  <c r="P18" i="1" s="1"/>
</calcChain>
</file>

<file path=xl/sharedStrings.xml><?xml version="1.0" encoding="utf-8"?>
<sst xmlns="http://schemas.openxmlformats.org/spreadsheetml/2006/main" count="77" uniqueCount="76">
  <si>
    <t>Category</t>
  </si>
  <si>
    <t>Revenue Sources</t>
  </si>
  <si>
    <t>Membership Fees</t>
  </si>
  <si>
    <t>Consulting &amp; Advisory Services</t>
  </si>
  <si>
    <t>Event Hosting &amp; Sponsorships</t>
  </si>
  <si>
    <t>Other Income</t>
  </si>
  <si>
    <t>Total Revenue</t>
  </si>
  <si>
    <t>Operational Expenses</t>
  </si>
  <si>
    <t>Salaries &amp; Wages</t>
  </si>
  <si>
    <t>Equipment &amp; Infrastructure</t>
  </si>
  <si>
    <t>Administrative Costs</t>
  </si>
  <si>
    <t>Total Operational Expenses</t>
  </si>
  <si>
    <t>Innovation &amp; Program Support</t>
  </si>
  <si>
    <t>Startup Funding &amp; Grants</t>
  </si>
  <si>
    <t>Training &amp; Mentorship</t>
  </si>
  <si>
    <t>Accelerator/Incubation Programs</t>
  </si>
  <si>
    <t>Total Program Support</t>
  </si>
  <si>
    <t>Contingency &amp; Sustainability</t>
  </si>
  <si>
    <t>Reserve Fund</t>
  </si>
  <si>
    <t>Miscellaneous Expenses</t>
  </si>
  <si>
    <t>Total Contingency</t>
  </si>
  <si>
    <t>Summary</t>
  </si>
  <si>
    <t>Total Expenses</t>
  </si>
  <si>
    <t>Net Surplus / Deficit</t>
  </si>
  <si>
    <t>Public sector funding</t>
  </si>
  <si>
    <t>Corporate partnerships &amp; sponsorships</t>
  </si>
  <si>
    <t>Fees from startups &amp; researchers</t>
  </si>
  <si>
    <t>Consulting services revenue</t>
  </si>
  <si>
    <t>Revenue from events &amp; hackathons</t>
  </si>
  <si>
    <t>Miscellaneous revenue</t>
  </si>
  <si>
    <t>Staff salaries, mentors</t>
  </si>
  <si>
    <t>Rent, utilities, internet, security</t>
  </si>
  <si>
    <t>Laptops, software, lab tools</t>
  </si>
  <si>
    <t>Branding, events, PR</t>
  </si>
  <si>
    <t>Legal, compliance, insurance</t>
  </si>
  <si>
    <t>Seed funding for incubated startups</t>
  </si>
  <si>
    <t>Workshops, training</t>
  </si>
  <si>
    <t>Startup acceleration &amp; support</t>
  </si>
  <si>
    <t>Emergency fund for sustainability</t>
  </si>
  <si>
    <t>Unexpected costs</t>
  </si>
  <si>
    <t>Electricity</t>
  </si>
  <si>
    <t>Diesel</t>
  </si>
  <si>
    <t>Cleaning &amp; Landscaping</t>
  </si>
  <si>
    <t>Facility Maintenance &amp; Repairs</t>
  </si>
  <si>
    <t>Security</t>
  </si>
  <si>
    <t>Utilities &amp; Maintenance</t>
  </si>
  <si>
    <t>Cloud Servers</t>
  </si>
  <si>
    <t>Staff Email</t>
  </si>
  <si>
    <t>Miscellaneous Software Subscriptions &amp; Licenses</t>
  </si>
  <si>
    <t>Access Control &amp; Hub Management Software</t>
  </si>
  <si>
    <t>HVAC, Solar, Elevator, Access Control &amp; LED Screen Maintenance</t>
  </si>
  <si>
    <t>Kwara State Government Grants</t>
  </si>
  <si>
    <t>IHS Operational Funds</t>
  </si>
  <si>
    <t>Staff Professional Development (Afrilabs Capacity Building etc)</t>
  </si>
  <si>
    <t>Monthly Meetups</t>
  </si>
  <si>
    <t>Field Events</t>
  </si>
  <si>
    <t>Webinars</t>
  </si>
  <si>
    <t>Legal, Regulatory, Insurance etc</t>
  </si>
  <si>
    <t>International Conference Registration</t>
  </si>
  <si>
    <t>International Travel &amp; Accomodation</t>
  </si>
  <si>
    <t>Local Conference Registration</t>
  </si>
  <si>
    <t>Local Travel</t>
  </si>
  <si>
    <t>Travel &amp; Conferences</t>
  </si>
  <si>
    <t>Corporate Comms &amp; PR</t>
  </si>
  <si>
    <t>Souvenirs</t>
  </si>
  <si>
    <t>Banners</t>
  </si>
  <si>
    <t>Staff T-Shirts</t>
  </si>
  <si>
    <t>Online &amp; Social Media Marketing</t>
  </si>
  <si>
    <t>Description</t>
  </si>
  <si>
    <t>FY 2025</t>
  </si>
  <si>
    <t>Facility Rentals</t>
  </si>
  <si>
    <t xml:space="preserve">Association &amp; Society Memberships </t>
  </si>
  <si>
    <t>Laptops</t>
  </si>
  <si>
    <t>Guest Entertainment &amp; Refreshments</t>
  </si>
  <si>
    <t>Stationery &amp; Office Supplies</t>
  </si>
  <si>
    <t>Local Conference Exhibition/Sponsorship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</si>
</sst>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color rgb="FFC00000"/>
      <name val="Arial"/>
      <family val="2"/>
    </font>
    <font>
      <b/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008732"/>
        <bgColor indexed="64"/>
      </patternFill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wrapText="1" indent="1"/>
    </xf>
    <xf numFmtId="0" fontId="4" fillId="0" borderId="0" xfId="0" applyFont="1"/>
    <xf numFmtId="0" fontId="1" fillId="0" borderId="0" xfId="0" applyFont="1"/>
    <xf numFmtId="0" fontId="1" fillId="0" borderId="0" xfId="0" applyFont="1" applyAlignment="1">
      <alignment horizontal="center" vertical="top"/>
    </xf>
    <xf numFmtId="164" fontId="1" fillId="0" borderId="0" xfId="1" applyNumberFormat="1" applyFont="1" applyBorder="1" applyAlignment="1">
      <alignment horizontal="center" vertical="top"/>
    </xf>
    <xf numFmtId="0" fontId="1" fillId="0" borderId="0" xfId="0" applyFont="1" applyAlignment="1">
      <alignment horizontal="left"/>
    </xf>
    <xf numFmtId="164" fontId="0" fillId="0" borderId="0" xfId="1" applyNumberFormat="1" applyFont="1"/>
    <xf numFmtId="0" fontId="1" fillId="2" borderId="0" xfId="0" applyFont="1" applyFill="1"/>
    <xf numFmtId="0" fontId="0" fillId="2" borderId="0" xfId="0" applyFill="1"/>
    <xf numFmtId="164" fontId="0" fillId="2" borderId="0" xfId="1" applyNumberFormat="1" applyFont="1" applyFill="1"/>
    <xf numFmtId="0" fontId="0" fillId="0" borderId="2" xfId="0" applyBorder="1"/>
    <xf numFmtId="0" fontId="0" fillId="0" borderId="2" xfId="0" applyBorder="1" applyAlignment="1">
      <alignment horizontal="left" indent="1"/>
    </xf>
    <xf numFmtId="164" fontId="0" fillId="0" borderId="2" xfId="1" applyNumberFormat="1" applyFont="1" applyBorder="1"/>
    <xf numFmtId="0" fontId="1" fillId="3" borderId="2" xfId="0" applyFont="1" applyFill="1" applyBorder="1"/>
    <xf numFmtId="164" fontId="1" fillId="3" borderId="2" xfId="1" applyNumberFormat="1" applyFont="1" applyFill="1" applyBorder="1"/>
    <xf numFmtId="0" fontId="1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indent="1"/>
    </xf>
    <xf numFmtId="164" fontId="3" fillId="0" borderId="2" xfId="1" applyNumberFormat="1" applyFont="1" applyBorder="1"/>
    <xf numFmtId="0" fontId="3" fillId="0" borderId="2" xfId="0" applyFont="1" applyBorder="1" applyAlignment="1">
      <alignment horizontal="left" wrapText="1" indent="1"/>
    </xf>
    <xf numFmtId="0" fontId="5" fillId="4" borderId="1" xfId="0" applyFont="1" applyFill="1" applyBorder="1" applyAlignment="1">
      <alignment horizontal="center"/>
    </xf>
    <xf numFmtId="17" fontId="6" fillId="4" borderId="0" xfId="0" applyNumberFormat="1" applyFont="1" applyFill="1"/>
    <xf numFmtId="3" fontId="3" fillId="0" borderId="2" xfId="0" applyNumberFormat="1" applyFont="1" applyBorder="1"/>
    <xf numFmtId="3" fontId="0" fillId="0" borderId="0" xfId="0" applyNumberFormat="1" applyAlignment="1">
      <alignment horizontal="center"/>
    </xf>
    <xf numFmtId="3" fontId="7" fillId="4" borderId="0" xfId="0" applyNumberFormat="1" applyFont="1" applyFill="1" applyAlignment="1">
      <alignment horizontal="center"/>
    </xf>
    <xf numFmtId="3" fontId="0" fillId="5" borderId="2" xfId="0" applyNumberFormat="1" applyFill="1" applyBorder="1" applyAlignment="1">
      <alignment horizontal="center"/>
    </xf>
    <xf numFmtId="3" fontId="1" fillId="5" borderId="2" xfId="0" applyNumberFormat="1" applyFont="1" applyFill="1" applyBorder="1" applyAlignment="1">
      <alignment horizontal="center"/>
    </xf>
    <xf numFmtId="3" fontId="1" fillId="5" borderId="3" xfId="0" applyNumberFormat="1" applyFont="1" applyFill="1" applyBorder="1" applyAlignment="1">
      <alignment horizontal="center"/>
    </xf>
    <xf numFmtId="3" fontId="1" fillId="5" borderId="4" xfId="0" applyNumberFormat="1" applyFont="1" applyFill="1" applyBorder="1" applyAlignment="1">
      <alignment horizontal="center"/>
    </xf>
    <xf numFmtId="3" fontId="1" fillId="5" borderId="5" xfId="0" applyNumberFormat="1" applyFont="1" applyFill="1" applyBorder="1" applyAlignment="1">
      <alignment horizontal="center"/>
    </xf>
    <xf numFmtId="37" fontId="1" fillId="3" borderId="2" xfId="1" applyNumberFormat="1" applyFont="1" applyFill="1" applyBorder="1" applyAlignment="1">
      <alignment horizontal="center"/>
    </xf>
    <xf numFmtId="0" fontId="8" fillId="0" borderId="2" xfId="0" applyFont="1" applyBorder="1"/>
    <xf numFmtId="0" fontId="9" fillId="0" borderId="2" xfId="0" applyFont="1" applyBorder="1" applyAlignment="1">
      <alignment horizontal="left" indent="1"/>
    </xf>
    <xf numFmtId="164" fontId="8" fillId="0" borderId="2" xfId="1" applyNumberFormat="1" applyFont="1" applyBorder="1"/>
    <xf numFmtId="3" fontId="10" fillId="5" borderId="2" xfId="0" applyNumberFormat="1" applyFont="1" applyFill="1" applyBorder="1" applyAlignment="1">
      <alignment horizontal="center"/>
    </xf>
    <xf numFmtId="0" fontId="8" fillId="0" borderId="0" xfId="0" applyFont="1"/>
    <xf numFmtId="4" fontId="3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0087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P94"/>
  <sheetViews>
    <sheetView showGridLines="0" tabSelected="1" zoomScale="120" zoomScaleNormal="120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F41" sqref="F41"/>
    </sheetView>
  </sheetViews>
  <sheetFormatPr baseColWidth="10" defaultColWidth="8.83203125" defaultRowHeight="15" x14ac:dyDescent="0.2"/>
  <cols>
    <col min="1" max="1" width="2.6640625" customWidth="1"/>
    <col min="2" max="2" width="49.1640625" customWidth="1"/>
    <col min="3" max="3" width="36.33203125" customWidth="1"/>
    <col min="4" max="4" width="12.83203125" customWidth="1"/>
    <col min="5" max="5" width="11.6640625" customWidth="1"/>
    <col min="6" max="6" width="14.1640625" bestFit="1" customWidth="1"/>
    <col min="7" max="15" width="14.5" customWidth="1"/>
    <col min="16" max="16" width="23.6640625" style="24" customWidth="1"/>
  </cols>
  <sheetData>
    <row r="6" spans="1:16" x14ac:dyDescent="0.2">
      <c r="A6" s="21"/>
      <c r="B6" s="21" t="s">
        <v>0</v>
      </c>
      <c r="C6" s="21" t="s">
        <v>68</v>
      </c>
      <c r="D6" s="22">
        <v>45658</v>
      </c>
      <c r="E6" s="22">
        <v>45689</v>
      </c>
      <c r="F6" s="22">
        <v>45717</v>
      </c>
      <c r="G6" s="22">
        <v>45748</v>
      </c>
      <c r="H6" s="22">
        <v>45778</v>
      </c>
      <c r="I6" s="22">
        <v>45809</v>
      </c>
      <c r="J6" s="22">
        <v>45839</v>
      </c>
      <c r="K6" s="22">
        <v>45870</v>
      </c>
      <c r="L6" s="22">
        <v>45901</v>
      </c>
      <c r="M6" s="22">
        <v>45931</v>
      </c>
      <c r="N6" s="22">
        <v>45962</v>
      </c>
      <c r="O6" s="22">
        <v>45992</v>
      </c>
      <c r="P6" s="25" t="s">
        <v>69</v>
      </c>
    </row>
    <row r="7" spans="1:16" x14ac:dyDescent="0.2">
      <c r="B7" s="5"/>
      <c r="C7" s="5"/>
    </row>
    <row r="8" spans="1:16" x14ac:dyDescent="0.2">
      <c r="B8" s="5"/>
      <c r="C8" s="5"/>
    </row>
    <row r="9" spans="1:16" x14ac:dyDescent="0.2">
      <c r="B9" s="5"/>
      <c r="C9" s="5"/>
      <c r="D9" s="6">
        <f>537500000*0</f>
        <v>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6" x14ac:dyDescent="0.2">
      <c r="A10" s="9" t="s">
        <v>1</v>
      </c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 x14ac:dyDescent="0.2">
      <c r="A11" s="12"/>
      <c r="B11" s="13" t="s">
        <v>51</v>
      </c>
      <c r="C11" s="12" t="s">
        <v>24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28">
        <f t="shared" ref="P11:P76" si="0">SUM(D11:O11)</f>
        <v>0</v>
      </c>
    </row>
    <row r="12" spans="1:16" x14ac:dyDescent="0.2">
      <c r="A12" s="12"/>
      <c r="B12" s="13" t="s">
        <v>52</v>
      </c>
      <c r="C12" s="12" t="s">
        <v>25</v>
      </c>
      <c r="D12" s="14"/>
      <c r="E12" s="14"/>
      <c r="F12" s="14">
        <f>$D$9/10</f>
        <v>0</v>
      </c>
      <c r="G12" s="14">
        <f t="shared" ref="G12:O12" si="1">$D$9/10</f>
        <v>0</v>
      </c>
      <c r="H12" s="14">
        <f t="shared" si="1"/>
        <v>0</v>
      </c>
      <c r="I12" s="14">
        <f t="shared" si="1"/>
        <v>0</v>
      </c>
      <c r="J12" s="14">
        <f t="shared" si="1"/>
        <v>0</v>
      </c>
      <c r="K12" s="14">
        <f t="shared" si="1"/>
        <v>0</v>
      </c>
      <c r="L12" s="14">
        <f t="shared" si="1"/>
        <v>0</v>
      </c>
      <c r="M12" s="14">
        <f t="shared" si="1"/>
        <v>0</v>
      </c>
      <c r="N12" s="14">
        <f t="shared" si="1"/>
        <v>0</v>
      </c>
      <c r="O12" s="14">
        <f t="shared" si="1"/>
        <v>0</v>
      </c>
      <c r="P12" s="28">
        <f t="shared" si="0"/>
        <v>0</v>
      </c>
    </row>
    <row r="13" spans="1:16" x14ac:dyDescent="0.2">
      <c r="A13" s="12"/>
      <c r="B13" s="13" t="s">
        <v>2</v>
      </c>
      <c r="C13" s="12" t="s">
        <v>26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28">
        <f t="shared" si="0"/>
        <v>0</v>
      </c>
    </row>
    <row r="14" spans="1:16" x14ac:dyDescent="0.2">
      <c r="A14" s="12"/>
      <c r="B14" s="13" t="s">
        <v>3</v>
      </c>
      <c r="C14" s="12" t="s">
        <v>27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28">
        <f t="shared" si="0"/>
        <v>0</v>
      </c>
    </row>
    <row r="15" spans="1:16" x14ac:dyDescent="0.2">
      <c r="A15" s="12"/>
      <c r="B15" s="13" t="s">
        <v>4</v>
      </c>
      <c r="C15" s="12" t="s">
        <v>28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28">
        <f t="shared" si="0"/>
        <v>0</v>
      </c>
    </row>
    <row r="16" spans="1:16" x14ac:dyDescent="0.2">
      <c r="A16" s="12"/>
      <c r="B16" s="13" t="s">
        <v>70</v>
      </c>
      <c r="C16" s="12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28">
        <f t="shared" si="0"/>
        <v>0</v>
      </c>
    </row>
    <row r="17" spans="1:16" x14ac:dyDescent="0.2">
      <c r="A17" s="12"/>
      <c r="B17" s="13" t="s">
        <v>5</v>
      </c>
      <c r="C17" s="12" t="s">
        <v>29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28">
        <f t="shared" si="0"/>
        <v>0</v>
      </c>
    </row>
    <row r="18" spans="1:16" s="4" customFormat="1" x14ac:dyDescent="0.2">
      <c r="A18" s="15" t="s">
        <v>6</v>
      </c>
      <c r="B18" s="15"/>
      <c r="C18" s="15"/>
      <c r="D18" s="16">
        <f t="shared" ref="D18:E18" si="2">SUM(D10:D17)</f>
        <v>0</v>
      </c>
      <c r="E18" s="16">
        <f t="shared" si="2"/>
        <v>0</v>
      </c>
      <c r="F18" s="16">
        <f>SUM(F10:F17)</f>
        <v>0</v>
      </c>
      <c r="G18" s="16">
        <f t="shared" ref="G18:P18" si="3">SUM(G10:G17)</f>
        <v>0</v>
      </c>
      <c r="H18" s="16">
        <f t="shared" si="3"/>
        <v>0</v>
      </c>
      <c r="I18" s="16">
        <f t="shared" si="3"/>
        <v>0</v>
      </c>
      <c r="J18" s="16">
        <f t="shared" si="3"/>
        <v>0</v>
      </c>
      <c r="K18" s="16">
        <f t="shared" si="3"/>
        <v>0</v>
      </c>
      <c r="L18" s="16">
        <f t="shared" si="3"/>
        <v>0</v>
      </c>
      <c r="M18" s="16">
        <f t="shared" si="3"/>
        <v>0</v>
      </c>
      <c r="N18" s="16">
        <f t="shared" si="3"/>
        <v>0</v>
      </c>
      <c r="O18" s="16">
        <f t="shared" si="3"/>
        <v>0</v>
      </c>
      <c r="P18" s="31">
        <f t="shared" si="3"/>
        <v>0</v>
      </c>
    </row>
    <row r="19" spans="1:16" x14ac:dyDescent="0.2"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6" x14ac:dyDescent="0.2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6" x14ac:dyDescent="0.2"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6" x14ac:dyDescent="0.2">
      <c r="A22" s="9" t="s">
        <v>7</v>
      </c>
      <c r="B22" s="10"/>
      <c r="C22" s="10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spans="1:16" x14ac:dyDescent="0.2">
      <c r="A23" s="12"/>
      <c r="B23" s="17" t="s">
        <v>8</v>
      </c>
      <c r="C23" s="12" t="s">
        <v>30</v>
      </c>
      <c r="D23" s="14"/>
      <c r="E23" s="14"/>
      <c r="F23" s="37">
        <v>6418849.8125</v>
      </c>
      <c r="G23" s="37">
        <v>15610314.020833336</v>
      </c>
      <c r="H23" s="37">
        <v>16040686.791666668</v>
      </c>
      <c r="I23" s="37">
        <v>16040686.791666668</v>
      </c>
      <c r="J23" s="37">
        <v>16040686.791666668</v>
      </c>
      <c r="K23" s="37">
        <v>16040686.791666668</v>
      </c>
      <c r="L23" s="37">
        <v>16040686.791666668</v>
      </c>
      <c r="M23" s="37">
        <v>16040686.791666668</v>
      </c>
      <c r="N23" s="37">
        <v>16040686.791666668</v>
      </c>
      <c r="O23" s="37">
        <v>16040686.791666668</v>
      </c>
      <c r="P23" s="28">
        <f t="shared" si="0"/>
        <v>150354658.16666669</v>
      </c>
    </row>
    <row r="24" spans="1:16" x14ac:dyDescent="0.2">
      <c r="B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6" x14ac:dyDescent="0.2">
      <c r="B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6" x14ac:dyDescent="0.2">
      <c r="B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6" x14ac:dyDescent="0.2">
      <c r="B27" s="3" t="s">
        <v>45</v>
      </c>
      <c r="C27" t="s">
        <v>31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6" x14ac:dyDescent="0.2">
      <c r="A28" s="12"/>
      <c r="B28" s="18" t="s">
        <v>40</v>
      </c>
      <c r="C28" s="12"/>
      <c r="D28" s="14"/>
      <c r="E28" s="14"/>
      <c r="F28" s="19"/>
      <c r="G28" s="19">
        <v>800000</v>
      </c>
      <c r="H28" s="19">
        <v>800000</v>
      </c>
      <c r="I28" s="19">
        <v>800000</v>
      </c>
      <c r="J28" s="19">
        <v>800000</v>
      </c>
      <c r="K28" s="19">
        <v>800000</v>
      </c>
      <c r="L28" s="19">
        <v>800000</v>
      </c>
      <c r="M28" s="19">
        <v>800000</v>
      </c>
      <c r="N28" s="19">
        <v>800000</v>
      </c>
      <c r="O28" s="19">
        <v>800000</v>
      </c>
      <c r="P28" s="28">
        <f t="shared" si="0"/>
        <v>7200000</v>
      </c>
    </row>
    <row r="29" spans="1:16" x14ac:dyDescent="0.2">
      <c r="A29" s="12"/>
      <c r="B29" s="18" t="s">
        <v>41</v>
      </c>
      <c r="C29" s="12"/>
      <c r="D29" s="14"/>
      <c r="E29" s="14"/>
      <c r="F29" s="19"/>
      <c r="G29" s="19">
        <v>1250000</v>
      </c>
      <c r="H29" s="19">
        <v>1250000</v>
      </c>
      <c r="I29" s="19">
        <v>1250000</v>
      </c>
      <c r="J29" s="19">
        <v>1250000</v>
      </c>
      <c r="K29" s="19">
        <v>1250000</v>
      </c>
      <c r="L29" s="19">
        <v>1250000</v>
      </c>
      <c r="M29" s="19">
        <v>1250000</v>
      </c>
      <c r="N29" s="19">
        <v>1250000</v>
      </c>
      <c r="O29" s="19">
        <v>1250000</v>
      </c>
      <c r="P29" s="29">
        <f t="shared" si="0"/>
        <v>11250000</v>
      </c>
    </row>
    <row r="30" spans="1:16" x14ac:dyDescent="0.2">
      <c r="A30" s="12"/>
      <c r="B30" s="20" t="s">
        <v>42</v>
      </c>
      <c r="C30" s="12"/>
      <c r="D30" s="14"/>
      <c r="E30" s="14"/>
      <c r="F30" s="19">
        <v>500000</v>
      </c>
      <c r="G30" s="19">
        <v>1300000</v>
      </c>
      <c r="H30" s="19">
        <v>1300000</v>
      </c>
      <c r="I30" s="19">
        <v>1300000</v>
      </c>
      <c r="J30" s="19">
        <v>1300000</v>
      </c>
      <c r="K30" s="19">
        <v>1300000</v>
      </c>
      <c r="L30" s="19">
        <v>1300000</v>
      </c>
      <c r="M30" s="19">
        <v>1300000</v>
      </c>
      <c r="N30" s="19">
        <v>1300000</v>
      </c>
      <c r="O30" s="19">
        <v>1300000</v>
      </c>
      <c r="P30" s="29">
        <f t="shared" si="0"/>
        <v>12200000</v>
      </c>
    </row>
    <row r="31" spans="1:16" x14ac:dyDescent="0.2">
      <c r="A31" s="12"/>
      <c r="B31" s="20" t="s">
        <v>43</v>
      </c>
      <c r="C31" s="12"/>
      <c r="D31" s="14"/>
      <c r="E31" s="14"/>
      <c r="F31" s="19"/>
      <c r="G31" s="19">
        <v>833333.33333333337</v>
      </c>
      <c r="H31" s="19">
        <v>833333.33333333337</v>
      </c>
      <c r="I31" s="19">
        <v>833333.33333333337</v>
      </c>
      <c r="J31" s="19">
        <v>833333.33333333337</v>
      </c>
      <c r="K31" s="19">
        <v>833333.33333333337</v>
      </c>
      <c r="L31" s="19">
        <v>833333.33333333337</v>
      </c>
      <c r="M31" s="19">
        <v>833333.33333333337</v>
      </c>
      <c r="N31" s="19">
        <v>833333.33333333337</v>
      </c>
      <c r="O31" s="19">
        <v>833333.33333333337</v>
      </c>
      <c r="P31" s="29">
        <f t="shared" si="0"/>
        <v>7499999.9999999991</v>
      </c>
    </row>
    <row r="32" spans="1:16" ht="15.5" customHeight="1" x14ac:dyDescent="0.2">
      <c r="A32" s="12"/>
      <c r="B32" s="20" t="s">
        <v>44</v>
      </c>
      <c r="C32" s="12"/>
      <c r="D32" s="14"/>
      <c r="E32" s="14"/>
      <c r="F32" s="19"/>
      <c r="G32" s="19">
        <v>1000000</v>
      </c>
      <c r="H32" s="19">
        <v>1000000</v>
      </c>
      <c r="I32" s="19">
        <v>1000000</v>
      </c>
      <c r="J32" s="19">
        <v>1000000</v>
      </c>
      <c r="K32" s="19">
        <v>1000000</v>
      </c>
      <c r="L32" s="19">
        <v>1000000</v>
      </c>
      <c r="M32" s="19">
        <v>1000000</v>
      </c>
      <c r="N32" s="19">
        <v>1000000</v>
      </c>
      <c r="O32" s="19">
        <v>1000000</v>
      </c>
      <c r="P32" s="29">
        <f t="shared" si="0"/>
        <v>9000000</v>
      </c>
    </row>
    <row r="33" spans="1:16" ht="31" customHeight="1" x14ac:dyDescent="0.2">
      <c r="A33" s="12"/>
      <c r="B33" s="20" t="s">
        <v>50</v>
      </c>
      <c r="C33" s="12"/>
      <c r="D33" s="14"/>
      <c r="E33" s="14"/>
      <c r="F33" s="19"/>
      <c r="G33" s="19">
        <v>1666666.6666666667</v>
      </c>
      <c r="H33" s="19">
        <v>1666666.6666666667</v>
      </c>
      <c r="I33" s="19">
        <v>1666666.6666666667</v>
      </c>
      <c r="J33" s="19">
        <v>1666666.6666666667</v>
      </c>
      <c r="K33" s="19">
        <v>1666666.6666666667</v>
      </c>
      <c r="L33" s="19">
        <v>1666666.6666666667</v>
      </c>
      <c r="M33" s="19">
        <v>1666666.6666666667</v>
      </c>
      <c r="N33" s="19">
        <v>1666666.6666666667</v>
      </c>
      <c r="O33" s="19">
        <v>1666666.6666666667</v>
      </c>
      <c r="P33" s="30">
        <f t="shared" si="0"/>
        <v>14999999.999999998</v>
      </c>
    </row>
    <row r="34" spans="1:16" x14ac:dyDescent="0.2">
      <c r="B34" s="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6" x14ac:dyDescent="0.2">
      <c r="B35" s="3" t="s">
        <v>62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6" x14ac:dyDescent="0.2">
      <c r="A36" s="12"/>
      <c r="B36" s="18" t="s">
        <v>58</v>
      </c>
      <c r="C36" s="12"/>
      <c r="D36" s="14"/>
      <c r="E36" s="14"/>
      <c r="F36" s="23"/>
      <c r="G36" s="23"/>
      <c r="H36" s="23"/>
      <c r="I36" s="23">
        <v>3000000</v>
      </c>
      <c r="J36" s="23"/>
      <c r="K36" s="23"/>
      <c r="L36" s="23"/>
      <c r="M36" s="23"/>
      <c r="N36" s="23"/>
      <c r="O36" s="23"/>
      <c r="P36" s="26">
        <f t="shared" si="0"/>
        <v>3000000</v>
      </c>
    </row>
    <row r="37" spans="1:16" x14ac:dyDescent="0.2">
      <c r="A37" s="12"/>
      <c r="B37" s="18" t="s">
        <v>59</v>
      </c>
      <c r="C37" s="12"/>
      <c r="D37" s="14"/>
      <c r="E37" s="14"/>
      <c r="F37" s="23"/>
      <c r="G37" s="23"/>
      <c r="H37" s="23"/>
      <c r="I37" s="23">
        <v>7000000</v>
      </c>
      <c r="J37" s="23"/>
      <c r="K37" s="23"/>
      <c r="L37" s="23">
        <v>7000000</v>
      </c>
      <c r="M37" s="23"/>
      <c r="N37" s="23"/>
      <c r="O37" s="23">
        <v>7000000</v>
      </c>
      <c r="P37" s="26">
        <f t="shared" si="0"/>
        <v>21000000</v>
      </c>
    </row>
    <row r="38" spans="1:16" x14ac:dyDescent="0.2">
      <c r="A38" s="12"/>
      <c r="B38" s="20" t="s">
        <v>60</v>
      </c>
      <c r="C38" s="12"/>
      <c r="D38" s="14"/>
      <c r="E38" s="14"/>
      <c r="F38" s="23"/>
      <c r="G38" s="23"/>
      <c r="H38" s="23"/>
      <c r="I38" s="23">
        <v>750000</v>
      </c>
      <c r="J38" s="23"/>
      <c r="K38" s="23"/>
      <c r="L38" s="23">
        <v>750000</v>
      </c>
      <c r="M38" s="23"/>
      <c r="N38" s="23"/>
      <c r="O38" s="23">
        <v>750000</v>
      </c>
      <c r="P38" s="26">
        <f t="shared" si="0"/>
        <v>2250000</v>
      </c>
    </row>
    <row r="39" spans="1:16" x14ac:dyDescent="0.2">
      <c r="A39" s="12"/>
      <c r="B39" s="20" t="s">
        <v>75</v>
      </c>
      <c r="C39" s="12"/>
      <c r="D39" s="14"/>
      <c r="E39" s="14"/>
      <c r="F39" s="23"/>
      <c r="G39" s="23">
        <v>666666.66666666663</v>
      </c>
      <c r="H39" s="23">
        <v>666666.66666666663</v>
      </c>
      <c r="I39" s="23">
        <v>666666.66666666663</v>
      </c>
      <c r="J39" s="23">
        <v>666666.66666666663</v>
      </c>
      <c r="K39" s="23">
        <v>666666.66666666663</v>
      </c>
      <c r="L39" s="23">
        <v>666666.66666666663</v>
      </c>
      <c r="M39" s="23">
        <v>666666.66666666663</v>
      </c>
      <c r="N39" s="23">
        <v>666666.66666666663</v>
      </c>
      <c r="O39" s="23">
        <v>666666.66666666663</v>
      </c>
      <c r="P39" s="26">
        <f t="shared" si="0"/>
        <v>6000000</v>
      </c>
    </row>
    <row r="40" spans="1:16" x14ac:dyDescent="0.2">
      <c r="A40" s="12"/>
      <c r="B40" s="20" t="s">
        <v>61</v>
      </c>
      <c r="C40" s="12"/>
      <c r="D40" s="14"/>
      <c r="E40" s="14"/>
      <c r="F40" s="23">
        <v>500000</v>
      </c>
      <c r="G40" s="23">
        <v>1000000</v>
      </c>
      <c r="H40" s="23">
        <v>1000000</v>
      </c>
      <c r="I40" s="23">
        <v>1000000</v>
      </c>
      <c r="J40" s="23">
        <v>1000000</v>
      </c>
      <c r="K40" s="23">
        <v>1000000</v>
      </c>
      <c r="L40" s="23">
        <v>1000000</v>
      </c>
      <c r="M40" s="23">
        <v>1000000</v>
      </c>
      <c r="N40" s="23">
        <v>1000000</v>
      </c>
      <c r="O40" s="23">
        <v>1000000</v>
      </c>
      <c r="P40" s="26">
        <f t="shared" si="0"/>
        <v>9500000</v>
      </c>
    </row>
    <row r="41" spans="1:16" x14ac:dyDescent="0.2"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6" x14ac:dyDescent="0.2"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1:16" x14ac:dyDescent="0.2">
      <c r="B43" s="4" t="s">
        <v>9</v>
      </c>
      <c r="C43" t="s">
        <v>32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6" x14ac:dyDescent="0.2">
      <c r="A44" s="12"/>
      <c r="B44" s="20" t="s">
        <v>46</v>
      </c>
      <c r="C44" s="12"/>
      <c r="D44" s="14"/>
      <c r="E44" s="14"/>
      <c r="F44" s="14"/>
      <c r="G44" s="14">
        <v>416666.66666666669</v>
      </c>
      <c r="H44" s="14">
        <v>416666.66666666669</v>
      </c>
      <c r="I44" s="14">
        <v>416666.66666666669</v>
      </c>
      <c r="J44" s="14">
        <v>416666.66666666669</v>
      </c>
      <c r="K44" s="14">
        <v>416666.66666666669</v>
      </c>
      <c r="L44" s="14">
        <v>416666.66666666669</v>
      </c>
      <c r="M44" s="14">
        <v>416666.66666666669</v>
      </c>
      <c r="N44" s="14">
        <v>416666.66666666669</v>
      </c>
      <c r="O44" s="14">
        <v>416666.66666666669</v>
      </c>
      <c r="P44" s="27">
        <f t="shared" si="0"/>
        <v>3749999.9999999995</v>
      </c>
    </row>
    <row r="45" spans="1:16" x14ac:dyDescent="0.2">
      <c r="A45" s="12"/>
      <c r="B45" s="18" t="s">
        <v>47</v>
      </c>
      <c r="C45" s="12"/>
      <c r="D45" s="14"/>
      <c r="E45" s="14"/>
      <c r="F45" s="14"/>
      <c r="G45" s="14">
        <v>291666.66666666669</v>
      </c>
      <c r="H45" s="14">
        <v>291666.66666666669</v>
      </c>
      <c r="I45" s="14">
        <v>291666.66666666669</v>
      </c>
      <c r="J45" s="14">
        <v>291666.66666666669</v>
      </c>
      <c r="K45" s="14">
        <v>291666.66666666669</v>
      </c>
      <c r="L45" s="14">
        <v>291666.66666666669</v>
      </c>
      <c r="M45" s="14">
        <v>291666.66666666669</v>
      </c>
      <c r="N45" s="14">
        <v>291666.66666666669</v>
      </c>
      <c r="O45" s="14">
        <v>291666.66666666669</v>
      </c>
      <c r="P45" s="27">
        <f t="shared" si="0"/>
        <v>2625000</v>
      </c>
    </row>
    <row r="46" spans="1:16" x14ac:dyDescent="0.2">
      <c r="A46" s="12"/>
      <c r="B46" s="18" t="s">
        <v>48</v>
      </c>
      <c r="C46" s="12"/>
      <c r="D46" s="14"/>
      <c r="E46" s="14"/>
      <c r="F46" s="14">
        <v>166666.66666666666</v>
      </c>
      <c r="G46" s="14">
        <v>166666.66666666666</v>
      </c>
      <c r="H46" s="14">
        <v>166666.66666666666</v>
      </c>
      <c r="I46" s="14">
        <v>166666.66666666666</v>
      </c>
      <c r="J46" s="14">
        <v>166666.66666666666</v>
      </c>
      <c r="K46" s="14">
        <v>166666.66666666666</v>
      </c>
      <c r="L46" s="14">
        <v>166666.66666666666</v>
      </c>
      <c r="M46" s="14">
        <v>166666.66666666666</v>
      </c>
      <c r="N46" s="14">
        <v>166666.66666666666</v>
      </c>
      <c r="O46" s="14">
        <v>166666.66666666666</v>
      </c>
      <c r="P46" s="27">
        <f t="shared" si="0"/>
        <v>1666666.6666666667</v>
      </c>
    </row>
    <row r="47" spans="1:16" x14ac:dyDescent="0.2">
      <c r="A47" s="12"/>
      <c r="B47" s="18" t="s">
        <v>49</v>
      </c>
      <c r="C47" s="12"/>
      <c r="D47" s="14"/>
      <c r="E47" s="14"/>
      <c r="F47" s="14"/>
      <c r="G47" s="14">
        <v>6500000</v>
      </c>
      <c r="H47" s="14"/>
      <c r="I47" s="14"/>
      <c r="J47" s="14"/>
      <c r="K47" s="14"/>
      <c r="L47" s="14"/>
      <c r="M47" s="14"/>
      <c r="N47" s="14"/>
      <c r="O47" s="14"/>
      <c r="P47" s="27">
        <f t="shared" si="0"/>
        <v>6500000</v>
      </c>
    </row>
    <row r="48" spans="1:16" x14ac:dyDescent="0.2">
      <c r="A48" s="12"/>
      <c r="B48" s="18" t="s">
        <v>72</v>
      </c>
      <c r="C48" s="12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27">
        <f t="shared" si="0"/>
        <v>0</v>
      </c>
    </row>
    <row r="49" spans="1:16" x14ac:dyDescent="0.2"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6" x14ac:dyDescent="0.2">
      <c r="B50" s="1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 spans="1:16" x14ac:dyDescent="0.2"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6" x14ac:dyDescent="0.2">
      <c r="B52" s="3" t="s">
        <v>63</v>
      </c>
      <c r="C52" t="s">
        <v>33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spans="1:16" x14ac:dyDescent="0.2">
      <c r="A53" s="12"/>
      <c r="B53" s="20" t="s">
        <v>64</v>
      </c>
      <c r="C53" s="12"/>
      <c r="D53" s="14"/>
      <c r="E53" s="14"/>
      <c r="F53" s="14"/>
      <c r="G53" s="14">
        <v>833333.33333333337</v>
      </c>
      <c r="H53" s="14">
        <v>833333.33333333337</v>
      </c>
      <c r="I53" s="14">
        <v>833333.33333333337</v>
      </c>
      <c r="J53" s="14">
        <v>833333.33333333337</v>
      </c>
      <c r="K53" s="14">
        <v>833333.33333333337</v>
      </c>
      <c r="L53" s="14">
        <v>833333.33333333337</v>
      </c>
      <c r="M53" s="14">
        <v>833333.33333333337</v>
      </c>
      <c r="N53" s="14">
        <v>833333.33333333337</v>
      </c>
      <c r="O53" s="14">
        <v>833333.33333333337</v>
      </c>
      <c r="P53" s="27">
        <f t="shared" si="0"/>
        <v>7499999.9999999991</v>
      </c>
    </row>
    <row r="54" spans="1:16" x14ac:dyDescent="0.2">
      <c r="A54" s="12"/>
      <c r="B54" s="18" t="s">
        <v>73</v>
      </c>
      <c r="C54" s="12"/>
      <c r="D54" s="14"/>
      <c r="E54" s="14"/>
      <c r="F54" s="14"/>
      <c r="G54" s="14">
        <v>350000</v>
      </c>
      <c r="H54" s="14">
        <v>350000</v>
      </c>
      <c r="I54" s="14">
        <v>350000</v>
      </c>
      <c r="J54" s="14">
        <v>350000</v>
      </c>
      <c r="K54" s="14">
        <v>350000</v>
      </c>
      <c r="L54" s="14">
        <v>350000</v>
      </c>
      <c r="M54" s="14">
        <v>350000</v>
      </c>
      <c r="N54" s="14">
        <v>350000</v>
      </c>
      <c r="O54" s="14">
        <v>350000</v>
      </c>
      <c r="P54" s="27">
        <f t="shared" si="0"/>
        <v>3150000</v>
      </c>
    </row>
    <row r="55" spans="1:16" x14ac:dyDescent="0.2">
      <c r="A55" s="12"/>
      <c r="B55" s="18" t="s">
        <v>65</v>
      </c>
      <c r="C55" s="12"/>
      <c r="D55" s="14"/>
      <c r="E55" s="14"/>
      <c r="F55" s="14"/>
      <c r="G55" s="14">
        <v>125000</v>
      </c>
      <c r="H55" s="14">
        <v>125000</v>
      </c>
      <c r="I55" s="14">
        <v>125000</v>
      </c>
      <c r="J55" s="14">
        <v>125000</v>
      </c>
      <c r="K55" s="14">
        <v>125000</v>
      </c>
      <c r="L55" s="14">
        <v>125000</v>
      </c>
      <c r="M55" s="14">
        <v>125000</v>
      </c>
      <c r="N55" s="14">
        <v>125000</v>
      </c>
      <c r="O55" s="14">
        <v>125000</v>
      </c>
      <c r="P55" s="27">
        <f t="shared" si="0"/>
        <v>1125000</v>
      </c>
    </row>
    <row r="56" spans="1:16" x14ac:dyDescent="0.2">
      <c r="A56" s="12"/>
      <c r="B56" s="18" t="s">
        <v>66</v>
      </c>
      <c r="C56" s="12"/>
      <c r="D56" s="14"/>
      <c r="E56" s="14"/>
      <c r="F56" s="14"/>
      <c r="G56" s="14">
        <v>250000</v>
      </c>
      <c r="H56" s="14"/>
      <c r="I56" s="14"/>
      <c r="J56" s="14">
        <v>250000</v>
      </c>
      <c r="K56" s="14"/>
      <c r="L56" s="14"/>
      <c r="M56" s="14">
        <v>250000</v>
      </c>
      <c r="N56" s="14"/>
      <c r="O56" s="14"/>
      <c r="P56" s="27">
        <f t="shared" si="0"/>
        <v>750000</v>
      </c>
    </row>
    <row r="57" spans="1:16" x14ac:dyDescent="0.2">
      <c r="A57" s="12"/>
      <c r="B57" s="18" t="s">
        <v>67</v>
      </c>
      <c r="C57" s="12"/>
      <c r="D57" s="14"/>
      <c r="E57" s="14"/>
      <c r="F57" s="14"/>
      <c r="G57" s="14">
        <v>166666.66666666666</v>
      </c>
      <c r="H57" s="14">
        <v>166666.66666666666</v>
      </c>
      <c r="I57" s="14">
        <v>166666.66666666666</v>
      </c>
      <c r="J57" s="14">
        <v>166666.66666666666</v>
      </c>
      <c r="K57" s="14">
        <v>166666.66666666666</v>
      </c>
      <c r="L57" s="14">
        <v>166666.66666666666</v>
      </c>
      <c r="M57" s="14">
        <v>166666.66666666666</v>
      </c>
      <c r="N57" s="14">
        <v>166666.66666666666</v>
      </c>
      <c r="O57" s="14">
        <v>166666.66666666666</v>
      </c>
      <c r="P57" s="27">
        <f t="shared" si="0"/>
        <v>1500000</v>
      </c>
    </row>
    <row r="58" spans="1:16" x14ac:dyDescent="0.2">
      <c r="B58" s="3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spans="1:16" x14ac:dyDescent="0.2"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6" x14ac:dyDescent="0.2">
      <c r="B60" s="4" t="s">
        <v>10</v>
      </c>
      <c r="C60" t="s">
        <v>34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spans="1:16" x14ac:dyDescent="0.2">
      <c r="A61" s="12"/>
      <c r="B61" s="20" t="s">
        <v>57</v>
      </c>
      <c r="C61" s="12"/>
      <c r="D61" s="14"/>
      <c r="E61" s="14"/>
      <c r="F61" s="14"/>
      <c r="G61" s="14">
        <v>1666667</v>
      </c>
      <c r="H61" s="14">
        <v>1666667</v>
      </c>
      <c r="I61" s="14">
        <v>1666667</v>
      </c>
      <c r="J61" s="14">
        <v>1666667</v>
      </c>
      <c r="K61" s="14">
        <v>1666667</v>
      </c>
      <c r="L61" s="14">
        <v>1666667</v>
      </c>
      <c r="M61" s="14">
        <v>1666667</v>
      </c>
      <c r="N61" s="14">
        <v>1666667</v>
      </c>
      <c r="O61" s="14">
        <v>1666667</v>
      </c>
      <c r="P61" s="27">
        <f t="shared" si="0"/>
        <v>15000003</v>
      </c>
    </row>
    <row r="62" spans="1:16" x14ac:dyDescent="0.2">
      <c r="A62" s="12"/>
      <c r="B62" s="20" t="s">
        <v>74</v>
      </c>
      <c r="C62" s="12"/>
      <c r="D62" s="14"/>
      <c r="E62" s="14"/>
      <c r="F62" s="14"/>
      <c r="G62" s="14">
        <v>150000</v>
      </c>
      <c r="H62" s="14">
        <v>150000</v>
      </c>
      <c r="I62" s="14">
        <v>150000</v>
      </c>
      <c r="J62" s="14">
        <v>150000</v>
      </c>
      <c r="K62" s="14">
        <v>150000</v>
      </c>
      <c r="L62" s="14">
        <v>150000</v>
      </c>
      <c r="M62" s="14">
        <v>150000</v>
      </c>
      <c r="N62" s="14">
        <v>150000</v>
      </c>
      <c r="O62" s="14">
        <v>150000</v>
      </c>
      <c r="P62" s="27">
        <f t="shared" si="0"/>
        <v>1350000</v>
      </c>
    </row>
    <row r="63" spans="1:16" x14ac:dyDescent="0.2">
      <c r="A63" s="12"/>
      <c r="B63" s="20" t="s">
        <v>71</v>
      </c>
      <c r="C63" s="12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>
        <v>2000000</v>
      </c>
      <c r="P63" s="27">
        <f t="shared" si="0"/>
        <v>2000000</v>
      </c>
    </row>
    <row r="64" spans="1:16" x14ac:dyDescent="0.2"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 spans="1:16" s="4" customFormat="1" x14ac:dyDescent="0.2">
      <c r="A65" s="15"/>
      <c r="B65" s="15" t="s">
        <v>11</v>
      </c>
      <c r="C65" s="15"/>
      <c r="D65" s="16"/>
      <c r="E65" s="16"/>
      <c r="F65" s="16">
        <f>SUM(F61:F63,F53:F57,F44:F49,F36:F40,F28:F33,F23)</f>
        <v>7585516.479166666</v>
      </c>
      <c r="G65" s="16">
        <f>SUM(G61:G63,G53:G57,G44:G49,G36:G40,G28:G33,G23)</f>
        <v>35043647.6875</v>
      </c>
      <c r="H65" s="16">
        <f>SUM(H61:H63,H53:H57,H44:H49,H36:H40,H28:H33,H23)</f>
        <v>28724020.458333336</v>
      </c>
      <c r="I65" s="16">
        <f>SUM(I61:I63,I53:I57,I44:I49,I36:I40,I28:I33,I23)</f>
        <v>39474020.458333328</v>
      </c>
      <c r="J65" s="16">
        <f>SUM(J61:J63,J53:J57,J44:J49,J36:J40,J28:J33,J23)</f>
        <v>28974020.458333336</v>
      </c>
      <c r="K65" s="16">
        <f>SUM(K61:K63,K53:K57,K44:K49,K36:K40,K28:K33,K23)</f>
        <v>28724020.458333336</v>
      </c>
      <c r="L65" s="16">
        <f>SUM(L61:L63,L53:L57,L44:L49,L36:L40,L28:L33,L23)</f>
        <v>36474020.458333328</v>
      </c>
      <c r="M65" s="16">
        <f>SUM(M61,M53:M57,M44:M49,M36:M40,M28:M33,M23)</f>
        <v>28824020.458333336</v>
      </c>
      <c r="N65" s="16">
        <f>SUM(N61:N63,N53:N57,N44:N49,N36:N40,N28:N33,N23)</f>
        <v>28724020.458333336</v>
      </c>
      <c r="O65" s="16">
        <f>SUM(O61:O63,O53:O57,O44:O49,O36:O40,O28:O33,O23)</f>
        <v>38474020.458333328</v>
      </c>
      <c r="P65" s="31">
        <f t="shared" si="0"/>
        <v>301021327.83333331</v>
      </c>
    </row>
    <row r="66" spans="1:16" x14ac:dyDescent="0.2"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 spans="1:16" x14ac:dyDescent="0.2"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6" x14ac:dyDescent="0.2"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</row>
    <row r="69" spans="1:16" x14ac:dyDescent="0.2">
      <c r="A69" s="9" t="s">
        <v>12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f t="shared" si="0"/>
        <v>0</v>
      </c>
    </row>
    <row r="70" spans="1:16" x14ac:dyDescent="0.2">
      <c r="A70" s="12"/>
      <c r="B70" s="18" t="s">
        <v>53</v>
      </c>
      <c r="C70" s="12"/>
      <c r="D70" s="14"/>
      <c r="E70" s="14"/>
      <c r="F70" s="14"/>
      <c r="G70" s="14">
        <v>333333.33333333331</v>
      </c>
      <c r="H70" s="14">
        <v>333333.33333333331</v>
      </c>
      <c r="I70" s="14">
        <v>333333.33333333331</v>
      </c>
      <c r="J70" s="14">
        <v>333333.33333333331</v>
      </c>
      <c r="K70" s="14">
        <v>333333.33333333331</v>
      </c>
      <c r="L70" s="14">
        <v>333333.33333333331</v>
      </c>
      <c r="M70" s="14">
        <v>333333.33333333331</v>
      </c>
      <c r="N70" s="14">
        <v>333333.33333333331</v>
      </c>
      <c r="O70" s="14">
        <v>1333333</v>
      </c>
      <c r="P70" s="27">
        <f t="shared" si="0"/>
        <v>3999999.6666666665</v>
      </c>
    </row>
    <row r="71" spans="1:16" s="36" customFormat="1" x14ac:dyDescent="0.2">
      <c r="A71" s="32"/>
      <c r="B71" s="33" t="s">
        <v>13</v>
      </c>
      <c r="C71" s="32" t="s">
        <v>35</v>
      </c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5">
        <f t="shared" si="0"/>
        <v>0</v>
      </c>
    </row>
    <row r="72" spans="1:16" s="36" customFormat="1" x14ac:dyDescent="0.2">
      <c r="A72" s="32"/>
      <c r="B72" s="33" t="s">
        <v>15</v>
      </c>
      <c r="C72" s="32" t="s">
        <v>36</v>
      </c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5">
        <f t="shared" si="0"/>
        <v>0</v>
      </c>
    </row>
    <row r="73" spans="1:16" x14ac:dyDescent="0.2">
      <c r="A73" s="12"/>
      <c r="B73" s="18" t="s">
        <v>54</v>
      </c>
      <c r="C73" s="12" t="s">
        <v>37</v>
      </c>
      <c r="D73" s="14"/>
      <c r="F73" s="14">
        <v>250000</v>
      </c>
      <c r="G73" s="14">
        <v>250000</v>
      </c>
      <c r="H73" s="14">
        <v>250000</v>
      </c>
      <c r="I73" s="14">
        <v>250000</v>
      </c>
      <c r="J73" s="14">
        <v>250000</v>
      </c>
      <c r="K73" s="14">
        <v>250000</v>
      </c>
      <c r="L73" s="14">
        <v>250000</v>
      </c>
      <c r="M73" s="14">
        <v>250000</v>
      </c>
      <c r="N73" s="14">
        <v>250000</v>
      </c>
      <c r="O73" s="14">
        <v>250000</v>
      </c>
      <c r="P73" s="27">
        <f t="shared" si="0"/>
        <v>2500000</v>
      </c>
    </row>
    <row r="74" spans="1:16" x14ac:dyDescent="0.2">
      <c r="A74" s="12"/>
      <c r="B74" s="18" t="s">
        <v>55</v>
      </c>
      <c r="C74" s="12"/>
      <c r="D74" s="14"/>
      <c r="E74" s="14"/>
      <c r="F74" s="14"/>
      <c r="G74" s="14">
        <v>208333.33333333334</v>
      </c>
      <c r="H74" s="14">
        <v>208333.33333333334</v>
      </c>
      <c r="I74" s="14">
        <v>208333.33333333334</v>
      </c>
      <c r="J74" s="14">
        <v>208333.33333333334</v>
      </c>
      <c r="K74" s="14">
        <v>208333.33333333334</v>
      </c>
      <c r="L74" s="14">
        <v>208333.33333333334</v>
      </c>
      <c r="M74" s="14">
        <v>208333.33333333334</v>
      </c>
      <c r="N74" s="14">
        <v>208333.33333333334</v>
      </c>
      <c r="O74" s="14">
        <v>208333.33333333334</v>
      </c>
      <c r="P74" s="27">
        <f t="shared" si="0"/>
        <v>1874999.9999999998</v>
      </c>
    </row>
    <row r="75" spans="1:16" x14ac:dyDescent="0.2">
      <c r="A75" s="12"/>
      <c r="B75" s="18" t="s">
        <v>56</v>
      </c>
      <c r="C75" s="12"/>
      <c r="D75" s="14"/>
      <c r="E75" s="14"/>
      <c r="F75" s="14"/>
      <c r="G75" s="14">
        <v>125000</v>
      </c>
      <c r="H75" s="14">
        <v>125000</v>
      </c>
      <c r="I75" s="14">
        <v>125000</v>
      </c>
      <c r="J75" s="14">
        <v>125000</v>
      </c>
      <c r="K75" s="14">
        <v>125000</v>
      </c>
      <c r="L75" s="14">
        <v>125000</v>
      </c>
      <c r="M75" s="14">
        <v>125000</v>
      </c>
      <c r="N75" s="14">
        <v>125000</v>
      </c>
      <c r="O75" s="14">
        <v>125000</v>
      </c>
      <c r="P75" s="27">
        <f t="shared" si="0"/>
        <v>1125000</v>
      </c>
    </row>
    <row r="76" spans="1:16" x14ac:dyDescent="0.2">
      <c r="A76" s="12"/>
      <c r="B76" s="18" t="s">
        <v>14</v>
      </c>
      <c r="C76" s="12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27">
        <f t="shared" si="0"/>
        <v>0</v>
      </c>
    </row>
    <row r="77" spans="1:16" s="4" customFormat="1" x14ac:dyDescent="0.2">
      <c r="A77" s="15"/>
      <c r="B77" s="15" t="s">
        <v>16</v>
      </c>
      <c r="C77" s="15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31">
        <f t="shared" ref="P77:P94" si="4">SUM(D77:O77)</f>
        <v>0</v>
      </c>
    </row>
    <row r="78" spans="1:16" x14ac:dyDescent="0.2"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</row>
    <row r="83" spans="1:16" x14ac:dyDescent="0.2">
      <c r="A83" s="9"/>
      <c r="B83" s="10" t="s">
        <v>17</v>
      </c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f t="shared" si="4"/>
        <v>0</v>
      </c>
    </row>
    <row r="84" spans="1:16" x14ac:dyDescent="0.2">
      <c r="A84" s="12"/>
      <c r="B84" s="18" t="s">
        <v>18</v>
      </c>
      <c r="C84" s="12" t="s">
        <v>38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27">
        <f t="shared" si="4"/>
        <v>0</v>
      </c>
    </row>
    <row r="85" spans="1:16" x14ac:dyDescent="0.2">
      <c r="A85" s="12"/>
      <c r="B85" s="18" t="s">
        <v>19</v>
      </c>
      <c r="C85" s="12" t="s">
        <v>39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27">
        <f t="shared" si="4"/>
        <v>0</v>
      </c>
    </row>
    <row r="86" spans="1:16" s="4" customFormat="1" x14ac:dyDescent="0.2">
      <c r="A86" s="15"/>
      <c r="B86" s="15" t="s">
        <v>20</v>
      </c>
      <c r="C86" s="15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31">
        <f t="shared" si="4"/>
        <v>0</v>
      </c>
    </row>
    <row r="91" spans="1:16" x14ac:dyDescent="0.2">
      <c r="A91" s="9"/>
      <c r="B91" s="10" t="s">
        <v>21</v>
      </c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f t="shared" si="4"/>
        <v>0</v>
      </c>
    </row>
    <row r="92" spans="1:16" x14ac:dyDescent="0.2">
      <c r="B92" t="s">
        <v>6</v>
      </c>
    </row>
    <row r="93" spans="1:16" x14ac:dyDescent="0.2">
      <c r="B93" t="s">
        <v>22</v>
      </c>
    </row>
    <row r="94" spans="1:16" x14ac:dyDescent="0.2">
      <c r="B9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A328C-A4C6-4ABB-B276-14082A076277}">
  <dimension ref="A1"/>
  <sheetViews>
    <sheetView workbookViewId="0">
      <selection activeCell="D21" sqref="D21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3882-C0D2-49C8-BBC8-15141FF74F9E}">
  <dimension ref="A1"/>
  <sheetViews>
    <sheetView workbookViewId="0">
      <selection activeCell="E4" sqref="E4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Sal</vt:lpstr>
      <vt:lpstr>Facility Rentals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Temi Kolawole</cp:lastModifiedBy>
  <dcterms:created xsi:type="dcterms:W3CDTF">2025-03-10T12:35:29Z</dcterms:created>
  <dcterms:modified xsi:type="dcterms:W3CDTF">2025-04-02T12:48:02Z</dcterms:modified>
</cp:coreProperties>
</file>