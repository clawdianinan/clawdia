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60" yWindow="620" windowWidth="28520" windowHeight="16240" tabRatio="600" firstSheet="1" activeTab="1" autoFilterDateGrouping="1"/>
  </bookViews>
  <sheets>
    <sheet name="Draft Budget" sheetId="1" state="visible" r:id="rId1"/>
    <sheet name="Full Year (2026)" sheetId="2" state="visible" r:id="rId2"/>
    <sheet name="Full Year (2025)" sheetId="3" state="visible" r:id="rId3"/>
    <sheet name="Quarterly (Q3)" sheetId="4" state="visible" r:id="rId4"/>
    <sheet name="Quarterly (Q2)" sheetId="5" state="visible" r:id="rId5"/>
    <sheet name="Q2 Summary" sheetId="6" state="visible" r:id="rId6"/>
    <sheet name="Q3 Summary" sheetId="7" state="visible" r:id="rId7"/>
    <sheet name="Q2 One-Time VS Recurring Costs" sheetId="8" state="visible" r:id="rId8"/>
    <sheet name="Salaries1" sheetId="9" state="visible" r:id="rId9"/>
    <sheet name="Others" sheetId="10" state="visible" r:id="rId10"/>
    <sheet name="Membership Fees" sheetId="11" state="visible" r:id="rId11"/>
    <sheet name="Diesel" sheetId="12" state="visible" r:id="rId12"/>
    <sheet name="Salaries" sheetId="13" state="hidden" r:id="rId13"/>
    <sheet name="Rental, Hosting &amp; Sponsorships" sheetId="14" state="hidden" r:id="rId14"/>
  </sheets>
  <definedNames/>
  <calcPr calcId="191029" fullCalcOnLoad="1"/>
</workbook>
</file>

<file path=xl/styles.xml><?xml version="1.0" encoding="utf-8"?>
<styleSheet xmlns="http://schemas.openxmlformats.org/spreadsheetml/2006/main">
  <numFmts count="4">
    <numFmt numFmtId="164" formatCode="_(* #,##0_);_(* \(#,##0\);_(* &quot;-&quot;??_);_(@_)"/>
    <numFmt numFmtId="165" formatCode="_-* #,##0_-;\-* #,##0_-;_-* &quot;-&quot;??_-;_-@_-"/>
    <numFmt numFmtId="166" formatCode="_-* #,##0.00_-;\-* #,##0.00_-;_-* &quot;-&quot;??_-;_-@_-"/>
    <numFmt numFmtId="167" formatCode="_(* #,##0.0_);_(* \(#,##0.0\);_(* &quot;-&quot;?_);_(@_)"/>
  </numFmts>
  <fonts count="34">
    <font>
      <name val="Calibri"/>
      <family val="2"/>
      <color theme="1"/>
      <sz val="11"/>
      <scheme val="minor"/>
    </font>
    <font>
      <name val="Calibri"/>
      <family val="2"/>
      <b val="1"/>
      <color theme="1"/>
      <sz val="11"/>
      <scheme val="minor"/>
    </font>
    <font>
      <name val="Calibri"/>
      <family val="2"/>
      <color theme="1"/>
      <sz val="11"/>
      <scheme val="minor"/>
    </font>
    <font>
      <name val="Arial"/>
      <family val="2"/>
      <color rgb="FF000000"/>
      <sz val="10"/>
    </font>
    <font>
      <name val="Arial"/>
      <family val="2"/>
      <b val="1"/>
      <color rgb="FF000000"/>
      <sz val="10"/>
    </font>
    <font>
      <name val="Calibri"/>
      <family val="2"/>
      <b val="1"/>
      <color theme="0"/>
      <sz val="11"/>
      <scheme val="minor"/>
    </font>
    <font>
      <name val="Arial"/>
      <family val="2"/>
      <color theme="0"/>
      <sz val="11"/>
    </font>
    <font>
      <name val="Calibri"/>
      <family val="2"/>
      <color theme="0"/>
      <sz val="11"/>
      <scheme val="minor"/>
    </font>
    <font>
      <name val="Calibri"/>
      <family val="2"/>
      <color rgb="FFC00000"/>
      <sz val="11"/>
      <scheme val="minor"/>
    </font>
    <font>
      <name val="Arial"/>
      <family val="2"/>
      <color rgb="FFC00000"/>
      <sz val="10"/>
    </font>
    <font>
      <name val="Calibri"/>
      <family val="2"/>
      <b val="1"/>
      <color rgb="FFC00000"/>
      <sz val="11"/>
      <scheme val="minor"/>
    </font>
    <font>
      <name val="Calibri"/>
      <family val="2"/>
      <b val="1"/>
      <color theme="0"/>
      <sz val="11"/>
    </font>
    <font>
      <name val="Calibri"/>
      <family val="2"/>
      <sz val="8"/>
      <scheme val="minor"/>
    </font>
    <font>
      <name val="Arial"/>
      <family val="2"/>
      <sz val="10"/>
    </font>
    <font>
      <name val="Aptos"/>
      <family val="2"/>
      <b val="1"/>
      <color theme="1"/>
      <sz val="12"/>
    </font>
    <font>
      <name val="Calibri"/>
      <family val="2"/>
      <color rgb="FFFF0000"/>
      <sz val="11"/>
    </font>
    <font>
      <name val="Aptos"/>
      <family val="2"/>
      <b val="1"/>
      <color theme="0"/>
      <sz val="11"/>
    </font>
    <font>
      <name val="Aptos"/>
      <family val="2"/>
      <color theme="1"/>
      <sz val="11"/>
    </font>
    <font>
      <name val="Aptos"/>
      <family val="2"/>
      <b val="1"/>
      <color theme="1"/>
      <sz val="11"/>
    </font>
    <font>
      <name val="Calibri"/>
      <family val="2"/>
      <sz val="11"/>
      <scheme val="minor"/>
    </font>
    <font>
      <name val="Calibri"/>
      <family val="2"/>
      <b val="1"/>
      <sz val="11"/>
      <scheme val="minor"/>
    </font>
    <font>
      <name val="Calibri"/>
      <family val="2"/>
      <color rgb="FF000000"/>
      <sz val="11"/>
      <scheme val="minor"/>
    </font>
    <font>
      <name val="Calibri"/>
      <family val="2"/>
      <color rgb="FF008732"/>
      <sz val="11"/>
      <scheme val="minor"/>
    </font>
    <font>
      <name val="Arial"/>
      <family val="2"/>
      <color rgb="FF008732"/>
      <sz val="10"/>
    </font>
    <font>
      <name val="Calibri"/>
      <family val="2"/>
      <b val="1"/>
      <color rgb="FF008732"/>
      <sz val="11"/>
      <scheme val="minor"/>
    </font>
    <font>
      <name val="Avenir Book"/>
      <family val="2"/>
      <color theme="1"/>
      <sz val="14"/>
    </font>
    <font>
      <name val="Avenir Book"/>
      <family val="2"/>
      <b val="1"/>
      <color theme="1"/>
      <sz val="14"/>
    </font>
    <font>
      <name val="Calibri"/>
      <family val="2"/>
      <color theme="1"/>
      <sz val="14"/>
      <scheme val="minor"/>
    </font>
    <font>
      <name val="Times New Roman"/>
      <family val="1"/>
      <b val="1"/>
      <color theme="1"/>
      <sz val="14"/>
    </font>
    <font>
      <name val="Avenir Book"/>
      <family val="2"/>
      <b val="1"/>
      <sz val="14"/>
    </font>
    <font>
      <name val="Avenir Book"/>
      <family val="2"/>
      <sz val="14"/>
    </font>
    <font>
      <name val="Calibri"/>
      <family val="2"/>
      <b val="1"/>
      <color theme="1"/>
      <sz val="10"/>
      <scheme val="minor"/>
    </font>
    <font>
      <name val="Avenir Book"/>
      <family val="2"/>
      <color rgb="FF000000"/>
      <sz val="14"/>
    </font>
    <font>
      <name val="Aptos"/>
      <b val="1"/>
      <color theme="1"/>
      <sz val="11"/>
    </font>
  </fonts>
  <fills count="12">
    <fill>
      <patternFill/>
    </fill>
    <fill>
      <patternFill patternType="gray125"/>
    </fill>
    <fill>
      <patternFill patternType="solid">
        <fgColor rgb="FF00B050"/>
        <bgColor indexed="64"/>
      </patternFill>
    </fill>
    <fill>
      <patternFill patternType="solid">
        <fgColor theme="8" tint="0.5999633777886288"/>
        <bgColor indexed="64"/>
      </patternFill>
    </fill>
    <fill>
      <patternFill patternType="solid">
        <fgColor rgb="FF008732"/>
        <bgColor indexed="64"/>
      </patternFill>
    </fill>
    <fill>
      <patternFill patternType="solid">
        <fgColor theme="6" tint="0.3999755851924192"/>
        <bgColor indexed="64"/>
      </patternFill>
    </fill>
    <fill>
      <patternFill patternType="solid">
        <fgColor theme="0" tint="-0.1499984740745262"/>
        <bgColor indexed="64"/>
      </patternFill>
    </fill>
    <fill>
      <patternFill patternType="solid">
        <fgColor theme="6" tint="0.7999816888943144"/>
        <bgColor indexed="64"/>
      </patternFill>
    </fill>
    <fill>
      <patternFill patternType="solid">
        <fgColor rgb="FFFFFF00"/>
        <bgColor indexed="64"/>
      </patternFill>
    </fill>
    <fill>
      <patternFill patternType="solid">
        <fgColor theme="1"/>
        <bgColor indexed="64"/>
      </patternFill>
    </fill>
    <fill>
      <patternFill patternType="solid">
        <fgColor rgb="FFFF0000"/>
        <bgColor indexed="64"/>
      </patternFill>
    </fill>
    <fill>
      <patternFill patternType="solid">
        <fgColor theme="8" tint="0.5999938962981048"/>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style="thin">
        <color theme="0" tint="-0.3499862666707358"/>
      </left>
      <right/>
      <top style="thin">
        <color theme="0" tint="-0.3499862666707358"/>
      </top>
      <bottom/>
      <diagonal/>
    </border>
    <border>
      <left style="thin">
        <color rgb="FF008732"/>
      </left>
      <right style="dashed">
        <color theme="0" tint="-0.1499679555650502"/>
      </right>
      <top style="thin">
        <color rgb="FF008732"/>
      </top>
      <bottom style="dashed">
        <color theme="0" tint="-0.1499679555650502"/>
      </bottom>
      <diagonal/>
    </border>
    <border>
      <left style="dashed">
        <color theme="0" tint="-0.1499679555650502"/>
      </left>
      <right style="dashed">
        <color theme="0" tint="-0.1499679555650502"/>
      </right>
      <top style="thin">
        <color rgb="FF008732"/>
      </top>
      <bottom style="dashed">
        <color theme="0" tint="-0.1499679555650502"/>
      </bottom>
      <diagonal/>
    </border>
    <border>
      <left style="dashed">
        <color theme="0" tint="-0.1499679555650502"/>
      </left>
      <right style="thin">
        <color rgb="FF008732"/>
      </right>
      <top style="thin">
        <color rgb="FF008732"/>
      </top>
      <bottom style="dashed">
        <color theme="0" tint="-0.1499679555650502"/>
      </bottom>
      <diagonal/>
    </border>
    <border>
      <left style="thin">
        <color rgb="FF008732"/>
      </left>
      <right style="dashed">
        <color theme="0" tint="-0.1499679555650502"/>
      </right>
      <top style="dashed">
        <color theme="0" tint="-0.1499679555650502"/>
      </top>
      <bottom style="dashed">
        <color theme="0" tint="-0.1499679555650502"/>
      </bottom>
      <diagonal/>
    </border>
    <border>
      <left style="dashed">
        <color theme="0" tint="-0.1499679555650502"/>
      </left>
      <right style="dashed">
        <color theme="0" tint="-0.1499679555650502"/>
      </right>
      <top style="dashed">
        <color theme="0" tint="-0.1499679555650502"/>
      </top>
      <bottom style="dashed">
        <color theme="0" tint="-0.1499679555650502"/>
      </bottom>
      <diagonal/>
    </border>
    <border>
      <left style="dashed">
        <color theme="0" tint="-0.1499679555650502"/>
      </left>
      <right style="thin">
        <color rgb="FF008732"/>
      </right>
      <top style="dashed">
        <color theme="0" tint="-0.1499679555650502"/>
      </top>
      <bottom style="dashed">
        <color theme="0" tint="-0.1499679555650502"/>
      </bottom>
      <diagonal/>
    </border>
    <border>
      <left style="thin">
        <color rgb="FF008732"/>
      </left>
      <right style="dashed">
        <color theme="0" tint="-0.1499679555650502"/>
      </right>
      <top style="dashed">
        <color theme="0" tint="-0.1499679555650502"/>
      </top>
      <bottom style="thin">
        <color rgb="FF008732"/>
      </bottom>
      <diagonal/>
    </border>
    <border>
      <left style="dashed">
        <color theme="0" tint="-0.1499679555650502"/>
      </left>
      <right style="dashed">
        <color theme="0" tint="-0.1499679555650502"/>
      </right>
      <top style="dashed">
        <color theme="0" tint="-0.1499679555650502"/>
      </top>
      <bottom style="thin">
        <color rgb="FF008732"/>
      </bottom>
      <diagonal/>
    </border>
    <border>
      <left style="dashed">
        <color theme="0" tint="-0.1499679555650502"/>
      </left>
      <right style="thin">
        <color rgb="FF008732"/>
      </right>
      <top style="dashed">
        <color theme="0" tint="-0.1499679555650502"/>
      </top>
      <bottom style="thin">
        <color rgb="FF008732"/>
      </bottom>
      <diagonal/>
    </border>
    <border>
      <left/>
      <right/>
      <top/>
      <bottom style="thin">
        <color rgb="FF008732"/>
      </bottom>
      <diagonal/>
    </border>
    <border>
      <left/>
      <right style="dashed">
        <color theme="0" tint="-0.1499679555650502"/>
      </right>
      <top style="dashed">
        <color theme="0" tint="-0.1499679555650502"/>
      </top>
      <bottom style="thin">
        <color rgb="FF00873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
      <left style="medium">
        <color indexed="64"/>
      </left>
      <right style="medium">
        <color indexed="64"/>
      </right>
      <top style="medium">
        <color indexed="64"/>
      </top>
      <bottom/>
      <diagonal/>
    </border>
  </borders>
  <cellStyleXfs count="3">
    <xf numFmtId="0" fontId="2" fillId="0" borderId="0"/>
    <xf numFmtId="43" fontId="2" fillId="0" borderId="0"/>
    <xf numFmtId="9" fontId="2" fillId="0" borderId="0"/>
  </cellStyleXfs>
  <cellXfs count="231">
    <xf numFmtId="0" fontId="0" fillId="0" borderId="0" pivotButton="0" quotePrefix="0" xfId="0"/>
    <xf numFmtId="0" fontId="3" fillId="0" borderId="0" applyAlignment="1" pivotButton="0" quotePrefix="0" xfId="0">
      <alignment horizontal="left" indent="1"/>
    </xf>
    <xf numFmtId="0" fontId="4" fillId="0" borderId="0" pivotButton="0" quotePrefix="0" xfId="0"/>
    <xf numFmtId="0" fontId="1" fillId="0" borderId="0" pivotButton="0" quotePrefix="0" xfId="0"/>
    <xf numFmtId="0" fontId="1" fillId="0" borderId="0" applyAlignment="1" pivotButton="0" quotePrefix="0" xfId="0">
      <alignment horizontal="center" vertical="top"/>
    </xf>
    <xf numFmtId="0" fontId="1" fillId="0" borderId="0" applyAlignment="1" pivotButton="0" quotePrefix="0" xfId="0">
      <alignment horizontal="left"/>
    </xf>
    <xf numFmtId="164" fontId="0" fillId="0" borderId="0" pivotButton="0" quotePrefix="0" xfId="1"/>
    <xf numFmtId="0" fontId="1" fillId="2" borderId="0" pivotButton="0" quotePrefix="0" xfId="0"/>
    <xf numFmtId="0" fontId="0" fillId="2" borderId="0" pivotButton="0" quotePrefix="0" xfId="0"/>
    <xf numFmtId="164" fontId="0" fillId="2" borderId="0" pivotButton="0" quotePrefix="0" xfId="1"/>
    <xf numFmtId="0" fontId="0" fillId="0" borderId="2" pivotButton="0" quotePrefix="0" xfId="0"/>
    <xf numFmtId="0" fontId="0" fillId="0" borderId="2" applyAlignment="1" pivotButton="0" quotePrefix="0" xfId="0">
      <alignment horizontal="left" indent="1"/>
    </xf>
    <xf numFmtId="164" fontId="0" fillId="0" borderId="2" pivotButton="0" quotePrefix="0" xfId="1"/>
    <xf numFmtId="0" fontId="1" fillId="3" borderId="2" pivotButton="0" quotePrefix="0" xfId="0"/>
    <xf numFmtId="164" fontId="1" fillId="3" borderId="2" pivotButton="0" quotePrefix="0" xfId="1"/>
    <xf numFmtId="0" fontId="3" fillId="0" borderId="2" applyAlignment="1" pivotButton="0" quotePrefix="0" xfId="0">
      <alignment horizontal="left" indent="1"/>
    </xf>
    <xf numFmtId="164" fontId="3" fillId="0" borderId="2" pivotButton="0" quotePrefix="0" xfId="1"/>
    <xf numFmtId="0" fontId="3" fillId="0" borderId="2" applyAlignment="1" pivotButton="0" quotePrefix="0" xfId="0">
      <alignment horizontal="left" wrapText="1" indent="1"/>
    </xf>
    <xf numFmtId="0" fontId="5" fillId="4" borderId="1" applyAlignment="1" pivotButton="0" quotePrefix="0" xfId="0">
      <alignment horizontal="center"/>
    </xf>
    <xf numFmtId="17" fontId="6" fillId="4" borderId="0" pivotButton="0" quotePrefix="0" xfId="0"/>
    <xf numFmtId="3" fontId="3" fillId="0" borderId="2" pivotButton="0" quotePrefix="0" xfId="0"/>
    <xf numFmtId="3" fontId="0" fillId="0" borderId="0" applyAlignment="1" pivotButton="0" quotePrefix="0" xfId="0">
      <alignment horizontal="center"/>
    </xf>
    <xf numFmtId="3" fontId="7" fillId="4" borderId="0" applyAlignment="1" pivotButton="0" quotePrefix="0" xfId="0">
      <alignment horizontal="center"/>
    </xf>
    <xf numFmtId="3" fontId="0" fillId="5" borderId="2" applyAlignment="1" pivotButton="0" quotePrefix="0" xfId="0">
      <alignment horizontal="center"/>
    </xf>
    <xf numFmtId="3" fontId="1" fillId="5" borderId="2" applyAlignment="1" pivotButton="0" quotePrefix="0" xfId="0">
      <alignment horizontal="center"/>
    </xf>
    <xf numFmtId="3" fontId="1" fillId="5" borderId="3" applyAlignment="1" pivotButton="0" quotePrefix="0" xfId="0">
      <alignment horizontal="center"/>
    </xf>
    <xf numFmtId="3" fontId="1" fillId="5" borderId="4" applyAlignment="1" pivotButton="0" quotePrefix="0" xfId="0">
      <alignment horizontal="center"/>
    </xf>
    <xf numFmtId="3" fontId="1" fillId="5" borderId="5" applyAlignment="1" pivotButton="0" quotePrefix="0" xfId="0">
      <alignment horizontal="center"/>
    </xf>
    <xf numFmtId="37" fontId="1" fillId="3" borderId="2" applyAlignment="1" pivotButton="0" quotePrefix="0" xfId="1">
      <alignment horizontal="center"/>
    </xf>
    <xf numFmtId="0" fontId="8" fillId="0" borderId="2" pivotButton="0" quotePrefix="0" xfId="0"/>
    <xf numFmtId="0" fontId="9" fillId="0" borderId="2" applyAlignment="1" pivotButton="0" quotePrefix="0" xfId="0">
      <alignment horizontal="left" indent="1"/>
    </xf>
    <xf numFmtId="164" fontId="8" fillId="0" borderId="2" pivotButton="0" quotePrefix="0" xfId="1"/>
    <xf numFmtId="3" fontId="10" fillId="5" borderId="2" applyAlignment="1" pivotButton="0" quotePrefix="0" xfId="0">
      <alignment horizontal="center"/>
    </xf>
    <xf numFmtId="0" fontId="8" fillId="0" borderId="0" pivotButton="0" quotePrefix="0" xfId="0"/>
    <xf numFmtId="164" fontId="0" fillId="0" borderId="0" pivotButton="0" quotePrefix="0" xfId="0"/>
    <xf numFmtId="38" fontId="0" fillId="0" borderId="0" pivotButton="0" quotePrefix="0" xfId="0"/>
    <xf numFmtId="0" fontId="0" fillId="0" borderId="0" applyAlignment="1" pivotButton="0" quotePrefix="0" xfId="0">
      <alignment horizontal="center"/>
    </xf>
    <xf numFmtId="38" fontId="0" fillId="0" borderId="0" applyAlignment="1" pivotButton="0" quotePrefix="0" xfId="0">
      <alignment horizontal="center"/>
    </xf>
    <xf numFmtId="0" fontId="0" fillId="0" borderId="9" pivotButton="0" quotePrefix="0" xfId="0"/>
    <xf numFmtId="38" fontId="0" fillId="0" borderId="10" pivotButton="0" quotePrefix="0" xfId="0"/>
    <xf numFmtId="0" fontId="0" fillId="0" borderId="10" applyAlignment="1" pivotButton="0" quotePrefix="0" xfId="0">
      <alignment horizontal="center"/>
    </xf>
    <xf numFmtId="0" fontId="0" fillId="0" borderId="11" applyAlignment="1" pivotButton="0" quotePrefix="0" xfId="0">
      <alignment horizontal="center"/>
    </xf>
    <xf numFmtId="0" fontId="0" fillId="0" borderId="12" pivotButton="0" quotePrefix="0" xfId="0"/>
    <xf numFmtId="0" fontId="0" fillId="4" borderId="6" pivotButton="0" quotePrefix="0" xfId="0"/>
    <xf numFmtId="0" fontId="5" fillId="4" borderId="6" pivotButton="0" quotePrefix="0" xfId="0"/>
    <xf numFmtId="0" fontId="5" fillId="4" borderId="7" applyAlignment="1" pivotButton="0" quotePrefix="0" xfId="0">
      <alignment horizontal="center"/>
    </xf>
    <xf numFmtId="0" fontId="5" fillId="4" borderId="8" applyAlignment="1" pivotButton="0" quotePrefix="0" xfId="0">
      <alignment horizontal="center"/>
    </xf>
    <xf numFmtId="0" fontId="5" fillId="6" borderId="7" pivotButton="0" quotePrefix="0" xfId="0"/>
    <xf numFmtId="38" fontId="0" fillId="6" borderId="10" pivotButton="0" quotePrefix="0" xfId="0"/>
    <xf numFmtId="38" fontId="0" fillId="0" borderId="10" applyAlignment="1" pivotButton="0" quotePrefix="0" xfId="0">
      <alignment horizontal="center"/>
    </xf>
    <xf numFmtId="0" fontId="1" fillId="7" borderId="12" pivotButton="0" quotePrefix="0" xfId="0"/>
    <xf numFmtId="0" fontId="1" fillId="7" borderId="13" applyAlignment="1" pivotButton="0" quotePrefix="0" xfId="0">
      <alignment horizontal="center"/>
    </xf>
    <xf numFmtId="0" fontId="1" fillId="7" borderId="13" pivotButton="0" quotePrefix="0" xfId="0"/>
    <xf numFmtId="38" fontId="1" fillId="7" borderId="13" applyAlignment="1" pivotButton="0" quotePrefix="0" xfId="0">
      <alignment horizontal="center"/>
    </xf>
    <xf numFmtId="38" fontId="1" fillId="7" borderId="14" applyAlignment="1" pivotButton="0" quotePrefix="0" xfId="0">
      <alignment horizontal="center"/>
    </xf>
    <xf numFmtId="38" fontId="0" fillId="0" borderId="11" applyAlignment="1" pivotButton="0" quotePrefix="0" xfId="0">
      <alignment horizontal="center"/>
    </xf>
    <xf numFmtId="0" fontId="5" fillId="4" borderId="0" applyAlignment="1" pivotButton="0" quotePrefix="0" xfId="0">
      <alignment horizontal="center"/>
    </xf>
    <xf numFmtId="9" fontId="0" fillId="0" borderId="2" pivotButton="0" quotePrefix="0" xfId="0"/>
    <xf numFmtId="0" fontId="0" fillId="0" borderId="10" pivotButton="0" quotePrefix="0" xfId="0"/>
    <xf numFmtId="0" fontId="13" fillId="0" borderId="2" applyAlignment="1" pivotButton="0" quotePrefix="0" xfId="0">
      <alignment horizontal="left" indent="1"/>
    </xf>
    <xf numFmtId="0" fontId="13" fillId="0" borderId="2" applyAlignment="1" pivotButton="0" quotePrefix="0" xfId="0">
      <alignment horizontal="left" wrapText="1" indent="1"/>
    </xf>
    <xf numFmtId="0" fontId="0" fillId="0" borderId="12" applyAlignment="1" pivotButton="0" quotePrefix="0" xfId="0">
      <alignment wrapText="1"/>
    </xf>
    <xf numFmtId="0" fontId="0" fillId="0" borderId="9" applyAlignment="1" pivotButton="0" quotePrefix="0" xfId="0">
      <alignment wrapText="1"/>
    </xf>
    <xf numFmtId="38" fontId="0" fillId="0" borderId="10" applyAlignment="1" pivotButton="0" quotePrefix="0" xfId="0">
      <alignment horizontal="center" vertical="center"/>
    </xf>
    <xf numFmtId="38" fontId="0" fillId="0" borderId="11" applyAlignment="1" pivotButton="0" quotePrefix="0" xfId="0">
      <alignment horizontal="center" vertical="center"/>
    </xf>
    <xf numFmtId="0" fontId="0" fillId="0" borderId="13" applyAlignment="1" pivotButton="0" quotePrefix="0" xfId="0">
      <alignment horizontal="center" vertical="center"/>
    </xf>
    <xf numFmtId="0" fontId="0" fillId="0" borderId="14" applyAlignment="1" pivotButton="0" quotePrefix="0" xfId="0">
      <alignment horizontal="center" vertical="center"/>
    </xf>
    <xf numFmtId="38" fontId="0" fillId="0" borderId="13" applyAlignment="1" pivotButton="0" quotePrefix="0" xfId="0">
      <alignment horizontal="center" vertical="center"/>
    </xf>
    <xf numFmtId="38" fontId="0" fillId="0" borderId="14" applyAlignment="1" pivotButton="0" quotePrefix="0" xfId="0">
      <alignment horizontal="center" vertical="center"/>
    </xf>
    <xf numFmtId="38" fontId="0" fillId="8" borderId="10" applyAlignment="1" pivotButton="0" quotePrefix="0" xfId="0">
      <alignment horizontal="center"/>
    </xf>
    <xf numFmtId="0" fontId="1" fillId="0" borderId="12" pivotButton="0" quotePrefix="0" xfId="0"/>
    <xf numFmtId="38" fontId="1" fillId="0" borderId="13" pivotButton="0" quotePrefix="0" xfId="0"/>
    <xf numFmtId="38" fontId="1" fillId="0" borderId="14" pivotButton="0" quotePrefix="0" xfId="0"/>
    <xf numFmtId="38" fontId="1" fillId="0" borderId="13" applyAlignment="1" pivotButton="0" quotePrefix="0" xfId="0">
      <alignment horizontal="center"/>
    </xf>
    <xf numFmtId="38" fontId="1" fillId="0" borderId="14" applyAlignment="1" pivotButton="0" quotePrefix="0" xfId="0">
      <alignment horizontal="center"/>
    </xf>
    <xf numFmtId="0" fontId="1" fillId="0" borderId="13" pivotButton="0" quotePrefix="0" xfId="0"/>
    <xf numFmtId="0" fontId="1" fillId="0" borderId="14" pivotButton="0" quotePrefix="0" xfId="0"/>
    <xf numFmtId="0" fontId="1" fillId="7" borderId="16" pivotButton="0" quotePrefix="0" xfId="0"/>
    <xf numFmtId="0" fontId="5" fillId="9" borderId="0" pivotButton="0" quotePrefix="0" xfId="0"/>
    <xf numFmtId="164" fontId="5" fillId="9" borderId="0" pivotButton="0" quotePrefix="0" xfId="0"/>
    <xf numFmtId="43" fontId="0" fillId="0" borderId="0" applyAlignment="1" pivotButton="0" quotePrefix="0" xfId="1">
      <alignment horizontal="center"/>
    </xf>
    <xf numFmtId="0" fontId="3" fillId="0" borderId="0" applyAlignment="1" pivotButton="0" quotePrefix="0" xfId="0">
      <alignment horizontal="left" wrapText="1" indent="1"/>
    </xf>
    <xf numFmtId="164" fontId="0" fillId="0" borderId="0" pivotButton="0" quotePrefix="0" xfId="1"/>
    <xf numFmtId="0" fontId="0" fillId="0" borderId="0" applyAlignment="1" pivotButton="0" quotePrefix="0" xfId="0">
      <alignment horizontal="left" vertical="center"/>
    </xf>
    <xf numFmtId="0" fontId="15" fillId="10" borderId="0" pivotButton="0" quotePrefix="0" xfId="0"/>
    <xf numFmtId="0" fontId="16" fillId="4" borderId="20" applyAlignment="1" pivotButton="0" quotePrefix="0" xfId="0">
      <alignment vertical="center"/>
    </xf>
    <xf numFmtId="0" fontId="16" fillId="4" borderId="21" applyAlignment="1" pivotButton="0" quotePrefix="0" xfId="0">
      <alignment vertical="center"/>
    </xf>
    <xf numFmtId="0" fontId="16" fillId="4" borderId="21" applyAlignment="1" pivotButton="0" quotePrefix="0" xfId="0">
      <alignment horizontal="center" vertical="center"/>
    </xf>
    <xf numFmtId="0" fontId="16" fillId="4" borderId="22" applyAlignment="1" pivotButton="0" quotePrefix="0" xfId="0">
      <alignment horizontal="center" vertical="center" wrapText="1"/>
    </xf>
    <xf numFmtId="0" fontId="17" fillId="0" borderId="23" applyAlignment="1" pivotButton="0" quotePrefix="0" xfId="0">
      <alignment horizontal="center"/>
    </xf>
    <xf numFmtId="0" fontId="17" fillId="0" borderId="23" pivotButton="0" quotePrefix="0" xfId="0"/>
    <xf numFmtId="165" fontId="17" fillId="0" borderId="23" applyAlignment="1" pivotButton="0" quotePrefix="0" xfId="1">
      <alignment horizontal="center"/>
    </xf>
    <xf numFmtId="165" fontId="17" fillId="0" borderId="23" applyAlignment="1" pivotButton="0" quotePrefix="0" xfId="0">
      <alignment horizontal="center"/>
    </xf>
    <xf numFmtId="0" fontId="17" fillId="0" borderId="1" applyAlignment="1" pivotButton="0" quotePrefix="0" xfId="0">
      <alignment horizontal="center"/>
    </xf>
    <xf numFmtId="165" fontId="17" fillId="0" borderId="1" applyAlignment="1" pivotButton="0" quotePrefix="0" xfId="1">
      <alignment horizontal="center"/>
    </xf>
    <xf numFmtId="0" fontId="17" fillId="0" borderId="0" pivotButton="0" quotePrefix="0" xfId="0"/>
    <xf numFmtId="165" fontId="18" fillId="0" borderId="23" applyAlignment="1" pivotButton="0" quotePrefix="0" xfId="0">
      <alignment horizontal="center"/>
    </xf>
    <xf numFmtId="166" fontId="0" fillId="0" borderId="0" applyAlignment="1" pivotButton="0" quotePrefix="0" xfId="0">
      <alignment horizontal="center"/>
    </xf>
    <xf numFmtId="9" fontId="0" fillId="0" borderId="0" applyAlignment="1" pivotButton="0" quotePrefix="0" xfId="2">
      <alignment horizontal="center"/>
    </xf>
    <xf numFmtId="166" fontId="0" fillId="0" borderId="0" pivotButton="0" quotePrefix="0" xfId="0"/>
    <xf numFmtId="164" fontId="7" fillId="0" borderId="0" pivotButton="0" quotePrefix="0" xfId="0"/>
    <xf numFmtId="164" fontId="5" fillId="0" borderId="0" applyAlignment="1" pivotButton="0" quotePrefix="0" xfId="1">
      <alignment horizontal="center" vertical="top"/>
    </xf>
    <xf numFmtId="164" fontId="7" fillId="0" borderId="0" pivotButton="0" quotePrefix="0" xfId="1"/>
    <xf numFmtId="0" fontId="19" fillId="0" borderId="2" pivotButton="0" quotePrefix="0" xfId="0"/>
    <xf numFmtId="0" fontId="20" fillId="0" borderId="2" applyAlignment="1" pivotButton="0" quotePrefix="0" xfId="0">
      <alignment horizontal="left"/>
    </xf>
    <xf numFmtId="164" fontId="19" fillId="0" borderId="2" pivotButton="0" quotePrefix="0" xfId="1"/>
    <xf numFmtId="0" fontId="19" fillId="0" borderId="0" pivotButton="0" quotePrefix="0" xfId="0"/>
    <xf numFmtId="164" fontId="13" fillId="0" borderId="2" pivotButton="0" quotePrefix="0" xfId="1"/>
    <xf numFmtId="3" fontId="20" fillId="5" borderId="4" applyAlignment="1" pivotButton="0" quotePrefix="0" xfId="0">
      <alignment horizontal="center"/>
    </xf>
    <xf numFmtId="3" fontId="7" fillId="0" borderId="0" applyAlignment="1" pivotButton="0" quotePrefix="0" xfId="0">
      <alignment horizontal="center"/>
    </xf>
    <xf numFmtId="4" fontId="0" fillId="0" borderId="0" pivotButton="0" quotePrefix="0" xfId="0"/>
    <xf numFmtId="3" fontId="7" fillId="4" borderId="0" applyAlignment="1" pivotButton="0" quotePrefix="0" xfId="0">
      <alignment horizontal="center" wrapText="1" shrinkToFit="1"/>
    </xf>
    <xf numFmtId="0" fontId="0" fillId="0" borderId="0" applyAlignment="1" pivotButton="0" quotePrefix="0" xfId="0">
      <alignment wrapText="1" shrinkToFit="1"/>
    </xf>
    <xf numFmtId="0" fontId="1" fillId="0" borderId="0" applyAlignment="1" pivotButton="0" quotePrefix="0" xfId="0">
      <alignment wrapText="1" shrinkToFit="1"/>
    </xf>
    <xf numFmtId="0" fontId="19" fillId="0" borderId="0" applyAlignment="1" pivotButton="0" quotePrefix="0" xfId="0">
      <alignment wrapText="1" shrinkToFit="1"/>
    </xf>
    <xf numFmtId="3" fontId="0" fillId="0" borderId="0" pivotButton="0" quotePrefix="0" xfId="0"/>
    <xf numFmtId="164" fontId="0" fillId="0" borderId="2" pivotButton="0" quotePrefix="0" xfId="1"/>
    <xf numFmtId="3" fontId="1" fillId="0" borderId="2" applyAlignment="1" pivotButton="0" quotePrefix="0" xfId="0">
      <alignment horizontal="center"/>
    </xf>
    <xf numFmtId="164" fontId="0" fillId="0" borderId="0" pivotButton="0" quotePrefix="0" xfId="1"/>
    <xf numFmtId="16" fontId="5" fillId="4" borderId="0" applyAlignment="1" pivotButton="0" quotePrefix="0" xfId="0">
      <alignment horizontal="center"/>
    </xf>
    <xf numFmtId="164" fontId="19" fillId="0" borderId="2" pivotButton="0" quotePrefix="0" xfId="0"/>
    <xf numFmtId="0" fontId="1" fillId="11" borderId="2" pivotButton="0" quotePrefix="0" xfId="0"/>
    <xf numFmtId="164" fontId="1" fillId="11" borderId="2" pivotButton="0" quotePrefix="0" xfId="1"/>
    <xf numFmtId="37" fontId="1" fillId="11" borderId="2" applyAlignment="1" pivotButton="0" quotePrefix="0" xfId="1">
      <alignment horizontal="center"/>
    </xf>
    <xf numFmtId="0" fontId="22" fillId="0" borderId="2" pivotButton="0" quotePrefix="0" xfId="0"/>
    <xf numFmtId="0" fontId="23" fillId="0" borderId="2" applyAlignment="1" pivotButton="0" quotePrefix="0" xfId="0">
      <alignment horizontal="left" indent="1"/>
    </xf>
    <xf numFmtId="164" fontId="23" fillId="0" borderId="2" pivotButton="0" quotePrefix="0" xfId="1"/>
    <xf numFmtId="3" fontId="24" fillId="5" borderId="3" applyAlignment="1" pivotButton="0" quotePrefix="0" xfId="0">
      <alignment horizontal="center"/>
    </xf>
    <xf numFmtId="0" fontId="22" fillId="0" borderId="0" applyAlignment="1" pivotButton="0" quotePrefix="0" xfId="0">
      <alignment wrapText="1" shrinkToFit="1"/>
    </xf>
    <xf numFmtId="0" fontId="22" fillId="0" borderId="0" pivotButton="0" quotePrefix="0" xfId="0"/>
    <xf numFmtId="0" fontId="23" fillId="0" borderId="2" applyAlignment="1" pivotButton="0" quotePrefix="0" xfId="0">
      <alignment horizontal="left" wrapText="1" indent="1"/>
    </xf>
    <xf numFmtId="164" fontId="22" fillId="0" borderId="2" pivotButton="0" quotePrefix="0" xfId="1"/>
    <xf numFmtId="3" fontId="24" fillId="5" borderId="2" applyAlignment="1" pivotButton="0" quotePrefix="0" xfId="0">
      <alignment horizontal="center"/>
    </xf>
    <xf numFmtId="3" fontId="22" fillId="0" borderId="0" pivotButton="0" quotePrefix="0" xfId="0"/>
    <xf numFmtId="165" fontId="18" fillId="0" borderId="24" applyAlignment="1" pivotButton="0" quotePrefix="0" xfId="0">
      <alignment horizontal="center"/>
    </xf>
    <xf numFmtId="165" fontId="0" fillId="0" borderId="0" pivotButton="0" quotePrefix="0" xfId="0"/>
    <xf numFmtId="164" fontId="22" fillId="0" borderId="2" pivotButton="0" quotePrefix="0" xfId="1"/>
    <xf numFmtId="3" fontId="24" fillId="0" borderId="2" applyAlignment="1" pivotButton="0" quotePrefix="0" xfId="0">
      <alignment horizontal="center"/>
    </xf>
    <xf numFmtId="164" fontId="1" fillId="0" borderId="0" pivotButton="0" quotePrefix="0" xfId="1"/>
    <xf numFmtId="37" fontId="1" fillId="0" borderId="0" applyAlignment="1" pivotButton="0" quotePrefix="0" xfId="1">
      <alignment horizontal="center"/>
    </xf>
    <xf numFmtId="0" fontId="0" fillId="0" borderId="0" applyAlignment="1" pivotButton="0" quotePrefix="0" xfId="0">
      <alignment horizontal="right"/>
    </xf>
    <xf numFmtId="165" fontId="1" fillId="0" borderId="0" applyAlignment="1" pivotButton="0" quotePrefix="0" xfId="0">
      <alignment horizontal="center"/>
    </xf>
    <xf numFmtId="0" fontId="1" fillId="0" borderId="0" applyAlignment="1" pivotButton="0" quotePrefix="0" xfId="0">
      <alignment horizontal="center"/>
    </xf>
    <xf numFmtId="3" fontId="20" fillId="5" borderId="3" applyAlignment="1" pivotButton="0" quotePrefix="0" xfId="0">
      <alignment horizontal="center"/>
    </xf>
    <xf numFmtId="0" fontId="25" fillId="0" borderId="0" applyAlignment="1" pivotButton="0" quotePrefix="0" xfId="0">
      <alignment vertical="center" wrapText="1"/>
    </xf>
    <xf numFmtId="0" fontId="25" fillId="0" borderId="0" pivotButton="0" quotePrefix="0" xfId="0"/>
    <xf numFmtId="0" fontId="26" fillId="0" borderId="0" applyAlignment="1" pivotButton="0" quotePrefix="0" xfId="0">
      <alignment vertical="center"/>
    </xf>
    <xf numFmtId="0" fontId="25" fillId="0" borderId="0" applyAlignment="1" pivotButton="0" quotePrefix="0" xfId="0">
      <alignment wrapText="1"/>
    </xf>
    <xf numFmtId="0" fontId="26" fillId="0" borderId="0" applyAlignment="1" pivotButton="0" quotePrefix="0" xfId="0">
      <alignment vertical="center" wrapText="1"/>
    </xf>
    <xf numFmtId="0" fontId="25" fillId="0" borderId="0" applyAlignment="1" pivotButton="0" quotePrefix="0" xfId="0">
      <alignment horizontal="left" vertical="center" wrapText="1"/>
    </xf>
    <xf numFmtId="3" fontId="26" fillId="0" borderId="0" applyAlignment="1" pivotButton="0" quotePrefix="0" xfId="0">
      <alignment horizontal="right"/>
    </xf>
    <xf numFmtId="0" fontId="27" fillId="0" borderId="0" pivotButton="0" quotePrefix="0" xfId="0"/>
    <xf numFmtId="4" fontId="25" fillId="0" borderId="0" applyAlignment="1" pivotButton="0" quotePrefix="0" xfId="0">
      <alignment vertical="center" wrapText="1"/>
    </xf>
    <xf numFmtId="4" fontId="26" fillId="0" borderId="0" applyAlignment="1" pivotButton="0" quotePrefix="0" xfId="0">
      <alignment vertical="center" wrapText="1"/>
    </xf>
    <xf numFmtId="0" fontId="29" fillId="0" borderId="0" pivotButton="0" quotePrefix="0" xfId="0"/>
    <xf numFmtId="3" fontId="30" fillId="0" borderId="0" pivotButton="0" quotePrefix="0" xfId="0"/>
    <xf numFmtId="0" fontId="30" fillId="0" borderId="0" pivotButton="0" quotePrefix="0" xfId="0"/>
    <xf numFmtId="0" fontId="30" fillId="0" borderId="2" applyAlignment="1" pivotButton="0" quotePrefix="0" xfId="0">
      <alignment horizontal="left" indent="1"/>
    </xf>
    <xf numFmtId="0" fontId="30" fillId="0" borderId="2" applyAlignment="1" pivotButton="0" quotePrefix="0" xfId="0">
      <alignment horizontal="left" wrapText="1" indent="1"/>
    </xf>
    <xf numFmtId="3" fontId="29" fillId="0" borderId="0" pivotButton="0" quotePrefix="0" xfId="0"/>
    <xf numFmtId="3" fontId="25" fillId="0" borderId="0" pivotButton="0" quotePrefix="0" xfId="0"/>
    <xf numFmtId="0" fontId="30" fillId="0" borderId="0" applyAlignment="1" pivotButton="0" quotePrefix="0" xfId="0">
      <alignment wrapText="1"/>
    </xf>
    <xf numFmtId="0" fontId="30" fillId="0" borderId="0" applyAlignment="1" pivotButton="0" quotePrefix="0" xfId="0">
      <alignment horizontal="left" indent="1"/>
    </xf>
    <xf numFmtId="164" fontId="0" fillId="0" borderId="3" pivotButton="0" quotePrefix="0" xfId="1"/>
    <xf numFmtId="164" fontId="23" fillId="0" borderId="3" pivotButton="0" quotePrefix="0" xfId="1"/>
    <xf numFmtId="164" fontId="3" fillId="0" borderId="3" pivotButton="0" quotePrefix="0" xfId="1"/>
    <xf numFmtId="0" fontId="24" fillId="0" borderId="0" applyAlignment="1" pivotButton="0" quotePrefix="0" xfId="0">
      <alignment horizontal="center" vertical="top"/>
    </xf>
    <xf numFmtId="0" fontId="26" fillId="0" borderId="0" applyAlignment="1" pivotButton="0" quotePrefix="0" xfId="0">
      <alignment wrapText="1"/>
    </xf>
    <xf numFmtId="37" fontId="31" fillId="0" borderId="0" applyAlignment="1" pivotButton="0" quotePrefix="0" xfId="0">
      <alignment horizontal="center" wrapText="1" shrinkToFit="1"/>
    </xf>
    <xf numFmtId="0" fontId="4" fillId="0" borderId="0" applyAlignment="1" pivotButton="0" quotePrefix="0" xfId="0">
      <alignment horizontal="left" indent="1"/>
    </xf>
    <xf numFmtId="17" fontId="6" fillId="4" borderId="0" applyAlignment="1" pivotButton="0" quotePrefix="0" xfId="0">
      <alignment horizontal="right"/>
    </xf>
    <xf numFmtId="164" fontId="0" fillId="0" borderId="0" applyAlignment="1" pivotButton="0" quotePrefix="0" xfId="1">
      <alignment horizontal="right"/>
    </xf>
    <xf numFmtId="164" fontId="0" fillId="2" borderId="0" applyAlignment="1" pivotButton="0" quotePrefix="0" xfId="1">
      <alignment horizontal="right"/>
    </xf>
    <xf numFmtId="164" fontId="0" fillId="0" borderId="2" applyAlignment="1" pivotButton="0" quotePrefix="0" xfId="1">
      <alignment horizontal="right"/>
    </xf>
    <xf numFmtId="164" fontId="1" fillId="3" borderId="2" applyAlignment="1" pivotButton="0" quotePrefix="0" xfId="1">
      <alignment horizontal="right"/>
    </xf>
    <xf numFmtId="164" fontId="19" fillId="0" borderId="2" applyAlignment="1" pivotButton="0" quotePrefix="0" xfId="1">
      <alignment horizontal="right"/>
    </xf>
    <xf numFmtId="164" fontId="23" fillId="0" borderId="2" applyAlignment="1" pivotButton="0" quotePrefix="0" xfId="1">
      <alignment horizontal="right"/>
    </xf>
    <xf numFmtId="3" fontId="22" fillId="0" borderId="0" applyAlignment="1" pivotButton="0" quotePrefix="0" xfId="0">
      <alignment horizontal="right"/>
    </xf>
    <xf numFmtId="164" fontId="3" fillId="0" borderId="2" applyAlignment="1" pivotButton="0" quotePrefix="0" xfId="1">
      <alignment horizontal="right"/>
    </xf>
    <xf numFmtId="164" fontId="1" fillId="0" borderId="0" applyAlignment="1" pivotButton="0" quotePrefix="0" xfId="1">
      <alignment horizontal="right"/>
    </xf>
    <xf numFmtId="3" fontId="3" fillId="0" borderId="2" applyAlignment="1" pivotButton="0" quotePrefix="0" xfId="0">
      <alignment horizontal="right"/>
    </xf>
    <xf numFmtId="164" fontId="22" fillId="0" borderId="2" applyAlignment="1" pivotButton="0" quotePrefix="0" xfId="1">
      <alignment horizontal="right"/>
    </xf>
    <xf numFmtId="164" fontId="22" fillId="0" borderId="2" applyAlignment="1" pivotButton="0" quotePrefix="0" xfId="1">
      <alignment horizontal="right"/>
    </xf>
    <xf numFmtId="164" fontId="0" fillId="0" borderId="2" applyAlignment="1" pivotButton="0" quotePrefix="0" xfId="1">
      <alignment horizontal="right"/>
    </xf>
    <xf numFmtId="164" fontId="1" fillId="11" borderId="2" applyAlignment="1" pivotButton="0" quotePrefix="0" xfId="1">
      <alignment horizontal="right"/>
    </xf>
    <xf numFmtId="164" fontId="0" fillId="0" borderId="0" applyAlignment="1" pivotButton="0" quotePrefix="0" xfId="1">
      <alignment horizontal="right"/>
    </xf>
    <xf numFmtId="164" fontId="0" fillId="0" borderId="0" applyAlignment="1" pivotButton="0" quotePrefix="0" xfId="1">
      <alignment horizontal="right"/>
    </xf>
    <xf numFmtId="164" fontId="0" fillId="0" borderId="0" applyAlignment="1" pivotButton="0" quotePrefix="0" xfId="0">
      <alignment horizontal="right"/>
    </xf>
    <xf numFmtId="0" fontId="26" fillId="0" borderId="0" applyAlignment="1" pivotButton="0" quotePrefix="0" xfId="0">
      <alignment horizontal="right" vertical="center" wrapText="1"/>
    </xf>
    <xf numFmtId="4" fontId="27" fillId="0" borderId="0" pivotButton="0" quotePrefix="0" xfId="0"/>
    <xf numFmtId="0" fontId="29" fillId="0" borderId="0" applyAlignment="1" pivotButton="0" quotePrefix="0" xfId="0">
      <alignment horizontal="left"/>
    </xf>
    <xf numFmtId="0" fontId="0" fillId="0" borderId="0" applyAlignment="1" pivotButton="0" quotePrefix="0" xfId="0">
      <alignment horizontal="left"/>
    </xf>
    <xf numFmtId="0" fontId="21" fillId="0" borderId="0" applyAlignment="1" pivotButton="0" quotePrefix="0" xfId="0">
      <alignment wrapText="1" shrinkToFit="1"/>
    </xf>
    <xf numFmtId="0" fontId="30" fillId="0" borderId="0" applyAlignment="1" pivotButton="0" quotePrefix="0" xfId="0">
      <alignment horizontal="left" wrapText="1" indent="1"/>
    </xf>
    <xf numFmtId="0" fontId="32" fillId="0" borderId="2" applyAlignment="1" pivotButton="0" quotePrefix="0" xfId="0">
      <alignment horizontal="left" wrapText="1" indent="1"/>
    </xf>
    <xf numFmtId="0" fontId="29" fillId="0" borderId="0" applyAlignment="1" pivotButton="0" quotePrefix="0" xfId="0">
      <alignment horizontal="left" wrapText="1" indent="1"/>
    </xf>
    <xf numFmtId="3" fontId="0" fillId="0" borderId="2" pivotButton="0" quotePrefix="0" xfId="0"/>
    <xf numFmtId="0" fontId="7" fillId="0" borderId="0" pivotButton="0" quotePrefix="0" xfId="0"/>
    <xf numFmtId="3" fontId="0" fillId="0" borderId="0" applyAlignment="1" pivotButton="0" quotePrefix="0" xfId="0">
      <alignment wrapText="1" shrinkToFit="1"/>
    </xf>
    <xf numFmtId="3" fontId="20" fillId="0" borderId="2" applyAlignment="1" pivotButton="0" quotePrefix="0" xfId="0">
      <alignment horizontal="center"/>
    </xf>
    <xf numFmtId="0" fontId="0" fillId="0" borderId="2" applyAlignment="1" pivotButton="0" quotePrefix="0" xfId="0">
      <alignment wrapText="1"/>
    </xf>
    <xf numFmtId="164" fontId="21" fillId="0" borderId="25" pivotButton="0" quotePrefix="0" xfId="0"/>
    <xf numFmtId="164" fontId="21" fillId="0" borderId="26" pivotButton="0" quotePrefix="0" xfId="0"/>
    <xf numFmtId="4" fontId="19" fillId="0" borderId="2" pivotButton="0" quotePrefix="0" xfId="0"/>
    <xf numFmtId="3" fontId="19" fillId="0" borderId="2" pivotButton="0" quotePrefix="0" xfId="0"/>
    <xf numFmtId="164" fontId="13" fillId="0" borderId="3" pivotButton="0" quotePrefix="0" xfId="1"/>
    <xf numFmtId="0" fontId="17" fillId="0" borderId="0" applyAlignment="1" pivotButton="0" quotePrefix="0" xfId="0">
      <alignment horizontal="center"/>
    </xf>
    <xf numFmtId="0" fontId="0" fillId="0" borderId="0" applyAlignment="1" pivotButton="0" quotePrefix="0" xfId="0">
      <alignment wrapText="1"/>
    </xf>
    <xf numFmtId="0" fontId="16" fillId="4" borderId="21" applyAlignment="1" pivotButton="0" quotePrefix="0" xfId="0">
      <alignment vertical="center" wrapText="1"/>
    </xf>
    <xf numFmtId="0" fontId="17" fillId="0" borderId="23" applyAlignment="1" pivotButton="0" quotePrefix="0" xfId="0">
      <alignment wrapText="1"/>
    </xf>
    <xf numFmtId="0" fontId="17" fillId="0" borderId="1" applyAlignment="1" pivotButton="0" quotePrefix="0" xfId="0">
      <alignment wrapText="1"/>
    </xf>
    <xf numFmtId="0" fontId="33" fillId="0" borderId="23" applyAlignment="1" pivotButton="0" quotePrefix="0" xfId="0">
      <alignment wrapText="1"/>
    </xf>
    <xf numFmtId="0" fontId="18" fillId="0" borderId="23" applyAlignment="1" pivotButton="0" quotePrefix="0" xfId="0">
      <alignment wrapText="1"/>
    </xf>
    <xf numFmtId="167" fontId="0" fillId="0" borderId="0" pivotButton="0" quotePrefix="0" xfId="0"/>
    <xf numFmtId="0" fontId="14" fillId="0" borderId="17" applyAlignment="1" pivotButton="0" quotePrefix="0" xfId="0">
      <alignment horizontal="center" vertical="center"/>
    </xf>
    <xf numFmtId="0" fontId="14" fillId="0" borderId="18" applyAlignment="1" pivotButton="0" quotePrefix="0" xfId="0">
      <alignment horizontal="center" vertical="center"/>
    </xf>
    <xf numFmtId="0" fontId="14" fillId="0" borderId="19" applyAlignment="1" pivotButton="0" quotePrefix="0" xfId="0">
      <alignment horizontal="center" vertical="center"/>
    </xf>
    <xf numFmtId="0" fontId="0" fillId="0" borderId="15" applyAlignment="1" pivotButton="0" quotePrefix="0" xfId="0">
      <alignment horizontal="center"/>
    </xf>
    <xf numFmtId="0" fontId="14" fillId="0" borderId="27" applyAlignment="1" pivotButton="0" quotePrefix="0" xfId="0">
      <alignment horizontal="center" vertical="center"/>
    </xf>
    <xf numFmtId="0" fontId="0" fillId="0" borderId="18" pivotButton="0" quotePrefix="0" xfId="0"/>
    <xf numFmtId="0" fontId="0" fillId="0" borderId="19" pivotButton="0" quotePrefix="0" xfId="0"/>
    <xf numFmtId="165" fontId="17" fillId="0" borderId="23" applyAlignment="1" pivotButton="0" quotePrefix="0" xfId="1">
      <alignment horizontal="center"/>
    </xf>
    <xf numFmtId="165" fontId="17" fillId="0" borderId="23" applyAlignment="1" pivotButton="0" quotePrefix="0" xfId="0">
      <alignment horizontal="center"/>
    </xf>
    <xf numFmtId="165" fontId="17" fillId="0" borderId="1" applyAlignment="1" pivotButton="0" quotePrefix="0" xfId="1">
      <alignment horizontal="center"/>
    </xf>
    <xf numFmtId="165" fontId="0" fillId="0" borderId="0" pivotButton="0" quotePrefix="0" xfId="0"/>
    <xf numFmtId="165" fontId="18" fillId="0" borderId="24" applyAlignment="1" pivotButton="0" quotePrefix="0" xfId="0">
      <alignment horizontal="center"/>
    </xf>
    <xf numFmtId="165" fontId="18" fillId="0" borderId="23" applyAlignment="1" pivotButton="0" quotePrefix="0" xfId="0">
      <alignment horizontal="center"/>
    </xf>
    <xf numFmtId="166" fontId="0" fillId="0" borderId="0" applyAlignment="1" pivotButton="0" quotePrefix="0" xfId="0">
      <alignment horizontal="center"/>
    </xf>
    <xf numFmtId="166" fontId="0" fillId="0" borderId="0" pivotButton="0" quotePrefix="0" xfId="0"/>
    <xf numFmtId="165" fontId="1" fillId="0" borderId="0" applyAlignment="1" pivotButton="0" quotePrefix="0" xfId="0">
      <alignment horizontal="center"/>
    </xf>
    <xf numFmtId="0" fontId="0" fillId="0" borderId="15" pivotButton="0" quotePrefix="0" xfId="0"/>
  </cellXfs>
  <cellStyles count="3">
    <cellStyle name="Normal" xfId="0" builtinId="0"/>
    <cellStyle name="Comma" xfId="1" builtinId="3"/>
    <cellStyle name="Percent" xfId="2" builtinId="5"/>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Q95"/>
  <sheetViews>
    <sheetView showGridLines="0" zoomScale="78" zoomScaleNormal="78" workbookViewId="0">
      <pane xSplit="2" ySplit="2" topLeftCell="C51" activePane="bottomRight" state="frozen"/>
      <selection pane="topRight" activeCell="C1" sqref="C1"/>
      <selection pane="bottomLeft" activeCell="A7" sqref="A7"/>
      <selection pane="bottomRight" activeCell="D27" sqref="D27"/>
    </sheetView>
  </sheetViews>
  <sheetFormatPr baseColWidth="10" defaultColWidth="8.83203125" defaultRowHeight="15"/>
  <cols>
    <col width="2.6640625" customWidth="1" min="1" max="1"/>
    <col width="49.1640625" customWidth="1" min="2" max="2"/>
    <col width="36.33203125" customWidth="1" min="3" max="3"/>
    <col width="11.33203125" customWidth="1" min="4" max="4"/>
    <col width="12.83203125" customWidth="1" min="5" max="5"/>
    <col width="11.6640625" customWidth="1" min="6" max="6"/>
    <col width="14.1640625" bestFit="1" customWidth="1" min="7" max="7"/>
    <col width="14.5" customWidth="1" min="8" max="16"/>
    <col width="23.6640625" customWidth="1" style="21" min="17" max="17"/>
    <col width="10" bestFit="1" customWidth="1" min="19" max="19"/>
  </cols>
  <sheetData>
    <row r="2">
      <c r="A2" s="18" t="n"/>
      <c r="B2" s="18" t="inlineStr">
        <is>
          <t>Category</t>
        </is>
      </c>
      <c r="C2" s="18" t="inlineStr">
        <is>
          <t>Description</t>
        </is>
      </c>
      <c r="D2" s="56" t="n"/>
      <c r="E2" s="19" t="n">
        <v>45658</v>
      </c>
      <c r="F2" s="19" t="n">
        <v>45689</v>
      </c>
      <c r="G2" s="19" t="n">
        <v>45717</v>
      </c>
      <c r="H2" s="19" t="n">
        <v>45748</v>
      </c>
      <c r="I2" s="19" t="n">
        <v>45778</v>
      </c>
      <c r="J2" s="19" t="n">
        <v>45809</v>
      </c>
      <c r="K2" s="19" t="n">
        <v>45839</v>
      </c>
      <c r="L2" s="19" t="n">
        <v>45870</v>
      </c>
      <c r="M2" s="19" t="n">
        <v>45901</v>
      </c>
      <c r="N2" s="19" t="n">
        <v>45931</v>
      </c>
      <c r="O2" s="19" t="n">
        <v>45962</v>
      </c>
      <c r="P2" s="19" t="n">
        <v>45992</v>
      </c>
      <c r="Q2" s="22" t="inlineStr">
        <is>
          <t>FY 2025</t>
        </is>
      </c>
    </row>
    <row r="3">
      <c r="B3" s="4" t="n"/>
      <c r="C3" s="4" t="n"/>
      <c r="D3" s="4" t="n"/>
    </row>
    <row r="4">
      <c r="B4" s="4" t="n"/>
      <c r="C4" s="4" t="n"/>
      <c r="D4" s="4" t="n"/>
      <c r="G4" s="100">
        <f>Q91</f>
        <v/>
      </c>
      <c r="H4" s="100">
        <f>G4/3</f>
        <v/>
      </c>
    </row>
    <row r="5">
      <c r="B5" s="4" t="n"/>
      <c r="C5" s="4" t="n"/>
      <c r="D5" s="4" t="n"/>
      <c r="F5" s="118" t="n"/>
      <c r="G5" s="101">
        <f>G4/9</f>
        <v/>
      </c>
      <c r="H5" s="102">
        <f>H4*3</f>
        <v/>
      </c>
      <c r="I5" s="118" t="n"/>
      <c r="J5" s="118" t="n"/>
      <c r="K5" s="118" t="n"/>
      <c r="L5" s="118" t="n"/>
      <c r="M5" s="118" t="n"/>
      <c r="N5" s="118" t="n"/>
      <c r="O5" s="118" t="n"/>
      <c r="P5" s="118" t="n"/>
    </row>
    <row r="6">
      <c r="A6" s="7" t="inlineStr">
        <is>
          <t>Inflows</t>
        </is>
      </c>
      <c r="B6" s="8" t="n"/>
      <c r="C6" s="8" t="n"/>
      <c r="D6" s="8" t="n"/>
      <c r="E6" s="9" t="n"/>
      <c r="F6" s="9" t="n"/>
      <c r="G6" s="9" t="n"/>
      <c r="H6" s="9" t="n"/>
      <c r="I6" s="9" t="n"/>
      <c r="J6" s="9" t="n"/>
      <c r="K6" s="9" t="n"/>
      <c r="L6" s="9" t="n"/>
      <c r="M6" s="9" t="n"/>
      <c r="N6" s="9" t="n"/>
      <c r="O6" s="9" t="n"/>
      <c r="P6" s="9" t="n"/>
      <c r="Q6" s="9" t="n"/>
    </row>
    <row r="7">
      <c r="A7" s="10" t="n"/>
      <c r="B7" s="11" t="inlineStr">
        <is>
          <t>Kwara State Government Grants</t>
        </is>
      </c>
      <c r="C7" s="10" t="inlineStr">
        <is>
          <t>Public sector funding</t>
        </is>
      </c>
      <c r="D7" s="10" t="n"/>
      <c r="E7" s="116" t="n"/>
      <c r="F7" s="116" t="n"/>
      <c r="G7" s="116" t="n"/>
      <c r="H7" s="116" t="n"/>
      <c r="I7" s="116" t="n"/>
      <c r="J7" s="116" t="n"/>
      <c r="K7" s="116" t="n"/>
      <c r="L7" s="116" t="n"/>
      <c r="M7" s="116" t="n"/>
      <c r="N7" s="116" t="n"/>
      <c r="O7" s="116" t="n"/>
      <c r="P7" s="116" t="n"/>
      <c r="Q7" s="25">
        <f>SUM(E7:P7)</f>
        <v/>
      </c>
    </row>
    <row r="8">
      <c r="A8" s="10" t="n"/>
      <c r="B8" s="11" t="inlineStr">
        <is>
          <t>IHS Operational Funds</t>
        </is>
      </c>
      <c r="C8" s="10" t="inlineStr">
        <is>
          <t>Corporate partnerships &amp; sponsorships</t>
        </is>
      </c>
      <c r="D8" s="10" t="n"/>
      <c r="E8" s="116" t="n"/>
      <c r="F8" s="116" t="n"/>
      <c r="G8" s="116" t="n"/>
      <c r="H8" s="116" t="n">
        <v>106000000</v>
      </c>
      <c r="I8" s="116" t="n"/>
      <c r="J8" s="116" t="n"/>
      <c r="K8" s="116">
        <f>H8</f>
        <v/>
      </c>
      <c r="L8" s="116" t="n"/>
      <c r="M8" s="116" t="n"/>
      <c r="N8" s="116">
        <f>K8</f>
        <v/>
      </c>
      <c r="O8" s="116" t="n"/>
      <c r="P8" s="116" t="n"/>
      <c r="Q8" s="25">
        <f>SUM(E8:P8)</f>
        <v/>
      </c>
    </row>
    <row r="9">
      <c r="A9" s="10" t="n"/>
      <c r="B9" s="11" t="inlineStr">
        <is>
          <t>Membership Fees</t>
        </is>
      </c>
      <c r="C9" s="10" t="inlineStr">
        <is>
          <t>Fees from startups &amp; researchers</t>
        </is>
      </c>
      <c r="D9" s="10" t="n"/>
      <c r="E9" s="116">
        <f>'Membership Fees'!C5</f>
        <v/>
      </c>
      <c r="F9" s="116">
        <f>'Membership Fees'!D5</f>
        <v/>
      </c>
      <c r="G9" s="116" t="n"/>
      <c r="H9" s="116" t="n"/>
      <c r="I9" s="116" t="n"/>
      <c r="J9" s="116" t="n"/>
      <c r="K9" s="116" t="n"/>
      <c r="L9" s="116" t="n"/>
      <c r="M9" s="116" t="n"/>
      <c r="N9" s="116" t="n"/>
      <c r="O9" s="116" t="n"/>
      <c r="P9" s="116" t="n"/>
      <c r="Q9" s="25">
        <f>SUM(E9:P9)</f>
        <v/>
      </c>
    </row>
    <row r="10">
      <c r="A10" s="10" t="n"/>
      <c r="B10" s="11" t="inlineStr">
        <is>
          <t>Consulting &amp; Advisory Services</t>
        </is>
      </c>
      <c r="C10" s="10" t="inlineStr">
        <is>
          <t>Consulting services revenue</t>
        </is>
      </c>
      <c r="D10" s="10" t="n"/>
      <c r="E10" s="116" t="n"/>
      <c r="F10" s="116" t="n"/>
      <c r="G10" s="116" t="n"/>
      <c r="H10" s="116" t="n"/>
      <c r="I10" s="116" t="n"/>
      <c r="J10" s="116" t="n"/>
      <c r="K10" s="116" t="n"/>
      <c r="L10" s="116" t="n"/>
      <c r="M10" s="116" t="n"/>
      <c r="N10" s="116" t="n"/>
      <c r="O10" s="116" t="n"/>
      <c r="P10" s="116" t="n"/>
      <c r="Q10" s="25">
        <f>SUM(E10:P10)</f>
        <v/>
      </c>
    </row>
    <row r="11">
      <c r="A11" s="10" t="n"/>
      <c r="B11" s="11" t="inlineStr">
        <is>
          <t>Event Hosting &amp; Sponsorships</t>
        </is>
      </c>
      <c r="C11" s="10" t="inlineStr">
        <is>
          <t>Revenue from events &amp; hackathons</t>
        </is>
      </c>
      <c r="D11" s="10" t="n"/>
      <c r="E11" s="116">
        <f>'Rental, Hosting &amp; Sponsorships'!C12</f>
        <v/>
      </c>
      <c r="F11" s="116">
        <f>'Rental, Hosting &amp; Sponsorships'!D12</f>
        <v/>
      </c>
      <c r="G11" s="116">
        <f>'Rental, Hosting &amp; Sponsorships'!E12</f>
        <v/>
      </c>
      <c r="H11" s="116">
        <f>'Rental, Hosting &amp; Sponsorships'!F12</f>
        <v/>
      </c>
      <c r="I11" s="116">
        <f>'Rental, Hosting &amp; Sponsorships'!G12</f>
        <v/>
      </c>
      <c r="J11" s="116">
        <f>'Rental, Hosting &amp; Sponsorships'!H12</f>
        <v/>
      </c>
      <c r="K11" s="116">
        <f>'Rental, Hosting &amp; Sponsorships'!I12</f>
        <v/>
      </c>
      <c r="L11" s="116">
        <f>'Rental, Hosting &amp; Sponsorships'!J12</f>
        <v/>
      </c>
      <c r="M11" s="116">
        <f>'Rental, Hosting &amp; Sponsorships'!K12</f>
        <v/>
      </c>
      <c r="N11" s="116">
        <f>'Rental, Hosting &amp; Sponsorships'!L12</f>
        <v/>
      </c>
      <c r="O11" s="116">
        <f>'Rental, Hosting &amp; Sponsorships'!M12</f>
        <v/>
      </c>
      <c r="P11" s="116">
        <f>'Rental, Hosting &amp; Sponsorships'!N12</f>
        <v/>
      </c>
      <c r="Q11" s="25">
        <f>SUM(E11:P11)</f>
        <v/>
      </c>
    </row>
    <row r="12">
      <c r="A12" s="10" t="n"/>
      <c r="B12" s="11" t="inlineStr">
        <is>
          <t>Facility Rentals</t>
        </is>
      </c>
      <c r="C12" s="10" t="n"/>
      <c r="D12" s="10" t="n"/>
      <c r="E12" s="116">
        <f>'Rental, Hosting &amp; Sponsorships'!C6</f>
        <v/>
      </c>
      <c r="F12" s="116">
        <f>'Rental, Hosting &amp; Sponsorships'!D6</f>
        <v/>
      </c>
      <c r="G12" s="116">
        <f>'Rental, Hosting &amp; Sponsorships'!E6</f>
        <v/>
      </c>
      <c r="H12" s="116">
        <f>'Rental, Hosting &amp; Sponsorships'!F6</f>
        <v/>
      </c>
      <c r="I12" s="116">
        <f>'Rental, Hosting &amp; Sponsorships'!G6</f>
        <v/>
      </c>
      <c r="J12" s="116">
        <f>'Rental, Hosting &amp; Sponsorships'!H6</f>
        <v/>
      </c>
      <c r="K12" s="116">
        <f>'Rental, Hosting &amp; Sponsorships'!I6</f>
        <v/>
      </c>
      <c r="L12" s="116">
        <f>'Rental, Hosting &amp; Sponsorships'!J6</f>
        <v/>
      </c>
      <c r="M12" s="116">
        <f>'Rental, Hosting &amp; Sponsorships'!K6</f>
        <v/>
      </c>
      <c r="N12" s="116">
        <f>'Rental, Hosting &amp; Sponsorships'!L6</f>
        <v/>
      </c>
      <c r="O12" s="116">
        <f>'Rental, Hosting &amp; Sponsorships'!M6</f>
        <v/>
      </c>
      <c r="P12" s="116">
        <f>'Rental, Hosting &amp; Sponsorships'!N6</f>
        <v/>
      </c>
      <c r="Q12" s="25">
        <f>SUM(E12:P12)</f>
        <v/>
      </c>
    </row>
    <row r="13">
      <c r="A13" s="10" t="n"/>
      <c r="B13" s="11" t="inlineStr">
        <is>
          <t>Other Income</t>
        </is>
      </c>
      <c r="C13" s="10" t="inlineStr">
        <is>
          <t>Miscellaneous revenue</t>
        </is>
      </c>
      <c r="D13" s="10" t="n"/>
      <c r="E13" s="116" t="n"/>
      <c r="F13" s="116" t="n"/>
      <c r="G13" s="116" t="n"/>
      <c r="H13" s="116" t="n"/>
      <c r="I13" s="116" t="n"/>
      <c r="J13" s="116" t="n"/>
      <c r="K13" s="116" t="n"/>
      <c r="L13" s="116" t="n"/>
      <c r="M13" s="116" t="n"/>
      <c r="N13" s="116" t="n"/>
      <c r="O13" s="116" t="n"/>
      <c r="P13" s="116" t="n"/>
      <c r="Q13" s="25">
        <f>SUM(E13:P13)</f>
        <v/>
      </c>
    </row>
    <row r="14" customFormat="1" s="3">
      <c r="A14" s="13" t="inlineStr">
        <is>
          <t>Total Revenue</t>
        </is>
      </c>
      <c r="B14" s="13" t="n"/>
      <c r="C14" s="13" t="n"/>
      <c r="D14" s="13" t="n"/>
      <c r="E14" s="14">
        <f>SUM(E6:E13)</f>
        <v/>
      </c>
      <c r="F14" s="14">
        <f>SUM(F6:F13)</f>
        <v/>
      </c>
      <c r="G14" s="14">
        <f>SUM(G6:G13)</f>
        <v/>
      </c>
      <c r="H14" s="14">
        <f>SUM(H6:H13)</f>
        <v/>
      </c>
      <c r="I14" s="14">
        <f>SUM(I6:I13)</f>
        <v/>
      </c>
      <c r="J14" s="14">
        <f>SUM(J6:J13)</f>
        <v/>
      </c>
      <c r="K14" s="14">
        <f>SUM(K6:K13)</f>
        <v/>
      </c>
      <c r="L14" s="14">
        <f>SUM(L6:L13)</f>
        <v/>
      </c>
      <c r="M14" s="14">
        <f>SUM(M6:M13)</f>
        <v/>
      </c>
      <c r="N14" s="14">
        <f>SUM(N6:N13)</f>
        <v/>
      </c>
      <c r="O14" s="14">
        <f>SUM(O6:O13)</f>
        <v/>
      </c>
      <c r="P14" s="14">
        <f>SUM(P6:P13)</f>
        <v/>
      </c>
      <c r="Q14" s="28">
        <f>SUM(Q6:Q13)</f>
        <v/>
      </c>
    </row>
    <row r="15">
      <c r="E15" s="118" t="n"/>
      <c r="F15" s="118" t="n"/>
      <c r="G15" s="118" t="n"/>
      <c r="H15" s="118" t="n"/>
      <c r="I15" s="118" t="n"/>
      <c r="J15" s="118" t="n"/>
      <c r="K15" s="118" t="n"/>
      <c r="L15" s="118" t="n"/>
      <c r="M15" s="118" t="n"/>
      <c r="N15" s="118" t="n"/>
      <c r="O15" s="118" t="n"/>
      <c r="P15" s="118" t="n"/>
    </row>
    <row r="16">
      <c r="E16" s="118" t="n"/>
      <c r="F16" s="118" t="n"/>
      <c r="G16" s="118" t="n"/>
      <c r="H16" s="118" t="n"/>
      <c r="I16" s="118" t="n"/>
      <c r="J16" s="118" t="n"/>
      <c r="K16" s="118" t="n"/>
      <c r="L16" s="118" t="n"/>
      <c r="M16" s="118" t="n"/>
      <c r="N16" s="118" t="n"/>
      <c r="O16" s="118" t="n"/>
      <c r="P16" s="118" t="n"/>
    </row>
    <row r="17">
      <c r="E17" s="118" t="n"/>
      <c r="F17" s="118" t="n"/>
      <c r="G17" s="118" t="n"/>
      <c r="H17" s="118" t="n"/>
      <c r="I17" s="118" t="n"/>
      <c r="J17" s="118" t="n"/>
      <c r="K17" s="118" t="n"/>
      <c r="L17" s="118" t="n"/>
      <c r="M17" s="118" t="n"/>
      <c r="N17" s="118" t="n"/>
      <c r="O17" s="118" t="n"/>
      <c r="P17" s="118" t="n"/>
    </row>
    <row r="18">
      <c r="A18" s="7" t="inlineStr">
        <is>
          <t>Operational Expenses</t>
        </is>
      </c>
      <c r="B18" s="8" t="n"/>
      <c r="C18" s="8" t="n"/>
      <c r="D18" s="8" t="n"/>
      <c r="E18" s="9" t="n"/>
      <c r="F18" s="9" t="n"/>
      <c r="G18" s="9" t="n"/>
      <c r="H18" s="9" t="n"/>
      <c r="I18" s="9" t="n"/>
      <c r="J18" s="9" t="n"/>
      <c r="K18" s="9" t="n"/>
      <c r="L18" s="9" t="n"/>
      <c r="M18" s="9" t="n"/>
      <c r="N18" s="9" t="n"/>
      <c r="O18" s="9" t="n"/>
      <c r="P18" s="9" t="n"/>
      <c r="Q18" s="9" t="n"/>
    </row>
    <row r="19" customFormat="1" s="106">
      <c r="A19" s="103" t="n"/>
      <c r="B19" s="104" t="inlineStr">
        <is>
          <t>Salaries &amp; Wages</t>
        </is>
      </c>
      <c r="C19" s="103" t="inlineStr">
        <is>
          <t>Staff salaries, mentors</t>
        </is>
      </c>
      <c r="D19" s="103" t="n"/>
      <c r="E19" s="105">
        <f>Salaries!F19</f>
        <v/>
      </c>
      <c r="F19" s="105">
        <f>Salaries!G19</f>
        <v/>
      </c>
      <c r="G19" s="105">
        <f>Salaries1!F27*0</f>
        <v/>
      </c>
      <c r="H19" s="105" t="n">
        <v>13078401.625</v>
      </c>
      <c r="I19" s="105">
        <f>Salaries1!H27</f>
        <v/>
      </c>
      <c r="J19" s="105">
        <f>Salaries1!I27</f>
        <v/>
      </c>
      <c r="K19" s="105">
        <f>Salaries1!J27</f>
        <v/>
      </c>
      <c r="L19" s="105">
        <f>Salaries1!K27</f>
        <v/>
      </c>
      <c r="M19" s="105">
        <f>Salaries1!L27</f>
        <v/>
      </c>
      <c r="N19" s="105">
        <f>Salaries1!M27</f>
        <v/>
      </c>
      <c r="O19" s="105">
        <f>Salaries1!N27</f>
        <v/>
      </c>
      <c r="P19" s="105">
        <f>Salaries1!O27</f>
        <v/>
      </c>
      <c r="Q19" s="105">
        <f>SUM(E19:P19)</f>
        <v/>
      </c>
    </row>
    <row r="20">
      <c r="B20" s="5" t="n"/>
      <c r="E20" s="118" t="n"/>
      <c r="F20" s="118" t="n"/>
      <c r="G20" s="118" t="n"/>
      <c r="H20" s="118" t="n"/>
      <c r="I20" s="118" t="n"/>
      <c r="J20" s="118" t="n"/>
      <c r="K20" s="118" t="n"/>
      <c r="L20" s="118" t="n"/>
      <c r="M20" s="118" t="n"/>
      <c r="N20" s="118" t="n"/>
      <c r="O20" s="118" t="n"/>
      <c r="P20" s="118" t="n"/>
    </row>
    <row r="21">
      <c r="B21" s="5" t="n"/>
      <c r="E21" s="118" t="n"/>
      <c r="F21" s="118" t="n"/>
      <c r="G21" s="118" t="n"/>
      <c r="H21" s="118" t="n"/>
      <c r="I21" s="118" t="n"/>
      <c r="J21" s="118" t="n"/>
      <c r="K21" s="118" t="n"/>
      <c r="L21" s="118" t="n"/>
      <c r="M21" s="118" t="n"/>
      <c r="N21" s="118" t="n"/>
      <c r="O21" s="118" t="n"/>
      <c r="P21" s="118" t="n"/>
    </row>
    <row r="22">
      <c r="B22" s="5" t="n"/>
      <c r="E22" s="118" t="n"/>
      <c r="F22" s="118" t="n"/>
      <c r="G22" s="118" t="n"/>
      <c r="H22" s="118" t="n"/>
      <c r="I22" s="118" t="n"/>
      <c r="J22" s="118" t="n"/>
      <c r="K22" s="118" t="n"/>
      <c r="L22" s="118" t="n"/>
      <c r="M22" s="118" t="n"/>
      <c r="N22" s="118" t="n"/>
      <c r="O22" s="118" t="n"/>
      <c r="P22" s="118" t="n"/>
    </row>
    <row r="23">
      <c r="B23" s="2" t="inlineStr">
        <is>
          <t>Utilities &amp; Maintenance</t>
        </is>
      </c>
      <c r="C23" t="inlineStr">
        <is>
          <t>Rent, utilities, internet, security</t>
        </is>
      </c>
      <c r="E23" s="118" t="n"/>
      <c r="F23" s="118" t="n"/>
      <c r="G23" s="118" t="n"/>
      <c r="H23" s="118" t="n"/>
      <c r="I23" s="118" t="n"/>
      <c r="J23" s="118" t="n"/>
      <c r="K23" s="118" t="n"/>
      <c r="L23" s="118" t="n"/>
      <c r="M23" s="118" t="n"/>
      <c r="N23" s="118" t="n"/>
      <c r="O23" s="118" t="n"/>
      <c r="P23" s="118" t="n"/>
    </row>
    <row r="24">
      <c r="A24" s="10" t="n"/>
      <c r="B24" s="15" t="inlineStr">
        <is>
          <t>Internet Subscription</t>
        </is>
      </c>
      <c r="C24" s="10" t="n"/>
      <c r="D24" s="10" t="n"/>
      <c r="E24" s="116" t="n"/>
      <c r="F24" s="116" t="n"/>
      <c r="G24" s="16" t="n"/>
      <c r="H24" s="16" t="n"/>
      <c r="I24" s="16" t="n">
        <v>800000</v>
      </c>
      <c r="J24" s="16" t="n">
        <v>800000</v>
      </c>
      <c r="K24" s="16" t="n">
        <v>800000</v>
      </c>
      <c r="L24" s="16" t="n">
        <v>800000</v>
      </c>
      <c r="M24" s="16" t="n">
        <v>800000</v>
      </c>
      <c r="N24" s="16" t="n">
        <v>800000</v>
      </c>
      <c r="O24" s="16" t="n">
        <v>800000</v>
      </c>
      <c r="P24" s="16" t="n">
        <v>800000</v>
      </c>
      <c r="Q24" s="25">
        <f>SUM(E24:P24)</f>
        <v/>
      </c>
    </row>
    <row r="25" customFormat="1" s="106">
      <c r="A25" s="103" t="n"/>
      <c r="B25" s="59" t="inlineStr">
        <is>
          <t>Diesel</t>
        </is>
      </c>
      <c r="C25" s="103" t="n"/>
      <c r="D25" s="103" t="n"/>
      <c r="E25" s="105">
        <f>Diesel!C5</f>
        <v/>
      </c>
      <c r="F25" s="105">
        <f>Diesel!D5</f>
        <v/>
      </c>
      <c r="G25" s="107" t="n"/>
      <c r="H25" s="107">
        <f>Diesel!F5</f>
        <v/>
      </c>
      <c r="I25" s="107">
        <f>Diesel!G5</f>
        <v/>
      </c>
      <c r="J25" s="107">
        <f>Diesel!H5</f>
        <v/>
      </c>
      <c r="K25" s="107">
        <f>Diesel!I5</f>
        <v/>
      </c>
      <c r="L25" s="107">
        <f>Diesel!J5</f>
        <v/>
      </c>
      <c r="M25" s="107">
        <f>Diesel!K5</f>
        <v/>
      </c>
      <c r="N25" s="107">
        <f>Diesel!L5</f>
        <v/>
      </c>
      <c r="O25" s="107">
        <f>Diesel!M5</f>
        <v/>
      </c>
      <c r="P25" s="107">
        <f>Diesel!N5</f>
        <v/>
      </c>
      <c r="Q25" s="108">
        <f>SUM(E25:P25)</f>
        <v/>
      </c>
    </row>
    <row r="26">
      <c r="A26" s="10" t="n"/>
      <c r="B26" s="17" t="inlineStr">
        <is>
          <t>Cleaning &amp; Landscaping</t>
        </is>
      </c>
      <c r="C26" s="10" t="n"/>
      <c r="D26" s="10" t="n"/>
      <c r="E26" s="116" t="n"/>
      <c r="F26" s="116" t="n"/>
      <c r="G26" s="16" t="n"/>
      <c r="H26" s="16">
        <f>500000+1300000</f>
        <v/>
      </c>
      <c r="I26" s="16" t="n">
        <v>1300000</v>
      </c>
      <c r="J26" s="16" t="n">
        <v>1300000</v>
      </c>
      <c r="K26" s="16" t="n">
        <v>1300000</v>
      </c>
      <c r="L26" s="16" t="n">
        <v>1300000</v>
      </c>
      <c r="M26" s="16" t="n">
        <v>1300000</v>
      </c>
      <c r="N26" s="16" t="n">
        <v>1300000</v>
      </c>
      <c r="O26" s="16" t="n">
        <v>1300000</v>
      </c>
      <c r="P26" s="16" t="n">
        <v>1300000</v>
      </c>
      <c r="Q26" s="26">
        <f>SUM(E26:P26)</f>
        <v/>
      </c>
    </row>
    <row r="27">
      <c r="A27" s="10" t="n"/>
      <c r="B27" s="17" t="inlineStr">
        <is>
          <t>Facility Maintenance &amp; Repairs</t>
        </is>
      </c>
      <c r="C27" s="10" t="n"/>
      <c r="D27" s="10" t="n"/>
      <c r="E27" s="116" t="n"/>
      <c r="F27" s="116" t="n"/>
      <c r="G27" s="16" t="n"/>
      <c r="H27" s="16" t="n"/>
      <c r="I27" s="16" t="n">
        <v>1500000</v>
      </c>
      <c r="J27" s="16" t="n">
        <v>1000000</v>
      </c>
      <c r="K27" s="16" t="n">
        <v>833333.3333333334</v>
      </c>
      <c r="L27" s="16" t="n">
        <v>833333.3333333334</v>
      </c>
      <c r="M27" s="16" t="n">
        <v>833333.3333333334</v>
      </c>
      <c r="N27" s="16" t="n">
        <v>833333.3333333334</v>
      </c>
      <c r="O27" s="16" t="n">
        <v>833333.3333333334</v>
      </c>
      <c r="P27" s="16" t="n">
        <v>833333.3333333334</v>
      </c>
      <c r="Q27" s="26">
        <f>SUM(E27:P27)</f>
        <v/>
      </c>
    </row>
    <row r="28" ht="15.5" customHeight="1">
      <c r="A28" s="10" t="n"/>
      <c r="B28" s="17" t="inlineStr">
        <is>
          <t>Security</t>
        </is>
      </c>
      <c r="C28" s="10" t="n"/>
      <c r="D28" s="10" t="n"/>
      <c r="E28" s="116" t="n"/>
      <c r="F28" s="116" t="n"/>
      <c r="G28" s="16" t="n"/>
      <c r="H28" s="16" t="n"/>
      <c r="I28" s="16" t="n">
        <v>1000000</v>
      </c>
      <c r="J28" s="16" t="n">
        <v>1000000</v>
      </c>
      <c r="K28" s="16" t="n">
        <v>1000000</v>
      </c>
      <c r="L28" s="16" t="n">
        <v>1000000</v>
      </c>
      <c r="M28" s="16" t="n">
        <v>1000000</v>
      </c>
      <c r="N28" s="16" t="n">
        <v>1000000</v>
      </c>
      <c r="O28" s="16" t="n">
        <v>1000000</v>
      </c>
      <c r="P28" s="16" t="n">
        <v>1000000</v>
      </c>
      <c r="Q28" s="26">
        <f>SUM(E28:P28)</f>
        <v/>
      </c>
    </row>
    <row r="29" ht="31" customHeight="1">
      <c r="A29" s="10" t="n"/>
      <c r="B29" s="17" t="inlineStr">
        <is>
          <t>HVAC, Solar, Elevator, Access Control &amp; LED Screen Maintenance</t>
        </is>
      </c>
      <c r="C29" s="10" t="n"/>
      <c r="D29" s="10" t="n"/>
      <c r="E29" s="116" t="n"/>
      <c r="F29" s="116" t="n"/>
      <c r="G29" s="16" t="n"/>
      <c r="I29" s="16" t="n"/>
      <c r="J29" s="16">
        <f>15000000/3</f>
        <v/>
      </c>
      <c r="K29" s="16" t="n"/>
      <c r="L29" s="16">
        <f>J29</f>
        <v/>
      </c>
      <c r="M29" s="16" t="n"/>
      <c r="N29" s="16" t="n"/>
      <c r="O29" s="16" t="n"/>
      <c r="P29" s="16">
        <f>L29</f>
        <v/>
      </c>
      <c r="Q29" s="27">
        <f>SUM(E29:P29)</f>
        <v/>
      </c>
    </row>
    <row r="30" customFormat="1" s="3">
      <c r="A30" s="13" t="n"/>
      <c r="B30" s="13" t="n"/>
      <c r="C30" s="13" t="n"/>
      <c r="D30" s="13" t="n"/>
      <c r="E30" s="14" t="n"/>
      <c r="F30" s="14" t="n"/>
      <c r="G30" s="14">
        <f>SUM(G24:G29)</f>
        <v/>
      </c>
      <c r="H30" s="14">
        <f>SUM(H24:H29)</f>
        <v/>
      </c>
      <c r="I30" s="14">
        <f>SUM(I24:I29)</f>
        <v/>
      </c>
      <c r="J30" s="14">
        <f>SUM(J24:J29)</f>
        <v/>
      </c>
      <c r="K30" s="14">
        <f>SUM(K24:K29)</f>
        <v/>
      </c>
      <c r="L30" s="14">
        <f>SUM(L24:L29)</f>
        <v/>
      </c>
      <c r="M30" s="14">
        <f>SUM(M24:M29)</f>
        <v/>
      </c>
      <c r="N30" s="14">
        <f>SUM(N24:N29)</f>
        <v/>
      </c>
      <c r="O30" s="14">
        <f>SUM(O24:O29)</f>
        <v/>
      </c>
      <c r="P30" s="14">
        <f>SUM(P24:P29)</f>
        <v/>
      </c>
      <c r="Q30" s="28">
        <f>SUM(Q24:Q29)</f>
        <v/>
      </c>
    </row>
    <row r="31">
      <c r="B31" s="2" t="inlineStr">
        <is>
          <t>Travel &amp; Conferences</t>
        </is>
      </c>
      <c r="E31" s="118" t="n"/>
      <c r="F31" s="118" t="n"/>
      <c r="G31" s="118" t="n"/>
      <c r="H31" s="118" t="n"/>
      <c r="I31" s="118" t="n"/>
      <c r="J31" s="118" t="n"/>
      <c r="K31" s="118" t="n"/>
      <c r="L31" s="118" t="n"/>
      <c r="M31" s="118" t="n"/>
      <c r="N31" s="118" t="n"/>
      <c r="O31" s="118" t="n"/>
      <c r="P31" s="118" t="n"/>
    </row>
    <row r="32">
      <c r="A32" s="10" t="n"/>
      <c r="B32" s="15" t="inlineStr">
        <is>
          <t>International Conference Registration</t>
        </is>
      </c>
      <c r="C32" s="10" t="n"/>
      <c r="D32" s="10" t="n"/>
      <c r="E32" s="116" t="n"/>
      <c r="F32" s="116" t="n"/>
      <c r="G32" s="20" t="n"/>
      <c r="H32" s="20" t="n"/>
      <c r="I32" s="20" t="n">
        <v>3000000</v>
      </c>
      <c r="J32" s="20" t="n"/>
      <c r="L32" s="20" t="n"/>
      <c r="M32" s="20" t="n"/>
      <c r="N32" s="20" t="n"/>
      <c r="O32" s="20" t="n"/>
      <c r="P32" s="20" t="n"/>
      <c r="Q32" s="23">
        <f>SUM(E32:P32)</f>
        <v/>
      </c>
    </row>
    <row r="33">
      <c r="A33" s="10" t="n"/>
      <c r="B33" s="15" t="inlineStr">
        <is>
          <t>International Travel &amp; Accomodation</t>
        </is>
      </c>
      <c r="C33" s="10" t="n"/>
      <c r="D33" s="10" t="n"/>
      <c r="E33" s="116" t="n"/>
      <c r="F33" s="116" t="n"/>
      <c r="G33" s="20" t="n"/>
      <c r="H33" s="20" t="n"/>
      <c r="I33" s="20" t="n">
        <v>7000000</v>
      </c>
      <c r="J33" s="20" t="n"/>
      <c r="L33" s="20" t="n"/>
      <c r="M33" s="20" t="n"/>
      <c r="N33" s="20" t="n">
        <v>7000000</v>
      </c>
      <c r="O33" s="20" t="n"/>
      <c r="P33" s="20" t="n">
        <v>7000000</v>
      </c>
      <c r="Q33" s="23">
        <f>SUM(E33:P33)</f>
        <v/>
      </c>
    </row>
    <row r="34">
      <c r="A34" s="10" t="n"/>
      <c r="B34" s="17" t="inlineStr">
        <is>
          <t>Local Conference Registration</t>
        </is>
      </c>
      <c r="C34" s="10" t="n"/>
      <c r="D34" s="10" t="n"/>
      <c r="E34" s="116" t="n"/>
      <c r="F34" s="116" t="n"/>
      <c r="G34" s="20" t="n"/>
      <c r="H34" s="20" t="n"/>
      <c r="I34" s="20" t="n"/>
      <c r="J34" s="20" t="n">
        <v>750000</v>
      </c>
      <c r="K34" s="20" t="n"/>
      <c r="L34" s="20" t="n"/>
      <c r="M34" s="20" t="n">
        <v>750000</v>
      </c>
      <c r="N34" s="20" t="n"/>
      <c r="O34" s="20" t="n"/>
      <c r="P34" s="20" t="n">
        <v>750000</v>
      </c>
      <c r="Q34" s="23">
        <f>SUM(E34:P34)</f>
        <v/>
      </c>
    </row>
    <row r="35">
      <c r="A35" s="10" t="n"/>
      <c r="B35" s="17" t="inlineStr">
        <is>
          <t>Local Conference Exhibition</t>
        </is>
      </c>
      <c r="C35" s="10" t="n"/>
      <c r="D35" s="10" t="n"/>
      <c r="E35" s="116" t="n"/>
      <c r="F35" s="116" t="n"/>
      <c r="G35" s="20" t="n"/>
      <c r="H35" s="20" t="n"/>
      <c r="I35" s="20" t="n"/>
      <c r="J35" s="20" t="n">
        <v>2000000</v>
      </c>
      <c r="K35" s="20" t="n"/>
      <c r="L35" s="20" t="n"/>
      <c r="M35" s="20" t="n">
        <v>2000000</v>
      </c>
      <c r="N35" s="20" t="n"/>
      <c r="O35" s="20" t="n"/>
      <c r="P35" s="20" t="n">
        <v>2000000</v>
      </c>
      <c r="Q35" s="23">
        <f>SUM(E35:P35)</f>
        <v/>
      </c>
    </row>
    <row r="36">
      <c r="A36" s="10" t="n"/>
      <c r="B36" s="17" t="inlineStr">
        <is>
          <t>Local Travel</t>
        </is>
      </c>
      <c r="C36" s="10" t="n"/>
      <c r="D36" s="10" t="n"/>
      <c r="E36" s="116" t="n"/>
      <c r="F36" s="116" t="n"/>
      <c r="G36" s="20" t="n"/>
      <c r="H36" s="20" t="n"/>
      <c r="I36" s="20" t="n">
        <v>1000000</v>
      </c>
      <c r="J36" s="20" t="n">
        <v>1000000</v>
      </c>
      <c r="K36" s="20" t="n">
        <v>1000000</v>
      </c>
      <c r="L36" s="20" t="n"/>
      <c r="M36" s="20" t="n"/>
      <c r="N36" s="20" t="n"/>
      <c r="O36" s="20" t="n">
        <v>1000000</v>
      </c>
      <c r="P36" s="20" t="n">
        <v>1000000</v>
      </c>
      <c r="Q36" s="23">
        <f>SUM(E36:P36)</f>
        <v/>
      </c>
    </row>
    <row r="37" customFormat="1" s="3">
      <c r="A37" s="13" t="n"/>
      <c r="B37" s="13" t="n"/>
      <c r="C37" s="13" t="n"/>
      <c r="D37" s="13" t="n"/>
      <c r="E37" s="14" t="n"/>
      <c r="F37" s="14" t="n"/>
      <c r="G37" s="14">
        <f>SUM(G32:G36)</f>
        <v/>
      </c>
      <c r="H37" s="14">
        <f>SUM(H32:H36)</f>
        <v/>
      </c>
      <c r="I37" s="14">
        <f>SUM(I32:I36)</f>
        <v/>
      </c>
      <c r="J37" s="14">
        <f>SUM(J32:J36)</f>
        <v/>
      </c>
      <c r="K37" s="14">
        <f>SUM(K32:K36)</f>
        <v/>
      </c>
      <c r="L37" s="14">
        <f>SUM(L32:L36)</f>
        <v/>
      </c>
      <c r="M37" s="14">
        <f>SUM(M32:M36)</f>
        <v/>
      </c>
      <c r="N37" s="14">
        <f>SUM(N32:N36)</f>
        <v/>
      </c>
      <c r="O37" s="14">
        <f>SUM(O32:O36)</f>
        <v/>
      </c>
      <c r="P37" s="14">
        <f>SUM(P32:P36)</f>
        <v/>
      </c>
      <c r="Q37" s="28">
        <f>SUM(Q32:Q36)</f>
        <v/>
      </c>
    </row>
    <row r="38">
      <c r="E38" s="118" t="n"/>
      <c r="F38" s="118" t="n"/>
      <c r="G38" s="118" t="n"/>
      <c r="H38" s="118" t="n"/>
      <c r="I38" s="118" t="n"/>
      <c r="J38" s="118" t="n"/>
      <c r="K38" s="118" t="n"/>
      <c r="L38" s="118" t="n"/>
      <c r="M38" s="118" t="n"/>
      <c r="N38" s="118" t="n"/>
      <c r="O38" s="118" t="n"/>
      <c r="P38" s="118" t="n"/>
    </row>
    <row r="39">
      <c r="B39" s="3" t="inlineStr">
        <is>
          <t>Equipment &amp; Infrastructure</t>
        </is>
      </c>
      <c r="C39" t="inlineStr">
        <is>
          <t>Laptops, software, lab tools</t>
        </is>
      </c>
      <c r="E39" s="118" t="n"/>
      <c r="F39" s="118" t="n"/>
      <c r="G39" s="118" t="n"/>
      <c r="H39" s="118" t="n"/>
      <c r="I39" s="118" t="n"/>
      <c r="J39" s="118" t="n"/>
      <c r="K39" s="118" t="n"/>
      <c r="L39" s="118" t="n"/>
      <c r="M39" s="118" t="n"/>
      <c r="N39" s="118" t="n"/>
      <c r="O39" s="118" t="n"/>
      <c r="P39" s="118" t="n"/>
    </row>
    <row r="40">
      <c r="A40" s="10" t="n"/>
      <c r="B40" s="60" t="inlineStr">
        <is>
          <t>Cloud Servers</t>
        </is>
      </c>
      <c r="C40" s="10" t="n"/>
      <c r="D40" s="10" t="n"/>
      <c r="E40" s="116">
        <f>Others!C4</f>
        <v/>
      </c>
      <c r="F40" s="116">
        <f>Others!D4</f>
        <v/>
      </c>
      <c r="G40" s="116" t="n"/>
      <c r="H40" s="116" t="n"/>
      <c r="I40" s="116">
        <f>3750000/4</f>
        <v/>
      </c>
      <c r="J40" s="116" t="n"/>
      <c r="K40" s="116">
        <f>3750000/4</f>
        <v/>
      </c>
      <c r="L40" s="116" t="n"/>
      <c r="M40" s="116" t="n"/>
      <c r="N40" s="116">
        <f>3750000/4</f>
        <v/>
      </c>
      <c r="O40" s="116" t="n"/>
      <c r="P40" s="116" t="n"/>
      <c r="Q40" s="24">
        <f>SUM(E40:P40)</f>
        <v/>
      </c>
    </row>
    <row r="41">
      <c r="A41" s="10" t="n"/>
      <c r="B41" s="59" t="inlineStr">
        <is>
          <t>Staff Email</t>
        </is>
      </c>
      <c r="C41" s="10" t="n"/>
      <c r="D41" s="10" t="n"/>
      <c r="E41" s="116">
        <f>Others!C5</f>
        <v/>
      </c>
      <c r="F41" s="116">
        <f>Others!D5</f>
        <v/>
      </c>
      <c r="G41" s="116" t="n"/>
      <c r="I41" s="116">
        <f>Others!E5</f>
        <v/>
      </c>
      <c r="J41" s="116">
        <f>Others!H5</f>
        <v/>
      </c>
      <c r="K41" s="116">
        <f>Others!I5</f>
        <v/>
      </c>
      <c r="L41" s="116">
        <f>Others!J5</f>
        <v/>
      </c>
      <c r="M41" s="116">
        <f>Others!K5</f>
        <v/>
      </c>
      <c r="N41" s="116">
        <f>Others!L5</f>
        <v/>
      </c>
      <c r="O41" s="116">
        <f>Others!M5</f>
        <v/>
      </c>
      <c r="P41" s="116">
        <f>Others!N5</f>
        <v/>
      </c>
      <c r="Q41" s="24">
        <f>SUM(E41:P41)</f>
        <v/>
      </c>
    </row>
    <row r="42">
      <c r="A42" s="10" t="n"/>
      <c r="B42" s="59" t="inlineStr">
        <is>
          <t>Software Subscriptions &amp; Licenses</t>
        </is>
      </c>
      <c r="C42" s="10" t="n"/>
      <c r="D42" s="10" t="n"/>
      <c r="E42" s="116">
        <f>Others!C6</f>
        <v/>
      </c>
      <c r="F42" s="116">
        <f>Others!D6</f>
        <v/>
      </c>
      <c r="G42" s="116" t="n"/>
      <c r="I42" s="116">
        <f>Others!E6</f>
        <v/>
      </c>
      <c r="J42" s="116">
        <f>Others!H6</f>
        <v/>
      </c>
      <c r="K42" s="116">
        <f>Others!I6</f>
        <v/>
      </c>
      <c r="L42" s="116">
        <f>Others!J6</f>
        <v/>
      </c>
      <c r="M42" s="116">
        <f>Others!K6</f>
        <v/>
      </c>
      <c r="N42" s="116">
        <f>Others!L6</f>
        <v/>
      </c>
      <c r="O42" s="116">
        <f>Others!M6</f>
        <v/>
      </c>
      <c r="P42" s="116">
        <f>Others!N6</f>
        <v/>
      </c>
      <c r="Q42" s="24">
        <f>SUM(E42:P42)</f>
        <v/>
      </c>
    </row>
    <row r="43">
      <c r="A43" s="10" t="n"/>
      <c r="B43" s="59" t="inlineStr">
        <is>
          <t>Access Control &amp; Hub Management Software</t>
        </is>
      </c>
      <c r="C43" s="10" t="n"/>
      <c r="D43" s="10" t="n"/>
      <c r="E43" s="116" t="n"/>
      <c r="F43" s="116" t="n"/>
      <c r="G43" s="116" t="n"/>
      <c r="H43" s="116" t="n"/>
      <c r="I43" s="116" t="n">
        <v>6500000</v>
      </c>
      <c r="J43" s="116" t="n"/>
      <c r="K43" s="116" t="n"/>
      <c r="L43" s="116" t="n"/>
      <c r="M43" s="116" t="n"/>
      <c r="N43" s="116" t="n"/>
      <c r="O43" s="116" t="n"/>
      <c r="P43" s="116" t="n"/>
      <c r="Q43" s="24">
        <f>SUM(E43:P43)</f>
        <v/>
      </c>
    </row>
    <row r="44">
      <c r="A44" s="10" t="n"/>
      <c r="B44" s="59" t="inlineStr">
        <is>
          <t>Laptops</t>
        </is>
      </c>
      <c r="C44" s="10" t="n"/>
      <c r="D44" s="10" t="n"/>
      <c r="E44" s="116" t="n"/>
      <c r="F44" s="116" t="n"/>
      <c r="G44" s="116" t="n"/>
      <c r="H44" s="116" t="n"/>
      <c r="I44" s="116" t="n"/>
      <c r="J44" s="116" t="n"/>
      <c r="K44" s="116" t="n"/>
      <c r="L44" s="116" t="n"/>
      <c r="M44" s="116" t="n"/>
      <c r="N44" s="116" t="n"/>
      <c r="O44" s="116" t="n"/>
      <c r="P44" s="116" t="n"/>
      <c r="Q44" s="24">
        <f>SUM(E44:P44)</f>
        <v/>
      </c>
    </row>
    <row r="45" customFormat="1" s="3">
      <c r="A45" s="13" t="n"/>
      <c r="B45" s="13" t="n"/>
      <c r="C45" s="13" t="n"/>
      <c r="D45" s="13" t="n"/>
      <c r="E45" s="14" t="n"/>
      <c r="F45" s="14" t="n"/>
      <c r="G45" s="14">
        <f>SUM(G40:G44)</f>
        <v/>
      </c>
      <c r="H45" s="14">
        <f>SUM(H40:H44)</f>
        <v/>
      </c>
      <c r="I45" s="14">
        <f>SUM(I40:I44)</f>
        <v/>
      </c>
      <c r="J45" s="14">
        <f>SUM(J40:J44)</f>
        <v/>
      </c>
      <c r="K45" s="14">
        <f>SUM(K40:K44)</f>
        <v/>
      </c>
      <c r="L45" s="14">
        <f>SUM(L40:L44)</f>
        <v/>
      </c>
      <c r="M45" s="14">
        <f>SUM(M40:M44)</f>
        <v/>
      </c>
      <c r="N45" s="14">
        <f>SUM(N40:N44)</f>
        <v/>
      </c>
      <c r="O45" s="14">
        <f>SUM(O40:O44)</f>
        <v/>
      </c>
      <c r="P45" s="14">
        <f>SUM(P40:P44)</f>
        <v/>
      </c>
      <c r="Q45" s="28">
        <f>SUM(Q40:Q44)</f>
        <v/>
      </c>
    </row>
    <row r="46">
      <c r="B46" s="1" t="n"/>
      <c r="E46" s="118" t="n"/>
      <c r="F46" s="118" t="n"/>
      <c r="G46" s="118" t="n"/>
      <c r="H46" s="118" t="n"/>
      <c r="I46" s="118" t="n"/>
      <c r="J46" s="118" t="n"/>
      <c r="K46" s="118" t="n"/>
      <c r="L46" s="118" t="n"/>
      <c r="M46" s="118" t="n"/>
      <c r="N46" s="118" t="n"/>
      <c r="O46" s="118" t="n"/>
      <c r="P46" s="118" t="n"/>
    </row>
    <row r="47">
      <c r="E47" s="118" t="n"/>
      <c r="F47" s="118" t="n"/>
      <c r="G47" s="118" t="n"/>
      <c r="H47" s="118" t="n"/>
      <c r="I47" s="118" t="n"/>
      <c r="J47" s="118" t="n"/>
      <c r="K47" s="118" t="n"/>
      <c r="L47" s="118" t="n"/>
      <c r="M47" s="118" t="n"/>
      <c r="N47" s="118" t="n"/>
      <c r="O47" s="118" t="n"/>
      <c r="P47" s="118" t="n"/>
    </row>
    <row r="48">
      <c r="B48" s="2" t="inlineStr">
        <is>
          <t>Corporate Comms &amp; PR</t>
        </is>
      </c>
      <c r="C48" t="inlineStr">
        <is>
          <t>Branding, events, PR</t>
        </is>
      </c>
      <c r="E48" s="118" t="n"/>
      <c r="F48" s="118" t="n"/>
      <c r="G48" s="118" t="n"/>
      <c r="H48" s="118" t="n"/>
      <c r="I48" s="118" t="n"/>
      <c r="J48" s="118" t="n"/>
      <c r="K48" s="118" t="n"/>
      <c r="L48" s="118" t="n"/>
      <c r="M48" s="118" t="n"/>
      <c r="N48" s="118" t="n"/>
      <c r="O48" s="118" t="n"/>
      <c r="P48" s="118" t="n"/>
    </row>
    <row r="49">
      <c r="A49" s="10" t="n"/>
      <c r="B49" s="17" t="inlineStr">
        <is>
          <t>Souvenirs</t>
        </is>
      </c>
      <c r="C49" s="10" t="n"/>
      <c r="D49" s="10" t="n"/>
      <c r="E49" s="116" t="n"/>
      <c r="F49" s="116" t="n"/>
      <c r="G49" s="116" t="n"/>
      <c r="H49" s="116" t="n"/>
      <c r="I49" s="116" t="n">
        <v>2500000</v>
      </c>
      <c r="J49" s="116" t="n"/>
      <c r="K49" s="116" t="n"/>
      <c r="L49" s="116" t="n"/>
      <c r="M49" s="116" t="n">
        <v>2500000</v>
      </c>
      <c r="N49" s="116" t="n"/>
      <c r="O49" s="116" t="n"/>
      <c r="P49" s="116" t="n">
        <v>2500000</v>
      </c>
      <c r="Q49" s="24">
        <f>SUM(E49:P49)</f>
        <v/>
      </c>
    </row>
    <row r="50">
      <c r="A50" s="10" t="n"/>
      <c r="B50" s="15" t="inlineStr">
        <is>
          <t>Guest Entertainment &amp; Refreshments</t>
        </is>
      </c>
      <c r="C50" s="10" t="n"/>
      <c r="D50" s="10" t="n"/>
      <c r="E50" s="116" t="n"/>
      <c r="F50" s="116" t="n"/>
      <c r="G50" s="116" t="n"/>
      <c r="H50" s="116" t="n"/>
      <c r="I50" s="116" t="n">
        <v>350000</v>
      </c>
      <c r="J50" s="116" t="n">
        <v>350000</v>
      </c>
      <c r="K50" s="116" t="n">
        <v>350000</v>
      </c>
      <c r="L50" s="116" t="n">
        <v>350000</v>
      </c>
      <c r="M50" s="116" t="n">
        <v>350000</v>
      </c>
      <c r="N50" s="116" t="n">
        <v>350000</v>
      </c>
      <c r="O50" s="116" t="n">
        <v>350000</v>
      </c>
      <c r="P50" s="116" t="n">
        <v>350000</v>
      </c>
      <c r="Q50" s="24">
        <f>SUM(E50:P50)</f>
        <v/>
      </c>
    </row>
    <row r="51">
      <c r="A51" s="10" t="n"/>
      <c r="B51" s="15" t="inlineStr">
        <is>
          <t>Banners</t>
        </is>
      </c>
      <c r="C51" s="10" t="n"/>
      <c r="D51" s="10" t="n"/>
      <c r="E51" s="116" t="n"/>
      <c r="F51" s="116" t="n"/>
      <c r="G51" s="116" t="n"/>
      <c r="H51" s="116" t="n"/>
      <c r="I51" s="116" t="n">
        <v>250000</v>
      </c>
      <c r="J51" s="116" t="n"/>
      <c r="K51" s="116" t="n">
        <v>125000</v>
      </c>
      <c r="L51" s="116" t="n">
        <v>125000</v>
      </c>
      <c r="M51" s="116" t="n">
        <v>125000</v>
      </c>
      <c r="N51" s="116" t="n">
        <v>125000</v>
      </c>
      <c r="O51" s="116" t="n">
        <v>125000</v>
      </c>
      <c r="P51" s="116" t="n">
        <v>125000</v>
      </c>
      <c r="Q51" s="24">
        <f>SUM(E51:P51)</f>
        <v/>
      </c>
    </row>
    <row r="52">
      <c r="A52" s="10" t="n"/>
      <c r="B52" s="15" t="inlineStr">
        <is>
          <t>Staff T-Shirts</t>
        </is>
      </c>
      <c r="C52" s="10" t="n"/>
      <c r="D52" s="10" t="n"/>
      <c r="E52" s="116" t="n"/>
      <c r="F52" s="116" t="n"/>
      <c r="G52" s="116" t="n"/>
      <c r="H52" s="116" t="n"/>
      <c r="I52" s="116" t="n">
        <v>500000</v>
      </c>
      <c r="J52" s="116" t="n"/>
      <c r="K52" s="116" t="n"/>
      <c r="L52" s="116" t="n"/>
      <c r="M52" s="116" t="n"/>
      <c r="N52" s="116" t="n">
        <v>250000</v>
      </c>
      <c r="O52" s="116" t="n"/>
      <c r="P52" s="116" t="n"/>
      <c r="Q52" s="24">
        <f>SUM(E52:P52)</f>
        <v/>
      </c>
    </row>
    <row r="53">
      <c r="A53" s="10" t="n"/>
      <c r="B53" s="15" t="inlineStr">
        <is>
          <t>Online &amp; Social Media Marketing</t>
        </is>
      </c>
      <c r="C53" s="10" t="n"/>
      <c r="D53" s="10" t="n"/>
      <c r="E53" s="116" t="n"/>
      <c r="F53" s="116" t="n"/>
      <c r="G53" s="116" t="n"/>
      <c r="H53" s="116" t="n"/>
      <c r="I53" s="116" t="n">
        <v>250000</v>
      </c>
      <c r="J53" s="116" t="n">
        <v>250000</v>
      </c>
      <c r="K53" s="116" t="n">
        <v>166666.6666666667</v>
      </c>
      <c r="L53" s="116" t="n">
        <v>166666.6666666667</v>
      </c>
      <c r="M53" s="116" t="n">
        <v>166666.6666666667</v>
      </c>
      <c r="N53" s="116" t="n">
        <v>166666.6666666667</v>
      </c>
      <c r="O53" s="116" t="n">
        <v>166666.6666666667</v>
      </c>
      <c r="P53" s="116" t="n">
        <v>166666.6666666667</v>
      </c>
      <c r="Q53" s="24">
        <f>SUM(E53:P53)</f>
        <v/>
      </c>
    </row>
    <row r="54" customFormat="1" s="3">
      <c r="A54" s="13" t="n"/>
      <c r="B54" s="13" t="n"/>
      <c r="C54" s="13" t="n"/>
      <c r="D54" s="13" t="n"/>
      <c r="E54" s="14" t="n"/>
      <c r="F54" s="14" t="n"/>
      <c r="G54" s="14">
        <f>SUM(G49:G53)</f>
        <v/>
      </c>
      <c r="H54" s="14">
        <f>SUM(H49:H53)</f>
        <v/>
      </c>
      <c r="I54" s="14">
        <f>SUM(I49:I53)</f>
        <v/>
      </c>
      <c r="J54" s="14">
        <f>SUM(J49:J53)</f>
        <v/>
      </c>
      <c r="K54" s="14">
        <f>SUM(K49:K53)</f>
        <v/>
      </c>
      <c r="L54" s="14">
        <f>SUM(L49:L53)</f>
        <v/>
      </c>
      <c r="M54" s="14">
        <f>SUM(M49:M53)</f>
        <v/>
      </c>
      <c r="N54" s="14">
        <f>SUM(N49:N53)</f>
        <v/>
      </c>
      <c r="O54" s="14">
        <f>SUM(O49:O53)</f>
        <v/>
      </c>
      <c r="P54" s="14">
        <f>SUM(P49:P53)</f>
        <v/>
      </c>
      <c r="Q54" s="28">
        <f>SUM(Q49:Q53)</f>
        <v/>
      </c>
    </row>
    <row r="55">
      <c r="E55" s="118" t="n"/>
      <c r="F55" s="118" t="n"/>
      <c r="G55" s="118" t="n"/>
      <c r="H55" s="118" t="n"/>
      <c r="I55" s="118" t="n"/>
      <c r="J55" s="118" t="n"/>
      <c r="K55" s="118" t="n"/>
      <c r="L55" s="118" t="n"/>
      <c r="M55" s="118" t="n"/>
      <c r="N55" s="118" t="n"/>
      <c r="O55" s="118" t="n"/>
      <c r="P55" s="118" t="n"/>
    </row>
    <row r="56">
      <c r="B56" s="3" t="inlineStr">
        <is>
          <t>Administrative Costs</t>
        </is>
      </c>
      <c r="C56" t="inlineStr">
        <is>
          <t>Legal, compliance, insurance</t>
        </is>
      </c>
      <c r="E56" s="118" t="n"/>
      <c r="F56" s="118" t="n"/>
      <c r="G56" s="118" t="n"/>
      <c r="H56" s="118" t="n"/>
      <c r="I56" s="118" t="n"/>
      <c r="J56" s="118" t="n"/>
      <c r="K56" s="118" t="n"/>
      <c r="L56" s="118" t="n"/>
      <c r="M56" s="118" t="n"/>
      <c r="N56" s="118" t="n"/>
      <c r="O56" s="118" t="n"/>
      <c r="P56" s="118" t="n"/>
    </row>
    <row r="57">
      <c r="A57" s="10" t="n"/>
      <c r="B57" s="17" t="inlineStr">
        <is>
          <t>Legal, Regulatory, Insurance etc</t>
        </is>
      </c>
      <c r="C57" s="10" t="n"/>
      <c r="D57" s="10" t="n"/>
      <c r="E57" s="116" t="n"/>
      <c r="F57" s="116" t="n"/>
      <c r="G57" s="116" t="n"/>
      <c r="H57" s="116" t="n"/>
      <c r="I57" s="116" t="n">
        <v>1666667</v>
      </c>
      <c r="J57" s="116" t="n">
        <v>1666667</v>
      </c>
      <c r="K57" s="116" t="n">
        <v>1666667</v>
      </c>
      <c r="L57" s="116" t="n">
        <v>1666667</v>
      </c>
      <c r="M57" s="116" t="n">
        <v>1666667</v>
      </c>
      <c r="N57" s="116" t="n">
        <v>1666667</v>
      </c>
      <c r="O57" s="116" t="n">
        <v>1666667</v>
      </c>
      <c r="P57" s="116" t="n">
        <v>1666667</v>
      </c>
      <c r="Q57" s="24">
        <f>SUM(E57:P57)</f>
        <v/>
      </c>
    </row>
    <row r="58">
      <c r="A58" s="10" t="n"/>
      <c r="B58" s="17" t="inlineStr">
        <is>
          <t>Stationery &amp; Office Supplies</t>
        </is>
      </c>
      <c r="C58" s="10" t="n"/>
      <c r="D58" s="10" t="n"/>
      <c r="E58" s="116" t="n"/>
      <c r="F58" s="116" t="n"/>
      <c r="G58" s="116" t="n"/>
      <c r="H58" s="116" t="n"/>
      <c r="I58" s="116" t="n">
        <v>150000</v>
      </c>
      <c r="J58" s="116" t="n">
        <v>150000</v>
      </c>
      <c r="K58" s="116" t="n">
        <v>150000</v>
      </c>
      <c r="L58" s="116" t="n">
        <v>150000</v>
      </c>
      <c r="M58" s="116" t="n">
        <v>150000</v>
      </c>
      <c r="N58" s="116" t="n">
        <v>150000</v>
      </c>
      <c r="O58" s="116" t="n">
        <v>150000</v>
      </c>
      <c r="P58" s="116" t="n">
        <v>150000</v>
      </c>
      <c r="Q58" s="24">
        <f>SUM(E58:P58)</f>
        <v/>
      </c>
    </row>
    <row r="59">
      <c r="A59" s="10" t="n"/>
      <c r="B59" s="17" t="inlineStr">
        <is>
          <t xml:space="preserve">Association &amp; Society Memberships </t>
        </is>
      </c>
      <c r="C59" s="10" t="n"/>
      <c r="D59" s="10" t="n"/>
      <c r="E59" s="116" t="n"/>
      <c r="F59" s="116" t="n"/>
      <c r="G59" s="116" t="n"/>
      <c r="H59" s="116" t="n"/>
      <c r="I59" s="116" t="n">
        <v>2000000</v>
      </c>
      <c r="J59" s="116" t="n"/>
      <c r="K59" s="116" t="n"/>
      <c r="L59" s="116" t="n"/>
      <c r="M59" s="116" t="n"/>
      <c r="N59" s="116" t="n"/>
      <c r="O59" s="116" t="n"/>
      <c r="Q59" s="24">
        <f>SUM(E59:O59)</f>
        <v/>
      </c>
    </row>
    <row r="60" customFormat="1" s="3">
      <c r="A60" s="13" t="n"/>
      <c r="B60" s="13" t="n"/>
      <c r="C60" s="13" t="n"/>
      <c r="D60" s="13" t="n"/>
      <c r="E60" s="14" t="n"/>
      <c r="F60" s="14" t="n"/>
      <c r="G60" s="14" t="n"/>
      <c r="H60" s="14">
        <f>SUM(H57:H59)</f>
        <v/>
      </c>
      <c r="I60" s="14">
        <f>SUM(I57:I59)</f>
        <v/>
      </c>
      <c r="J60" s="14">
        <f>SUM(J57:J59)</f>
        <v/>
      </c>
      <c r="K60" s="14">
        <f>SUM(K57:K59)</f>
        <v/>
      </c>
      <c r="L60" s="14">
        <f>SUM(L57:L59)</f>
        <v/>
      </c>
      <c r="M60" s="14">
        <f>SUM(M57:M59)</f>
        <v/>
      </c>
      <c r="N60" s="14">
        <f>SUM(N57:N59)</f>
        <v/>
      </c>
      <c r="O60" s="14">
        <f>SUM(O57:O59)</f>
        <v/>
      </c>
      <c r="P60" s="14">
        <f>SUM(P57:P59)</f>
        <v/>
      </c>
      <c r="Q60" s="28">
        <f>SUM(Q57:Q59)</f>
        <v/>
      </c>
    </row>
    <row r="61">
      <c r="B61" s="81" t="n"/>
      <c r="E61" s="118" t="n"/>
      <c r="F61" s="118" t="n"/>
      <c r="G61" s="118" t="n"/>
      <c r="H61" s="118" t="n"/>
      <c r="I61" s="118" t="n"/>
      <c r="J61" s="118" t="n"/>
      <c r="K61" s="118" t="n"/>
      <c r="L61" s="118" t="n"/>
      <c r="M61" s="118" t="n"/>
      <c r="N61" s="118" t="n"/>
      <c r="O61" s="118" t="n"/>
      <c r="P61" s="118" t="n"/>
    </row>
    <row r="62">
      <c r="E62" s="118" t="n"/>
      <c r="F62" s="118" t="n"/>
      <c r="G62" s="118" t="n"/>
      <c r="H62" s="118" t="n"/>
      <c r="I62" s="118" t="n"/>
      <c r="J62" s="118" t="n"/>
      <c r="K62" s="118" t="n"/>
      <c r="L62" s="118" t="n"/>
      <c r="M62" s="118" t="n"/>
      <c r="N62" s="118" t="n"/>
      <c r="O62" s="118" t="n"/>
      <c r="P62" s="118" t="n"/>
    </row>
    <row r="63" customFormat="1" s="3">
      <c r="A63" s="13" t="n"/>
      <c r="B63" s="13" t="inlineStr">
        <is>
          <t>Total Operational Expenses</t>
        </is>
      </c>
      <c r="C63" s="13" t="n"/>
      <c r="D63" s="13" t="n"/>
      <c r="E63" s="14" t="n"/>
      <c r="F63" s="14" t="n"/>
      <c r="G63" s="14">
        <f>SUM(G60,G54,G45,G37,G30,G19)</f>
        <v/>
      </c>
      <c r="H63" s="14">
        <f>SUM(H60,H54,H45,H37,H30,H19)</f>
        <v/>
      </c>
      <c r="I63" s="14">
        <f>SUM(I60,I54,I45,I37,I30,I19)</f>
        <v/>
      </c>
      <c r="J63" s="14">
        <f>SUM(J60,J54,J45,J37,J30,J19)</f>
        <v/>
      </c>
      <c r="K63" s="14">
        <f>SUM(K60,K54,K45,K37,K30,K19)</f>
        <v/>
      </c>
      <c r="L63" s="14">
        <f>SUM(L60,L54,L45,L37,L30,L19)</f>
        <v/>
      </c>
      <c r="M63" s="14">
        <f>SUM(M60,M54,M45,M37,M30,M19)</f>
        <v/>
      </c>
      <c r="N63" s="14">
        <f>SUM(N60,N54,N45,N37,N30,N19)</f>
        <v/>
      </c>
      <c r="O63" s="14">
        <f>SUM(O60,O54,O45,O37,O30,O19)</f>
        <v/>
      </c>
      <c r="P63" s="14">
        <f>SUM(P60,P54,P45,P37,P30,P19)</f>
        <v/>
      </c>
      <c r="Q63" s="28">
        <f>SUM(E63:P63)</f>
        <v/>
      </c>
    </row>
    <row r="64">
      <c r="E64" s="118" t="n"/>
      <c r="F64" s="118" t="n"/>
      <c r="G64" s="118" t="n"/>
      <c r="H64" s="118" t="n"/>
      <c r="I64" s="118" t="n"/>
      <c r="J64" s="118" t="n"/>
      <c r="K64" s="118" t="n"/>
      <c r="L64" s="118" t="n"/>
      <c r="M64" s="118" t="n"/>
      <c r="N64" s="118" t="n"/>
      <c r="O64" s="118" t="n"/>
      <c r="P64" s="118" t="n"/>
    </row>
    <row r="65">
      <c r="E65" s="118" t="n"/>
      <c r="F65" s="118" t="n"/>
      <c r="G65" s="118" t="n"/>
      <c r="H65" s="118" t="n"/>
      <c r="I65" s="118" t="n"/>
      <c r="J65" s="118" t="n"/>
      <c r="K65" s="118" t="n"/>
      <c r="L65" s="118" t="n"/>
      <c r="M65" s="118" t="n"/>
      <c r="N65" s="118" t="n"/>
      <c r="O65" s="118" t="n"/>
      <c r="P65" s="118" t="n"/>
    </row>
    <row r="66">
      <c r="E66" s="118" t="n"/>
      <c r="F66" s="118" t="n"/>
      <c r="G66" s="118" t="n"/>
      <c r="H66" s="118" t="n"/>
      <c r="I66" s="118" t="n"/>
      <c r="J66" s="118" t="n"/>
      <c r="K66" s="118" t="n"/>
      <c r="L66" s="118" t="n"/>
      <c r="M66" s="118" t="n"/>
      <c r="N66" s="118" t="n"/>
      <c r="O66" s="118" t="n"/>
      <c r="P66" s="118" t="n"/>
    </row>
    <row r="67">
      <c r="A67" s="7" t="inlineStr">
        <is>
          <t>Innovation &amp; Program Support</t>
        </is>
      </c>
      <c r="B67" s="8" t="n"/>
      <c r="C67" s="8" t="n"/>
      <c r="D67" s="8" t="n"/>
      <c r="E67" s="9" t="n"/>
      <c r="F67" s="9" t="n"/>
      <c r="G67" s="9" t="n"/>
      <c r="H67" s="9" t="n"/>
      <c r="I67" s="9" t="n"/>
      <c r="J67" s="9" t="n"/>
      <c r="K67" s="9" t="n"/>
      <c r="L67" s="9" t="n"/>
      <c r="M67" s="9" t="n"/>
      <c r="N67" s="9" t="n"/>
      <c r="O67" s="9" t="n"/>
      <c r="P67" s="9" t="n"/>
      <c r="Q67" s="9">
        <f>SUM(E67:P67)</f>
        <v/>
      </c>
    </row>
    <row r="68">
      <c r="A68" s="10" t="n"/>
      <c r="B68" s="15" t="inlineStr">
        <is>
          <t>Staff Professional Development (Afrilabs Capacity Building etc)</t>
        </is>
      </c>
      <c r="C68" s="10" t="n"/>
      <c r="D68" s="10" t="n"/>
      <c r="E68" s="116">
        <f>Others!C11</f>
        <v/>
      </c>
      <c r="F68" s="116">
        <f>Others!D11</f>
        <v/>
      </c>
      <c r="G68" s="116" t="n"/>
      <c r="H68" s="116" t="n"/>
      <c r="I68" s="116" t="n">
        <v>333333.3333333333</v>
      </c>
      <c r="J68" s="116" t="n">
        <v>333333.3333333333</v>
      </c>
      <c r="K68" s="116" t="n">
        <v>333333.3333333333</v>
      </c>
      <c r="L68" s="116" t="n">
        <v>333333.3333333333</v>
      </c>
      <c r="M68" s="116" t="n">
        <v>333333.3333333333</v>
      </c>
      <c r="N68" s="116" t="n">
        <v>333333.3333333333</v>
      </c>
      <c r="O68" s="116" t="n">
        <v>333333.3333333333</v>
      </c>
      <c r="P68" s="116" t="n">
        <v>1333333</v>
      </c>
      <c r="Q68" s="24">
        <f>SUM(E68:P68)</f>
        <v/>
      </c>
    </row>
    <row r="69" customFormat="1" s="33">
      <c r="A69" s="29" t="n"/>
      <c r="B69" s="30" t="inlineStr">
        <is>
          <t>Startup Funding &amp; Grants</t>
        </is>
      </c>
      <c r="C69" s="29" t="inlineStr">
        <is>
          <t>Seed funding for incubated startups</t>
        </is>
      </c>
      <c r="D69" s="29" t="n"/>
      <c r="E69" s="31" t="n"/>
      <c r="F69" s="31" t="n"/>
      <c r="G69" s="31" t="n"/>
      <c r="H69" s="31" t="n"/>
      <c r="I69" s="31" t="n"/>
      <c r="J69" s="31" t="n"/>
      <c r="K69" s="31" t="n"/>
      <c r="L69" s="31" t="n"/>
      <c r="M69" s="31" t="n"/>
      <c r="N69" s="31" t="n"/>
      <c r="O69" s="31" t="n"/>
      <c r="P69" s="31" t="n"/>
      <c r="Q69" s="32">
        <f>SUM(E69:P69)</f>
        <v/>
      </c>
    </row>
    <row r="70" customFormat="1" s="33">
      <c r="A70" s="29" t="n"/>
      <c r="B70" s="30" t="inlineStr">
        <is>
          <t>Accelerator/Incubation Programs</t>
        </is>
      </c>
      <c r="C70" s="29" t="inlineStr">
        <is>
          <t>Workshops, training</t>
        </is>
      </c>
      <c r="D70" s="29" t="n"/>
      <c r="E70" s="31" t="n"/>
      <c r="F70" s="31" t="n"/>
      <c r="G70" s="31" t="n"/>
      <c r="H70" s="31" t="n"/>
      <c r="I70" s="31" t="n"/>
      <c r="J70" s="31" t="n"/>
      <c r="K70" s="31" t="n"/>
      <c r="L70" s="31" t="n"/>
      <c r="M70" s="31" t="n"/>
      <c r="N70" s="31" t="n"/>
      <c r="O70" s="31" t="n"/>
      <c r="P70" s="31" t="n"/>
      <c r="Q70" s="32">
        <f>SUM(E70:P70)</f>
        <v/>
      </c>
    </row>
    <row r="71">
      <c r="A71" s="10" t="n"/>
      <c r="B71" s="15" t="inlineStr">
        <is>
          <t>Monthly Meetups</t>
        </is>
      </c>
      <c r="C71" s="10" t="inlineStr">
        <is>
          <t>Startup acceleration &amp; support</t>
        </is>
      </c>
      <c r="D71" s="10" t="n"/>
      <c r="E71" s="116">
        <f>Others!C12</f>
        <v/>
      </c>
      <c r="F71" s="116">
        <f>Others!D12</f>
        <v/>
      </c>
      <c r="G71" s="116" t="n"/>
      <c r="H71" s="116" t="n">
        <v>250000</v>
      </c>
      <c r="I71" s="116">
        <f>Others!G12</f>
        <v/>
      </c>
      <c r="J71" s="116">
        <f>Others!H12</f>
        <v/>
      </c>
      <c r="K71" s="116">
        <f>Others!I12</f>
        <v/>
      </c>
      <c r="L71" s="116">
        <f>Others!J12</f>
        <v/>
      </c>
      <c r="M71" s="116">
        <f>Others!K12</f>
        <v/>
      </c>
      <c r="N71" s="116">
        <f>Others!L12</f>
        <v/>
      </c>
      <c r="O71" s="116">
        <f>Others!M12</f>
        <v/>
      </c>
      <c r="P71" s="116">
        <f>Others!N12</f>
        <v/>
      </c>
      <c r="Q71" s="24">
        <f>SUM(E71:P71)</f>
        <v/>
      </c>
    </row>
    <row r="72">
      <c r="A72" s="10" t="n"/>
      <c r="B72" s="15" t="inlineStr">
        <is>
          <t>Field Events</t>
        </is>
      </c>
      <c r="C72" s="10" t="n"/>
      <c r="D72" s="10" t="n"/>
      <c r="E72" s="116">
        <f>Others!C13</f>
        <v/>
      </c>
      <c r="F72" s="116">
        <f>Others!D13</f>
        <v/>
      </c>
      <c r="G72" s="116" t="n"/>
      <c r="H72" s="116" t="n"/>
      <c r="I72" s="116" t="n">
        <v>208333.3333333333</v>
      </c>
      <c r="J72" s="116" t="n">
        <v>208333.3333333333</v>
      </c>
      <c r="K72" s="116" t="n">
        <v>208333.3333333333</v>
      </c>
      <c r="L72" s="116" t="n">
        <v>208333.3333333333</v>
      </c>
      <c r="M72" s="116" t="n">
        <v>208333.3333333333</v>
      </c>
      <c r="N72" s="116" t="n">
        <v>208333.3333333333</v>
      </c>
      <c r="O72" s="116" t="n">
        <v>208333.3333333333</v>
      </c>
      <c r="P72" s="116" t="n">
        <v>208333.3333333333</v>
      </c>
      <c r="Q72" s="24">
        <f>SUM(E72:P72)</f>
        <v/>
      </c>
    </row>
    <row r="73">
      <c r="A73" s="10" t="n"/>
      <c r="B73" s="15" t="inlineStr">
        <is>
          <t>Webinars</t>
        </is>
      </c>
      <c r="C73" s="10" t="n"/>
      <c r="D73" s="10" t="n"/>
      <c r="E73" s="116">
        <f>Others!C14</f>
        <v/>
      </c>
      <c r="F73" s="116">
        <f>Others!D14</f>
        <v/>
      </c>
      <c r="G73" s="116" t="n"/>
      <c r="H73" s="116" t="n"/>
      <c r="I73" s="116" t="n">
        <v>125000</v>
      </c>
      <c r="J73" s="116" t="n">
        <v>125000</v>
      </c>
      <c r="K73" s="116" t="n">
        <v>125000</v>
      </c>
      <c r="L73" s="116" t="n">
        <v>125000</v>
      </c>
      <c r="M73" s="116" t="n">
        <v>125000</v>
      </c>
      <c r="N73" s="116" t="n">
        <v>125000</v>
      </c>
      <c r="O73" s="116" t="n">
        <v>125000</v>
      </c>
      <c r="P73" s="116" t="n">
        <v>125000</v>
      </c>
      <c r="Q73" s="24">
        <f>SUM(E73:P73)</f>
        <v/>
      </c>
    </row>
    <row r="74">
      <c r="A74" s="10" t="n"/>
      <c r="B74" s="15" t="inlineStr">
        <is>
          <t>Training &amp; Mentorship</t>
        </is>
      </c>
      <c r="C74" s="10" t="n"/>
      <c r="D74" s="10" t="n"/>
      <c r="E74" s="116" t="n"/>
      <c r="F74" s="116" t="n"/>
      <c r="G74" s="116" t="n"/>
      <c r="H74" s="116" t="n"/>
      <c r="I74" s="116" t="n"/>
      <c r="J74" s="116" t="n"/>
      <c r="K74" s="116" t="n"/>
      <c r="L74" s="116" t="n"/>
      <c r="M74" s="116" t="n"/>
      <c r="N74" s="116" t="n"/>
      <c r="O74" s="116" t="n"/>
      <c r="P74" s="116" t="n"/>
      <c r="Q74" s="24">
        <f>SUM(E74:P74)</f>
        <v/>
      </c>
    </row>
    <row r="75" customFormat="1" s="3">
      <c r="A75" s="13" t="n"/>
      <c r="B75" s="13" t="inlineStr">
        <is>
          <t>Total Program Support</t>
        </is>
      </c>
      <c r="C75" s="13" t="n"/>
      <c r="D75" s="13" t="n"/>
      <c r="E75" s="14" t="n"/>
      <c r="F75" s="14" t="n"/>
      <c r="G75" s="14">
        <f>SUM(G68:G74)</f>
        <v/>
      </c>
      <c r="H75" s="14">
        <f>SUM(H68:H74)</f>
        <v/>
      </c>
      <c r="I75" s="14">
        <f>SUM(I68:I74)</f>
        <v/>
      </c>
      <c r="J75" s="14">
        <f>SUM(J68:J74)</f>
        <v/>
      </c>
      <c r="K75" s="14">
        <f>SUM(K68:K74)</f>
        <v/>
      </c>
      <c r="L75" s="14">
        <f>SUM(L68:L74)</f>
        <v/>
      </c>
      <c r="M75" s="14">
        <f>SUM(M68:M74)</f>
        <v/>
      </c>
      <c r="N75" s="14">
        <f>SUM(N68:N74)</f>
        <v/>
      </c>
      <c r="O75" s="14">
        <f>SUM(O68:O74)</f>
        <v/>
      </c>
      <c r="P75" s="14">
        <f>SUM(P68:P74)</f>
        <v/>
      </c>
      <c r="Q75" s="28">
        <f>SUM(E75:P75)</f>
        <v/>
      </c>
    </row>
    <row r="76">
      <c r="E76" s="118" t="n"/>
      <c r="F76" s="118" t="n"/>
      <c r="G76" s="118" t="n"/>
      <c r="H76" s="118" t="n"/>
      <c r="I76" s="118" t="n"/>
      <c r="J76" s="118" t="n"/>
      <c r="K76" s="118" t="n"/>
      <c r="L76" s="118" t="n"/>
      <c r="M76" s="118" t="n"/>
      <c r="N76" s="118" t="n"/>
      <c r="O76" s="118" t="n"/>
      <c r="P76" s="118" t="n"/>
    </row>
    <row r="81">
      <c r="A81" s="7" t="n"/>
      <c r="B81" s="7" t="inlineStr">
        <is>
          <t>Contingency &amp; Sustainability</t>
        </is>
      </c>
      <c r="C81" s="8" t="n"/>
      <c r="D81" s="8" t="n"/>
      <c r="E81" s="9" t="n"/>
      <c r="F81" s="9" t="n"/>
      <c r="G81" s="9" t="n"/>
      <c r="H81" s="9" t="n"/>
      <c r="I81" s="9" t="n"/>
      <c r="J81" s="9" t="n"/>
      <c r="K81" s="9" t="n"/>
      <c r="L81" s="9" t="n"/>
      <c r="M81" s="9" t="n"/>
      <c r="N81" s="9" t="n"/>
      <c r="O81" s="9" t="n"/>
      <c r="P81" s="9" t="n"/>
      <c r="Q81" s="9">
        <f>SUM(E81:P81)</f>
        <v/>
      </c>
    </row>
    <row r="82">
      <c r="A82" s="10" t="n"/>
      <c r="B82" s="15" t="inlineStr">
        <is>
          <t>Reserve Fund - % of Inflows</t>
        </is>
      </c>
      <c r="C82" s="10" t="inlineStr">
        <is>
          <t>Emergency fund for sustainability</t>
        </is>
      </c>
      <c r="D82" s="57" t="n">
        <v>0.02</v>
      </c>
      <c r="E82" s="116">
        <f>E14*$D$82</f>
        <v/>
      </c>
      <c r="F82" s="116">
        <f>F14*$D$82</f>
        <v/>
      </c>
      <c r="G82" s="116">
        <f>G14*$D$82</f>
        <v/>
      </c>
      <c r="H82" s="116">
        <f>H14*$D$82</f>
        <v/>
      </c>
      <c r="I82" s="116">
        <f>I14*$D$82</f>
        <v/>
      </c>
      <c r="J82" s="116">
        <f>J14*$D$82</f>
        <v/>
      </c>
      <c r="K82" s="116">
        <f>K14*$D$82</f>
        <v/>
      </c>
      <c r="L82" s="116">
        <f>L14*$D$82</f>
        <v/>
      </c>
      <c r="M82" s="116">
        <f>M14*$D$82</f>
        <v/>
      </c>
      <c r="N82" s="116">
        <f>N14*$D$82</f>
        <v/>
      </c>
      <c r="O82" s="116">
        <f>O14*$D$82</f>
        <v/>
      </c>
      <c r="P82" s="116">
        <f>P14*$D$82</f>
        <v/>
      </c>
      <c r="Q82" s="24">
        <f>SUM(E82:P82)</f>
        <v/>
      </c>
    </row>
    <row r="83">
      <c r="A83" s="10" t="n"/>
      <c r="B83" s="15" t="inlineStr">
        <is>
          <t>Miscellaneous Expenses - % of Operating Exp.</t>
        </is>
      </c>
      <c r="C83" s="10" t="inlineStr">
        <is>
          <t>Unexpected costs</t>
        </is>
      </c>
      <c r="D83" s="57" t="n">
        <v>0.02</v>
      </c>
      <c r="E83" s="116">
        <f>E63*$D$83</f>
        <v/>
      </c>
      <c r="F83" s="116">
        <f>F63*$D$83</f>
        <v/>
      </c>
      <c r="G83" s="116">
        <f>G63*$D$83</f>
        <v/>
      </c>
      <c r="H83" s="116">
        <f>H63*$D$83</f>
        <v/>
      </c>
      <c r="I83" s="116">
        <f>I63*$D$83</f>
        <v/>
      </c>
      <c r="J83" s="116">
        <f>J63*$D$83</f>
        <v/>
      </c>
      <c r="K83" s="116">
        <f>K63*$D$83</f>
        <v/>
      </c>
      <c r="L83" s="116">
        <f>L63*$D$83</f>
        <v/>
      </c>
      <c r="M83" s="116">
        <f>M63*$D$83</f>
        <v/>
      </c>
      <c r="N83" s="116">
        <f>N63*$D$83</f>
        <v/>
      </c>
      <c r="O83" s="116">
        <f>O63*$D$83</f>
        <v/>
      </c>
      <c r="P83" s="116">
        <f>P63*$D$83</f>
        <v/>
      </c>
      <c r="Q83" s="24">
        <f>SUM(E83:P83)</f>
        <v/>
      </c>
    </row>
    <row r="84" customFormat="1" s="3">
      <c r="A84" s="13" t="n"/>
      <c r="B84" s="13" t="inlineStr">
        <is>
          <t>Total Contingency</t>
        </is>
      </c>
      <c r="C84" s="13" t="n"/>
      <c r="D84" s="13" t="n"/>
      <c r="E84" s="14">
        <f>SUM(E82:E83)</f>
        <v/>
      </c>
      <c r="F84" s="14">
        <f>SUM(F82:F83)</f>
        <v/>
      </c>
      <c r="G84" s="14">
        <f>SUM(G82:G83)</f>
        <v/>
      </c>
      <c r="H84" s="14">
        <f>SUM(H82:H83)</f>
        <v/>
      </c>
      <c r="I84" s="14">
        <f>SUM(I82:I83)</f>
        <v/>
      </c>
      <c r="J84" s="14">
        <f>SUM(J82:J83)</f>
        <v/>
      </c>
      <c r="K84" s="14">
        <f>SUM(K82:K83)</f>
        <v/>
      </c>
      <c r="L84" s="14">
        <f>SUM(L82:L83)</f>
        <v/>
      </c>
      <c r="M84" s="14">
        <f>SUM(M82:M83)</f>
        <v/>
      </c>
      <c r="N84" s="14">
        <f>SUM(N82:N83)</f>
        <v/>
      </c>
      <c r="O84" s="14">
        <f>SUM(O82:O83)</f>
        <v/>
      </c>
      <c r="P84" s="14">
        <f>SUM(P82:P83)</f>
        <v/>
      </c>
      <c r="Q84" s="28">
        <f>SUM(E84:P84)</f>
        <v/>
      </c>
    </row>
    <row r="89">
      <c r="A89" s="7" t="n"/>
      <c r="B89" s="7" t="inlineStr">
        <is>
          <t>Summary</t>
        </is>
      </c>
      <c r="C89" s="8" t="n"/>
      <c r="D89" s="8" t="n"/>
      <c r="E89" s="9" t="n"/>
      <c r="F89" s="9" t="n"/>
      <c r="G89" s="9" t="n"/>
      <c r="H89" s="9" t="n"/>
      <c r="I89" s="9" t="n"/>
      <c r="J89" s="9" t="n"/>
      <c r="K89" s="9" t="n"/>
      <c r="L89" s="9" t="n"/>
      <c r="M89" s="9" t="n"/>
      <c r="N89" s="9" t="n"/>
      <c r="O89" s="9" t="n"/>
      <c r="P89" s="9" t="n"/>
      <c r="Q89" s="9">
        <f>SUM(E89:P89)</f>
        <v/>
      </c>
    </row>
    <row r="90">
      <c r="B90" t="inlineStr">
        <is>
          <t>Total Revenue</t>
        </is>
      </c>
      <c r="E90" s="34">
        <f>SUM(E14)</f>
        <v/>
      </c>
      <c r="F90" s="34">
        <f>SUM(F14)</f>
        <v/>
      </c>
      <c r="G90" s="34">
        <f>SUM(G14)</f>
        <v/>
      </c>
      <c r="H90" s="34">
        <f>SUM(H14)</f>
        <v/>
      </c>
      <c r="I90" s="34">
        <f>SUM(I14)</f>
        <v/>
      </c>
      <c r="J90" s="34">
        <f>SUM(J14)</f>
        <v/>
      </c>
      <c r="K90" s="34">
        <f>SUM(K14)</f>
        <v/>
      </c>
      <c r="L90" s="34">
        <f>SUM(L14)</f>
        <v/>
      </c>
      <c r="M90" s="34">
        <f>SUM(M14)</f>
        <v/>
      </c>
      <c r="N90" s="34">
        <f>SUM(N14)</f>
        <v/>
      </c>
      <c r="O90" s="34">
        <f>SUM(O14)</f>
        <v/>
      </c>
      <c r="P90" s="34">
        <f>SUM(P14)</f>
        <v/>
      </c>
      <c r="Q90" s="34">
        <f>SUM(G90:P90)</f>
        <v/>
      </c>
    </row>
    <row r="91">
      <c r="B91" t="inlineStr">
        <is>
          <t>Total Expenses</t>
        </is>
      </c>
      <c r="E91" s="34">
        <f>-SUM(E84,E75,E63,E54,E45,E37,E30,E19)</f>
        <v/>
      </c>
      <c r="F91" s="34">
        <f>-SUM(F84,F75,F63,F54,F45,F37,F30,F19)</f>
        <v/>
      </c>
      <c r="G91" s="34">
        <f>SUM(G84,G75,G63)</f>
        <v/>
      </c>
      <c r="H91" s="34">
        <f>SUM(H84,H75,H63)</f>
        <v/>
      </c>
      <c r="I91" s="34">
        <f>SUM(I84,I75,I63)</f>
        <v/>
      </c>
      <c r="J91" s="34">
        <f>SUM(J84,J75,J63)</f>
        <v/>
      </c>
      <c r="K91" s="34">
        <f>SUM(K84,K75,K63)</f>
        <v/>
      </c>
      <c r="L91" s="34">
        <f>SUM(L84,L75,L63)</f>
        <v/>
      </c>
      <c r="M91" s="34">
        <f>SUM(M84,M75,M63)</f>
        <v/>
      </c>
      <c r="N91" s="34">
        <f>SUM(N84,N75,N63)</f>
        <v/>
      </c>
      <c r="O91" s="34">
        <f>SUM(O84,O75,O63)</f>
        <v/>
      </c>
      <c r="P91" s="34">
        <f>SUM(P84,P75,P63)</f>
        <v/>
      </c>
      <c r="Q91" s="34">
        <f>-SUM(Q84,Q75,Q63)</f>
        <v/>
      </c>
    </row>
    <row r="92" customFormat="1" s="3">
      <c r="A92" s="78" t="n"/>
      <c r="B92" s="78" t="inlineStr">
        <is>
          <t>Net Surplus / Deficit</t>
        </is>
      </c>
      <c r="C92" s="78" t="n"/>
      <c r="D92" s="78" t="n"/>
      <c r="E92" s="79">
        <f>E90+E91</f>
        <v/>
      </c>
      <c r="F92" s="79">
        <f>F90+F91</f>
        <v/>
      </c>
      <c r="G92" s="79">
        <f>G90-G91+F92</f>
        <v/>
      </c>
      <c r="H92" s="79">
        <f>H90-H91+G92</f>
        <v/>
      </c>
      <c r="I92" s="79">
        <f>I90-I91+H92</f>
        <v/>
      </c>
      <c r="J92" s="79">
        <f>J90-J91+I92</f>
        <v/>
      </c>
      <c r="K92" s="79">
        <f>K90-K91+J92</f>
        <v/>
      </c>
      <c r="L92" s="79">
        <f>L90-L91+K92</f>
        <v/>
      </c>
      <c r="M92" s="79">
        <f>M90-M91+L92</f>
        <v/>
      </c>
      <c r="N92" s="79">
        <f>N90-N91+M92</f>
        <v/>
      </c>
      <c r="O92" s="79">
        <f>O90-O91+N92</f>
        <v/>
      </c>
      <c r="P92" s="79">
        <f>P90-P91+O92</f>
        <v/>
      </c>
      <c r="Q92" s="79">
        <f>Q90+Q91</f>
        <v/>
      </c>
    </row>
    <row r="93">
      <c r="P93" s="34" t="n"/>
    </row>
    <row r="94">
      <c r="Q94" s="109">
        <f>Q91/10</f>
        <v/>
      </c>
    </row>
    <row r="95">
      <c r="Q95" s="109">
        <f>Q94*3</f>
        <v/>
      </c>
    </row>
  </sheetData>
  <pageMargins left="0.7" right="0.7" top="0.75" bottom="0.75" header="0.3" footer="0.3"/>
  <pageSetup orientation="portrait" paperSize="9" scale="28" horizontalDpi="0" verticalDpi="0"/>
</worksheet>
</file>

<file path=xl/worksheets/sheet2.xml><?xml version="1.0" encoding="utf-8"?>
<worksheet xmlns="http://schemas.openxmlformats.org/spreadsheetml/2006/main">
  <sheetPr>
    <outlinePr summaryBelow="1" summaryRight="1"/>
    <pageSetUpPr fitToPage="1"/>
  </sheetPr>
  <dimension ref="A1:Q123"/>
  <sheetViews>
    <sheetView showGridLines="0" tabSelected="1" zoomScaleNormal="100" workbookViewId="0">
      <pane xSplit="2" ySplit="2" topLeftCell="C10" activePane="bottomRight" state="frozen"/>
      <selection pane="topRight" activeCell="C1" sqref="C1"/>
      <selection pane="bottomLeft" activeCell="A7" sqref="A7"/>
      <selection pane="bottomRight" activeCell="L22" sqref="L22"/>
    </sheetView>
  </sheetViews>
  <sheetFormatPr baseColWidth="10" defaultColWidth="8.83203125" defaultRowHeight="15"/>
  <cols>
    <col width="2.6640625" customWidth="1" min="1" max="1"/>
    <col width="55.6640625" customWidth="1" min="2" max="2"/>
    <col width="36.33203125" customWidth="1" min="3" max="3"/>
    <col width="14" customWidth="1" min="4" max="4"/>
    <col width="12.83203125" customWidth="1" min="5" max="5"/>
    <col width="16.1640625" customWidth="1" min="6" max="6"/>
    <col width="14.1640625" bestFit="1" customWidth="1" min="7" max="7"/>
    <col width="14.5" customWidth="1" min="8" max="16"/>
    <col width="23.6640625" customWidth="1" style="21" min="17" max="17"/>
    <col width="10" bestFit="1" customWidth="1" min="19" max="19"/>
  </cols>
  <sheetData>
    <row r="1"/>
    <row r="2">
      <c r="A2" s="18" t="n"/>
      <c r="B2" s="18" t="inlineStr">
        <is>
          <t>Category</t>
        </is>
      </c>
      <c r="C2" s="18" t="inlineStr">
        <is>
          <t>Description</t>
        </is>
      </c>
      <c r="D2" s="56" t="n"/>
      <c r="E2" s="19" t="n">
        <v>46023</v>
      </c>
      <c r="F2" s="19" t="n">
        <v>46054</v>
      </c>
      <c r="G2" s="19" t="n">
        <v>46082</v>
      </c>
      <c r="H2" s="19" t="n">
        <v>46113</v>
      </c>
      <c r="I2" s="19" t="n">
        <v>46143</v>
      </c>
      <c r="J2" s="19" t="n">
        <v>46174</v>
      </c>
      <c r="K2" s="19" t="n">
        <v>46204</v>
      </c>
      <c r="L2" s="19" t="n">
        <v>46235</v>
      </c>
      <c r="M2" s="19" t="n">
        <v>46266</v>
      </c>
      <c r="N2" s="19" t="n">
        <v>46296</v>
      </c>
      <c r="O2" s="19" t="n">
        <v>46327</v>
      </c>
      <c r="P2" s="19" t="n">
        <v>46357</v>
      </c>
      <c r="Q2" s="22" t="inlineStr">
        <is>
          <t>FY 2026</t>
        </is>
      </c>
    </row>
    <row r="3">
      <c r="B3" s="4" t="n"/>
      <c r="C3" s="4" t="n"/>
      <c r="D3" s="4" t="n"/>
    </row>
    <row r="4">
      <c r="B4" s="4" t="n"/>
      <c r="C4" s="4" t="n"/>
      <c r="D4" s="4" t="n"/>
      <c r="G4" s="100">
        <f>Q116</f>
        <v/>
      </c>
      <c r="H4" s="100">
        <f>G4/3</f>
        <v/>
      </c>
    </row>
    <row r="5">
      <c r="B5" s="4" t="n"/>
      <c r="C5" s="4" t="n"/>
      <c r="D5" s="4" t="n"/>
      <c r="F5" s="118" t="n"/>
      <c r="G5" s="101">
        <f>G4/9</f>
        <v/>
      </c>
      <c r="H5" s="102">
        <f>H4*3</f>
        <v/>
      </c>
      <c r="I5" s="118" t="n"/>
      <c r="J5" s="118" t="n"/>
      <c r="K5" s="118" t="n"/>
      <c r="L5" s="118" t="n"/>
      <c r="M5" s="118" t="n"/>
      <c r="N5" s="118" t="n"/>
      <c r="O5" s="118" t="n"/>
      <c r="P5" s="118" t="n"/>
    </row>
    <row r="6">
      <c r="A6" s="7" t="inlineStr">
        <is>
          <t>Inflows</t>
        </is>
      </c>
      <c r="B6" s="8" t="n"/>
      <c r="C6" s="8" t="n"/>
      <c r="D6" s="8" t="n"/>
      <c r="E6" s="9" t="n"/>
      <c r="F6" s="9" t="n"/>
      <c r="G6" s="9" t="n"/>
      <c r="H6" s="9" t="n"/>
      <c r="I6" s="9" t="n"/>
      <c r="J6" s="9" t="n"/>
      <c r="K6" s="9" t="n"/>
      <c r="L6" s="9" t="n"/>
      <c r="M6" s="9" t="n"/>
      <c r="N6" s="9" t="n"/>
      <c r="O6" s="9" t="n"/>
      <c r="P6" s="9" t="n"/>
      <c r="Q6" s="9" t="n"/>
    </row>
    <row r="7">
      <c r="A7" s="10" t="n"/>
      <c r="B7" s="11" t="inlineStr">
        <is>
          <t>Kwara State Government Grants</t>
        </is>
      </c>
      <c r="C7" s="10" t="inlineStr">
        <is>
          <t>Public sector funding</t>
        </is>
      </c>
      <c r="D7" s="10" t="n"/>
      <c r="E7" s="116" t="n"/>
      <c r="F7" s="116" t="n"/>
      <c r="G7" s="116" t="n"/>
      <c r="H7" s="116" t="n"/>
      <c r="I7" s="116" t="n"/>
      <c r="J7" s="116" t="n"/>
      <c r="K7" s="116" t="n"/>
      <c r="L7" s="116" t="n"/>
      <c r="M7" s="116" t="n"/>
      <c r="N7" s="116" t="n"/>
      <c r="O7" s="116" t="n"/>
      <c r="P7" s="116" t="n"/>
      <c r="Q7" s="25">
        <f>SUM(E7:P7)</f>
        <v/>
      </c>
    </row>
    <row r="8">
      <c r="A8" s="10" t="n"/>
      <c r="B8" s="11" t="inlineStr">
        <is>
          <t>IHS Operational Funds</t>
        </is>
      </c>
      <c r="C8" s="10" t="inlineStr">
        <is>
          <t>Corporate partnerships &amp; sponsorships</t>
        </is>
      </c>
      <c r="D8" s="10" t="n"/>
      <c r="E8" s="116" t="n"/>
      <c r="F8" s="116" t="n">
        <v>118173383</v>
      </c>
      <c r="G8" s="201" t="n">
        <v>2644898</v>
      </c>
      <c r="H8" s="116" t="n">
        <v>215861567.013333</v>
      </c>
      <c r="I8" s="116" t="n"/>
      <c r="J8" s="201" t="n">
        <v>151500000</v>
      </c>
      <c r="K8" s="116" t="n">
        <v>162644114.820261</v>
      </c>
      <c r="L8" s="116" t="n"/>
      <c r="M8" s="201" t="n">
        <v>151500000</v>
      </c>
      <c r="N8" s="116" t="n">
        <v>99956712</v>
      </c>
      <c r="O8" s="116" t="n"/>
      <c r="P8" s="201" t="n">
        <v>151500000</v>
      </c>
      <c r="Q8" s="25">
        <f>SUM(E8:P8)</f>
        <v/>
      </c>
    </row>
    <row r="9">
      <c r="A9" s="10" t="n"/>
      <c r="B9" s="11" t="inlineStr">
        <is>
          <t>Membership Fees</t>
        </is>
      </c>
      <c r="C9" s="10" t="inlineStr">
        <is>
          <t>Fees from startups &amp; researchers</t>
        </is>
      </c>
      <c r="D9" s="10" t="n"/>
      <c r="E9" s="116">
        <f>'Membership Fees'!C5</f>
        <v/>
      </c>
      <c r="F9" s="116">
        <f>'Membership Fees'!D5</f>
        <v/>
      </c>
      <c r="G9" s="116" t="n"/>
      <c r="H9" s="116" t="n"/>
      <c r="I9" s="116" t="n"/>
      <c r="J9" s="116" t="n"/>
      <c r="K9" s="116" t="n"/>
      <c r="L9" s="116" t="n"/>
      <c r="M9" s="116" t="n"/>
      <c r="N9" s="116" t="n"/>
      <c r="O9" s="116" t="n"/>
      <c r="P9" s="116" t="n"/>
      <c r="Q9" s="25">
        <f>SUM(E9:P9)</f>
        <v/>
      </c>
    </row>
    <row r="10">
      <c r="A10" s="10" t="n"/>
      <c r="B10" s="11" t="inlineStr">
        <is>
          <t>Consulting &amp; Advisory Services</t>
        </is>
      </c>
      <c r="C10" s="10" t="inlineStr">
        <is>
          <t>Consulting services revenue</t>
        </is>
      </c>
      <c r="D10" s="10" t="n"/>
      <c r="E10" s="116" t="n"/>
      <c r="F10" s="116" t="n"/>
      <c r="G10" s="116" t="n"/>
      <c r="H10" s="116" t="n"/>
      <c r="I10" s="116" t="n"/>
      <c r="J10" s="116" t="n"/>
      <c r="K10" s="116" t="n"/>
      <c r="L10" s="116" t="n"/>
      <c r="M10" s="116" t="n"/>
      <c r="N10" s="116" t="n"/>
      <c r="O10" s="116" t="n"/>
      <c r="P10" s="116" t="n"/>
      <c r="Q10" s="25">
        <f>SUM(E10:P10)</f>
        <v/>
      </c>
    </row>
    <row r="11">
      <c r="A11" s="10" t="n"/>
      <c r="B11" s="11" t="inlineStr">
        <is>
          <t>Event Hosting &amp; Sponsorships</t>
        </is>
      </c>
      <c r="C11" s="10" t="inlineStr">
        <is>
          <t>Revenue from events &amp; hackathons</t>
        </is>
      </c>
      <c r="D11" s="10" t="n"/>
      <c r="E11" s="116" t="n"/>
      <c r="F11" s="116" t="n"/>
      <c r="G11" s="116" t="n"/>
      <c r="H11" s="116" t="n"/>
      <c r="I11" s="116" t="n"/>
      <c r="J11" s="116" t="n"/>
      <c r="K11" s="116" t="n"/>
      <c r="L11" s="116" t="n"/>
      <c r="M11" s="116" t="n"/>
      <c r="N11" s="116" t="n"/>
      <c r="O11" s="116" t="n"/>
      <c r="P11" s="116" t="n"/>
      <c r="Q11" s="25">
        <f>SUM(E11:P11)</f>
        <v/>
      </c>
    </row>
    <row r="12">
      <c r="A12" s="10" t="n"/>
      <c r="B12" s="11" t="inlineStr">
        <is>
          <t>Facility Rentals</t>
        </is>
      </c>
      <c r="C12" s="10" t="n"/>
      <c r="D12" s="10" t="n"/>
      <c r="E12" s="116" t="n">
        <v>3000000</v>
      </c>
      <c r="F12" s="116" t="n">
        <v>3000000</v>
      </c>
      <c r="G12" s="116" t="n">
        <v>3000000</v>
      </c>
      <c r="H12" s="116" t="n">
        <v>3000000</v>
      </c>
      <c r="I12" s="116" t="n">
        <v>3000000</v>
      </c>
      <c r="J12" s="116" t="n">
        <v>3000000</v>
      </c>
      <c r="K12" s="116" t="n">
        <v>3000000</v>
      </c>
      <c r="L12" s="116" t="n">
        <v>3000000</v>
      </c>
      <c r="M12" s="116" t="n">
        <v>3000000</v>
      </c>
      <c r="N12" s="116" t="n">
        <v>3000000</v>
      </c>
      <c r="O12" s="116" t="n">
        <v>3000000</v>
      </c>
      <c r="P12" s="116" t="n">
        <v>3000000</v>
      </c>
      <c r="Q12" s="25">
        <f>SUM(E12:P12)</f>
        <v/>
      </c>
    </row>
    <row r="13">
      <c r="A13" s="10" t="n"/>
      <c r="B13" s="11" t="inlineStr">
        <is>
          <t>Other Income</t>
        </is>
      </c>
      <c r="C13" s="10" t="inlineStr">
        <is>
          <t>Miscellaneous revenue</t>
        </is>
      </c>
      <c r="D13" s="10" t="n"/>
      <c r="E13" s="116" t="n"/>
      <c r="F13" s="116" t="n"/>
      <c r="G13" s="116" t="n"/>
      <c r="H13" s="116" t="n"/>
      <c r="I13" s="116" t="n"/>
      <c r="J13" s="116" t="n"/>
      <c r="K13" s="116" t="n"/>
      <c r="L13" s="116" t="n"/>
      <c r="M13" s="116" t="n"/>
      <c r="N13" s="116" t="n"/>
      <c r="O13" s="116" t="n"/>
      <c r="P13" s="116" t="n"/>
      <c r="Q13" s="25">
        <f>SUM(E13:P13)</f>
        <v/>
      </c>
    </row>
    <row r="14" customFormat="1" s="3">
      <c r="A14" s="13" t="inlineStr">
        <is>
          <t>Total Revenue</t>
        </is>
      </c>
      <c r="B14" s="13" t="n"/>
      <c r="C14" s="13" t="n"/>
      <c r="D14" s="13" t="n"/>
      <c r="E14" s="14">
        <f>SUM(E6:E13)</f>
        <v/>
      </c>
      <c r="F14" s="14">
        <f>SUM(F6:F13)</f>
        <v/>
      </c>
      <c r="G14" s="14">
        <f>SUM(G6:G13)</f>
        <v/>
      </c>
      <c r="H14" s="14">
        <f>SUM(H6:H13)</f>
        <v/>
      </c>
      <c r="I14" s="14">
        <f>SUM(I6:I13)</f>
        <v/>
      </c>
      <c r="J14" s="14">
        <f>SUM(J6:J13)</f>
        <v/>
      </c>
      <c r="K14" s="14">
        <f>SUM(K6:K13)</f>
        <v/>
      </c>
      <c r="L14" s="14">
        <f>SUM(L6:L13)</f>
        <v/>
      </c>
      <c r="M14" s="14">
        <f>SUM(M6:M13)</f>
        <v/>
      </c>
      <c r="N14" s="14">
        <f>SUM(N6:N13)</f>
        <v/>
      </c>
      <c r="O14" s="14">
        <f>SUM(O6:O13)</f>
        <v/>
      </c>
      <c r="P14" s="14">
        <f>SUM(P6:P13)</f>
        <v/>
      </c>
      <c r="Q14" s="28">
        <f>SUM(Q6:Q13)</f>
        <v/>
      </c>
    </row>
    <row r="15">
      <c r="E15" s="118" t="n"/>
      <c r="F15" s="118" t="n"/>
      <c r="G15" s="118" t="n"/>
      <c r="H15" s="118" t="n"/>
      <c r="I15" s="118" t="n"/>
      <c r="J15" s="118" t="n"/>
      <c r="K15" s="118" t="n"/>
      <c r="L15" s="118" t="n"/>
      <c r="M15" s="118" t="n"/>
      <c r="N15" s="118" t="n"/>
      <c r="O15" s="118" t="n"/>
      <c r="P15" s="118" t="n"/>
    </row>
    <row r="16">
      <c r="E16" s="118" t="n"/>
      <c r="F16" s="118" t="n"/>
      <c r="G16" s="118" t="n"/>
      <c r="H16" s="118" t="n"/>
      <c r="I16" s="118" t="n"/>
      <c r="J16" s="118" t="n"/>
      <c r="K16" s="118" t="n"/>
      <c r="L16" s="118" t="n"/>
      <c r="M16" s="118" t="n"/>
      <c r="N16" s="118" t="n"/>
      <c r="O16" s="118" t="n"/>
      <c r="P16" s="118" t="n"/>
    </row>
    <row r="17">
      <c r="E17" s="118" t="n"/>
      <c r="F17" s="118" t="n"/>
      <c r="G17" s="118" t="n"/>
      <c r="H17" s="118" t="n"/>
      <c r="I17" s="118" t="n"/>
      <c r="J17" s="118" t="n"/>
      <c r="K17" s="118" t="n"/>
      <c r="L17" s="118" t="n"/>
      <c r="M17" s="118" t="n"/>
      <c r="N17" s="118" t="n"/>
      <c r="O17" s="118" t="n"/>
      <c r="P17" s="118" t="n"/>
    </row>
    <row r="18">
      <c r="A18" s="7" t="inlineStr">
        <is>
          <t>Operational Expenses</t>
        </is>
      </c>
      <c r="B18" s="8" t="n"/>
      <c r="C18" s="8" t="n"/>
      <c r="D18" s="8" t="n"/>
      <c r="E18" s="9" t="n"/>
      <c r="F18" s="9" t="n"/>
      <c r="G18" s="9" t="n"/>
      <c r="H18" s="9" t="n"/>
      <c r="I18" s="9" t="n"/>
      <c r="J18" s="9" t="n"/>
      <c r="K18" s="9" t="n"/>
      <c r="L18" s="9" t="n"/>
      <c r="M18" s="9" t="n"/>
      <c r="N18" s="9" t="n"/>
      <c r="O18" s="9" t="n"/>
      <c r="P18" s="9" t="n"/>
      <c r="Q18" s="9" t="n"/>
    </row>
    <row r="19" customFormat="1" s="106">
      <c r="A19" s="103" t="n"/>
      <c r="B19" s="104" t="inlineStr">
        <is>
          <t>Salaries &amp; Wages</t>
        </is>
      </c>
      <c r="C19" s="103" t="inlineStr">
        <is>
          <t>Staff salaries, mentors</t>
        </is>
      </c>
      <c r="D19" s="103" t="n"/>
      <c r="E19" s="105">
        <f>Salaries1!D27</f>
        <v/>
      </c>
      <c r="F19" s="105">
        <f>Salaries1!E27</f>
        <v/>
      </c>
      <c r="G19" s="105">
        <f>Salaries1!F27</f>
        <v/>
      </c>
      <c r="H19" s="105">
        <f>Salaries1!G27</f>
        <v/>
      </c>
      <c r="I19" s="105">
        <f>Salaries1!H27</f>
        <v/>
      </c>
      <c r="J19" s="105">
        <f>Salaries1!I27</f>
        <v/>
      </c>
      <c r="K19" s="105">
        <f>Salaries1!J27</f>
        <v/>
      </c>
      <c r="L19" s="105">
        <f>Salaries1!K27</f>
        <v/>
      </c>
      <c r="M19" s="105">
        <f>Salaries1!L27</f>
        <v/>
      </c>
      <c r="N19" s="105">
        <f>Salaries1!M27</f>
        <v/>
      </c>
      <c r="O19" s="105">
        <f>Salaries1!N27</f>
        <v/>
      </c>
      <c r="P19" s="105">
        <f>Salaries1!O27</f>
        <v/>
      </c>
      <c r="Q19" s="105">
        <f>SUM(E19:P19)</f>
        <v/>
      </c>
    </row>
    <row r="20" customFormat="1" s="106">
      <c r="A20" s="103" t="n"/>
      <c r="B20" s="104" t="inlineStr">
        <is>
          <t>Performance Bonus</t>
        </is>
      </c>
      <c r="C20" s="103" t="n"/>
      <c r="D20" s="103" t="n"/>
      <c r="E20" s="105" t="n"/>
      <c r="F20" s="105" t="n"/>
      <c r="G20" s="105" t="n"/>
      <c r="H20" s="105" t="n"/>
      <c r="I20" s="105" t="n"/>
      <c r="J20" s="105" t="n"/>
      <c r="K20" s="105" t="n"/>
      <c r="L20" s="105" t="n"/>
      <c r="M20" s="105" t="n"/>
      <c r="N20" s="105" t="n"/>
      <c r="O20" s="105" t="n"/>
      <c r="P20" s="105">
        <f>Salaries1!Q27</f>
        <v/>
      </c>
      <c r="Q20" s="105" t="n"/>
    </row>
    <row r="21">
      <c r="B21" s="5" t="n"/>
      <c r="E21" s="118" t="n"/>
      <c r="F21" s="118" t="n"/>
      <c r="G21" s="118" t="n"/>
      <c r="H21" s="118" t="n"/>
      <c r="I21" s="118" t="n"/>
      <c r="J21" s="118" t="n"/>
      <c r="K21" s="118" t="n"/>
      <c r="L21" s="118" t="n"/>
      <c r="M21" s="118" t="n"/>
      <c r="N21" s="118" t="n"/>
      <c r="O21" s="118" t="n"/>
      <c r="P21" s="118" t="n"/>
    </row>
    <row r="22">
      <c r="B22" s="5" t="n"/>
      <c r="E22" s="118" t="n"/>
      <c r="F22" s="118" t="n"/>
      <c r="G22" s="118" t="n"/>
      <c r="H22" s="118" t="n"/>
      <c r="I22" s="118" t="n"/>
      <c r="J22" s="118" t="n"/>
      <c r="K22" s="118" t="n"/>
      <c r="L22" s="118" t="n"/>
      <c r="M22" s="118" t="n"/>
      <c r="N22" s="118" t="n"/>
      <c r="O22" s="118" t="n"/>
      <c r="P22" s="118" t="n"/>
    </row>
    <row r="23">
      <c r="B23" s="2" t="inlineStr">
        <is>
          <t>Utilities &amp; Maintenance</t>
        </is>
      </c>
      <c r="C23" t="inlineStr">
        <is>
          <t>Rent, utilities, internet, security</t>
        </is>
      </c>
      <c r="E23" s="118" t="n"/>
      <c r="F23" s="118" t="n"/>
      <c r="G23" s="118" t="n"/>
      <c r="H23" s="118" t="n"/>
      <c r="I23" s="118" t="n"/>
      <c r="J23" s="118" t="n"/>
      <c r="K23" s="118" t="n"/>
      <c r="L23" s="118" t="n"/>
      <c r="M23" s="118" t="n"/>
      <c r="N23" s="118" t="n"/>
      <c r="O23" s="118" t="n"/>
      <c r="P23" s="118" t="n"/>
    </row>
    <row r="24" customFormat="1" s="106">
      <c r="A24" s="103" t="n"/>
      <c r="B24" s="59" t="inlineStr">
        <is>
          <t>Internet A Subscription (MTN) 155Mbps STM1</t>
        </is>
      </c>
      <c r="C24" s="103" t="n"/>
      <c r="D24" s="103" t="n"/>
      <c r="E24" s="203" t="n">
        <v>1710550</v>
      </c>
      <c r="F24" s="203" t="n">
        <v>1710550</v>
      </c>
      <c r="G24" s="203" t="n">
        <v>1710550</v>
      </c>
      <c r="H24" s="203" t="n">
        <v>1710550</v>
      </c>
      <c r="I24" s="203" t="n">
        <v>1710550</v>
      </c>
      <c r="J24" s="203" t="n">
        <v>1710550</v>
      </c>
      <c r="K24" s="203" t="n">
        <v>1710550</v>
      </c>
      <c r="L24" s="203" t="n">
        <v>1710550</v>
      </c>
      <c r="M24" s="203" t="n">
        <v>1710550</v>
      </c>
      <c r="N24" s="203" t="n">
        <v>1710550</v>
      </c>
      <c r="O24" s="203" t="n">
        <v>1710550</v>
      </c>
      <c r="P24" s="203" t="n">
        <v>1710550</v>
      </c>
      <c r="Q24" s="143">
        <f>SUM(E24:P24)</f>
        <v/>
      </c>
    </row>
    <row r="25" customFormat="1" s="106">
      <c r="A25" s="103" t="n"/>
      <c r="B25" s="59" t="inlineStr">
        <is>
          <t>Internet B Subscription (Starlink)</t>
        </is>
      </c>
      <c r="C25" s="103" t="n"/>
      <c r="D25" s="103" t="n"/>
      <c r="E25" s="204" t="n">
        <v>159000</v>
      </c>
      <c r="F25" s="204" t="n">
        <v>159000</v>
      </c>
      <c r="G25" s="204" t="n">
        <v>159000</v>
      </c>
      <c r="H25" s="204" t="n">
        <v>159000</v>
      </c>
      <c r="I25" s="204" t="n">
        <v>159000</v>
      </c>
      <c r="J25" s="204" t="n">
        <v>159000</v>
      </c>
      <c r="K25" s="204" t="n">
        <v>159000</v>
      </c>
      <c r="L25" s="204" t="n">
        <v>159000</v>
      </c>
      <c r="M25" s="204" t="n">
        <v>159000</v>
      </c>
      <c r="N25" s="204" t="n">
        <v>159000</v>
      </c>
      <c r="O25" s="204" t="n">
        <v>159000</v>
      </c>
      <c r="P25" s="204" t="n">
        <v>159000</v>
      </c>
      <c r="Q25" s="143">
        <f>SUM(E25:P25)</f>
        <v/>
      </c>
    </row>
    <row r="26" customFormat="1" s="106">
      <c r="A26" s="103" t="n"/>
      <c r="B26" s="59" t="inlineStr">
        <is>
          <t>Internet C Subscription (Mobile Starlink Mini)</t>
        </is>
      </c>
      <c r="C26" s="103" t="n"/>
      <c r="D26" s="103" t="n"/>
      <c r="E26" s="103" t="n"/>
      <c r="F26" s="107" t="n"/>
      <c r="G26" s="107" t="n"/>
      <c r="H26" s="107" t="n"/>
      <c r="I26" s="205" t="n"/>
      <c r="J26" s="205" t="n"/>
      <c r="K26" s="205" t="n"/>
      <c r="L26" s="205" t="n"/>
      <c r="M26" s="205" t="n"/>
      <c r="N26" s="205" t="n"/>
      <c r="O26" s="107" t="n"/>
      <c r="P26" s="107" t="n"/>
      <c r="Q26" s="143">
        <f>SUM(E26:P26)</f>
        <v/>
      </c>
    </row>
    <row r="27" customFormat="1" s="106">
      <c r="A27" s="103" t="n"/>
      <c r="B27" s="59" t="inlineStr">
        <is>
          <t>Diesel</t>
        </is>
      </c>
      <c r="C27" s="103" t="n"/>
      <c r="D27" s="103" t="n"/>
      <c r="E27" s="105">
        <f>Diesel!C5</f>
        <v/>
      </c>
      <c r="F27" s="105">
        <f>Diesel!D5</f>
        <v/>
      </c>
      <c r="G27" s="105">
        <f>Diesel!E5</f>
        <v/>
      </c>
      <c r="H27" s="107">
        <f>Diesel!F5</f>
        <v/>
      </c>
      <c r="I27" s="107">
        <f>Diesel!G5</f>
        <v/>
      </c>
      <c r="J27" s="107">
        <f>Diesel!H5</f>
        <v/>
      </c>
      <c r="K27" s="107">
        <f>Diesel!I5</f>
        <v/>
      </c>
      <c r="L27" s="107">
        <f>Diesel!J5</f>
        <v/>
      </c>
      <c r="M27" s="107">
        <f>Diesel!K5</f>
        <v/>
      </c>
      <c r="N27" s="107">
        <f>Diesel!L5</f>
        <v/>
      </c>
      <c r="O27" s="107">
        <f>Diesel!M5</f>
        <v/>
      </c>
      <c r="P27" s="107">
        <f>Diesel!N5</f>
        <v/>
      </c>
      <c r="Q27" s="108" t="n">
        <v>0</v>
      </c>
    </row>
    <row r="28" customFormat="1" s="106">
      <c r="A28" s="103" t="n"/>
      <c r="B28" s="59" t="inlineStr">
        <is>
          <t>Electricity Bill (Band B)</t>
        </is>
      </c>
      <c r="C28" s="103" t="n"/>
      <c r="D28" s="103" t="n"/>
      <c r="E28" s="105" t="n">
        <v>500000</v>
      </c>
      <c r="F28" s="105" t="n">
        <v>500000</v>
      </c>
      <c r="G28" s="105" t="n">
        <v>500000</v>
      </c>
      <c r="H28" s="105" t="n">
        <v>500000</v>
      </c>
      <c r="I28" s="105" t="n">
        <v>500000</v>
      </c>
      <c r="J28" s="105" t="n">
        <v>500000</v>
      </c>
      <c r="K28" s="105" t="n">
        <v>500000</v>
      </c>
      <c r="L28" s="105" t="n">
        <v>500000</v>
      </c>
      <c r="M28" s="105" t="n">
        <v>500000</v>
      </c>
      <c r="N28" s="105" t="n">
        <v>500000</v>
      </c>
      <c r="O28" s="105" t="n">
        <v>500000</v>
      </c>
      <c r="P28" s="105" t="n">
        <v>500000</v>
      </c>
      <c r="Q28" s="108">
        <f>SUM(E28:P28)</f>
        <v/>
      </c>
    </row>
    <row r="29">
      <c r="A29" s="10" t="n"/>
      <c r="B29" s="17" t="inlineStr">
        <is>
          <t>Professional Cleaning</t>
        </is>
      </c>
      <c r="C29" s="10" t="n"/>
      <c r="D29" s="10" t="n"/>
      <c r="E29" s="16" t="n">
        <v>1300000</v>
      </c>
      <c r="F29" s="16" t="n">
        <v>1300000</v>
      </c>
      <c r="G29" s="16" t="n">
        <v>1300000</v>
      </c>
      <c r="H29" s="16" t="n">
        <v>1300000</v>
      </c>
      <c r="I29" s="16" t="n">
        <v>1300000</v>
      </c>
      <c r="J29" s="16" t="n">
        <v>1300000</v>
      </c>
      <c r="K29" s="16" t="n">
        <v>1300000</v>
      </c>
      <c r="L29" s="16" t="n">
        <v>1300000</v>
      </c>
      <c r="M29" s="16" t="n">
        <v>1300000</v>
      </c>
      <c r="N29" s="16" t="n">
        <v>1300000</v>
      </c>
      <c r="O29" s="16" t="n">
        <v>1300000</v>
      </c>
      <c r="P29" s="16" t="n">
        <v>1300000</v>
      </c>
      <c r="Q29" s="26">
        <f>SUM(E29:P29)</f>
        <v/>
      </c>
    </row>
    <row r="30">
      <c r="A30" s="10" t="n"/>
      <c r="B30" s="17" t="inlineStr">
        <is>
          <t xml:space="preserve">Landscaping </t>
        </is>
      </c>
      <c r="C30" s="10" t="n"/>
      <c r="D30" s="10" t="n"/>
      <c r="E30" s="116" t="n">
        <v>500000</v>
      </c>
      <c r="F30" s="116" t="n">
        <v>500000</v>
      </c>
      <c r="G30" s="116" t="n">
        <v>500000</v>
      </c>
      <c r="H30" s="116" t="n">
        <v>500000</v>
      </c>
      <c r="I30" s="116" t="n">
        <v>500000</v>
      </c>
      <c r="J30" s="116" t="n">
        <v>500000</v>
      </c>
      <c r="K30" s="116" t="n">
        <v>500000</v>
      </c>
      <c r="L30" s="116" t="n">
        <v>500000</v>
      </c>
      <c r="M30" s="116" t="n">
        <v>500000</v>
      </c>
      <c r="N30" s="116" t="n">
        <v>500000</v>
      </c>
      <c r="O30" s="116" t="n">
        <v>500000</v>
      </c>
      <c r="P30" s="116" t="n">
        <v>500000</v>
      </c>
      <c r="Q30" s="26">
        <f>SUM(E30:P30)</f>
        <v/>
      </c>
    </row>
    <row r="31">
      <c r="A31" s="10" t="n"/>
      <c r="B31" s="17" t="inlineStr">
        <is>
          <t>Fumigation (Indoor + Outdoor)</t>
        </is>
      </c>
      <c r="C31" s="10" t="n"/>
      <c r="D31" s="10" t="n"/>
      <c r="E31" s="116" t="n">
        <v>550000</v>
      </c>
      <c r="F31" s="116" t="n"/>
      <c r="G31" s="16" t="n"/>
      <c r="H31" s="16" t="n">
        <v>550000</v>
      </c>
      <c r="I31" s="16" t="n"/>
      <c r="J31" s="16" t="n"/>
      <c r="K31" s="16" t="n">
        <v>550000</v>
      </c>
      <c r="L31" s="16" t="n"/>
      <c r="M31" s="16" t="n"/>
      <c r="N31" s="16" t="n">
        <v>550000</v>
      </c>
      <c r="O31" s="16" t="n"/>
      <c r="P31" s="16" t="n"/>
      <c r="Q31" s="26">
        <f>SUM(E31:P31)</f>
        <v/>
      </c>
    </row>
    <row r="32">
      <c r="A32" s="10" t="n"/>
      <c r="B32" s="17" t="inlineStr">
        <is>
          <t>Facility Maintenance &amp; Repairs (Electrical)</t>
        </is>
      </c>
      <c r="C32" s="10" t="n"/>
      <c r="D32" s="10" t="n"/>
      <c r="E32" s="16" t="n">
        <v>500000</v>
      </c>
      <c r="F32" s="16" t="n">
        <v>500000</v>
      </c>
      <c r="G32" s="16" t="n">
        <v>500000</v>
      </c>
      <c r="H32" s="16" t="n">
        <v>500000</v>
      </c>
      <c r="I32" s="16" t="n">
        <v>500000</v>
      </c>
      <c r="J32" s="16" t="n">
        <v>500000</v>
      </c>
      <c r="K32" s="16" t="n">
        <v>500000</v>
      </c>
      <c r="L32" s="16" t="n">
        <v>500000</v>
      </c>
      <c r="M32" s="16" t="n">
        <v>500000</v>
      </c>
      <c r="N32" s="16" t="n">
        <v>500000</v>
      </c>
      <c r="O32" s="16" t="n">
        <v>500000</v>
      </c>
      <c r="P32" s="16" t="n">
        <v>500000</v>
      </c>
      <c r="Q32" s="26">
        <f>SUM(E32:P32)</f>
        <v/>
      </c>
    </row>
    <row r="33">
      <c r="A33" s="10" t="n"/>
      <c r="B33" s="17" t="inlineStr">
        <is>
          <t>Facility Maintenance &amp; Repairs (Civil &amp; mechanical)</t>
        </is>
      </c>
      <c r="C33" s="10" t="n"/>
      <c r="D33" s="10" t="n"/>
      <c r="E33" s="16" t="n">
        <v>500000</v>
      </c>
      <c r="F33" s="16" t="n">
        <v>500000</v>
      </c>
      <c r="G33" s="16" t="n">
        <v>500000</v>
      </c>
      <c r="H33" s="16" t="n">
        <v>500000</v>
      </c>
      <c r="I33" s="16" t="n">
        <v>500000</v>
      </c>
      <c r="J33" s="16" t="n">
        <v>500000</v>
      </c>
      <c r="K33" s="16" t="n">
        <v>500000</v>
      </c>
      <c r="L33" s="16" t="n">
        <v>500000</v>
      </c>
      <c r="M33" s="16" t="n">
        <v>500000</v>
      </c>
      <c r="N33" s="16" t="n">
        <v>500000</v>
      </c>
      <c r="O33" s="16" t="n">
        <v>500000</v>
      </c>
      <c r="P33" s="16" t="n">
        <v>500000</v>
      </c>
      <c r="Q33" s="26">
        <f>SUM(E33:P33)</f>
        <v/>
      </c>
    </row>
    <row r="34" ht="15.5" customHeight="1">
      <c r="A34" s="10" t="n"/>
      <c r="B34" s="17" t="inlineStr">
        <is>
          <t>Security</t>
        </is>
      </c>
      <c r="C34" s="10" t="n"/>
      <c r="D34" s="10" t="n"/>
      <c r="E34" s="16" t="n">
        <v>1000000</v>
      </c>
      <c r="F34" s="16" t="n">
        <v>1000000</v>
      </c>
      <c r="G34" s="16" t="n">
        <v>1000000</v>
      </c>
      <c r="H34" s="16" t="n">
        <v>1000000</v>
      </c>
      <c r="I34" s="16" t="n">
        <v>1000000</v>
      </c>
      <c r="J34" s="16" t="n">
        <v>1000000</v>
      </c>
      <c r="K34" s="16" t="n">
        <v>1000000</v>
      </c>
      <c r="L34" s="16" t="n">
        <v>1000000</v>
      </c>
      <c r="M34" s="16" t="n">
        <v>1000000</v>
      </c>
      <c r="N34" s="16" t="n">
        <v>1000000</v>
      </c>
      <c r="O34" s="16" t="n">
        <v>1000000</v>
      </c>
      <c r="P34" s="16" t="n">
        <v>1000000</v>
      </c>
      <c r="Q34" s="26">
        <f>SUM(E34:P34)</f>
        <v/>
      </c>
    </row>
    <row r="35">
      <c r="A35" s="10" t="n"/>
      <c r="B35" s="17" t="inlineStr">
        <is>
          <t>HVAC Maintenance (Quarterly)</t>
        </is>
      </c>
      <c r="C35" s="10" t="n"/>
      <c r="D35" s="10" t="n"/>
      <c r="F35" s="116" t="n">
        <v>2000000</v>
      </c>
      <c r="H35" s="16" t="n"/>
      <c r="I35" s="16" t="n">
        <v>2000000</v>
      </c>
      <c r="J35" s="16" t="n"/>
      <c r="K35" s="16" t="n"/>
      <c r="L35" s="16" t="n">
        <v>2000000</v>
      </c>
      <c r="M35" s="16" t="n"/>
      <c r="N35" s="16" t="n"/>
      <c r="O35" s="16" t="n">
        <v>2000000</v>
      </c>
      <c r="P35" s="16">
        <f>M35</f>
        <v/>
      </c>
      <c r="Q35" s="27">
        <f>SUM(F35:P35)</f>
        <v/>
      </c>
    </row>
    <row r="36">
      <c r="A36" s="10" t="n"/>
      <c r="B36" s="17" t="inlineStr">
        <is>
          <t>Solar Maintenance (Twice annually)</t>
        </is>
      </c>
      <c r="C36" s="10" t="n"/>
      <c r="D36" s="10" t="n"/>
      <c r="E36" s="116" t="n">
        <v>4000000</v>
      </c>
      <c r="F36" s="116" t="n"/>
      <c r="G36" s="16" t="n"/>
      <c r="H36" s="16" t="n"/>
      <c r="I36" s="16" t="n"/>
      <c r="J36" s="16" t="n"/>
      <c r="K36" s="16" t="n">
        <v>4000000</v>
      </c>
      <c r="L36" s="16" t="n"/>
      <c r="M36" s="16" t="n"/>
      <c r="N36" s="16" t="n"/>
      <c r="O36" s="16" t="n"/>
      <c r="P36" s="16">
        <f>L36</f>
        <v/>
      </c>
      <c r="Q36" s="27">
        <f>SUM(E36:P36)</f>
        <v/>
      </c>
    </row>
    <row r="37">
      <c r="A37" s="10" t="n"/>
      <c r="B37" s="17" t="inlineStr">
        <is>
          <t>Elevator Maintenance</t>
        </is>
      </c>
      <c r="C37" s="10" t="n"/>
      <c r="D37" s="10" t="n"/>
      <c r="E37" s="116" t="n"/>
      <c r="F37" s="116" t="n"/>
      <c r="G37" s="16" t="n"/>
      <c r="H37" s="16" t="n"/>
      <c r="I37" s="16" t="n"/>
      <c r="J37" s="16" t="n"/>
      <c r="K37" s="16" t="n"/>
      <c r="L37" s="16" t="n"/>
      <c r="M37" s="16" t="n"/>
      <c r="N37" s="16" t="n"/>
      <c r="O37" s="16" t="n"/>
      <c r="P37" s="16">
        <f>L37</f>
        <v/>
      </c>
      <c r="Q37" s="27">
        <f>SUM(E37:P37)</f>
        <v/>
      </c>
    </row>
    <row r="38">
      <c r="A38" s="10" t="n"/>
      <c r="B38" s="17" t="inlineStr">
        <is>
          <t>Access Control Maintenance</t>
        </is>
      </c>
      <c r="C38" s="10" t="n"/>
      <c r="D38" s="10" t="n"/>
      <c r="E38" s="116" t="n"/>
      <c r="F38" s="116" t="n"/>
      <c r="G38" s="16" t="n">
        <v>500000</v>
      </c>
      <c r="H38" s="16" t="n"/>
      <c r="I38" s="16" t="n"/>
      <c r="J38" s="16" t="n"/>
      <c r="K38" s="16" t="n"/>
      <c r="L38" s="16" t="n"/>
      <c r="M38" s="16" t="n"/>
      <c r="N38" s="16" t="n"/>
      <c r="O38" s="16" t="n"/>
      <c r="P38" s="16">
        <f>L38</f>
        <v/>
      </c>
      <c r="Q38" s="27">
        <f>SUM(E38:P38)</f>
        <v/>
      </c>
    </row>
    <row r="39">
      <c r="A39" s="10" t="n"/>
      <c r="B39" s="17" t="inlineStr">
        <is>
          <t>LED Screen Maintenance</t>
        </is>
      </c>
      <c r="C39" s="10" t="n"/>
      <c r="D39" s="10" t="n"/>
      <c r="E39" s="116" t="n"/>
      <c r="F39" s="116" t="n"/>
      <c r="G39" s="16" t="n">
        <v>2500000</v>
      </c>
      <c r="H39" s="16" t="n"/>
      <c r="I39" s="16" t="n"/>
      <c r="J39" s="16" t="n"/>
      <c r="K39" s="16" t="n"/>
      <c r="L39" s="16" t="n"/>
      <c r="M39" s="16" t="n"/>
      <c r="N39" s="16" t="n"/>
      <c r="O39" s="16" t="n"/>
      <c r="P39" s="16">
        <f>L39</f>
        <v/>
      </c>
      <c r="Q39" s="27">
        <f>SUM(E39:P39)</f>
        <v/>
      </c>
    </row>
    <row r="40">
      <c r="A40" s="10" t="n"/>
      <c r="B40" s="17" t="n"/>
      <c r="C40" s="10" t="n"/>
      <c r="D40" s="10" t="n"/>
      <c r="E40" s="116" t="n"/>
      <c r="F40" s="116" t="n"/>
      <c r="G40" s="16" t="n"/>
      <c r="H40" s="16" t="n"/>
      <c r="I40" s="16" t="n"/>
      <c r="J40" s="16" t="n"/>
      <c r="K40" s="16" t="n"/>
      <c r="L40" s="16" t="n"/>
      <c r="M40" s="16" t="n"/>
      <c r="N40" s="16" t="n"/>
      <c r="O40" s="16" t="n"/>
      <c r="P40" s="16" t="n"/>
      <c r="Q40" s="27" t="n"/>
    </row>
    <row r="41" customFormat="1" s="3">
      <c r="A41" s="13" t="n"/>
      <c r="B41" s="13" t="n"/>
      <c r="C41" s="13" t="n"/>
      <c r="D41" s="13" t="n"/>
      <c r="E41" s="14">
        <f>SUM(E24:E39)</f>
        <v/>
      </c>
      <c r="F41" s="14">
        <f>SUM(F24:F39)</f>
        <v/>
      </c>
      <c r="G41" s="14">
        <f>SUM(G24:G39)</f>
        <v/>
      </c>
      <c r="H41" s="14">
        <f>SUM(H24:H39)</f>
        <v/>
      </c>
      <c r="I41" s="14">
        <f>SUM(I24:I39)</f>
        <v/>
      </c>
      <c r="J41" s="14">
        <f>SUM(J24:J39)</f>
        <v/>
      </c>
      <c r="K41" s="14">
        <f>SUM(K24:K39)</f>
        <v/>
      </c>
      <c r="L41" s="14">
        <f>SUM(L24:L39)</f>
        <v/>
      </c>
      <c r="M41" s="14">
        <f>SUM(M24:M39)</f>
        <v/>
      </c>
      <c r="N41" s="14">
        <f>SUM(N24:N39)</f>
        <v/>
      </c>
      <c r="O41" s="14">
        <f>SUM(O24:O39)</f>
        <v/>
      </c>
      <c r="P41" s="14">
        <f>SUM(P24:P39)</f>
        <v/>
      </c>
      <c r="Q41" s="28">
        <f>SUM(Q24:Q39)</f>
        <v/>
      </c>
    </row>
    <row r="42" ht="28" customHeight="1">
      <c r="B42" s="2" t="inlineStr">
        <is>
          <t>Travel &amp; Conferences</t>
        </is>
      </c>
      <c r="E42" s="118" t="n"/>
      <c r="F42" s="118" t="n"/>
      <c r="G42" s="118" t="n"/>
      <c r="H42" s="118" t="n"/>
      <c r="I42" s="118" t="n"/>
      <c r="J42" s="118" t="n"/>
      <c r="K42" s="118" t="n"/>
      <c r="L42" s="118" t="n"/>
      <c r="M42" s="118" t="n"/>
      <c r="N42" s="118" t="n"/>
      <c r="O42" s="118" t="n"/>
      <c r="P42" s="118" t="n"/>
    </row>
    <row r="43">
      <c r="A43" s="10" t="n"/>
      <c r="B43" s="15" t="inlineStr">
        <is>
          <t>International Conference Registration</t>
        </is>
      </c>
      <c r="C43" s="10" t="n"/>
      <c r="D43" s="10" t="n"/>
      <c r="E43" s="10" t="n"/>
      <c r="F43" s="116" t="n">
        <v>3000000</v>
      </c>
      <c r="G43" s="20" t="n"/>
      <c r="H43" s="10" t="n"/>
      <c r="I43" s="116" t="n">
        <v>3000000</v>
      </c>
      <c r="J43" s="20" t="n"/>
      <c r="K43" s="20" t="n"/>
      <c r="L43" s="116" t="n">
        <v>3000000</v>
      </c>
      <c r="M43" s="20" t="n"/>
      <c r="N43" s="20" t="n"/>
      <c r="O43" s="201" t="n">
        <v>0</v>
      </c>
      <c r="P43" s="20" t="n"/>
      <c r="Q43" s="23" t="n">
        <v>9000000</v>
      </c>
    </row>
    <row r="44">
      <c r="A44" s="10" t="n"/>
      <c r="B44" s="15" t="inlineStr">
        <is>
          <t>International Flights</t>
        </is>
      </c>
      <c r="C44" s="10" t="n"/>
      <c r="D44" s="10" t="n"/>
      <c r="E44" s="116" t="n"/>
      <c r="F44" s="116" t="n">
        <v>4000000</v>
      </c>
      <c r="G44" s="20" t="n"/>
      <c r="H44" s="20" t="n"/>
      <c r="I44" s="116" t="n">
        <v>4000000</v>
      </c>
      <c r="J44" s="20" t="n"/>
      <c r="K44" s="20" t="n"/>
      <c r="L44" s="116" t="n">
        <v>4000000</v>
      </c>
      <c r="M44" s="20" t="n"/>
      <c r="N44" s="20" t="n"/>
      <c r="O44" s="202" t="n">
        <v>0</v>
      </c>
      <c r="P44" s="20" t="n"/>
      <c r="Q44" s="23" t="n">
        <v>12000000</v>
      </c>
    </row>
    <row r="45">
      <c r="A45" s="10" t="n"/>
      <c r="B45" s="15" t="inlineStr">
        <is>
          <t>International Travel Allowance</t>
        </is>
      </c>
      <c r="C45" s="10" t="n"/>
      <c r="D45" s="10" t="n"/>
      <c r="E45" s="116" t="n"/>
      <c r="F45" s="116" t="n">
        <v>2300000</v>
      </c>
      <c r="G45" s="20" t="n"/>
      <c r="H45" s="20" t="n"/>
      <c r="I45" s="116" t="n">
        <v>2300000</v>
      </c>
      <c r="J45" s="20" t="n"/>
      <c r="K45" s="20" t="n"/>
      <c r="L45" s="116" t="n">
        <v>2300000</v>
      </c>
      <c r="M45" s="20" t="n"/>
      <c r="N45" s="20" t="n"/>
      <c r="O45" s="202" t="n">
        <v>0</v>
      </c>
      <c r="P45" s="20" t="n"/>
      <c r="Q45" s="23" t="n">
        <v>6900000</v>
      </c>
    </row>
    <row r="46">
      <c r="A46" s="10" t="n"/>
      <c r="B46" s="15" t="inlineStr">
        <is>
          <t>International Travel Accomodation</t>
        </is>
      </c>
      <c r="C46" s="10" t="n"/>
      <c r="D46" s="10" t="n"/>
      <c r="E46" s="116" t="n"/>
      <c r="F46" s="116" t="n">
        <v>1500000</v>
      </c>
      <c r="G46" s="20" t="n"/>
      <c r="H46" s="20" t="n"/>
      <c r="I46" s="116" t="n">
        <v>1500000</v>
      </c>
      <c r="J46" s="20" t="n"/>
      <c r="K46" s="20" t="n"/>
      <c r="L46" s="116" t="n">
        <v>1500000</v>
      </c>
      <c r="M46" s="20" t="n"/>
      <c r="N46" s="20" t="n"/>
      <c r="O46" s="202" t="n">
        <v>0</v>
      </c>
      <c r="P46" s="20" t="n"/>
      <c r="Q46" s="23" t="n">
        <v>4500000</v>
      </c>
    </row>
    <row r="47">
      <c r="A47" s="10" t="n"/>
      <c r="B47" s="17" t="inlineStr">
        <is>
          <t>Local Conference Registration</t>
        </is>
      </c>
      <c r="C47" s="10" t="n"/>
      <c r="D47" s="10" t="n"/>
      <c r="E47" s="116" t="n"/>
      <c r="F47" s="116" t="n"/>
      <c r="G47" s="20" t="n">
        <v>750000</v>
      </c>
      <c r="H47" s="20" t="n"/>
      <c r="I47" s="20" t="n"/>
      <c r="J47" s="20" t="n">
        <v>750000</v>
      </c>
      <c r="K47" s="20" t="n"/>
      <c r="L47" s="20" t="n"/>
      <c r="M47" s="20" t="n">
        <v>750000</v>
      </c>
      <c r="N47" s="20" t="n"/>
      <c r="O47" s="20" t="n"/>
      <c r="P47" s="20" t="n">
        <v>750000</v>
      </c>
      <c r="Q47" s="23">
        <f>SUM(E47:P47)</f>
        <v/>
      </c>
    </row>
    <row r="48">
      <c r="A48" s="10" t="n"/>
      <c r="B48" s="17" t="inlineStr">
        <is>
          <t>Local Travel Flights</t>
        </is>
      </c>
      <c r="C48" s="10" t="n"/>
      <c r="D48" s="10" t="n"/>
      <c r="E48" s="116" t="n">
        <v>1000000</v>
      </c>
      <c r="F48" s="116" t="n">
        <v>1000000</v>
      </c>
      <c r="G48" s="116" t="n">
        <v>1000000</v>
      </c>
      <c r="H48" s="116" t="n">
        <v>1000000</v>
      </c>
      <c r="I48" s="116" t="n">
        <v>1000000</v>
      </c>
      <c r="J48" s="116" t="n">
        <v>1000000</v>
      </c>
      <c r="K48" s="116" t="n">
        <v>1000000</v>
      </c>
      <c r="L48" s="116" t="n">
        <v>1000000</v>
      </c>
      <c r="M48" s="116" t="n">
        <v>1000000</v>
      </c>
      <c r="N48" s="116" t="n">
        <v>1000000</v>
      </c>
      <c r="O48" s="116" t="n">
        <v>1000000</v>
      </c>
      <c r="P48" s="116" t="n">
        <v>1000000</v>
      </c>
      <c r="Q48" s="23">
        <f>SUM(E48:P48)</f>
        <v/>
      </c>
    </row>
    <row r="49">
      <c r="A49" s="10" t="n"/>
      <c r="B49" s="17" t="inlineStr">
        <is>
          <t>Local Travel Allowance</t>
        </is>
      </c>
      <c r="C49" s="10" t="n"/>
      <c r="D49" s="10" t="n"/>
      <c r="E49" s="116" t="n">
        <v>700000</v>
      </c>
      <c r="F49" s="116" t="n">
        <v>700000</v>
      </c>
      <c r="G49" s="116" t="n">
        <v>700000</v>
      </c>
      <c r="H49" s="116" t="n">
        <v>700000</v>
      </c>
      <c r="I49" s="116" t="n">
        <v>700000</v>
      </c>
      <c r="J49" s="116" t="n">
        <v>700000</v>
      </c>
      <c r="K49" s="116" t="n">
        <v>700000</v>
      </c>
      <c r="L49" s="116" t="n">
        <v>700000</v>
      </c>
      <c r="M49" s="116" t="n">
        <v>700000</v>
      </c>
      <c r="N49" s="116" t="n">
        <v>700000</v>
      </c>
      <c r="O49" s="116" t="n">
        <v>700000</v>
      </c>
      <c r="P49" s="116" t="n">
        <v>700000</v>
      </c>
      <c r="Q49" s="23">
        <f>SUM(E49:P49)</f>
        <v/>
      </c>
    </row>
    <row r="50" customFormat="1" s="3">
      <c r="A50" s="13" t="n"/>
      <c r="B50" s="13" t="n"/>
      <c r="C50" s="13" t="n"/>
      <c r="D50" s="13" t="n"/>
      <c r="E50" s="14">
        <f>SUM(E43:E48)</f>
        <v/>
      </c>
      <c r="F50" s="14">
        <f>SUM(F43:F48)</f>
        <v/>
      </c>
      <c r="G50" s="14">
        <f>SUM(G43:G48)</f>
        <v/>
      </c>
      <c r="H50" s="14">
        <f>SUM(H43:H48)</f>
        <v/>
      </c>
      <c r="I50" s="14">
        <f>SUM(I43:I48)</f>
        <v/>
      </c>
      <c r="J50" s="14">
        <f>SUM(J43:J48)</f>
        <v/>
      </c>
      <c r="K50" s="14">
        <f>SUM(K43:K48)</f>
        <v/>
      </c>
      <c r="L50" s="14">
        <f>SUM(L43:L48)</f>
        <v/>
      </c>
      <c r="M50" s="14">
        <f>SUM(M43:M48)</f>
        <v/>
      </c>
      <c r="N50" s="14">
        <f>SUM(N43:N48)</f>
        <v/>
      </c>
      <c r="O50" s="14">
        <f>SUM(O43:O48)</f>
        <v/>
      </c>
      <c r="P50" s="14">
        <f>SUM(P43:P48)</f>
        <v/>
      </c>
      <c r="Q50" s="28">
        <f>SUM(Q43:Q49)</f>
        <v/>
      </c>
    </row>
    <row r="51">
      <c r="E51" s="118" t="n"/>
      <c r="F51" s="118" t="n"/>
      <c r="G51" s="118" t="n"/>
      <c r="H51" s="118" t="n"/>
      <c r="I51" s="118" t="n"/>
      <c r="J51" s="118" t="n"/>
      <c r="K51" s="118" t="n"/>
      <c r="L51" s="118" t="n"/>
      <c r="M51" s="118" t="n"/>
      <c r="N51" s="118" t="n"/>
      <c r="O51" s="118" t="n"/>
      <c r="P51" s="118" t="n"/>
    </row>
    <row r="52">
      <c r="B52" s="3" t="inlineStr">
        <is>
          <t>Equipment &amp; Infrastructure</t>
        </is>
      </c>
      <c r="C52" t="inlineStr">
        <is>
          <t>Laptops, software, lab tools</t>
        </is>
      </c>
      <c r="E52" s="118" t="n"/>
      <c r="F52" s="118" t="n"/>
      <c r="G52" s="118" t="n"/>
      <c r="H52" s="118" t="n"/>
      <c r="I52" s="118" t="n"/>
      <c r="J52" s="118" t="n"/>
      <c r="K52" s="118" t="n"/>
      <c r="L52" s="118" t="n"/>
      <c r="M52" s="118" t="n"/>
      <c r="N52" s="118" t="n"/>
      <c r="O52" s="118" t="n"/>
      <c r="P52" s="118" t="n"/>
    </row>
    <row r="53">
      <c r="A53" s="10" t="n"/>
      <c r="B53" s="60" t="inlineStr">
        <is>
          <t>Website Hosting, Cloud Servers &amp; Services</t>
        </is>
      </c>
      <c r="C53" s="10" t="n"/>
      <c r="D53" s="10" t="n"/>
      <c r="E53" s="116">
        <f>Others!C4</f>
        <v/>
      </c>
      <c r="F53" s="116">
        <f>Others!D4</f>
        <v/>
      </c>
      <c r="G53" s="116" t="n"/>
      <c r="H53" s="116" t="n"/>
      <c r="I53" s="116">
        <f>3750000/4</f>
        <v/>
      </c>
      <c r="J53" s="116" t="n"/>
      <c r="K53" s="116">
        <f>3750000/4</f>
        <v/>
      </c>
      <c r="L53" s="116" t="n"/>
      <c r="M53" s="116" t="n"/>
      <c r="N53" s="116">
        <f>3750000/4</f>
        <v/>
      </c>
      <c r="O53" s="116" t="n"/>
      <c r="P53" s="116" t="n"/>
      <c r="Q53" s="24">
        <f>SUM(E53:P53)</f>
        <v/>
      </c>
    </row>
    <row r="54">
      <c r="A54" s="10" t="n"/>
      <c r="B54" s="60" t="inlineStr">
        <is>
          <t>AI Tool Credits (AWS, Claude, Kling, Vibecode etc) $200/mo</t>
        </is>
      </c>
      <c r="C54" s="10" t="n"/>
      <c r="D54" s="10" t="n"/>
      <c r="E54" s="116" t="n">
        <v>310000</v>
      </c>
      <c r="F54" s="116" t="n">
        <v>310000</v>
      </c>
      <c r="G54" s="116" t="n">
        <v>310000</v>
      </c>
      <c r="H54" s="116" t="n">
        <v>310000</v>
      </c>
      <c r="I54" s="116" t="n">
        <v>310000</v>
      </c>
      <c r="J54" s="116" t="n">
        <v>310000</v>
      </c>
      <c r="K54" s="116" t="n">
        <v>310000</v>
      </c>
      <c r="L54" s="116" t="n">
        <v>310000</v>
      </c>
      <c r="M54" s="116" t="n">
        <v>310000</v>
      </c>
      <c r="N54" s="116" t="n">
        <v>310000</v>
      </c>
      <c r="O54" s="116" t="n">
        <v>310000</v>
      </c>
      <c r="P54" s="116" t="n">
        <v>310000</v>
      </c>
      <c r="Q54" s="24">
        <f>SUM(E54:P54)</f>
        <v/>
      </c>
    </row>
    <row r="55">
      <c r="A55" s="10" t="n"/>
      <c r="B55" s="59" t="inlineStr">
        <is>
          <t>Zoho Email &amp; Software Suite (Annual)</t>
        </is>
      </c>
      <c r="C55" s="10" t="n"/>
      <c r="D55" s="10" t="n"/>
      <c r="E55" s="116">
        <f>Others!C5</f>
        <v/>
      </c>
      <c r="F55" s="116">
        <f>Others!D5</f>
        <v/>
      </c>
      <c r="G55" s="116" t="n">
        <v>2000000</v>
      </c>
      <c r="H55" s="116" t="n"/>
      <c r="I55" s="116" t="n"/>
      <c r="J55" s="116" t="n"/>
      <c r="K55" s="116" t="n"/>
      <c r="L55" s="116" t="n"/>
      <c r="M55" s="116" t="n"/>
      <c r="N55" s="116" t="n"/>
      <c r="O55" s="116" t="n"/>
      <c r="P55" s="116" t="n"/>
      <c r="Q55" s="24">
        <f>SUM(E55:P55)</f>
        <v/>
      </c>
    </row>
    <row r="56">
      <c r="A56" s="10" t="n"/>
      <c r="B56" s="59" t="inlineStr">
        <is>
          <t>Software Subscriptions &amp; Licenses</t>
        </is>
      </c>
      <c r="C56" s="10" t="n"/>
      <c r="D56" s="10" t="n"/>
      <c r="E56" s="116">
        <f>Others!C6</f>
        <v/>
      </c>
      <c r="F56" s="116">
        <f>Others!D6</f>
        <v/>
      </c>
      <c r="G56" s="116" t="n"/>
      <c r="H56" s="116" t="n"/>
      <c r="I56" s="116">
        <f>Others!E6</f>
        <v/>
      </c>
      <c r="J56" s="116">
        <f>Others!H6</f>
        <v/>
      </c>
      <c r="K56" s="116">
        <f>Others!I6</f>
        <v/>
      </c>
      <c r="L56" s="116">
        <f>Others!J6</f>
        <v/>
      </c>
      <c r="M56" s="116">
        <f>Others!K6</f>
        <v/>
      </c>
      <c r="N56" s="116">
        <f>Others!L6</f>
        <v/>
      </c>
      <c r="O56" s="116">
        <f>Others!M6</f>
        <v/>
      </c>
      <c r="P56" s="116">
        <f>Others!N6</f>
        <v/>
      </c>
      <c r="Q56" s="24">
        <f>SUM(E56:P56)</f>
        <v/>
      </c>
    </row>
    <row r="57">
      <c r="A57" s="10" t="n"/>
      <c r="B57" s="59" t="inlineStr">
        <is>
          <t>Access Control Software Subscription (Salto KS)</t>
        </is>
      </c>
      <c r="C57" s="10" t="n"/>
      <c r="D57" s="10" t="n"/>
      <c r="E57" s="116" t="n"/>
      <c r="F57" s="116" t="n">
        <v>1500000</v>
      </c>
      <c r="G57" s="116" t="n"/>
      <c r="H57" s="116" t="n"/>
      <c r="I57" s="116" t="n"/>
      <c r="J57" s="116" t="n"/>
      <c r="K57" s="116" t="n"/>
      <c r="L57" s="116" t="n"/>
      <c r="M57" s="116" t="n"/>
      <c r="N57" s="116" t="n"/>
      <c r="O57" s="116" t="n"/>
      <c r="P57" s="116" t="n"/>
      <c r="Q57" s="24">
        <f>SUM(E57:P57)</f>
        <v/>
      </c>
    </row>
    <row r="58">
      <c r="A58" s="10" t="n"/>
      <c r="B58" s="59" t="inlineStr">
        <is>
          <t>Laptops</t>
        </is>
      </c>
      <c r="C58" s="10" t="n"/>
      <c r="D58" s="10" t="n"/>
      <c r="E58" s="116" t="n"/>
      <c r="F58" s="116" t="n">
        <v>4000000</v>
      </c>
      <c r="G58" s="116" t="n"/>
      <c r="H58" s="116" t="n"/>
      <c r="I58" s="116" t="n"/>
      <c r="J58" s="116" t="n"/>
      <c r="K58" s="116" t="n"/>
      <c r="L58" s="116" t="n"/>
      <c r="M58" s="116" t="n"/>
      <c r="N58" s="116" t="n"/>
      <c r="O58" s="116" t="n"/>
      <c r="P58" s="116" t="n"/>
      <c r="Q58" s="24">
        <f>SUM(E58:P58)</f>
        <v/>
      </c>
    </row>
    <row r="59">
      <c r="A59" s="10" t="n"/>
      <c r="B59" s="59" t="inlineStr">
        <is>
          <t>Front Desk Tablet &amp; Stand for VMS</t>
        </is>
      </c>
      <c r="C59" s="10" t="n"/>
      <c r="D59" s="10" t="n"/>
      <c r="E59" s="116" t="n"/>
      <c r="F59" s="116" t="n">
        <v>300000</v>
      </c>
      <c r="G59" s="116" t="n"/>
      <c r="H59" s="116" t="n"/>
      <c r="I59" s="116" t="n"/>
      <c r="J59" s="116" t="n"/>
      <c r="K59" s="116" t="n"/>
      <c r="L59" s="116" t="n"/>
      <c r="M59" s="116" t="n"/>
      <c r="N59" s="116" t="n"/>
      <c r="O59" s="116" t="n"/>
      <c r="P59" s="116" t="n"/>
      <c r="Q59" s="24">
        <f>SUM(E59:P59)</f>
        <v/>
      </c>
    </row>
    <row r="60">
      <c r="A60" s="10" t="n"/>
      <c r="B60" s="59" t="inlineStr">
        <is>
          <t>Staff Mobile Devices</t>
        </is>
      </c>
      <c r="C60" s="10" t="n"/>
      <c r="D60" s="10" t="n"/>
      <c r="E60" s="116" t="n"/>
      <c r="F60" s="116" t="n"/>
      <c r="G60" s="116" t="n">
        <v>500000</v>
      </c>
      <c r="H60" s="116" t="n"/>
      <c r="I60" s="116" t="n"/>
      <c r="J60" s="116" t="n"/>
      <c r="K60" s="116" t="n"/>
      <c r="L60" s="116" t="n"/>
      <c r="M60" s="116" t="n"/>
      <c r="N60" s="116" t="n"/>
      <c r="O60" s="116" t="n"/>
      <c r="P60" s="116" t="n"/>
      <c r="Q60" s="24">
        <f>SUM(E60:P60)</f>
        <v/>
      </c>
    </row>
    <row r="61" customFormat="1" s="3">
      <c r="A61" s="13" t="n"/>
      <c r="B61" s="13" t="n"/>
      <c r="C61" s="13" t="n"/>
      <c r="D61" s="13" t="n"/>
      <c r="E61" s="14">
        <f>SUM(E53:E58)</f>
        <v/>
      </c>
      <c r="F61" s="14">
        <f>SUM(F53:F59)</f>
        <v/>
      </c>
      <c r="G61" s="14">
        <f>SUM(G53:G58)</f>
        <v/>
      </c>
      <c r="H61" s="14">
        <f>SUM(H53:H58)</f>
        <v/>
      </c>
      <c r="I61" s="14">
        <f>SUM(I53:I58)</f>
        <v/>
      </c>
      <c r="J61" s="14">
        <f>SUM(J53:J58)</f>
        <v/>
      </c>
      <c r="K61" s="14">
        <f>SUM(K53:K58)</f>
        <v/>
      </c>
      <c r="L61" s="14">
        <f>SUM(L53:L58)</f>
        <v/>
      </c>
      <c r="M61" s="14">
        <f>SUM(M53:M58)</f>
        <v/>
      </c>
      <c r="N61" s="14">
        <f>SUM(N53:N58)</f>
        <v/>
      </c>
      <c r="O61" s="14">
        <f>SUM(O53:O58)</f>
        <v/>
      </c>
      <c r="P61" s="14">
        <f>SUM(P53:P58)</f>
        <v/>
      </c>
      <c r="Q61" s="28">
        <f>SUM(Q53:Q60)</f>
        <v/>
      </c>
    </row>
    <row r="62">
      <c r="B62" s="1" t="n"/>
      <c r="E62" s="118" t="n"/>
      <c r="F62" s="118" t="n"/>
      <c r="G62" s="118" t="n"/>
      <c r="H62" s="118" t="n"/>
      <c r="I62" s="118" t="n"/>
      <c r="J62" s="118" t="n"/>
      <c r="K62" s="118" t="n"/>
      <c r="L62" s="118" t="n"/>
      <c r="M62" s="118" t="n"/>
      <c r="N62" s="118" t="n"/>
      <c r="O62" s="118" t="n"/>
      <c r="P62" s="118" t="n"/>
    </row>
    <row r="63">
      <c r="B63" s="3" t="inlineStr">
        <is>
          <t>Vehicles &amp; Logistics</t>
        </is>
      </c>
      <c r="C63" t="inlineStr">
        <is>
          <t>Vehicles, fueling &amp; maintenance</t>
        </is>
      </c>
      <c r="E63" s="118" t="n"/>
      <c r="F63" s="118" t="n"/>
      <c r="G63" s="118" t="n"/>
      <c r="H63" s="118" t="n"/>
      <c r="I63" s="118" t="n"/>
      <c r="J63" s="118" t="n"/>
      <c r="K63" s="118" t="n"/>
      <c r="L63" s="118" t="n"/>
      <c r="M63" s="118" t="n"/>
      <c r="N63" s="118" t="n"/>
      <c r="O63" s="118" t="n"/>
      <c r="P63" s="118" t="n"/>
    </row>
    <row r="64">
      <c r="A64" s="10" t="n"/>
      <c r="B64" s="60" t="inlineStr">
        <is>
          <t>Vehicle Purchase (x3)</t>
        </is>
      </c>
      <c r="C64" s="10" t="n"/>
      <c r="D64" s="10" t="n"/>
      <c r="E64" s="116" t="n"/>
      <c r="F64" s="116" t="n"/>
      <c r="G64" s="116" t="n"/>
      <c r="H64" s="116" t="n"/>
      <c r="I64" s="116" t="n"/>
      <c r="J64" s="116" t="n"/>
      <c r="K64" s="116" t="n"/>
      <c r="L64" s="116" t="n"/>
      <c r="M64" s="116" t="n"/>
      <c r="N64" s="116" t="n"/>
      <c r="O64" s="116" t="n"/>
      <c r="P64" s="116" t="n"/>
      <c r="Q64" s="24">
        <f>SUM(E64:P64)</f>
        <v/>
      </c>
    </row>
    <row r="65">
      <c r="A65" s="10" t="n"/>
      <c r="B65" s="59" t="inlineStr">
        <is>
          <t>Vehicle Fueling</t>
        </is>
      </c>
      <c r="C65" s="10" t="n"/>
      <c r="D65" s="10" t="n"/>
      <c r="E65" s="116" t="n"/>
      <c r="F65" s="116" t="n"/>
      <c r="G65" s="116" t="n"/>
      <c r="H65" s="116" t="n"/>
      <c r="I65" s="116" t="n"/>
      <c r="J65" s="116" t="n"/>
      <c r="K65" s="116" t="n"/>
      <c r="L65" s="116" t="n"/>
      <c r="M65" s="116" t="n"/>
      <c r="N65" s="116" t="n"/>
      <c r="O65" s="116" t="n"/>
      <c r="P65" s="116" t="n"/>
      <c r="Q65" s="24">
        <f>SUM(E65:P65)</f>
        <v/>
      </c>
    </row>
    <row r="66">
      <c r="A66" s="10" t="n"/>
      <c r="B66" s="59" t="inlineStr">
        <is>
          <t>Vehicle Maintenance</t>
        </is>
      </c>
      <c r="C66" s="10" t="n"/>
      <c r="D66" s="10" t="n"/>
      <c r="E66" s="116" t="n"/>
      <c r="F66" s="116" t="n"/>
      <c r="G66" s="116" t="n"/>
      <c r="H66" s="116" t="n"/>
      <c r="I66" s="116" t="n"/>
      <c r="J66" s="116" t="n"/>
      <c r="K66" s="116" t="n"/>
      <c r="L66" s="116" t="n"/>
      <c r="M66" s="116" t="n"/>
      <c r="N66" s="116" t="n"/>
      <c r="O66" s="116" t="n"/>
      <c r="P66" s="116" t="n"/>
      <c r="Q66" s="24">
        <f>SUM(E66:P66)</f>
        <v/>
      </c>
    </row>
    <row r="67">
      <c r="A67" s="10" t="n"/>
      <c r="B67" s="59" t="inlineStr">
        <is>
          <t>Charging Station Setup</t>
        </is>
      </c>
      <c r="C67" s="10" t="n"/>
      <c r="D67" s="10" t="n"/>
      <c r="E67" s="116" t="n"/>
      <c r="F67" s="116" t="n"/>
      <c r="G67" s="116" t="n"/>
      <c r="H67" s="116" t="n"/>
      <c r="I67" s="116" t="n"/>
      <c r="J67" s="116" t="n"/>
      <c r="K67" s="116" t="n"/>
      <c r="L67" s="116" t="n"/>
      <c r="M67" s="116" t="n"/>
      <c r="N67" s="116" t="n"/>
      <c r="O67" s="116" t="n"/>
      <c r="P67" s="116" t="n"/>
      <c r="Q67" s="24">
        <f>SUM(E67:P67)</f>
        <v/>
      </c>
    </row>
    <row r="68">
      <c r="A68" s="10" t="n"/>
      <c r="B68" s="59" t="n"/>
      <c r="C68" s="10" t="n"/>
      <c r="D68" s="10" t="n"/>
      <c r="E68" s="116" t="n"/>
      <c r="F68" s="116" t="n"/>
      <c r="G68" s="116" t="n"/>
      <c r="H68" s="116" t="n"/>
      <c r="I68" s="116" t="n"/>
      <c r="J68" s="116" t="n"/>
      <c r="K68" s="116" t="n"/>
      <c r="L68" s="116" t="n"/>
      <c r="M68" s="116" t="n"/>
      <c r="N68" s="116" t="n"/>
      <c r="O68" s="116" t="n"/>
      <c r="P68" s="116" t="n"/>
      <c r="Q68" s="24">
        <f>SUM(E68:P68)</f>
        <v/>
      </c>
    </row>
    <row r="69" customFormat="1" s="3">
      <c r="A69" s="13" t="n"/>
      <c r="B69" s="13" t="n"/>
      <c r="C69" s="13" t="n"/>
      <c r="D69" s="13" t="n"/>
      <c r="E69" s="14">
        <f>SUM(E64:E68)</f>
        <v/>
      </c>
      <c r="F69" s="14">
        <f>SUM(F64:F68)</f>
        <v/>
      </c>
      <c r="G69" s="14">
        <f>SUM(G64:G68)</f>
        <v/>
      </c>
      <c r="H69" s="14">
        <f>SUM(H64:H68)</f>
        <v/>
      </c>
      <c r="I69" s="14">
        <f>SUM(I64:I68)</f>
        <v/>
      </c>
      <c r="J69" s="14">
        <f>SUM(J64:J68)</f>
        <v/>
      </c>
      <c r="K69" s="14">
        <f>SUM(K64:K68)</f>
        <v/>
      </c>
      <c r="L69" s="14">
        <f>SUM(L64:L68)</f>
        <v/>
      </c>
      <c r="M69" s="14">
        <f>SUM(M64:M68)</f>
        <v/>
      </c>
      <c r="N69" s="14">
        <f>SUM(N64:N68)</f>
        <v/>
      </c>
      <c r="O69" s="14">
        <f>SUM(O64:O68)</f>
        <v/>
      </c>
      <c r="P69" s="14">
        <f>SUM(P64:P68)</f>
        <v/>
      </c>
      <c r="Q69" s="28">
        <f>SUM(Q64:Q68)</f>
        <v/>
      </c>
    </row>
    <row r="70">
      <c r="B70" s="1" t="n"/>
      <c r="E70" s="118" t="n"/>
      <c r="F70" s="118" t="n"/>
      <c r="G70" s="118" t="n"/>
      <c r="H70" s="118" t="n"/>
      <c r="I70" s="118" t="n"/>
      <c r="J70" s="118" t="n"/>
      <c r="K70" s="118" t="n"/>
      <c r="L70" s="118" t="n"/>
      <c r="M70" s="118" t="n"/>
      <c r="N70" s="118" t="n"/>
      <c r="O70" s="118" t="n"/>
      <c r="P70" s="118" t="n"/>
    </row>
    <row r="71">
      <c r="E71" s="118" t="n"/>
      <c r="F71" s="118" t="n"/>
      <c r="G71" s="118" t="n"/>
      <c r="H71" s="118" t="n"/>
      <c r="I71" s="118" t="n"/>
      <c r="J71" s="118" t="n"/>
      <c r="K71" s="118" t="n"/>
      <c r="L71" s="118" t="n"/>
      <c r="M71" s="118" t="n"/>
      <c r="N71" s="118" t="n"/>
      <c r="O71" s="118" t="n"/>
      <c r="P71" s="118" t="n"/>
    </row>
    <row r="72">
      <c r="B72" s="2" t="inlineStr">
        <is>
          <t>Corporate Comms &amp; PR</t>
        </is>
      </c>
      <c r="C72" t="inlineStr">
        <is>
          <t>Branding, events, PR</t>
        </is>
      </c>
      <c r="E72" s="118" t="n"/>
      <c r="F72" s="118" t="n"/>
      <c r="G72" s="118" t="n"/>
      <c r="H72" s="118" t="n"/>
      <c r="I72" s="118" t="n"/>
      <c r="J72" s="118" t="n"/>
      <c r="K72" s="118" t="n"/>
      <c r="L72" s="118" t="n"/>
      <c r="M72" s="118" t="n"/>
      <c r="N72" s="118" t="n"/>
      <c r="O72" s="118" t="n"/>
      <c r="P72" s="118" t="n"/>
    </row>
    <row r="73">
      <c r="A73" s="10" t="n"/>
      <c r="B73" s="17" t="inlineStr">
        <is>
          <t>Souvenirs</t>
        </is>
      </c>
      <c r="C73" s="10" t="n"/>
      <c r="D73" s="10" t="n"/>
      <c r="E73" s="10" t="n"/>
      <c r="F73" s="116" t="n">
        <v>5900000</v>
      </c>
      <c r="G73" s="116" t="n"/>
      <c r="H73" s="116" t="n">
        <v>2000000</v>
      </c>
      <c r="I73" s="116" t="n"/>
      <c r="J73" s="116" t="n"/>
      <c r="K73" s="116" t="n"/>
      <c r="L73" s="116" t="n">
        <v>2000000</v>
      </c>
      <c r="M73" s="116" t="n"/>
      <c r="N73" s="116" t="n"/>
      <c r="O73" s="116" t="n">
        <v>2000000</v>
      </c>
      <c r="P73" s="116" t="n"/>
      <c r="Q73" s="24" t="n">
        <v>11900000</v>
      </c>
    </row>
    <row r="74">
      <c r="A74" s="10" t="n"/>
      <c r="B74" s="15" t="inlineStr">
        <is>
          <t>Guest Entertainment &amp; Refreshments</t>
        </is>
      </c>
      <c r="C74" s="10" t="n"/>
      <c r="D74" s="10" t="n"/>
      <c r="E74" s="116" t="n">
        <v>250000</v>
      </c>
      <c r="F74" s="116" t="n">
        <v>250000</v>
      </c>
      <c r="G74" s="116" t="n">
        <v>250000</v>
      </c>
      <c r="H74" s="116" t="n">
        <v>250000</v>
      </c>
      <c r="I74" s="116" t="n">
        <v>250000</v>
      </c>
      <c r="J74" s="116" t="n">
        <v>250000</v>
      </c>
      <c r="K74" s="116" t="n">
        <v>250000</v>
      </c>
      <c r="L74" s="116" t="n">
        <v>250000</v>
      </c>
      <c r="M74" s="116" t="n">
        <v>250000</v>
      </c>
      <c r="N74" s="116" t="n">
        <v>250000</v>
      </c>
      <c r="O74" s="116" t="n">
        <v>250000</v>
      </c>
      <c r="P74" s="116" t="n">
        <v>250000</v>
      </c>
      <c r="Q74" s="24" t="n">
        <v>3000000</v>
      </c>
    </row>
    <row r="75">
      <c r="A75" s="10" t="n"/>
      <c r="B75" s="15" t="inlineStr">
        <is>
          <t>Banners</t>
        </is>
      </c>
      <c r="C75" s="10" t="n"/>
      <c r="D75" s="10" t="n"/>
      <c r="E75" s="116" t="n">
        <v>62500</v>
      </c>
      <c r="F75" s="116" t="n">
        <v>62500</v>
      </c>
      <c r="G75" s="116" t="n">
        <v>62500</v>
      </c>
      <c r="H75" s="116" t="n">
        <v>62500</v>
      </c>
      <c r="I75" s="116" t="n">
        <v>62500</v>
      </c>
      <c r="J75" s="116" t="n">
        <v>62500</v>
      </c>
      <c r="K75" s="116" t="n">
        <v>62500</v>
      </c>
      <c r="L75" s="116" t="n">
        <v>62500</v>
      </c>
      <c r="M75" s="116" t="n">
        <v>62500</v>
      </c>
      <c r="N75" s="116" t="n">
        <v>62500</v>
      </c>
      <c r="O75" s="116" t="n">
        <v>62500</v>
      </c>
      <c r="P75" s="116" t="n">
        <v>62500</v>
      </c>
      <c r="Q75" s="24" t="n">
        <v>750000</v>
      </c>
    </row>
    <row r="76">
      <c r="A76" s="10" t="n"/>
      <c r="B76" s="15" t="inlineStr">
        <is>
          <t>Staff T-Shirts</t>
        </is>
      </c>
      <c r="C76" s="10" t="n"/>
      <c r="D76" s="10" t="n"/>
      <c r="F76" s="116" t="n">
        <v>500000</v>
      </c>
      <c r="G76" s="116" t="n"/>
      <c r="H76" s="116" t="n"/>
      <c r="I76" s="116" t="n">
        <v>500000</v>
      </c>
      <c r="J76" s="116" t="n"/>
      <c r="K76" s="116" t="n"/>
      <c r="L76" s="116" t="n"/>
      <c r="M76" s="116" t="n"/>
      <c r="N76" s="116" t="n">
        <v>250000</v>
      </c>
      <c r="O76" s="116" t="n"/>
      <c r="P76" s="116" t="n"/>
      <c r="Q76" s="24">
        <f>SUM(F76:P76)</f>
        <v/>
      </c>
    </row>
    <row r="77">
      <c r="A77" s="10" t="n"/>
      <c r="B77" s="15" t="inlineStr">
        <is>
          <t>Online &amp; Social Media Marketing</t>
        </is>
      </c>
      <c r="C77" s="10" t="n"/>
      <c r="D77" s="10" t="n"/>
      <c r="E77" s="116" t="n"/>
      <c r="F77" s="116" t="n"/>
      <c r="G77" s="116" t="n"/>
      <c r="H77" s="116" t="n"/>
      <c r="I77" s="116" t="n">
        <v>185000</v>
      </c>
      <c r="J77" s="116" t="n">
        <v>185000</v>
      </c>
      <c r="K77" s="116" t="n">
        <v>123333.3333333333</v>
      </c>
      <c r="L77" s="116" t="n">
        <v>123333.3333333333</v>
      </c>
      <c r="M77" s="116" t="n">
        <v>123333.3333333333</v>
      </c>
      <c r="N77" s="116" t="n">
        <v>123333.3333333333</v>
      </c>
      <c r="O77" s="116" t="n">
        <v>123333.3333333333</v>
      </c>
      <c r="P77" s="116" t="n">
        <v>123333.3333333333</v>
      </c>
      <c r="Q77" s="24" t="n">
        <v>1110000</v>
      </c>
    </row>
    <row r="78">
      <c r="A78" s="10" t="n"/>
      <c r="B78" s="15" t="inlineStr">
        <is>
          <t>Impact Storytelling &amp; Documentary</t>
        </is>
      </c>
      <c r="C78" s="10" t="n"/>
      <c r="D78" s="10" t="n"/>
      <c r="E78" s="116" t="n"/>
      <c r="F78" s="116" t="n"/>
      <c r="G78" s="116" t="n"/>
      <c r="H78" s="116" t="n"/>
      <c r="I78" s="116" t="n">
        <v>5000000</v>
      </c>
      <c r="J78" s="116" t="n"/>
      <c r="K78" s="116" t="n"/>
      <c r="L78" s="116" t="n"/>
      <c r="M78" s="116" t="n"/>
      <c r="N78" s="116" t="n"/>
      <c r="O78" s="116" t="n"/>
      <c r="P78" s="116" t="n"/>
      <c r="Q78" s="24">
        <f>SUM(E78:P78)</f>
        <v/>
      </c>
    </row>
    <row r="79" customFormat="1" s="3">
      <c r="A79" s="13" t="n"/>
      <c r="B79" s="13" t="n"/>
      <c r="C79" s="13" t="n"/>
      <c r="D79" s="13" t="n"/>
      <c r="E79" s="14">
        <f>SUM(E73:E77)</f>
        <v/>
      </c>
      <c r="F79" s="14">
        <f>SUM(F73:F77)</f>
        <v/>
      </c>
      <c r="G79" s="14">
        <f>SUM(G73:G77)</f>
        <v/>
      </c>
      <c r="H79" s="14">
        <f>SUM(H73:H77)</f>
        <v/>
      </c>
      <c r="I79" s="14">
        <f>SUM(I73:I78)</f>
        <v/>
      </c>
      <c r="J79" s="14">
        <f>SUM(J73:J77)</f>
        <v/>
      </c>
      <c r="K79" s="14">
        <f>SUM(K73:K77)</f>
        <v/>
      </c>
      <c r="L79" s="14">
        <f>SUM(L73:L77)</f>
        <v/>
      </c>
      <c r="M79" s="14">
        <f>SUM(M73:M77)</f>
        <v/>
      </c>
      <c r="N79" s="14">
        <f>SUM(N73:N77)</f>
        <v/>
      </c>
      <c r="O79" s="14">
        <f>SUM(O73:O77)</f>
        <v/>
      </c>
      <c r="P79" s="14">
        <f>SUM(P73:P77)</f>
        <v/>
      </c>
      <c r="Q79" s="28">
        <f>SUM(Q73:Q78)</f>
        <v/>
      </c>
    </row>
    <row r="80">
      <c r="E80" s="118" t="n"/>
      <c r="F80" s="118" t="n"/>
      <c r="G80" s="118" t="n"/>
      <c r="H80" s="118" t="n"/>
      <c r="I80" s="118" t="n"/>
      <c r="J80" s="118" t="n"/>
      <c r="K80" s="118" t="n"/>
      <c r="L80" s="118" t="n"/>
      <c r="M80" s="118" t="n"/>
      <c r="N80" s="118" t="n"/>
      <c r="O80" s="118" t="n"/>
      <c r="P80" s="118" t="n"/>
    </row>
    <row r="81">
      <c r="B81" s="3" t="inlineStr">
        <is>
          <t>Administrative Costs</t>
        </is>
      </c>
      <c r="C81" t="inlineStr">
        <is>
          <t>Legal, compliance, insurance</t>
        </is>
      </c>
      <c r="E81" s="118" t="n"/>
      <c r="F81" s="118" t="n"/>
      <c r="G81" s="118" t="n"/>
      <c r="H81" s="118" t="n"/>
      <c r="I81" s="118" t="n"/>
      <c r="J81" s="118" t="n"/>
      <c r="K81" s="118" t="n"/>
      <c r="L81" s="118" t="n"/>
      <c r="M81" s="118" t="n"/>
      <c r="N81" s="118" t="n"/>
      <c r="O81" s="118" t="n"/>
      <c r="P81" s="118" t="n"/>
    </row>
    <row r="82">
      <c r="A82" s="10" t="n"/>
      <c r="B82" s="17" t="inlineStr">
        <is>
          <t>Legal, Regulatory, Insurance etc</t>
        </is>
      </c>
      <c r="C82" s="10" t="n"/>
      <c r="D82" s="10" t="n"/>
      <c r="E82" s="116" t="n"/>
      <c r="F82" s="116" t="n"/>
      <c r="G82" s="116" t="n"/>
      <c r="H82" s="116" t="n"/>
      <c r="I82" s="116" t="n">
        <v>1666667</v>
      </c>
      <c r="J82" s="116" t="n">
        <v>1666667</v>
      </c>
      <c r="K82" s="116" t="n">
        <v>1666667</v>
      </c>
      <c r="L82" s="116" t="n">
        <v>1666667</v>
      </c>
      <c r="M82" s="116" t="n">
        <v>1666667</v>
      </c>
      <c r="N82" s="116" t="n">
        <v>1666667</v>
      </c>
      <c r="O82" s="116" t="n">
        <v>1666667</v>
      </c>
      <c r="P82" s="116" t="n">
        <v>1666667</v>
      </c>
      <c r="Q82" s="24">
        <f>SUM(E82:P82)</f>
        <v/>
      </c>
    </row>
    <row r="83">
      <c r="A83" s="10" t="n"/>
      <c r="B83" s="17" t="inlineStr">
        <is>
          <t>Stationery &amp; Office Supplies</t>
        </is>
      </c>
      <c r="C83" s="10" t="n"/>
      <c r="D83" s="10" t="n"/>
      <c r="E83" s="116" t="n"/>
      <c r="F83" s="116" t="n"/>
      <c r="G83" s="116" t="n"/>
      <c r="H83" s="116" t="n"/>
      <c r="I83" s="116" t="n">
        <v>150000</v>
      </c>
      <c r="J83" s="116" t="n">
        <v>150000</v>
      </c>
      <c r="K83" s="116" t="n">
        <v>150000</v>
      </c>
      <c r="L83" s="116" t="n">
        <v>150000</v>
      </c>
      <c r="M83" s="116" t="n">
        <v>150000</v>
      </c>
      <c r="N83" s="116" t="n">
        <v>150000</v>
      </c>
      <c r="O83" s="116" t="n">
        <v>150000</v>
      </c>
      <c r="P83" s="116" t="n">
        <v>150000</v>
      </c>
      <c r="Q83" s="24">
        <f>SUM(E83:P83)</f>
        <v/>
      </c>
    </row>
    <row r="84">
      <c r="A84" s="10" t="n"/>
      <c r="B84" s="17" t="inlineStr">
        <is>
          <t xml:space="preserve">Association &amp; Society Memberships </t>
        </is>
      </c>
      <c r="C84" s="10" t="n"/>
      <c r="D84" s="10" t="n"/>
      <c r="E84" s="116" t="n"/>
      <c r="F84" s="116" t="n"/>
      <c r="G84" s="116" t="n"/>
      <c r="H84" s="116" t="n"/>
      <c r="I84" s="116" t="n">
        <v>2000000</v>
      </c>
      <c r="J84" s="116" t="n"/>
      <c r="K84" s="116" t="n"/>
      <c r="L84" s="116" t="n"/>
      <c r="M84" s="116" t="n"/>
      <c r="N84" s="116" t="n"/>
      <c r="O84" s="116" t="n"/>
      <c r="Q84" s="24">
        <f>SUM(E84:O84)</f>
        <v/>
      </c>
    </row>
    <row r="85">
      <c r="A85" s="10" t="n"/>
      <c r="B85" s="17" t="inlineStr">
        <is>
          <t>CofO &amp; Land Document Processing</t>
        </is>
      </c>
      <c r="C85" s="10" t="n"/>
      <c r="D85" s="10" t="n"/>
      <c r="E85" s="116" t="n"/>
      <c r="F85" s="116" t="n"/>
      <c r="G85" s="116" t="n">
        <v>7000000</v>
      </c>
      <c r="H85" s="116" t="n"/>
      <c r="I85" s="116" t="n"/>
      <c r="J85" s="116" t="n"/>
      <c r="K85" s="116" t="n"/>
      <c r="L85" s="116" t="n"/>
      <c r="M85" s="116" t="n"/>
      <c r="N85" s="116" t="n"/>
      <c r="O85" s="116" t="n"/>
      <c r="P85" s="116" t="n"/>
      <c r="Q85" s="24">
        <f>SUM(E85:O85)</f>
        <v/>
      </c>
    </row>
    <row r="86" customFormat="1" s="3">
      <c r="A86" s="13" t="n"/>
      <c r="B86" s="13" t="n"/>
      <c r="C86" s="13" t="n"/>
      <c r="D86" s="13" t="n"/>
      <c r="E86" s="14">
        <f>SUM(E82:E85)</f>
        <v/>
      </c>
      <c r="F86" s="14">
        <f>SUM(F82:F85)</f>
        <v/>
      </c>
      <c r="G86" s="14">
        <f>SUM(G82:G85)</f>
        <v/>
      </c>
      <c r="H86" s="14">
        <f>SUM(H82:H85)</f>
        <v/>
      </c>
      <c r="I86" s="14">
        <f>SUM(I82:I85)</f>
        <v/>
      </c>
      <c r="J86" s="14">
        <f>SUM(J82:J85)</f>
        <v/>
      </c>
      <c r="K86" s="14">
        <f>SUM(K82:K85)</f>
        <v/>
      </c>
      <c r="L86" s="14">
        <f>SUM(L82:L85)</f>
        <v/>
      </c>
      <c r="M86" s="14">
        <f>SUM(M82:M85)</f>
        <v/>
      </c>
      <c r="N86" s="14">
        <f>SUM(N82:N85)</f>
        <v/>
      </c>
      <c r="O86" s="14">
        <f>SUM(O82:O85)</f>
        <v/>
      </c>
      <c r="P86" s="14">
        <f>SUM(P82:P85)</f>
        <v/>
      </c>
      <c r="Q86" s="28">
        <f>SUM(Q82:Q85)</f>
        <v/>
      </c>
    </row>
    <row r="87">
      <c r="B87" s="81" t="n"/>
      <c r="E87" s="118" t="n"/>
      <c r="F87" s="118" t="n"/>
      <c r="G87" s="118" t="n"/>
      <c r="H87" s="118" t="n"/>
      <c r="I87" s="118" t="n"/>
      <c r="J87" s="118" t="n"/>
      <c r="K87" s="118" t="n"/>
      <c r="L87" s="118" t="n"/>
      <c r="M87" s="118" t="n"/>
      <c r="N87" s="118" t="n"/>
      <c r="O87" s="118" t="n"/>
      <c r="P87" s="118" t="n"/>
    </row>
    <row r="88">
      <c r="E88" s="118" t="n"/>
      <c r="F88" s="118" t="n"/>
      <c r="G88" s="118" t="n"/>
      <c r="H88" s="118" t="n"/>
      <c r="I88" s="118" t="n"/>
      <c r="J88" s="118" t="n"/>
      <c r="K88" s="118" t="n"/>
      <c r="L88" s="118" t="n"/>
      <c r="M88" s="118" t="n"/>
      <c r="N88" s="118" t="n"/>
      <c r="O88" s="118" t="n"/>
      <c r="P88" s="118" t="n"/>
    </row>
    <row r="89" customFormat="1" s="3">
      <c r="A89" s="13" t="n"/>
      <c r="B89" s="13" t="inlineStr">
        <is>
          <t>Total Operational Expenses</t>
        </is>
      </c>
      <c r="C89" s="13" t="n"/>
      <c r="D89" s="13" t="n"/>
      <c r="E89" s="14">
        <f>SUM(E86,E79,E69,E61,E50,E41,E19,E20)</f>
        <v/>
      </c>
      <c r="F89" s="14">
        <f>SUM(F86,F79,F69,F61,F50,F41,F19,F20)</f>
        <v/>
      </c>
      <c r="G89" s="14">
        <f>SUM(G86,G79,G69,G61,G50,G41,G19,G20)</f>
        <v/>
      </c>
      <c r="H89" s="14">
        <f>SUM(H86,H79,H69,H61,H50,H41,H19,H20)</f>
        <v/>
      </c>
      <c r="I89" s="14">
        <f>SUM(I86,I79,I69,I61,I50,I41,I19,I20)</f>
        <v/>
      </c>
      <c r="J89" s="14">
        <f>SUM(J86,J79,J69,J61,J50,J41,J19,J20)</f>
        <v/>
      </c>
      <c r="K89" s="14">
        <f>SUM(K86,K79,K69,K61,K50,K41,K19,K20)</f>
        <v/>
      </c>
      <c r="L89" s="14">
        <f>SUM(L86,L79,L69,L61,L50,L41,L19,L20)</f>
        <v/>
      </c>
      <c r="M89" s="14">
        <f>SUM(M86,M79,M69,M61,M50,M41,M19,M20)</f>
        <v/>
      </c>
      <c r="N89" s="14">
        <f>SUM(N86,N79,N69,N61,N50,N41,N19,N20)</f>
        <v/>
      </c>
      <c r="O89" s="14">
        <f>SUM(O86,O79,O69,O61,O50,O41,O19,O20)</f>
        <v/>
      </c>
      <c r="P89" s="14">
        <f>SUM(P86,P79,P69,P61,P50,P41,P19,P20)</f>
        <v/>
      </c>
      <c r="Q89" s="28">
        <f>SUM(E89:P89)</f>
        <v/>
      </c>
    </row>
    <row r="90">
      <c r="E90" s="118" t="n"/>
      <c r="F90" s="118" t="n"/>
      <c r="G90" s="118" t="n"/>
      <c r="H90" s="118" t="n"/>
      <c r="I90" s="118" t="n"/>
      <c r="J90" s="118" t="n"/>
      <c r="K90" s="118" t="n"/>
      <c r="L90" s="118" t="n"/>
      <c r="M90" s="118" t="n"/>
      <c r="N90" s="118" t="n"/>
      <c r="O90" s="118" t="n"/>
      <c r="P90" s="118" t="n"/>
    </row>
    <row r="91">
      <c r="E91" s="118" t="n"/>
      <c r="F91" s="118" t="n"/>
      <c r="G91" s="118" t="n"/>
      <c r="H91" s="118" t="n"/>
      <c r="I91" s="118" t="n"/>
      <c r="J91" s="118" t="n"/>
      <c r="K91" s="118" t="n"/>
      <c r="L91" s="118" t="n"/>
      <c r="M91" s="118" t="n"/>
      <c r="N91" s="118" t="n"/>
      <c r="O91" s="118" t="n"/>
      <c r="P91" s="118" t="n"/>
    </row>
    <row r="92">
      <c r="E92" s="118" t="n"/>
      <c r="F92" s="118" t="n"/>
      <c r="G92" s="118" t="n"/>
      <c r="H92" s="118" t="n"/>
      <c r="I92" s="118" t="n"/>
      <c r="J92" s="118" t="n"/>
      <c r="K92" s="118" t="n"/>
      <c r="L92" s="118" t="n"/>
      <c r="M92" s="118" t="n"/>
      <c r="N92" s="118" t="n"/>
      <c r="O92" s="118" t="n"/>
      <c r="P92" s="118" t="n"/>
    </row>
    <row r="93">
      <c r="A93" s="7" t="inlineStr">
        <is>
          <t>Innovation &amp; Program Support</t>
        </is>
      </c>
      <c r="B93" s="8" t="n"/>
      <c r="C93" s="8" t="n"/>
      <c r="D93" s="8" t="n"/>
      <c r="E93" s="9" t="n"/>
      <c r="F93" s="9" t="n"/>
      <c r="G93" s="9" t="n"/>
      <c r="H93" s="9" t="n"/>
      <c r="I93" s="9" t="n"/>
      <c r="J93" s="9" t="n"/>
      <c r="K93" s="9" t="n"/>
      <c r="L93" s="9" t="n"/>
      <c r="M93" s="9" t="n"/>
      <c r="N93" s="9" t="n"/>
      <c r="O93" s="9" t="n"/>
      <c r="P93" s="9" t="n"/>
      <c r="Q93" s="9">
        <f>SUM(E93:P93)</f>
        <v/>
      </c>
    </row>
    <row r="94">
      <c r="A94" s="10" t="n"/>
      <c r="B94" s="15" t="inlineStr">
        <is>
          <t>Staff Professional Development</t>
        </is>
      </c>
      <c r="C94" s="10" t="n"/>
      <c r="D94" s="10" t="n"/>
      <c r="E94" s="116">
        <f>Others!C11</f>
        <v/>
      </c>
      <c r="F94" s="116">
        <f>Others!D11</f>
        <v/>
      </c>
      <c r="G94" s="116" t="n"/>
      <c r="H94" s="116" t="n"/>
      <c r="I94" s="116" t="n">
        <v>333333.3333333333</v>
      </c>
      <c r="J94" s="116" t="n">
        <v>333333.3333333333</v>
      </c>
      <c r="K94" s="116" t="n">
        <v>333333.3333333333</v>
      </c>
      <c r="L94" s="116" t="n">
        <v>333333.3333333333</v>
      </c>
      <c r="M94" s="116" t="n">
        <v>333333.3333333333</v>
      </c>
      <c r="N94" s="116" t="n">
        <v>333333.3333333333</v>
      </c>
      <c r="O94" s="116" t="n">
        <v>333333.3333333333</v>
      </c>
      <c r="P94" s="116" t="n">
        <v>1333333</v>
      </c>
      <c r="Q94" s="24">
        <f>SUM(E94:P94)</f>
        <v/>
      </c>
    </row>
    <row r="95" ht="16" customHeight="1">
      <c r="A95" s="10" t="n"/>
      <c r="B95" s="15" t="inlineStr">
        <is>
          <t>Monthly Meetups</t>
        </is>
      </c>
      <c r="C95" s="200" t="inlineStr">
        <is>
          <t>Special event needs to compliment programs</t>
        </is>
      </c>
      <c r="D95" s="10" t="n"/>
      <c r="E95" s="116">
        <f>Others!C12</f>
        <v/>
      </c>
      <c r="F95" s="116" t="n">
        <v>250000</v>
      </c>
      <c r="G95" s="116" t="n">
        <v>0</v>
      </c>
      <c r="H95" s="116" t="n">
        <v>250000</v>
      </c>
      <c r="I95" s="116">
        <f>Others!G12</f>
        <v/>
      </c>
      <c r="J95" s="116">
        <f>Others!H12</f>
        <v/>
      </c>
      <c r="K95" s="116">
        <f>Others!I12</f>
        <v/>
      </c>
      <c r="L95" s="116">
        <f>Others!J12</f>
        <v/>
      </c>
      <c r="M95" s="116">
        <f>Others!K12</f>
        <v/>
      </c>
      <c r="N95" s="116">
        <f>Others!L12</f>
        <v/>
      </c>
      <c r="O95" s="116">
        <f>Others!M12</f>
        <v/>
      </c>
      <c r="P95" s="116">
        <f>Others!N12</f>
        <v/>
      </c>
      <c r="Q95" s="24" t="n">
        <v>500000</v>
      </c>
    </row>
    <row r="96">
      <c r="A96" s="10" t="n"/>
      <c r="B96" s="15" t="inlineStr">
        <is>
          <t>Field Events</t>
        </is>
      </c>
      <c r="C96" s="10" t="n"/>
      <c r="D96" s="10" t="n">
        <v>0</v>
      </c>
      <c r="E96" s="116" t="n">
        <v>0</v>
      </c>
      <c r="F96" s="116" t="n">
        <v>0</v>
      </c>
      <c r="G96" s="116" t="n">
        <v>0</v>
      </c>
      <c r="H96" s="116" t="n">
        <v>0</v>
      </c>
      <c r="I96" s="116" t="n">
        <v>0</v>
      </c>
      <c r="J96" s="116" t="n">
        <v>0</v>
      </c>
      <c r="K96" s="116" t="n">
        <v>0</v>
      </c>
      <c r="L96" s="116" t="n">
        <v>0</v>
      </c>
      <c r="M96" s="116" t="n">
        <v>0</v>
      </c>
      <c r="N96" s="116" t="n">
        <v>0</v>
      </c>
      <c r="O96" s="116" t="n">
        <v>0</v>
      </c>
      <c r="P96" s="116" t="n">
        <v>0</v>
      </c>
      <c r="Q96" s="24" t="n">
        <v>0</v>
      </c>
    </row>
    <row r="97">
      <c r="A97" s="10" t="n"/>
      <c r="B97" s="15" t="inlineStr">
        <is>
          <t>Webinars</t>
        </is>
      </c>
      <c r="C97" s="10" t="n"/>
      <c r="D97" s="10" t="n">
        <v>0</v>
      </c>
      <c r="E97" s="116" t="n">
        <v>0</v>
      </c>
      <c r="F97" s="116" t="n">
        <v>0</v>
      </c>
      <c r="G97" s="116" t="n">
        <v>0</v>
      </c>
      <c r="H97" s="116" t="n">
        <v>0</v>
      </c>
      <c r="I97" s="116" t="n">
        <v>0</v>
      </c>
      <c r="J97" s="116" t="n">
        <v>0</v>
      </c>
      <c r="K97" s="116" t="n">
        <v>0</v>
      </c>
      <c r="L97" s="116" t="n">
        <v>0</v>
      </c>
      <c r="M97" s="116" t="n">
        <v>0</v>
      </c>
      <c r="N97" s="116" t="n">
        <v>0</v>
      </c>
      <c r="O97" s="116" t="n">
        <v>0</v>
      </c>
      <c r="P97" s="116" t="n">
        <v>0</v>
      </c>
      <c r="Q97" s="24" t="n">
        <v>0</v>
      </c>
    </row>
    <row r="98">
      <c r="A98" s="10" t="n"/>
      <c r="B98" s="15" t="inlineStr">
        <is>
          <t>Training &amp; Mentorship</t>
        </is>
      </c>
      <c r="C98" s="10" t="n"/>
      <c r="D98" s="10" t="n"/>
      <c r="E98" s="116" t="n"/>
      <c r="F98" s="116" t="n"/>
      <c r="G98" s="116" t="n"/>
      <c r="H98" s="116" t="n"/>
      <c r="I98" s="116" t="n"/>
      <c r="J98" s="116" t="n"/>
      <c r="K98" s="116" t="n"/>
      <c r="L98" s="116" t="n"/>
      <c r="M98" s="116" t="n"/>
      <c r="N98" s="116" t="n"/>
      <c r="O98" s="116" t="n"/>
      <c r="P98" s="116" t="n"/>
      <c r="Q98" s="24">
        <f>SUM(E98:P98)</f>
        <v/>
      </c>
    </row>
    <row r="99">
      <c r="A99" s="10" t="n"/>
      <c r="B99" s="15" t="inlineStr">
        <is>
          <t>Programs</t>
        </is>
      </c>
      <c r="C99" s="10" t="n"/>
      <c r="D99" s="10" t="n"/>
      <c r="E99" s="116" t="n"/>
      <c r="F99" s="116" t="n"/>
      <c r="G99" s="116" t="n">
        <v>151500000</v>
      </c>
      <c r="H99" s="116" t="n"/>
      <c r="I99" s="116" t="n"/>
      <c r="J99" s="116" t="n">
        <v>151500000</v>
      </c>
      <c r="K99" s="116" t="n"/>
      <c r="L99" s="116" t="n"/>
      <c r="M99" s="116" t="n">
        <v>151500000</v>
      </c>
      <c r="N99" s="116" t="n"/>
      <c r="O99" s="116" t="n"/>
      <c r="P99" s="116" t="n">
        <v>151500000</v>
      </c>
      <c r="Q99" s="24">
        <f>SUM(E99:P99)</f>
        <v/>
      </c>
    </row>
    <row r="100" customFormat="1" s="3">
      <c r="A100" s="13" t="n"/>
      <c r="B100" s="13" t="inlineStr">
        <is>
          <t>Total Program Support</t>
        </is>
      </c>
      <c r="C100" s="13" t="n"/>
      <c r="D100" s="13" t="n"/>
      <c r="E100" s="14">
        <f>SUM(E94:E99)</f>
        <v/>
      </c>
      <c r="F100" s="14">
        <f>SUM(F94:F99)</f>
        <v/>
      </c>
      <c r="G100" s="14">
        <f>SUM(G94:G99)</f>
        <v/>
      </c>
      <c r="H100" s="14">
        <f>SUM(H94:H99)</f>
        <v/>
      </c>
      <c r="I100" s="14">
        <f>SUM(I94:I99)</f>
        <v/>
      </c>
      <c r="J100" s="14">
        <f>SUM(J94:J99)</f>
        <v/>
      </c>
      <c r="K100" s="14">
        <f>SUM(K94:K99)</f>
        <v/>
      </c>
      <c r="L100" s="14">
        <f>SUM(L94:L99)</f>
        <v/>
      </c>
      <c r="M100" s="14">
        <f>SUM(M94:M99)</f>
        <v/>
      </c>
      <c r="N100" s="14">
        <f>SUM(N94:N99)</f>
        <v/>
      </c>
      <c r="O100" s="14">
        <f>SUM(O94:O99)</f>
        <v/>
      </c>
      <c r="P100" s="14">
        <f>SUM(P94:P99)</f>
        <v/>
      </c>
      <c r="Q100" s="28">
        <f>SUM(E100:P100)</f>
        <v/>
      </c>
    </row>
    <row r="101">
      <c r="E101" s="118" t="n"/>
      <c r="F101" s="118" t="n"/>
      <c r="G101" s="118" t="n"/>
      <c r="H101" s="118" t="n"/>
      <c r="I101" s="118" t="n"/>
      <c r="J101" s="118" t="n"/>
      <c r="K101" s="118" t="n"/>
      <c r="L101" s="118" t="n"/>
      <c r="M101" s="118" t="n"/>
      <c r="N101" s="118" t="n"/>
      <c r="O101" s="118" t="n"/>
      <c r="P101" s="118" t="n"/>
    </row>
    <row r="102"/>
    <row r="103"/>
    <row r="104"/>
    <row r="105"/>
    <row r="106">
      <c r="A106" s="7" t="n"/>
      <c r="B106" s="7" t="inlineStr">
        <is>
          <t>Contingency &amp; Sustainability</t>
        </is>
      </c>
      <c r="C106" s="8" t="n"/>
      <c r="D106" s="8" t="n"/>
      <c r="E106" s="9" t="n"/>
      <c r="F106" s="9" t="n"/>
      <c r="G106" s="9" t="n"/>
      <c r="H106" s="9" t="n"/>
      <c r="I106" s="9" t="n"/>
      <c r="J106" s="9" t="n"/>
      <c r="K106" s="9" t="n"/>
      <c r="L106" s="9" t="n"/>
      <c r="M106" s="9" t="n"/>
      <c r="N106" s="9" t="n"/>
      <c r="O106" s="9" t="n"/>
      <c r="P106" s="9" t="n"/>
      <c r="Q106" s="9">
        <f>SUM(E106:P106)</f>
        <v/>
      </c>
    </row>
    <row r="107">
      <c r="A107" s="10" t="n"/>
      <c r="B107" s="15" t="inlineStr">
        <is>
          <t>Reserve Fund - % of Inflows</t>
        </is>
      </c>
      <c r="C107" s="10" t="inlineStr">
        <is>
          <t>Emergency fund for sustainability</t>
        </is>
      </c>
      <c r="D107" s="57" t="n">
        <v>0</v>
      </c>
      <c r="E107" s="116" t="n">
        <v>0</v>
      </c>
      <c r="F107" s="116" t="n">
        <v>0</v>
      </c>
      <c r="G107" s="116" t="n">
        <v>0</v>
      </c>
      <c r="H107" s="116" t="n">
        <v>0</v>
      </c>
      <c r="I107" s="116" t="n">
        <v>0</v>
      </c>
      <c r="J107" s="116" t="n">
        <v>0</v>
      </c>
      <c r="K107" s="116" t="n">
        <v>0</v>
      </c>
      <c r="L107" s="116" t="n">
        <v>0</v>
      </c>
      <c r="M107" s="116" t="n">
        <v>0</v>
      </c>
      <c r="N107" s="116" t="n">
        <v>0</v>
      </c>
      <c r="O107" s="116" t="n">
        <v>0</v>
      </c>
      <c r="P107" s="116" t="n">
        <v>0</v>
      </c>
      <c r="Q107" s="24" t="n">
        <v>0</v>
      </c>
    </row>
    <row r="108">
      <c r="A108" s="10" t="n"/>
      <c r="B108" s="15" t="inlineStr">
        <is>
          <t>Miscellaneous Expenses - % of Operating Exp.</t>
        </is>
      </c>
      <c r="C108" s="10" t="inlineStr">
        <is>
          <t>Unexpected costs</t>
        </is>
      </c>
      <c r="D108" s="57" t="n">
        <v>0.02</v>
      </c>
      <c r="E108" s="116">
        <f>E89*$D$108</f>
        <v/>
      </c>
      <c r="F108" s="116">
        <f>F89*$D$108</f>
        <v/>
      </c>
      <c r="G108" s="116">
        <f>G89*$D$108</f>
        <v/>
      </c>
      <c r="H108" s="116">
        <f>H89*$D$108</f>
        <v/>
      </c>
      <c r="I108" s="116">
        <f>I89*$D$108</f>
        <v/>
      </c>
      <c r="J108" s="116">
        <f>J89*$D$108</f>
        <v/>
      </c>
      <c r="K108" s="116">
        <f>K89*$D$108</f>
        <v/>
      </c>
      <c r="L108" s="116">
        <f>L89*$D$108</f>
        <v/>
      </c>
      <c r="M108" s="116">
        <f>M89*$D$108</f>
        <v/>
      </c>
      <c r="N108" s="116">
        <f>N89*$D$108</f>
        <v/>
      </c>
      <c r="O108" s="116">
        <f>O89*$D$108</f>
        <v/>
      </c>
      <c r="P108" s="116">
        <f>P89*$D$108</f>
        <v/>
      </c>
      <c r="Q108" s="24">
        <f>SUM(E108:P108)</f>
        <v/>
      </c>
    </row>
    <row r="109" customFormat="1" s="3">
      <c r="A109" s="13" t="n"/>
      <c r="B109" s="13" t="inlineStr">
        <is>
          <t>Total Contingency</t>
        </is>
      </c>
      <c r="C109" s="13" t="n"/>
      <c r="D109" s="13" t="n"/>
      <c r="E109" s="14">
        <f>SUM(E107:E108)</f>
        <v/>
      </c>
      <c r="F109" s="14">
        <f>SUM(F107:F108)</f>
        <v/>
      </c>
      <c r="G109" s="14">
        <f>SUM(G107:G108)</f>
        <v/>
      </c>
      <c r="H109" s="14">
        <f>SUM(H107:H108)</f>
        <v/>
      </c>
      <c r="I109" s="14">
        <f>SUM(I107:I108)</f>
        <v/>
      </c>
      <c r="J109" s="14">
        <f>SUM(J107:J108)</f>
        <v/>
      </c>
      <c r="K109" s="14">
        <f>SUM(K107:K108)</f>
        <v/>
      </c>
      <c r="L109" s="14">
        <f>SUM(L107:L108)</f>
        <v/>
      </c>
      <c r="M109" s="14">
        <f>SUM(M107:M108)</f>
        <v/>
      </c>
      <c r="N109" s="14">
        <f>SUM(N107:N108)</f>
        <v/>
      </c>
      <c r="O109" s="14">
        <f>SUM(O107:O108)</f>
        <v/>
      </c>
      <c r="P109" s="14">
        <f>SUM(P107:P108)</f>
        <v/>
      </c>
      <c r="Q109" s="28">
        <f>SUM(E109:P109)</f>
        <v/>
      </c>
    </row>
    <row r="110"/>
    <row r="111"/>
    <row r="112"/>
    <row r="113"/>
    <row r="114">
      <c r="A114" s="7" t="n"/>
      <c r="B114" s="7" t="inlineStr">
        <is>
          <t>Summary</t>
        </is>
      </c>
      <c r="C114" s="8" t="n"/>
      <c r="D114" s="8" t="n"/>
      <c r="E114" s="9" t="n"/>
      <c r="F114" s="9" t="n"/>
      <c r="G114" s="9" t="n"/>
      <c r="H114" s="9" t="n"/>
      <c r="I114" s="9" t="n"/>
      <c r="J114" s="9" t="n"/>
      <c r="K114" s="9" t="n"/>
      <c r="L114" s="9" t="n"/>
      <c r="M114" s="9" t="n"/>
      <c r="N114" s="9" t="n"/>
      <c r="O114" s="9" t="n"/>
      <c r="P114" s="9" t="n"/>
      <c r="Q114" s="9">
        <f>SUM(E114:P114)</f>
        <v/>
      </c>
    </row>
    <row r="115">
      <c r="B115" t="inlineStr">
        <is>
          <t>Total Revenue</t>
        </is>
      </c>
      <c r="E115" s="34">
        <f>SUM(E14)</f>
        <v/>
      </c>
      <c r="F115" s="34">
        <f>SUM(F14)</f>
        <v/>
      </c>
      <c r="G115" s="34">
        <f>SUM(G14)</f>
        <v/>
      </c>
      <c r="H115" s="34">
        <f>SUM(H14)</f>
        <v/>
      </c>
      <c r="I115" s="34">
        <f>SUM(I14)</f>
        <v/>
      </c>
      <c r="J115" s="34">
        <f>SUM(J14)</f>
        <v/>
      </c>
      <c r="K115" s="34">
        <f>SUM(K14)</f>
        <v/>
      </c>
      <c r="L115" s="34">
        <f>SUM(L14)</f>
        <v/>
      </c>
      <c r="M115" s="34">
        <f>SUM(M14)</f>
        <v/>
      </c>
      <c r="N115" s="34">
        <f>SUM(N14)</f>
        <v/>
      </c>
      <c r="O115" s="34">
        <f>SUM(O14)</f>
        <v/>
      </c>
      <c r="P115" s="34">
        <f>SUM(P14)</f>
        <v/>
      </c>
      <c r="Q115" s="34">
        <f>SUM(E115:P115)</f>
        <v/>
      </c>
    </row>
    <row r="116">
      <c r="B116" t="inlineStr">
        <is>
          <t>Total Expenses</t>
        </is>
      </c>
      <c r="E116" s="34">
        <f>-SUM(E109,E100,E89)</f>
        <v/>
      </c>
      <c r="F116" s="34">
        <f>-SUM(F109,F100,F89)</f>
        <v/>
      </c>
      <c r="G116" s="34">
        <f>-SUM(G109,G100,G89)</f>
        <v/>
      </c>
      <c r="H116" s="34">
        <f>-SUM(H109,H100,H89)</f>
        <v/>
      </c>
      <c r="I116" s="34">
        <f>-SUM(I109,I100,I89)</f>
        <v/>
      </c>
      <c r="J116" s="34">
        <f>-SUM(J109,J100,J89)</f>
        <v/>
      </c>
      <c r="K116" s="34">
        <f>-SUM(K109,K100,K89)</f>
        <v/>
      </c>
      <c r="L116" s="34">
        <f>-SUM(L109,L100,L89)</f>
        <v/>
      </c>
      <c r="M116" s="34">
        <f>-SUM(M109,M100,M89)</f>
        <v/>
      </c>
      <c r="N116" s="34">
        <f>-SUM(N109,N100,N89)</f>
        <v/>
      </c>
      <c r="O116" s="34">
        <f>-SUM(O109,O100,O89)</f>
        <v/>
      </c>
      <c r="P116" s="34">
        <f>-SUM(P109,P100,P89)</f>
        <v/>
      </c>
      <c r="Q116" s="34">
        <f>-SUM(Q109,Q100,Q89)</f>
        <v/>
      </c>
    </row>
    <row r="117" customFormat="1" s="3">
      <c r="A117" s="78" t="n"/>
      <c r="B117" s="78" t="inlineStr">
        <is>
          <t>Net Surplus / Deficit</t>
        </is>
      </c>
      <c r="C117" s="78" t="n"/>
      <c r="D117" s="78" t="n"/>
      <c r="E117" s="79">
        <f>E115+E116</f>
        <v/>
      </c>
      <c r="F117" s="79">
        <f>F115+F116-E117</f>
        <v/>
      </c>
      <c r="G117" s="79">
        <f>G115+G116-F117</f>
        <v/>
      </c>
      <c r="H117" s="79">
        <f>H115+H116-G117</f>
        <v/>
      </c>
      <c r="I117" s="79">
        <f>I115+I116-H117</f>
        <v/>
      </c>
      <c r="J117" s="79">
        <f>J115+J116-I117</f>
        <v/>
      </c>
      <c r="K117" s="79">
        <f>K115+K116-J117</f>
        <v/>
      </c>
      <c r="L117" s="79">
        <f>L115+L116-K117</f>
        <v/>
      </c>
      <c r="M117" s="79">
        <f>M115+M116-L117</f>
        <v/>
      </c>
      <c r="N117" s="79">
        <f>N115+N116-M117</f>
        <v/>
      </c>
      <c r="O117" s="79">
        <f>O115+O116-N117</f>
        <v/>
      </c>
      <c r="P117" s="79">
        <f>P115+P116-O117</f>
        <v/>
      </c>
      <c r="Q117" s="79">
        <f>Q115+Q116</f>
        <v/>
      </c>
    </row>
    <row r="118">
      <c r="P118" s="34" t="n"/>
    </row>
    <row r="119">
      <c r="Q119" s="109">
        <f>Q116/10</f>
        <v/>
      </c>
    </row>
    <row r="120">
      <c r="Q120" s="109">
        <f>Q119*3</f>
        <v/>
      </c>
    </row>
    <row r="121"/>
    <row r="122"/>
    <row r="123">
      <c r="D123" s="34" t="n"/>
      <c r="E123" s="34" t="n"/>
      <c r="F123" s="34" t="n"/>
      <c r="G123" s="34" t="n"/>
      <c r="H123" s="34" t="n"/>
    </row>
  </sheetData>
  <pageMargins left="0.7" right="0.7" top="0.75" bottom="0.75" header="0.3" footer="0.3"/>
  <pageSetup orientation="portrait" paperSize="9" scale="26" horizontalDpi="0" verticalDpi="0"/>
</worksheet>
</file>

<file path=xl/worksheets/sheet3.xml><?xml version="1.0" encoding="utf-8"?>
<worksheet xmlns="http://schemas.openxmlformats.org/spreadsheetml/2006/main">
  <sheetPr>
    <outlinePr summaryBelow="1" summaryRight="1"/>
    <pageSetUpPr fitToPage="1"/>
  </sheetPr>
  <dimension ref="A2:R110"/>
  <sheetViews>
    <sheetView topLeftCell="A43" zoomScale="90" zoomScaleNormal="90" workbookViewId="0">
      <selection activeCell="B54" sqref="B54"/>
    </sheetView>
  </sheetViews>
  <sheetFormatPr baseColWidth="10" defaultColWidth="8.83203125" defaultRowHeight="15"/>
  <cols>
    <col width="2.6640625" customWidth="1" min="1" max="1"/>
    <col width="55.83203125" customWidth="1" min="2" max="2"/>
    <col width="36.33203125" customWidth="1" min="3" max="3"/>
    <col width="12.83203125" customWidth="1" min="4" max="4"/>
    <col width="14.6640625" customWidth="1" min="5" max="5"/>
    <col width="14.83203125" customWidth="1" min="6" max="6"/>
    <col width="14.5" customWidth="1" min="7" max="14"/>
    <col width="23.6640625" customWidth="1" style="21" min="15" max="15"/>
    <col width="38.5" customWidth="1" style="112" min="16" max="16"/>
    <col width="10" bestFit="1" customWidth="1" min="17" max="17"/>
  </cols>
  <sheetData>
    <row r="2" ht="16" customHeight="1">
      <c r="A2" s="18" t="n"/>
      <c r="B2" s="18" t="inlineStr">
        <is>
          <t>Category</t>
        </is>
      </c>
      <c r="C2" s="18" t="inlineStr">
        <is>
          <t>Description</t>
        </is>
      </c>
      <c r="D2" s="56" t="n"/>
      <c r="E2" s="119" t="n">
        <v>45741</v>
      </c>
      <c r="F2" s="19" t="n">
        <v>45748</v>
      </c>
      <c r="G2" s="19" t="n">
        <v>45778</v>
      </c>
      <c r="H2" s="19" t="n">
        <v>45809</v>
      </c>
      <c r="I2" s="19" t="n">
        <v>45863</v>
      </c>
      <c r="J2" s="19" t="n">
        <v>45894</v>
      </c>
      <c r="K2" s="19" t="n">
        <v>45925</v>
      </c>
      <c r="L2" s="19" t="n">
        <v>45955</v>
      </c>
      <c r="M2" s="19" t="n">
        <v>45986</v>
      </c>
      <c r="N2" s="19" t="n">
        <v>46016</v>
      </c>
      <c r="O2" s="22" t="inlineStr">
        <is>
          <t>FY 2025</t>
        </is>
      </c>
      <c r="P2" s="111" t="inlineStr">
        <is>
          <t>Comment/Justification</t>
        </is>
      </c>
      <c r="Q2" s="22" t="inlineStr">
        <is>
          <t>One Time</t>
        </is>
      </c>
      <c r="R2" t="inlineStr">
        <is>
          <t>Code</t>
        </is>
      </c>
    </row>
    <row r="3">
      <c r="B3" s="4" t="n"/>
      <c r="C3" s="4" t="n"/>
      <c r="D3" s="4" t="n"/>
      <c r="E3" s="4" t="n"/>
    </row>
    <row r="4">
      <c r="B4" s="166" t="inlineStr">
        <is>
          <t>Items in green have been paid for the entire year as Q2 one-time costs</t>
        </is>
      </c>
      <c r="C4" s="4" t="n"/>
      <c r="D4" s="4" t="n"/>
      <c r="E4" s="4" t="n"/>
      <c r="F4" s="100">
        <f>#REF!/3</f>
        <v/>
      </c>
    </row>
    <row r="5">
      <c r="B5" s="4" t="n"/>
      <c r="C5" s="4" t="n"/>
      <c r="D5" s="4" t="n"/>
      <c r="E5" s="4" t="n"/>
      <c r="F5" s="102">
        <f>F4*3</f>
        <v/>
      </c>
      <c r="G5" s="118" t="n"/>
      <c r="H5" s="118" t="n"/>
      <c r="I5" s="118" t="n"/>
      <c r="J5" s="118" t="n"/>
      <c r="K5" s="118" t="n"/>
      <c r="L5" s="118" t="n"/>
      <c r="M5" s="118" t="n"/>
      <c r="N5" s="118" t="n"/>
    </row>
    <row r="6">
      <c r="A6" s="7" t="inlineStr">
        <is>
          <t>Inflows</t>
        </is>
      </c>
      <c r="B6" s="8" t="n"/>
      <c r="C6" s="8" t="n"/>
      <c r="D6" s="8" t="n"/>
      <c r="E6" s="8" t="n"/>
      <c r="F6" s="9" t="n"/>
      <c r="G6" s="9" t="n"/>
      <c r="H6" s="9" t="n"/>
      <c r="I6" s="9" t="n"/>
      <c r="J6" s="9" t="n"/>
      <c r="K6" s="9" t="n"/>
      <c r="L6" s="9" t="n"/>
      <c r="M6" s="9" t="n"/>
      <c r="N6" s="9" t="n"/>
      <c r="O6" s="9" t="n"/>
    </row>
    <row r="7">
      <c r="A7" s="10" t="n"/>
      <c r="B7" s="11" t="inlineStr">
        <is>
          <t>Kwara State Government Grants</t>
        </is>
      </c>
      <c r="C7" s="10" t="inlineStr">
        <is>
          <t>Public sector funding</t>
        </is>
      </c>
      <c r="D7" s="10" t="n"/>
      <c r="E7" s="10" t="n"/>
      <c r="F7" s="116" t="n"/>
      <c r="G7" s="116" t="n"/>
      <c r="H7" s="116" t="n"/>
      <c r="I7" s="163" t="n"/>
      <c r="J7" s="163" t="n"/>
      <c r="K7" s="163" t="n"/>
      <c r="L7" s="163" t="n"/>
      <c r="M7" s="163" t="n"/>
      <c r="N7" s="163" t="n"/>
      <c r="O7" s="25">
        <f>SUM(F7:H7)</f>
        <v/>
      </c>
    </row>
    <row r="8">
      <c r="A8" s="10" t="n"/>
      <c r="B8" s="11" t="inlineStr">
        <is>
          <t>IHS Operational Funds</t>
        </is>
      </c>
      <c r="C8" s="10" t="inlineStr">
        <is>
          <t>Corporate partnerships &amp; sponsorships</t>
        </is>
      </c>
      <c r="D8" s="10" t="n"/>
      <c r="E8" s="196" t="n">
        <v>6908850</v>
      </c>
      <c r="G8" s="183" t="n">
        <v>133916648</v>
      </c>
      <c r="H8" s="116" t="n"/>
      <c r="I8" s="116">
        <f>104296540-D16</f>
        <v/>
      </c>
      <c r="J8" s="163" t="n"/>
      <c r="L8" s="116">
        <f>100000000+D16</f>
        <v/>
      </c>
      <c r="M8" s="163" t="n"/>
      <c r="N8" s="163" t="n"/>
      <c r="O8" s="25">
        <f>SUM(E8:N8)</f>
        <v/>
      </c>
    </row>
    <row r="9">
      <c r="A9" s="10" t="n"/>
      <c r="B9" s="11" t="inlineStr">
        <is>
          <t>Membership Fees</t>
        </is>
      </c>
      <c r="C9" s="10" t="inlineStr">
        <is>
          <t>Fees from startups &amp; researchers</t>
        </is>
      </c>
      <c r="D9" s="10" t="n"/>
      <c r="E9" s="10" t="n"/>
      <c r="F9" s="116" t="n"/>
      <c r="G9" s="116" t="n"/>
      <c r="H9" s="116" t="n"/>
      <c r="I9" s="163" t="n"/>
      <c r="J9" s="163" t="n"/>
      <c r="K9" s="163" t="n"/>
      <c r="L9" s="163" t="n"/>
      <c r="M9" s="163" t="n"/>
      <c r="N9" s="163" t="n"/>
      <c r="O9" s="25">
        <f>SUM(F9:H9)</f>
        <v/>
      </c>
    </row>
    <row r="10">
      <c r="A10" s="10" t="n"/>
      <c r="B10" s="11" t="inlineStr">
        <is>
          <t>Consulting &amp; Advisory Services</t>
        </is>
      </c>
      <c r="C10" s="10" t="inlineStr">
        <is>
          <t>Consulting services revenue</t>
        </is>
      </c>
      <c r="D10" s="10" t="n"/>
      <c r="E10" s="10" t="n"/>
      <c r="F10" s="116" t="n"/>
      <c r="G10" s="116" t="n"/>
      <c r="H10" s="116" t="n"/>
      <c r="I10" s="163" t="n"/>
      <c r="J10" s="163" t="n"/>
      <c r="K10" s="163" t="n"/>
      <c r="L10" s="163" t="n"/>
      <c r="M10" s="163" t="n"/>
      <c r="N10" s="163" t="n"/>
      <c r="O10" s="25">
        <f>SUM(F10:H10)</f>
        <v/>
      </c>
    </row>
    <row r="11">
      <c r="A11" s="10" t="n"/>
      <c r="B11" s="11" t="inlineStr">
        <is>
          <t>Event Hosting &amp; Sponsorships</t>
        </is>
      </c>
      <c r="C11" s="10" t="inlineStr">
        <is>
          <t>Revenue from events &amp; hackathons</t>
        </is>
      </c>
      <c r="D11" s="10" t="n"/>
      <c r="E11" s="10" t="n"/>
      <c r="F11" s="116">
        <f>'Rental, Hosting &amp; Sponsorships'!F12</f>
        <v/>
      </c>
      <c r="G11" s="116">
        <f>'Rental, Hosting &amp; Sponsorships'!G12</f>
        <v/>
      </c>
      <c r="H11" s="116">
        <f>'Rental, Hosting &amp; Sponsorships'!H12</f>
        <v/>
      </c>
      <c r="I11" s="163" t="n"/>
      <c r="J11" s="163" t="n"/>
      <c r="K11" s="163" t="n"/>
      <c r="L11" s="163" t="n"/>
      <c r="M11" s="163" t="n"/>
      <c r="N11" s="163" t="n"/>
      <c r="O11" s="25">
        <f>SUM(F11:H11)</f>
        <v/>
      </c>
    </row>
    <row r="12">
      <c r="A12" s="10" t="n"/>
      <c r="B12" s="11" t="inlineStr">
        <is>
          <t>Facility Rentals</t>
        </is>
      </c>
      <c r="C12" s="10" t="n"/>
      <c r="D12" s="10" t="n"/>
      <c r="E12" s="10" t="n"/>
      <c r="F12" s="116">
        <f>'Rental, Hosting &amp; Sponsorships'!F6</f>
        <v/>
      </c>
      <c r="G12" s="116">
        <f>'Rental, Hosting &amp; Sponsorships'!G6</f>
        <v/>
      </c>
      <c r="H12" s="116">
        <f>'Rental, Hosting &amp; Sponsorships'!H6</f>
        <v/>
      </c>
      <c r="I12" s="163" t="n"/>
      <c r="J12" s="163" t="n"/>
      <c r="K12" s="163" t="n"/>
      <c r="L12" s="163" t="n"/>
      <c r="M12" s="163" t="n"/>
      <c r="N12" s="163" t="n"/>
      <c r="O12" s="25">
        <f>SUM(F12:H12)</f>
        <v/>
      </c>
    </row>
    <row r="13">
      <c r="A13" s="10" t="n"/>
      <c r="B13" s="11" t="inlineStr">
        <is>
          <t>Other Income</t>
        </is>
      </c>
      <c r="C13" s="10" t="inlineStr">
        <is>
          <t>Miscellaneous revenue</t>
        </is>
      </c>
      <c r="D13" s="10" t="n"/>
      <c r="E13" s="10" t="n"/>
      <c r="F13" s="116" t="n"/>
      <c r="G13" s="116" t="n"/>
      <c r="H13" s="116" t="n"/>
      <c r="I13" s="163" t="n"/>
      <c r="J13" s="163" t="n"/>
      <c r="K13" s="163" t="n"/>
      <c r="L13" s="163" t="n"/>
      <c r="M13" s="163" t="n"/>
      <c r="N13" s="163" t="n"/>
      <c r="O13" s="25">
        <f>SUM(F13:H13)</f>
        <v/>
      </c>
    </row>
    <row r="14" customFormat="1" s="3">
      <c r="A14" s="13" t="inlineStr">
        <is>
          <t>Total Revenue</t>
        </is>
      </c>
      <c r="B14" s="13" t="n"/>
      <c r="C14" s="13" t="n"/>
      <c r="D14" s="13" t="n"/>
      <c r="E14" s="14">
        <f>SUM(E6:E13)</f>
        <v/>
      </c>
      <c r="F14" s="14">
        <f>SUM(F6:F13)</f>
        <v/>
      </c>
      <c r="G14" s="14">
        <f>SUM(G6:G13)</f>
        <v/>
      </c>
      <c r="H14" s="14">
        <f>SUM(H6:H13)</f>
        <v/>
      </c>
      <c r="I14" s="14">
        <f>SUM(I6:I13)</f>
        <v/>
      </c>
      <c r="J14" s="14">
        <f>SUM(J6:J13)</f>
        <v/>
      </c>
      <c r="K14" s="14">
        <f>SUM(K6:K13)</f>
        <v/>
      </c>
      <c r="L14" s="14">
        <f>SUM(L6:L13)</f>
        <v/>
      </c>
      <c r="M14" s="14">
        <f>SUM(M6:M13)</f>
        <v/>
      </c>
      <c r="N14" s="14">
        <f>SUM(N6:N13)</f>
        <v/>
      </c>
      <c r="O14" s="28">
        <f>SUM(O6:O13)</f>
        <v/>
      </c>
      <c r="P14" s="113" t="n"/>
    </row>
    <row r="15">
      <c r="F15" s="118" t="n"/>
      <c r="G15" s="118" t="n"/>
      <c r="H15" s="118" t="n"/>
      <c r="I15" s="118" t="n"/>
      <c r="J15" s="118" t="n"/>
      <c r="K15" s="118" t="n"/>
      <c r="L15" s="118" t="n"/>
      <c r="M15" s="118" t="n"/>
      <c r="N15" s="118" t="n"/>
    </row>
    <row r="16">
      <c r="D16" s="197" t="n">
        <v>19136963.62</v>
      </c>
      <c r="F16" s="118" t="n"/>
      <c r="G16" s="118" t="n"/>
      <c r="H16" s="118" t="n"/>
      <c r="I16" s="118" t="n"/>
      <c r="J16" s="118" t="n"/>
      <c r="K16" s="118" t="n"/>
      <c r="L16" s="118" t="n"/>
      <c r="M16" s="118" t="n"/>
      <c r="N16" s="118" t="n"/>
    </row>
    <row r="17">
      <c r="F17" s="118" t="n"/>
      <c r="G17" s="118" t="n"/>
      <c r="H17" s="118" t="n"/>
      <c r="I17" s="118" t="n"/>
      <c r="J17" s="118" t="n"/>
      <c r="K17" s="118" t="n"/>
      <c r="L17" s="118" t="n"/>
      <c r="M17" s="118" t="n"/>
      <c r="N17" s="118" t="n"/>
    </row>
    <row r="18">
      <c r="A18" s="7" t="inlineStr">
        <is>
          <t>Operational Expenses</t>
        </is>
      </c>
      <c r="B18" s="8" t="n"/>
      <c r="C18" s="8" t="n"/>
      <c r="D18" s="8" t="n"/>
      <c r="E18" s="8" t="n"/>
      <c r="F18" s="9" t="n"/>
      <c r="G18" s="9" t="n"/>
      <c r="H18" s="9" t="n"/>
      <c r="I18" s="9" t="n"/>
      <c r="J18" s="9" t="n"/>
      <c r="K18" s="9" t="n"/>
      <c r="L18" s="9" t="n"/>
      <c r="M18" s="9" t="n"/>
      <c r="N18" s="9" t="n"/>
      <c r="O18" s="9" t="n"/>
    </row>
    <row r="19" customFormat="1" s="106">
      <c r="A19" s="103" t="n"/>
      <c r="B19" s="104" t="inlineStr">
        <is>
          <t>Salaries &amp; Wages</t>
        </is>
      </c>
      <c r="C19" s="103" t="inlineStr">
        <is>
          <t>Staff salaries, mentors</t>
        </is>
      </c>
      <c r="D19" s="103" t="n"/>
      <c r="E19" s="120">
        <f>Salaries1!F27</f>
        <v/>
      </c>
      <c r="F19" s="105">
        <f>Salaries1!G27</f>
        <v/>
      </c>
      <c r="G19" s="105">
        <f>Salaries1!H48</f>
        <v/>
      </c>
      <c r="H19" s="105">
        <f>Salaries1!I27</f>
        <v/>
      </c>
      <c r="I19" s="105">
        <f>Salaries1!J27</f>
        <v/>
      </c>
      <c r="J19" s="105">
        <f>Salaries1!K27</f>
        <v/>
      </c>
      <c r="K19" s="105">
        <f>Salaries1!L27</f>
        <v/>
      </c>
      <c r="L19" s="105">
        <f>Salaries1!M27</f>
        <v/>
      </c>
      <c r="M19" s="105">
        <f>Salaries1!N27</f>
        <v/>
      </c>
      <c r="N19" s="105">
        <f>Salaries1!O27+Salaries1!O27</f>
        <v/>
      </c>
      <c r="O19" s="105">
        <f>SUM(E19:N19)</f>
        <v/>
      </c>
      <c r="P19" s="114" t="n"/>
    </row>
    <row r="20">
      <c r="B20" s="5" t="n"/>
      <c r="F20" s="118" t="n"/>
      <c r="G20" s="118" t="n"/>
      <c r="H20" s="118" t="n"/>
      <c r="I20" s="118" t="n"/>
      <c r="J20" s="118" t="n"/>
      <c r="K20" s="118" t="n"/>
      <c r="L20" s="118" t="n"/>
      <c r="M20" s="118" t="n"/>
      <c r="N20" s="118" t="n"/>
    </row>
    <row r="21">
      <c r="B21" s="5" t="n"/>
      <c r="F21" s="118" t="n"/>
      <c r="G21" s="118" t="n"/>
      <c r="H21" s="118" t="n"/>
      <c r="I21" s="118" t="n"/>
      <c r="J21" s="118" t="n"/>
      <c r="K21" s="118" t="n"/>
      <c r="L21" s="118" t="n"/>
      <c r="M21" s="118" t="n"/>
      <c r="N21" s="118" t="n"/>
    </row>
    <row r="22">
      <c r="B22" s="2" t="inlineStr">
        <is>
          <t>Utilities &amp; Maintenance</t>
        </is>
      </c>
      <c r="C22" t="inlineStr">
        <is>
          <t>Rent, utilities, internet, security, cleaning</t>
        </is>
      </c>
      <c r="F22" s="118" t="n"/>
      <c r="G22" s="118" t="n"/>
      <c r="H22" s="118" t="n"/>
      <c r="I22" s="118" t="n"/>
      <c r="J22" s="118" t="n"/>
      <c r="K22" s="118" t="n"/>
      <c r="L22" s="118" t="n"/>
      <c r="M22" s="118" t="n"/>
      <c r="N22" s="118" t="n"/>
    </row>
    <row r="23" ht="16" customFormat="1" customHeight="1" s="129">
      <c r="A23" s="124" t="n"/>
      <c r="B23" s="125" t="inlineStr">
        <is>
          <t>Internet A Subscription (MTN) 45Mbps</t>
        </is>
      </c>
      <c r="C23" s="124" t="n"/>
      <c r="D23" s="124" t="n"/>
      <c r="E23" s="124" t="n"/>
      <c r="F23" s="126" t="n"/>
      <c r="G23" s="126">
        <f>1201234*8</f>
        <v/>
      </c>
      <c r="H23" s="126" t="n"/>
      <c r="I23" s="164" t="n"/>
      <c r="J23" s="164" t="n"/>
      <c r="K23" s="164" t="n"/>
      <c r="L23" s="164" t="n"/>
      <c r="M23" s="164" t="n"/>
      <c r="N23" s="164" t="n"/>
      <c r="O23" s="127">
        <f>SUM(E23:N23)</f>
        <v/>
      </c>
      <c r="P23" s="128" t="inlineStr">
        <is>
          <t>Till 2025 year end (8 months)</t>
        </is>
      </c>
    </row>
    <row r="24" ht="16" customFormat="1" customHeight="1" s="129">
      <c r="A24" s="124" t="n"/>
      <c r="B24" s="125" t="inlineStr">
        <is>
          <t>Internet A Setup Cost (MTN)</t>
        </is>
      </c>
      <c r="C24" s="124" t="n"/>
      <c r="D24" s="124" t="n"/>
      <c r="E24" s="124" t="n"/>
      <c r="F24" s="126" t="n"/>
      <c r="G24" s="133">
        <f>1982000</f>
        <v/>
      </c>
      <c r="H24" s="126" t="n"/>
      <c r="I24" s="164" t="n"/>
      <c r="J24" s="164" t="n"/>
      <c r="K24" s="164" t="n"/>
      <c r="L24" s="164" t="n"/>
      <c r="M24" s="164" t="n"/>
      <c r="N24" s="164" t="n"/>
      <c r="O24" s="127">
        <f>SUM(E24:N24)</f>
        <v/>
      </c>
      <c r="P24" s="128" t="inlineStr">
        <is>
          <t>Last mile fiber + installation</t>
        </is>
      </c>
    </row>
    <row r="25" ht="16" customFormat="1" customHeight="1" s="129">
      <c r="A25" s="124" t="n"/>
      <c r="B25" s="125" t="inlineStr">
        <is>
          <t>Internet B Subscription (Starlink)</t>
        </is>
      </c>
      <c r="C25" s="124" t="n"/>
      <c r="D25" s="124" t="n"/>
      <c r="E25" s="124" t="n"/>
      <c r="F25" s="126" t="n"/>
      <c r="G25" s="126">
        <f>38000*8</f>
        <v/>
      </c>
      <c r="H25" s="126" t="n"/>
      <c r="I25" s="164" t="n"/>
      <c r="J25" s="164" t="n"/>
      <c r="K25" s="164" t="n"/>
      <c r="L25" s="164" t="n"/>
      <c r="M25" s="164" t="n"/>
      <c r="N25" s="164" t="n"/>
      <c r="O25" s="127">
        <f>SUM(E25:N25)</f>
        <v/>
      </c>
      <c r="P25" s="128" t="inlineStr">
        <is>
          <t>Till 2025 year end (8 months)</t>
        </is>
      </c>
    </row>
    <row r="26" ht="16" customFormat="1" customHeight="1" s="129">
      <c r="A26" s="124" t="n"/>
      <c r="B26" s="125" t="inlineStr">
        <is>
          <t>Internet B Device (Starlink)</t>
        </is>
      </c>
      <c r="C26" s="124" t="n"/>
      <c r="D26" s="124" t="n"/>
      <c r="E26" s="124" t="n"/>
      <c r="F26" s="126" t="n"/>
      <c r="G26" s="126" t="n">
        <v>679000</v>
      </c>
      <c r="H26" s="126" t="n"/>
      <c r="I26" s="164" t="n"/>
      <c r="J26" s="164" t="n"/>
      <c r="K26" s="164" t="n"/>
      <c r="L26" s="164" t="n"/>
      <c r="M26" s="164" t="n"/>
      <c r="N26" s="164" t="n"/>
      <c r="O26" s="127">
        <f>SUM(E26:N26)</f>
        <v/>
      </c>
      <c r="P26" s="128" t="inlineStr">
        <is>
          <t>Device Cost (Femtech IT, Ilorin)</t>
        </is>
      </c>
    </row>
    <row r="27" ht="16" customFormat="1" customHeight="1" s="129">
      <c r="A27" s="124" t="n"/>
      <c r="B27" s="125" t="inlineStr">
        <is>
          <t>Internet B Installation (Starlink)</t>
        </is>
      </c>
      <c r="C27" s="124" t="n"/>
      <c r="D27" s="124" t="n"/>
      <c r="E27" s="124" t="n"/>
      <c r="F27" s="126" t="n"/>
      <c r="G27" s="126" t="n">
        <v>200000</v>
      </c>
      <c r="H27" s="126" t="n"/>
      <c r="I27" s="164" t="n"/>
      <c r="J27" s="164" t="n"/>
      <c r="K27" s="164" t="n"/>
      <c r="L27" s="164" t="n"/>
      <c r="M27" s="164" t="n"/>
      <c r="N27" s="164" t="n"/>
      <c r="O27" s="127">
        <f>SUM(E27:N27)</f>
        <v/>
      </c>
      <c r="P27" s="128" t="inlineStr">
        <is>
          <t>Installation + any required additional materials</t>
        </is>
      </c>
    </row>
    <row r="28" ht="16" customHeight="1">
      <c r="A28" s="10" t="n"/>
      <c r="B28" s="17" t="inlineStr">
        <is>
          <t xml:space="preserve">Cleaning </t>
        </is>
      </c>
      <c r="C28" s="10" t="n"/>
      <c r="D28" s="10" t="n"/>
      <c r="E28" s="16" t="n">
        <v>240000</v>
      </c>
      <c r="F28" s="16" t="n">
        <v>240000</v>
      </c>
      <c r="G28" s="16" t="n">
        <v>1328000</v>
      </c>
      <c r="H28" s="16" t="n">
        <v>1328000</v>
      </c>
      <c r="I28" s="16" t="n">
        <v>1328000</v>
      </c>
      <c r="J28" s="16" t="n">
        <v>1328000</v>
      </c>
      <c r="K28" s="16" t="n">
        <v>1328000</v>
      </c>
      <c r="L28" s="16" t="n">
        <v>1328000</v>
      </c>
      <c r="M28" s="16" t="n">
        <v>1328000</v>
      </c>
      <c r="N28" s="16" t="n">
        <v>1328000</v>
      </c>
      <c r="O28" s="127">
        <f>SUM(E28:N28)</f>
        <v/>
      </c>
      <c r="P28" s="112" t="inlineStr">
        <is>
          <t>11 man cleaning team &amp; consumables</t>
        </is>
      </c>
    </row>
    <row r="29">
      <c r="A29" s="10" t="n"/>
      <c r="B29" s="17" t="inlineStr">
        <is>
          <t>Landscaping</t>
        </is>
      </c>
      <c r="C29" s="10" t="n"/>
      <c r="D29" s="10" t="n"/>
      <c r="E29" s="10" t="n"/>
      <c r="F29" s="16" t="n"/>
      <c r="G29" s="16" t="n">
        <v>300000</v>
      </c>
      <c r="H29" s="16" t="n">
        <v>300000</v>
      </c>
      <c r="I29" s="16" t="n">
        <v>300000</v>
      </c>
      <c r="J29" s="16" t="n">
        <v>300000</v>
      </c>
      <c r="K29" s="16" t="n">
        <v>300000</v>
      </c>
      <c r="L29" s="16" t="n">
        <v>300000</v>
      </c>
      <c r="M29" s="16" t="n">
        <v>300000</v>
      </c>
      <c r="N29" s="16" t="n">
        <v>300000</v>
      </c>
      <c r="O29" s="127">
        <f>SUM(E29:N29)</f>
        <v/>
      </c>
    </row>
    <row r="30" ht="16" customHeight="1">
      <c r="A30" s="10" t="n"/>
      <c r="B30" s="17" t="inlineStr">
        <is>
          <t>Facility Maintenance &amp; Repairs</t>
        </is>
      </c>
      <c r="C30" s="10" t="n"/>
      <c r="D30" s="10" t="n"/>
      <c r="E30" s="10" t="n"/>
      <c r="F30" s="16">
        <f>172000+136000+300000+800000+4429000</f>
        <v/>
      </c>
      <c r="G30" s="16" t="n">
        <v>1500000</v>
      </c>
      <c r="H30" s="16" t="n">
        <v>1500000</v>
      </c>
      <c r="I30" s="16" t="n">
        <v>1500000</v>
      </c>
      <c r="J30" s="16" t="n">
        <v>1500000</v>
      </c>
      <c r="K30" s="16" t="n">
        <v>1500000</v>
      </c>
      <c r="L30" s="16" t="n">
        <v>1500000</v>
      </c>
      <c r="M30" s="16" t="n">
        <v>1500000</v>
      </c>
      <c r="N30" s="16" t="n">
        <v>1500000</v>
      </c>
      <c r="O30" s="127">
        <f>SUM(E30:N30)</f>
        <v/>
      </c>
      <c r="P30" s="112" t="inlineStr">
        <is>
          <t>Conservative estimate for repairs</t>
        </is>
      </c>
    </row>
    <row r="31" ht="32" customHeight="1">
      <c r="A31" s="10" t="n"/>
      <c r="B31" s="17" t="inlineStr">
        <is>
          <t>Security</t>
        </is>
      </c>
      <c r="C31" s="10" t="n"/>
      <c r="D31" s="10" t="n"/>
      <c r="E31" s="10" t="n"/>
      <c r="F31" s="16" t="n"/>
      <c r="G31" s="16" t="n">
        <v>1000000</v>
      </c>
      <c r="H31" s="16" t="n">
        <v>1000000</v>
      </c>
      <c r="I31" s="16" t="n">
        <v>920000</v>
      </c>
      <c r="J31" s="16" t="n">
        <v>920000</v>
      </c>
      <c r="K31" s="16" t="n">
        <v>920000</v>
      </c>
      <c r="L31" s="16" t="n">
        <v>920000</v>
      </c>
      <c r="M31" s="16" t="n">
        <v>920000</v>
      </c>
      <c r="N31" s="16" t="n">
        <v>920000</v>
      </c>
      <c r="O31" s="127">
        <f>SUM(E31:N31)</f>
        <v/>
      </c>
      <c r="P31" s="112" t="inlineStr">
        <is>
          <t>8 guards - 5 day, 3 night at N100,000/mo and 1 supervisor @N120,000/mo</t>
        </is>
      </c>
    </row>
    <row r="32" ht="15.5" customHeight="1">
      <c r="A32" s="10" t="n"/>
      <c r="B32" s="17" t="inlineStr">
        <is>
          <t>HVAC Maintenance (Quarterly)</t>
        </is>
      </c>
      <c r="C32" s="10" t="n"/>
      <c r="D32" s="10" t="n"/>
      <c r="E32" s="10" t="n"/>
      <c r="F32" s="16" t="n"/>
      <c r="G32" s="16" t="n"/>
      <c r="H32" s="16" t="n">
        <v>2000000</v>
      </c>
      <c r="I32" s="165" t="n"/>
      <c r="J32" s="165" t="n"/>
      <c r="K32" s="165" t="n">
        <v>2000000</v>
      </c>
      <c r="L32" s="165" t="n"/>
      <c r="M32" s="165" t="n"/>
      <c r="N32" s="165" t="n">
        <v>2000000</v>
      </c>
      <c r="O32" s="127">
        <f>SUM(E32:N32)</f>
        <v/>
      </c>
      <c r="P32" s="112" t="inlineStr">
        <is>
          <t>As quoted by Project Manager</t>
        </is>
      </c>
    </row>
    <row r="33" ht="15.5" customHeight="1">
      <c r="A33" s="10" t="n"/>
      <c r="B33" s="17" t="inlineStr">
        <is>
          <t>Solar Maintenance (Biannually)</t>
        </is>
      </c>
      <c r="C33" s="10" t="n"/>
      <c r="D33" s="10" t="n"/>
      <c r="E33" s="10" t="n"/>
      <c r="F33" s="16" t="n"/>
      <c r="G33" s="16" t="n"/>
      <c r="H33" s="16" t="n"/>
      <c r="I33" s="165" t="n"/>
      <c r="J33" s="165" t="n"/>
      <c r="K33" s="165" t="n"/>
      <c r="L33" s="165" t="n"/>
      <c r="M33" s="165" t="n"/>
      <c r="N33" s="165" t="n"/>
      <c r="O33" s="127">
        <f>SUM(E33:N33)</f>
        <v/>
      </c>
      <c r="P33" s="112" t="inlineStr">
        <is>
          <t>As quoted by Project Manager. Not due until Q3</t>
        </is>
      </c>
    </row>
    <row r="34" ht="15.5" customHeight="1">
      <c r="A34" s="10" t="n"/>
      <c r="B34" s="17" t="inlineStr">
        <is>
          <t>Electrical Maintenance (Monthly)</t>
        </is>
      </c>
      <c r="C34" s="10" t="n"/>
      <c r="D34" s="10" t="n"/>
      <c r="E34" s="10" t="n"/>
      <c r="F34" s="16" t="n"/>
      <c r="G34" s="16" t="n">
        <v>250000</v>
      </c>
      <c r="H34" s="16" t="n">
        <v>250000</v>
      </c>
      <c r="I34" s="16" t="n">
        <v>250000</v>
      </c>
      <c r="J34" s="16" t="n">
        <v>250000</v>
      </c>
      <c r="K34" s="16" t="n">
        <v>250000</v>
      </c>
      <c r="L34" s="16" t="n">
        <v>250000</v>
      </c>
      <c r="M34" s="16" t="n">
        <v>250000</v>
      </c>
      <c r="N34" s="16" t="n">
        <v>250000</v>
      </c>
      <c r="O34" s="127">
        <f>SUM(E34:N34)</f>
        <v/>
      </c>
      <c r="P34" s="112" t="inlineStr">
        <is>
          <t>As quoted by Project Manager</t>
        </is>
      </c>
    </row>
    <row r="35" ht="15.5" customHeight="1">
      <c r="A35" s="10" t="n"/>
      <c r="B35" s="17" t="inlineStr">
        <is>
          <t>Mechanical Maintenance (Monthly)</t>
        </is>
      </c>
      <c r="C35" s="10" t="n"/>
      <c r="D35" s="10" t="n"/>
      <c r="E35" s="10" t="n"/>
      <c r="F35" s="16" t="n"/>
      <c r="G35" s="16" t="n">
        <v>400000</v>
      </c>
      <c r="H35" s="16" t="n">
        <v>400000</v>
      </c>
      <c r="I35" s="16" t="n">
        <v>400000</v>
      </c>
      <c r="J35" s="16" t="n">
        <v>400000</v>
      </c>
      <c r="K35" s="16" t="n">
        <v>400000</v>
      </c>
      <c r="L35" s="16" t="n">
        <v>400000</v>
      </c>
      <c r="M35" s="16" t="n">
        <v>400000</v>
      </c>
      <c r="N35" s="16" t="n">
        <v>400000</v>
      </c>
      <c r="O35" s="127">
        <f>SUM(E35:N35)</f>
        <v/>
      </c>
      <c r="P35" s="112" t="inlineStr">
        <is>
          <t>As quoted by Project Manager</t>
        </is>
      </c>
    </row>
    <row r="36" ht="15.5" customFormat="1" customHeight="1" s="129">
      <c r="A36" s="124" t="n"/>
      <c r="B36" s="130" t="inlineStr">
        <is>
          <t>LED Screen Maintenance (Annually)</t>
        </is>
      </c>
      <c r="C36" s="124" t="n"/>
      <c r="D36" s="124" t="n"/>
      <c r="E36" s="124" t="n"/>
      <c r="F36" s="126" t="n"/>
      <c r="G36" s="126" t="n"/>
      <c r="H36" s="126" t="n"/>
      <c r="I36" s="164" t="n"/>
      <c r="J36" s="164" t="n"/>
      <c r="K36" s="164" t="n"/>
      <c r="L36" s="164" t="n"/>
      <c r="M36" s="164" t="n"/>
      <c r="N36" s="164" t="n"/>
      <c r="O36" s="127">
        <f>SUM(E36:N36)</f>
        <v/>
      </c>
      <c r="P36" s="128" t="inlineStr">
        <is>
          <t>Not due until next year</t>
        </is>
      </c>
    </row>
    <row r="37" ht="15.5" customFormat="1" customHeight="1" s="129">
      <c r="A37" s="124" t="n"/>
      <c r="B37" s="130" t="inlineStr">
        <is>
          <t>Access Control Maintenance (Annually)</t>
        </is>
      </c>
      <c r="C37" s="124" t="n"/>
      <c r="D37" s="124" t="n"/>
      <c r="E37" s="124" t="n"/>
      <c r="F37" s="126" t="n"/>
      <c r="G37" s="126" t="n"/>
      <c r="H37" s="126" t="n"/>
      <c r="I37" s="164" t="n"/>
      <c r="J37" s="164" t="n"/>
      <c r="K37" s="164" t="n"/>
      <c r="L37" s="164" t="n"/>
      <c r="M37" s="164" t="n"/>
      <c r="N37" s="164" t="n"/>
      <c r="O37" s="127">
        <f>SUM(E37:N37)</f>
        <v/>
      </c>
      <c r="P37" s="128" t="inlineStr">
        <is>
          <t>Not due until next year</t>
        </is>
      </c>
    </row>
    <row r="38" ht="15.5" customHeight="1">
      <c r="A38" s="10" t="n"/>
      <c r="B38" s="17" t="inlineStr">
        <is>
          <t>Project Manager Professional Fee ?</t>
        </is>
      </c>
      <c r="C38" s="10" t="n"/>
      <c r="D38" s="10" t="n"/>
      <c r="E38" s="10" t="n"/>
      <c r="F38" s="16" t="n">
        <v>3000000</v>
      </c>
      <c r="G38" s="16" t="n">
        <v>3000000</v>
      </c>
      <c r="H38" s="16" t="n">
        <v>3000000</v>
      </c>
      <c r="I38" s="16" t="n">
        <v>3000000</v>
      </c>
      <c r="J38" s="16" t="n">
        <v>3000000</v>
      </c>
      <c r="K38" s="16" t="n">
        <v>3000000</v>
      </c>
      <c r="L38" s="16" t="n">
        <v>3000000</v>
      </c>
      <c r="M38" s="16" t="n">
        <v>3000000</v>
      </c>
      <c r="N38" s="16" t="n">
        <v>3000000</v>
      </c>
      <c r="O38" s="127">
        <f>SUM(E38:N38)</f>
        <v/>
      </c>
      <c r="P38" s="112" t="inlineStr">
        <is>
          <t>Geniserve</t>
        </is>
      </c>
    </row>
    <row r="39" ht="58" customFormat="1" customHeight="1" s="129">
      <c r="A39" s="124" t="n"/>
      <c r="B39" s="130" t="inlineStr">
        <is>
          <t>Provision for Spare Parts for Solar, Electrical, Mechanical, LED Screens</t>
        </is>
      </c>
      <c r="C39" s="124" t="n"/>
      <c r="D39" s="124" t="n"/>
      <c r="E39" s="124" t="n"/>
      <c r="G39" s="126" t="n"/>
      <c r="H39" s="126" t="n">
        <v>10735000</v>
      </c>
      <c r="I39" s="164" t="n"/>
      <c r="J39" s="164" t="n"/>
      <c r="K39" s="164" t="n"/>
      <c r="L39" s="164" t="n"/>
      <c r="M39" s="164" t="n"/>
      <c r="N39" s="164" t="n"/>
      <c r="O39" s="127">
        <f>SUM(E39:N39)</f>
        <v/>
      </c>
      <c r="P39" s="128" t="inlineStr">
        <is>
          <t>Purchase of spare parts for hardware infrastructure. As quoted by Project Manager</t>
        </is>
      </c>
    </row>
    <row r="40" customFormat="1" s="3">
      <c r="A40" s="13" t="n"/>
      <c r="B40" s="13" t="n"/>
      <c r="C40" s="13" t="n"/>
      <c r="D40" s="13" t="n"/>
      <c r="E40" s="14">
        <f>SUM(E23:E39)</f>
        <v/>
      </c>
      <c r="F40" s="14">
        <f>SUM(F23:F39)</f>
        <v/>
      </c>
      <c r="G40" s="14">
        <f>SUM(G23:G39)</f>
        <v/>
      </c>
      <c r="H40" s="14">
        <f>SUM(H23:H39)</f>
        <v/>
      </c>
      <c r="I40" s="14">
        <f>SUM(I23:I39)</f>
        <v/>
      </c>
      <c r="J40" s="14">
        <f>SUM(J23:J39)</f>
        <v/>
      </c>
      <c r="K40" s="14">
        <f>SUM(K23:K39)</f>
        <v/>
      </c>
      <c r="L40" s="14">
        <f>SUM(L23:L39)</f>
        <v/>
      </c>
      <c r="M40" s="14">
        <f>SUM(M23:M39)</f>
        <v/>
      </c>
      <c r="N40" s="14">
        <f>SUM(N23:N39)</f>
        <v/>
      </c>
      <c r="O40" s="28">
        <f>SUM(O23:O39)</f>
        <v/>
      </c>
      <c r="P40" s="113" t="n"/>
    </row>
    <row r="41" customFormat="1" s="3">
      <c r="E41" s="138" t="n"/>
      <c r="F41" s="138" t="n"/>
      <c r="G41" s="138" t="n"/>
      <c r="H41" s="138" t="n"/>
      <c r="I41" s="138" t="n"/>
      <c r="J41" s="138" t="n"/>
      <c r="K41" s="138" t="n"/>
      <c r="L41" s="138" t="n"/>
      <c r="M41" s="138" t="n"/>
      <c r="N41" s="138" t="n"/>
      <c r="O41" s="139" t="n"/>
      <c r="P41" s="113" t="n"/>
    </row>
    <row r="42" ht="16" customHeight="1">
      <c r="B42" s="2" t="inlineStr">
        <is>
          <t>Travel &amp; Conferences</t>
        </is>
      </c>
      <c r="C42" t="n">
        <v>1.1</v>
      </c>
      <c r="F42" s="118" t="n"/>
      <c r="G42" s="118" t="n"/>
      <c r="H42" s="118" t="n"/>
      <c r="I42" s="118" t="n"/>
      <c r="J42" s="118" t="n"/>
      <c r="K42" s="118" t="n"/>
      <c r="L42" s="118" t="n"/>
      <c r="M42" s="118" t="n"/>
      <c r="N42" s="118" t="n"/>
      <c r="P42" s="113" t="inlineStr">
        <is>
          <t>Considering 2 people</t>
        </is>
      </c>
    </row>
    <row r="43" ht="32" customHeight="1">
      <c r="A43" s="10" t="n"/>
      <c r="B43" s="15" t="inlineStr">
        <is>
          <t>International Conference Registration</t>
        </is>
      </c>
      <c r="C43" s="10" t="n"/>
      <c r="D43" s="10" t="n"/>
      <c r="E43" s="10" t="n"/>
      <c r="F43" s="20" t="n"/>
      <c r="G43" s="20" t="n">
        <v>2251027</v>
      </c>
      <c r="H43" s="20" t="n"/>
      <c r="I43" s="20" t="n"/>
      <c r="J43" s="20" t="n"/>
      <c r="K43" s="20" t="n"/>
      <c r="L43" s="20">
        <f>G43*C42</f>
        <v/>
      </c>
      <c r="M43" s="20" t="n"/>
      <c r="N43" s="20" t="n"/>
      <c r="O43" s="23">
        <f>SUM(E43:N43)</f>
        <v/>
      </c>
      <c r="P43" s="112" t="inlineStr">
        <is>
          <t>Q4 Travel costs are considered at a 10% increase from Q2 costs</t>
        </is>
      </c>
    </row>
    <row r="44" ht="32" customHeight="1">
      <c r="A44" s="10" t="n"/>
      <c r="B44" s="15" t="inlineStr">
        <is>
          <t>International Travel Flights</t>
        </is>
      </c>
      <c r="C44" s="10" t="n"/>
      <c r="D44" s="10" t="n"/>
      <c r="E44" s="10" t="n"/>
      <c r="F44" s="20" t="n"/>
      <c r="G44" s="20" t="n">
        <v>5478430</v>
      </c>
      <c r="H44" s="20" t="n"/>
      <c r="I44" s="20" t="n"/>
      <c r="J44" s="20" t="n"/>
      <c r="K44" s="20" t="n"/>
      <c r="L44" s="20">
        <f>G44*C42</f>
        <v/>
      </c>
      <c r="M44" s="20" t="n"/>
      <c r="N44" s="20" t="n"/>
      <c r="O44" s="23">
        <f>SUM(E44:N44)</f>
        <v/>
      </c>
      <c r="P44" s="112" t="inlineStr">
        <is>
          <t>Q4 Travel costs are considered at a 10% increase from Q2 costs</t>
        </is>
      </c>
    </row>
    <row r="45" ht="32" customHeight="1">
      <c r="A45" s="10" t="n"/>
      <c r="B45" s="15" t="inlineStr">
        <is>
          <t>International Travel Accomodation</t>
        </is>
      </c>
      <c r="C45" s="10" t="n"/>
      <c r="D45" s="10" t="n"/>
      <c r="E45" s="10" t="n"/>
      <c r="F45" s="20" t="n"/>
      <c r="G45" s="20" t="n">
        <v>3214346</v>
      </c>
      <c r="H45" s="20" t="n"/>
      <c r="I45" s="20" t="n"/>
      <c r="J45" s="20" t="n"/>
      <c r="K45" s="20" t="n"/>
      <c r="L45" s="20">
        <f>G45*C42</f>
        <v/>
      </c>
      <c r="M45" s="20" t="n"/>
      <c r="N45" s="20" t="n"/>
      <c r="O45" s="23">
        <f>SUM(E45:N45)</f>
        <v/>
      </c>
      <c r="P45" s="112" t="inlineStr">
        <is>
          <t>Q4 Travel costs are considered at a 10% increase from Q2 costs</t>
        </is>
      </c>
    </row>
    <row r="46" ht="16" customHeight="1">
      <c r="A46" s="10" t="n"/>
      <c r="B46" s="15" t="inlineStr">
        <is>
          <t>International Travel Allowance</t>
        </is>
      </c>
      <c r="C46" s="10" t="n"/>
      <c r="D46" s="10" t="n"/>
      <c r="E46" s="10" t="n"/>
      <c r="F46" s="20" t="n"/>
      <c r="G46" s="20" t="n">
        <v>4017435</v>
      </c>
      <c r="H46" s="20" t="n"/>
      <c r="I46" s="20" t="n"/>
      <c r="J46" s="20" t="n"/>
      <c r="K46" s="20" t="n"/>
      <c r="L46" s="20">
        <f>G46</f>
        <v/>
      </c>
      <c r="M46" s="20" t="n"/>
      <c r="N46" s="20" t="n"/>
      <c r="O46" s="23">
        <f>SUM(E46:N46)</f>
        <v/>
      </c>
      <c r="P46" s="192" t="inlineStr">
        <is>
          <t>$200 per night for 5 nights</t>
        </is>
      </c>
    </row>
    <row r="47" ht="16" customHeight="1">
      <c r="A47" s="10" t="n"/>
      <c r="B47" s="15" t="inlineStr">
        <is>
          <t>International Visa Processing</t>
        </is>
      </c>
      <c r="C47" s="10" t="n"/>
      <c r="D47" s="10" t="n"/>
      <c r="E47" s="10" t="n"/>
      <c r="F47" s="20" t="n"/>
      <c r="G47" s="20" t="n">
        <v>548642</v>
      </c>
      <c r="H47" s="20" t="n"/>
      <c r="I47" s="20" t="n"/>
      <c r="J47" s="20" t="n"/>
      <c r="K47" s="20" t="n"/>
      <c r="L47" s="20">
        <f>G47</f>
        <v/>
      </c>
      <c r="M47" s="20" t="n"/>
      <c r="N47" s="20" t="n"/>
      <c r="O47" s="23">
        <f>SUM(E47:N47)</f>
        <v/>
      </c>
      <c r="P47" s="112" t="inlineStr">
        <is>
          <t>€300 @ €150 visa fee per person</t>
        </is>
      </c>
    </row>
    <row r="48" ht="16" customHeight="1">
      <c r="A48" s="10" t="n"/>
      <c r="B48" s="17" t="inlineStr">
        <is>
          <t>Local Conference Registration</t>
        </is>
      </c>
      <c r="C48" s="10" t="n"/>
      <c r="D48" s="10" t="n"/>
      <c r="E48" s="10" t="n"/>
      <c r="F48" s="20" t="n"/>
      <c r="G48" s="20" t="n"/>
      <c r="H48" s="20" t="n">
        <v>750000</v>
      </c>
      <c r="I48" s="20" t="n"/>
      <c r="J48" s="20" t="n"/>
      <c r="K48" s="20" t="n">
        <v>750000</v>
      </c>
      <c r="L48" s="20" t="n"/>
      <c r="M48" s="20" t="n"/>
      <c r="N48" s="20" t="n">
        <v>750000</v>
      </c>
      <c r="O48" s="23">
        <f>SUM(E48:N48)</f>
        <v/>
      </c>
      <c r="P48" s="112" t="inlineStr">
        <is>
          <t>Estimated to cover any local conference reg</t>
        </is>
      </c>
    </row>
    <row r="49" ht="32" customHeight="1">
      <c r="A49" s="10" t="n"/>
      <c r="B49" s="17" t="inlineStr">
        <is>
          <t>Local Conference Exhibition</t>
        </is>
      </c>
      <c r="C49" s="10" t="n"/>
      <c r="D49" s="10" t="n"/>
      <c r="E49" s="10" t="n"/>
      <c r="F49" s="20" t="n"/>
      <c r="G49" s="20" t="n"/>
      <c r="H49" s="20" t="n">
        <v>2000000</v>
      </c>
      <c r="I49" s="20" t="n"/>
      <c r="J49" s="20" t="n"/>
      <c r="K49" s="20" t="n">
        <v>2000000</v>
      </c>
      <c r="L49" s="20" t="n"/>
      <c r="M49" s="20" t="n"/>
      <c r="N49" s="20" t="n">
        <v>2000000</v>
      </c>
      <c r="O49" s="23">
        <f>SUM(E49:N49)</f>
        <v/>
      </c>
      <c r="P49" s="112" t="inlineStr">
        <is>
          <t>Opportunity to showcase our startups at conferences</t>
        </is>
      </c>
    </row>
    <row r="50" ht="16" customHeight="1">
      <c r="A50" s="10" t="n"/>
      <c r="B50" s="17" t="inlineStr">
        <is>
          <t>Local Travel</t>
        </is>
      </c>
      <c r="C50" s="10" t="n"/>
      <c r="D50" s="10" t="n"/>
      <c r="E50" s="10" t="n"/>
      <c r="G50" s="20" t="n">
        <v>300000</v>
      </c>
      <c r="H50" s="20" t="n">
        <v>300000</v>
      </c>
      <c r="I50" s="20" t="n">
        <v>300000</v>
      </c>
      <c r="J50" s="20" t="n">
        <v>300000</v>
      </c>
      <c r="K50" s="20" t="n">
        <v>300000</v>
      </c>
      <c r="L50" s="20" t="n">
        <v>300000</v>
      </c>
      <c r="M50" s="20" t="n">
        <v>300000</v>
      </c>
      <c r="N50" s="20" t="n">
        <v>300000</v>
      </c>
      <c r="O50" s="23">
        <f>SUM(E50:N50)</f>
        <v/>
      </c>
      <c r="P50" s="112" t="inlineStr">
        <is>
          <t>Assuming N150,000 per flight within Nigeria</t>
        </is>
      </c>
    </row>
    <row r="51" customFormat="1" s="3">
      <c r="A51" s="13" t="n"/>
      <c r="B51" s="13" t="n"/>
      <c r="C51" s="13" t="n"/>
      <c r="D51" s="13" t="n"/>
      <c r="E51" s="14">
        <f>SUM(E43:E50)</f>
        <v/>
      </c>
      <c r="F51" s="14">
        <f>SUM(F43:F50)</f>
        <v/>
      </c>
      <c r="G51" s="14">
        <f>SUM(G43:G50)</f>
        <v/>
      </c>
      <c r="H51" s="14">
        <f>SUM(H43:H50)</f>
        <v/>
      </c>
      <c r="I51" s="14">
        <f>SUM(I43:I50)</f>
        <v/>
      </c>
      <c r="J51" s="14">
        <f>SUM(J43:J50)</f>
        <v/>
      </c>
      <c r="K51" s="14">
        <f>SUM(K43:K50)</f>
        <v/>
      </c>
      <c r="L51" s="14">
        <f>SUM(L43:L50)</f>
        <v/>
      </c>
      <c r="M51" s="14">
        <f>SUM(M43:M50)</f>
        <v/>
      </c>
      <c r="N51" s="14">
        <f>SUM(N43:N50)</f>
        <v/>
      </c>
      <c r="O51" s="28">
        <f>SUM(O43:O50)</f>
        <v/>
      </c>
      <c r="P51" s="113" t="n"/>
    </row>
    <row r="52">
      <c r="F52" s="118" t="n"/>
      <c r="G52" s="118" t="n"/>
      <c r="H52" s="118" t="n"/>
      <c r="I52" s="118" t="n"/>
      <c r="J52" s="118" t="n"/>
      <c r="K52" s="118" t="n"/>
      <c r="L52" s="118" t="n"/>
      <c r="M52" s="118" t="n"/>
      <c r="N52" s="118" t="n"/>
    </row>
    <row r="53">
      <c r="B53" s="3" t="inlineStr">
        <is>
          <t>Equipment &amp; Software</t>
        </is>
      </c>
      <c r="C53" t="inlineStr">
        <is>
          <t>Laptops, software, lab tools</t>
        </is>
      </c>
      <c r="F53" s="118" t="n"/>
      <c r="G53" s="118" t="n"/>
      <c r="H53" s="118" t="n"/>
      <c r="I53" s="118" t="n"/>
      <c r="J53" s="118" t="n"/>
      <c r="K53" s="118" t="n"/>
      <c r="L53" s="118" t="n"/>
      <c r="M53" s="118" t="n"/>
      <c r="N53" s="118" t="n"/>
    </row>
    <row r="54" ht="32" customFormat="1" customHeight="1" s="129">
      <c r="A54" s="124" t="n"/>
      <c r="B54" s="130" t="inlineStr">
        <is>
          <t>Website Hosting, Cloud Servers &amp; Services</t>
        </is>
      </c>
      <c r="C54" s="124" t="n"/>
      <c r="D54" s="124" t="n"/>
      <c r="E54" s="124" t="n"/>
      <c r="F54" s="136" t="n"/>
      <c r="G54" s="136">
        <f>321528*8</f>
        <v/>
      </c>
      <c r="H54" s="136" t="n"/>
      <c r="I54" s="136" t="n"/>
      <c r="J54" s="136" t="n"/>
      <c r="K54" s="136" t="n"/>
      <c r="L54" s="136" t="n"/>
      <c r="M54" s="136" t="n"/>
      <c r="N54" s="136" t="n"/>
      <c r="O54" s="132">
        <f>SUM(E54:N54)</f>
        <v/>
      </c>
      <c r="P54" s="128" t="inlineStr">
        <is>
          <t>For IIH Website, Digital Ocean, Sendgrid &amp; AWS @ $200/mo. Till 2025 year end (8 months)</t>
        </is>
      </c>
    </row>
    <row r="55" ht="16" customFormat="1" customHeight="1" s="129">
      <c r="A55" s="124" t="n"/>
      <c r="B55" s="125" t="inlineStr">
        <is>
          <t>Staff Email + Collaboration Tools (Zoho One)</t>
        </is>
      </c>
      <c r="C55" s="124" t="n"/>
      <c r="D55" s="124" t="n"/>
      <c r="E55" s="124" t="n"/>
      <c r="F55" s="136" t="n"/>
      <c r="G55" s="136">
        <f>499200*1.075</f>
        <v/>
      </c>
      <c r="H55" s="136" t="n"/>
      <c r="I55" s="136" t="n"/>
      <c r="J55" s="136" t="n"/>
      <c r="K55" s="136" t="n"/>
      <c r="L55" s="136" t="n"/>
      <c r="M55" s="136" t="n"/>
      <c r="N55" s="136" t="n"/>
      <c r="O55" s="132">
        <f>SUM(E55:N55)</f>
        <v/>
      </c>
      <c r="P55" s="128" t="inlineStr">
        <is>
          <t>Till 2025 year end (8 months)</t>
        </is>
      </c>
    </row>
    <row r="56" ht="32" customHeight="1">
      <c r="A56" s="10" t="n"/>
      <c r="B56" s="125" t="inlineStr">
        <is>
          <t>Software Subscriptions &amp; Licenses</t>
        </is>
      </c>
      <c r="C56" s="10" t="n"/>
      <c r="D56" s="10" t="n"/>
      <c r="E56" s="10" t="n"/>
      <c r="F56" s="116" t="n"/>
      <c r="G56" s="136">
        <f>402202*8</f>
        <v/>
      </c>
      <c r="H56" s="116" t="n"/>
      <c r="I56" s="116" t="n"/>
      <c r="J56" s="116" t="n"/>
      <c r="K56" s="116" t="n"/>
      <c r="L56" s="116" t="n"/>
      <c r="M56" s="116" t="n"/>
      <c r="N56" s="116" t="n"/>
      <c r="O56" s="132">
        <f>SUM(E56:N56)</f>
        <v/>
      </c>
      <c r="P56" s="112" t="inlineStr">
        <is>
          <t>Open AI credits, Canva, Bolt AI software dev tool @ $200</t>
        </is>
      </c>
    </row>
    <row r="57" ht="16" customFormat="1" customHeight="1" s="129">
      <c r="A57" s="124" t="n"/>
      <c r="B57" s="125" t="inlineStr">
        <is>
          <t>Social Media Account Verification (Instagram, Facebook, Twitter)</t>
        </is>
      </c>
      <c r="C57" s="124" t="n"/>
      <c r="D57" s="124" t="n"/>
      <c r="E57" s="124" t="n"/>
      <c r="F57" s="136" t="n"/>
      <c r="G57" s="133" t="n">
        <v>526622</v>
      </c>
      <c r="H57" s="136" t="n"/>
      <c r="I57" s="136" t="n"/>
      <c r="J57" s="136" t="n"/>
      <c r="K57" s="136" t="n"/>
      <c r="L57" s="136" t="n"/>
      <c r="M57" s="136" t="n"/>
      <c r="N57" s="136" t="n"/>
      <c r="O57" s="132">
        <f>SUM(E57:N57)</f>
        <v/>
      </c>
      <c r="P57" s="128" t="inlineStr">
        <is>
          <t>Till 2025 year end (8 months)</t>
        </is>
      </c>
    </row>
    <row r="58" ht="16" customFormat="1" customHeight="1" s="129">
      <c r="A58" s="124" t="n"/>
      <c r="B58" s="125" t="inlineStr">
        <is>
          <t>Coworking Space Management &amp; Access Control Sofware</t>
        </is>
      </c>
      <c r="C58" s="124" t="n"/>
      <c r="D58" s="124" t="n"/>
      <c r="E58" s="10" t="n"/>
      <c r="F58" s="116" t="n"/>
      <c r="G58" s="133" t="n">
        <v>6491523</v>
      </c>
      <c r="H58" s="116" t="n"/>
      <c r="I58" s="136" t="n"/>
      <c r="J58" s="136" t="n"/>
      <c r="K58" s="136" t="n"/>
      <c r="L58" s="136" t="n"/>
      <c r="M58" s="136" t="n"/>
      <c r="N58" s="136" t="n"/>
      <c r="O58" s="132">
        <f>SUM(E58:N58)</f>
        <v/>
      </c>
      <c r="P58" s="128" t="inlineStr">
        <is>
          <t>Spacebring @ €3,553.20/yr for 12 months</t>
        </is>
      </c>
    </row>
    <row r="59" customFormat="1" s="129">
      <c r="A59" s="124" t="n"/>
      <c r="B59" s="125" t="inlineStr">
        <is>
          <t>Staff Mobile Devices</t>
        </is>
      </c>
      <c r="C59" s="124" t="n"/>
      <c r="D59" s="124" t="n"/>
      <c r="E59" s="10" t="n"/>
      <c r="F59" s="116" t="n"/>
      <c r="G59" s="133" t="n">
        <v>1825000</v>
      </c>
      <c r="H59" s="116" t="n"/>
      <c r="I59" s="136" t="n"/>
      <c r="J59" s="136" t="n"/>
      <c r="K59" s="136" t="n"/>
      <c r="L59" s="136" t="n"/>
      <c r="M59" s="136" t="n"/>
      <c r="N59" s="136" t="n"/>
      <c r="O59" s="132">
        <f>SUM(E59:N59)</f>
        <v/>
      </c>
      <c r="P59" s="128" t="n"/>
    </row>
    <row r="60" customFormat="1" s="3">
      <c r="A60" s="13" t="n"/>
      <c r="B60" s="13" t="n"/>
      <c r="C60" s="13" t="n"/>
      <c r="D60" s="13" t="n"/>
      <c r="E60" s="14">
        <f>SUM(E54:E57)</f>
        <v/>
      </c>
      <c r="F60" s="14">
        <f>SUM(F54:F57)</f>
        <v/>
      </c>
      <c r="G60" s="14">
        <f>SUM(G54:G59)</f>
        <v/>
      </c>
      <c r="H60" s="14">
        <f>SUM(H54:H58)</f>
        <v/>
      </c>
      <c r="I60" s="14">
        <f>SUM(I54:I58)</f>
        <v/>
      </c>
      <c r="J60" s="14">
        <f>SUM(J54:J58)</f>
        <v/>
      </c>
      <c r="K60" s="14">
        <f>SUM(K54:K58)</f>
        <v/>
      </c>
      <c r="L60" s="14">
        <f>SUM(L54:L58)</f>
        <v/>
      </c>
      <c r="M60" s="14">
        <f>SUM(M54:M58)</f>
        <v/>
      </c>
      <c r="N60" s="14">
        <f>SUM(N54:N58)</f>
        <v/>
      </c>
      <c r="O60" s="28">
        <f>SUM(O54:O59)</f>
        <v/>
      </c>
      <c r="P60" s="113" t="n"/>
    </row>
    <row r="61">
      <c r="B61" s="1" t="n"/>
      <c r="F61" s="118" t="n"/>
      <c r="G61" s="118" t="n"/>
      <c r="H61" s="118" t="n"/>
      <c r="I61" s="118" t="n"/>
      <c r="J61" s="118" t="n"/>
      <c r="K61" s="118" t="n"/>
      <c r="L61" s="118" t="n"/>
      <c r="M61" s="118" t="n"/>
      <c r="N61" s="118" t="n"/>
    </row>
    <row r="62">
      <c r="F62" s="118" t="n"/>
      <c r="G62" s="118" t="n"/>
      <c r="H62" s="118" t="n"/>
      <c r="I62" s="118" t="n"/>
      <c r="J62" s="118" t="n"/>
      <c r="K62" s="118" t="n"/>
      <c r="L62" s="118" t="n"/>
      <c r="M62" s="118" t="n"/>
      <c r="N62" s="118" t="n"/>
    </row>
    <row r="63">
      <c r="B63" s="2" t="inlineStr">
        <is>
          <t>Corporate Comms &amp; PR</t>
        </is>
      </c>
      <c r="C63" t="inlineStr">
        <is>
          <t>Branding, PR</t>
        </is>
      </c>
      <c r="F63" s="118" t="n"/>
      <c r="G63" s="118" t="n"/>
      <c r="H63" s="118" t="n"/>
      <c r="I63" s="118" t="n"/>
      <c r="J63" s="118" t="n"/>
      <c r="K63" s="118" t="n"/>
      <c r="L63" s="118" t="n"/>
      <c r="M63" s="118" t="n"/>
      <c r="N63" s="118" t="n"/>
    </row>
    <row r="64" ht="16" customFormat="1" customHeight="1" s="129">
      <c r="A64" s="124" t="n"/>
      <c r="B64" s="130" t="inlineStr">
        <is>
          <t>Souvenirs</t>
        </is>
      </c>
      <c r="C64" s="124" t="n"/>
      <c r="D64" s="124" t="n"/>
      <c r="E64" s="124" t="n"/>
      <c r="F64" s="136" t="n"/>
      <c r="G64" s="136" t="n">
        <v>2500000</v>
      </c>
      <c r="H64" s="136" t="n"/>
      <c r="I64" s="136" t="n"/>
      <c r="J64" s="136" t="n"/>
      <c r="K64" s="136" t="n"/>
      <c r="L64" s="136" t="n"/>
      <c r="M64" s="136" t="n"/>
      <c r="N64" s="136" t="n"/>
      <c r="O64" s="137">
        <f>SUM(E64:N64)</f>
        <v/>
      </c>
      <c r="P64" s="128" t="inlineStr">
        <is>
          <t>Staff welcome kits, guest souvenirs</t>
        </is>
      </c>
    </row>
    <row r="65" ht="16" customHeight="1">
      <c r="A65" s="10" t="n"/>
      <c r="B65" s="15" t="inlineStr">
        <is>
          <t>Guest Entertainment &amp; Refreshments</t>
        </is>
      </c>
      <c r="C65" s="10" t="n"/>
      <c r="D65" s="10" t="n"/>
      <c r="E65" s="10" t="n"/>
      <c r="F65" s="116" t="n"/>
      <c r="G65" s="116" t="n">
        <v>350000</v>
      </c>
      <c r="H65" s="116" t="n">
        <v>350000</v>
      </c>
      <c r="I65" s="116" t="n">
        <v>350000</v>
      </c>
      <c r="J65" s="116" t="n">
        <v>350000</v>
      </c>
      <c r="K65" s="116" t="n">
        <v>350000</v>
      </c>
      <c r="L65" s="116" t="n">
        <v>350000</v>
      </c>
      <c r="M65" s="116" t="n">
        <v>350000</v>
      </c>
      <c r="N65" s="116" t="n">
        <v>350000</v>
      </c>
      <c r="O65" s="137">
        <f>SUM(E65:N65)</f>
        <v/>
      </c>
      <c r="P65" s="112" t="inlineStr">
        <is>
          <t xml:space="preserve">For hosting guests </t>
        </is>
      </c>
    </row>
    <row r="66" ht="16" customFormat="1" customHeight="1" s="129">
      <c r="A66" s="124" t="n"/>
      <c r="B66" s="125" t="inlineStr">
        <is>
          <t>Banners</t>
        </is>
      </c>
      <c r="C66" s="124" t="n"/>
      <c r="D66" s="124" t="n"/>
      <c r="E66" s="124" t="n"/>
      <c r="F66" s="136" t="n"/>
      <c r="G66" s="136" t="n">
        <v>250000</v>
      </c>
      <c r="H66" s="136" t="n"/>
      <c r="I66" s="136" t="n"/>
      <c r="J66" s="136" t="n"/>
      <c r="K66" s="136" t="n"/>
      <c r="L66" s="136" t="n"/>
      <c r="M66" s="136" t="n"/>
      <c r="N66" s="136" t="n"/>
      <c r="O66" s="137">
        <f>SUM(E66:N66)</f>
        <v/>
      </c>
      <c r="P66" s="128" t="inlineStr">
        <is>
          <t>Roller banners for internal and mobile use</t>
        </is>
      </c>
    </row>
    <row r="67" customFormat="1" s="129">
      <c r="A67" s="124" t="n"/>
      <c r="B67" s="125" t="inlineStr">
        <is>
          <t>Merchandise &amp; Staff T-Shirts</t>
        </is>
      </c>
      <c r="C67" s="124" t="n"/>
      <c r="D67" s="124" t="n"/>
      <c r="E67" s="124" t="n"/>
      <c r="G67" s="136" t="n">
        <v>250000</v>
      </c>
      <c r="H67" s="136" t="n"/>
      <c r="I67" s="136" t="n"/>
      <c r="J67" s="136" t="n"/>
      <c r="K67" s="136" t="n"/>
      <c r="L67" s="136" t="n"/>
      <c r="M67" s="136" t="n"/>
      <c r="N67" s="136" t="n"/>
      <c r="O67" s="137">
        <f>SUM(E67:N67)</f>
        <v/>
      </c>
      <c r="P67" s="128" t="n"/>
    </row>
    <row r="68" ht="16" customHeight="1">
      <c r="A68" s="10" t="n"/>
      <c r="B68" s="15" t="inlineStr">
        <is>
          <t>Online &amp; Social Media Marketing</t>
        </is>
      </c>
      <c r="C68" s="10" t="n"/>
      <c r="D68" s="10" t="n"/>
      <c r="E68" s="10" t="n"/>
      <c r="F68" s="116" t="n"/>
      <c r="G68" s="116" t="n">
        <v>250000</v>
      </c>
      <c r="H68" s="116" t="n">
        <v>250000</v>
      </c>
      <c r="I68" s="116" t="n">
        <v>250000</v>
      </c>
      <c r="J68" s="116" t="n">
        <v>250000</v>
      </c>
      <c r="K68" s="116" t="n">
        <v>250000</v>
      </c>
      <c r="L68" s="116" t="n">
        <v>250000</v>
      </c>
      <c r="M68" s="116" t="n">
        <v>250000</v>
      </c>
      <c r="N68" s="116" t="n">
        <v>250000</v>
      </c>
      <c r="O68" s="137">
        <f>SUM(E68:N68)</f>
        <v/>
      </c>
      <c r="P68" s="112" t="inlineStr">
        <is>
          <t>Paid online ads</t>
        </is>
      </c>
    </row>
    <row r="69">
      <c r="A69" s="10" t="n"/>
      <c r="B69" s="15" t="inlineStr">
        <is>
          <t>Photography &amp; Videography</t>
        </is>
      </c>
      <c r="C69" s="10" t="n"/>
      <c r="D69" s="10" t="n"/>
      <c r="E69" s="10" t="n"/>
      <c r="F69" s="116" t="n"/>
      <c r="G69" s="116" t="n"/>
      <c r="H69" s="116" t="n"/>
      <c r="I69" s="116" t="n"/>
      <c r="J69" s="116" t="n"/>
      <c r="K69" s="116" t="n"/>
      <c r="L69" s="116" t="n"/>
      <c r="M69" s="116" t="n"/>
      <c r="N69" s="116" t="n"/>
      <c r="O69" s="137">
        <f>SUM(E69:N69)</f>
        <v/>
      </c>
    </row>
    <row r="70" customFormat="1" s="3">
      <c r="A70" s="121" t="n"/>
      <c r="B70" s="121" t="n"/>
      <c r="C70" s="121" t="n"/>
      <c r="D70" s="121" t="n"/>
      <c r="E70" s="122">
        <f>SUM(E64:E68)</f>
        <v/>
      </c>
      <c r="F70" s="122">
        <f>SUM(F64:F68)</f>
        <v/>
      </c>
      <c r="G70" s="122">
        <f>SUM(G64:G68)</f>
        <v/>
      </c>
      <c r="H70" s="122">
        <f>SUM(H64:H68)</f>
        <v/>
      </c>
      <c r="I70" s="122">
        <f>SUM(I64:I68)</f>
        <v/>
      </c>
      <c r="J70" s="122">
        <f>SUM(J64:J68)</f>
        <v/>
      </c>
      <c r="K70" s="122">
        <f>SUM(K64:K68)</f>
        <v/>
      </c>
      <c r="L70" s="122">
        <f>SUM(L64:L68)</f>
        <v/>
      </c>
      <c r="M70" s="122">
        <f>SUM(M64:M68)</f>
        <v/>
      </c>
      <c r="N70" s="122">
        <f>SUM(N64:N68)</f>
        <v/>
      </c>
      <c r="O70" s="123">
        <f>SUM(O64:O69)</f>
        <v/>
      </c>
      <c r="P70" s="113" t="n"/>
    </row>
    <row r="71">
      <c r="F71" s="118" t="n"/>
      <c r="G71" s="118" t="n"/>
      <c r="H71" s="118" t="n"/>
      <c r="I71" s="118" t="n"/>
      <c r="J71" s="118" t="n"/>
      <c r="K71" s="118" t="n"/>
      <c r="L71" s="118" t="n"/>
      <c r="M71" s="118" t="n"/>
      <c r="N71" s="118" t="n"/>
    </row>
    <row r="72">
      <c r="B72" s="3" t="inlineStr">
        <is>
          <t>Administrative Costs</t>
        </is>
      </c>
      <c r="C72" t="inlineStr">
        <is>
          <t>Office admin costs &amp; supplies</t>
        </is>
      </c>
      <c r="F72" s="118" t="n"/>
      <c r="G72" s="118" t="n"/>
      <c r="H72" s="118" t="n"/>
      <c r="I72" s="118" t="n"/>
      <c r="J72" s="118" t="n"/>
      <c r="K72" s="118" t="n"/>
      <c r="L72" s="118" t="n"/>
      <c r="M72" s="118" t="n"/>
      <c r="N72" s="118" t="n"/>
    </row>
    <row r="73" ht="16" customHeight="1">
      <c r="A73" s="10" t="n"/>
      <c r="B73" s="17" t="inlineStr">
        <is>
          <t>Stationery &amp; Office Supplies</t>
        </is>
      </c>
      <c r="C73" s="10" t="n"/>
      <c r="D73" s="10" t="n"/>
      <c r="E73" s="10" t="n"/>
      <c r="F73" s="116" t="n"/>
      <c r="G73" s="116" t="n">
        <v>150000</v>
      </c>
      <c r="H73" s="116" t="n">
        <v>150000</v>
      </c>
      <c r="I73" s="116" t="n">
        <v>150000</v>
      </c>
      <c r="J73" s="116" t="n">
        <v>150000</v>
      </c>
      <c r="K73" s="116" t="n">
        <v>150000</v>
      </c>
      <c r="L73" s="116" t="n">
        <v>150000</v>
      </c>
      <c r="M73" s="116" t="n">
        <v>150000</v>
      </c>
      <c r="N73" s="116" t="n">
        <v>150000</v>
      </c>
      <c r="O73" s="117">
        <f>SUM(E73:N73)</f>
        <v/>
      </c>
      <c r="P73" s="112" t="inlineStr">
        <is>
          <t>Printer toner, water, tea, coffee</t>
        </is>
      </c>
    </row>
    <row r="74" ht="16" customFormat="1" customHeight="1" s="129">
      <c r="A74" s="124" t="n"/>
      <c r="B74" s="130" t="inlineStr">
        <is>
          <t xml:space="preserve">Association &amp; Society Memberships </t>
        </is>
      </c>
      <c r="C74" s="124" t="n"/>
      <c r="D74" s="124" t="n"/>
      <c r="E74" s="124" t="n"/>
      <c r="F74" s="136" t="n"/>
      <c r="G74" s="136" t="n">
        <v>500000</v>
      </c>
      <c r="H74" s="136" t="n"/>
      <c r="I74" s="136" t="n"/>
      <c r="J74" s="136" t="n"/>
      <c r="K74" s="136" t="n"/>
      <c r="L74" s="136" t="n"/>
      <c r="M74" s="136" t="n"/>
      <c r="N74" s="136" t="n"/>
      <c r="O74" s="117">
        <f>SUM(E74:N74)</f>
        <v/>
      </c>
      <c r="P74" s="128" t="inlineStr">
        <is>
          <t>Afrilabs @ N180,000/yr, ISN etc</t>
        </is>
      </c>
    </row>
    <row r="75" customFormat="1" s="3">
      <c r="A75" s="13" t="n"/>
      <c r="B75" s="13" t="n"/>
      <c r="C75" s="13" t="n"/>
      <c r="D75" s="13" t="n"/>
      <c r="E75" s="14">
        <f>SUM(E73:E74)</f>
        <v/>
      </c>
      <c r="F75" s="14">
        <f>SUM(F73:F74)</f>
        <v/>
      </c>
      <c r="G75" s="14">
        <f>SUM(G73:G74)</f>
        <v/>
      </c>
      <c r="H75" s="14">
        <f>SUM(H73:H74)</f>
        <v/>
      </c>
      <c r="I75" s="14">
        <f>SUM(I73:I74)</f>
        <v/>
      </c>
      <c r="J75" s="14">
        <f>SUM(J73:J74)</f>
        <v/>
      </c>
      <c r="K75" s="14">
        <f>SUM(K73:K74)</f>
        <v/>
      </c>
      <c r="L75" s="14">
        <f>SUM(L73:L74)</f>
        <v/>
      </c>
      <c r="M75" s="14">
        <f>SUM(M73:M74)</f>
        <v/>
      </c>
      <c r="N75" s="14">
        <f>SUM(N73:N74)</f>
        <v/>
      </c>
      <c r="O75" s="28">
        <f>SUM(O73:O74)</f>
        <v/>
      </c>
      <c r="P75" s="113" t="n"/>
    </row>
    <row r="76">
      <c r="B76" s="81" t="n"/>
      <c r="F76" s="118" t="n"/>
      <c r="G76" s="118" t="n"/>
      <c r="H76" s="118" t="n"/>
      <c r="I76" s="118" t="n"/>
      <c r="J76" s="118" t="n"/>
      <c r="K76" s="118" t="n"/>
      <c r="L76" s="118" t="n"/>
      <c r="M76" s="118" t="n"/>
      <c r="N76" s="118" t="n"/>
    </row>
    <row r="77">
      <c r="F77" s="118" t="n"/>
      <c r="G77" s="118" t="n"/>
      <c r="H77" s="118" t="n"/>
      <c r="I77" s="118" t="n"/>
      <c r="J77" s="118" t="n"/>
      <c r="K77" s="118" t="n"/>
      <c r="L77" s="118" t="n"/>
      <c r="M77" s="118" t="n"/>
      <c r="N77" s="118" t="n"/>
    </row>
    <row r="78" customFormat="1" s="3">
      <c r="A78" s="13" t="n"/>
      <c r="B78" s="13" t="inlineStr">
        <is>
          <t>Total Operational Expenses</t>
        </is>
      </c>
      <c r="C78" s="13" t="n"/>
      <c r="D78" s="13" t="n"/>
      <c r="E78" s="14">
        <f>SUM(E75,E70,E60,E51,E40,E19)</f>
        <v/>
      </c>
      <c r="F78" s="14">
        <f>SUM(F75,F70,F60,F51,F40,F19)</f>
        <v/>
      </c>
      <c r="G78" s="14">
        <f>SUM(G75,G70,G60,G51,G40,G19)</f>
        <v/>
      </c>
      <c r="H78" s="14">
        <f>SUM(H75,H70,H60,H51,H40,H19)</f>
        <v/>
      </c>
      <c r="I78" s="14">
        <f>SUM(I75,I70,I60,I51,I40,I19)</f>
        <v/>
      </c>
      <c r="J78" s="14">
        <f>SUM(J75,J70,J60,J51,J40,J19)</f>
        <v/>
      </c>
      <c r="K78" s="14">
        <f>SUM(K75,K70,K60,K51,K40,K19)</f>
        <v/>
      </c>
      <c r="L78" s="14">
        <f>SUM(L75,L70,L60,L51,L40,L19)</f>
        <v/>
      </c>
      <c r="M78" s="14">
        <f>SUM(M75,M70,M60,M51,M40,M19)</f>
        <v/>
      </c>
      <c r="N78" s="14">
        <f>SUM(N75,N70,N60,N51,N40,N19)</f>
        <v/>
      </c>
      <c r="O78" s="28">
        <f>SUM(E78:N78)</f>
        <v/>
      </c>
      <c r="P78" s="113" t="n"/>
    </row>
    <row r="79">
      <c r="F79" s="118" t="n"/>
      <c r="G79" s="118" t="n"/>
      <c r="H79" s="118" t="n"/>
      <c r="I79" s="118" t="n"/>
      <c r="J79" s="118" t="n"/>
      <c r="K79" s="118" t="n"/>
      <c r="L79" s="118" t="n"/>
      <c r="M79" s="118" t="n"/>
      <c r="N79" s="118" t="n"/>
    </row>
    <row r="80">
      <c r="F80" s="118" t="n"/>
      <c r="G80" s="118" t="n"/>
      <c r="H80" s="118" t="n"/>
      <c r="I80" s="118" t="n"/>
      <c r="J80" s="118" t="n"/>
      <c r="K80" s="118" t="n"/>
      <c r="L80" s="118" t="n"/>
      <c r="M80" s="118" t="n"/>
      <c r="N80" s="118" t="n"/>
    </row>
    <row r="81">
      <c r="F81" s="118" t="n"/>
      <c r="G81" s="118" t="n"/>
      <c r="H81" s="118" t="n"/>
      <c r="I81" s="118" t="n"/>
      <c r="J81" s="118" t="n"/>
      <c r="K81" s="118" t="n"/>
      <c r="L81" s="118" t="n"/>
      <c r="M81" s="118" t="n"/>
      <c r="N81" s="118" t="n"/>
    </row>
    <row r="82">
      <c r="A82" s="7" t="inlineStr">
        <is>
          <t>Innovation &amp; Program Support</t>
        </is>
      </c>
      <c r="B82" s="8" t="n"/>
      <c r="C82" s="8" t="n"/>
      <c r="D82" s="8" t="n"/>
      <c r="E82" s="8" t="n"/>
      <c r="F82" s="9" t="n"/>
      <c r="G82" s="9" t="n"/>
      <c r="H82" s="9" t="n"/>
      <c r="I82" s="9" t="n"/>
      <c r="J82" s="9" t="n"/>
      <c r="K82" s="9" t="n"/>
      <c r="L82" s="9" t="n"/>
      <c r="M82" s="9" t="n"/>
      <c r="N82" s="9" t="n"/>
      <c r="O82" s="9">
        <f>SUM(F82:H82)</f>
        <v/>
      </c>
    </row>
    <row r="83" ht="32" customHeight="1">
      <c r="A83" s="10" t="n"/>
      <c r="B83" s="15" t="inlineStr">
        <is>
          <t>Staff Professional Development</t>
        </is>
      </c>
      <c r="C83" s="10" t="n"/>
      <c r="D83" s="10" t="n"/>
      <c r="E83" s="10" t="n"/>
      <c r="F83" s="116" t="n"/>
      <c r="O83" s="24">
        <f>SUM(E83:N83)</f>
        <v/>
      </c>
      <c r="P83" s="112" t="inlineStr">
        <is>
          <t>Sponsoring professional development training &amp; certifications for staff</t>
        </is>
      </c>
    </row>
    <row r="84" ht="32" customHeight="1">
      <c r="A84" s="10" t="n"/>
      <c r="B84" s="15" t="inlineStr">
        <is>
          <t>Monthly Meetups</t>
        </is>
      </c>
      <c r="C84" s="10" t="inlineStr">
        <is>
          <t>Startup acceleration &amp; support</t>
        </is>
      </c>
      <c r="D84" s="10" t="n"/>
      <c r="E84" s="116" t="n">
        <v>250000</v>
      </c>
      <c r="G84" s="116">
        <f>Others!G12</f>
        <v/>
      </c>
      <c r="H84" s="116">
        <f>Others!H12</f>
        <v/>
      </c>
      <c r="I84" s="116">
        <f>Others!I12</f>
        <v/>
      </c>
      <c r="J84" s="116">
        <f>Others!J12</f>
        <v/>
      </c>
      <c r="K84" s="116">
        <f>Others!K12</f>
        <v/>
      </c>
      <c r="L84" s="116">
        <f>Others!L12</f>
        <v/>
      </c>
      <c r="M84" s="116">
        <f>Others!M12</f>
        <v/>
      </c>
      <c r="N84" s="116">
        <f>Others!N12</f>
        <v/>
      </c>
      <c r="O84" s="24">
        <f>SUM(E84:N84)</f>
        <v/>
      </c>
      <c r="P84" s="112" t="inlineStr">
        <is>
          <t>Networking events like Founders Match or hosted event support - tags, refreshments etc</t>
        </is>
      </c>
    </row>
    <row r="85" ht="28" customHeight="1">
      <c r="A85" s="10" t="n"/>
      <c r="B85" s="15" t="inlineStr">
        <is>
          <t>Field Events</t>
        </is>
      </c>
      <c r="C85" s="10" t="n"/>
      <c r="D85" s="10" t="n"/>
      <c r="E85" s="10" t="n"/>
      <c r="F85" s="116" t="n"/>
      <c r="G85" s="116" t="n">
        <v>200000</v>
      </c>
      <c r="H85" s="116" t="n">
        <v>200000</v>
      </c>
      <c r="I85" s="116" t="n">
        <v>200000</v>
      </c>
      <c r="J85" s="116" t="n">
        <v>200000</v>
      </c>
      <c r="K85" s="116" t="n">
        <v>200000</v>
      </c>
      <c r="L85" s="116" t="n">
        <v>200000</v>
      </c>
      <c r="M85" s="116" t="n">
        <v>200000</v>
      </c>
      <c r="N85" s="116" t="n">
        <v>200000</v>
      </c>
      <c r="O85" s="24">
        <f>SUM(E85:N85)</f>
        <v/>
      </c>
      <c r="P85" s="112" t="inlineStr">
        <is>
          <t>Campus outreach events around Ilorin (UNILORIN, KWASU, Landmark, Al-Hikmah etc</t>
        </is>
      </c>
    </row>
    <row r="86" ht="16" customHeight="1">
      <c r="A86" s="10" t="n"/>
      <c r="B86" s="15" t="inlineStr">
        <is>
          <t>Webinars</t>
        </is>
      </c>
      <c r="C86" s="10" t="n"/>
      <c r="D86" s="10" t="n"/>
      <c r="E86" s="10" t="n"/>
      <c r="F86" s="116" t="n"/>
      <c r="G86" s="116" t="n">
        <v>136000</v>
      </c>
      <c r="H86" s="116" t="n">
        <v>136000</v>
      </c>
      <c r="I86" s="116" t="n">
        <v>136000</v>
      </c>
      <c r="J86" s="116" t="n">
        <v>136000</v>
      </c>
      <c r="K86" s="116" t="n">
        <v>136000</v>
      </c>
      <c r="L86" s="116" t="n">
        <v>136000</v>
      </c>
      <c r="M86" s="116" t="n">
        <v>136000</v>
      </c>
      <c r="N86" s="116" t="n">
        <v>136000</v>
      </c>
      <c r="O86" s="24">
        <f>SUM(E86:N86)</f>
        <v/>
      </c>
      <c r="P86" s="112" t="inlineStr">
        <is>
          <t>Zoom webinar subscription @ $79/mo</t>
        </is>
      </c>
    </row>
    <row r="87" ht="16" customHeight="1">
      <c r="A87" s="10" t="n"/>
      <c r="B87" s="15" t="inlineStr">
        <is>
          <t>Training &amp; Mentorship</t>
        </is>
      </c>
      <c r="C87" s="10" t="n"/>
      <c r="D87" s="10" t="n"/>
      <c r="E87" s="10" t="n"/>
      <c r="F87" s="116" t="n"/>
      <c r="G87" s="116" t="n">
        <v>333333.3333333333</v>
      </c>
      <c r="H87" s="116" t="n">
        <v>333333.3333333333</v>
      </c>
      <c r="I87" s="116" t="n">
        <v>333333.3333333333</v>
      </c>
      <c r="J87" s="116" t="n">
        <v>333333.3333333333</v>
      </c>
      <c r="K87" s="116" t="n">
        <v>333333.3333333333</v>
      </c>
      <c r="L87" s="116" t="n">
        <v>333333.3333333333</v>
      </c>
      <c r="M87" s="116" t="n">
        <v>333333.3333333333</v>
      </c>
      <c r="N87" s="116" t="n">
        <v>333333.3333333333</v>
      </c>
      <c r="O87" s="24">
        <f>SUM(E87:N87)</f>
        <v/>
      </c>
      <c r="P87" s="112" t="inlineStr">
        <is>
          <t>Special training programs for staff</t>
        </is>
      </c>
    </row>
    <row r="88" customFormat="1" s="3">
      <c r="A88" s="13" t="n"/>
      <c r="B88" s="13" t="inlineStr">
        <is>
          <t>Total Program Support</t>
        </is>
      </c>
      <c r="C88" s="13" t="n"/>
      <c r="D88" s="13" t="n"/>
      <c r="E88" s="14">
        <f>SUM(E84:E87)</f>
        <v/>
      </c>
      <c r="F88" s="14">
        <f>SUM(F84:F87)</f>
        <v/>
      </c>
      <c r="G88" s="14">
        <f>SUM(G84:G87)</f>
        <v/>
      </c>
      <c r="H88" s="14">
        <f>SUM(H84:H87)</f>
        <v/>
      </c>
      <c r="I88" s="14">
        <f>SUM(I84:I87)</f>
        <v/>
      </c>
      <c r="J88" s="14">
        <f>SUM(J84:J87)</f>
        <v/>
      </c>
      <c r="K88" s="14">
        <f>SUM(K84:K87)</f>
        <v/>
      </c>
      <c r="L88" s="14">
        <f>SUM(L84:L87)</f>
        <v/>
      </c>
      <c r="M88" s="14">
        <f>SUM(M84:M87)</f>
        <v/>
      </c>
      <c r="N88" s="14">
        <f>SUM(N84:N87)</f>
        <v/>
      </c>
      <c r="O88" s="28">
        <f>SUM(O83:O87)</f>
        <v/>
      </c>
      <c r="P88" s="113" t="n"/>
    </row>
    <row r="89">
      <c r="F89" s="118" t="n"/>
      <c r="G89" s="118" t="n"/>
      <c r="H89" s="118" t="n"/>
      <c r="I89" s="118" t="n"/>
      <c r="J89" s="118" t="n"/>
      <c r="K89" s="118" t="n"/>
      <c r="L89" s="118" t="n"/>
      <c r="M89" s="118" t="n"/>
      <c r="N89" s="118" t="n"/>
    </row>
    <row r="92">
      <c r="A92" s="7" t="n"/>
      <c r="B92" s="7" t="inlineStr">
        <is>
          <t>Contingency &amp; Sustainability</t>
        </is>
      </c>
      <c r="C92" s="8" t="n"/>
      <c r="D92" s="8" t="n"/>
      <c r="E92" s="8" t="n"/>
      <c r="F92" s="9" t="n"/>
      <c r="G92" s="9" t="n"/>
      <c r="H92" s="9" t="n"/>
      <c r="I92" s="9" t="n"/>
      <c r="J92" s="9" t="n"/>
      <c r="K92" s="9" t="n"/>
      <c r="L92" s="9" t="n"/>
      <c r="M92" s="9" t="n"/>
      <c r="N92" s="9" t="n"/>
      <c r="O92" s="9">
        <f>SUM(F92:H92)</f>
        <v/>
      </c>
    </row>
    <row r="93">
      <c r="A93" s="10" t="n"/>
      <c r="B93" s="15" t="inlineStr">
        <is>
          <t>Reserve Fund - % of Inflows</t>
        </is>
      </c>
      <c r="C93" s="10" t="inlineStr">
        <is>
          <t>Emergency fund for sustainability</t>
        </is>
      </c>
      <c r="D93" s="57" t="n">
        <v>0.02</v>
      </c>
      <c r="F93" s="116">
        <f>F14*$D$93</f>
        <v/>
      </c>
      <c r="G93" s="116">
        <f>G14*$D$93</f>
        <v/>
      </c>
      <c r="H93" s="116">
        <f>H14*$D$93</f>
        <v/>
      </c>
      <c r="I93" s="116">
        <f>I14*$D$93</f>
        <v/>
      </c>
      <c r="J93" s="116">
        <f>J14*$D$93</f>
        <v/>
      </c>
      <c r="K93" s="116">
        <f>K14*$D$93</f>
        <v/>
      </c>
      <c r="L93" s="116">
        <f>L14*$D$93</f>
        <v/>
      </c>
      <c r="M93" s="116">
        <f>M14*$D$93</f>
        <v/>
      </c>
      <c r="N93" s="116">
        <f>N14*$D$93</f>
        <v/>
      </c>
      <c r="O93" s="24">
        <f>SUM(E93:N93)</f>
        <v/>
      </c>
    </row>
    <row r="94">
      <c r="A94" s="10" t="n"/>
      <c r="B94" s="15" t="inlineStr">
        <is>
          <t>Miscellaneous Expenses - % of Operating Exp.</t>
        </is>
      </c>
      <c r="C94" s="10" t="inlineStr">
        <is>
          <t>Unexpected costs</t>
        </is>
      </c>
      <c r="D94" s="57" t="n">
        <v>0.02</v>
      </c>
      <c r="F94" s="116" t="n"/>
      <c r="G94" s="116">
        <f>G78*$D$94</f>
        <v/>
      </c>
      <c r="H94" s="116">
        <f>H78*$D$94</f>
        <v/>
      </c>
      <c r="I94" s="116">
        <f>I78*$D$94</f>
        <v/>
      </c>
      <c r="J94" s="116">
        <f>J78*$D$94</f>
        <v/>
      </c>
      <c r="K94" s="116">
        <f>K78*$D$94</f>
        <v/>
      </c>
      <c r="L94" s="116">
        <f>L78*$D$94</f>
        <v/>
      </c>
      <c r="M94" s="116">
        <f>M78*$D$94</f>
        <v/>
      </c>
      <c r="N94" s="116">
        <f>N78*$D$94</f>
        <v/>
      </c>
      <c r="O94" s="24">
        <f>SUM(E94:N94)</f>
        <v/>
      </c>
    </row>
    <row r="95" customFormat="1" s="3">
      <c r="A95" s="13" t="n"/>
      <c r="B95" s="13" t="inlineStr">
        <is>
          <t>Total Contingency</t>
        </is>
      </c>
      <c r="C95" s="13" t="n"/>
      <c r="D95" s="13" t="n"/>
      <c r="E95" s="14">
        <f>SUM(E93:E94)</f>
        <v/>
      </c>
      <c r="F95" s="14">
        <f>SUM(F93:F94)</f>
        <v/>
      </c>
      <c r="G95" s="14">
        <f>SUM(G93:G94)</f>
        <v/>
      </c>
      <c r="H95" s="14">
        <f>SUM(H93:H94)</f>
        <v/>
      </c>
      <c r="I95" s="14">
        <f>SUM(I93:I94)</f>
        <v/>
      </c>
      <c r="J95" s="14">
        <f>SUM(J93:J94)</f>
        <v/>
      </c>
      <c r="K95" s="14">
        <f>SUM(K93:K94)</f>
        <v/>
      </c>
      <c r="L95" s="14">
        <f>SUM(L93:L94)</f>
        <v/>
      </c>
      <c r="M95" s="14">
        <f>SUM(M93:M94)</f>
        <v/>
      </c>
      <c r="N95" s="14">
        <f>SUM(N93:N94)</f>
        <v/>
      </c>
      <c r="O95" s="28">
        <f>SUM(E95:N95)</f>
        <v/>
      </c>
      <c r="P95" s="113" t="n"/>
    </row>
    <row r="100">
      <c r="A100" s="7" t="n"/>
      <c r="B100" s="7" t="inlineStr">
        <is>
          <t>Summary</t>
        </is>
      </c>
      <c r="C100" s="8" t="n"/>
      <c r="D100" s="8" t="n"/>
      <c r="E100" s="8" t="n"/>
      <c r="F100" s="9" t="n"/>
      <c r="G100" s="9" t="n"/>
      <c r="H100" s="9" t="n"/>
      <c r="I100" s="9" t="n"/>
      <c r="J100" s="9" t="n"/>
      <c r="K100" s="9" t="n"/>
      <c r="L100" s="9" t="n"/>
      <c r="M100" s="9" t="n"/>
      <c r="N100" s="9" t="n"/>
      <c r="O100" s="9">
        <f>SUM(F100:H100)</f>
        <v/>
      </c>
    </row>
    <row r="101">
      <c r="B101" t="inlineStr">
        <is>
          <t>Total Revenue</t>
        </is>
      </c>
      <c r="E101" s="34">
        <f>SUM(E14)</f>
        <v/>
      </c>
      <c r="F101" s="34">
        <f>SUM(F14)</f>
        <v/>
      </c>
      <c r="G101" s="34">
        <f>SUM(G14)</f>
        <v/>
      </c>
      <c r="H101" s="34">
        <f>SUM(H14)</f>
        <v/>
      </c>
      <c r="I101" s="34">
        <f>SUM(I14)</f>
        <v/>
      </c>
      <c r="J101" s="34">
        <f>SUM(J14)</f>
        <v/>
      </c>
      <c r="K101" s="34">
        <f>SUM(K14)</f>
        <v/>
      </c>
      <c r="L101" s="34">
        <f>SUM(L14)</f>
        <v/>
      </c>
      <c r="M101" s="34">
        <f>SUM(M14)</f>
        <v/>
      </c>
      <c r="N101" s="34">
        <f>SUM(N14)</f>
        <v/>
      </c>
      <c r="O101" s="34">
        <f>SUM(E101:N101)</f>
        <v/>
      </c>
    </row>
    <row r="102">
      <c r="B102" t="inlineStr">
        <is>
          <t>Total Expenses</t>
        </is>
      </c>
      <c r="E102" s="34">
        <f>SUM(E95,E88,E78)</f>
        <v/>
      </c>
      <c r="F102" s="34">
        <f>SUM(F95,F88,F78)</f>
        <v/>
      </c>
      <c r="G102" s="34">
        <f>SUM(G95,G88,G78)</f>
        <v/>
      </c>
      <c r="H102" s="34">
        <f>SUM(H95,H88,H78)</f>
        <v/>
      </c>
      <c r="I102" s="34">
        <f>SUM(I95,I88,I78)</f>
        <v/>
      </c>
      <c r="J102" s="34">
        <f>SUM(J95,J88,J78)</f>
        <v/>
      </c>
      <c r="K102" s="34">
        <f>SUM(K95,K88,K78)</f>
        <v/>
      </c>
      <c r="L102" s="34">
        <f>SUM(L95,L88,L78)</f>
        <v/>
      </c>
      <c r="M102" s="34">
        <f>SUM(M95,M88,M78)</f>
        <v/>
      </c>
      <c r="N102" s="34">
        <f>SUM(N95,N88,N78)</f>
        <v/>
      </c>
      <c r="O102" s="34">
        <f>-SUM(O95,O88,O78)</f>
        <v/>
      </c>
    </row>
    <row r="103" customFormat="1" s="3">
      <c r="A103" s="78" t="n"/>
      <c r="B103" s="78" t="n"/>
      <c r="C103" s="78" t="n"/>
      <c r="D103" s="78" t="n"/>
      <c r="E103" s="79" t="n"/>
      <c r="F103" s="79" t="n"/>
      <c r="G103" s="79" t="n"/>
      <c r="H103" s="79" t="n"/>
      <c r="I103" s="79" t="n"/>
      <c r="J103" s="79" t="n"/>
      <c r="K103" s="79" t="n"/>
      <c r="L103" s="79" t="n"/>
      <c r="M103" s="79" t="n"/>
      <c r="N103" s="79" t="n"/>
      <c r="O103" s="79" t="n"/>
      <c r="P103" s="113" t="n"/>
    </row>
    <row r="104">
      <c r="O104" s="109">
        <f>O102/10</f>
        <v/>
      </c>
    </row>
    <row r="105">
      <c r="O105" s="109">
        <f>O104*3</f>
        <v/>
      </c>
    </row>
    <row r="106">
      <c r="F106" s="197" t="n"/>
      <c r="G106" s="100">
        <f>F102+G102+H102</f>
        <v/>
      </c>
      <c r="H106" s="197" t="n"/>
      <c r="I106" s="197" t="n"/>
      <c r="J106" s="100">
        <f>I102+J102+K102</f>
        <v/>
      </c>
      <c r="K106" s="197" t="n"/>
      <c r="L106" s="197" t="n"/>
      <c r="M106" s="100">
        <f>L102+M102+N102</f>
        <v/>
      </c>
    </row>
    <row r="107">
      <c r="F107" s="197" t="n"/>
      <c r="G107" s="197" t="n"/>
      <c r="H107" s="197" t="n"/>
      <c r="I107" s="197" t="n"/>
      <c r="J107" s="197" t="n"/>
      <c r="K107" s="197" t="n"/>
      <c r="L107" s="197" t="n"/>
      <c r="M107" s="197" t="n"/>
    </row>
    <row r="108">
      <c r="F108" s="197" t="n"/>
      <c r="G108" s="197" t="n"/>
      <c r="H108" s="197" t="n"/>
      <c r="I108" s="197" t="n"/>
      <c r="J108" s="197" t="n"/>
      <c r="K108" s="197" t="n"/>
      <c r="L108" s="197" t="n"/>
      <c r="M108" s="197" t="n"/>
    </row>
    <row r="109">
      <c r="F109" s="197" t="n"/>
      <c r="G109" s="197" t="n"/>
      <c r="H109" s="197" t="n"/>
      <c r="I109" s="197" t="n"/>
      <c r="J109" s="100">
        <f>I101-J106</f>
        <v/>
      </c>
      <c r="K109" s="197" t="n"/>
      <c r="L109" s="197" t="n"/>
      <c r="M109" s="197" t="n"/>
    </row>
    <row r="110">
      <c r="F110" s="197" t="n"/>
      <c r="G110" s="197" t="n"/>
      <c r="H110" s="197" t="n"/>
      <c r="I110" s="197" t="n"/>
      <c r="J110" s="197" t="n">
        <v>18754227.61749999</v>
      </c>
      <c r="K110" s="197" t="n"/>
      <c r="L110" s="197" t="n"/>
      <c r="M110" s="197" t="n"/>
    </row>
  </sheetData>
  <pageMargins left="0.25" right="0.25" top="0.75" bottom="0.75" header="0.3" footer="0.3"/>
  <pageSetup orientation="portrait" paperSize="9" scale="27" horizontalDpi="0" verticalDpi="0" copies="3"/>
</worksheet>
</file>

<file path=xl/worksheets/sheet4.xml><?xml version="1.0" encoding="utf-8"?>
<worksheet xmlns="http://schemas.openxmlformats.org/spreadsheetml/2006/main">
  <sheetPr>
    <outlinePr summaryBelow="1" summaryRight="1"/>
    <pageSetUpPr fitToPage="1"/>
  </sheetPr>
  <dimension ref="A2:J81"/>
  <sheetViews>
    <sheetView topLeftCell="A25" zoomScale="90" zoomScaleNormal="90" workbookViewId="0">
      <selection activeCell="C20" sqref="C20"/>
    </sheetView>
  </sheetViews>
  <sheetFormatPr baseColWidth="10" defaultColWidth="8.83203125" defaultRowHeight="15"/>
  <cols>
    <col width="2.6640625" customWidth="1" min="1" max="1"/>
    <col width="55.83203125" customWidth="1" min="2" max="2"/>
    <col width="36.33203125" customWidth="1" min="3" max="3"/>
    <col width="12.83203125" customWidth="1" min="4" max="4"/>
    <col width="14.5" customWidth="1" min="5" max="7"/>
    <col width="23.6640625" customWidth="1" style="21" min="8" max="8"/>
    <col width="38.5" customWidth="1" style="112" min="9" max="9"/>
    <col width="10" bestFit="1" customWidth="1" min="10" max="10"/>
  </cols>
  <sheetData>
    <row r="2" ht="16" customHeight="1">
      <c r="A2" s="18" t="n"/>
      <c r="B2" s="18" t="inlineStr">
        <is>
          <t>Category</t>
        </is>
      </c>
      <c r="C2" s="18" t="inlineStr">
        <is>
          <t>Description</t>
        </is>
      </c>
      <c r="D2" s="56" t="n"/>
      <c r="E2" s="19" t="n">
        <v>45863</v>
      </c>
      <c r="F2" s="19" t="n">
        <v>45894</v>
      </c>
      <c r="G2" s="19" t="n">
        <v>45925</v>
      </c>
      <c r="H2" s="22" t="inlineStr">
        <is>
          <t>FY 2025</t>
        </is>
      </c>
      <c r="I2" s="111" t="inlineStr">
        <is>
          <t>Comment/Justification</t>
        </is>
      </c>
      <c r="J2" s="22" t="inlineStr">
        <is>
          <t>One Time</t>
        </is>
      </c>
    </row>
    <row r="3">
      <c r="B3" s="4" t="n"/>
      <c r="C3" s="4" t="n"/>
      <c r="D3" s="4" t="n"/>
    </row>
    <row r="4">
      <c r="B4" s="4" t="n"/>
      <c r="C4" s="4" t="n"/>
      <c r="D4" s="4" t="n"/>
      <c r="E4" s="118" t="n"/>
      <c r="F4" s="118" t="n"/>
      <c r="G4" s="118" t="n"/>
    </row>
    <row r="5">
      <c r="A5" s="7" t="inlineStr">
        <is>
          <t>Inflows</t>
        </is>
      </c>
      <c r="B5" s="8" t="n"/>
      <c r="C5" s="8" t="n"/>
      <c r="D5" s="8" t="n"/>
      <c r="E5" s="9" t="n"/>
      <c r="F5" s="9" t="n"/>
      <c r="G5" s="9" t="n"/>
      <c r="H5" s="9" t="n"/>
    </row>
    <row r="6">
      <c r="A6" s="10" t="n"/>
      <c r="B6" s="11" t="inlineStr">
        <is>
          <t>Kwara State Government Grants</t>
        </is>
      </c>
      <c r="C6" s="10" t="inlineStr">
        <is>
          <t>Public sector funding</t>
        </is>
      </c>
      <c r="D6" s="10" t="n"/>
      <c r="E6" s="163" t="n"/>
      <c r="F6" s="163" t="n"/>
      <c r="G6" s="163" t="n"/>
      <c r="H6" s="25">
        <f>SUM(#REF!)</f>
        <v/>
      </c>
    </row>
    <row r="7">
      <c r="A7" s="10" t="n"/>
      <c r="B7" s="11" t="inlineStr">
        <is>
          <t>IHS Operational Funds</t>
        </is>
      </c>
      <c r="C7" s="10" t="inlineStr">
        <is>
          <t>Corporate partnerships &amp; sponsorships</t>
        </is>
      </c>
      <c r="D7" s="10" t="n"/>
      <c r="E7" s="198" t="n">
        <v>85159573</v>
      </c>
      <c r="F7" s="163" t="n"/>
      <c r="H7" s="25">
        <f>SUM(E7:G7)</f>
        <v/>
      </c>
    </row>
    <row r="8">
      <c r="A8" s="10" t="n"/>
      <c r="B8" s="11" t="inlineStr">
        <is>
          <t>Membership Fees</t>
        </is>
      </c>
      <c r="C8" s="10" t="inlineStr">
        <is>
          <t>Fees from startups &amp; researchers</t>
        </is>
      </c>
      <c r="D8" s="10" t="n"/>
      <c r="E8" s="163" t="n"/>
      <c r="F8" s="163" t="n"/>
      <c r="G8" s="163" t="n"/>
      <c r="H8" s="25">
        <f>SUM(#REF!)</f>
        <v/>
      </c>
    </row>
    <row r="9">
      <c r="A9" s="10" t="n"/>
      <c r="B9" s="11" t="inlineStr">
        <is>
          <t>Consulting &amp; Advisory Services</t>
        </is>
      </c>
      <c r="C9" s="10" t="inlineStr">
        <is>
          <t>Consulting services revenue</t>
        </is>
      </c>
      <c r="D9" s="10" t="n"/>
      <c r="E9" s="163" t="n"/>
      <c r="F9" s="163" t="n"/>
      <c r="G9" s="163" t="n"/>
      <c r="H9" s="25">
        <f>SUM(#REF!)</f>
        <v/>
      </c>
    </row>
    <row r="10">
      <c r="A10" s="10" t="n"/>
      <c r="B10" s="11" t="inlineStr">
        <is>
          <t>Event Hosting &amp; Sponsorships</t>
        </is>
      </c>
      <c r="C10" s="10" t="inlineStr">
        <is>
          <t>Revenue from events &amp; hackathons</t>
        </is>
      </c>
      <c r="D10" s="10" t="n"/>
      <c r="E10" s="163" t="n"/>
      <c r="F10" s="163" t="n"/>
      <c r="G10" s="163" t="n"/>
      <c r="H10" s="25">
        <f>SUM(#REF!)</f>
        <v/>
      </c>
    </row>
    <row r="11">
      <c r="A11" s="10" t="n"/>
      <c r="B11" s="11" t="inlineStr">
        <is>
          <t>Facility Rentals</t>
        </is>
      </c>
      <c r="C11" s="10" t="n"/>
      <c r="D11" s="10" t="n"/>
      <c r="E11" s="163" t="n"/>
      <c r="F11" s="163" t="n"/>
      <c r="G11" s="163" t="n"/>
      <c r="H11" s="25">
        <f>SUM(#REF!)</f>
        <v/>
      </c>
    </row>
    <row r="12">
      <c r="A12" s="10" t="n"/>
      <c r="B12" s="11" t="inlineStr">
        <is>
          <t>Other Income</t>
        </is>
      </c>
      <c r="C12" s="10" t="inlineStr">
        <is>
          <t>Miscellaneous revenue</t>
        </is>
      </c>
      <c r="D12" s="10" t="n"/>
      <c r="E12" s="163" t="n"/>
      <c r="F12" s="163" t="n"/>
      <c r="G12" s="163" t="n"/>
      <c r="H12" s="25">
        <f>SUM(#REF!)</f>
        <v/>
      </c>
    </row>
    <row r="13" customFormat="1" s="3">
      <c r="A13" s="13" t="inlineStr">
        <is>
          <t>Total Revenue</t>
        </is>
      </c>
      <c r="B13" s="13" t="n"/>
      <c r="C13" s="13" t="n"/>
      <c r="D13" s="13" t="n"/>
      <c r="E13" s="14">
        <f>SUM(E5:E12)</f>
        <v/>
      </c>
      <c r="F13" s="14">
        <f>SUM(F5:F12)</f>
        <v/>
      </c>
      <c r="G13" s="14">
        <f>SUM(G5:G12)</f>
        <v/>
      </c>
      <c r="H13" s="28">
        <f>SUM(H5:H12)</f>
        <v/>
      </c>
    </row>
    <row r="14">
      <c r="E14" s="118" t="n"/>
      <c r="F14" s="118" t="n"/>
      <c r="G14" s="118" t="n"/>
    </row>
    <row r="15">
      <c r="D15" s="197" t="n">
        <v>19136963.62</v>
      </c>
      <c r="E15" s="118" t="n"/>
      <c r="F15" s="118" t="n"/>
      <c r="G15" s="118" t="n"/>
    </row>
    <row r="16">
      <c r="E16" s="118" t="n"/>
      <c r="F16" s="118" t="n"/>
      <c r="G16" s="118" t="n"/>
    </row>
    <row r="17">
      <c r="A17" s="7" t="inlineStr">
        <is>
          <t>Operational Expenses</t>
        </is>
      </c>
      <c r="B17" s="8" t="n"/>
      <c r="C17" s="8" t="n"/>
      <c r="D17" s="8" t="n"/>
      <c r="E17" s="9" t="n"/>
      <c r="F17" s="9" t="n"/>
      <c r="G17" s="9" t="n"/>
      <c r="H17" s="9" t="n"/>
    </row>
    <row r="18" customFormat="1" s="106">
      <c r="A18" s="103" t="n"/>
      <c r="B18" s="104" t="inlineStr">
        <is>
          <t>Salaries &amp; Wages</t>
        </is>
      </c>
      <c r="C18" s="103" t="inlineStr">
        <is>
          <t>Staff salaries, mentors</t>
        </is>
      </c>
      <c r="D18" s="103" t="n"/>
      <c r="E18" s="105">
        <f>Salaries1!J27</f>
        <v/>
      </c>
      <c r="F18" s="105">
        <f>Salaries1!K27</f>
        <v/>
      </c>
      <c r="G18" s="105">
        <f>Salaries1!L27</f>
        <v/>
      </c>
      <c r="H18" s="105">
        <f>SUM(E18:G18)</f>
        <v/>
      </c>
      <c r="I18" s="114" t="n"/>
    </row>
    <row r="19">
      <c r="B19" s="5" t="n"/>
      <c r="E19" s="118" t="n"/>
      <c r="F19" s="118" t="n"/>
      <c r="G19" s="118" t="n"/>
    </row>
    <row r="20">
      <c r="B20" s="5" t="n"/>
      <c r="E20" s="118" t="n"/>
      <c r="F20" s="118" t="n"/>
      <c r="G20" s="118" t="n"/>
    </row>
    <row r="21">
      <c r="B21" s="2" t="inlineStr">
        <is>
          <t>Utilities &amp; Maintenance</t>
        </is>
      </c>
      <c r="C21" t="inlineStr">
        <is>
          <t>Rent, utilities, internet, security, cleaning</t>
        </is>
      </c>
      <c r="E21" s="118" t="n"/>
      <c r="F21" s="118" t="n"/>
      <c r="G21" s="118" t="n"/>
    </row>
    <row r="22" ht="16" customHeight="1">
      <c r="A22" s="10" t="n"/>
      <c r="B22" s="17" t="inlineStr">
        <is>
          <t xml:space="preserve">Cleaning </t>
        </is>
      </c>
      <c r="C22" s="10" t="n"/>
      <c r="D22" s="10" t="n"/>
      <c r="E22" s="16" t="n">
        <v>1328000</v>
      </c>
      <c r="F22" s="16" t="n">
        <v>1328000</v>
      </c>
      <c r="G22" s="16" t="n">
        <v>1328000</v>
      </c>
      <c r="H22" s="143">
        <f>SUM(E22:G22)</f>
        <v/>
      </c>
      <c r="I22" s="112" t="inlineStr">
        <is>
          <t>11 man cleaning team &amp; consumables</t>
        </is>
      </c>
    </row>
    <row r="23">
      <c r="A23" s="10" t="n"/>
      <c r="B23" s="17" t="inlineStr">
        <is>
          <t>Landscaping</t>
        </is>
      </c>
      <c r="C23" s="10" t="n"/>
      <c r="D23" s="10" t="n"/>
      <c r="E23" s="16" t="n">
        <v>300000</v>
      </c>
      <c r="F23" s="16" t="n">
        <v>300000</v>
      </c>
      <c r="G23" s="16" t="n">
        <v>300000</v>
      </c>
      <c r="H23" s="143">
        <f>SUM(E23:G23)</f>
        <v/>
      </c>
    </row>
    <row r="24" ht="16" customHeight="1">
      <c r="A24" s="10" t="n"/>
      <c r="B24" s="17" t="inlineStr">
        <is>
          <t>Facility Maintenance &amp; Repairs</t>
        </is>
      </c>
      <c r="C24" s="10" t="n"/>
      <c r="D24" s="10" t="n"/>
      <c r="E24" s="16" t="n">
        <v>1500000</v>
      </c>
      <c r="F24" s="16" t="n">
        <v>1500000</v>
      </c>
      <c r="G24" s="16" t="n">
        <v>1500000</v>
      </c>
      <c r="H24" s="143">
        <f>SUM(E24:G24)</f>
        <v/>
      </c>
      <c r="I24" s="112" t="inlineStr">
        <is>
          <t>Conservative estimate for repairs</t>
        </is>
      </c>
    </row>
    <row r="25" ht="32" customHeight="1">
      <c r="A25" s="10" t="n"/>
      <c r="B25" s="17" t="inlineStr">
        <is>
          <t>Security</t>
        </is>
      </c>
      <c r="C25" s="10" t="n"/>
      <c r="D25" s="10" t="n"/>
      <c r="E25" s="16" t="n">
        <v>920000</v>
      </c>
      <c r="F25" s="16" t="n">
        <v>920000</v>
      </c>
      <c r="G25" s="16" t="n">
        <v>920000</v>
      </c>
      <c r="H25" s="143">
        <f>SUM(E25:G25)</f>
        <v/>
      </c>
      <c r="I25" s="112" t="inlineStr">
        <is>
          <t>8 guards - 5 day, 3 night at N100,000/mo and 1 supervisor @N120,000/mo</t>
        </is>
      </c>
    </row>
    <row r="26" ht="15.5" customHeight="1">
      <c r="A26" s="10" t="n"/>
      <c r="B26" s="17" t="inlineStr">
        <is>
          <t>HVAC Maintenance (Quarterly)</t>
        </is>
      </c>
      <c r="C26" s="10" t="n"/>
      <c r="D26" s="10" t="n"/>
      <c r="E26" s="165" t="n"/>
      <c r="F26" s="165" t="n"/>
      <c r="G26" s="165" t="n">
        <v>2000000</v>
      </c>
      <c r="H26" s="143">
        <f>SUM(E26:G26)</f>
        <v/>
      </c>
      <c r="I26" s="112" t="inlineStr">
        <is>
          <t>As quoted by Project Manager</t>
        </is>
      </c>
    </row>
    <row r="27" ht="15.5" customHeight="1">
      <c r="A27" s="10" t="n"/>
      <c r="B27" s="17" t="inlineStr">
        <is>
          <t>Electrical Maintenance (Monthly)</t>
        </is>
      </c>
      <c r="C27" s="10" t="n"/>
      <c r="D27" s="10" t="n"/>
      <c r="E27" s="16" t="n">
        <v>250000</v>
      </c>
      <c r="F27" s="16" t="n">
        <v>250000</v>
      </c>
      <c r="G27" s="16" t="n">
        <v>250000</v>
      </c>
      <c r="H27" s="143">
        <f>SUM(E27:G27)</f>
        <v/>
      </c>
      <c r="I27" s="112" t="inlineStr">
        <is>
          <t>As quoted by Project Manager</t>
        </is>
      </c>
    </row>
    <row r="28" ht="15.5" customHeight="1">
      <c r="A28" s="10" t="n"/>
      <c r="B28" s="17" t="inlineStr">
        <is>
          <t>Mechanical Maintenance (Monthly)</t>
        </is>
      </c>
      <c r="C28" s="10" t="n"/>
      <c r="D28" s="10" t="n"/>
      <c r="E28" s="16" t="n">
        <v>400000</v>
      </c>
      <c r="F28" s="16" t="n">
        <v>400000</v>
      </c>
      <c r="G28" s="16" t="n">
        <v>400000</v>
      </c>
      <c r="H28" s="143">
        <f>SUM(E28:G28)</f>
        <v/>
      </c>
      <c r="I28" s="112" t="inlineStr">
        <is>
          <t>As quoted by Project Manager</t>
        </is>
      </c>
    </row>
    <row r="29" ht="29" customHeight="1">
      <c r="A29" s="10" t="n"/>
      <c r="B29" s="17" t="inlineStr">
        <is>
          <t>Additional Furniture &amp; Building Modifications</t>
        </is>
      </c>
      <c r="C29" s="10" t="n"/>
      <c r="D29" s="10" t="n"/>
      <c r="E29" s="16" t="n">
        <v>3000000</v>
      </c>
      <c r="F29" s="16" t="n">
        <v>3000000</v>
      </c>
      <c r="G29" s="16" t="n">
        <v>3000000</v>
      </c>
      <c r="H29" s="143">
        <f>SUM(E29:G29)</f>
        <v/>
      </c>
      <c r="I29" s="112" t="inlineStr">
        <is>
          <t>These needs have been discovered post-operations launch</t>
        </is>
      </c>
    </row>
    <row r="30" customFormat="1" s="3">
      <c r="A30" s="13" t="n"/>
      <c r="B30" s="13" t="n"/>
      <c r="C30" s="13" t="n"/>
      <c r="D30" s="13" t="n"/>
      <c r="E30" s="14">
        <f>SUM(E22:E29)</f>
        <v/>
      </c>
      <c r="F30" s="14">
        <f>SUM(F22:F29)</f>
        <v/>
      </c>
      <c r="G30" s="14">
        <f>SUM(G22:G29)</f>
        <v/>
      </c>
      <c r="H30" s="28">
        <f>SUM(H22:H29)</f>
        <v/>
      </c>
      <c r="I30" s="113" t="n"/>
    </row>
    <row r="31" customFormat="1" s="3">
      <c r="E31" s="138" t="n"/>
      <c r="F31" s="138" t="n"/>
      <c r="G31" s="138" t="n"/>
      <c r="H31" s="139" t="n"/>
      <c r="I31" s="113" t="n"/>
    </row>
    <row r="32" ht="16" customHeight="1">
      <c r="B32" s="2" t="inlineStr">
        <is>
          <t>Travel &amp; Conferences</t>
        </is>
      </c>
      <c r="C32" t="n">
        <v>1.1</v>
      </c>
      <c r="E32" s="118" t="n"/>
      <c r="F32" s="118" t="n"/>
      <c r="G32" s="118" t="n"/>
      <c r="I32" s="113" t="inlineStr">
        <is>
          <t>Considering 2 people</t>
        </is>
      </c>
    </row>
    <row r="33" ht="16" customHeight="1">
      <c r="A33" s="10" t="n"/>
      <c r="B33" s="17" t="inlineStr">
        <is>
          <t>Local Conference Registration</t>
        </is>
      </c>
      <c r="C33" s="10" t="n"/>
      <c r="D33" s="10" t="n"/>
      <c r="E33" s="20" t="n"/>
      <c r="F33" s="20" t="n"/>
      <c r="G33" s="20" t="n">
        <v>750000</v>
      </c>
      <c r="H33" s="23">
        <f>SUM(E33:G33)</f>
        <v/>
      </c>
      <c r="I33" s="112" t="inlineStr">
        <is>
          <t>Estimated to cover any local conference reg</t>
        </is>
      </c>
    </row>
    <row r="34" ht="32" customHeight="1">
      <c r="A34" s="10" t="n"/>
      <c r="B34" s="17" t="inlineStr">
        <is>
          <t>Local Conference Exhibition</t>
        </is>
      </c>
      <c r="C34" s="10" t="n"/>
      <c r="D34" s="10" t="n"/>
      <c r="E34" s="20" t="n"/>
      <c r="F34" s="20" t="n"/>
      <c r="G34" s="20" t="n">
        <v>2000000</v>
      </c>
      <c r="H34" s="23">
        <f>SUM(E34:G34)</f>
        <v/>
      </c>
      <c r="I34" s="112" t="inlineStr">
        <is>
          <t>Opportunity to showcase our startups at conferences</t>
        </is>
      </c>
    </row>
    <row r="35" ht="16" customHeight="1">
      <c r="A35" s="10" t="n"/>
      <c r="B35" s="17" t="inlineStr">
        <is>
          <t>Local Travel</t>
        </is>
      </c>
      <c r="C35" s="10" t="n"/>
      <c r="D35" s="10" t="n"/>
      <c r="E35" s="20" t="n">
        <v>300000</v>
      </c>
      <c r="F35" s="20" t="n">
        <v>300000</v>
      </c>
      <c r="G35" s="20" t="n">
        <v>300000</v>
      </c>
      <c r="H35" s="23">
        <f>SUM(E35:G35)</f>
        <v/>
      </c>
      <c r="I35" s="112" t="inlineStr">
        <is>
          <t>Assuming N150,000 per flight within Nigeria</t>
        </is>
      </c>
    </row>
    <row r="36" customFormat="1" s="3">
      <c r="A36" s="13" t="n"/>
      <c r="B36" s="13" t="n"/>
      <c r="C36" s="13" t="n"/>
      <c r="D36" s="13" t="n"/>
      <c r="E36" s="14">
        <f>SUM(E33:E35)</f>
        <v/>
      </c>
      <c r="F36" s="14">
        <f>SUM(F33:F35)</f>
        <v/>
      </c>
      <c r="G36" s="14">
        <f>SUM(G33:G35)</f>
        <v/>
      </c>
      <c r="H36" s="28">
        <f>SUM(H33:H35)</f>
        <v/>
      </c>
      <c r="I36" s="113" t="n"/>
    </row>
    <row r="37">
      <c r="E37" s="118" t="n"/>
      <c r="F37" s="118" t="n"/>
      <c r="G37" s="118" t="n"/>
    </row>
    <row r="38">
      <c r="B38" s="1" t="n"/>
      <c r="E38" s="118" t="n"/>
      <c r="F38" s="118" t="n"/>
      <c r="G38" s="118" t="n"/>
    </row>
    <row r="39">
      <c r="E39" s="118" t="n"/>
      <c r="F39" s="118" t="n"/>
      <c r="G39" s="118" t="n"/>
    </row>
    <row r="40">
      <c r="B40" s="2" t="inlineStr">
        <is>
          <t>Corporate Comms &amp; PR</t>
        </is>
      </c>
      <c r="C40" t="inlineStr">
        <is>
          <t>Branding, PR</t>
        </is>
      </c>
      <c r="E40" s="118" t="n"/>
      <c r="F40" s="118" t="n"/>
      <c r="G40" s="118" t="n"/>
    </row>
    <row r="41" ht="16" customHeight="1">
      <c r="A41" s="10" t="n"/>
      <c r="B41" s="15" t="inlineStr">
        <is>
          <t>Guest Entertainment &amp; Refreshments</t>
        </is>
      </c>
      <c r="C41" s="10" t="n"/>
      <c r="D41" s="10" t="n"/>
      <c r="E41" s="116" t="n">
        <v>350000</v>
      </c>
      <c r="F41" s="116" t="n">
        <v>350000</v>
      </c>
      <c r="G41" s="116" t="n">
        <v>350000</v>
      </c>
      <c r="H41" s="199">
        <f>SUM(E41:G41)</f>
        <v/>
      </c>
      <c r="I41" s="112" t="inlineStr">
        <is>
          <t xml:space="preserve">For hosting guests </t>
        </is>
      </c>
    </row>
    <row r="42" ht="16" customHeight="1">
      <c r="A42" s="10" t="n"/>
      <c r="B42" s="15" t="inlineStr">
        <is>
          <t>Online &amp; Social Media Marketing</t>
        </is>
      </c>
      <c r="C42" s="10" t="n"/>
      <c r="D42" s="10" t="n"/>
      <c r="E42" s="116" t="n">
        <v>250000</v>
      </c>
      <c r="F42" s="116" t="n">
        <v>250000</v>
      </c>
      <c r="G42" s="116" t="n">
        <v>250000</v>
      </c>
      <c r="H42" s="199">
        <f>SUM(E42:G42)</f>
        <v/>
      </c>
      <c r="I42" s="112" t="inlineStr">
        <is>
          <t>Paid online ads</t>
        </is>
      </c>
    </row>
    <row r="43" customFormat="1" s="3">
      <c r="A43" s="121" t="n"/>
      <c r="B43" s="121" t="n"/>
      <c r="C43" s="121" t="n"/>
      <c r="D43" s="121" t="n"/>
      <c r="E43" s="122">
        <f>SUM(E41:E42)</f>
        <v/>
      </c>
      <c r="F43" s="122">
        <f>SUM(F41:F42)</f>
        <v/>
      </c>
      <c r="G43" s="122">
        <f>SUM(G41:G42)</f>
        <v/>
      </c>
      <c r="H43" s="123">
        <f>SUM(H41:H42)</f>
        <v/>
      </c>
      <c r="I43" s="113" t="n"/>
    </row>
    <row r="44">
      <c r="E44" s="118" t="n"/>
      <c r="F44" s="118" t="n"/>
      <c r="G44" s="118" t="n"/>
    </row>
    <row r="45">
      <c r="B45" s="3" t="inlineStr">
        <is>
          <t>Administrative Costs</t>
        </is>
      </c>
      <c r="C45" t="inlineStr">
        <is>
          <t>Office admin costs &amp; supplies</t>
        </is>
      </c>
      <c r="E45" s="118" t="n"/>
      <c r="F45" s="118" t="n"/>
      <c r="G45" s="118" t="n"/>
    </row>
    <row r="46" ht="16" customHeight="1">
      <c r="A46" s="10" t="n"/>
      <c r="B46" s="17" t="inlineStr">
        <is>
          <t>Stationery &amp; Office Supplies</t>
        </is>
      </c>
      <c r="C46" s="10" t="n"/>
      <c r="D46" s="10" t="n"/>
      <c r="E46" s="116" t="n">
        <v>150000</v>
      </c>
      <c r="F46" s="116" t="n">
        <v>150000</v>
      </c>
      <c r="G46" s="116" t="n">
        <v>150000</v>
      </c>
      <c r="H46" s="117">
        <f>SUM(E46:G46)</f>
        <v/>
      </c>
      <c r="I46" s="112" t="inlineStr">
        <is>
          <t>Printer toner, water, tea, coffee</t>
        </is>
      </c>
    </row>
    <row r="47" customFormat="1" s="3">
      <c r="A47" s="13" t="n"/>
      <c r="B47" s="13" t="n"/>
      <c r="C47" s="13" t="n"/>
      <c r="D47" s="13" t="n"/>
      <c r="E47" s="14">
        <f>SUM(E46:E46)</f>
        <v/>
      </c>
      <c r="F47" s="14">
        <f>SUM(F46:F46)</f>
        <v/>
      </c>
      <c r="G47" s="14">
        <f>SUM(G46:G46)</f>
        <v/>
      </c>
      <c r="H47" s="28">
        <f>SUM(H46:H46)</f>
        <v/>
      </c>
      <c r="I47" s="113" t="n"/>
    </row>
    <row r="48">
      <c r="B48" s="81" t="n"/>
      <c r="E48" s="118" t="n"/>
      <c r="F48" s="118" t="n"/>
      <c r="G48" s="118" t="n"/>
    </row>
    <row r="49">
      <c r="E49" s="118" t="n"/>
      <c r="F49" s="118" t="n"/>
      <c r="G49" s="118" t="n"/>
    </row>
    <row r="50" customFormat="1" s="3">
      <c r="A50" s="13" t="n"/>
      <c r="B50" s="13" t="inlineStr">
        <is>
          <t>Total Operational Expenses</t>
        </is>
      </c>
      <c r="C50" s="13" t="n"/>
      <c r="D50" s="13" t="n"/>
      <c r="E50" s="14">
        <f>SUM(E47,E43,E36,E30,E18)</f>
        <v/>
      </c>
      <c r="F50" s="14">
        <f>SUM(F47,F43,F36,F30,F18)</f>
        <v/>
      </c>
      <c r="G50" s="14">
        <f>SUM(G47,G43,G36,G30,G18)</f>
        <v/>
      </c>
      <c r="H50" s="28">
        <f>SUM(E50:G50)</f>
        <v/>
      </c>
      <c r="I50" s="113" t="n"/>
    </row>
    <row r="51">
      <c r="E51" s="118" t="n"/>
      <c r="F51" s="118" t="n"/>
      <c r="G51" s="118" t="n"/>
    </row>
    <row r="52">
      <c r="E52" s="118" t="n"/>
      <c r="F52" s="118" t="n"/>
      <c r="G52" s="118" t="n"/>
    </row>
    <row r="53">
      <c r="E53" s="118" t="n"/>
      <c r="F53" s="118" t="n"/>
      <c r="G53" s="118" t="n"/>
    </row>
    <row r="54">
      <c r="A54" s="7" t="inlineStr">
        <is>
          <t>Innovation &amp; Program Support</t>
        </is>
      </c>
      <c r="B54" s="8" t="n"/>
      <c r="C54" s="8" t="n"/>
      <c r="D54" s="8" t="n"/>
      <c r="E54" s="9" t="n"/>
      <c r="F54" s="9" t="n"/>
      <c r="G54" s="9" t="n"/>
      <c r="H54" s="9">
        <f>SUM(#REF!)</f>
        <v/>
      </c>
    </row>
    <row r="55" ht="32" customHeight="1">
      <c r="A55" s="10" t="n"/>
      <c r="B55" s="15" t="inlineStr">
        <is>
          <t>Monthly Meetups</t>
        </is>
      </c>
      <c r="C55" s="10" t="inlineStr">
        <is>
          <t>Startup acceleration &amp; support</t>
        </is>
      </c>
      <c r="D55" s="10" t="n"/>
      <c r="E55" s="116">
        <f>Others!I12</f>
        <v/>
      </c>
      <c r="F55" s="116">
        <f>Others!J12</f>
        <v/>
      </c>
      <c r="G55" s="116">
        <f>Others!K12</f>
        <v/>
      </c>
      <c r="H55" s="24">
        <f>SUM(E55:G55)</f>
        <v/>
      </c>
      <c r="I55" s="112" t="inlineStr">
        <is>
          <t>Networking events like Founders Match or hosted event support - tags, refreshments etc</t>
        </is>
      </c>
    </row>
    <row r="56" ht="28" customHeight="1">
      <c r="A56" s="10" t="n"/>
      <c r="B56" s="15" t="inlineStr">
        <is>
          <t>Field Events</t>
        </is>
      </c>
      <c r="C56" s="10" t="n"/>
      <c r="D56" s="10" t="n"/>
      <c r="E56" s="116" t="n">
        <v>200000</v>
      </c>
      <c r="F56" s="116" t="n">
        <v>200000</v>
      </c>
      <c r="G56" s="116" t="n">
        <v>200000</v>
      </c>
      <c r="H56" s="24">
        <f>SUM(E56:G56)</f>
        <v/>
      </c>
      <c r="I56" s="112" t="inlineStr">
        <is>
          <t>Campus outreach events around Ilorin (UNILORIN, KWASU, Landmark, Al-Hikmah etc</t>
        </is>
      </c>
    </row>
    <row r="57" ht="16" customHeight="1">
      <c r="A57" s="10" t="n"/>
      <c r="B57" s="15" t="inlineStr">
        <is>
          <t>Webinars</t>
        </is>
      </c>
      <c r="C57" s="10" t="n"/>
      <c r="D57" s="10" t="n"/>
      <c r="E57" s="116" t="n">
        <v>136000</v>
      </c>
      <c r="F57" s="116" t="n">
        <v>136000</v>
      </c>
      <c r="G57" s="116" t="n">
        <v>136000</v>
      </c>
      <c r="H57" s="24">
        <f>SUM(E57:G57)</f>
        <v/>
      </c>
      <c r="I57" s="112" t="inlineStr">
        <is>
          <t>Zoom webinar subscription @ $79/mo</t>
        </is>
      </c>
    </row>
    <row r="58" ht="16" customHeight="1">
      <c r="A58" s="10" t="n"/>
      <c r="B58" s="15" t="inlineStr">
        <is>
          <t>Training &amp; Mentorship</t>
        </is>
      </c>
      <c r="C58" s="10" t="n"/>
      <c r="D58" s="10" t="n"/>
      <c r="E58" s="116" t="n">
        <v>333333.3333333333</v>
      </c>
      <c r="F58" s="116" t="n">
        <v>333333.3333333333</v>
      </c>
      <c r="G58" s="116" t="n">
        <v>333333.3333333333</v>
      </c>
      <c r="H58" s="24">
        <f>SUM(E58:G58)</f>
        <v/>
      </c>
      <c r="I58" s="112" t="inlineStr">
        <is>
          <t>Special training programs for staff</t>
        </is>
      </c>
    </row>
    <row r="59" customFormat="1" s="3">
      <c r="A59" s="13" t="n"/>
      <c r="B59" s="13" t="inlineStr">
        <is>
          <t>Total Program Support</t>
        </is>
      </c>
      <c r="C59" s="13" t="n"/>
      <c r="D59" s="13" t="n"/>
      <c r="E59" s="14">
        <f>SUM(E55:E58)</f>
        <v/>
      </c>
      <c r="F59" s="14">
        <f>SUM(F55:F58)</f>
        <v/>
      </c>
      <c r="G59" s="14">
        <f>SUM(G55:G58)</f>
        <v/>
      </c>
      <c r="H59" s="28">
        <f>SUM(H55:H58)</f>
        <v/>
      </c>
      <c r="I59" s="113" t="n"/>
    </row>
    <row r="60">
      <c r="E60" s="118" t="n"/>
      <c r="F60" s="118" t="n"/>
      <c r="G60" s="118" t="n"/>
    </row>
    <row r="63">
      <c r="A63" s="7" t="n"/>
      <c r="B63" s="7" t="inlineStr">
        <is>
          <t>Contingency &amp; Sustainability</t>
        </is>
      </c>
      <c r="C63" s="8" t="n"/>
      <c r="D63" s="8" t="n"/>
      <c r="E63" s="9" t="n"/>
      <c r="F63" s="9" t="n"/>
      <c r="G63" s="9" t="n"/>
      <c r="H63" s="9">
        <f>SUM(#REF!)</f>
        <v/>
      </c>
    </row>
    <row r="64">
      <c r="A64" s="10" t="n"/>
      <c r="B64" s="15" t="inlineStr">
        <is>
          <t>Reserve Fund - % of Inflows</t>
        </is>
      </c>
      <c r="C64" s="10" t="inlineStr">
        <is>
          <t>Emergency fund for sustainability</t>
        </is>
      </c>
      <c r="D64" s="57" t="n">
        <v>0.02</v>
      </c>
      <c r="E64" s="116">
        <f>E13*$D$64</f>
        <v/>
      </c>
      <c r="F64" s="116">
        <f>F13*$D$64</f>
        <v/>
      </c>
      <c r="G64" s="116">
        <f>G13*$D$64</f>
        <v/>
      </c>
      <c r="H64" s="24">
        <f>SUM(E64:G64)</f>
        <v/>
      </c>
    </row>
    <row r="65">
      <c r="A65" s="10" t="n"/>
      <c r="B65" s="15" t="inlineStr">
        <is>
          <t>Miscellaneous Expenses - % of Operating Exp.</t>
        </is>
      </c>
      <c r="C65" s="10" t="inlineStr">
        <is>
          <t>Unexpected costs</t>
        </is>
      </c>
      <c r="D65" s="57" t="n">
        <v>0.02</v>
      </c>
      <c r="E65" s="116">
        <f>E50*$D$65</f>
        <v/>
      </c>
      <c r="F65" s="116">
        <f>F50*$D$65</f>
        <v/>
      </c>
      <c r="G65" s="116">
        <f>G50*$D$65</f>
        <v/>
      </c>
      <c r="H65" s="24">
        <f>SUM(E65:G65)</f>
        <v/>
      </c>
    </row>
    <row r="66" customFormat="1" s="3">
      <c r="A66" s="13" t="n"/>
      <c r="B66" s="13" t="inlineStr">
        <is>
          <t>Total Contingency</t>
        </is>
      </c>
      <c r="C66" s="13" t="n"/>
      <c r="D66" s="13" t="n"/>
      <c r="E66" s="14">
        <f>SUM(E64:E65)</f>
        <v/>
      </c>
      <c r="F66" s="14">
        <f>SUM(F64:F65)</f>
        <v/>
      </c>
      <c r="G66" s="14">
        <f>SUM(G64:G65)</f>
        <v/>
      </c>
      <c r="H66" s="28">
        <f>SUM(E66:G66)</f>
        <v/>
      </c>
      <c r="I66" s="113" t="n"/>
    </row>
    <row r="71">
      <c r="A71" s="7" t="n"/>
      <c r="B71" s="7" t="inlineStr">
        <is>
          <t>Summary</t>
        </is>
      </c>
      <c r="C71" s="8" t="n"/>
      <c r="D71" s="8" t="n"/>
      <c r="E71" s="9" t="n"/>
      <c r="F71" s="9" t="n"/>
      <c r="G71" s="9" t="n"/>
      <c r="H71" s="9">
        <f>SUM(#REF!)</f>
        <v/>
      </c>
    </row>
    <row r="72">
      <c r="B72" t="inlineStr">
        <is>
          <t>Total Revenue</t>
        </is>
      </c>
      <c r="E72" s="34">
        <f>SUM(E13)</f>
        <v/>
      </c>
      <c r="F72" s="34">
        <f>SUM(F13)</f>
        <v/>
      </c>
      <c r="G72" s="34">
        <f>SUM(G13)</f>
        <v/>
      </c>
      <c r="H72" s="34">
        <f>SUM(E72:G72)</f>
        <v/>
      </c>
    </row>
    <row r="73">
      <c r="B73" t="inlineStr">
        <is>
          <t>Total Expenses</t>
        </is>
      </c>
      <c r="E73" s="34">
        <f>SUM(E66,E59,E50)</f>
        <v/>
      </c>
      <c r="F73" s="34">
        <f>SUM(F66,F59,F50)</f>
        <v/>
      </c>
      <c r="G73" s="34">
        <f>SUM(G66,G59,G50)</f>
        <v/>
      </c>
      <c r="H73" s="34">
        <f>-SUM(H66,H59,H50)</f>
        <v/>
      </c>
    </row>
    <row r="74" customFormat="1" s="3">
      <c r="A74" s="78" t="n"/>
      <c r="B74" s="78" t="n"/>
      <c r="C74" s="78" t="n"/>
      <c r="D74" s="78" t="n"/>
      <c r="E74" s="79" t="n"/>
      <c r="F74" s="79" t="n"/>
      <c r="G74" s="79" t="n"/>
      <c r="H74" s="79" t="n"/>
      <c r="I74" s="113" t="n"/>
    </row>
    <row r="75">
      <c r="H75" s="109">
        <f>H73/10</f>
        <v/>
      </c>
    </row>
    <row r="76">
      <c r="H76" s="109">
        <f>H75*3</f>
        <v/>
      </c>
    </row>
    <row r="77">
      <c r="E77" s="197" t="n"/>
      <c r="F77" s="100">
        <f>E73+F73+G73</f>
        <v/>
      </c>
      <c r="G77" s="197" t="n"/>
    </row>
    <row r="78">
      <c r="E78" s="197" t="n"/>
      <c r="F78" s="197" t="n"/>
      <c r="G78" s="197" t="n"/>
    </row>
    <row r="79">
      <c r="E79" s="197" t="n"/>
      <c r="F79" s="197" t="n"/>
      <c r="G79" s="197" t="n"/>
    </row>
    <row r="80">
      <c r="E80" s="197" t="n"/>
      <c r="F80" s="100">
        <f>E72-F77</f>
        <v/>
      </c>
      <c r="G80" s="197" t="n"/>
    </row>
    <row r="81">
      <c r="E81" s="197" t="n"/>
      <c r="F81" s="197" t="n">
        <v>18754227.61749999</v>
      </c>
      <c r="G81" s="197" t="n"/>
    </row>
  </sheetData>
  <pageMargins left="0.25" right="0.25" top="0.75" bottom="0.75" header="0.3" footer="0.3"/>
  <pageSetup orientation="portrait" paperSize="9" scale="41" horizontalDpi="0" verticalDpi="0" copies="3"/>
</worksheet>
</file>

<file path=xl/worksheets/sheet5.xml><?xml version="1.0" encoding="utf-8"?>
<worksheet xmlns="http://schemas.openxmlformats.org/spreadsheetml/2006/main">
  <sheetPr>
    <outlinePr summaryBelow="1" summaryRight="1"/>
    <pageSetUpPr fitToPage="1"/>
  </sheetPr>
  <dimension ref="A2:K107"/>
  <sheetViews>
    <sheetView topLeftCell="A2" zoomScale="110" zoomScaleNormal="110" workbookViewId="0">
      <selection activeCell="G8" sqref="G8"/>
    </sheetView>
  </sheetViews>
  <sheetFormatPr baseColWidth="10" defaultColWidth="8.83203125" defaultRowHeight="15"/>
  <cols>
    <col width="5.5" customWidth="1" min="1" max="1"/>
    <col width="56" bestFit="1" customWidth="1" min="2" max="2"/>
    <col width="36.33203125" customWidth="1" min="3" max="3"/>
    <col width="11.6640625" customWidth="1" min="4" max="4"/>
    <col width="14.6640625" customWidth="1" min="5" max="5"/>
    <col width="14.83203125" customWidth="1" min="6" max="6"/>
    <col width="14.5" customWidth="1" style="140" min="7" max="7"/>
    <col width="14.5" customWidth="1" min="8" max="8"/>
    <col width="23.6640625" customWidth="1" style="21" min="9" max="9"/>
    <col width="38.5" customWidth="1" style="112" min="10" max="10"/>
    <col width="10" bestFit="1" customWidth="1" min="11" max="11"/>
  </cols>
  <sheetData>
    <row r="2" ht="16" customHeight="1">
      <c r="A2" s="18" t="n"/>
      <c r="B2" s="18" t="inlineStr">
        <is>
          <t>Category</t>
        </is>
      </c>
      <c r="C2" s="18" t="inlineStr">
        <is>
          <t>Description</t>
        </is>
      </c>
      <c r="D2" s="56" t="n"/>
      <c r="E2" s="119" t="n">
        <v>45741</v>
      </c>
      <c r="F2" s="19" t="n">
        <v>45748</v>
      </c>
      <c r="G2" s="170" t="n">
        <v>45778</v>
      </c>
      <c r="H2" s="19" t="n">
        <v>45809</v>
      </c>
      <c r="I2" s="22" t="inlineStr">
        <is>
          <t>Q2 2025</t>
        </is>
      </c>
      <c r="J2" s="111" t="inlineStr">
        <is>
          <t>Comment/Justification</t>
        </is>
      </c>
      <c r="K2" s="22" t="inlineStr">
        <is>
          <t>One Time</t>
        </is>
      </c>
    </row>
    <row r="3">
      <c r="B3" s="4" t="n"/>
      <c r="C3" s="4" t="n"/>
      <c r="D3" s="4" t="n"/>
      <c r="E3" s="4" t="n"/>
    </row>
    <row r="4">
      <c r="B4" s="166" t="inlineStr">
        <is>
          <t>Items in green have been paid for the entire year as Q2 one-time costs</t>
        </is>
      </c>
      <c r="C4" s="4" t="n"/>
      <c r="D4" s="4" t="n"/>
      <c r="E4" s="4" t="n"/>
      <c r="F4" s="100">
        <f>#REF!/3</f>
        <v/>
      </c>
    </row>
    <row r="5">
      <c r="B5" s="4" t="n"/>
      <c r="C5" s="4" t="n"/>
      <c r="D5" s="4" t="n"/>
      <c r="E5" s="4" t="n"/>
      <c r="F5" s="102">
        <f>F4*3</f>
        <v/>
      </c>
      <c r="G5" s="186" t="n"/>
      <c r="H5" s="118" t="n"/>
    </row>
    <row r="6">
      <c r="A6" s="7" t="inlineStr">
        <is>
          <t>Inflows</t>
        </is>
      </c>
      <c r="B6" s="8" t="n"/>
      <c r="C6" s="8" t="n"/>
      <c r="D6" s="8" t="n"/>
      <c r="E6" s="8" t="n"/>
      <c r="F6" s="9" t="n"/>
      <c r="G6" s="172" t="n"/>
      <c r="H6" s="9" t="n"/>
      <c r="I6" s="9" t="n"/>
    </row>
    <row r="7">
      <c r="A7" s="10" t="n"/>
      <c r="B7" s="11" t="inlineStr">
        <is>
          <t>Kwara State Government Grants</t>
        </is>
      </c>
      <c r="C7" s="10" t="inlineStr">
        <is>
          <t>Public sector funding</t>
        </is>
      </c>
      <c r="D7" s="10" t="n"/>
      <c r="E7" s="10" t="n"/>
      <c r="F7" s="116" t="n"/>
      <c r="G7" s="183" t="n"/>
      <c r="H7" s="116" t="n"/>
      <c r="I7" s="25">
        <f>SUM(F7:H7)</f>
        <v/>
      </c>
    </row>
    <row r="8">
      <c r="A8" s="10" t="n"/>
      <c r="B8" s="11" t="inlineStr">
        <is>
          <t>IHS Operational Funds</t>
        </is>
      </c>
      <c r="C8" s="10" t="inlineStr">
        <is>
          <t>Corporate partnerships &amp; sponsorships</t>
        </is>
      </c>
      <c r="D8" s="10" t="n"/>
      <c r="E8" s="10" t="n"/>
      <c r="G8" s="183" t="n">
        <v>133916648</v>
      </c>
      <c r="H8" s="116" t="n"/>
      <c r="I8" s="25">
        <f>SUM(G8:H8)</f>
        <v/>
      </c>
    </row>
    <row r="9">
      <c r="A9" s="10" t="n"/>
      <c r="B9" s="11" t="inlineStr">
        <is>
          <t>Membership Fees</t>
        </is>
      </c>
      <c r="C9" s="10" t="inlineStr">
        <is>
          <t>Fees from startups &amp; coworking members</t>
        </is>
      </c>
      <c r="D9" s="10" t="n"/>
      <c r="E9" s="10" t="n"/>
      <c r="F9" s="116" t="n"/>
      <c r="G9" s="183" t="n"/>
      <c r="H9" s="116" t="n"/>
      <c r="I9" s="25">
        <f>SUM(F9:H9)</f>
        <v/>
      </c>
    </row>
    <row r="10">
      <c r="A10" s="10" t="n"/>
      <c r="B10" s="11" t="inlineStr">
        <is>
          <t>Consulting &amp; Advisory Services</t>
        </is>
      </c>
      <c r="C10" s="10" t="inlineStr">
        <is>
          <t>Consulting services revenue</t>
        </is>
      </c>
      <c r="D10" s="10" t="n"/>
      <c r="E10" s="10" t="n"/>
      <c r="F10" s="116" t="n"/>
      <c r="G10" s="183" t="n"/>
      <c r="H10" s="116" t="n"/>
      <c r="I10" s="25">
        <f>SUM(F10:H10)</f>
        <v/>
      </c>
    </row>
    <row r="11">
      <c r="A11" s="10" t="n"/>
      <c r="B11" s="11" t="inlineStr">
        <is>
          <t>Event Hosting &amp; Sponsorships</t>
        </is>
      </c>
      <c r="C11" s="10" t="inlineStr">
        <is>
          <t>Revenue from events &amp; hackathons</t>
        </is>
      </c>
      <c r="D11" s="10" t="n"/>
      <c r="E11" s="10" t="n"/>
      <c r="F11" s="116">
        <f>'Rental, Hosting &amp; Sponsorships'!F12</f>
        <v/>
      </c>
      <c r="G11" s="183">
        <f>'Rental, Hosting &amp; Sponsorships'!G12</f>
        <v/>
      </c>
      <c r="H11" s="116">
        <f>'Rental, Hosting &amp; Sponsorships'!H12</f>
        <v/>
      </c>
      <c r="I11" s="25">
        <f>SUM(F11:H11)</f>
        <v/>
      </c>
    </row>
    <row r="12">
      <c r="A12" s="10" t="n"/>
      <c r="B12" s="11" t="inlineStr">
        <is>
          <t>Facility Rentals</t>
        </is>
      </c>
      <c r="C12" s="10" t="n"/>
      <c r="D12" s="10" t="n"/>
      <c r="E12" s="10" t="n"/>
      <c r="F12" s="116">
        <f>'Rental, Hosting &amp; Sponsorships'!F6</f>
        <v/>
      </c>
      <c r="G12" s="183">
        <f>'Rental, Hosting &amp; Sponsorships'!G6</f>
        <v/>
      </c>
      <c r="H12" s="116">
        <f>'Rental, Hosting &amp; Sponsorships'!H6</f>
        <v/>
      </c>
      <c r="I12" s="25">
        <f>SUM(F12:H12)</f>
        <v/>
      </c>
    </row>
    <row r="13">
      <c r="A13" s="10" t="n"/>
      <c r="B13" s="11" t="inlineStr">
        <is>
          <t>Other Income</t>
        </is>
      </c>
      <c r="C13" s="10" t="inlineStr">
        <is>
          <t>Miscellaneous revenue</t>
        </is>
      </c>
      <c r="D13" s="10" t="n"/>
      <c r="E13" s="10" t="n"/>
      <c r="F13" s="116" t="n"/>
      <c r="G13" s="183" t="n"/>
      <c r="H13" s="116" t="n"/>
      <c r="I13" s="25">
        <f>SUM(F13:H13)</f>
        <v/>
      </c>
    </row>
    <row r="14" customFormat="1" s="3">
      <c r="A14" s="13" t="inlineStr">
        <is>
          <t>Total Revenue</t>
        </is>
      </c>
      <c r="B14" s="13" t="n"/>
      <c r="C14" s="13" t="n"/>
      <c r="D14" s="13" t="n"/>
      <c r="E14" s="13" t="n"/>
      <c r="F14" s="14">
        <f>SUM(F6:F13)</f>
        <v/>
      </c>
      <c r="G14" s="174">
        <f>SUM(G6:G13)</f>
        <v/>
      </c>
      <c r="H14" s="14">
        <f>SUM(H6:H13)</f>
        <v/>
      </c>
      <c r="I14" s="28">
        <f>SUM(I6:I13)</f>
        <v/>
      </c>
      <c r="J14" s="113" t="n"/>
    </row>
    <row r="15">
      <c r="F15" s="118" t="n"/>
      <c r="G15" s="186" t="n"/>
      <c r="H15" s="118" t="n"/>
    </row>
    <row r="16">
      <c r="F16" s="118" t="n"/>
      <c r="G16" s="186" t="n"/>
      <c r="H16" s="118" t="n"/>
    </row>
    <row r="17">
      <c r="F17" s="118" t="n"/>
      <c r="G17" s="186" t="n"/>
      <c r="H17" s="118" t="n"/>
    </row>
    <row r="18">
      <c r="B18" s="7" t="inlineStr">
        <is>
          <t>Operational Expenses</t>
        </is>
      </c>
      <c r="C18" s="8" t="n"/>
      <c r="D18" s="8" t="n"/>
      <c r="E18" s="8" t="n"/>
      <c r="F18" s="9" t="n"/>
      <c r="G18" s="172" t="n"/>
      <c r="H18" s="9" t="n"/>
      <c r="I18" s="9" t="n"/>
    </row>
    <row r="19" customFormat="1" s="106">
      <c r="A19" s="103" t="inlineStr">
        <is>
          <t>A</t>
        </is>
      </c>
      <c r="B19" s="104" t="inlineStr">
        <is>
          <t>Salaries &amp; Wages</t>
        </is>
      </c>
      <c r="C19" s="103" t="inlineStr">
        <is>
          <t>Staff salaries, mentors</t>
        </is>
      </c>
      <c r="D19" s="103" t="n"/>
      <c r="E19" s="120">
        <f>Salaries1!F27</f>
        <v/>
      </c>
      <c r="F19" s="105">
        <f>Salaries1!G27</f>
        <v/>
      </c>
      <c r="G19" s="175">
        <f>Salaries1!H48</f>
        <v/>
      </c>
      <c r="H19" s="105">
        <f>Salaries1!I27</f>
        <v/>
      </c>
      <c r="I19" s="105">
        <f>SUM(F19:H19)</f>
        <v/>
      </c>
      <c r="J19" s="114" t="n"/>
    </row>
    <row r="20">
      <c r="B20" s="5" t="n"/>
      <c r="F20" s="118" t="n"/>
      <c r="G20" s="186" t="n"/>
      <c r="H20" s="118" t="n"/>
    </row>
    <row r="21">
      <c r="B21" s="5" t="n"/>
      <c r="F21" s="118" t="n"/>
      <c r="G21" s="186" t="n"/>
      <c r="H21" s="118" t="n"/>
    </row>
    <row r="22">
      <c r="A22" t="inlineStr">
        <is>
          <t>B</t>
        </is>
      </c>
      <c r="B22" s="2" t="inlineStr">
        <is>
          <t>Utilities &amp; Maintenance</t>
        </is>
      </c>
      <c r="C22" t="inlineStr">
        <is>
          <t>Rent, utilities, internet, security, cleaning</t>
        </is>
      </c>
      <c r="F22" s="118" t="n"/>
      <c r="G22" s="186" t="n"/>
      <c r="H22" s="118" t="n"/>
    </row>
    <row r="23" ht="16" customFormat="1" customHeight="1" s="129">
      <c r="A23" s="124" t="inlineStr">
        <is>
          <t>B01</t>
        </is>
      </c>
      <c r="B23" s="125" t="inlineStr">
        <is>
          <t>Internet A Subscription (MTN) 45Mbps</t>
        </is>
      </c>
      <c r="C23" s="124" t="n"/>
      <c r="D23" s="124" t="n"/>
      <c r="E23" s="124" t="n"/>
      <c r="F23" s="126" t="n"/>
      <c r="G23" s="176">
        <f>1201234*8</f>
        <v/>
      </c>
      <c r="H23" s="126" t="n"/>
      <c r="I23" s="127">
        <f>SUM(F23:H23)</f>
        <v/>
      </c>
      <c r="J23" s="128" t="inlineStr">
        <is>
          <t>Till 2025 year end (8 months)</t>
        </is>
      </c>
    </row>
    <row r="24" ht="16" customFormat="1" customHeight="1" s="129">
      <c r="A24" s="124" t="inlineStr">
        <is>
          <t>B02</t>
        </is>
      </c>
      <c r="B24" s="125" t="inlineStr">
        <is>
          <t>Internet A Setup Cost (MTN)</t>
        </is>
      </c>
      <c r="C24" s="124" t="n"/>
      <c r="D24" s="124" t="n"/>
      <c r="E24" s="124" t="n"/>
      <c r="F24" s="126" t="n"/>
      <c r="G24" s="177">
        <f>1982000</f>
        <v/>
      </c>
      <c r="H24" s="126" t="n"/>
      <c r="I24" s="127">
        <f>SUM(F24:H24)</f>
        <v/>
      </c>
      <c r="J24" s="128" t="inlineStr">
        <is>
          <t>Last mile fiber + installation</t>
        </is>
      </c>
      <c r="K24" s="129" t="inlineStr">
        <is>
          <t>x</t>
        </is>
      </c>
    </row>
    <row r="25" ht="16" customFormat="1" customHeight="1" s="129">
      <c r="A25" s="124" t="inlineStr">
        <is>
          <t>B03</t>
        </is>
      </c>
      <c r="B25" s="125" t="inlineStr">
        <is>
          <t>Internet B Subscription (Starlink)</t>
        </is>
      </c>
      <c r="C25" s="124" t="n"/>
      <c r="D25" s="124" t="n"/>
      <c r="E25" s="124" t="n"/>
      <c r="F25" s="126" t="n"/>
      <c r="G25" s="176">
        <f>38000*8</f>
        <v/>
      </c>
      <c r="H25" s="126" t="n"/>
      <c r="I25" s="127">
        <f>SUM(F25:H25)</f>
        <v/>
      </c>
      <c r="J25" s="128" t="inlineStr">
        <is>
          <t>Till 2025 year end (8 months)</t>
        </is>
      </c>
    </row>
    <row r="26" ht="16" customFormat="1" customHeight="1" s="129">
      <c r="A26" s="124" t="inlineStr">
        <is>
          <t>B04</t>
        </is>
      </c>
      <c r="B26" s="125" t="inlineStr">
        <is>
          <t>Internet B Device (Starlink)</t>
        </is>
      </c>
      <c r="C26" s="124" t="n"/>
      <c r="D26" s="124" t="n"/>
      <c r="E26" s="124" t="n"/>
      <c r="F26" s="126" t="n"/>
      <c r="G26" s="176" t="n">
        <v>679000</v>
      </c>
      <c r="H26" s="126" t="n"/>
      <c r="I26" s="127">
        <f>SUM(F26:H26)</f>
        <v/>
      </c>
      <c r="J26" s="128" t="inlineStr">
        <is>
          <t>Device Cost (Femtech IT, Ilorin)</t>
        </is>
      </c>
      <c r="K26" s="129" t="inlineStr">
        <is>
          <t>x</t>
        </is>
      </c>
    </row>
    <row r="27" ht="16" customFormat="1" customHeight="1" s="129">
      <c r="A27" s="124" t="inlineStr">
        <is>
          <t>B05</t>
        </is>
      </c>
      <c r="B27" s="125" t="inlineStr">
        <is>
          <t>Internet B Installation (Starlink)</t>
        </is>
      </c>
      <c r="C27" s="124" t="n"/>
      <c r="D27" s="124" t="n"/>
      <c r="E27" s="124" t="n"/>
      <c r="F27" s="126" t="n"/>
      <c r="G27" s="176" t="n">
        <v>200000</v>
      </c>
      <c r="H27" s="126" t="n"/>
      <c r="I27" s="127">
        <f>SUM(F27:H27)</f>
        <v/>
      </c>
      <c r="J27" s="128" t="inlineStr">
        <is>
          <t>Installation + any required additional materials</t>
        </is>
      </c>
    </row>
    <row r="28" ht="48" customHeight="1">
      <c r="A28" s="10" t="inlineStr">
        <is>
          <t>B06</t>
        </is>
      </c>
      <c r="B28" s="17" t="inlineStr">
        <is>
          <t xml:space="preserve">Cleaning </t>
        </is>
      </c>
      <c r="C28" s="10" t="n"/>
      <c r="D28" s="10" t="n"/>
      <c r="E28" s="16" t="n">
        <v>240000</v>
      </c>
      <c r="F28" s="16" t="n">
        <v>240000</v>
      </c>
      <c r="G28" s="178" t="n">
        <v>1328000</v>
      </c>
      <c r="H28" s="16" t="n">
        <v>1328000</v>
      </c>
      <c r="I28" s="25">
        <f>SUM(F28:H28)</f>
        <v/>
      </c>
      <c r="J28" s="112" t="inlineStr">
        <is>
          <t>Including carryover from March &amp; April (already paid for). Profesional cleaning starts in May. 11 man cleaning team &amp; consumables</t>
        </is>
      </c>
    </row>
    <row r="29" ht="16" customHeight="1">
      <c r="A29" s="10" t="inlineStr">
        <is>
          <t>B07</t>
        </is>
      </c>
      <c r="B29" s="17" t="inlineStr">
        <is>
          <t>Landscaping</t>
        </is>
      </c>
      <c r="C29" s="10" t="n"/>
      <c r="D29" s="10" t="n"/>
      <c r="E29" s="10" t="n"/>
      <c r="F29" s="16" t="n"/>
      <c r="G29" s="178" t="n">
        <v>300000</v>
      </c>
      <c r="H29" s="16" t="n">
        <v>300000</v>
      </c>
      <c r="I29" s="25">
        <f>SUM(F29:H29)</f>
        <v/>
      </c>
      <c r="J29" s="112" t="inlineStr">
        <is>
          <t>This includes greenery &amp; hedge maintenance</t>
        </is>
      </c>
    </row>
    <row r="30" ht="48" customHeight="1">
      <c r="A30" s="10" t="inlineStr">
        <is>
          <t>B08</t>
        </is>
      </c>
      <c r="B30" s="17" t="inlineStr">
        <is>
          <t>Facility Maintenance &amp; Repairs</t>
        </is>
      </c>
      <c r="C30" s="10" t="n"/>
      <c r="D30" s="10" t="n"/>
      <c r="E30" s="10" t="n"/>
      <c r="F30" s="16">
        <f>172000+136000+300000+800000+4429000</f>
        <v/>
      </c>
      <c r="G30" s="178" t="n">
        <v>1500000</v>
      </c>
      <c r="H30" s="16" t="n">
        <v>1500000</v>
      </c>
      <c r="I30" s="25">
        <f>SUM(F30:H30)</f>
        <v/>
      </c>
      <c r="J30" s="112" t="inlineStr">
        <is>
          <t>May includes cost of repair of roof &amp; LED panel damaged during recent rainstorm. Other months are conservative estimate for repairs</t>
        </is>
      </c>
    </row>
    <row r="31">
      <c r="A31" s="10" t="inlineStr">
        <is>
          <t>B09</t>
        </is>
      </c>
      <c r="B31" s="17" t="inlineStr">
        <is>
          <t>Security</t>
        </is>
      </c>
      <c r="C31" s="10" t="n"/>
      <c r="D31" s="10" t="n"/>
      <c r="E31" s="10" t="n"/>
      <c r="F31" s="16" t="n"/>
      <c r="G31" s="178" t="n">
        <v>1000000</v>
      </c>
      <c r="H31" s="16" t="n">
        <v>1000000</v>
      </c>
      <c r="I31" s="25">
        <f>SUM(F31:H31)</f>
        <v/>
      </c>
    </row>
    <row r="32" ht="15.5" customHeight="1">
      <c r="A32" s="10" t="inlineStr">
        <is>
          <t>B10</t>
        </is>
      </c>
      <c r="B32" s="17" t="inlineStr">
        <is>
          <t>HVAC Maintenance (Quarterly)</t>
        </is>
      </c>
      <c r="C32" s="10" t="n"/>
      <c r="D32" s="10" t="n"/>
      <c r="E32" s="10" t="n"/>
      <c r="F32" s="16" t="n"/>
      <c r="G32" s="178" t="n"/>
      <c r="H32" s="16" t="n">
        <v>2000000</v>
      </c>
      <c r="I32" s="25">
        <f>SUM(F32:H32)</f>
        <v/>
      </c>
      <c r="J32" s="112" t="inlineStr">
        <is>
          <t>As quoted by Project Manager</t>
        </is>
      </c>
    </row>
    <row r="33" ht="15.5" customHeight="1">
      <c r="A33" s="10" t="inlineStr">
        <is>
          <t>B11</t>
        </is>
      </c>
      <c r="B33" s="17" t="inlineStr">
        <is>
          <t>Solar Maintenance (Biannually)</t>
        </is>
      </c>
      <c r="C33" s="10" t="n"/>
      <c r="D33" s="10" t="n"/>
      <c r="E33" s="10" t="n"/>
      <c r="F33" s="16" t="n"/>
      <c r="G33" s="178" t="n"/>
      <c r="H33" s="16" t="n"/>
      <c r="I33" s="25" t="n"/>
      <c r="J33" s="112" t="inlineStr">
        <is>
          <t>As quoted by Project Manager. Not due until Q3</t>
        </is>
      </c>
    </row>
    <row r="34" ht="15.5" customHeight="1">
      <c r="A34" s="10" t="inlineStr">
        <is>
          <t>B12</t>
        </is>
      </c>
      <c r="B34" s="17" t="inlineStr">
        <is>
          <t>Electrical Maintenance (Monthly)</t>
        </is>
      </c>
      <c r="C34" s="10" t="n"/>
      <c r="D34" s="10" t="n"/>
      <c r="E34" s="10" t="n"/>
      <c r="F34" s="16" t="n"/>
      <c r="G34" s="178" t="n">
        <v>250000</v>
      </c>
      <c r="H34" s="16" t="n">
        <v>250000</v>
      </c>
      <c r="I34" s="25">
        <f>SUM(F34:H34)</f>
        <v/>
      </c>
      <c r="J34" s="112" t="inlineStr">
        <is>
          <t>As quoted by Project Manager</t>
        </is>
      </c>
    </row>
    <row r="35" ht="15.5" customHeight="1">
      <c r="A35" s="10" t="inlineStr">
        <is>
          <t>B13</t>
        </is>
      </c>
      <c r="B35" s="17" t="inlineStr">
        <is>
          <t>Mechanical Maintenance (Monthly)</t>
        </is>
      </c>
      <c r="C35" s="10" t="n"/>
      <c r="D35" s="10" t="n"/>
      <c r="E35" s="10" t="n"/>
      <c r="F35" s="16" t="n"/>
      <c r="G35" s="178" t="n">
        <v>400000</v>
      </c>
      <c r="H35" s="16" t="n">
        <v>400000</v>
      </c>
      <c r="I35" s="25">
        <f>SUM(F35:H35)</f>
        <v/>
      </c>
      <c r="J35" s="112" t="inlineStr">
        <is>
          <t>As quoted by Project Manager</t>
        </is>
      </c>
    </row>
    <row r="36" ht="15.5" customFormat="1" customHeight="1" s="129">
      <c r="A36" s="124" t="inlineStr">
        <is>
          <t>B14</t>
        </is>
      </c>
      <c r="B36" s="60" t="inlineStr">
        <is>
          <t>LED Screen Maintenance (Annually)</t>
        </is>
      </c>
      <c r="C36" s="124" t="n"/>
      <c r="D36" s="124" t="n"/>
      <c r="E36" s="124" t="n"/>
      <c r="F36" s="126" t="n"/>
      <c r="G36" s="176" t="n"/>
      <c r="H36" s="126" t="n"/>
      <c r="I36" s="143">
        <f>SUM(F36:H36)</f>
        <v/>
      </c>
      <c r="J36" s="114" t="inlineStr">
        <is>
          <t>Not due until next year</t>
        </is>
      </c>
    </row>
    <row r="37" ht="15.5" customFormat="1" customHeight="1" s="129">
      <c r="A37" s="124" t="inlineStr">
        <is>
          <t>B15</t>
        </is>
      </c>
      <c r="B37" s="60" t="inlineStr">
        <is>
          <t>Access Control Maintenance (Annually)</t>
        </is>
      </c>
      <c r="C37" s="124" t="n"/>
      <c r="D37" s="124" t="n"/>
      <c r="E37" s="124" t="n"/>
      <c r="F37" s="126" t="n"/>
      <c r="G37" s="176" t="n"/>
      <c r="H37" s="126" t="n"/>
      <c r="I37" s="143">
        <f>SUM(F37:H37)</f>
        <v/>
      </c>
      <c r="J37" s="114" t="inlineStr">
        <is>
          <t>Not due until next year</t>
        </is>
      </c>
    </row>
    <row r="38" ht="15.5" customHeight="1">
      <c r="A38" s="10" t="inlineStr">
        <is>
          <t>B16</t>
        </is>
      </c>
      <c r="B38" s="17" t="inlineStr">
        <is>
          <t>Project Manager Professional Fee ?</t>
        </is>
      </c>
      <c r="C38" s="10" t="n"/>
      <c r="D38" s="10" t="n"/>
      <c r="E38" s="10" t="n"/>
      <c r="F38" s="16" t="n">
        <v>3000000</v>
      </c>
      <c r="G38" s="178" t="n">
        <v>3000000</v>
      </c>
      <c r="H38" s="16" t="n">
        <v>3000000</v>
      </c>
      <c r="I38" s="25">
        <f>SUM(F38:H38)</f>
        <v/>
      </c>
      <c r="J38" s="112" t="inlineStr">
        <is>
          <t>Geniserve</t>
        </is>
      </c>
    </row>
    <row r="39" ht="58" customFormat="1" customHeight="1" s="129">
      <c r="A39" s="124" t="inlineStr">
        <is>
          <t>B17</t>
        </is>
      </c>
      <c r="B39" s="130" t="inlineStr">
        <is>
          <t>Provision for Spare Parts for Solar, Electrical, Mechanical, LED Screens</t>
        </is>
      </c>
      <c r="C39" s="124" t="n"/>
      <c r="D39" s="124" t="n"/>
      <c r="E39" s="124" t="n"/>
      <c r="G39" s="176" t="n"/>
      <c r="H39" s="126" t="n">
        <v>10735000</v>
      </c>
      <c r="I39" s="127">
        <f>SUM(F39:H39)</f>
        <v/>
      </c>
      <c r="J39" s="128" t="inlineStr">
        <is>
          <t>Purchase of spare parts for hardware infrastructure. As quoted by Project Manager</t>
        </is>
      </c>
    </row>
    <row r="40" customFormat="1" s="3">
      <c r="A40" s="13" t="n"/>
      <c r="B40" s="13" t="n"/>
      <c r="C40" s="13" t="n"/>
      <c r="D40" s="13" t="n"/>
      <c r="E40" s="14">
        <f>SUM(E23:E39)</f>
        <v/>
      </c>
      <c r="F40" s="14">
        <f>SUM(F23:F39)</f>
        <v/>
      </c>
      <c r="G40" s="174">
        <f>SUM(G23:G39)</f>
        <v/>
      </c>
      <c r="H40" s="14">
        <f>SUM(H23:H39)</f>
        <v/>
      </c>
      <c r="I40" s="28">
        <f>SUM(I23:I39)</f>
        <v/>
      </c>
      <c r="J40" s="113" t="n"/>
    </row>
    <row r="41" customFormat="1" s="3">
      <c r="E41" s="138" t="n"/>
      <c r="F41" s="138" t="n"/>
      <c r="G41" s="179" t="n"/>
      <c r="H41" s="138" t="n"/>
      <c r="I41" s="139" t="n"/>
      <c r="J41" s="113" t="n"/>
    </row>
    <row r="42" ht="16" customHeight="1">
      <c r="A42" t="inlineStr">
        <is>
          <t>C</t>
        </is>
      </c>
      <c r="B42" s="2" t="inlineStr">
        <is>
          <t>Travel &amp; Conferences</t>
        </is>
      </c>
      <c r="F42" s="118" t="n"/>
      <c r="G42" s="186" t="n"/>
      <c r="H42" s="118" t="n"/>
      <c r="J42" s="113" t="inlineStr">
        <is>
          <t>Considering 2 people</t>
        </is>
      </c>
    </row>
    <row r="43" ht="32" customHeight="1">
      <c r="A43" s="10" t="inlineStr">
        <is>
          <t>C01</t>
        </is>
      </c>
      <c r="B43" s="15" t="inlineStr">
        <is>
          <t>International Conference Registration</t>
        </is>
      </c>
      <c r="C43" s="10" t="n"/>
      <c r="D43" s="10" t="n"/>
      <c r="E43" s="10" t="n"/>
      <c r="F43" s="20" t="n"/>
      <c r="G43" s="180" t="n">
        <v>2251027</v>
      </c>
      <c r="H43" s="20" t="n"/>
      <c r="I43" s="24">
        <f>SUM(F43:H43)</f>
        <v/>
      </c>
      <c r="J43" s="112" t="inlineStr">
        <is>
          <t>Planned trip to Vivatech Paris at €700 per person</t>
        </is>
      </c>
    </row>
    <row r="44" ht="16" customHeight="1">
      <c r="A44" s="10" t="inlineStr">
        <is>
          <t>C02</t>
        </is>
      </c>
      <c r="B44" s="15" t="inlineStr">
        <is>
          <t>International Travel Flights</t>
        </is>
      </c>
      <c r="C44" s="10" t="n"/>
      <c r="D44" s="10" t="n"/>
      <c r="E44" s="10" t="n"/>
      <c r="F44" s="20" t="n"/>
      <c r="G44" s="180" t="n">
        <v>5478430</v>
      </c>
      <c r="H44" s="20" t="n"/>
      <c r="I44" s="24">
        <f>SUM(F44:H44)</f>
        <v/>
      </c>
      <c r="J44" s="112" t="inlineStr">
        <is>
          <t>$1500 return per person to Paris</t>
        </is>
      </c>
    </row>
    <row r="45" ht="16" customHeight="1">
      <c r="A45" s="10" t="inlineStr">
        <is>
          <t>C03</t>
        </is>
      </c>
      <c r="B45" s="15" t="inlineStr">
        <is>
          <t>International Travel Accomodation</t>
        </is>
      </c>
      <c r="C45" s="10" t="n"/>
      <c r="D45" s="10" t="n"/>
      <c r="E45" s="10" t="n"/>
      <c r="F45" s="20" t="n"/>
      <c r="G45" s="180" t="n">
        <v>3214346</v>
      </c>
      <c r="H45" s="20" t="n"/>
      <c r="I45" s="24">
        <f>SUM(F45:H45)</f>
        <v/>
      </c>
      <c r="J45" s="112" t="inlineStr">
        <is>
          <t>$200 per night for 5 nights</t>
        </is>
      </c>
    </row>
    <row r="46" ht="16" customHeight="1">
      <c r="A46" s="10" t="inlineStr">
        <is>
          <t>C04</t>
        </is>
      </c>
      <c r="B46" s="15" t="inlineStr">
        <is>
          <t>International Travel Allowance</t>
        </is>
      </c>
      <c r="C46" s="10" t="n"/>
      <c r="D46" s="10" t="n"/>
      <c r="E46" s="10" t="n"/>
      <c r="F46" s="20" t="n"/>
      <c r="G46" s="180" t="n">
        <v>4017435</v>
      </c>
      <c r="H46" s="20" t="n"/>
      <c r="I46" s="24">
        <f>SUM(F46:H46)</f>
        <v/>
      </c>
      <c r="J46" s="112" t="inlineStr">
        <is>
          <t>$200 per night for 5 nights</t>
        </is>
      </c>
    </row>
    <row r="47" ht="16" customHeight="1">
      <c r="A47" s="10" t="inlineStr">
        <is>
          <t>C06</t>
        </is>
      </c>
      <c r="B47" s="15" t="inlineStr">
        <is>
          <t>International Visa Processing</t>
        </is>
      </c>
      <c r="C47" s="10" t="n"/>
      <c r="D47" s="10" t="n"/>
      <c r="E47" s="10" t="n"/>
      <c r="F47" s="20" t="n"/>
      <c r="G47" s="180" t="n">
        <v>548642</v>
      </c>
      <c r="H47" s="20" t="n"/>
      <c r="I47" s="24">
        <f>SUM(F47:H47)</f>
        <v/>
      </c>
      <c r="J47" s="112" t="inlineStr">
        <is>
          <t>€300 @ €150 visa fee per person</t>
        </is>
      </c>
    </row>
    <row r="48" ht="16" customHeight="1">
      <c r="A48" s="10" t="inlineStr">
        <is>
          <t>C07</t>
        </is>
      </c>
      <c r="B48" s="17" t="inlineStr">
        <is>
          <t>Local Conference Registration</t>
        </is>
      </c>
      <c r="C48" s="10" t="n"/>
      <c r="D48" s="10" t="n"/>
      <c r="E48" s="10" t="n"/>
      <c r="F48" s="20" t="n"/>
      <c r="G48" s="180" t="n"/>
      <c r="H48" s="20" t="n">
        <v>750000</v>
      </c>
      <c r="I48" s="24">
        <f>SUM(F48:H48)</f>
        <v/>
      </c>
      <c r="J48" s="112" t="inlineStr">
        <is>
          <t>Estimated to cover any local conference reg</t>
        </is>
      </c>
    </row>
    <row r="49" ht="32" customHeight="1">
      <c r="A49" s="10" t="inlineStr">
        <is>
          <t>C08</t>
        </is>
      </c>
      <c r="B49" s="17" t="inlineStr">
        <is>
          <t>Local Conference Exhibition</t>
        </is>
      </c>
      <c r="C49" s="10" t="n"/>
      <c r="D49" s="10" t="n"/>
      <c r="E49" s="10" t="n"/>
      <c r="F49" s="20" t="n"/>
      <c r="G49" s="180" t="n"/>
      <c r="H49" s="20" t="n">
        <v>2000000</v>
      </c>
      <c r="I49" s="24">
        <f>SUM(F49:H49)</f>
        <v/>
      </c>
      <c r="J49" s="112" t="inlineStr">
        <is>
          <t>Opportunity to showcase our startups at conferences</t>
        </is>
      </c>
    </row>
    <row r="50" ht="16" customHeight="1">
      <c r="A50" s="10" t="inlineStr">
        <is>
          <t>C09</t>
        </is>
      </c>
      <c r="B50" s="17" t="inlineStr">
        <is>
          <t>Local Travel</t>
        </is>
      </c>
      <c r="C50" s="10" t="n"/>
      <c r="D50" s="10" t="n"/>
      <c r="E50" s="10" t="n"/>
      <c r="G50" s="180" t="n">
        <v>300000</v>
      </c>
      <c r="H50" s="20" t="n">
        <v>300000</v>
      </c>
      <c r="I50" s="24">
        <f>SUM(G50:H50)</f>
        <v/>
      </c>
      <c r="J50" s="112" t="inlineStr">
        <is>
          <t>Assuming N150,000 per flight within Nigeria</t>
        </is>
      </c>
    </row>
    <row r="51" customFormat="1" s="3">
      <c r="A51" s="13" t="n"/>
      <c r="B51" s="13" t="n"/>
      <c r="C51" s="13" t="n"/>
      <c r="D51" s="13" t="n"/>
      <c r="E51" s="14">
        <f>SUM(E43:E50)</f>
        <v/>
      </c>
      <c r="F51" s="14">
        <f>SUM(F43:F50)</f>
        <v/>
      </c>
      <c r="G51" s="174">
        <f>SUM(G43:G50)</f>
        <v/>
      </c>
      <c r="H51" s="14">
        <f>SUM(H43:H50)</f>
        <v/>
      </c>
      <c r="I51" s="28">
        <f>SUM(I43:I50)</f>
        <v/>
      </c>
      <c r="J51" s="113" t="n"/>
    </row>
    <row r="52">
      <c r="F52" s="118" t="n"/>
      <c r="G52" s="186" t="n"/>
      <c r="H52" s="118" t="n"/>
    </row>
    <row r="53">
      <c r="A53" t="inlineStr">
        <is>
          <t>D</t>
        </is>
      </c>
      <c r="B53" s="3" t="inlineStr">
        <is>
          <t>Equipment &amp; Software</t>
        </is>
      </c>
      <c r="C53" t="inlineStr">
        <is>
          <t>Laptops, software, lab tools</t>
        </is>
      </c>
      <c r="F53" s="118" t="n"/>
      <c r="G53" s="186" t="n"/>
      <c r="H53" s="118" t="n"/>
    </row>
    <row r="54" ht="32" customFormat="1" customHeight="1" s="129">
      <c r="A54" s="124" t="inlineStr">
        <is>
          <t>D01</t>
        </is>
      </c>
      <c r="B54" s="130" t="inlineStr">
        <is>
          <t>Website Hosting, Cloud Servers &amp; Services</t>
        </is>
      </c>
      <c r="C54" s="124" t="n"/>
      <c r="D54" s="124" t="n"/>
      <c r="E54" s="124" t="n"/>
      <c r="F54" s="136" t="n"/>
      <c r="G54" s="182">
        <f>321528*8</f>
        <v/>
      </c>
      <c r="H54" s="136" t="n"/>
      <c r="I54" s="132">
        <f>SUM(F54:H54)</f>
        <v/>
      </c>
      <c r="J54" s="128" t="inlineStr">
        <is>
          <t>For IIH Website, Digital Ocean, Sendgrid &amp; AWS @ $200/mo. Till 2025 year end (8 months)</t>
        </is>
      </c>
    </row>
    <row r="55" ht="16" customFormat="1" customHeight="1" s="129">
      <c r="A55" s="124" t="inlineStr">
        <is>
          <t>D02</t>
        </is>
      </c>
      <c r="B55" s="125" t="inlineStr">
        <is>
          <t>Staff Email + Collaboration Tools (Zoho One)</t>
        </is>
      </c>
      <c r="C55" s="124" t="n"/>
      <c r="D55" s="124" t="n"/>
      <c r="E55" s="124" t="n"/>
      <c r="F55" s="136" t="n"/>
      <c r="G55" s="182">
        <f>499200*1.075</f>
        <v/>
      </c>
      <c r="H55" s="136" t="n"/>
      <c r="I55" s="132">
        <f>SUM(F55:H55)</f>
        <v/>
      </c>
      <c r="J55" s="128" t="inlineStr">
        <is>
          <t>Till 2025 year end (8 months)</t>
        </is>
      </c>
    </row>
    <row r="56" ht="32" customHeight="1">
      <c r="A56" s="10" t="inlineStr">
        <is>
          <t>D03</t>
        </is>
      </c>
      <c r="B56" s="125" t="inlineStr">
        <is>
          <t>Software Subscriptions &amp; Licenses</t>
        </is>
      </c>
      <c r="C56" s="10" t="n"/>
      <c r="D56" s="10" t="n"/>
      <c r="E56" s="10" t="n"/>
      <c r="F56" s="116" t="n"/>
      <c r="G56" s="182">
        <f>402202*8</f>
        <v/>
      </c>
      <c r="H56" s="116" t="n"/>
      <c r="I56" s="132">
        <f>SUM(F56:H56)</f>
        <v/>
      </c>
      <c r="J56" s="112" t="inlineStr">
        <is>
          <t>Open AI credits, Canva, Bolt AI software dev tool @ $200</t>
        </is>
      </c>
    </row>
    <row r="57" ht="16" customFormat="1" customHeight="1" s="129">
      <c r="A57" s="124" t="inlineStr">
        <is>
          <t>D04</t>
        </is>
      </c>
      <c r="B57" s="125" t="inlineStr">
        <is>
          <t>Social Media Account Verification (Instagram, Facebook, Twitter)</t>
        </is>
      </c>
      <c r="C57" s="124" t="n"/>
      <c r="D57" s="124" t="n"/>
      <c r="E57" s="124" t="n"/>
      <c r="F57" s="136" t="n"/>
      <c r="G57" s="177" t="n">
        <v>526622</v>
      </c>
      <c r="H57" s="136" t="n"/>
      <c r="I57" s="132">
        <f>SUM(F57:H57)</f>
        <v/>
      </c>
      <c r="J57" s="128" t="inlineStr">
        <is>
          <t>Till 2025 year end (8 months)</t>
        </is>
      </c>
    </row>
    <row r="58" ht="16" customHeight="1">
      <c r="A58" s="10" t="inlineStr">
        <is>
          <t>D05</t>
        </is>
      </c>
      <c r="B58" s="125" t="inlineStr">
        <is>
          <t>Coworking Space Management &amp; Access Control Sofware</t>
        </is>
      </c>
      <c r="C58" s="10" t="n"/>
      <c r="D58" s="10" t="n"/>
      <c r="E58" s="10" t="n"/>
      <c r="F58" s="116" t="n"/>
      <c r="G58" s="177" t="n">
        <v>6491523</v>
      </c>
      <c r="H58" s="116" t="n"/>
      <c r="I58" s="132">
        <f>SUM(F58:H58)</f>
        <v/>
      </c>
      <c r="J58" s="112" t="inlineStr">
        <is>
          <t>Spacebring @ €3,553.20/yr</t>
        </is>
      </c>
    </row>
    <row r="59" ht="32" customHeight="1">
      <c r="A59" s="10" t="inlineStr">
        <is>
          <t>D06</t>
        </is>
      </c>
      <c r="B59" s="125" t="inlineStr">
        <is>
          <t>Staff Mobile Devices</t>
        </is>
      </c>
      <c r="C59" s="10" t="n"/>
      <c r="D59" s="10" t="n"/>
      <c r="E59" s="10" t="n"/>
      <c r="F59" s="116" t="n"/>
      <c r="G59" s="133" t="n">
        <v>1825000</v>
      </c>
      <c r="H59" s="116" t="n"/>
      <c r="I59" s="132">
        <f>SUM(F59:H59)</f>
        <v/>
      </c>
      <c r="J59" s="112" t="inlineStr">
        <is>
          <t>Mobile devices for all staff by grade - N200k for mgt, N150k for staff, N25k for support staff</t>
        </is>
      </c>
    </row>
    <row r="60" customFormat="1" s="3">
      <c r="A60" s="13" t="n"/>
      <c r="B60" s="13" t="n"/>
      <c r="C60" s="13" t="n"/>
      <c r="D60" s="13" t="n"/>
      <c r="E60" s="14">
        <f>SUM(E54:E57)</f>
        <v/>
      </c>
      <c r="F60" s="14">
        <f>SUM(F54:F57)</f>
        <v/>
      </c>
      <c r="G60" s="174">
        <f>SUM(G54:G59)</f>
        <v/>
      </c>
      <c r="H60" s="14">
        <f>SUM(H54:H57)</f>
        <v/>
      </c>
      <c r="I60" s="28">
        <f>SUM(I54:I59)</f>
        <v/>
      </c>
      <c r="J60" s="113" t="n"/>
    </row>
    <row r="61">
      <c r="B61" s="1" t="n"/>
      <c r="F61" s="118" t="n"/>
      <c r="G61" s="186" t="n"/>
      <c r="H61" s="118" t="n"/>
    </row>
    <row r="62">
      <c r="F62" s="118" t="n"/>
      <c r="G62" s="186" t="n"/>
      <c r="H62" s="118" t="n"/>
    </row>
    <row r="63">
      <c r="A63" t="inlineStr">
        <is>
          <t>E</t>
        </is>
      </c>
      <c r="B63" s="2" t="inlineStr">
        <is>
          <t>Corporate Comms &amp; PR</t>
        </is>
      </c>
      <c r="C63" t="inlineStr">
        <is>
          <t>Branding, events, PR</t>
        </is>
      </c>
      <c r="F63" s="118" t="n"/>
      <c r="G63" s="186" t="n"/>
      <c r="H63" s="118" t="n"/>
    </row>
    <row r="64" ht="16" customFormat="1" customHeight="1" s="129">
      <c r="A64" s="124" t="inlineStr">
        <is>
          <t>E01</t>
        </is>
      </c>
      <c r="B64" s="130" t="inlineStr">
        <is>
          <t>Souvenirs</t>
        </is>
      </c>
      <c r="C64" s="124" t="n"/>
      <c r="D64" s="124" t="n"/>
      <c r="E64" s="124" t="n"/>
      <c r="F64" s="136" t="n"/>
      <c r="G64" s="182" t="n">
        <v>2500000</v>
      </c>
      <c r="H64" s="136" t="n"/>
      <c r="I64" s="137">
        <f>SUM(F64:H64)</f>
        <v/>
      </c>
      <c r="J64" s="128" t="inlineStr">
        <is>
          <t>Staff welcome kits, guest souvenirs</t>
        </is>
      </c>
    </row>
    <row r="65" ht="16" customHeight="1">
      <c r="A65" s="10" t="inlineStr">
        <is>
          <t>E02</t>
        </is>
      </c>
      <c r="B65" s="15" t="inlineStr">
        <is>
          <t>Guest Entertainment &amp; Refreshments</t>
        </is>
      </c>
      <c r="C65" s="10" t="n"/>
      <c r="D65" s="10" t="n"/>
      <c r="E65" s="10" t="n"/>
      <c r="F65" s="116" t="n"/>
      <c r="G65" s="183" t="n">
        <v>350000</v>
      </c>
      <c r="H65" s="116" t="n">
        <v>350000</v>
      </c>
      <c r="I65" s="117">
        <f>SUM(F65:H65)</f>
        <v/>
      </c>
      <c r="J65" s="112" t="inlineStr">
        <is>
          <t xml:space="preserve">For hosting guests </t>
        </is>
      </c>
    </row>
    <row r="66" ht="16" customFormat="1" customHeight="1" s="129">
      <c r="A66" s="124" t="inlineStr">
        <is>
          <t>E03</t>
        </is>
      </c>
      <c r="B66" s="125" t="inlineStr">
        <is>
          <t>Banners</t>
        </is>
      </c>
      <c r="C66" s="124" t="n"/>
      <c r="D66" s="124" t="n"/>
      <c r="E66" s="124" t="n"/>
      <c r="F66" s="136" t="n"/>
      <c r="G66" s="182" t="n">
        <v>250000</v>
      </c>
      <c r="H66" s="136" t="n"/>
      <c r="I66" s="137">
        <f>SUM(F66:H66)</f>
        <v/>
      </c>
      <c r="J66" s="128" t="inlineStr">
        <is>
          <t>Roller banners for internal and mobile use</t>
        </is>
      </c>
    </row>
    <row r="67" customFormat="1" s="129">
      <c r="A67" s="124" t="inlineStr">
        <is>
          <t>E04</t>
        </is>
      </c>
      <c r="B67" s="125" t="inlineStr">
        <is>
          <t>Merchandise &amp; Staff T-Shirts</t>
        </is>
      </c>
      <c r="C67" s="124" t="n"/>
      <c r="D67" s="124" t="n"/>
      <c r="E67" s="124" t="n"/>
      <c r="G67" s="182" t="n">
        <v>250000</v>
      </c>
      <c r="H67" s="136" t="n"/>
      <c r="I67" s="137">
        <f>SUM(G67:H67)</f>
        <v/>
      </c>
      <c r="J67" s="128" t="n"/>
    </row>
    <row r="68" ht="16" customHeight="1">
      <c r="A68" s="10" t="inlineStr">
        <is>
          <t>E05</t>
        </is>
      </c>
      <c r="B68" s="15" t="inlineStr">
        <is>
          <t>Online &amp; Social Media Marketing</t>
        </is>
      </c>
      <c r="C68" s="10" t="n"/>
      <c r="D68" s="10" t="n"/>
      <c r="E68" s="10" t="n"/>
      <c r="F68" s="116" t="n"/>
      <c r="G68" s="183" t="n">
        <v>250000</v>
      </c>
      <c r="H68" s="116" t="n">
        <v>250000</v>
      </c>
      <c r="I68" s="117">
        <f>SUM(F68:H68)</f>
        <v/>
      </c>
      <c r="J68" s="112" t="inlineStr">
        <is>
          <t>Paid online ads</t>
        </is>
      </c>
    </row>
    <row r="69">
      <c r="A69" s="10" t="inlineStr">
        <is>
          <t>E06</t>
        </is>
      </c>
      <c r="B69" s="15" t="inlineStr">
        <is>
          <t>Photography &amp; Videography</t>
        </is>
      </c>
      <c r="C69" s="10" t="n"/>
      <c r="D69" s="10" t="n"/>
      <c r="E69" s="10" t="n"/>
      <c r="F69" s="116" t="n"/>
      <c r="G69" s="183" t="n"/>
      <c r="H69" s="116" t="n"/>
      <c r="I69" s="117" t="n"/>
    </row>
    <row r="70" customFormat="1" s="3">
      <c r="A70" s="121" t="n"/>
      <c r="B70" s="121" t="n"/>
      <c r="C70" s="121" t="n"/>
      <c r="D70" s="121" t="n"/>
      <c r="E70" s="122">
        <f>SUM(E64:E68)</f>
        <v/>
      </c>
      <c r="F70" s="122">
        <f>SUM(F64:F68)</f>
        <v/>
      </c>
      <c r="G70" s="184">
        <f>SUM(G64:G68)</f>
        <v/>
      </c>
      <c r="H70" s="122">
        <f>SUM(H64:H68)</f>
        <v/>
      </c>
      <c r="I70" s="123">
        <f>SUM(I64:I69)</f>
        <v/>
      </c>
      <c r="J70" s="113" t="n"/>
    </row>
    <row r="71">
      <c r="F71" s="118" t="n"/>
      <c r="G71" s="186" t="n"/>
      <c r="H71" s="118" t="n"/>
    </row>
    <row r="72">
      <c r="A72" t="inlineStr">
        <is>
          <t>F</t>
        </is>
      </c>
      <c r="B72" s="3" t="inlineStr">
        <is>
          <t>Administrative Costs</t>
        </is>
      </c>
      <c r="C72" t="inlineStr">
        <is>
          <t>Office admin costs &amp; supplies</t>
        </is>
      </c>
      <c r="F72" s="118" t="n"/>
      <c r="G72" s="186" t="n"/>
      <c r="H72" s="118" t="n"/>
    </row>
    <row r="73" ht="16" customHeight="1">
      <c r="A73" s="10" t="inlineStr">
        <is>
          <t>F01</t>
        </is>
      </c>
      <c r="B73" s="17" t="inlineStr">
        <is>
          <t>Stationery &amp; Office Supplies</t>
        </is>
      </c>
      <c r="C73" s="10" t="n"/>
      <c r="D73" s="10" t="n"/>
      <c r="E73" s="10" t="n"/>
      <c r="F73" s="116" t="n"/>
      <c r="G73" s="183" t="n">
        <v>150000</v>
      </c>
      <c r="H73" s="116" t="n">
        <v>150000</v>
      </c>
      <c r="I73" s="117">
        <f>SUM(F73:H73)</f>
        <v/>
      </c>
      <c r="J73" s="112" t="inlineStr">
        <is>
          <t>Printer toner, water, tea, coffee</t>
        </is>
      </c>
    </row>
    <row r="74" ht="16" customFormat="1" customHeight="1" s="129">
      <c r="A74" s="124" t="inlineStr">
        <is>
          <t>F02</t>
        </is>
      </c>
      <c r="B74" s="130" t="inlineStr">
        <is>
          <t xml:space="preserve">Association &amp; Society Memberships </t>
        </is>
      </c>
      <c r="C74" s="124" t="n"/>
      <c r="D74" s="124" t="n"/>
      <c r="E74" s="124" t="n"/>
      <c r="F74" s="136" t="n"/>
      <c r="G74" s="182" t="n">
        <v>500000</v>
      </c>
      <c r="H74" s="136" t="n"/>
      <c r="I74" s="137">
        <f>SUM(F74:H74)</f>
        <v/>
      </c>
      <c r="J74" s="128" t="inlineStr">
        <is>
          <t>Afrilabs @ N180,000/yr, ISN etc</t>
        </is>
      </c>
    </row>
    <row r="75" customFormat="1" s="3">
      <c r="A75" s="13" t="n"/>
      <c r="B75" s="13" t="n"/>
      <c r="C75" s="13" t="n"/>
      <c r="D75" s="13" t="n"/>
      <c r="E75" s="14">
        <f>SUM(E73:E74)</f>
        <v/>
      </c>
      <c r="F75" s="14">
        <f>SUM(F73:F74)</f>
        <v/>
      </c>
      <c r="G75" s="174">
        <f>SUM(G73:G74)</f>
        <v/>
      </c>
      <c r="H75" s="14">
        <f>SUM(H73:H74)</f>
        <v/>
      </c>
      <c r="I75" s="28">
        <f>SUM(I73:I74)</f>
        <v/>
      </c>
      <c r="J75" s="113" t="n"/>
    </row>
    <row r="76">
      <c r="B76" s="81" t="n"/>
      <c r="F76" s="118" t="n"/>
      <c r="G76" s="186" t="n"/>
      <c r="H76" s="118" t="n"/>
    </row>
    <row r="77">
      <c r="F77" s="118" t="n"/>
      <c r="G77" s="186" t="n"/>
      <c r="H77" s="118" t="n"/>
    </row>
    <row r="78" customFormat="1" s="3">
      <c r="A78" s="13" t="n"/>
      <c r="B78" s="13" t="inlineStr">
        <is>
          <t>Total Operational Expenses</t>
        </is>
      </c>
      <c r="C78" s="13" t="n"/>
      <c r="D78" s="13" t="n"/>
      <c r="E78" s="14">
        <f>SUM(E75,E70,E60,E51,E40,E19)</f>
        <v/>
      </c>
      <c r="F78" s="14">
        <f>SUM(F75,F70,F60,F51,F40,F19)</f>
        <v/>
      </c>
      <c r="G78" s="174">
        <f>SUM(G75,G70,G60,G51,G40,G19)</f>
        <v/>
      </c>
      <c r="H78" s="14">
        <f>SUM(H75,H70,H60,H51,H40,H19)</f>
        <v/>
      </c>
      <c r="I78" s="28">
        <f>SUM(F78:H78)</f>
        <v/>
      </c>
      <c r="J78" s="113" t="n"/>
    </row>
    <row r="79">
      <c r="F79" s="118" t="n"/>
      <c r="G79" s="186" t="n"/>
      <c r="H79" s="118" t="n"/>
    </row>
    <row r="80">
      <c r="F80" s="118" t="n"/>
      <c r="G80" s="186" t="n"/>
      <c r="H80" s="118" t="n"/>
    </row>
    <row r="81">
      <c r="F81" s="118" t="n"/>
      <c r="G81" s="186" t="n"/>
      <c r="H81" s="118" t="n"/>
    </row>
    <row r="82">
      <c r="A82" t="inlineStr">
        <is>
          <t>G</t>
        </is>
      </c>
      <c r="B82" s="7" t="inlineStr">
        <is>
          <t>Innovation &amp; Program Support</t>
        </is>
      </c>
      <c r="C82" s="8" t="n"/>
      <c r="D82" s="8" t="n"/>
      <c r="E82" s="8" t="n"/>
      <c r="F82" s="9" t="n"/>
      <c r="G82" s="172" t="n"/>
      <c r="H82" s="9" t="n"/>
      <c r="I82" s="9">
        <f>SUM(F82:H82)</f>
        <v/>
      </c>
    </row>
    <row r="83" ht="32" customHeight="1">
      <c r="A83" s="10" t="inlineStr">
        <is>
          <t>G01</t>
        </is>
      </c>
      <c r="B83" s="15" t="inlineStr">
        <is>
          <t>Staff Professional Development</t>
        </is>
      </c>
      <c r="C83" s="10" t="n"/>
      <c r="D83" s="10" t="n"/>
      <c r="E83" s="10" t="n"/>
      <c r="F83" s="116" t="n"/>
      <c r="I83" s="24">
        <f>SUM(F83:H83)</f>
        <v/>
      </c>
      <c r="J83" s="112" t="inlineStr">
        <is>
          <t>Sponsoring professional development training &amp; certifications for staff</t>
        </is>
      </c>
    </row>
    <row r="84" ht="32" customHeight="1">
      <c r="A84" s="10" t="inlineStr">
        <is>
          <t>G02</t>
        </is>
      </c>
      <c r="B84" s="15" t="inlineStr">
        <is>
          <t>Monthly Ecosystem Meetups</t>
        </is>
      </c>
      <c r="C84" s="10" t="inlineStr">
        <is>
          <t>Startup acceleration &amp; support</t>
        </is>
      </c>
      <c r="D84" s="10" t="n"/>
      <c r="E84" s="116" t="n">
        <v>250000</v>
      </c>
      <c r="G84" s="183">
        <f>Others!G12</f>
        <v/>
      </c>
      <c r="H84" s="116">
        <f>Others!H12</f>
        <v/>
      </c>
      <c r="I84" s="24">
        <f>SUM(F84:H84)</f>
        <v/>
      </c>
      <c r="J84" s="112" t="inlineStr">
        <is>
          <t>Networking events like Founders Match or hosted event support - tags, refreshments etc</t>
        </is>
      </c>
    </row>
    <row r="85" ht="33" customHeight="1">
      <c r="A85" s="10" t="inlineStr">
        <is>
          <t>G03</t>
        </is>
      </c>
      <c r="B85" s="15" t="inlineStr">
        <is>
          <t>Field Events</t>
        </is>
      </c>
      <c r="C85" s="10" t="n"/>
      <c r="D85" s="10" t="n"/>
      <c r="E85" s="10" t="n"/>
      <c r="F85" s="116" t="n"/>
      <c r="G85" s="183" t="n">
        <v>200000</v>
      </c>
      <c r="H85" s="116" t="n">
        <v>200000</v>
      </c>
      <c r="I85" s="24">
        <f>SUM(F85:H85)</f>
        <v/>
      </c>
      <c r="J85" s="112" t="inlineStr">
        <is>
          <t>Campus outreach events around Ilorin (UNILORIN, KWASU, Landmark, Al-Hikmah etc</t>
        </is>
      </c>
    </row>
    <row r="86" ht="16" customHeight="1">
      <c r="A86" s="10" t="inlineStr">
        <is>
          <t>G04</t>
        </is>
      </c>
      <c r="B86" s="15" t="inlineStr">
        <is>
          <t>Webinars</t>
        </is>
      </c>
      <c r="C86" s="10" t="n"/>
      <c r="D86" s="10" t="n"/>
      <c r="E86" s="10" t="n"/>
      <c r="F86" s="116" t="n"/>
      <c r="G86" s="183" t="n">
        <v>136000</v>
      </c>
      <c r="H86" s="116" t="n">
        <v>136000</v>
      </c>
      <c r="I86" s="24">
        <f>SUM(F86:H86)</f>
        <v/>
      </c>
      <c r="J86" s="112" t="inlineStr">
        <is>
          <t>Zoom webinar fee @ $79/mo</t>
        </is>
      </c>
    </row>
    <row r="87" ht="16" customHeight="1">
      <c r="A87" s="10" t="inlineStr">
        <is>
          <t>G05</t>
        </is>
      </c>
      <c r="B87" s="15" t="inlineStr">
        <is>
          <t>Training &amp; Mentorship</t>
        </is>
      </c>
      <c r="C87" s="10" t="n"/>
      <c r="D87" s="10" t="n"/>
      <c r="E87" s="10" t="n"/>
      <c r="F87" s="116" t="n"/>
      <c r="G87" s="183" t="n">
        <v>333333.3333333333</v>
      </c>
      <c r="H87" s="116" t="n">
        <v>333333.3333333333</v>
      </c>
      <c r="I87" s="24">
        <f>SUM(F87:H87)</f>
        <v/>
      </c>
      <c r="J87" s="112" t="inlineStr">
        <is>
          <t>Special training programs for staff</t>
        </is>
      </c>
    </row>
    <row r="88" customFormat="1" s="3">
      <c r="A88" s="13" t="n"/>
      <c r="B88" s="13" t="inlineStr">
        <is>
          <t>Total Program Support</t>
        </is>
      </c>
      <c r="C88" s="13" t="n"/>
      <c r="D88" s="13" t="n"/>
      <c r="E88" s="14">
        <f>SUM(E84:E87)</f>
        <v/>
      </c>
      <c r="F88" s="14">
        <f>SUM(F84:F87)</f>
        <v/>
      </c>
      <c r="G88" s="174">
        <f>SUM(G84:G87)</f>
        <v/>
      </c>
      <c r="H88" s="14">
        <f>SUM(H84:H87)</f>
        <v/>
      </c>
      <c r="I88" s="28">
        <f>SUM(F88:H88)</f>
        <v/>
      </c>
      <c r="J88" s="113" t="n"/>
    </row>
    <row r="89">
      <c r="F89" s="118" t="n"/>
      <c r="G89" s="186" t="n"/>
      <c r="H89" s="118" t="n"/>
    </row>
    <row r="90">
      <c r="B90" s="169" t="inlineStr">
        <is>
          <t>Total without Contingency</t>
        </is>
      </c>
      <c r="I90" s="168">
        <f>I78+I88</f>
        <v/>
      </c>
    </row>
    <row r="92">
      <c r="A92" s="7" t="inlineStr">
        <is>
          <t>H</t>
        </is>
      </c>
      <c r="B92" s="7" t="inlineStr">
        <is>
          <t>Contingency &amp; Sustainability</t>
        </is>
      </c>
      <c r="C92" s="8" t="n"/>
      <c r="D92" s="8" t="n"/>
      <c r="E92" s="8" t="n"/>
      <c r="F92" s="9" t="n"/>
      <c r="G92" s="172" t="n"/>
      <c r="H92" s="9" t="n"/>
      <c r="I92" s="9">
        <f>SUM(F92:H92)</f>
        <v/>
      </c>
    </row>
    <row r="93">
      <c r="A93" s="10" t="inlineStr">
        <is>
          <t>H01</t>
        </is>
      </c>
      <c r="B93" s="15" t="inlineStr">
        <is>
          <t>Reserve Fund - % of Inflows</t>
        </is>
      </c>
      <c r="C93" s="10" t="inlineStr">
        <is>
          <t>Emergency fund for sustainability</t>
        </is>
      </c>
      <c r="D93" s="57" t="n">
        <v>0.02</v>
      </c>
      <c r="F93" s="116">
        <f>F14*$D$93</f>
        <v/>
      </c>
      <c r="G93" s="183">
        <f>G14*$D$93</f>
        <v/>
      </c>
      <c r="H93" s="116">
        <f>H14*$D$93</f>
        <v/>
      </c>
      <c r="I93" s="24">
        <f>SUM(F93:H93)</f>
        <v/>
      </c>
    </row>
    <row r="94">
      <c r="A94" s="10" t="inlineStr">
        <is>
          <t>H02</t>
        </is>
      </c>
      <c r="B94" s="15" t="inlineStr">
        <is>
          <t>Miscellaneous Expenses - % of Operating Exp.</t>
        </is>
      </c>
      <c r="C94" s="10" t="inlineStr">
        <is>
          <t>Unexpected costs</t>
        </is>
      </c>
      <c r="D94" s="57" t="n">
        <v>0.02</v>
      </c>
      <c r="F94" s="116" t="n"/>
      <c r="G94" s="183">
        <f>G78*$D$94</f>
        <v/>
      </c>
      <c r="H94" s="116">
        <f>H78*$D$94</f>
        <v/>
      </c>
      <c r="I94" s="24">
        <f>SUM(F94:H94)</f>
        <v/>
      </c>
    </row>
    <row r="95" customFormat="1" s="3">
      <c r="A95" s="13" t="n"/>
      <c r="B95" s="13" t="inlineStr">
        <is>
          <t>Total Contingency</t>
        </is>
      </c>
      <c r="C95" s="13" t="n"/>
      <c r="D95" s="13" t="n"/>
      <c r="E95" s="13" t="n"/>
      <c r="F95" s="14">
        <f>SUM(F93:F94)</f>
        <v/>
      </c>
      <c r="G95" s="174">
        <f>SUM(G93:G94)</f>
        <v/>
      </c>
      <c r="H95" s="14">
        <f>SUM(H93:H94)</f>
        <v/>
      </c>
      <c r="I95" s="28">
        <f>SUM(F95:H95)</f>
        <v/>
      </c>
      <c r="J95" s="113" t="n"/>
    </row>
    <row r="100">
      <c r="A100" s="7" t="n"/>
      <c r="B100" s="7" t="inlineStr">
        <is>
          <t>Summary</t>
        </is>
      </c>
      <c r="C100" s="8" t="n"/>
      <c r="D100" s="8" t="n"/>
      <c r="E100" s="8" t="n"/>
      <c r="F100" s="9" t="n"/>
      <c r="G100" s="172" t="n"/>
      <c r="H100" s="9" t="n"/>
      <c r="I100" s="9">
        <f>SUM(F100:H100)</f>
        <v/>
      </c>
    </row>
    <row r="101">
      <c r="B101" t="inlineStr">
        <is>
          <t>Total Revenue</t>
        </is>
      </c>
      <c r="F101" s="34">
        <f>SUM(F14)</f>
        <v/>
      </c>
      <c r="G101" s="187">
        <f>SUM(G14)</f>
        <v/>
      </c>
      <c r="H101" s="34">
        <f>SUM(H14)</f>
        <v/>
      </c>
      <c r="I101" s="34">
        <f>SUM(F101:H101)</f>
        <v/>
      </c>
    </row>
    <row r="102">
      <c r="B102" t="inlineStr">
        <is>
          <t>Total Expenses</t>
        </is>
      </c>
      <c r="E102" s="34">
        <f>SUM(E95,E88,E78)</f>
        <v/>
      </c>
      <c r="F102" s="34">
        <f>SUM(F95,F88,F78)</f>
        <v/>
      </c>
      <c r="G102" s="187">
        <f>SUM(G95,G88,G78)</f>
        <v/>
      </c>
      <c r="H102" s="34">
        <f>SUM(H95,H88,H78)</f>
        <v/>
      </c>
      <c r="I102" s="34">
        <f>-SUM(I95,I88,I78)</f>
        <v/>
      </c>
    </row>
    <row r="104">
      <c r="I104" s="109">
        <f>I102/10</f>
        <v/>
      </c>
    </row>
    <row r="105">
      <c r="I105" s="109">
        <f>I104*3</f>
        <v/>
      </c>
    </row>
    <row r="107">
      <c r="G107" s="187">
        <f>F102+G102+H102</f>
        <v/>
      </c>
    </row>
  </sheetData>
  <pageMargins left="0.25" right="0.25" top="0.75" bottom="0.75" header="0.3" footer="0.3"/>
  <pageSetup orientation="landscape" paperSize="9" scale="55" fitToHeight="2" horizontalDpi="0" verticalDpi="0" copies="3"/>
</worksheet>
</file>

<file path=xl/worksheets/sheet6.xml><?xml version="1.0" encoding="utf-8"?>
<worksheet xmlns="http://schemas.openxmlformats.org/spreadsheetml/2006/main">
  <sheetPr>
    <outlinePr summaryBelow="1" summaryRight="1"/>
    <pageSetUpPr fitToPage="1"/>
  </sheetPr>
  <dimension ref="B4:D44"/>
  <sheetViews>
    <sheetView topLeftCell="A2" workbookViewId="0">
      <selection activeCell="C15" sqref="C15"/>
    </sheetView>
  </sheetViews>
  <sheetFormatPr baseColWidth="10" defaultRowHeight="20"/>
  <cols>
    <col width="95.33203125" customWidth="1" style="147" min="2" max="2"/>
    <col width="23.1640625" customWidth="1" style="150" min="3" max="3"/>
    <col width="32.1640625" bestFit="1" customWidth="1" style="151" min="4" max="4"/>
    <col width="22.83203125" customWidth="1" min="5" max="5"/>
  </cols>
  <sheetData>
    <row r="4">
      <c r="B4" s="146" t="inlineStr">
        <is>
          <t xml:space="preserve">Q2 2025 BUDGET SUMMARY </t>
        </is>
      </c>
    </row>
    <row r="5">
      <c r="B5" s="146" t="n"/>
      <c r="C5" s="148" t="n"/>
    </row>
    <row r="6" ht="107" customHeight="1">
      <c r="B6" s="144" t="inlineStr">
        <is>
          <t>This report provides a consolidated view of Q2 2025 expenses to support transparent and accountable disbursement of the IHS operational funds for the Ilorin Innovation Hub. The quarter’s activities remained aligned with the Hub’s broader mandate of fostering innovation, supporting local startups, and driving digital empowerment.</t>
        </is>
      </c>
    </row>
    <row r="7" ht="70" customHeight="1">
      <c r="B7" s="149" t="inlineStr">
        <is>
          <t>Two line items have been left at zero - Phtography/Videography and Staff Professional Development. These are recommended for IHS consideration.</t>
        </is>
      </c>
    </row>
    <row r="8" ht="110" customHeight="1">
      <c r="B8" s="144" t="inlineStr">
        <is>
          <t xml:space="preserve">The second quarter of 2025 focused on consolidating operations and laying the groundwork for long-term program sustainability at the Ilorin Innovation Hub. During this period, the Hub incurred total expenses amounting to, comprising both recurring and one-time costs. </t>
        </is>
      </c>
    </row>
    <row r="9" ht="77" customHeight="1">
      <c r="B9" s="144" t="inlineStr">
        <is>
          <t>Majority of our recurring utilities are also being paid for the rest of the year, which is remaining a period of 8 months as one-time costs to ensure sustainability and avoid disruption in activities.</t>
        </is>
      </c>
    </row>
    <row r="10" ht="22" customHeight="1">
      <c r="B10" s="148" t="n"/>
    </row>
    <row r="11" ht="22" customHeight="1">
      <c r="B11" s="167" t="inlineStr">
        <is>
          <t>FULL Q2 BREAKDOWN</t>
        </is>
      </c>
      <c r="C11" s="188" t="inlineStr">
        <is>
          <t>Amount (₦)</t>
        </is>
      </c>
    </row>
    <row r="12" ht="22" customHeight="1">
      <c r="B12" s="167" t="n"/>
    </row>
    <row r="13" ht="21" customHeight="1">
      <c r="B13" s="148" t="inlineStr">
        <is>
          <t xml:space="preserve">Budget Category </t>
        </is>
      </c>
    </row>
    <row r="14" ht="21" customHeight="1">
      <c r="B14" s="148">
        <f>'Quarterly (Q2)'!B18</f>
        <v/>
      </c>
      <c r="C14" s="153">
        <f>SUM(C15:C20)</f>
        <v/>
      </c>
    </row>
    <row r="15" ht="21" customHeight="1">
      <c r="B15" s="144">
        <f>'Quarterly (Q2)'!B19</f>
        <v/>
      </c>
      <c r="C15" s="152">
        <f>'Quarterly (Q2)'!I19</f>
        <v/>
      </c>
    </row>
    <row r="16" ht="21" customHeight="1">
      <c r="B16" s="144">
        <f>'Quarterly (Q2)'!B22</f>
        <v/>
      </c>
      <c r="C16" s="152">
        <f>'Quarterly (Q2)'!I40</f>
        <v/>
      </c>
      <c r="D16" s="110" t="n"/>
    </row>
    <row r="17" ht="21" customHeight="1">
      <c r="B17" s="144">
        <f>'Quarterly (Q2)'!B42</f>
        <v/>
      </c>
      <c r="C17" s="152">
        <f>'Quarterly (Q2)'!I51</f>
        <v/>
      </c>
    </row>
    <row r="18" ht="21" customHeight="1">
      <c r="B18" s="144">
        <f>'Quarterly (Q2)'!B53</f>
        <v/>
      </c>
      <c r="C18" s="152">
        <f>'Quarterly (Q2)'!I60</f>
        <v/>
      </c>
    </row>
    <row r="19" ht="21" customHeight="1">
      <c r="B19" s="144">
        <f>'Quarterly (Q2)'!B63</f>
        <v/>
      </c>
      <c r="C19" s="152">
        <f>'Quarterly (Q2)'!I70</f>
        <v/>
      </c>
      <c r="D19" s="189" t="n"/>
    </row>
    <row r="20" ht="21" customHeight="1">
      <c r="B20" s="144">
        <f>'Quarterly (Q2)'!B72</f>
        <v/>
      </c>
      <c r="C20" s="152">
        <f>'Quarterly (Q2)'!I75</f>
        <v/>
      </c>
    </row>
    <row r="21">
      <c r="B21" s="144" t="n"/>
      <c r="C21" s="153" t="n"/>
    </row>
    <row r="22" ht="21" customHeight="1">
      <c r="B22" s="148">
        <f>'Quarterly (Q2)'!B82</f>
        <v/>
      </c>
      <c r="C22" s="153">
        <f>'Quarterly (Q2)'!I88</f>
        <v/>
      </c>
    </row>
    <row r="23">
      <c r="B23" s="144" t="n"/>
      <c r="C23" s="153" t="n"/>
    </row>
    <row r="24" ht="21" customHeight="1">
      <c r="B24" s="148">
        <f>'Quarterly (Q2)'!B92</f>
        <v/>
      </c>
      <c r="C24" s="153">
        <f>'Quarterly (Q2)'!I95</f>
        <v/>
      </c>
    </row>
    <row r="25" ht="21" customHeight="1">
      <c r="B25" s="144">
        <f>'Quarterly (Q2)'!B93</f>
        <v/>
      </c>
      <c r="C25" s="152">
        <f>'Quarterly (Q2)'!I93</f>
        <v/>
      </c>
    </row>
    <row r="26" ht="21" customHeight="1">
      <c r="B26" s="144">
        <f>'Quarterly (Q2)'!B94</f>
        <v/>
      </c>
      <c r="C26" s="152">
        <f>'Quarterly (Q2)'!I94</f>
        <v/>
      </c>
    </row>
    <row r="27">
      <c r="B27" s="144" t="n"/>
      <c r="C27" s="153" t="n"/>
    </row>
    <row r="28" ht="21" customHeight="1">
      <c r="B28" s="148" t="inlineStr">
        <is>
          <t>Total Expenses</t>
        </is>
      </c>
      <c r="C28" s="153">
        <f>C14+C22+C24</f>
        <v/>
      </c>
    </row>
    <row r="29">
      <c r="B29" s="148" t="n"/>
    </row>
    <row r="30">
      <c r="B30" s="148" t="n"/>
    </row>
    <row r="31" ht="21" customHeight="1">
      <c r="B31" s="144" t="inlineStr">
        <is>
          <t>Operational costs totaled</t>
        </is>
      </c>
      <c r="C31" s="150">
        <f>'Quarterly (Q2)'!I78+'Quarterly (Q2)'!I88+'Quarterly (Q2)'!I95</f>
        <v/>
      </c>
      <c r="D31" s="148" t="n"/>
    </row>
    <row r="32" ht="21" customHeight="1">
      <c r="B32" s="147" t="inlineStr">
        <is>
          <t xml:space="preserve">Recurring costs totaled </t>
        </is>
      </c>
      <c r="C32" s="150">
        <f>'Q2 One-Time VS Recurring Costs'!C82</f>
        <v/>
      </c>
    </row>
    <row r="33" ht="21" customHeight="1">
      <c r="B33" s="147" t="inlineStr">
        <is>
          <t>One time costs totaled</t>
        </is>
      </c>
      <c r="C33" s="150">
        <f>'Q2 One-Time VS Recurring Costs'!C81</f>
        <v/>
      </c>
    </row>
    <row r="36" ht="21" customHeight="1">
      <c r="B36" s="148" t="inlineStr">
        <is>
          <t>Key Highlights</t>
        </is>
      </c>
    </row>
    <row r="38" ht="63" customHeight="1">
      <c r="B38" s="149" t="inlineStr">
        <is>
          <t>Operational Expenses made up the bulk of the spending, with significant allocations to staff salaries, essential utilities, infrastructure maintenance, and key technology investments.</t>
        </is>
      </c>
      <c r="C38" s="150">
        <f>'Quarterly (Q2)'!I78</f>
        <v/>
      </c>
    </row>
    <row r="39" ht="63" customHeight="1">
      <c r="B39" s="149" t="inlineStr">
        <is>
          <t>Only the MD and driver salaries have been incurred with a carryover from March. Interns were added in April but did not add dignificantly to the budget. The monthly Payroll for April is:</t>
        </is>
      </c>
      <c r="C39" s="150">
        <f>'Quarterly (Q2)'!F19</f>
        <v/>
      </c>
      <c r="D39" s="151" t="inlineStr">
        <is>
          <t>included in operational expenses</t>
        </is>
      </c>
    </row>
    <row r="40" ht="63" customHeight="1">
      <c r="B40" s="149" t="inlineStr">
        <is>
          <t>Building repairs also made a considerable addition as a recent rainstorm in Ilorin in April caused leakage on the roof which also damaged the LED screen in the main hall. Roof costs will be paid but deducted from Solar vendors retention.</t>
        </is>
      </c>
      <c r="C40" s="150">
        <f>'Quarterly (Q2)'!F30</f>
        <v/>
      </c>
      <c r="D40" s="151" t="inlineStr">
        <is>
          <t>included in operational expenses</t>
        </is>
      </c>
    </row>
    <row r="41" ht="42" customHeight="1">
      <c r="B41" s="149" t="inlineStr">
        <is>
          <t>We have recommended a budget Provision for Spare Parts for Solar, Electrical, Mechanical, LED Screens, as quoted by vendors managed by the Project Manager</t>
        </is>
      </c>
      <c r="C41" s="150">
        <f>'Quarterly (Q2)'!H39</f>
        <v/>
      </c>
      <c r="D41" s="151" t="inlineStr">
        <is>
          <t>included in operational expenses</t>
        </is>
      </c>
    </row>
    <row r="42" ht="42" customHeight="1">
      <c r="B42" s="149" t="inlineStr">
        <is>
          <t>We plan to attend Vivatech Paris in June 2025, with a 2-man delegation. The costs for this have been budgeted for.</t>
        </is>
      </c>
    </row>
    <row r="43" ht="105" customHeight="1">
      <c r="B43" s="149" t="inlineStr">
        <is>
          <t>Program Support initiatives included recurring community meetups, field engagements, and capacity development through staff training programs. One ecosystem event was held in March. We didnt host any ecosystem event in April but hosted a few external events such as UNILORIN Build with AI and a Womens empowerment event at no cost to us.</t>
        </is>
      </c>
    </row>
    <row r="44" ht="63" customHeight="1">
      <c r="B44" s="149" t="inlineStr">
        <is>
          <t>A portion of the budget was reserved for contingency and sustainability, including a 2% reserve fund allocation from inflows and a buffer for miscellaneous or unexpected costs.</t>
        </is>
      </c>
      <c r="C44" s="150">
        <f>'Quarterly (Q2)'!I95</f>
        <v/>
      </c>
    </row>
  </sheetData>
  <pageMargins left="0.25" right="0.25" top="0.75" bottom="0.75" header="0.3" footer="0.3"/>
  <pageSetup orientation="portrait" paperSize="9" scale="53" horizontalDpi="0" verticalDpi="0"/>
</worksheet>
</file>

<file path=xl/worksheets/sheet7.xml><?xml version="1.0" encoding="utf-8"?>
<worksheet xmlns="http://schemas.openxmlformats.org/spreadsheetml/2006/main">
  <sheetPr>
    <outlinePr summaryBelow="1" summaryRight="1"/>
    <pageSetUpPr fitToPage="1"/>
  </sheetPr>
  <dimension ref="B4:D35"/>
  <sheetViews>
    <sheetView topLeftCell="A24" workbookViewId="0">
      <selection activeCell="C34" sqref="C34"/>
    </sheetView>
  </sheetViews>
  <sheetFormatPr baseColWidth="10" defaultRowHeight="20"/>
  <cols>
    <col width="95.33203125" customWidth="1" style="147" min="2" max="2"/>
    <col width="23.1640625" customWidth="1" style="150" min="3" max="3"/>
    <col width="32.1640625" bestFit="1" customWidth="1" style="151" min="4" max="4"/>
    <col width="22.83203125" customWidth="1" min="5" max="5"/>
  </cols>
  <sheetData>
    <row r="4">
      <c r="B4" s="146" t="inlineStr">
        <is>
          <t xml:space="preserve">Q3 2025 BUDGET SUMMARY </t>
        </is>
      </c>
    </row>
    <row r="5">
      <c r="B5" s="146" t="n"/>
      <c r="C5" s="148" t="n"/>
    </row>
    <row r="6" ht="107" customHeight="1">
      <c r="B6" s="144" t="inlineStr">
        <is>
          <t>This report provides a consolidated view of Q3 2025 expenses to support transparent and accountable disbursement of the IHS operational funds for the Ilorin Innovation Hub. The quarter’s activities remained aligned with the Hub’s broader mandate of fostering innovation, supporting local startups, and driving digital empowerment.</t>
        </is>
      </c>
    </row>
    <row r="7" ht="110" customHeight="1">
      <c r="B7" s="144" t="inlineStr">
        <is>
          <t xml:space="preserve">The third quarter of 2025 focused on building program momentum with stable operations at the Ilorin Innovation Hub. During this period, the Hub incurred total expenses comprising recurring costs and no one-time costs. </t>
        </is>
      </c>
    </row>
    <row r="8" ht="77" customHeight="1">
      <c r="B8" s="144" t="n"/>
    </row>
    <row r="9" ht="22" customHeight="1">
      <c r="B9" s="148" t="n"/>
    </row>
    <row r="10" ht="22" customHeight="1">
      <c r="B10" s="167" t="inlineStr">
        <is>
          <t>FULL Q3 BREAKDOWN</t>
        </is>
      </c>
      <c r="C10" s="188" t="inlineStr">
        <is>
          <t>Amount (₦)</t>
        </is>
      </c>
    </row>
    <row r="11" ht="22" customHeight="1">
      <c r="B11" s="167" t="n"/>
    </row>
    <row r="12" ht="21" customHeight="1">
      <c r="B12" s="148" t="inlineStr">
        <is>
          <t xml:space="preserve">Budget Category </t>
        </is>
      </c>
    </row>
    <row r="13" ht="21" customHeight="1">
      <c r="B13" s="148">
        <f>'Quarterly (Q2)'!B18</f>
        <v/>
      </c>
      <c r="C13" s="153">
        <f>SUM(C14:C18)</f>
        <v/>
      </c>
    </row>
    <row r="14" ht="21" customHeight="1">
      <c r="B14" s="144">
        <f>'Quarterly (Q2)'!B19</f>
        <v/>
      </c>
      <c r="C14" s="152">
        <f>'Quarterly (Q3)'!H18</f>
        <v/>
      </c>
    </row>
    <row r="15" ht="21" customHeight="1">
      <c r="B15" s="144">
        <f>'Quarterly (Q2)'!B22</f>
        <v/>
      </c>
      <c r="C15" s="152">
        <f>'Quarterly (Q3)'!H30</f>
        <v/>
      </c>
      <c r="D15" s="110" t="n"/>
    </row>
    <row r="16" ht="21" customHeight="1">
      <c r="B16" s="144">
        <f>'Quarterly (Q2)'!B42</f>
        <v/>
      </c>
      <c r="C16" s="152">
        <f>'Quarterly (Q3)'!H36</f>
        <v/>
      </c>
    </row>
    <row r="17" ht="21" customHeight="1">
      <c r="B17" s="144">
        <f>'Quarterly (Q2)'!B63</f>
        <v/>
      </c>
      <c r="C17" s="152">
        <f>'Quarterly (Q3)'!H43</f>
        <v/>
      </c>
      <c r="D17" s="189" t="n"/>
    </row>
    <row r="18" ht="21" customHeight="1">
      <c r="B18" s="144">
        <f>'Quarterly (Q2)'!B72</f>
        <v/>
      </c>
      <c r="C18" s="152">
        <f>'Quarterly (Q3)'!H47</f>
        <v/>
      </c>
    </row>
    <row r="19">
      <c r="B19" s="144" t="n"/>
      <c r="C19" s="153" t="n"/>
    </row>
    <row r="20" ht="21" customHeight="1">
      <c r="B20" s="148">
        <f>'Quarterly (Q2)'!B82</f>
        <v/>
      </c>
      <c r="C20" s="153">
        <f>'Quarterly (Q3)'!H59</f>
        <v/>
      </c>
    </row>
    <row r="21">
      <c r="B21" s="144" t="n"/>
      <c r="C21" s="153" t="n"/>
    </row>
    <row r="22" ht="21" customHeight="1">
      <c r="B22" s="148">
        <f>'Quarterly (Q2)'!B92</f>
        <v/>
      </c>
      <c r="C22" s="153">
        <f>'Quarterly (Q3)'!H66</f>
        <v/>
      </c>
    </row>
    <row r="23" ht="21" customHeight="1">
      <c r="B23" s="144">
        <f>'Quarterly (Q2)'!B93</f>
        <v/>
      </c>
      <c r="C23" s="152">
        <f>'Quarterly (Q3)'!H64</f>
        <v/>
      </c>
    </row>
    <row r="24" ht="21" customHeight="1">
      <c r="B24" s="144">
        <f>'Quarterly (Q2)'!B94</f>
        <v/>
      </c>
      <c r="C24" s="152">
        <f>'Quarterly (Q3)'!H65</f>
        <v/>
      </c>
    </row>
    <row r="25">
      <c r="B25" s="144" t="n"/>
      <c r="C25" s="153" t="n"/>
    </row>
    <row r="26" ht="21" customHeight="1">
      <c r="B26" s="148" t="inlineStr">
        <is>
          <t>Total Expenses</t>
        </is>
      </c>
      <c r="C26" s="153">
        <f>C13+C20+C22</f>
        <v/>
      </c>
    </row>
    <row r="27">
      <c r="B27" s="148" t="n"/>
    </row>
    <row r="28">
      <c r="B28" s="148" t="n"/>
    </row>
    <row r="31" ht="21" customHeight="1">
      <c r="B31" s="148" t="inlineStr">
        <is>
          <t>Key Highlights</t>
        </is>
      </c>
    </row>
    <row r="33" ht="63" customHeight="1">
      <c r="B33" s="149" t="inlineStr">
        <is>
          <t>Operational Expenses made up the bulk of the spending, with significant allocations to staff salaries, essential utilities, infrastructure maintenance, and key technology investments.</t>
        </is>
      </c>
      <c r="C33" s="150">
        <f>'Quarterly (Q3)'!H50</f>
        <v/>
      </c>
    </row>
    <row r="34" ht="42" customHeight="1">
      <c r="B34" s="149" t="inlineStr">
        <is>
          <t>No Equipment/software and Connectivity utility costs for this quarter, as those have been paid as one time costs in previous Q2 budget.</t>
        </is>
      </c>
    </row>
    <row r="35" ht="63" customHeight="1">
      <c r="B35" s="149" t="inlineStr">
        <is>
          <t>A portion of the budget was reserved for contingency and sustainability, including a 2% reserve fund allocation from inflows and a buffer for miscellaneous or unexpected costs.</t>
        </is>
      </c>
      <c r="C35" s="150">
        <f>'Quarterly (Q3)'!H66</f>
        <v/>
      </c>
    </row>
  </sheetData>
  <pageMargins left="0.25" right="0.25" top="0.75" bottom="0.75" header="0.3" footer="0.3"/>
  <pageSetup orientation="portrait" paperSize="9" scale="53" horizontalDpi="0" verticalDpi="0"/>
</worksheet>
</file>

<file path=xl/worksheets/sheet8.xml><?xml version="1.0" encoding="utf-8"?>
<worksheet xmlns="http://schemas.openxmlformats.org/spreadsheetml/2006/main">
  <sheetPr>
    <outlinePr summaryBelow="1" summaryRight="1"/>
    <pageSetUpPr fitToPage="1"/>
  </sheetPr>
  <dimension ref="B5:E85"/>
  <sheetViews>
    <sheetView workbookViewId="0">
      <selection activeCell="A78" sqref="A34:XFD78"/>
    </sheetView>
  </sheetViews>
  <sheetFormatPr baseColWidth="10" defaultRowHeight="20"/>
  <cols>
    <col width="82.1640625" customWidth="1" style="145" min="2" max="2"/>
    <col width="33.1640625" customWidth="1" style="160" min="3" max="3"/>
    <col width="19.6640625" customWidth="1" min="4" max="5"/>
    <col width="24.33203125" customWidth="1" min="6" max="6"/>
    <col width="21.6640625" customWidth="1" min="7" max="7"/>
  </cols>
  <sheetData>
    <row r="5">
      <c r="B5" s="154" t="inlineStr">
        <is>
          <t>Q2 ONE TIME COSTS</t>
        </is>
      </c>
      <c r="C5" s="155" t="n"/>
    </row>
    <row r="6" ht="42" customHeight="1">
      <c r="B6" s="161" t="inlineStr">
        <is>
          <t>These costs are covering the remaining period of 2025 and will not come up in subsequent quarters Q3 and Q4</t>
        </is>
      </c>
      <c r="C6" s="155" t="n"/>
    </row>
    <row r="7">
      <c r="B7" s="156" t="n"/>
      <c r="C7" s="155" t="n"/>
    </row>
    <row r="8">
      <c r="B8" s="154">
        <f>'Quarterly (Q2)'!B22</f>
        <v/>
      </c>
      <c r="C8" s="159">
        <f>SUM(C9:C14)</f>
        <v/>
      </c>
      <c r="E8" s="110" t="n"/>
    </row>
    <row r="9">
      <c r="B9" s="157">
        <f>'Quarterly (Q2)'!B23</f>
        <v/>
      </c>
      <c r="C9" s="155">
        <f>'Quarterly (Q2)'!I23</f>
        <v/>
      </c>
    </row>
    <row r="10">
      <c r="B10" s="157">
        <f>'Quarterly (Q2)'!B24</f>
        <v/>
      </c>
      <c r="C10" s="155">
        <f>'Quarterly (Q2)'!I24</f>
        <v/>
      </c>
    </row>
    <row r="11">
      <c r="B11" s="157">
        <f>'Quarterly (Q2)'!B25</f>
        <v/>
      </c>
      <c r="C11" s="155">
        <f>'Quarterly (Q2)'!I25</f>
        <v/>
      </c>
    </row>
    <row r="12">
      <c r="B12" s="157">
        <f>'Quarterly (Q2)'!B26</f>
        <v/>
      </c>
      <c r="C12" s="155">
        <f>'Quarterly (Q2)'!I26</f>
        <v/>
      </c>
    </row>
    <row r="13">
      <c r="B13" s="157">
        <f>'Quarterly (Q2)'!B27</f>
        <v/>
      </c>
      <c r="C13" s="155">
        <f>'Quarterly (Q2)'!I27</f>
        <v/>
      </c>
    </row>
    <row r="14" ht="21" customHeight="1">
      <c r="B14" s="158">
        <f>'Quarterly (Q2)'!B39</f>
        <v/>
      </c>
      <c r="C14" s="155">
        <f>'Quarterly (Q2)'!I39</f>
        <v/>
      </c>
    </row>
    <row r="15">
      <c r="B15" s="156" t="n"/>
      <c r="C15" s="155" t="n"/>
    </row>
    <row r="16">
      <c r="B16" s="154">
        <f>'Quarterly (Q2)'!B53</f>
        <v/>
      </c>
      <c r="C16" s="159">
        <f>SUM(C17:C22)</f>
        <v/>
      </c>
    </row>
    <row r="17" ht="21" customHeight="1">
      <c r="B17" s="158">
        <f>'Quarterly (Q2)'!B54</f>
        <v/>
      </c>
      <c r="C17" s="155">
        <f>'Quarterly (Q2)'!I54</f>
        <v/>
      </c>
    </row>
    <row r="18">
      <c r="B18" s="157">
        <f>'Quarterly (Q2)'!B55</f>
        <v/>
      </c>
      <c r="C18" s="155">
        <f>'Quarterly (Q2)'!I55</f>
        <v/>
      </c>
    </row>
    <row r="19">
      <c r="B19" s="157">
        <f>'Quarterly (Q2)'!B56</f>
        <v/>
      </c>
      <c r="C19" s="155">
        <f>'Quarterly (Q2)'!I56</f>
        <v/>
      </c>
    </row>
    <row r="20">
      <c r="B20" s="157">
        <f>'Quarterly (Q2)'!B57</f>
        <v/>
      </c>
      <c r="C20" s="155">
        <f>'Quarterly (Q2)'!I57</f>
        <v/>
      </c>
    </row>
    <row r="21">
      <c r="B21" s="157">
        <f>'Quarterly (Q2)'!B58</f>
        <v/>
      </c>
      <c r="C21" s="155">
        <f>'Quarterly (Q2)'!I58</f>
        <v/>
      </c>
    </row>
    <row r="22">
      <c r="B22" s="162">
        <f>'Quarterly (Q2)'!B59</f>
        <v/>
      </c>
      <c r="C22" s="155">
        <f>'Quarterly (Q2)'!I59</f>
        <v/>
      </c>
    </row>
    <row r="23">
      <c r="B23" s="156" t="n"/>
      <c r="C23" s="155" t="n"/>
    </row>
    <row r="24">
      <c r="B24" s="154">
        <f>'Quarterly (Q2)'!B63</f>
        <v/>
      </c>
      <c r="C24" s="159">
        <f>SUM(C25:C27)</f>
        <v/>
      </c>
    </row>
    <row r="25" ht="21" customHeight="1">
      <c r="B25" s="158">
        <f>'Quarterly (Q2)'!B64</f>
        <v/>
      </c>
      <c r="C25" s="155">
        <f>'Quarterly (Q2)'!I64</f>
        <v/>
      </c>
    </row>
    <row r="26">
      <c r="B26" s="157">
        <f>'Quarterly (Q2)'!B66</f>
        <v/>
      </c>
      <c r="C26" s="155">
        <f>'Quarterly (Q2)'!I66</f>
        <v/>
      </c>
    </row>
    <row r="27">
      <c r="B27" s="157">
        <f>'Quarterly (Q2)'!B67</f>
        <v/>
      </c>
      <c r="C27" s="155">
        <f>'Quarterly (Q2)'!I67</f>
        <v/>
      </c>
    </row>
    <row r="28">
      <c r="B28" s="156" t="n"/>
      <c r="C28" s="155" t="n"/>
    </row>
    <row r="29">
      <c r="B29" s="156" t="n"/>
      <c r="C29" s="155" t="n"/>
    </row>
    <row r="30">
      <c r="B30" s="154">
        <f>'Quarterly (Q2)'!B72</f>
        <v/>
      </c>
      <c r="C30" s="159">
        <f>SUM(C31)</f>
        <v/>
      </c>
    </row>
    <row r="31" ht="21" customHeight="1">
      <c r="B31" s="158">
        <f>'Quarterly (Q2)'!B74</f>
        <v/>
      </c>
      <c r="C31" s="155">
        <f>'Quarterly (Q2)'!I74</f>
        <v/>
      </c>
    </row>
    <row r="32">
      <c r="B32" s="193" t="n"/>
      <c r="C32" s="155" t="n"/>
    </row>
    <row r="33">
      <c r="B33" s="193" t="n"/>
      <c r="C33" s="155" t="n"/>
    </row>
    <row r="34" hidden="1">
      <c r="B34" s="193" t="n"/>
      <c r="C34" s="155" t="n"/>
    </row>
    <row r="35" hidden="1">
      <c r="B35" s="154" t="inlineStr">
        <is>
          <t>Q2 RECURRING COSTS</t>
        </is>
      </c>
      <c r="C35" s="155" t="n"/>
    </row>
    <row r="36" hidden="1">
      <c r="B36" s="154" t="n"/>
      <c r="C36" s="155" t="n"/>
    </row>
    <row r="37" hidden="1">
      <c r="B37" s="154">
        <f>'Quarterly (Q2)'!B19</f>
        <v/>
      </c>
      <c r="C37" s="159">
        <f>'Quarterly (Q2)'!I19</f>
        <v/>
      </c>
    </row>
    <row r="38" hidden="1">
      <c r="B38" s="193" t="n"/>
      <c r="C38" s="155" t="n"/>
    </row>
    <row r="39" hidden="1" ht="21" customHeight="1">
      <c r="B39" s="195">
        <f>'Quarterly (Q2)'!B22</f>
        <v/>
      </c>
      <c r="C39" s="159">
        <f>SUM(C40:C50)</f>
        <v/>
      </c>
    </row>
    <row r="40" hidden="1" ht="21" customHeight="1">
      <c r="B40" s="194">
        <f>'Quarterly (Q2)'!B28</f>
        <v/>
      </c>
      <c r="C40" s="155">
        <f>'Quarterly (Q2)'!I28</f>
        <v/>
      </c>
    </row>
    <row r="41" hidden="1" ht="21" customHeight="1">
      <c r="B41" s="194">
        <f>'Quarterly (Q2)'!B29</f>
        <v/>
      </c>
      <c r="C41" s="155">
        <f>'Quarterly (Q2)'!I29</f>
        <v/>
      </c>
    </row>
    <row r="42" hidden="1" ht="21" customHeight="1">
      <c r="B42" s="194">
        <f>'Quarterly (Q2)'!B30</f>
        <v/>
      </c>
      <c r="C42" s="155">
        <f>'Quarterly (Q2)'!I30</f>
        <v/>
      </c>
    </row>
    <row r="43" hidden="1" ht="21" customHeight="1">
      <c r="B43" s="194">
        <f>'Quarterly (Q2)'!B31</f>
        <v/>
      </c>
      <c r="C43" s="155">
        <f>'Quarterly (Q2)'!I31</f>
        <v/>
      </c>
    </row>
    <row r="44" hidden="1" ht="21" customHeight="1">
      <c r="B44" s="194">
        <f>'Quarterly (Q2)'!B32</f>
        <v/>
      </c>
      <c r="C44" s="155">
        <f>'Quarterly (Q2)'!I32</f>
        <v/>
      </c>
    </row>
    <row r="45" hidden="1" ht="21" customHeight="1">
      <c r="B45" s="194">
        <f>'Quarterly (Q2)'!B33</f>
        <v/>
      </c>
      <c r="C45" s="155">
        <f>'Quarterly (Q2)'!I33</f>
        <v/>
      </c>
    </row>
    <row r="46" hidden="1" ht="21" customHeight="1">
      <c r="B46" s="194">
        <f>'Quarterly (Q2)'!B34</f>
        <v/>
      </c>
      <c r="C46" s="155">
        <f>'Quarterly (Q2)'!I34</f>
        <v/>
      </c>
    </row>
    <row r="47" hidden="1" ht="21" customHeight="1">
      <c r="B47" s="194">
        <f>'Quarterly (Q2)'!B35</f>
        <v/>
      </c>
      <c r="C47" s="155">
        <f>'Quarterly (Q2)'!I35</f>
        <v/>
      </c>
    </row>
    <row r="48" hidden="1" ht="21" customHeight="1">
      <c r="B48" s="194">
        <f>'Quarterly (Q2)'!B36</f>
        <v/>
      </c>
      <c r="C48" s="155">
        <f>'Quarterly (Q2)'!I36</f>
        <v/>
      </c>
    </row>
    <row r="49" hidden="1" ht="21" customHeight="1">
      <c r="B49" s="194">
        <f>'Quarterly (Q2)'!B37</f>
        <v/>
      </c>
      <c r="C49" s="155">
        <f>'Quarterly (Q2)'!I37</f>
        <v/>
      </c>
    </row>
    <row r="50" hidden="1" ht="21" customHeight="1">
      <c r="B50" s="194">
        <f>'Quarterly (Q2)'!B38</f>
        <v/>
      </c>
      <c r="C50" s="155">
        <f>'Quarterly (Q2)'!I38</f>
        <v/>
      </c>
    </row>
    <row r="51" hidden="1">
      <c r="B51" s="193" t="n"/>
      <c r="C51" s="155" t="n"/>
    </row>
    <row r="52" hidden="1" ht="21" customHeight="1">
      <c r="B52" s="195">
        <f>'Quarterly (Q2)'!B42</f>
        <v/>
      </c>
      <c r="C52" s="159">
        <f>SUM(C53:C60)</f>
        <v/>
      </c>
    </row>
    <row r="53" hidden="1" ht="21" customHeight="1">
      <c r="B53" s="193">
        <f>'Quarterly (Q2)'!B43</f>
        <v/>
      </c>
      <c r="C53" s="155">
        <f>'Quarterly (Q2)'!I43</f>
        <v/>
      </c>
    </row>
    <row r="54" hidden="1" ht="21" customHeight="1">
      <c r="B54" s="193">
        <f>'Quarterly (Q2)'!B44</f>
        <v/>
      </c>
      <c r="C54" s="155">
        <f>'Quarterly (Q2)'!I44</f>
        <v/>
      </c>
    </row>
    <row r="55" hidden="1" ht="21" customHeight="1">
      <c r="B55" s="193">
        <f>'Quarterly (Q2)'!B45</f>
        <v/>
      </c>
      <c r="C55" s="155">
        <f>'Quarterly (Q2)'!I45</f>
        <v/>
      </c>
    </row>
    <row r="56" hidden="1" ht="21" customHeight="1">
      <c r="B56" s="193">
        <f>'Quarterly (Q2)'!B46</f>
        <v/>
      </c>
      <c r="C56" s="155">
        <f>'Quarterly (Q2)'!I46</f>
        <v/>
      </c>
    </row>
    <row r="57" hidden="1" ht="21" customHeight="1">
      <c r="B57" s="193">
        <f>'Quarterly (Q2)'!B47</f>
        <v/>
      </c>
      <c r="C57" s="155">
        <f>'Quarterly (Q2)'!I47</f>
        <v/>
      </c>
    </row>
    <row r="58" hidden="1" ht="21" customHeight="1">
      <c r="B58" s="193">
        <f>'Quarterly (Q2)'!B48</f>
        <v/>
      </c>
      <c r="C58" s="155">
        <f>'Quarterly (Q2)'!I48</f>
        <v/>
      </c>
    </row>
    <row r="59" hidden="1" ht="21" customHeight="1">
      <c r="B59" s="193">
        <f>'Quarterly (Q2)'!B49</f>
        <v/>
      </c>
      <c r="C59" s="155">
        <f>'Quarterly (Q2)'!I49</f>
        <v/>
      </c>
    </row>
    <row r="60" hidden="1" ht="21" customHeight="1">
      <c r="B60" s="193">
        <f>'Quarterly (Q2)'!B50</f>
        <v/>
      </c>
      <c r="C60" s="155">
        <f>'Quarterly (Q2)'!I50</f>
        <v/>
      </c>
    </row>
    <row r="61" hidden="1">
      <c r="B61" s="193" t="n"/>
      <c r="C61" s="155" t="n"/>
    </row>
    <row r="62" hidden="1" ht="21" customHeight="1">
      <c r="B62" s="195">
        <f>'Quarterly (Q2)'!B63</f>
        <v/>
      </c>
      <c r="C62" s="159">
        <f>SUM(C63:C64)</f>
        <v/>
      </c>
    </row>
    <row r="63" hidden="1" ht="21" customHeight="1">
      <c r="B63" s="193">
        <f>'Quarterly (Q2)'!B65</f>
        <v/>
      </c>
      <c r="C63" s="155">
        <f>'Quarterly (Q2)'!I65</f>
        <v/>
      </c>
    </row>
    <row r="64" hidden="1" ht="21" customHeight="1">
      <c r="B64" s="193">
        <f>'Quarterly (Q2)'!B68</f>
        <v/>
      </c>
      <c r="C64" s="155">
        <f>'Quarterly (Q2)'!I68</f>
        <v/>
      </c>
    </row>
    <row r="65" hidden="1">
      <c r="B65" s="193" t="n"/>
      <c r="C65" s="155" t="n"/>
    </row>
    <row r="66" hidden="1" ht="21" customHeight="1">
      <c r="B66" s="195">
        <f>'Quarterly (Q2)'!B72</f>
        <v/>
      </c>
      <c r="C66" s="159">
        <f>SUM(C67)</f>
        <v/>
      </c>
    </row>
    <row r="67" hidden="1" ht="21" customHeight="1">
      <c r="B67" s="193">
        <f>'Quarterly (Q2)'!B73</f>
        <v/>
      </c>
      <c r="C67" s="155">
        <f>'Quarterly (Q2)'!I73</f>
        <v/>
      </c>
    </row>
    <row r="68" hidden="1">
      <c r="B68" s="193" t="n"/>
      <c r="C68" s="155" t="n"/>
    </row>
    <row r="69" hidden="1" ht="21" customHeight="1">
      <c r="B69" s="195">
        <f>'Quarterly (Q2)'!B82</f>
        <v/>
      </c>
      <c r="C69" s="159">
        <f>SUM(C70:C74)</f>
        <v/>
      </c>
    </row>
    <row r="70" hidden="1" ht="21" customHeight="1">
      <c r="B70" s="193">
        <f>'Quarterly (Q2)'!B83</f>
        <v/>
      </c>
      <c r="C70" s="155">
        <f>'Quarterly (Q2)'!I83</f>
        <v/>
      </c>
    </row>
    <row r="71" hidden="1" ht="21" customHeight="1">
      <c r="B71" s="193">
        <f>'Quarterly (Q2)'!B84</f>
        <v/>
      </c>
      <c r="C71" s="155">
        <f>'Quarterly (Q2)'!I84</f>
        <v/>
      </c>
    </row>
    <row r="72" hidden="1" ht="21" customHeight="1">
      <c r="B72" s="193">
        <f>'Quarterly (Q2)'!B85</f>
        <v/>
      </c>
      <c r="C72" s="155">
        <f>'Quarterly (Q2)'!I85</f>
        <v/>
      </c>
    </row>
    <row r="73" hidden="1" ht="21" customHeight="1">
      <c r="B73" s="193">
        <f>'Quarterly (Q2)'!B86</f>
        <v/>
      </c>
      <c r="C73" s="155">
        <f>'Quarterly (Q2)'!I86</f>
        <v/>
      </c>
    </row>
    <row r="74" hidden="1" ht="21" customHeight="1">
      <c r="B74" s="193">
        <f>'Quarterly (Q2)'!B87</f>
        <v/>
      </c>
      <c r="C74" s="155">
        <f>'Quarterly (Q2)'!I87</f>
        <v/>
      </c>
    </row>
    <row r="75" hidden="1">
      <c r="B75" s="193" t="n"/>
      <c r="C75" s="155" t="n"/>
    </row>
    <row r="76" hidden="1" ht="21" customHeight="1">
      <c r="B76" s="195">
        <f>'Quarterly (Q2)'!B92</f>
        <v/>
      </c>
      <c r="C76" s="159">
        <f>SUM(C77:C78)</f>
        <v/>
      </c>
    </row>
    <row r="77" hidden="1" ht="21" customHeight="1">
      <c r="B77" s="193">
        <f>'Quarterly (Q2)'!B93</f>
        <v/>
      </c>
      <c r="C77" s="155">
        <f>'Quarterly (Q2)'!I93</f>
        <v/>
      </c>
    </row>
    <row r="78" hidden="1" ht="21" customHeight="1">
      <c r="B78" s="193">
        <f>'Quarterly (Q2)'!B94</f>
        <v/>
      </c>
      <c r="C78" s="155">
        <f>'Quarterly (Q2)'!I94</f>
        <v/>
      </c>
    </row>
    <row r="79">
      <c r="B79" s="193" t="n"/>
      <c r="C79" s="155" t="n"/>
    </row>
    <row r="80">
      <c r="B80" s="156" t="n"/>
      <c r="C80" s="155" t="n"/>
    </row>
    <row r="81">
      <c r="B81" s="190" t="inlineStr">
        <is>
          <t>Total One Time Costs</t>
        </is>
      </c>
      <c r="C81" s="159">
        <f>C8+C16+C24+C30</f>
        <v/>
      </c>
    </row>
    <row r="82">
      <c r="B82" s="190" t="inlineStr">
        <is>
          <t>Remaining Recurring Costs</t>
        </is>
      </c>
      <c r="C82" s="159">
        <f>C69+C62+C52+C39+C37+C66+C76</f>
        <v/>
      </c>
      <c r="D82" s="115" t="n"/>
    </row>
    <row r="83">
      <c r="B83" s="190" t="n"/>
      <c r="C83" s="159" t="n"/>
    </row>
    <row r="84">
      <c r="B84" s="190" t="inlineStr">
        <is>
          <t>Total Operational Costs</t>
        </is>
      </c>
      <c r="C84" s="159">
        <f>C81+C82</f>
        <v/>
      </c>
    </row>
    <row r="85">
      <c r="B85" s="191" t="inlineStr">
        <is>
          <t xml:space="preserve">excluding contingency </t>
        </is>
      </c>
    </row>
  </sheetData>
  <pageMargins left="0.25" right="0.25" top="0.75" bottom="0.75" header="0.3" footer="0.3"/>
  <pageSetup orientation="portrait" paperSize="9" scale="73" horizontalDpi="0" verticalDpi="0"/>
</worksheet>
</file>

<file path=xl/worksheets/sheet9.xml><?xml version="1.0" encoding="utf-8"?>
<worksheet xmlns="http://schemas.openxmlformats.org/spreadsheetml/2006/main">
  <sheetPr>
    <outlinePr summaryBelow="1" summaryRight="1"/>
    <pageSetUpPr/>
  </sheetPr>
  <dimension ref="A1:R48"/>
  <sheetViews>
    <sheetView workbookViewId="0">
      <selection activeCell="B27" sqref="B27"/>
    </sheetView>
  </sheetViews>
  <sheetFormatPr baseColWidth="10" defaultColWidth="8.83203125" defaultRowHeight="15"/>
  <cols>
    <col width="29.83203125" customWidth="1" style="207" min="2" max="2"/>
    <col width="11.5" bestFit="1" customWidth="1" style="36" min="4" max="4"/>
    <col width="11.1640625" bestFit="1" customWidth="1" style="36" min="5" max="5"/>
    <col width="12.5" customWidth="1" style="36" min="6" max="6"/>
    <col width="12.33203125" customWidth="1" style="36" min="7" max="7"/>
    <col width="13.6640625" customWidth="1" style="36" min="8" max="8"/>
    <col width="13.83203125" customWidth="1" style="36" min="9" max="9"/>
    <col width="13.33203125" customWidth="1" style="36" min="10" max="10"/>
    <col width="12.5" customWidth="1" style="36" min="11" max="11"/>
    <col width="12.83203125" customWidth="1" style="36" min="12" max="12"/>
    <col width="15.1640625" customWidth="1" style="36" min="13" max="13"/>
    <col width="14.83203125" customWidth="1" style="36" min="14" max="14"/>
    <col width="14.1640625" customWidth="1" style="36" min="15" max="15"/>
    <col width="14.6640625" customWidth="1" min="16" max="16"/>
    <col width="23.6640625" customWidth="1" min="17" max="17"/>
  </cols>
  <sheetData>
    <row r="1" ht="17" customHeight="1" thickBot="1">
      <c r="D1" s="83" t="n"/>
      <c r="F1" s="218" t="inlineStr">
        <is>
          <t>Employer Cost - aligned with the Headcount Phasing</t>
        </is>
      </c>
      <c r="G1" s="219" t="n"/>
      <c r="H1" s="219" t="n"/>
      <c r="I1" s="219" t="n"/>
      <c r="J1" s="219" t="n"/>
      <c r="K1" s="219" t="n"/>
      <c r="L1" s="219" t="n"/>
      <c r="M1" s="219" t="n"/>
      <c r="N1" s="219" t="n"/>
      <c r="O1" s="220" t="n"/>
      <c r="P1" s="84" t="n"/>
    </row>
    <row r="2" ht="33" customHeight="1" thickBot="1">
      <c r="A2" s="85" t="inlineStr">
        <is>
          <t>S/N</t>
        </is>
      </c>
      <c r="B2" s="208" t="inlineStr">
        <is>
          <t>Grade</t>
        </is>
      </c>
      <c r="C2" s="86" t="inlineStr">
        <is>
          <t>Qty</t>
        </is>
      </c>
      <c r="D2" s="87" t="inlineStr">
        <is>
          <t>Jan</t>
        </is>
      </c>
      <c r="E2" s="87" t="inlineStr">
        <is>
          <t>Feb</t>
        </is>
      </c>
      <c r="F2" s="87" t="inlineStr">
        <is>
          <t>Mar</t>
        </is>
      </c>
      <c r="G2" s="87" t="inlineStr">
        <is>
          <t>Apr</t>
        </is>
      </c>
      <c r="H2" s="87" t="inlineStr">
        <is>
          <t>May</t>
        </is>
      </c>
      <c r="I2" s="87" t="inlineStr">
        <is>
          <t>Jun</t>
        </is>
      </c>
      <c r="J2" s="87" t="inlineStr">
        <is>
          <t>Jul</t>
        </is>
      </c>
      <c r="K2" s="87" t="inlineStr">
        <is>
          <t>Aug</t>
        </is>
      </c>
      <c r="L2" s="87" t="inlineStr">
        <is>
          <t>Sep</t>
        </is>
      </c>
      <c r="M2" s="87" t="inlineStr">
        <is>
          <t>Oct</t>
        </is>
      </c>
      <c r="N2" s="87" t="inlineStr">
        <is>
          <t>Nov</t>
        </is>
      </c>
      <c r="O2" s="87" t="inlineStr">
        <is>
          <t>Dec</t>
        </is>
      </c>
      <c r="P2" s="88" t="inlineStr">
        <is>
          <t>Total Cost for the year 2026</t>
        </is>
      </c>
      <c r="Q2" s="88" t="inlineStr">
        <is>
          <t>Performance Bonus</t>
        </is>
      </c>
    </row>
    <row r="3" ht="16" customHeight="1">
      <c r="A3" s="89" t="n">
        <v>1</v>
      </c>
      <c r="B3" s="209" t="inlineStr">
        <is>
          <t>Managing Director</t>
        </is>
      </c>
      <c r="C3" s="90" t="n">
        <v>1</v>
      </c>
      <c r="D3" s="221" t="n">
        <v>4760000</v>
      </c>
      <c r="E3" s="221" t="n">
        <v>4760000</v>
      </c>
      <c r="F3" s="221" t="n">
        <v>4760000</v>
      </c>
      <c r="G3" s="221" t="n">
        <v>4760000</v>
      </c>
      <c r="H3" s="221" t="n">
        <v>4760000</v>
      </c>
      <c r="I3" s="221" t="n">
        <v>4760000</v>
      </c>
      <c r="J3" s="221" t="n">
        <v>4760000</v>
      </c>
      <c r="K3" s="221" t="n">
        <v>4760000</v>
      </c>
      <c r="L3" s="221" t="n">
        <v>4760000</v>
      </c>
      <c r="M3" s="221" t="n">
        <v>4760000</v>
      </c>
      <c r="N3" s="221" t="n">
        <v>4760000</v>
      </c>
      <c r="O3" s="221" t="n">
        <v>4760000</v>
      </c>
      <c r="P3" s="222">
        <f>SUM(D3:O3)</f>
        <v/>
      </c>
      <c r="Q3" s="213">
        <f>P3*0.2</f>
        <v/>
      </c>
    </row>
    <row r="4" ht="16" customHeight="1">
      <c r="A4" s="93">
        <f>A3+1</f>
        <v/>
      </c>
      <c r="B4" s="210" t="inlineStr">
        <is>
          <t>Director of Programs</t>
        </is>
      </c>
      <c r="C4" s="90" t="n">
        <v>1</v>
      </c>
      <c r="D4" s="223" t="n">
        <v>2710000</v>
      </c>
      <c r="E4" s="223" t="n">
        <v>2710000</v>
      </c>
      <c r="F4" s="223" t="n">
        <v>2710000</v>
      </c>
      <c r="G4" s="223" t="n">
        <v>2710000</v>
      </c>
      <c r="H4" s="223" t="n">
        <v>2710000</v>
      </c>
      <c r="I4" s="223" t="n">
        <v>2710000</v>
      </c>
      <c r="J4" s="223" t="n">
        <v>2710000</v>
      </c>
      <c r="K4" s="223" t="n">
        <v>2710000</v>
      </c>
      <c r="L4" s="223" t="n">
        <v>2710000</v>
      </c>
      <c r="M4" s="223" t="n">
        <v>2710000</v>
      </c>
      <c r="N4" s="223" t="n">
        <v>2710000</v>
      </c>
      <c r="O4" s="223" t="n">
        <v>2710000</v>
      </c>
      <c r="P4" s="222">
        <f>SUM(D4:O4)</f>
        <v/>
      </c>
      <c r="Q4" s="213">
        <f>P4*0.2</f>
        <v/>
      </c>
    </row>
    <row r="5" ht="16" customHeight="1">
      <c r="A5" s="93">
        <f>A4+1</f>
        <v/>
      </c>
      <c r="B5" s="210" t="inlineStr">
        <is>
          <t>Asst. Director of Operations</t>
        </is>
      </c>
      <c r="C5" s="90" t="n">
        <v>1</v>
      </c>
      <c r="E5" s="223" t="n"/>
      <c r="F5" s="223" t="n">
        <v>1900000</v>
      </c>
      <c r="G5" s="223" t="n">
        <v>1900000</v>
      </c>
      <c r="H5" s="223" t="n">
        <v>1900000</v>
      </c>
      <c r="I5" s="223" t="n">
        <v>1900000</v>
      </c>
      <c r="J5" s="223" t="n">
        <v>1900000</v>
      </c>
      <c r="K5" s="223" t="n">
        <v>1900000</v>
      </c>
      <c r="L5" s="223" t="n">
        <v>1900000</v>
      </c>
      <c r="M5" s="223" t="n">
        <v>1900000</v>
      </c>
      <c r="N5" s="223" t="n">
        <v>1900000</v>
      </c>
      <c r="O5" s="223" t="n">
        <v>1900000</v>
      </c>
      <c r="P5" s="222">
        <f>SUM(D5:O5)</f>
        <v/>
      </c>
      <c r="Q5" s="213">
        <f>P5*0.2</f>
        <v/>
      </c>
    </row>
    <row r="6" ht="16" customHeight="1">
      <c r="A6" s="93">
        <f>A5+1</f>
        <v/>
      </c>
      <c r="B6" s="210" t="inlineStr">
        <is>
          <t>IT Manager</t>
        </is>
      </c>
      <c r="C6" s="90" t="n">
        <v>1</v>
      </c>
      <c r="D6" s="223" t="n">
        <v>555000</v>
      </c>
      <c r="E6" s="223" t="n">
        <v>555000</v>
      </c>
      <c r="F6" s="223" t="n">
        <v>555000</v>
      </c>
      <c r="G6" s="223" t="n">
        <v>555000</v>
      </c>
      <c r="H6" s="223" t="n">
        <v>555000</v>
      </c>
      <c r="I6" s="223" t="n">
        <v>555000</v>
      </c>
      <c r="J6" s="223" t="n">
        <v>555000</v>
      </c>
      <c r="K6" s="223" t="n">
        <v>555000</v>
      </c>
      <c r="L6" s="223" t="n">
        <v>555000</v>
      </c>
      <c r="M6" s="223" t="n">
        <v>555000</v>
      </c>
      <c r="N6" s="223" t="n">
        <v>555000</v>
      </c>
      <c r="O6" s="223" t="n">
        <v>555000</v>
      </c>
      <c r="P6" s="222">
        <f>SUM(D6:O6)</f>
        <v/>
      </c>
      <c r="Q6" s="224">
        <f>P6*0.15</f>
        <v/>
      </c>
    </row>
    <row r="7" ht="16" customHeight="1">
      <c r="A7" s="93">
        <f>A6+1</f>
        <v/>
      </c>
      <c r="B7" s="210" t="inlineStr">
        <is>
          <t>Community Manager</t>
        </is>
      </c>
      <c r="C7" s="90" t="n">
        <v>1</v>
      </c>
      <c r="D7" s="223" t="n">
        <v>315000</v>
      </c>
      <c r="E7" s="223" t="n">
        <v>555000</v>
      </c>
      <c r="F7" s="223" t="n">
        <v>555000</v>
      </c>
      <c r="G7" s="223" t="n">
        <v>555000</v>
      </c>
      <c r="H7" s="223" t="n">
        <v>555000</v>
      </c>
      <c r="I7" s="223" t="n">
        <v>555000</v>
      </c>
      <c r="J7" s="223" t="n">
        <v>555000</v>
      </c>
      <c r="K7" s="223" t="n">
        <v>555000</v>
      </c>
      <c r="L7" s="223" t="n">
        <v>555000</v>
      </c>
      <c r="M7" s="223" t="n">
        <v>555000</v>
      </c>
      <c r="N7" s="223" t="n">
        <v>555000</v>
      </c>
      <c r="O7" s="223" t="n">
        <v>555000</v>
      </c>
      <c r="P7" s="222">
        <f>SUM(D7:O7)</f>
        <v/>
      </c>
      <c r="Q7" s="224">
        <f>P7*0.15</f>
        <v/>
      </c>
    </row>
    <row r="8" ht="16" customHeight="1">
      <c r="A8" s="93">
        <f>A7+1</f>
        <v/>
      </c>
      <c r="B8" s="210" t="inlineStr">
        <is>
          <t>Facility Associate</t>
        </is>
      </c>
      <c r="C8" s="90" t="n">
        <v>1</v>
      </c>
      <c r="D8" s="223" t="n">
        <v>315000</v>
      </c>
      <c r="E8" s="223" t="n">
        <v>315000</v>
      </c>
      <c r="F8" s="223" t="n">
        <v>315000</v>
      </c>
      <c r="G8" s="223" t="n">
        <v>315000</v>
      </c>
      <c r="H8" s="223" t="n">
        <v>315000</v>
      </c>
      <c r="I8" s="223" t="n">
        <v>315000</v>
      </c>
      <c r="J8" s="223" t="n">
        <v>315000</v>
      </c>
      <c r="K8" s="223" t="n">
        <v>315000</v>
      </c>
      <c r="L8" s="223" t="n">
        <v>315000</v>
      </c>
      <c r="M8" s="223" t="n">
        <v>315000</v>
      </c>
      <c r="N8" s="223" t="n">
        <v>315000</v>
      </c>
      <c r="O8" s="223" t="n">
        <v>315000</v>
      </c>
      <c r="P8" s="222">
        <f>SUM(D8:O8)</f>
        <v/>
      </c>
      <c r="Q8" s="224">
        <f>P8*0.15</f>
        <v/>
      </c>
    </row>
    <row r="9" ht="16" customHeight="1">
      <c r="A9" s="93">
        <f>A8+1</f>
        <v/>
      </c>
      <c r="B9" s="210" t="inlineStr">
        <is>
          <t>HR Associate</t>
        </is>
      </c>
      <c r="C9" s="90" t="n">
        <v>1</v>
      </c>
      <c r="D9" s="223" t="n">
        <v>315000</v>
      </c>
      <c r="E9" s="223" t="n">
        <v>315000</v>
      </c>
      <c r="F9" s="223" t="n">
        <v>315000</v>
      </c>
      <c r="G9" s="223" t="n">
        <v>315000</v>
      </c>
      <c r="H9" s="223" t="n">
        <v>315000</v>
      </c>
      <c r="I9" s="223" t="n">
        <v>315000</v>
      </c>
      <c r="J9" s="223" t="n">
        <v>315000</v>
      </c>
      <c r="K9" s="223" t="n">
        <v>315000</v>
      </c>
      <c r="L9" s="223" t="n">
        <v>315000</v>
      </c>
      <c r="M9" s="223" t="n">
        <v>315000</v>
      </c>
      <c r="N9" s="223" t="n">
        <v>315000</v>
      </c>
      <c r="O9" s="223" t="n">
        <v>315000</v>
      </c>
      <c r="P9" s="222">
        <f>SUM(D9:O9)</f>
        <v/>
      </c>
      <c r="Q9" s="224">
        <f>P9*0.15</f>
        <v/>
      </c>
    </row>
    <row r="10" ht="16" customHeight="1">
      <c r="A10" s="93">
        <f>A9+1</f>
        <v/>
      </c>
      <c r="B10" s="210" t="inlineStr">
        <is>
          <t>Admin Associate</t>
        </is>
      </c>
      <c r="C10" s="90" t="n">
        <v>1</v>
      </c>
      <c r="D10" s="223" t="n">
        <v>315000</v>
      </c>
      <c r="E10" s="223" t="n">
        <v>315000</v>
      </c>
      <c r="F10" s="223" t="n">
        <v>315000</v>
      </c>
      <c r="G10" s="223" t="n">
        <v>315000</v>
      </c>
      <c r="H10" s="223" t="n">
        <v>315000</v>
      </c>
      <c r="I10" s="223" t="n">
        <v>315000</v>
      </c>
      <c r="J10" s="223" t="n">
        <v>315000</v>
      </c>
      <c r="K10" s="223" t="n">
        <v>315000</v>
      </c>
      <c r="L10" s="223" t="n">
        <v>315000</v>
      </c>
      <c r="M10" s="223" t="n">
        <v>315000</v>
      </c>
      <c r="N10" s="223" t="n">
        <v>315000</v>
      </c>
      <c r="O10" s="223" t="n">
        <v>315000</v>
      </c>
      <c r="P10" s="222">
        <f>SUM(D10:O10)</f>
        <v/>
      </c>
      <c r="Q10" s="224">
        <f>P10*0.15</f>
        <v/>
      </c>
    </row>
    <row r="11" ht="16" customHeight="1">
      <c r="A11" s="93">
        <f>A10+1</f>
        <v/>
      </c>
      <c r="B11" s="210" t="inlineStr">
        <is>
          <t>Finance Associate</t>
        </is>
      </c>
      <c r="C11" s="90" t="n">
        <v>1</v>
      </c>
      <c r="D11" s="223" t="n">
        <v>315000</v>
      </c>
      <c r="E11" s="223" t="n">
        <v>315000</v>
      </c>
      <c r="F11" s="223" t="n">
        <v>315000</v>
      </c>
      <c r="G11" s="223" t="n">
        <v>315000</v>
      </c>
      <c r="H11" s="223" t="n">
        <v>315000</v>
      </c>
      <c r="I11" s="223" t="n">
        <v>315000</v>
      </c>
      <c r="J11" s="223" t="n">
        <v>315000</v>
      </c>
      <c r="K11" s="223" t="n">
        <v>315000</v>
      </c>
      <c r="L11" s="223" t="n">
        <v>315000</v>
      </c>
      <c r="M11" s="223" t="n">
        <v>315000</v>
      </c>
      <c r="N11" s="223" t="n">
        <v>315000</v>
      </c>
      <c r="O11" s="223" t="n">
        <v>315000</v>
      </c>
      <c r="P11" s="222">
        <f>SUM(D11:O11)</f>
        <v/>
      </c>
      <c r="Q11" s="224">
        <f>P11*0.15</f>
        <v/>
      </c>
    </row>
    <row r="12" ht="16" customHeight="1">
      <c r="A12" s="93">
        <f>A11+1</f>
        <v/>
      </c>
      <c r="B12" s="210" t="inlineStr">
        <is>
          <t>IT Support Associate</t>
        </is>
      </c>
      <c r="C12" s="90" t="n">
        <v>2</v>
      </c>
      <c r="D12" s="223" t="n">
        <v>315000</v>
      </c>
      <c r="E12" s="223" t="n">
        <v>315000</v>
      </c>
      <c r="F12" s="223" t="n">
        <v>315000</v>
      </c>
      <c r="G12" s="223" t="n">
        <v>315000</v>
      </c>
      <c r="H12" s="223" t="n">
        <v>315000</v>
      </c>
      <c r="I12" s="223" t="n">
        <v>315000</v>
      </c>
      <c r="J12" s="223" t="n">
        <v>315000</v>
      </c>
      <c r="K12" s="223" t="n">
        <v>315000</v>
      </c>
      <c r="L12" s="223" t="n">
        <v>315000</v>
      </c>
      <c r="M12" s="223" t="n">
        <v>315000</v>
      </c>
      <c r="N12" s="223" t="n">
        <v>315000</v>
      </c>
      <c r="O12" s="223" t="n">
        <v>315000</v>
      </c>
      <c r="P12" s="222">
        <f>SUM(D12:O12)</f>
        <v/>
      </c>
      <c r="Q12" s="224">
        <f>P12*0.15</f>
        <v/>
      </c>
    </row>
    <row r="13" ht="16" customHeight="1">
      <c r="A13" s="93">
        <f>A12+1</f>
        <v/>
      </c>
      <c r="B13" s="210" t="inlineStr">
        <is>
          <t>Content &amp; Digital Marketing Lead</t>
        </is>
      </c>
      <c r="C13" s="90" t="n">
        <v>1</v>
      </c>
      <c r="D13" s="223" t="n">
        <v>315000</v>
      </c>
      <c r="E13" s="223" t="n">
        <v>315000</v>
      </c>
      <c r="F13" s="223" t="n">
        <v>315000</v>
      </c>
      <c r="G13" s="223" t="n">
        <v>315000</v>
      </c>
      <c r="H13" s="223" t="n">
        <v>315000</v>
      </c>
      <c r="I13" s="223" t="n">
        <v>315000</v>
      </c>
      <c r="J13" s="223" t="n">
        <v>315000</v>
      </c>
      <c r="K13" s="223" t="n">
        <v>315000</v>
      </c>
      <c r="L13" s="223" t="n">
        <v>315000</v>
      </c>
      <c r="M13" s="223" t="n">
        <v>315000</v>
      </c>
      <c r="N13" s="223" t="n">
        <v>315000</v>
      </c>
      <c r="O13" s="223" t="n">
        <v>315000</v>
      </c>
      <c r="P13" s="222">
        <f>SUM(D13:O13)</f>
        <v/>
      </c>
      <c r="Q13" s="224">
        <f>P13*0.15</f>
        <v/>
      </c>
    </row>
    <row r="14" ht="16" customHeight="1">
      <c r="A14" s="93">
        <f>A13+1</f>
        <v/>
      </c>
      <c r="B14" s="210" t="inlineStr">
        <is>
          <t>Graphic &amp; Multimedia Associate</t>
        </is>
      </c>
      <c r="C14" s="90" t="n">
        <v>1</v>
      </c>
      <c r="D14" s="223" t="n">
        <v>315000</v>
      </c>
      <c r="E14" s="223" t="n">
        <v>315000</v>
      </c>
      <c r="F14" s="223" t="n">
        <v>315000</v>
      </c>
      <c r="G14" s="223" t="n">
        <v>315000</v>
      </c>
      <c r="H14" s="223" t="n">
        <v>315000</v>
      </c>
      <c r="I14" s="223" t="n">
        <v>315000</v>
      </c>
      <c r="J14" s="223" t="n">
        <v>315000</v>
      </c>
      <c r="K14" s="223" t="n">
        <v>315000</v>
      </c>
      <c r="L14" s="223" t="n">
        <v>315000</v>
      </c>
      <c r="M14" s="223" t="n">
        <v>315000</v>
      </c>
      <c r="N14" s="223" t="n">
        <v>315000</v>
      </c>
      <c r="O14" s="223" t="n">
        <v>315000</v>
      </c>
      <c r="P14" s="222">
        <f>SUM(D14:O14)</f>
        <v/>
      </c>
      <c r="Q14" s="224">
        <f>P14*0.15</f>
        <v/>
      </c>
    </row>
    <row r="15" ht="16" customHeight="1">
      <c r="A15" s="93">
        <f>A14+1</f>
        <v/>
      </c>
      <c r="B15" s="210" t="inlineStr">
        <is>
          <t>Social Media Associate</t>
        </is>
      </c>
      <c r="C15" s="90" t="n">
        <v>1</v>
      </c>
      <c r="D15" s="223" t="n">
        <v>315000</v>
      </c>
      <c r="E15" s="223" t="n">
        <v>315000</v>
      </c>
      <c r="F15" s="223" t="n">
        <v>315000</v>
      </c>
      <c r="G15" s="223" t="n">
        <v>315000</v>
      </c>
      <c r="H15" s="223" t="n">
        <v>315000</v>
      </c>
      <c r="I15" s="223" t="n">
        <v>315000</v>
      </c>
      <c r="J15" s="223" t="n">
        <v>315000</v>
      </c>
      <c r="K15" s="223" t="n">
        <v>315000</v>
      </c>
      <c r="L15" s="223" t="n">
        <v>315000</v>
      </c>
      <c r="M15" s="223" t="n">
        <v>315000</v>
      </c>
      <c r="N15" s="223" t="n">
        <v>315000</v>
      </c>
      <c r="O15" s="223" t="n">
        <v>315000</v>
      </c>
      <c r="P15" s="222">
        <f>SUM(D15:O15)</f>
        <v/>
      </c>
      <c r="Q15" s="224">
        <f>P15*0.15</f>
        <v/>
      </c>
    </row>
    <row r="16" ht="16" customHeight="1">
      <c r="A16" s="93">
        <f>A15+1</f>
        <v/>
      </c>
      <c r="B16" s="210" t="inlineStr">
        <is>
          <t>Front Desk Support</t>
        </is>
      </c>
      <c r="C16" s="90" t="n">
        <v>2</v>
      </c>
      <c r="D16" s="223" t="n">
        <v>150000</v>
      </c>
      <c r="E16" s="223" t="n">
        <v>150000</v>
      </c>
      <c r="F16" s="223" t="n">
        <v>150000</v>
      </c>
      <c r="G16" s="223" t="n">
        <v>150000</v>
      </c>
      <c r="H16" s="223" t="n">
        <v>150000</v>
      </c>
      <c r="I16" s="223" t="n">
        <v>150000</v>
      </c>
      <c r="J16" s="223" t="n">
        <v>150000</v>
      </c>
      <c r="K16" s="223" t="n">
        <v>150000</v>
      </c>
      <c r="L16" s="223" t="n">
        <v>150000</v>
      </c>
      <c r="M16" s="223" t="n">
        <v>150000</v>
      </c>
      <c r="N16" s="223" t="n">
        <v>150000</v>
      </c>
      <c r="O16" s="223" t="n">
        <v>150000</v>
      </c>
      <c r="P16" s="222">
        <f>SUM(D16:O16)</f>
        <v/>
      </c>
      <c r="Q16" s="213">
        <f>P16*0.1</f>
        <v/>
      </c>
    </row>
    <row r="17" ht="16" customHeight="1">
      <c r="A17" s="93">
        <f>A16+1</f>
        <v/>
      </c>
      <c r="B17" s="210" t="inlineStr">
        <is>
          <t xml:space="preserve">Facility Technician </t>
        </is>
      </c>
      <c r="C17" s="90" t="n">
        <v>2</v>
      </c>
      <c r="D17" s="223" t="n">
        <v>150000</v>
      </c>
      <c r="E17" s="223" t="n">
        <v>150000</v>
      </c>
      <c r="F17" s="223" t="n">
        <v>150000</v>
      </c>
      <c r="G17" s="223" t="n">
        <v>150000</v>
      </c>
      <c r="H17" s="223" t="n">
        <v>150000</v>
      </c>
      <c r="I17" s="223" t="n">
        <v>150000</v>
      </c>
      <c r="J17" s="223" t="n">
        <v>150000</v>
      </c>
      <c r="K17" s="223" t="n">
        <v>150000</v>
      </c>
      <c r="L17" s="223" t="n">
        <v>150000</v>
      </c>
      <c r="M17" s="223" t="n">
        <v>150000</v>
      </c>
      <c r="N17" s="223" t="n">
        <v>150000</v>
      </c>
      <c r="O17" s="223" t="n">
        <v>150000</v>
      </c>
      <c r="P17" s="222">
        <f>SUM(D17:O17)</f>
        <v/>
      </c>
      <c r="Q17" s="213">
        <f>P17*0.1</f>
        <v/>
      </c>
    </row>
    <row r="18" ht="16" customHeight="1">
      <c r="A18" s="93">
        <f>A17+1</f>
        <v/>
      </c>
      <c r="B18" s="210" t="inlineStr">
        <is>
          <t>Driver</t>
        </is>
      </c>
      <c r="C18" s="90" t="n">
        <v>1</v>
      </c>
      <c r="D18" s="223" t="n">
        <v>150000</v>
      </c>
      <c r="E18" s="223" t="n">
        <v>150000</v>
      </c>
      <c r="F18" s="223" t="n">
        <v>150000</v>
      </c>
      <c r="G18" s="223" t="n">
        <v>150000</v>
      </c>
      <c r="H18" s="223" t="n">
        <v>150000</v>
      </c>
      <c r="I18" s="223" t="n">
        <v>150000</v>
      </c>
      <c r="J18" s="223" t="n">
        <v>150000</v>
      </c>
      <c r="K18" s="223" t="n">
        <v>150000</v>
      </c>
      <c r="L18" s="223" t="n">
        <v>150000</v>
      </c>
      <c r="M18" s="223" t="n">
        <v>150000</v>
      </c>
      <c r="N18" s="223" t="n">
        <v>150000</v>
      </c>
      <c r="O18" s="223" t="n">
        <v>150000</v>
      </c>
      <c r="P18" s="222">
        <f>SUM(D18:O18)</f>
        <v/>
      </c>
      <c r="Q18" s="213">
        <f>P18*0.1</f>
        <v/>
      </c>
    </row>
    <row r="19" ht="16" customHeight="1">
      <c r="A19" s="93">
        <f>A18+1</f>
        <v/>
      </c>
      <c r="B19" s="210" t="inlineStr">
        <is>
          <t>Contract Driver</t>
        </is>
      </c>
      <c r="C19" s="90" t="n">
        <v>1</v>
      </c>
      <c r="D19" s="223" t="n">
        <v>75000</v>
      </c>
      <c r="E19" s="223" t="n">
        <v>75000</v>
      </c>
      <c r="F19" s="223" t="n">
        <v>75000</v>
      </c>
      <c r="G19" s="223" t="n">
        <v>75000</v>
      </c>
      <c r="H19" s="223" t="n">
        <v>75000</v>
      </c>
      <c r="I19" s="223" t="n">
        <v>75000</v>
      </c>
      <c r="J19" s="223" t="n">
        <v>75000</v>
      </c>
      <c r="K19" s="223" t="n">
        <v>75000</v>
      </c>
      <c r="L19" s="223" t="n">
        <v>75000</v>
      </c>
      <c r="M19" s="223" t="n">
        <v>75000</v>
      </c>
      <c r="N19" s="223" t="n">
        <v>75000</v>
      </c>
      <c r="O19" s="223" t="n">
        <v>75000</v>
      </c>
      <c r="P19" s="222">
        <f>SUM(D19:O19)</f>
        <v/>
      </c>
      <c r="Q19" s="213">
        <f>P19*0.1</f>
        <v/>
      </c>
    </row>
    <row r="20" ht="16" customHeight="1">
      <c r="A20" s="93">
        <f>A19+1</f>
        <v/>
      </c>
      <c r="B20" s="210" t="inlineStr">
        <is>
          <t xml:space="preserve">NYSC Intern </t>
        </is>
      </c>
      <c r="C20" s="90" t="n">
        <v>5</v>
      </c>
      <c r="D20" s="223" t="n">
        <v>55000</v>
      </c>
      <c r="E20" s="223" t="n">
        <v>55000</v>
      </c>
      <c r="F20" s="223" t="n">
        <v>55000</v>
      </c>
      <c r="G20" s="223" t="n">
        <v>55000</v>
      </c>
      <c r="H20" s="223" t="n">
        <v>55000</v>
      </c>
      <c r="I20" s="223" t="n">
        <v>55000</v>
      </c>
      <c r="J20" s="223" t="n">
        <v>55000</v>
      </c>
      <c r="K20" s="223" t="n">
        <v>55000</v>
      </c>
      <c r="L20" s="223" t="n">
        <v>55000</v>
      </c>
      <c r="M20" s="223" t="n">
        <v>55000</v>
      </c>
      <c r="N20" s="223" t="n">
        <v>55000</v>
      </c>
      <c r="O20" s="223" t="n">
        <v>55000</v>
      </c>
      <c r="P20" s="222">
        <f>SUM(D20:O20)</f>
        <v/>
      </c>
      <c r="Q20" s="213">
        <f>P20*0.1</f>
        <v/>
      </c>
    </row>
    <row r="21" ht="16" customHeight="1">
      <c r="A21" s="93">
        <f>A20+1</f>
        <v/>
      </c>
      <c r="B21" s="210" t="inlineStr">
        <is>
          <t xml:space="preserve">Student Intern </t>
        </is>
      </c>
      <c r="C21" s="90" t="n">
        <v>5</v>
      </c>
      <c r="D21" s="223" t="n">
        <v>46000</v>
      </c>
      <c r="E21" s="223" t="n">
        <v>46000</v>
      </c>
      <c r="F21" s="223" t="n">
        <v>46000</v>
      </c>
      <c r="G21" s="223" t="n">
        <v>46000</v>
      </c>
      <c r="H21" s="223" t="n">
        <v>46000</v>
      </c>
      <c r="I21" s="223" t="n">
        <v>46000</v>
      </c>
      <c r="J21" s="223" t="n">
        <v>46000</v>
      </c>
      <c r="K21" s="223" t="n">
        <v>46000</v>
      </c>
      <c r="L21" s="223" t="n">
        <v>46000</v>
      </c>
      <c r="M21" s="223" t="n">
        <v>46000</v>
      </c>
      <c r="N21" s="223" t="n">
        <v>46000</v>
      </c>
      <c r="O21" s="223" t="n">
        <v>46000</v>
      </c>
      <c r="P21" s="222">
        <f>SUM(D21:O21)</f>
        <v/>
      </c>
      <c r="Q21" s="213">
        <f>P21*0.1</f>
        <v/>
      </c>
    </row>
    <row r="22">
      <c r="A22" s="206" t="n"/>
      <c r="B22" s="209" t="n"/>
      <c r="C22" s="90" t="n">
        <v>1</v>
      </c>
      <c r="D22" s="221" t="n"/>
      <c r="E22" s="221" t="n"/>
      <c r="F22" s="221" t="n"/>
      <c r="G22" s="221" t="n"/>
      <c r="H22" s="221" t="n"/>
      <c r="I22" s="221" t="n"/>
      <c r="J22" s="221" t="n"/>
      <c r="K22" s="221" t="n"/>
      <c r="L22" s="221" t="n"/>
      <c r="M22" s="221" t="n"/>
      <c r="N22" s="221" t="n"/>
      <c r="O22" s="221" t="n"/>
      <c r="P22" s="222">
        <f>SUM(D22:O22)</f>
        <v/>
      </c>
      <c r="Q22" s="213">
        <f>P22*0.1</f>
        <v/>
      </c>
    </row>
    <row r="23" ht="16" customHeight="1">
      <c r="A23" s="206" t="n"/>
      <c r="B23" s="211" t="inlineStr">
        <is>
          <t>Proposed Additions</t>
        </is>
      </c>
      <c r="C23" s="90" t="n">
        <v>1</v>
      </c>
      <c r="D23" s="221" t="n"/>
      <c r="E23" s="221" t="n"/>
      <c r="F23" s="221" t="n"/>
      <c r="G23" s="221" t="n"/>
      <c r="H23" s="221" t="n"/>
      <c r="I23" s="221" t="n"/>
      <c r="J23" s="221" t="n"/>
      <c r="K23" s="221" t="n"/>
      <c r="L23" s="221" t="n"/>
      <c r="M23" s="221" t="n"/>
      <c r="N23" s="221" t="n"/>
      <c r="O23" s="221" t="n"/>
      <c r="P23" s="222">
        <f>SUM(D23:O23)</f>
        <v/>
      </c>
      <c r="Q23" s="213">
        <f>P23*0.1</f>
        <v/>
      </c>
    </row>
    <row r="24" ht="16" customHeight="1">
      <c r="A24" s="206" t="n"/>
      <c r="B24" s="209" t="inlineStr">
        <is>
          <t>Program Associate</t>
        </is>
      </c>
      <c r="C24" s="90" t="n">
        <v>1</v>
      </c>
      <c r="D24" s="223" t="n"/>
      <c r="E24" s="223" t="n"/>
      <c r="F24" s="223" t="n">
        <v>315000</v>
      </c>
      <c r="G24" s="223" t="n">
        <v>315000</v>
      </c>
      <c r="H24" s="223" t="n">
        <v>315000</v>
      </c>
      <c r="I24" s="223" t="n">
        <v>315000</v>
      </c>
      <c r="J24" s="223" t="n">
        <v>315000</v>
      </c>
      <c r="K24" s="223" t="n">
        <v>315000</v>
      </c>
      <c r="L24" s="223" t="n">
        <v>315000</v>
      </c>
      <c r="M24" s="223" t="n">
        <v>315000</v>
      </c>
      <c r="N24" s="223" t="n">
        <v>315000</v>
      </c>
      <c r="O24" s="223" t="n">
        <v>315000</v>
      </c>
      <c r="P24" s="222">
        <f>SUM(D24:O24)</f>
        <v/>
      </c>
      <c r="Q24" s="213">
        <f>P24*0.1</f>
        <v/>
      </c>
    </row>
    <row r="25" ht="32" customHeight="1">
      <c r="A25" s="206" t="n"/>
      <c r="B25" s="209" t="inlineStr">
        <is>
          <t>IT Support Associate (Event Production &amp; Sound)</t>
        </is>
      </c>
      <c r="C25" s="90" t="n">
        <v>1</v>
      </c>
      <c r="D25" s="223" t="n"/>
      <c r="E25" s="223" t="n"/>
      <c r="F25" s="223" t="n">
        <v>315000</v>
      </c>
      <c r="G25" s="223" t="n">
        <v>315000</v>
      </c>
      <c r="H25" s="223" t="n">
        <v>315000</v>
      </c>
      <c r="I25" s="223" t="n">
        <v>315000</v>
      </c>
      <c r="J25" s="223" t="n">
        <v>315000</v>
      </c>
      <c r="K25" s="223" t="n">
        <v>315000</v>
      </c>
      <c r="L25" s="223" t="n">
        <v>315000</v>
      </c>
      <c r="M25" s="223" t="n">
        <v>315000</v>
      </c>
      <c r="N25" s="223" t="n">
        <v>315000</v>
      </c>
      <c r="O25" s="223" t="n">
        <v>315000</v>
      </c>
      <c r="P25" s="222">
        <f>SUM(D25:O25)</f>
        <v/>
      </c>
      <c r="Q25" s="213">
        <f>P25*0.1</f>
        <v/>
      </c>
    </row>
    <row r="26" ht="16" customHeight="1">
      <c r="A26" s="206" t="n"/>
      <c r="B26" s="209" t="inlineStr">
        <is>
          <t>Project Manager</t>
        </is>
      </c>
      <c r="C26" s="90" t="n">
        <v>1</v>
      </c>
      <c r="D26" s="223" t="n"/>
      <c r="E26" s="223" t="n"/>
      <c r="F26" s="223" t="n">
        <v>315000</v>
      </c>
      <c r="G26" s="223" t="n">
        <v>315000</v>
      </c>
      <c r="H26" s="223" t="n">
        <v>315000</v>
      </c>
      <c r="I26" s="223" t="n">
        <v>315000</v>
      </c>
      <c r="J26" s="223" t="n">
        <v>315000</v>
      </c>
      <c r="K26" s="223" t="n">
        <v>315000</v>
      </c>
      <c r="L26" s="223" t="n">
        <v>315000</v>
      </c>
      <c r="M26" s="223" t="n">
        <v>315000</v>
      </c>
      <c r="N26" s="223" t="n">
        <v>315000</v>
      </c>
      <c r="O26" s="223" t="n">
        <v>315000</v>
      </c>
      <c r="P26" s="222">
        <f>SUM(D26:O26)</f>
        <v/>
      </c>
      <c r="Q26" s="213">
        <f>P26*0.1</f>
        <v/>
      </c>
    </row>
    <row r="27" ht="16" customHeight="1">
      <c r="A27" s="95" t="n"/>
      <c r="B27" s="212" t="inlineStr">
        <is>
          <t>Total</t>
        </is>
      </c>
      <c r="C27" s="225">
        <f>SUM(C3:C26)</f>
        <v/>
      </c>
      <c r="D27" s="226">
        <f>SUM(D3:D26)</f>
        <v/>
      </c>
      <c r="E27" s="226">
        <f>SUM(E3:E26)</f>
        <v/>
      </c>
      <c r="F27" s="226">
        <f>SUM(F3:F26)</f>
        <v/>
      </c>
      <c r="G27" s="226">
        <f>SUM(G3:G26)</f>
        <v/>
      </c>
      <c r="H27" s="226">
        <f>SUM(H3:H26)</f>
        <v/>
      </c>
      <c r="I27" s="226">
        <f>SUM(I3:I26)</f>
        <v/>
      </c>
      <c r="J27" s="226">
        <f>SUM(J3:J26)</f>
        <v/>
      </c>
      <c r="K27" s="226">
        <f>SUM(K3:K26)</f>
        <v/>
      </c>
      <c r="L27" s="226">
        <f>SUM(L3:L26)</f>
        <v/>
      </c>
      <c r="M27" s="226">
        <f>SUM(M3:M26)</f>
        <v/>
      </c>
      <c r="N27" s="226">
        <f>SUM(N3:N26)</f>
        <v/>
      </c>
      <c r="O27" s="226">
        <f>SUM(O3:O26)</f>
        <v/>
      </c>
      <c r="P27" s="226">
        <f>SUM(P3:P26)</f>
        <v/>
      </c>
      <c r="Q27" s="226">
        <f>SUM(Q3:Q26)</f>
        <v/>
      </c>
      <c r="R27" s="224" t="n"/>
    </row>
    <row r="28">
      <c r="P28" s="224" t="n"/>
    </row>
    <row r="31">
      <c r="H31" s="142" t="n"/>
      <c r="I31" s="142" t="n"/>
    </row>
    <row r="32">
      <c r="H32" s="142" t="n"/>
      <c r="I32" s="142" t="n"/>
    </row>
    <row r="33">
      <c r="H33" s="142" t="n"/>
      <c r="I33" s="142" t="n"/>
    </row>
    <row r="34">
      <c r="H34" s="142" t="n"/>
      <c r="I34" s="142" t="n"/>
    </row>
    <row r="35">
      <c r="H35" s="142" t="n"/>
      <c r="I35" s="142" t="n"/>
    </row>
    <row r="36">
      <c r="H36" s="142" t="n"/>
      <c r="I36" s="142" t="n"/>
    </row>
    <row r="37">
      <c r="G37" s="227" t="n"/>
      <c r="H37" s="142" t="n"/>
      <c r="I37" s="142" t="n"/>
      <c r="J37" s="227" t="n"/>
      <c r="K37" s="227" t="n"/>
      <c r="L37" s="227" t="n"/>
      <c r="M37" s="227" t="n"/>
      <c r="N37" s="227" t="inlineStr">
        <is>
          <t>reduction</t>
        </is>
      </c>
      <c r="O37" s="227" t="n"/>
      <c r="P37" s="227" t="n"/>
    </row>
    <row r="38">
      <c r="G38" s="227" t="n"/>
      <c r="H38" s="142" t="n"/>
      <c r="I38" s="142" t="n"/>
      <c r="J38" s="227" t="n"/>
      <c r="K38" s="227" t="n"/>
      <c r="L38" s="227" t="n"/>
      <c r="M38" s="227" t="n">
        <v>235017335.2</v>
      </c>
      <c r="N38" s="227">
        <f>M38-P27</f>
        <v/>
      </c>
      <c r="O38" s="227" t="n"/>
      <c r="P38" s="227" t="n"/>
    </row>
    <row r="39">
      <c r="D39" s="37" t="n"/>
      <c r="E39" s="37" t="n"/>
      <c r="F39" s="37" t="n"/>
      <c r="G39" s="37" t="n"/>
      <c r="H39" s="142" t="n"/>
      <c r="I39" s="142" t="n"/>
      <c r="J39" s="37" t="n"/>
      <c r="K39" s="37" t="n"/>
      <c r="L39" s="37" t="n"/>
      <c r="M39" s="98" t="n"/>
      <c r="N39" s="98">
        <f>(M38-P27)/M38</f>
        <v/>
      </c>
      <c r="O39" s="37" t="n"/>
      <c r="P39" s="228" t="n"/>
    </row>
    <row r="40">
      <c r="H40" s="142" t="n"/>
      <c r="I40" s="142" t="n"/>
    </row>
    <row r="41">
      <c r="H41" s="142" t="n"/>
      <c r="I41" s="142" t="n"/>
    </row>
    <row r="42">
      <c r="H42" s="142" t="n"/>
      <c r="I42" s="142" t="n"/>
    </row>
    <row r="43">
      <c r="H43" s="142" t="n"/>
      <c r="I43" s="142" t="n"/>
    </row>
    <row r="44">
      <c r="H44" s="142" t="n"/>
      <c r="I44" s="142" t="n"/>
    </row>
    <row r="45">
      <c r="H45" s="142" t="n"/>
      <c r="I45" s="142" t="n"/>
    </row>
    <row r="46">
      <c r="H46" s="142" t="n"/>
      <c r="I46" s="142" t="n"/>
    </row>
    <row r="47">
      <c r="H47" s="142" t="n"/>
      <c r="I47" s="142" t="n"/>
    </row>
    <row r="48">
      <c r="H48" s="229" t="n"/>
    </row>
  </sheetData>
  <mergeCells count="1">
    <mergeCell ref="F1:O1"/>
  </mergeCells>
  <pageMargins left="0.7" right="0.7" top="0.75" bottom="0.75" header="0.3" footer="0.3"/>
  <pageSetup orientation="portrait" paperSize="9" horizontalDpi="0" verticalDpi="0"/>
</worksheet>
</file>

<file path=xl/worksheets/sheet10.xml><?xml version="1.0" encoding="utf-8"?>
<worksheet xmlns="http://schemas.openxmlformats.org/spreadsheetml/2006/main">
  <sheetPr>
    <outlinePr summaryBelow="1" summaryRight="1"/>
    <pageSetUpPr/>
  </sheetPr>
  <dimension ref="B2:O27"/>
  <sheetViews>
    <sheetView showGridLines="0" topLeftCell="A7" workbookViewId="0">
      <selection activeCell="H21" sqref="H21"/>
    </sheetView>
  </sheetViews>
  <sheetFormatPr baseColWidth="10" defaultColWidth="8.83203125" defaultRowHeight="15"/>
  <cols>
    <col width="23.5" customWidth="1" min="2" max="2"/>
    <col width="9.5" bestFit="1" customWidth="1" min="5" max="5"/>
    <col width="9.5" bestFit="1" customWidth="1" min="8" max="8"/>
    <col width="9.5" bestFit="1" customWidth="1" min="11" max="11"/>
    <col width="9.5" bestFit="1" customWidth="1" min="14" max="15"/>
  </cols>
  <sheetData>
    <row r="2">
      <c r="B2" s="217" t="inlineStr">
        <is>
          <t>Equipment &amp; Infrastructure</t>
        </is>
      </c>
      <c r="C2" s="230" t="n"/>
      <c r="D2" s="230" t="n"/>
      <c r="E2" s="230" t="n"/>
      <c r="F2" s="230" t="n"/>
      <c r="G2" s="230" t="n"/>
      <c r="H2" s="230" t="n"/>
      <c r="I2" s="230" t="n"/>
      <c r="J2" s="230" t="n"/>
      <c r="K2" s="230" t="n"/>
      <c r="L2" s="230" t="n"/>
      <c r="M2" s="230" t="n"/>
      <c r="N2" s="230" t="n"/>
      <c r="O2" s="230" t="n"/>
    </row>
    <row r="3">
      <c r="B3" s="43" t="n"/>
      <c r="C3" s="45" t="inlineStr">
        <is>
          <t>Jan</t>
        </is>
      </c>
      <c r="D3" s="45" t="inlineStr">
        <is>
          <t>Feb</t>
        </is>
      </c>
      <c r="E3" s="45" t="inlineStr">
        <is>
          <t>Mar</t>
        </is>
      </c>
      <c r="F3" s="45" t="inlineStr">
        <is>
          <t>Apr</t>
        </is>
      </c>
      <c r="G3" s="45" t="inlineStr">
        <is>
          <t>May</t>
        </is>
      </c>
      <c r="H3" s="45" t="inlineStr">
        <is>
          <t>Jun</t>
        </is>
      </c>
      <c r="I3" s="45" t="inlineStr">
        <is>
          <t>Jul</t>
        </is>
      </c>
      <c r="J3" s="45" t="inlineStr">
        <is>
          <t>Aug</t>
        </is>
      </c>
      <c r="K3" s="45" t="inlineStr">
        <is>
          <t>Sep</t>
        </is>
      </c>
      <c r="L3" s="45" t="inlineStr">
        <is>
          <t>Oct</t>
        </is>
      </c>
      <c r="M3" s="45" t="inlineStr">
        <is>
          <t>Nov</t>
        </is>
      </c>
      <c r="N3" s="45" t="inlineStr">
        <is>
          <t>Dec</t>
        </is>
      </c>
      <c r="O3" s="46" t="inlineStr">
        <is>
          <t xml:space="preserve">Total </t>
        </is>
      </c>
    </row>
    <row r="4">
      <c r="B4" s="38" t="inlineStr">
        <is>
          <t>Cloud Servers</t>
        </is>
      </c>
      <c r="C4" s="63" t="n"/>
      <c r="D4" s="63" t="n"/>
      <c r="E4" s="63">
        <f>$O$4/4</f>
        <v/>
      </c>
      <c r="F4" s="63" t="n"/>
      <c r="G4" s="63" t="n"/>
      <c r="H4" s="63">
        <f>$O$4/4</f>
        <v/>
      </c>
      <c r="I4" s="63" t="n"/>
      <c r="J4" s="63" t="n"/>
      <c r="K4" s="63">
        <f>$O$4/4</f>
        <v/>
      </c>
      <c r="L4" s="63" t="n"/>
      <c r="M4" s="63" t="n"/>
      <c r="N4" s="63">
        <f>$O$4/4</f>
        <v/>
      </c>
      <c r="O4" s="64" t="n">
        <v>4166666.666666666</v>
      </c>
    </row>
    <row r="5">
      <c r="B5" s="38" t="inlineStr">
        <is>
          <t>Staff Email</t>
        </is>
      </c>
      <c r="C5" s="63" t="n"/>
      <c r="D5" s="63" t="n"/>
      <c r="E5" s="63">
        <f>$O$5/4</f>
        <v/>
      </c>
      <c r="F5" s="63" t="n"/>
      <c r="G5" s="63" t="n"/>
      <c r="H5" s="63">
        <f>$O$5/4</f>
        <v/>
      </c>
      <c r="I5" s="63" t="n"/>
      <c r="J5" s="63" t="n"/>
      <c r="K5" s="63">
        <f>$O$5/4</f>
        <v/>
      </c>
      <c r="L5" s="63" t="n"/>
      <c r="M5" s="63" t="n"/>
      <c r="N5" s="63">
        <f>$O$5/4</f>
        <v/>
      </c>
      <c r="O5" s="64" t="n">
        <v>2916666.666666667</v>
      </c>
    </row>
    <row r="6" ht="32" customHeight="1">
      <c r="B6" s="61" t="inlineStr">
        <is>
          <t>Miscellaneous Software Subscriptions &amp; Licenses</t>
        </is>
      </c>
      <c r="C6" s="67" t="n"/>
      <c r="D6" s="67" t="n"/>
      <c r="E6" s="67">
        <f>$O$6/4</f>
        <v/>
      </c>
      <c r="F6" s="67" t="n"/>
      <c r="G6" s="67" t="n"/>
      <c r="H6" s="67">
        <f>$O$6/4</f>
        <v/>
      </c>
      <c r="I6" s="67" t="n"/>
      <c r="J6" s="67" t="n"/>
      <c r="K6" s="67">
        <f>$O$6/4</f>
        <v/>
      </c>
      <c r="L6" s="67" t="n"/>
      <c r="M6" s="67" t="n"/>
      <c r="N6" s="67">
        <f>$O$6/4</f>
        <v/>
      </c>
      <c r="O6" s="68" t="n">
        <v>1666666.666666667</v>
      </c>
    </row>
    <row r="9">
      <c r="B9" s="217" t="inlineStr">
        <is>
          <t>Innovation &amp; Program Support</t>
        </is>
      </c>
      <c r="C9" s="230" t="n"/>
      <c r="D9" s="230" t="n"/>
      <c r="E9" s="230" t="n"/>
      <c r="F9" s="230" t="n"/>
      <c r="G9" s="230" t="n"/>
      <c r="H9" s="230" t="n"/>
      <c r="I9" s="230" t="n"/>
      <c r="J9" s="230" t="n"/>
      <c r="K9" s="230" t="n"/>
      <c r="L9" s="230" t="n"/>
      <c r="M9" s="230" t="n"/>
      <c r="N9" s="230" t="n"/>
      <c r="O9" s="230" t="n"/>
    </row>
    <row r="10">
      <c r="B10" s="43" t="n"/>
      <c r="C10" s="45" t="inlineStr">
        <is>
          <t>Jan</t>
        </is>
      </c>
      <c r="D10" s="45" t="inlineStr">
        <is>
          <t>Feb</t>
        </is>
      </c>
      <c r="E10" s="45" t="inlineStr">
        <is>
          <t>Mar</t>
        </is>
      </c>
      <c r="F10" s="45" t="inlineStr">
        <is>
          <t>Apr</t>
        </is>
      </c>
      <c r="G10" s="45" t="inlineStr">
        <is>
          <t>May</t>
        </is>
      </c>
      <c r="H10" s="45" t="inlineStr">
        <is>
          <t>Jun</t>
        </is>
      </c>
      <c r="I10" s="45" t="inlineStr">
        <is>
          <t>Jul</t>
        </is>
      </c>
      <c r="J10" s="45" t="inlineStr">
        <is>
          <t>Aug</t>
        </is>
      </c>
      <c r="K10" s="45" t="inlineStr">
        <is>
          <t>Sep</t>
        </is>
      </c>
      <c r="L10" s="45" t="inlineStr">
        <is>
          <t>Oct</t>
        </is>
      </c>
      <c r="M10" s="45" t="inlineStr">
        <is>
          <t>Nov</t>
        </is>
      </c>
      <c r="N10" s="45" t="inlineStr">
        <is>
          <t>Dec</t>
        </is>
      </c>
      <c r="O10" s="46" t="inlineStr">
        <is>
          <t xml:space="preserve">Total </t>
        </is>
      </c>
    </row>
    <row r="11" ht="48" customHeight="1">
      <c r="B11" s="62" t="inlineStr">
        <is>
          <t>Staff Professional Development (Afrilabs Capacity Building etc)</t>
        </is>
      </c>
      <c r="C11" s="63" t="n"/>
      <c r="D11" s="63" t="n"/>
      <c r="E11" s="63">
        <f>$O11/4</f>
        <v/>
      </c>
      <c r="F11" s="63" t="n"/>
      <c r="G11" s="63" t="n"/>
      <c r="H11" s="63">
        <f>$O11/4</f>
        <v/>
      </c>
      <c r="I11" s="63" t="n"/>
      <c r="J11" s="63" t="n"/>
      <c r="K11" s="63">
        <f>$O11/4</f>
        <v/>
      </c>
      <c r="L11" s="63" t="n"/>
      <c r="M11" s="63" t="n"/>
      <c r="N11" s="63">
        <f>$O11/4</f>
        <v/>
      </c>
      <c r="O11" s="64" t="n">
        <v>4000000</v>
      </c>
    </row>
    <row r="12">
      <c r="B12" s="38" t="inlineStr">
        <is>
          <t>Monthly Meetups</t>
        </is>
      </c>
      <c r="C12" s="63" t="n"/>
      <c r="D12" s="63" t="n"/>
      <c r="E12" s="63">
        <f>$O12/10</f>
        <v/>
      </c>
      <c r="F12" s="63">
        <f>$O12/10</f>
        <v/>
      </c>
      <c r="G12" s="63">
        <f>$O12/10</f>
        <v/>
      </c>
      <c r="H12" s="63">
        <f>$O12/10</f>
        <v/>
      </c>
      <c r="I12" s="63">
        <f>$O12/10</f>
        <v/>
      </c>
      <c r="J12" s="63">
        <f>$O12/10</f>
        <v/>
      </c>
      <c r="K12" s="63">
        <f>$O12/10</f>
        <v/>
      </c>
      <c r="L12" s="63">
        <f>$O12/10</f>
        <v/>
      </c>
      <c r="M12" s="63">
        <f>$O12/10</f>
        <v/>
      </c>
      <c r="N12" s="63">
        <f>$O12/10</f>
        <v/>
      </c>
      <c r="O12" s="64" t="n">
        <v>2500000</v>
      </c>
    </row>
    <row r="13" ht="16" customHeight="1">
      <c r="B13" s="62" t="inlineStr">
        <is>
          <t>Field Events</t>
        </is>
      </c>
      <c r="C13" s="63" t="n"/>
      <c r="D13" s="63" t="n"/>
      <c r="E13" s="63">
        <f>$O13/4</f>
        <v/>
      </c>
      <c r="F13" s="63" t="n"/>
      <c r="G13" s="63" t="n"/>
      <c r="H13" s="63">
        <f>$O13/4</f>
        <v/>
      </c>
      <c r="I13" s="63" t="n"/>
      <c r="J13" s="63" t="n"/>
      <c r="K13" s="63">
        <f>$O13/4</f>
        <v/>
      </c>
      <c r="L13" s="63" t="n"/>
      <c r="M13" s="63" t="n"/>
      <c r="N13" s="63">
        <f>$O13/4</f>
        <v/>
      </c>
      <c r="O13" s="64" t="n">
        <v>2083333.333333333</v>
      </c>
    </row>
    <row r="14">
      <c r="B14" s="42" t="inlineStr">
        <is>
          <t>Webinars</t>
        </is>
      </c>
      <c r="C14" s="65" t="n"/>
      <c r="D14" s="65" t="n"/>
      <c r="E14" s="65">
        <f>$O14/4</f>
        <v/>
      </c>
      <c r="F14" s="65" t="n"/>
      <c r="G14" s="65" t="n"/>
      <c r="H14" s="65">
        <f>$O14/4</f>
        <v/>
      </c>
      <c r="I14" s="65" t="n"/>
      <c r="J14" s="65" t="n"/>
      <c r="K14" s="65">
        <f>$O14/4</f>
        <v/>
      </c>
      <c r="L14" s="65" t="n"/>
      <c r="M14" s="65" t="n"/>
      <c r="N14" s="65">
        <f>$O14/4</f>
        <v/>
      </c>
      <c r="O14" s="66" t="n">
        <v>1250000</v>
      </c>
    </row>
    <row r="18">
      <c r="B18" s="217" t="inlineStr">
        <is>
          <t>Conferences and Travels</t>
        </is>
      </c>
      <c r="C18" s="230" t="n"/>
      <c r="D18" s="230" t="n"/>
      <c r="E18" s="230" t="n"/>
      <c r="F18" s="230" t="n"/>
      <c r="G18" s="230" t="n"/>
      <c r="H18" s="230" t="n"/>
      <c r="I18" s="230" t="n"/>
      <c r="J18" s="230" t="n"/>
      <c r="K18" s="230" t="n"/>
      <c r="L18" s="230" t="n"/>
      <c r="M18" s="230" t="n"/>
      <c r="N18" s="230" t="n"/>
      <c r="O18" s="230" t="n"/>
    </row>
    <row r="19">
      <c r="B19" s="43" t="n"/>
      <c r="C19" s="45" t="inlineStr">
        <is>
          <t>Jan</t>
        </is>
      </c>
      <c r="D19" s="45" t="inlineStr">
        <is>
          <t>Feb</t>
        </is>
      </c>
      <c r="E19" s="45" t="inlineStr">
        <is>
          <t>Mar</t>
        </is>
      </c>
      <c r="F19" s="45" t="inlineStr">
        <is>
          <t>Apr</t>
        </is>
      </c>
      <c r="G19" s="45" t="inlineStr">
        <is>
          <t>May</t>
        </is>
      </c>
      <c r="H19" s="45" t="inlineStr">
        <is>
          <t>Jun</t>
        </is>
      </c>
      <c r="I19" s="45" t="inlineStr">
        <is>
          <t>Jul</t>
        </is>
      </c>
      <c r="J19" s="45" t="inlineStr">
        <is>
          <t>Aug</t>
        </is>
      </c>
      <c r="K19" s="45" t="inlineStr">
        <is>
          <t>Sep</t>
        </is>
      </c>
      <c r="L19" s="45" t="inlineStr">
        <is>
          <t>Oct</t>
        </is>
      </c>
      <c r="M19" s="45" t="inlineStr">
        <is>
          <t>Nov</t>
        </is>
      </c>
      <c r="N19" s="45" t="inlineStr">
        <is>
          <t>Dec</t>
        </is>
      </c>
      <c r="O19" s="46" t="inlineStr">
        <is>
          <t xml:space="preserve">Total </t>
        </is>
      </c>
    </row>
    <row r="20" ht="16" customHeight="1">
      <c r="B20" s="62" t="inlineStr">
        <is>
          <t>Trips - International</t>
        </is>
      </c>
      <c r="C20" s="63" t="n"/>
      <c r="D20" s="63" t="n"/>
      <c r="E20" s="63" t="n"/>
      <c r="F20" s="63" t="n"/>
      <c r="G20" s="63" t="n"/>
      <c r="H20" s="63" t="n">
        <v>1</v>
      </c>
      <c r="I20" s="63" t="n"/>
      <c r="J20" s="63" t="n"/>
      <c r="K20" s="63" t="n"/>
      <c r="L20" s="63" t="n">
        <v>1</v>
      </c>
      <c r="M20" s="63" t="n"/>
      <c r="N20" s="63" t="n"/>
      <c r="O20" s="64" t="n">
        <v>4000000</v>
      </c>
    </row>
    <row r="21">
      <c r="B21" s="38" t="inlineStr">
        <is>
          <t>Cost per trip (incl Intl travel)</t>
        </is>
      </c>
      <c r="C21" s="63" t="n"/>
      <c r="D21" s="63" t="n"/>
      <c r="E21" s="63" t="n"/>
      <c r="F21" s="63" t="n"/>
      <c r="G21" s="63" t="n"/>
      <c r="H21" s="63" t="n"/>
      <c r="I21" s="63" t="n"/>
      <c r="J21" s="63" t="n"/>
      <c r="K21" s="63" t="n"/>
      <c r="L21" s="63" t="n"/>
      <c r="M21" s="63" t="n"/>
      <c r="N21" s="63" t="n"/>
      <c r="O21" s="64" t="n">
        <v>2500000</v>
      </c>
    </row>
    <row r="22">
      <c r="B22" s="38" t="n"/>
      <c r="C22" s="63" t="n"/>
      <c r="D22" s="63" t="n"/>
      <c r="E22" s="63" t="n"/>
      <c r="F22" s="63" t="n"/>
      <c r="G22" s="63" t="n"/>
      <c r="H22" s="63" t="n"/>
      <c r="I22" s="63" t="n"/>
      <c r="J22" s="63" t="n"/>
      <c r="K22" s="63" t="n"/>
      <c r="L22" s="63" t="n"/>
      <c r="M22" s="63" t="n"/>
      <c r="N22" s="63" t="n"/>
      <c r="O22" s="64" t="n"/>
    </row>
    <row r="23">
      <c r="B23" s="38" t="n"/>
      <c r="C23" s="63" t="n"/>
      <c r="D23" s="63" t="n"/>
      <c r="E23" s="63" t="n"/>
      <c r="F23" s="63" t="n"/>
      <c r="G23" s="63" t="n"/>
      <c r="H23" s="63" t="n"/>
      <c r="I23" s="63" t="n"/>
      <c r="J23" s="63" t="n"/>
      <c r="K23" s="63" t="n"/>
      <c r="L23" s="63" t="n"/>
      <c r="M23" s="63" t="n"/>
      <c r="N23" s="63" t="n"/>
      <c r="O23" s="64" t="n"/>
    </row>
    <row r="24">
      <c r="B24" s="62" t="n"/>
      <c r="C24" s="63" t="n"/>
      <c r="D24" s="63" t="n"/>
      <c r="E24" s="63" t="n"/>
      <c r="F24" s="63" t="n"/>
      <c r="G24" s="63" t="n"/>
      <c r="H24" s="63" t="n"/>
      <c r="I24" s="63" t="n"/>
      <c r="J24" s="63" t="n"/>
      <c r="K24" s="63" t="n"/>
      <c r="L24" s="63" t="n"/>
      <c r="M24" s="63" t="n"/>
      <c r="N24" s="63" t="n"/>
      <c r="O24" s="64" t="n"/>
    </row>
    <row r="25">
      <c r="B25" s="42" t="inlineStr">
        <is>
          <t>Webinars</t>
        </is>
      </c>
      <c r="C25" s="65" t="n"/>
      <c r="D25" s="65" t="n"/>
      <c r="E25" s="65">
        <f>$O25/4</f>
        <v/>
      </c>
      <c r="F25" s="65" t="n"/>
      <c r="G25" s="65" t="n"/>
      <c r="H25" s="65">
        <f>$O25/4</f>
        <v/>
      </c>
      <c r="I25" s="65" t="n"/>
      <c r="J25" s="65" t="n"/>
      <c r="K25" s="65">
        <f>$O25/4</f>
        <v/>
      </c>
      <c r="L25" s="65" t="n"/>
      <c r="M25" s="65" t="n"/>
      <c r="N25" s="65">
        <f>$O25/4</f>
        <v/>
      </c>
      <c r="O25" s="66" t="n">
        <v>1250000</v>
      </c>
    </row>
    <row r="26" ht="16" customHeight="1">
      <c r="B26" s="62" t="inlineStr">
        <is>
          <t>Trips - Local</t>
        </is>
      </c>
      <c r="C26" s="63" t="n"/>
      <c r="D26" s="63" t="n"/>
      <c r="E26" s="63">
        <f>$O26/4</f>
        <v/>
      </c>
      <c r="F26" s="63" t="n"/>
      <c r="G26" s="63" t="n"/>
      <c r="H26" s="63">
        <f>$O26/4</f>
        <v/>
      </c>
      <c r="I26" s="63" t="n"/>
      <c r="J26" s="63" t="n"/>
      <c r="K26" s="63">
        <f>$O26/4</f>
        <v/>
      </c>
      <c r="L26" s="63" t="n"/>
      <c r="M26" s="63" t="n"/>
      <c r="N26" s="63">
        <f>$O26/4</f>
        <v/>
      </c>
      <c r="O26" s="64" t="n">
        <v>2083333.333333333</v>
      </c>
    </row>
    <row r="27">
      <c r="B27" s="38" t="inlineStr">
        <is>
          <t>Cost per trip (incl local travel)</t>
        </is>
      </c>
      <c r="C27" s="65" t="n"/>
      <c r="D27" s="65" t="n"/>
      <c r="E27" s="65">
        <f>$O27/4</f>
        <v/>
      </c>
      <c r="F27" s="65" t="n"/>
      <c r="G27" s="65" t="n"/>
      <c r="H27" s="65">
        <f>$O27/4</f>
        <v/>
      </c>
      <c r="I27" s="65" t="n"/>
      <c r="J27" s="65" t="n"/>
      <c r="K27" s="65">
        <f>$O27/4</f>
        <v/>
      </c>
      <c r="L27" s="65" t="n"/>
      <c r="M27" s="65" t="n"/>
      <c r="N27" s="65">
        <f>$O27/4</f>
        <v/>
      </c>
      <c r="O27" s="66" t="n">
        <v>1250000</v>
      </c>
    </row>
  </sheetData>
  <mergeCells count="3">
    <mergeCell ref="B9:O9"/>
    <mergeCell ref="B2:O2"/>
    <mergeCell ref="B18:O18"/>
  </mergeCells>
  <pageMargins left="0.7" right="0.7" top="0.75" bottom="0.75" header="0.3" footer="0.3"/>
  <pageSetup orientation="portrait" paperSize="9" horizontalDpi="0" verticalDpi="0"/>
</worksheet>
</file>

<file path=xl/worksheets/sheet11.xml><?xml version="1.0" encoding="utf-8"?>
<worksheet xmlns="http://schemas.openxmlformats.org/spreadsheetml/2006/main">
  <sheetPr>
    <outlinePr summaryBelow="1" summaryRight="1"/>
    <pageSetUpPr/>
  </sheetPr>
  <dimension ref="B2:N5"/>
  <sheetViews>
    <sheetView showGridLines="0" workbookViewId="0">
      <selection activeCell="M11" sqref="M11"/>
    </sheetView>
  </sheetViews>
  <sheetFormatPr baseColWidth="10" defaultColWidth="8.83203125" defaultRowHeight="15"/>
  <cols>
    <col width="14.5" bestFit="1" customWidth="1" min="2" max="2"/>
  </cols>
  <sheetData>
    <row r="2">
      <c r="B2" s="43" t="n"/>
      <c r="C2" s="45" t="inlineStr">
        <is>
          <t>Jan</t>
        </is>
      </c>
      <c r="D2" s="45" t="inlineStr">
        <is>
          <t>Feb</t>
        </is>
      </c>
      <c r="E2" s="45" t="inlineStr">
        <is>
          <t>Mar</t>
        </is>
      </c>
      <c r="F2" s="45" t="inlineStr">
        <is>
          <t>Apr</t>
        </is>
      </c>
      <c r="G2" s="45" t="inlineStr">
        <is>
          <t>May</t>
        </is>
      </c>
      <c r="H2" s="45" t="inlineStr">
        <is>
          <t>Jun</t>
        </is>
      </c>
      <c r="I2" s="45" t="inlineStr">
        <is>
          <t>Jul</t>
        </is>
      </c>
      <c r="J2" s="45" t="inlineStr">
        <is>
          <t>Aug</t>
        </is>
      </c>
      <c r="K2" s="45" t="inlineStr">
        <is>
          <t>Sep</t>
        </is>
      </c>
      <c r="L2" s="45" t="inlineStr">
        <is>
          <t>Oct</t>
        </is>
      </c>
      <c r="M2" s="45" t="inlineStr">
        <is>
          <t>Nov</t>
        </is>
      </c>
      <c r="N2" s="46" t="inlineStr">
        <is>
          <t>Dec</t>
        </is>
      </c>
    </row>
    <row r="3">
      <c r="B3" s="38" t="inlineStr">
        <is>
          <t>Fees/Member</t>
        </is>
      </c>
      <c r="C3" s="58" t="n">
        <v>50000</v>
      </c>
      <c r="D3" s="58" t="n">
        <v>50000</v>
      </c>
      <c r="E3" s="58" t="n">
        <v>50000</v>
      </c>
      <c r="F3" s="58" t="n">
        <v>50000</v>
      </c>
      <c r="G3" s="58" t="n">
        <v>50000</v>
      </c>
      <c r="H3" s="58" t="n">
        <v>50000</v>
      </c>
      <c r="I3" s="58" t="n">
        <v>50000</v>
      </c>
      <c r="J3" s="58" t="n">
        <v>50000</v>
      </c>
      <c r="K3" s="58" t="n">
        <v>50000</v>
      </c>
      <c r="L3" s="58" t="n">
        <v>50000</v>
      </c>
      <c r="M3" s="58" t="n">
        <v>50000</v>
      </c>
      <c r="N3" s="58" t="n">
        <v>50000</v>
      </c>
    </row>
    <row r="4">
      <c r="B4" s="38" t="inlineStr">
        <is>
          <t>No of members</t>
        </is>
      </c>
      <c r="C4" s="58" t="n">
        <v>0</v>
      </c>
      <c r="D4" s="58" t="n">
        <v>0</v>
      </c>
      <c r="E4" s="58" t="n">
        <v>5</v>
      </c>
      <c r="F4" s="58">
        <f>E4+10</f>
        <v/>
      </c>
      <c r="G4" s="58">
        <f>F4+10</f>
        <v/>
      </c>
      <c r="H4" s="58" t="n">
        <v>50</v>
      </c>
      <c r="I4" s="58" t="n">
        <v>50</v>
      </c>
      <c r="J4" s="58" t="n">
        <v>50</v>
      </c>
      <c r="K4" s="58" t="n">
        <v>50</v>
      </c>
      <c r="L4" s="58" t="n">
        <v>50</v>
      </c>
      <c r="M4" s="58" t="n">
        <v>50</v>
      </c>
      <c r="N4" s="58" t="n">
        <v>50</v>
      </c>
    </row>
    <row r="5" customFormat="1" s="3">
      <c r="B5" s="70" t="inlineStr">
        <is>
          <t xml:space="preserve">Total </t>
        </is>
      </c>
      <c r="C5" s="75">
        <f>C3*C4</f>
        <v/>
      </c>
      <c r="D5" s="75">
        <f>D3*D4</f>
        <v/>
      </c>
      <c r="E5" s="75">
        <f>E3*E4</f>
        <v/>
      </c>
      <c r="F5" s="75">
        <f>F3*F4</f>
        <v/>
      </c>
      <c r="G5" s="75">
        <f>G3*G4</f>
        <v/>
      </c>
      <c r="H5" s="75">
        <f>H3*H4</f>
        <v/>
      </c>
      <c r="I5" s="75">
        <f>I3*I4</f>
        <v/>
      </c>
      <c r="J5" s="75">
        <f>J3*J4</f>
        <v/>
      </c>
      <c r="K5" s="75">
        <f>K3*K4</f>
        <v/>
      </c>
      <c r="L5" s="75">
        <f>L3*L4</f>
        <v/>
      </c>
      <c r="M5" s="75">
        <f>M3*M4</f>
        <v/>
      </c>
      <c r="N5" s="76">
        <f>N3*N4</f>
        <v/>
      </c>
    </row>
  </sheetData>
  <pageMargins left="0.7" right="0.7" top="0.75" bottom="0.75" header="0.3" footer="0.3"/>
  <pageSetup orientation="portrait" paperSize="9" horizontalDpi="0" verticalDpi="0"/>
</worksheet>
</file>

<file path=xl/worksheets/sheet12.xml><?xml version="1.0" encoding="utf-8"?>
<worksheet xmlns="http://schemas.openxmlformats.org/spreadsheetml/2006/main">
  <sheetPr>
    <outlinePr summaryBelow="1" summaryRight="1"/>
    <pageSetUpPr/>
  </sheetPr>
  <dimension ref="B2:N5"/>
  <sheetViews>
    <sheetView showGridLines="0" workbookViewId="0">
      <selection activeCell="P6" sqref="P6"/>
    </sheetView>
  </sheetViews>
  <sheetFormatPr baseColWidth="10" defaultColWidth="8.83203125" defaultRowHeight="15"/>
  <cols>
    <col width="12.5" bestFit="1" customWidth="1" min="2" max="2"/>
    <col width="9.5" bestFit="1" customWidth="1" min="3" max="14"/>
  </cols>
  <sheetData>
    <row r="2">
      <c r="B2" s="43" t="n"/>
      <c r="C2" s="45" t="inlineStr">
        <is>
          <t>Jan</t>
        </is>
      </c>
      <c r="D2" s="45" t="inlineStr">
        <is>
          <t>Feb</t>
        </is>
      </c>
      <c r="E2" s="45" t="inlineStr">
        <is>
          <t>Mar</t>
        </is>
      </c>
      <c r="F2" s="45" t="inlineStr">
        <is>
          <t>Apr</t>
        </is>
      </c>
      <c r="G2" s="45" t="inlineStr">
        <is>
          <t>May</t>
        </is>
      </c>
      <c r="H2" s="45" t="inlineStr">
        <is>
          <t>Jun</t>
        </is>
      </c>
      <c r="I2" s="45" t="inlineStr">
        <is>
          <t>Jul</t>
        </is>
      </c>
      <c r="J2" s="45" t="inlineStr">
        <is>
          <t>Aug</t>
        </is>
      </c>
      <c r="K2" s="45" t="inlineStr">
        <is>
          <t>Sep</t>
        </is>
      </c>
      <c r="L2" s="45" t="inlineStr">
        <is>
          <t>Oct</t>
        </is>
      </c>
      <c r="M2" s="45" t="inlineStr">
        <is>
          <t>Nov</t>
        </is>
      </c>
      <c r="N2" s="46" t="inlineStr">
        <is>
          <t>Dec</t>
        </is>
      </c>
    </row>
    <row r="3">
      <c r="B3" s="38" t="inlineStr">
        <is>
          <t>Price</t>
        </is>
      </c>
      <c r="C3" s="39" t="n">
        <v>990</v>
      </c>
      <c r="D3" s="39" t="n">
        <v>990</v>
      </c>
      <c r="E3" s="39" t="n">
        <v>990</v>
      </c>
      <c r="F3" s="39" t="n">
        <v>990</v>
      </c>
      <c r="G3" s="39" t="n">
        <v>990</v>
      </c>
      <c r="H3" s="39" t="n">
        <v>990</v>
      </c>
      <c r="I3" s="39" t="n">
        <v>990</v>
      </c>
      <c r="J3" s="39" t="n">
        <v>990</v>
      </c>
      <c r="K3" s="39" t="n">
        <v>990</v>
      </c>
      <c r="L3" s="39" t="n">
        <v>990</v>
      </c>
      <c r="M3" s="39" t="n">
        <v>990</v>
      </c>
      <c r="N3" s="39" t="n">
        <v>990</v>
      </c>
    </row>
    <row r="4">
      <c r="B4" s="38" t="inlineStr">
        <is>
          <t>Consumption</t>
        </is>
      </c>
      <c r="C4" s="39" t="n">
        <v>1000</v>
      </c>
      <c r="D4" s="39" t="n">
        <v>1000</v>
      </c>
      <c r="E4" s="39" t="n">
        <v>1000</v>
      </c>
      <c r="F4" s="39" t="n">
        <v>1000</v>
      </c>
      <c r="G4" s="39" t="n">
        <v>1000</v>
      </c>
      <c r="H4" s="39" t="n">
        <v>1000</v>
      </c>
      <c r="I4" s="39" t="n">
        <v>1000</v>
      </c>
      <c r="J4" s="39" t="n">
        <v>1000</v>
      </c>
      <c r="K4" s="39" t="n">
        <v>1000</v>
      </c>
      <c r="L4" s="39" t="n">
        <v>1000</v>
      </c>
      <c r="M4" s="39" t="n">
        <v>1000</v>
      </c>
      <c r="N4" s="39" t="n">
        <v>1000</v>
      </c>
    </row>
    <row r="5" customFormat="1" s="3">
      <c r="B5" s="70" t="inlineStr">
        <is>
          <t xml:space="preserve">Total </t>
        </is>
      </c>
      <c r="C5" s="71">
        <f>C3*C4</f>
        <v/>
      </c>
      <c r="D5" s="71">
        <f>D3*D4</f>
        <v/>
      </c>
      <c r="E5" s="71">
        <f>E3*E4</f>
        <v/>
      </c>
      <c r="F5" s="71">
        <f>F3*F4</f>
        <v/>
      </c>
      <c r="G5" s="71">
        <f>G3*G4</f>
        <v/>
      </c>
      <c r="H5" s="71">
        <f>H3*H4</f>
        <v/>
      </c>
      <c r="I5" s="71">
        <f>I3*I4</f>
        <v/>
      </c>
      <c r="J5" s="71">
        <f>J3*J4</f>
        <v/>
      </c>
      <c r="K5" s="71">
        <f>K3*K4</f>
        <v/>
      </c>
      <c r="L5" s="71">
        <f>L3*L4</f>
        <v/>
      </c>
      <c r="M5" s="71">
        <f>M3*M4</f>
        <v/>
      </c>
      <c r="N5" s="72">
        <f>N3*N4</f>
        <v/>
      </c>
    </row>
  </sheetData>
  <pageMargins left="0.7" right="0.7" top="0.75" bottom="0.75" header="0.3" footer="0.3"/>
  <pageSetup orientation="portrait" paperSize="9" horizontalDpi="0" verticalDpi="0"/>
</worksheet>
</file>

<file path=xl/worksheets/sheet13.xml><?xml version="1.0" encoding="utf-8"?>
<worksheet xmlns="http://schemas.openxmlformats.org/spreadsheetml/2006/main">
  <sheetPr>
    <outlinePr summaryBelow="1" summaryRight="1"/>
    <pageSetUpPr/>
  </sheetPr>
  <dimension ref="B2:Q23"/>
  <sheetViews>
    <sheetView showGridLines="0" workbookViewId="0">
      <pane xSplit="2" ySplit="2" topLeftCell="D3" activePane="bottomRight" state="frozen"/>
      <selection pane="topRight" activeCell="C1" sqref="C1"/>
      <selection pane="bottomLeft" activeCell="A3" sqref="A3"/>
      <selection pane="bottomRight" activeCell="H21" sqref="H21"/>
    </sheetView>
  </sheetViews>
  <sheetFormatPr baseColWidth="10" defaultColWidth="8.83203125" defaultRowHeight="15"/>
  <cols>
    <col width="27.5" customWidth="1" min="2" max="3"/>
    <col width="22.6640625" customWidth="1" style="36" min="4" max="4"/>
    <col width="3.5" customWidth="1" min="5" max="5"/>
    <col width="11.1640625" bestFit="1" customWidth="1" style="36" min="6" max="7"/>
    <col width="12.5" customWidth="1" style="36" min="8" max="8"/>
    <col width="15.1640625" customWidth="1" style="36" min="9" max="9"/>
    <col width="13.6640625" bestFit="1" customWidth="1" style="36" min="10" max="17"/>
  </cols>
  <sheetData>
    <row r="2">
      <c r="B2" s="44" t="inlineStr">
        <is>
          <t>Grade</t>
        </is>
      </c>
      <c r="C2" s="45" t="inlineStr">
        <is>
          <t>Annual Package  (₦)</t>
        </is>
      </c>
      <c r="D2" s="45" t="inlineStr">
        <is>
          <t>Monhly Salary Amount (₦)</t>
        </is>
      </c>
      <c r="E2" s="47" t="n"/>
      <c r="F2" s="45" t="inlineStr">
        <is>
          <t>Jan</t>
        </is>
      </c>
      <c r="G2" s="45" t="inlineStr">
        <is>
          <t>Feb</t>
        </is>
      </c>
      <c r="H2" s="45" t="inlineStr">
        <is>
          <t>Mar</t>
        </is>
      </c>
      <c r="I2" s="45" t="inlineStr">
        <is>
          <t>Apr</t>
        </is>
      </c>
      <c r="J2" s="45" t="inlineStr">
        <is>
          <t>May</t>
        </is>
      </c>
      <c r="K2" s="45" t="inlineStr">
        <is>
          <t>Jun</t>
        </is>
      </c>
      <c r="L2" s="45" t="inlineStr">
        <is>
          <t>Jul</t>
        </is>
      </c>
      <c r="M2" s="45" t="inlineStr">
        <is>
          <t>Aug</t>
        </is>
      </c>
      <c r="N2" s="45" t="inlineStr">
        <is>
          <t>Sep</t>
        </is>
      </c>
      <c r="O2" s="45" t="inlineStr">
        <is>
          <t>Oct</t>
        </is>
      </c>
      <c r="P2" s="45" t="inlineStr">
        <is>
          <t>Nov</t>
        </is>
      </c>
      <c r="Q2" s="46" t="inlineStr">
        <is>
          <t>Dec</t>
        </is>
      </c>
    </row>
    <row r="3">
      <c r="B3" s="38" t="inlineStr">
        <is>
          <t>Managing Director</t>
        </is>
      </c>
      <c r="C3" s="69" t="n">
        <v>92560384</v>
      </c>
      <c r="D3" s="69">
        <f>C3/12</f>
        <v/>
      </c>
      <c r="E3" s="48" t="n"/>
      <c r="F3" s="40" t="n"/>
      <c r="G3" s="40" t="n"/>
      <c r="H3" s="40" t="n">
        <v>1</v>
      </c>
      <c r="I3" s="40" t="n">
        <v>1</v>
      </c>
      <c r="J3" s="40" t="n">
        <v>1</v>
      </c>
      <c r="K3" s="40" t="n">
        <v>1</v>
      </c>
      <c r="L3" s="40" t="n">
        <v>1</v>
      </c>
      <c r="M3" s="40" t="n">
        <v>1</v>
      </c>
      <c r="N3" s="40" t="n">
        <v>1</v>
      </c>
      <c r="O3" s="40" t="n">
        <v>1</v>
      </c>
      <c r="P3" s="40" t="n">
        <v>1</v>
      </c>
      <c r="Q3" s="40" t="n">
        <v>1</v>
      </c>
    </row>
    <row r="4">
      <c r="B4" s="38" t="inlineStr">
        <is>
          <t>Director of Programs</t>
        </is>
      </c>
      <c r="C4" s="69" t="n">
        <v>51528999</v>
      </c>
      <c r="D4" s="69">
        <f>C4/12</f>
        <v/>
      </c>
      <c r="E4" s="48" t="n"/>
      <c r="F4" s="40" t="n"/>
      <c r="G4" s="40" t="n"/>
      <c r="H4" s="40" t="n"/>
      <c r="I4" s="40" t="n">
        <v>1</v>
      </c>
      <c r="J4" s="40" t="n">
        <v>1</v>
      </c>
      <c r="K4" s="40" t="n">
        <v>1</v>
      </c>
      <c r="L4" s="40" t="n">
        <v>1</v>
      </c>
      <c r="M4" s="40" t="n">
        <v>1</v>
      </c>
      <c r="N4" s="40" t="n">
        <v>1</v>
      </c>
      <c r="O4" s="40" t="n">
        <v>1</v>
      </c>
      <c r="P4" s="40" t="n">
        <v>1</v>
      </c>
      <c r="Q4" s="40" t="n">
        <v>1</v>
      </c>
    </row>
    <row r="5">
      <c r="B5" s="38" t="inlineStr">
        <is>
          <t>IT Manager</t>
        </is>
      </c>
      <c r="C5" s="69" t="n">
        <v>10365498</v>
      </c>
      <c r="D5" s="69">
        <f>C5/12</f>
        <v/>
      </c>
      <c r="E5" s="48" t="n"/>
      <c r="F5" s="40" t="n"/>
      <c r="G5" s="40" t="n"/>
      <c r="H5" s="40" t="n"/>
      <c r="I5" s="40" t="n">
        <v>1</v>
      </c>
      <c r="J5" s="40" t="n">
        <v>1</v>
      </c>
      <c r="K5" s="40" t="n">
        <v>1</v>
      </c>
      <c r="L5" s="40" t="n">
        <v>1</v>
      </c>
      <c r="M5" s="40" t="n">
        <v>1</v>
      </c>
      <c r="N5" s="40" t="n">
        <v>1</v>
      </c>
      <c r="O5" s="40" t="n">
        <v>1</v>
      </c>
      <c r="P5" s="40" t="n">
        <v>1</v>
      </c>
      <c r="Q5" s="40" t="n">
        <v>1</v>
      </c>
    </row>
    <row r="6">
      <c r="B6" s="38" t="inlineStr">
        <is>
          <t>Community Manager</t>
        </is>
      </c>
      <c r="C6" s="69" t="n">
        <v>10365498</v>
      </c>
      <c r="D6" s="69">
        <f>C6/12</f>
        <v/>
      </c>
      <c r="E6" s="48" t="n"/>
      <c r="F6" s="40" t="n"/>
      <c r="G6" s="40" t="n"/>
      <c r="H6" s="40" t="n"/>
      <c r="I6" s="40" t="n">
        <v>1</v>
      </c>
      <c r="J6" s="40" t="n">
        <v>1</v>
      </c>
      <c r="K6" s="40" t="n">
        <v>1</v>
      </c>
      <c r="L6" s="40" t="n">
        <v>1</v>
      </c>
      <c r="M6" s="40" t="n">
        <v>1</v>
      </c>
      <c r="N6" s="40" t="n">
        <v>1</v>
      </c>
      <c r="O6" s="40" t="n">
        <v>1</v>
      </c>
      <c r="P6" s="40" t="n">
        <v>1</v>
      </c>
      <c r="Q6" s="40" t="n">
        <v>1</v>
      </c>
    </row>
    <row r="7">
      <c r="B7" s="38" t="inlineStr">
        <is>
          <t>Facility Associate</t>
        </is>
      </c>
      <c r="C7" s="69" t="n">
        <v>5939986.5</v>
      </c>
      <c r="D7" s="69">
        <f>C7/12</f>
        <v/>
      </c>
      <c r="E7" s="48" t="n"/>
      <c r="F7" s="40" t="n"/>
      <c r="G7" s="40" t="n"/>
      <c r="H7" s="40" t="n"/>
      <c r="I7" s="40" t="n">
        <v>1</v>
      </c>
      <c r="J7" s="40" t="n">
        <v>1</v>
      </c>
      <c r="K7" s="40" t="n">
        <v>1</v>
      </c>
      <c r="L7" s="40" t="n">
        <v>1</v>
      </c>
      <c r="M7" s="40" t="n">
        <v>1</v>
      </c>
      <c r="N7" s="40" t="n">
        <v>1</v>
      </c>
      <c r="O7" s="40" t="n">
        <v>1</v>
      </c>
      <c r="P7" s="40" t="n">
        <v>1</v>
      </c>
      <c r="Q7" s="40" t="n">
        <v>1</v>
      </c>
    </row>
    <row r="8">
      <c r="B8" s="38" t="inlineStr">
        <is>
          <t>Front Desk Associate (x2)</t>
        </is>
      </c>
      <c r="C8" s="69" t="n">
        <v>11879973</v>
      </c>
      <c r="D8" s="69">
        <f>C8/12</f>
        <v/>
      </c>
      <c r="E8" s="48" t="n"/>
      <c r="F8" s="40" t="n"/>
      <c r="G8" s="40" t="n"/>
      <c r="H8" s="40" t="n"/>
      <c r="I8" s="40" t="n">
        <v>1</v>
      </c>
      <c r="J8" s="40" t="n">
        <v>1</v>
      </c>
      <c r="K8" s="40" t="n">
        <v>2</v>
      </c>
      <c r="L8" s="40" t="n">
        <v>2</v>
      </c>
      <c r="M8" s="40" t="n">
        <v>2</v>
      </c>
      <c r="N8" s="40" t="n">
        <v>2</v>
      </c>
      <c r="O8" s="40" t="n">
        <v>2</v>
      </c>
      <c r="P8" s="40" t="n">
        <v>2</v>
      </c>
      <c r="Q8" s="40" t="n">
        <v>2</v>
      </c>
    </row>
    <row r="9">
      <c r="B9" s="38" t="inlineStr">
        <is>
          <t>Finance Associate</t>
        </is>
      </c>
      <c r="C9" s="69" t="n">
        <v>5939986.5</v>
      </c>
      <c r="D9" s="69">
        <f>C9/12</f>
        <v/>
      </c>
      <c r="E9" s="48" t="n"/>
      <c r="F9" s="40" t="n"/>
      <c r="G9" s="40" t="n"/>
      <c r="H9" s="40" t="n"/>
      <c r="I9" s="40" t="n">
        <v>1</v>
      </c>
      <c r="J9" s="40" t="n">
        <v>1</v>
      </c>
      <c r="K9" s="40" t="n">
        <v>1</v>
      </c>
      <c r="L9" s="40" t="n">
        <v>1</v>
      </c>
      <c r="M9" s="40" t="n">
        <v>1</v>
      </c>
      <c r="N9" s="40" t="n">
        <v>1</v>
      </c>
      <c r="O9" s="40" t="n">
        <v>1</v>
      </c>
      <c r="P9" s="40" t="n">
        <v>1</v>
      </c>
      <c r="Q9" s="40" t="n">
        <v>1</v>
      </c>
    </row>
    <row r="10">
      <c r="B10" s="38" t="inlineStr">
        <is>
          <t>Admin &amp; HR Associate</t>
        </is>
      </c>
      <c r="C10" s="69" t="n">
        <v>5939986.5</v>
      </c>
      <c r="D10" s="69">
        <f>C10/12</f>
        <v/>
      </c>
      <c r="E10" s="48" t="n"/>
      <c r="F10" s="40" t="n"/>
      <c r="G10" s="40" t="n"/>
      <c r="H10" s="40" t="n"/>
      <c r="I10" s="40" t="n">
        <v>1</v>
      </c>
      <c r="J10" s="40" t="n">
        <v>1</v>
      </c>
      <c r="K10" s="40" t="n">
        <v>1</v>
      </c>
      <c r="L10" s="40" t="n">
        <v>1</v>
      </c>
      <c r="M10" s="40" t="n">
        <v>1</v>
      </c>
      <c r="N10" s="40" t="n">
        <v>1</v>
      </c>
      <c r="O10" s="40" t="n">
        <v>1</v>
      </c>
      <c r="P10" s="40" t="n">
        <v>1</v>
      </c>
      <c r="Q10" s="40" t="n">
        <v>1</v>
      </c>
    </row>
    <row r="11">
      <c r="B11" s="38" t="inlineStr">
        <is>
          <t>IT Support Associate (x2)</t>
        </is>
      </c>
      <c r="C11" s="69" t="n">
        <v>11879973</v>
      </c>
      <c r="D11" s="69">
        <f>C11/12</f>
        <v/>
      </c>
      <c r="E11" s="48" t="n"/>
      <c r="F11" s="40" t="n"/>
      <c r="G11" s="40" t="n"/>
      <c r="H11" s="40" t="n"/>
      <c r="I11" s="40" t="n">
        <v>1</v>
      </c>
      <c r="J11" s="40" t="n">
        <v>1</v>
      </c>
      <c r="K11" s="40" t="n">
        <v>1</v>
      </c>
      <c r="L11" s="40" t="n">
        <v>1</v>
      </c>
      <c r="M11" s="40" t="n">
        <v>1</v>
      </c>
      <c r="N11" s="40" t="n">
        <v>1</v>
      </c>
      <c r="O11" s="40" t="n">
        <v>1</v>
      </c>
      <c r="P11" s="40" t="n">
        <v>1</v>
      </c>
      <c r="Q11" s="40" t="n">
        <v>1</v>
      </c>
    </row>
    <row r="12">
      <c r="B12" s="38" t="inlineStr">
        <is>
          <t>Content &amp; Digital Marketing Lead</t>
        </is>
      </c>
      <c r="C12" s="69" t="n">
        <v>5939986.5</v>
      </c>
      <c r="D12" s="69">
        <f>C12/12</f>
        <v/>
      </c>
      <c r="E12" s="48" t="n"/>
      <c r="F12" s="40" t="n"/>
      <c r="G12" s="40" t="n"/>
      <c r="H12" s="40" t="n"/>
      <c r="I12" s="40" t="n">
        <v>1</v>
      </c>
      <c r="J12" s="40" t="n">
        <v>1</v>
      </c>
      <c r="K12" s="40" t="n">
        <v>1</v>
      </c>
      <c r="L12" s="40" t="n">
        <v>1</v>
      </c>
      <c r="M12" s="40" t="n">
        <v>1</v>
      </c>
      <c r="N12" s="40" t="n">
        <v>1</v>
      </c>
      <c r="O12" s="40" t="n">
        <v>1</v>
      </c>
      <c r="P12" s="40" t="n">
        <v>1</v>
      </c>
      <c r="Q12" s="40" t="n">
        <v>1</v>
      </c>
    </row>
    <row r="13">
      <c r="B13" s="38" t="inlineStr">
        <is>
          <t>Graphic &amp; Multimedia Associate</t>
        </is>
      </c>
      <c r="C13" s="69" t="n">
        <v>5939986.5</v>
      </c>
      <c r="D13" s="69">
        <f>C13/12</f>
        <v/>
      </c>
      <c r="E13" s="48" t="n"/>
      <c r="F13" s="40" t="n"/>
      <c r="G13" s="40" t="n"/>
      <c r="H13" s="40" t="n"/>
      <c r="I13" s="40" t="n">
        <v>1</v>
      </c>
      <c r="J13" s="40" t="n">
        <v>1</v>
      </c>
      <c r="K13" s="40" t="n">
        <v>1</v>
      </c>
      <c r="L13" s="40" t="n">
        <v>1</v>
      </c>
      <c r="M13" s="40" t="n">
        <v>1</v>
      </c>
      <c r="N13" s="40" t="n">
        <v>1</v>
      </c>
      <c r="O13" s="40" t="n">
        <v>1</v>
      </c>
      <c r="P13" s="40" t="n">
        <v>1</v>
      </c>
      <c r="Q13" s="40" t="n">
        <v>1</v>
      </c>
    </row>
    <row r="14">
      <c r="B14" s="38" t="inlineStr">
        <is>
          <t>Facility Technician (x3)</t>
        </is>
      </c>
      <c r="C14" s="69" t="n">
        <v>8840273.25</v>
      </c>
      <c r="D14" s="69">
        <f>C14/12</f>
        <v/>
      </c>
      <c r="E14" s="48" t="n"/>
      <c r="F14" s="40" t="n"/>
      <c r="G14" s="40" t="n"/>
      <c r="H14" s="40" t="n"/>
      <c r="I14" s="40" t="n">
        <v>1</v>
      </c>
      <c r="J14" s="40" t="n">
        <v>1</v>
      </c>
      <c r="K14" s="40" t="n">
        <v>1</v>
      </c>
      <c r="L14" s="40" t="n">
        <v>1</v>
      </c>
      <c r="M14" s="40" t="n">
        <v>1</v>
      </c>
      <c r="N14" s="40" t="n">
        <v>1</v>
      </c>
      <c r="O14" s="40" t="n">
        <v>1</v>
      </c>
      <c r="P14" s="40" t="n">
        <v>1</v>
      </c>
      <c r="Q14" s="40" t="n">
        <v>1</v>
      </c>
    </row>
    <row r="15">
      <c r="B15" s="38" t="inlineStr">
        <is>
          <t>Driver</t>
        </is>
      </c>
      <c r="C15" s="69" t="n">
        <v>2946757.75</v>
      </c>
      <c r="D15" s="69">
        <f>C15/12</f>
        <v/>
      </c>
      <c r="E15" s="48" t="n"/>
      <c r="F15" s="40" t="n"/>
      <c r="G15" s="40" t="n"/>
      <c r="H15" s="40" t="n"/>
      <c r="I15" s="40" t="n">
        <v>1</v>
      </c>
      <c r="J15" s="40" t="n">
        <v>2</v>
      </c>
      <c r="K15" s="40" t="n">
        <v>2</v>
      </c>
      <c r="L15" s="40" t="n">
        <v>2</v>
      </c>
      <c r="M15" s="40" t="n">
        <v>2</v>
      </c>
      <c r="N15" s="40" t="n">
        <v>2</v>
      </c>
      <c r="O15" s="40" t="n">
        <v>2</v>
      </c>
      <c r="P15" s="40" t="n">
        <v>2</v>
      </c>
      <c r="Q15" s="40" t="n">
        <v>2</v>
      </c>
    </row>
    <row r="16">
      <c r="B16" s="38" t="inlineStr">
        <is>
          <t>Intern (x2)</t>
        </is>
      </c>
      <c r="C16" s="69" t="n">
        <v>2260179.5</v>
      </c>
      <c r="D16" s="69">
        <f>C16/12</f>
        <v/>
      </c>
      <c r="E16" s="48" t="n"/>
      <c r="F16" s="40" t="n"/>
      <c r="G16" s="40" t="n"/>
      <c r="H16" s="40" t="n"/>
      <c r="I16" s="40" t="n">
        <v>2</v>
      </c>
      <c r="J16" s="40" t="n">
        <v>2</v>
      </c>
      <c r="K16" s="40" t="n">
        <v>2</v>
      </c>
      <c r="L16" s="40" t="n">
        <v>2</v>
      </c>
      <c r="M16" s="40" t="n">
        <v>2</v>
      </c>
      <c r="N16" s="40" t="n">
        <v>2</v>
      </c>
      <c r="O16" s="40" t="n">
        <v>2</v>
      </c>
      <c r="P16" s="40" t="n">
        <v>2</v>
      </c>
      <c r="Q16" s="40" t="n">
        <v>2</v>
      </c>
    </row>
    <row r="17">
      <c r="B17" s="38" t="inlineStr">
        <is>
          <t>Intern (x3)</t>
        </is>
      </c>
      <c r="C17" s="69" t="n">
        <v>2689867.2</v>
      </c>
      <c r="D17" s="69">
        <f>C17/12</f>
        <v/>
      </c>
      <c r="E17" s="48" t="n"/>
      <c r="F17" s="40" t="n"/>
      <c r="G17" s="40" t="n"/>
      <c r="H17" s="40" t="n"/>
      <c r="I17" s="40" t="n">
        <v>3</v>
      </c>
      <c r="J17" s="40" t="n">
        <v>3</v>
      </c>
      <c r="K17" s="40" t="n">
        <v>3</v>
      </c>
      <c r="L17" s="40" t="n">
        <v>3</v>
      </c>
      <c r="M17" s="40" t="n">
        <v>3</v>
      </c>
      <c r="N17" s="40" t="n">
        <v>3</v>
      </c>
      <c r="O17" s="40" t="n">
        <v>3</v>
      </c>
      <c r="P17" s="40" t="n">
        <v>3</v>
      </c>
      <c r="Q17" s="40" t="n">
        <v>3</v>
      </c>
    </row>
    <row r="18">
      <c r="B18" s="38" t="n"/>
      <c r="C18" s="69" t="n"/>
      <c r="D18" s="69" t="n"/>
      <c r="E18" s="48" t="n"/>
      <c r="F18" s="40" t="n"/>
      <c r="G18" s="40" t="n"/>
      <c r="H18" s="40" t="n"/>
      <c r="I18" s="40" t="n"/>
      <c r="J18" s="40" t="n"/>
      <c r="K18" s="40" t="n"/>
      <c r="L18" s="40" t="n"/>
      <c r="M18" s="40" t="n"/>
      <c r="N18" s="40" t="n"/>
      <c r="O18" s="40" t="n"/>
      <c r="P18" s="40" t="n"/>
      <c r="Q18" s="41" t="n"/>
    </row>
    <row r="19">
      <c r="B19" s="50" t="inlineStr">
        <is>
          <t>Total Monthly Employee Cost</t>
        </is>
      </c>
      <c r="C19" s="77" t="n"/>
      <c r="D19" s="51" t="n"/>
      <c r="E19" s="52" t="n"/>
      <c r="F19" s="53">
        <f>SUM(F3:F18)</f>
        <v/>
      </c>
      <c r="G19" s="53">
        <f>SUM(G3:G18)</f>
        <v/>
      </c>
      <c r="H19" s="53">
        <f>SUMPRODUCT(H3:H18,$D$3:$D$18)</f>
        <v/>
      </c>
      <c r="I19" s="53">
        <f>SUMPRODUCT(I3:I18,$D$3:$D$18)</f>
        <v/>
      </c>
      <c r="J19" s="53">
        <f>SUMPRODUCT(J3:J18,$D$3:$D$18)</f>
        <v/>
      </c>
      <c r="K19" s="53">
        <f>SUMPRODUCT(K3:K18,$D$3:$D$18)</f>
        <v/>
      </c>
      <c r="L19" s="53">
        <f>SUMPRODUCT(L3:L18,$D$3:$D$18)</f>
        <v/>
      </c>
      <c r="M19" s="53">
        <f>SUMPRODUCT(M3:M18,$D$3:$D$18)</f>
        <v/>
      </c>
      <c r="N19" s="53">
        <f>SUMPRODUCT(N3:N18,$D$3:$D$18)</f>
        <v/>
      </c>
      <c r="O19" s="53">
        <f>SUMPRODUCT(O3:O18,$D$3:$D$18)</f>
        <v/>
      </c>
      <c r="P19" s="53">
        <f>SUMPRODUCT(P3:P18,$D$3:$D$18)</f>
        <v/>
      </c>
      <c r="Q19" s="54">
        <f>SUMPRODUCT(Q3:Q18,$D$3:$D$18)</f>
        <v/>
      </c>
    </row>
    <row r="22">
      <c r="H22" s="80" t="n">
        <v>6418849.8125</v>
      </c>
      <c r="I22" s="80" t="n">
        <v>15610314.02083334</v>
      </c>
      <c r="J22" s="80" t="n">
        <v>16040686.79166667</v>
      </c>
      <c r="K22" s="80" t="n">
        <v>16040686.79166667</v>
      </c>
      <c r="L22" s="80" t="n">
        <v>16040686.79166667</v>
      </c>
      <c r="M22" s="80" t="n">
        <v>16040686.79166667</v>
      </c>
      <c r="N22" s="80" t="n">
        <v>16040686.79166667</v>
      </c>
      <c r="O22" s="80" t="n">
        <v>16040686.79166667</v>
      </c>
      <c r="P22" s="80" t="n">
        <v>16040686.79166667</v>
      </c>
      <c r="Q22" s="80" t="n">
        <v>16040686.79166667</v>
      </c>
    </row>
    <row r="23">
      <c r="F23" s="37" t="n"/>
      <c r="G23" s="37" t="n"/>
      <c r="H23" s="37" t="n"/>
      <c r="I23" s="37" t="n"/>
      <c r="J23" s="37" t="n"/>
      <c r="K23" s="37" t="n"/>
      <c r="L23" s="37" t="n"/>
      <c r="M23" s="37" t="n"/>
      <c r="N23" s="37" t="n"/>
      <c r="O23" s="37" t="n"/>
      <c r="P23" s="37" t="n"/>
      <c r="Q23" s="37"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N14"/>
  <sheetViews>
    <sheetView showGridLines="0" workbookViewId="0">
      <selection activeCell="F17" sqref="F17"/>
    </sheetView>
  </sheetViews>
  <sheetFormatPr baseColWidth="10" defaultColWidth="8.83203125" defaultRowHeight="15"/>
  <cols>
    <col width="20.1640625" customWidth="1" min="2" max="2"/>
    <col width="9.5" bestFit="1" customWidth="1" min="3" max="6"/>
    <col width="9.6640625" bestFit="1" customWidth="1" min="7" max="12"/>
    <col width="9.5" bestFit="1" customWidth="1" min="13" max="13"/>
    <col width="9.6640625" bestFit="1" customWidth="1" min="14" max="14"/>
  </cols>
  <sheetData>
    <row r="2">
      <c r="B2" s="217" t="inlineStr">
        <is>
          <t>Facility Rentals</t>
        </is>
      </c>
      <c r="C2" s="230" t="n"/>
      <c r="D2" s="230" t="n"/>
      <c r="E2" s="230" t="n"/>
      <c r="F2" s="230" t="n"/>
      <c r="G2" s="230" t="n"/>
      <c r="H2" s="230" t="n"/>
      <c r="I2" s="230" t="n"/>
      <c r="J2" s="230" t="n"/>
      <c r="K2" s="230" t="n"/>
      <c r="L2" s="230" t="n"/>
      <c r="M2" s="230" t="n"/>
      <c r="N2" s="230" t="n"/>
    </row>
    <row r="3">
      <c r="B3" s="44" t="n"/>
      <c r="C3" s="45" t="inlineStr">
        <is>
          <t>Jan</t>
        </is>
      </c>
      <c r="D3" s="45" t="inlineStr">
        <is>
          <t>Feb</t>
        </is>
      </c>
      <c r="E3" s="45" t="inlineStr">
        <is>
          <t>Mar</t>
        </is>
      </c>
      <c r="F3" s="45" t="inlineStr">
        <is>
          <t>Apr</t>
        </is>
      </c>
      <c r="G3" s="45" t="inlineStr">
        <is>
          <t>May</t>
        </is>
      </c>
      <c r="H3" s="45" t="inlineStr">
        <is>
          <t>Jun</t>
        </is>
      </c>
      <c r="I3" s="45" t="inlineStr">
        <is>
          <t>Jul</t>
        </is>
      </c>
      <c r="J3" s="45" t="inlineStr">
        <is>
          <t>Aug</t>
        </is>
      </c>
      <c r="K3" s="45" t="inlineStr">
        <is>
          <t>Sep</t>
        </is>
      </c>
      <c r="L3" s="45" t="inlineStr">
        <is>
          <t>Oct</t>
        </is>
      </c>
      <c r="M3" s="45" t="inlineStr">
        <is>
          <t>Nov</t>
        </is>
      </c>
      <c r="N3" s="46" t="inlineStr">
        <is>
          <t>Dec</t>
        </is>
      </c>
    </row>
    <row r="4">
      <c r="B4" s="38" t="inlineStr">
        <is>
          <t>Rate</t>
        </is>
      </c>
      <c r="C4" s="49" t="n">
        <v>500000</v>
      </c>
      <c r="D4" s="49" t="n">
        <v>500000</v>
      </c>
      <c r="E4" s="49" t="n">
        <v>500000</v>
      </c>
      <c r="F4" s="49" t="n">
        <v>500000</v>
      </c>
      <c r="G4" s="49" t="n">
        <v>500000</v>
      </c>
      <c r="H4" s="49" t="n">
        <v>500000</v>
      </c>
      <c r="I4" s="49" t="n">
        <v>500000</v>
      </c>
      <c r="J4" s="49" t="n">
        <v>500000</v>
      </c>
      <c r="K4" s="49" t="n">
        <v>500000</v>
      </c>
      <c r="L4" s="49" t="n">
        <v>500000</v>
      </c>
      <c r="M4" s="49" t="n">
        <v>500000</v>
      </c>
      <c r="N4" s="55" t="n">
        <v>500000</v>
      </c>
    </row>
    <row r="5">
      <c r="B5" s="38" t="inlineStr">
        <is>
          <t>No of rentals</t>
        </is>
      </c>
      <c r="C5" s="49" t="n">
        <v>0</v>
      </c>
      <c r="D5" s="49" t="n">
        <v>0</v>
      </c>
      <c r="E5" s="49" t="n">
        <v>0</v>
      </c>
      <c r="F5" s="49" t="n">
        <v>0</v>
      </c>
      <c r="G5" s="49" t="n">
        <v>0</v>
      </c>
      <c r="H5" s="49" t="n">
        <v>0</v>
      </c>
      <c r="I5" s="49" t="n">
        <v>0</v>
      </c>
      <c r="J5" s="49" t="n">
        <v>0</v>
      </c>
      <c r="K5" s="49" t="n">
        <v>0</v>
      </c>
      <c r="L5" s="49" t="n">
        <v>0</v>
      </c>
      <c r="M5" s="49" t="n">
        <v>0</v>
      </c>
      <c r="N5" s="49" t="n">
        <v>0</v>
      </c>
    </row>
    <row r="6" customFormat="1" s="3">
      <c r="B6" s="70" t="inlineStr">
        <is>
          <t xml:space="preserve">Total </t>
        </is>
      </c>
      <c r="C6" s="73">
        <f>C4*C5</f>
        <v/>
      </c>
      <c r="D6" s="73">
        <f>D4*D5</f>
        <v/>
      </c>
      <c r="E6" s="73">
        <f>E4*E5</f>
        <v/>
      </c>
      <c r="F6" s="73">
        <f>F4*F5</f>
        <v/>
      </c>
      <c r="G6" s="73">
        <f>G4*G5</f>
        <v/>
      </c>
      <c r="H6" s="73">
        <f>H4*H5</f>
        <v/>
      </c>
      <c r="I6" s="73">
        <f>I4*I5</f>
        <v/>
      </c>
      <c r="J6" s="73">
        <f>J4*J5</f>
        <v/>
      </c>
      <c r="K6" s="73">
        <f>K4*K5</f>
        <v/>
      </c>
      <c r="L6" s="73">
        <f>L4*L5</f>
        <v/>
      </c>
      <c r="M6" s="73">
        <f>M4*M5</f>
        <v/>
      </c>
      <c r="N6" s="74">
        <f>N4*N5</f>
        <v/>
      </c>
    </row>
    <row r="7">
      <c r="C7" s="35" t="n"/>
      <c r="D7" s="35" t="n"/>
      <c r="E7" s="35" t="n"/>
      <c r="F7" s="35" t="n"/>
      <c r="G7" s="35" t="n"/>
      <c r="H7" s="35" t="n"/>
      <c r="I7" s="35" t="n"/>
      <c r="J7" s="35" t="n"/>
      <c r="K7" s="35" t="n"/>
      <c r="L7" s="35" t="n"/>
      <c r="M7" s="35" t="n"/>
      <c r="N7" s="35" t="n"/>
    </row>
    <row r="8">
      <c r="B8" s="217" t="inlineStr">
        <is>
          <t>Event Hosting &amp; Sponsorships</t>
        </is>
      </c>
      <c r="C8" s="230" t="n"/>
      <c r="D8" s="230" t="n"/>
      <c r="E8" s="230" t="n"/>
      <c r="F8" s="230" t="n"/>
      <c r="G8" s="230" t="n"/>
      <c r="H8" s="230" t="n"/>
      <c r="I8" s="230" t="n"/>
      <c r="J8" s="230" t="n"/>
      <c r="K8" s="230" t="n"/>
      <c r="L8" s="230" t="n"/>
      <c r="M8" s="230" t="n"/>
      <c r="N8" s="230" t="n"/>
    </row>
    <row r="9">
      <c r="B9" s="44" t="n"/>
      <c r="C9" s="45" t="inlineStr">
        <is>
          <t>Jan</t>
        </is>
      </c>
      <c r="D9" s="45" t="inlineStr">
        <is>
          <t>Feb</t>
        </is>
      </c>
      <c r="E9" s="45" t="inlineStr">
        <is>
          <t>Mar</t>
        </is>
      </c>
      <c r="F9" s="45" t="inlineStr">
        <is>
          <t>Apr</t>
        </is>
      </c>
      <c r="G9" s="45" t="inlineStr">
        <is>
          <t>May</t>
        </is>
      </c>
      <c r="H9" s="45" t="inlineStr">
        <is>
          <t>Jun</t>
        </is>
      </c>
      <c r="I9" s="45" t="inlineStr">
        <is>
          <t>Jul</t>
        </is>
      </c>
      <c r="J9" s="45" t="inlineStr">
        <is>
          <t>Aug</t>
        </is>
      </c>
      <c r="K9" s="45" t="inlineStr">
        <is>
          <t>Sep</t>
        </is>
      </c>
      <c r="L9" s="45" t="inlineStr">
        <is>
          <t>Oct</t>
        </is>
      </c>
      <c r="M9" s="45" t="inlineStr">
        <is>
          <t>Nov</t>
        </is>
      </c>
      <c r="N9" s="46" t="inlineStr">
        <is>
          <t>Dec</t>
        </is>
      </c>
    </row>
    <row r="10">
      <c r="B10" s="38" t="inlineStr">
        <is>
          <t>Rate</t>
        </is>
      </c>
      <c r="C10" s="49" t="n">
        <v>1000000</v>
      </c>
      <c r="D10" s="49" t="n">
        <v>1000000</v>
      </c>
      <c r="E10" s="49" t="n">
        <v>1000000</v>
      </c>
      <c r="F10" s="49" t="n">
        <v>1000000</v>
      </c>
      <c r="G10" s="49" t="n">
        <v>1000000</v>
      </c>
      <c r="H10" s="49" t="n">
        <v>1000000</v>
      </c>
      <c r="I10" s="49" t="n">
        <v>1000000</v>
      </c>
      <c r="J10" s="49" t="n">
        <v>1000000</v>
      </c>
      <c r="K10" s="49" t="n">
        <v>1000000</v>
      </c>
      <c r="L10" s="49" t="n">
        <v>1000000</v>
      </c>
      <c r="M10" s="49" t="n">
        <v>1000000</v>
      </c>
      <c r="N10" s="55" t="n">
        <v>1000000</v>
      </c>
    </row>
    <row r="11">
      <c r="B11" s="38" t="inlineStr">
        <is>
          <t>No of events</t>
        </is>
      </c>
      <c r="C11" s="49" t="n">
        <v>0</v>
      </c>
      <c r="D11" s="49" t="n">
        <v>0</v>
      </c>
      <c r="E11" s="49" t="n">
        <v>0</v>
      </c>
      <c r="F11" s="49" t="n">
        <v>0</v>
      </c>
      <c r="G11" s="49" t="n">
        <v>0</v>
      </c>
      <c r="H11" s="49" t="n">
        <v>0</v>
      </c>
      <c r="I11" s="49" t="n">
        <v>0</v>
      </c>
      <c r="J11" s="49" t="n">
        <v>0</v>
      </c>
      <c r="K11" s="49" t="n">
        <v>0</v>
      </c>
      <c r="L11" s="49" t="n">
        <v>0</v>
      </c>
      <c r="M11" s="49" t="n">
        <v>0</v>
      </c>
      <c r="N11" s="55" t="n">
        <v>0</v>
      </c>
    </row>
    <row r="12" customFormat="1" s="3">
      <c r="B12" s="70" t="inlineStr">
        <is>
          <t xml:space="preserve">Total </t>
        </is>
      </c>
      <c r="C12" s="73">
        <f>C10*C11</f>
        <v/>
      </c>
      <c r="D12" s="73">
        <f>D10*D11</f>
        <v/>
      </c>
      <c r="E12" s="73">
        <f>E10*E11</f>
        <v/>
      </c>
      <c r="F12" s="73">
        <f>F10*F11</f>
        <v/>
      </c>
      <c r="G12" s="73">
        <f>G10*G11</f>
        <v/>
      </c>
      <c r="H12" s="73">
        <f>H10*H11</f>
        <v/>
      </c>
      <c r="I12" s="73">
        <f>I10*I11</f>
        <v/>
      </c>
      <c r="J12" s="73">
        <f>J10*J11</f>
        <v/>
      </c>
      <c r="K12" s="73">
        <f>K10*K11</f>
        <v/>
      </c>
      <c r="L12" s="73">
        <f>L10*L11</f>
        <v/>
      </c>
      <c r="M12" s="73">
        <f>M10*M11</f>
        <v/>
      </c>
      <c r="N12" s="74">
        <f>N10*N11</f>
        <v/>
      </c>
    </row>
    <row r="13">
      <c r="C13" s="35" t="n"/>
      <c r="D13" s="35" t="n"/>
      <c r="E13" s="35" t="n"/>
      <c r="F13" s="35" t="n"/>
      <c r="G13" s="35" t="n"/>
      <c r="H13" s="35" t="n"/>
      <c r="I13" s="35" t="n"/>
      <c r="J13" s="35" t="n"/>
      <c r="K13" s="35" t="n"/>
      <c r="L13" s="35" t="n"/>
      <c r="M13" s="35" t="n"/>
      <c r="N13" s="35" t="n"/>
    </row>
    <row r="14">
      <c r="C14" s="35" t="n"/>
      <c r="D14" s="35" t="n"/>
      <c r="E14" s="35" t="n"/>
      <c r="F14" s="35" t="n"/>
      <c r="G14" s="35" t="n"/>
      <c r="H14" s="35" t="n"/>
      <c r="I14" s="35" t="n"/>
      <c r="J14" s="35" t="n"/>
      <c r="K14" s="35" t="n"/>
      <c r="L14" s="35" t="n"/>
      <c r="M14" s="35" t="n"/>
      <c r="N14" s="35" t="n"/>
    </row>
  </sheetData>
  <mergeCells count="2">
    <mergeCell ref="B8:N8"/>
    <mergeCell ref="B2:N2"/>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Mathias Amuta</dc:creator>
  <dcterms:created xsi:type="dcterms:W3CDTF">2025-03-10T12:35:29Z</dcterms:created>
  <dcterms:modified xsi:type="dcterms:W3CDTF">2026-02-23T05:28:17Z</dcterms:modified>
  <cp:lastModifiedBy>Temi Kolawole</cp:lastModifiedBy>
  <cp:lastPrinted>2026-01-28T08:59:10Z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0x010100C01AF70E8F6F234491216CAEBD274F54</vt:lpwstr>
  </property>
</Properties>
</file>