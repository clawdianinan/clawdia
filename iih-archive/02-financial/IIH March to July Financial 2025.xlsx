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918CC272-FE77-3D49-A41E-B795C9620DAF}" xr6:coauthVersionLast="47" xr6:coauthVersionMax="47" xr10:uidLastSave="{00000000-0000-0000-0000-000000000000}"/>
  <bookViews>
    <workbookView xWindow="0" yWindow="500" windowWidth="28220" windowHeight="16400" activeTab="7" xr2:uid="{00000000-000D-0000-FFFF-FFFF00000000}"/>
  </bookViews>
  <sheets>
    <sheet name="Mar 2025" sheetId="1" r:id="rId1"/>
    <sheet name="Apr 2025" sheetId="2" r:id="rId2"/>
    <sheet name="May 2025" sheetId="4" r:id="rId3"/>
    <sheet name="June 2025" sheetId="7" r:id="rId4"/>
    <sheet name="July 2025" sheetId="11" r:id="rId5"/>
    <sheet name="Premium Trust Bank July Report" sheetId="8" r:id="rId6"/>
    <sheet name="Sterling Bank July Report" sheetId="9" r:id="rId7"/>
    <sheet name="Zenith Bank July Report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7" l="1"/>
  <c r="C19" i="4"/>
  <c r="B13" i="2"/>
  <c r="B13" i="1"/>
  <c r="C30" i="11"/>
  <c r="B14" i="2"/>
  <c r="B14" i="1"/>
  <c r="C17" i="4" l="1"/>
  <c r="C20" i="4" s="1"/>
  <c r="C15" i="9"/>
  <c r="C29" i="8"/>
  <c r="C28" i="11"/>
  <c r="C9" i="11"/>
  <c r="C37" i="11" s="1"/>
  <c r="C14" i="10"/>
  <c r="AS58" i="11"/>
  <c r="AS57" i="11"/>
  <c r="AS56" i="11"/>
  <c r="AS55" i="11"/>
  <c r="AS54" i="11"/>
  <c r="AS53" i="11"/>
  <c r="AS52" i="11"/>
  <c r="AS51" i="11"/>
  <c r="AS50" i="11"/>
  <c r="AS49" i="11"/>
  <c r="AS48" i="11"/>
  <c r="AS47" i="11"/>
  <c r="AS46" i="11"/>
  <c r="AS45" i="11"/>
  <c r="AS44" i="11"/>
  <c r="AS43" i="11"/>
  <c r="C25" i="8"/>
  <c r="C30" i="7"/>
  <c r="C33" i="7" s="1"/>
  <c r="AS46" i="7"/>
  <c r="AS47" i="7"/>
  <c r="AS48" i="7"/>
  <c r="AS49" i="7"/>
  <c r="AS50" i="7"/>
  <c r="AS51" i="7"/>
  <c r="AS52" i="7"/>
  <c r="AS53" i="7"/>
  <c r="AS54" i="7"/>
  <c r="AS56" i="7"/>
  <c r="AS57" i="7"/>
  <c r="AS58" i="7"/>
  <c r="AS59" i="7"/>
  <c r="AS60" i="7"/>
  <c r="AS61" i="7"/>
  <c r="AS55" i="7"/>
  <c r="C9" i="7"/>
  <c r="C8" i="7"/>
  <c r="C7" i="7"/>
  <c r="C6" i="7"/>
  <c r="C8" i="4"/>
  <c r="C22" i="4" l="1"/>
  <c r="C30" i="8"/>
  <c r="AS60" i="11"/>
  <c r="AS63" i="7"/>
  <c r="C10" i="7"/>
  <c r="C35" i="7" s="1"/>
  <c r="C40" i="7" s="1"/>
</calcChain>
</file>

<file path=xl/sharedStrings.xml><?xml version="1.0" encoding="utf-8"?>
<sst xmlns="http://schemas.openxmlformats.org/spreadsheetml/2006/main" count="228" uniqueCount="80">
  <si>
    <t> </t>
  </si>
  <si>
    <t>Salaries and Wages</t>
  </si>
  <si>
    <t>Ilorin Innovation Hub</t>
  </si>
  <si>
    <t>March 2025 Financial Report</t>
  </si>
  <si>
    <t>Expenses</t>
  </si>
  <si>
    <t>April 2025 Financial Report</t>
  </si>
  <si>
    <t>Stationery and Office Supplies</t>
  </si>
  <si>
    <t>Miscellaneous Expenses - 2% of Operating Expenses</t>
  </si>
  <si>
    <t>Cleaning Service</t>
  </si>
  <si>
    <t>Income</t>
  </si>
  <si>
    <t>Facility Rentals</t>
  </si>
  <si>
    <t>Bank charges</t>
  </si>
  <si>
    <t>Total — Expenses</t>
  </si>
  <si>
    <t>Guest Entertainment and Refreshments</t>
  </si>
  <si>
    <t>Souvenirs</t>
  </si>
  <si>
    <t>Staff email + collaboration tools (zoho one)</t>
  </si>
  <si>
    <t>Staff Professional Development</t>
  </si>
  <si>
    <t>Local Travel</t>
  </si>
  <si>
    <t>Facility Maintenance and Repairs</t>
  </si>
  <si>
    <t>Landscaping</t>
  </si>
  <si>
    <t>Security</t>
  </si>
  <si>
    <t>Spare parts for solar, electrical, mechanical and LED Screens</t>
  </si>
  <si>
    <t>Caution Deposit (Refundable)</t>
  </si>
  <si>
    <t>Cash at the beginning of the period</t>
  </si>
  <si>
    <t>Total — Income</t>
  </si>
  <si>
    <t>Balance at the end of May Income-Expenses</t>
  </si>
  <si>
    <t>Net Income</t>
  </si>
  <si>
    <t>Miscellaneous Income</t>
  </si>
  <si>
    <t>Caution Deposit Refund</t>
  </si>
  <si>
    <t>Fixed assets, at cost</t>
  </si>
  <si>
    <t>Capital Accounts (IHS)</t>
  </si>
  <si>
    <t>Balance at the end of June</t>
  </si>
  <si>
    <t>Total — Income (A)</t>
  </si>
  <si>
    <t>Total — Expenses (B)</t>
  </si>
  <si>
    <t>Sub Total (A-B)</t>
  </si>
  <si>
    <t>Balance at brought forward at the beginning of June</t>
  </si>
  <si>
    <t>Caution Fee</t>
  </si>
  <si>
    <t>Facility Rental</t>
  </si>
  <si>
    <t>Miscellaneuos Income</t>
  </si>
  <si>
    <t>IHS</t>
  </si>
  <si>
    <t>Reversed Transaction</t>
  </si>
  <si>
    <t>For the period from 07/01/2025 to 07/31/2025</t>
  </si>
  <si>
    <t>Birthday Celebrations</t>
  </si>
  <si>
    <t>HMO</t>
  </si>
  <si>
    <t>HVAC Maintenance</t>
  </si>
  <si>
    <t>Internet B subscription (Starlink)</t>
  </si>
  <si>
    <t>Merchandise and Staff T Shirts</t>
  </si>
  <si>
    <t>Training and Mentorships</t>
  </si>
  <si>
    <t>Bank Account Summary</t>
  </si>
  <si>
    <t>Premium Trust Bank</t>
  </si>
  <si>
    <t>Facility Maintenance and Repairs Refund</t>
  </si>
  <si>
    <t>Sterling Bank</t>
  </si>
  <si>
    <t>Zenith Bank</t>
  </si>
  <si>
    <t>Training and Mentorship</t>
  </si>
  <si>
    <t>Balance at the end of July</t>
  </si>
  <si>
    <t>Premium Trust Bank Facility Maintenance Repair Refund</t>
  </si>
  <si>
    <t>Balance at the end of July (Premium + Sterling + Zenith)</t>
  </si>
  <si>
    <t>Premium Trust Bank balance brought forward at the beginning of July</t>
  </si>
  <si>
    <t>Cash at the beginning + refund</t>
  </si>
  <si>
    <t>Cash at the end of the July</t>
  </si>
  <si>
    <t>Cash at the beginning of July</t>
  </si>
  <si>
    <t>Cash at the end of July</t>
  </si>
  <si>
    <t>For the period from 01/04/2025 to 30/4/2025</t>
  </si>
  <si>
    <t>For the period from 01/03/2025 to 31/03/2025</t>
  </si>
  <si>
    <t>For the period from 01/05/2025 to 31/05/2025</t>
  </si>
  <si>
    <t>For the period from 01/06/2025 to 30/06/2025</t>
  </si>
  <si>
    <t>For the period from 01/07/2025 to 30/07/2025</t>
  </si>
  <si>
    <t>IIH May Financial 2025 Report</t>
  </si>
  <si>
    <t>IIH June Financial 2025 Report</t>
  </si>
  <si>
    <t>IIH July Financial 2025 Report</t>
  </si>
  <si>
    <t>Budgeted for July</t>
  </si>
  <si>
    <t>Budgeted for June</t>
  </si>
  <si>
    <t>Budgeted for May</t>
  </si>
  <si>
    <t>Budgeted for March</t>
  </si>
  <si>
    <t>Actual Spent</t>
  </si>
  <si>
    <t>Performance</t>
  </si>
  <si>
    <t>%</t>
  </si>
  <si>
    <t>Cost Savings</t>
  </si>
  <si>
    <t>Main reason for this is that many expenses were budgeted until the end of the year as part of May expenses</t>
  </si>
  <si>
    <t xml:space="preserve">Four month salaries (March, April, May and June) were paid in June thereby inflating the actual expense figure -  as the budget was disbursed in June. Actual June expense figure is N31,260,321.9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</si>
</sst>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charset val="1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14" fontId="0" fillId="0" borderId="0" xfId="0" applyNumberFormat="1"/>
    <xf numFmtId="4" fontId="0" fillId="0" borderId="0" xfId="0" applyNumberFormat="1"/>
    <xf numFmtId="14" fontId="2" fillId="0" borderId="0" xfId="0" applyNumberFormat="1" applyFont="1"/>
    <xf numFmtId="0" fontId="4" fillId="0" borderId="0" xfId="0" applyFont="1"/>
    <xf numFmtId="4" fontId="5" fillId="0" borderId="0" xfId="0" applyNumberFormat="1" applyFont="1"/>
    <xf numFmtId="0" fontId="5" fillId="0" borderId="0" xfId="0" applyFont="1"/>
    <xf numFmtId="4" fontId="4" fillId="0" borderId="0" xfId="0" applyNumberFormat="1" applyFont="1"/>
    <xf numFmtId="4" fontId="2" fillId="0" borderId="0" xfId="0" applyNumberFormat="1" applyFont="1"/>
    <xf numFmtId="43" fontId="0" fillId="0" borderId="0" xfId="1" applyFont="1"/>
    <xf numFmtId="43" fontId="0" fillId="0" borderId="0" xfId="0" applyNumberFormat="1"/>
    <xf numFmtId="43" fontId="5" fillId="0" borderId="0" xfId="1" applyFont="1"/>
    <xf numFmtId="43" fontId="4" fillId="0" borderId="0" xfId="1" applyFont="1"/>
    <xf numFmtId="14" fontId="5" fillId="0" borderId="0" xfId="0" applyNumberFormat="1" applyFont="1"/>
    <xf numFmtId="14" fontId="4" fillId="0" borderId="0" xfId="0" applyNumberFormat="1" applyFont="1"/>
    <xf numFmtId="0" fontId="6" fillId="0" borderId="0" xfId="0" applyFont="1"/>
    <xf numFmtId="43" fontId="5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80" zoomScaleNormal="80" workbookViewId="0">
      <selection activeCell="A13" sqref="A13:XFD13"/>
    </sheetView>
  </sheetViews>
  <sheetFormatPr baseColWidth="10" defaultColWidth="9.1640625" defaultRowHeight="18" x14ac:dyDescent="0.2"/>
  <cols>
    <col min="1" max="1" width="56" style="1" bestFit="1" customWidth="1"/>
    <col min="2" max="2" width="16" style="1" bestFit="1" customWidth="1"/>
    <col min="3" max="16384" width="9.1640625" style="1"/>
  </cols>
  <sheetData>
    <row r="1" spans="1:3" x14ac:dyDescent="0.2">
      <c r="A1" s="3" t="s">
        <v>2</v>
      </c>
    </row>
    <row r="2" spans="1:3" x14ac:dyDescent="0.2">
      <c r="A2" s="3" t="s">
        <v>3</v>
      </c>
    </row>
    <row r="3" spans="1:3" x14ac:dyDescent="0.2">
      <c r="A3" s="3" t="s">
        <v>63</v>
      </c>
    </row>
    <row r="5" spans="1:3" x14ac:dyDescent="0.2">
      <c r="A5" s="1" t="s">
        <v>0</v>
      </c>
    </row>
    <row r="6" spans="1:3" x14ac:dyDescent="0.2">
      <c r="A6" s="1" t="s">
        <v>4</v>
      </c>
    </row>
    <row r="7" spans="1:3" x14ac:dyDescent="0.2">
      <c r="A7" s="1" t="s">
        <v>1</v>
      </c>
      <c r="B7" s="2">
        <v>-3570659.43</v>
      </c>
    </row>
    <row r="8" spans="1:3" x14ac:dyDescent="0.2">
      <c r="A8" s="1" t="s">
        <v>0</v>
      </c>
    </row>
    <row r="9" spans="1:3" x14ac:dyDescent="0.2">
      <c r="A9" s="1" t="s">
        <v>26</v>
      </c>
      <c r="B9" s="2">
        <v>-3570659.43</v>
      </c>
    </row>
    <row r="10" spans="1:3" x14ac:dyDescent="0.2">
      <c r="A10" s="1" t="s">
        <v>0</v>
      </c>
    </row>
    <row r="11" spans="1:3" s="3" customFormat="1" x14ac:dyDescent="0.2">
      <c r="A11" s="3" t="s">
        <v>74</v>
      </c>
      <c r="B11" s="11">
        <v>3570659.43</v>
      </c>
    </row>
    <row r="12" spans="1:3" s="3" customFormat="1" x14ac:dyDescent="0.2">
      <c r="A12" s="3" t="s">
        <v>73</v>
      </c>
      <c r="B12" s="11">
        <v>6908849.8125</v>
      </c>
    </row>
    <row r="13" spans="1:3" s="3" customFormat="1" x14ac:dyDescent="0.2">
      <c r="A13" s="3" t="s">
        <v>77</v>
      </c>
      <c r="B13" s="11">
        <f>B12-B11</f>
        <v>3338190.3824999998</v>
      </c>
    </row>
    <row r="14" spans="1:3" s="3" customFormat="1" x14ac:dyDescent="0.2">
      <c r="A14" s="3" t="s">
        <v>75</v>
      </c>
      <c r="B14" s="3">
        <f>ROUND(B11/B12*100,0)</f>
        <v>52</v>
      </c>
      <c r="C14" s="3" t="s">
        <v>76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="80" zoomScaleNormal="80" workbookViewId="0">
      <selection activeCell="C19" sqref="C19"/>
    </sheetView>
  </sheetViews>
  <sheetFormatPr baseColWidth="10" defaultColWidth="9.1640625" defaultRowHeight="18" x14ac:dyDescent="0.2"/>
  <cols>
    <col min="1" max="1" width="56" style="1" bestFit="1" customWidth="1"/>
    <col min="2" max="2" width="16" style="1" bestFit="1" customWidth="1"/>
    <col min="3" max="16384" width="9.1640625" style="1"/>
  </cols>
  <sheetData>
    <row r="1" spans="1:3" x14ac:dyDescent="0.2">
      <c r="A1" s="3" t="s">
        <v>2</v>
      </c>
    </row>
    <row r="2" spans="1:3" x14ac:dyDescent="0.2">
      <c r="A2" s="3" t="s">
        <v>5</v>
      </c>
    </row>
    <row r="3" spans="1:3" x14ac:dyDescent="0.2">
      <c r="A3" s="3" t="s">
        <v>62</v>
      </c>
    </row>
    <row r="5" spans="1:3" x14ac:dyDescent="0.2">
      <c r="A5" s="1" t="s">
        <v>0</v>
      </c>
    </row>
    <row r="6" spans="1:3" x14ac:dyDescent="0.2">
      <c r="A6" s="1" t="s">
        <v>4</v>
      </c>
    </row>
    <row r="7" spans="1:3" x14ac:dyDescent="0.2">
      <c r="A7" s="1" t="s">
        <v>1</v>
      </c>
      <c r="B7" s="2">
        <v>-3570659.43</v>
      </c>
    </row>
    <row r="8" spans="1:3" x14ac:dyDescent="0.2">
      <c r="A8" s="1" t="s">
        <v>0</v>
      </c>
    </row>
    <row r="9" spans="1:3" x14ac:dyDescent="0.2">
      <c r="A9" s="1" t="s">
        <v>26</v>
      </c>
      <c r="B9" s="2">
        <v>-3570659.43</v>
      </c>
    </row>
    <row r="10" spans="1:3" x14ac:dyDescent="0.2">
      <c r="A10" s="1" t="s">
        <v>0</v>
      </c>
    </row>
    <row r="11" spans="1:3" x14ac:dyDescent="0.2">
      <c r="A11" s="3" t="s">
        <v>74</v>
      </c>
      <c r="B11" s="11">
        <v>3570659.43</v>
      </c>
      <c r="C11" s="3"/>
    </row>
    <row r="12" spans="1:3" x14ac:dyDescent="0.2">
      <c r="A12" s="3" t="s">
        <v>73</v>
      </c>
      <c r="B12" s="11">
        <v>6908849.8125</v>
      </c>
      <c r="C12" s="3"/>
    </row>
    <row r="13" spans="1:3" s="3" customFormat="1" x14ac:dyDescent="0.2">
      <c r="A13" s="3" t="s">
        <v>77</v>
      </c>
      <c r="B13" s="11">
        <f>B12-B11</f>
        <v>3338190.3824999998</v>
      </c>
    </row>
    <row r="14" spans="1:3" x14ac:dyDescent="0.2">
      <c r="A14" s="3" t="s">
        <v>75</v>
      </c>
      <c r="B14" s="3">
        <f>ROUND(B11/B12*100,0)</f>
        <v>52</v>
      </c>
      <c r="C14" s="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3A24-C7F6-473F-8E77-2EFD8C5E5E21}">
  <dimension ref="A1:E37"/>
  <sheetViews>
    <sheetView zoomScale="80" zoomScaleNormal="80" workbookViewId="0">
      <selection activeCell="H21" sqref="H21"/>
    </sheetView>
  </sheetViews>
  <sheetFormatPr baseColWidth="10" defaultColWidth="8.83203125" defaultRowHeight="15" x14ac:dyDescent="0.2"/>
  <cols>
    <col min="1" max="1" width="12.1640625" bestFit="1" customWidth="1"/>
    <col min="2" max="2" width="54.33203125" bestFit="1" customWidth="1"/>
    <col min="3" max="3" width="16" bestFit="1" customWidth="1"/>
    <col min="4" max="4" width="7.1640625" customWidth="1"/>
    <col min="5" max="5" width="39.6640625" customWidth="1"/>
  </cols>
  <sheetData>
    <row r="1" spans="1:4" ht="18.75" customHeight="1" x14ac:dyDescent="0.2">
      <c r="A1" s="20" t="s">
        <v>67</v>
      </c>
      <c r="B1" s="20"/>
      <c r="C1" s="20"/>
    </row>
    <row r="2" spans="1:4" ht="18.75" customHeight="1" x14ac:dyDescent="0.2">
      <c r="A2" s="20" t="s">
        <v>64</v>
      </c>
      <c r="B2" s="20"/>
      <c r="C2" s="20"/>
      <c r="D2" s="4"/>
    </row>
    <row r="3" spans="1:4" ht="18" x14ac:dyDescent="0.2">
      <c r="A3" s="3"/>
      <c r="B3" s="3"/>
      <c r="C3" s="6"/>
    </row>
    <row r="4" spans="1:4" ht="18" x14ac:dyDescent="0.2">
      <c r="A4" s="3" t="s">
        <v>0</v>
      </c>
      <c r="B4" s="3"/>
      <c r="C4" s="1"/>
      <c r="D4" s="2"/>
    </row>
    <row r="5" spans="1:4" ht="18" x14ac:dyDescent="0.2">
      <c r="A5" s="3" t="s">
        <v>9</v>
      </c>
      <c r="B5" s="3"/>
      <c r="C5" s="1"/>
      <c r="D5" s="2"/>
    </row>
    <row r="6" spans="1:4" ht="18" x14ac:dyDescent="0.2">
      <c r="B6" s="9" t="s">
        <v>22</v>
      </c>
      <c r="C6" s="8"/>
      <c r="D6" s="2"/>
    </row>
    <row r="7" spans="1:4" ht="18" x14ac:dyDescent="0.2">
      <c r="B7" s="9" t="s">
        <v>10</v>
      </c>
      <c r="C7" s="8">
        <v>444000</v>
      </c>
      <c r="D7" s="2"/>
    </row>
    <row r="8" spans="1:4" ht="16" x14ac:dyDescent="0.2">
      <c r="B8" s="7" t="s">
        <v>24</v>
      </c>
      <c r="C8" s="10">
        <f>SUM(C6:C7)</f>
        <v>444000</v>
      </c>
    </row>
    <row r="9" spans="1:4" ht="16" x14ac:dyDescent="0.2">
      <c r="B9" s="7"/>
      <c r="C9" s="10"/>
    </row>
    <row r="10" spans="1:4" ht="16" x14ac:dyDescent="0.2">
      <c r="B10" s="7"/>
      <c r="C10" s="10"/>
    </row>
    <row r="11" spans="1:4" ht="18" x14ac:dyDescent="0.2">
      <c r="A11" s="3" t="s">
        <v>4</v>
      </c>
      <c r="B11" s="7"/>
      <c r="C11" s="10"/>
    </row>
    <row r="12" spans="1:4" ht="16" x14ac:dyDescent="0.2">
      <c r="B12" s="9" t="s">
        <v>11</v>
      </c>
      <c r="C12" s="9">
        <v>202.99</v>
      </c>
    </row>
    <row r="13" spans="1:4" ht="16" x14ac:dyDescent="0.2">
      <c r="B13" s="9" t="s">
        <v>8</v>
      </c>
      <c r="C13" s="8">
        <v>12000</v>
      </c>
      <c r="D13" s="5"/>
    </row>
    <row r="14" spans="1:4" ht="16" x14ac:dyDescent="0.2">
      <c r="B14" s="9" t="s">
        <v>7</v>
      </c>
      <c r="C14" s="8">
        <v>26050</v>
      </c>
    </row>
    <row r="15" spans="1:4" ht="16" x14ac:dyDescent="0.2">
      <c r="B15" s="9" t="s">
        <v>6</v>
      </c>
      <c r="C15" s="8">
        <v>40000</v>
      </c>
      <c r="D15" s="5"/>
    </row>
    <row r="16" spans="1:4" ht="18" x14ac:dyDescent="0.2">
      <c r="B16" s="1" t="s">
        <v>1</v>
      </c>
      <c r="C16" s="2">
        <v>7083317.3499999996</v>
      </c>
    </row>
    <row r="17" spans="1:5" ht="16" x14ac:dyDescent="0.2">
      <c r="B17" s="7" t="s">
        <v>12</v>
      </c>
      <c r="C17" s="10">
        <f>SUM(C12:C16)</f>
        <v>7161570.3399999999</v>
      </c>
      <c r="D17" s="5"/>
    </row>
    <row r="18" spans="1:5" ht="16" x14ac:dyDescent="0.2">
      <c r="B18" s="7" t="s">
        <v>72</v>
      </c>
      <c r="C18" s="10">
        <v>76100002.44645834</v>
      </c>
      <c r="D18" s="5"/>
    </row>
    <row r="19" spans="1:5" ht="16" x14ac:dyDescent="0.2">
      <c r="B19" s="7" t="s">
        <v>77</v>
      </c>
      <c r="C19" s="10">
        <f>C18-C17</f>
        <v>68938432.106458336</v>
      </c>
      <c r="D19" s="5"/>
    </row>
    <row r="20" spans="1:5" ht="51" customHeight="1" x14ac:dyDescent="0.2">
      <c r="B20" s="7" t="s">
        <v>75</v>
      </c>
      <c r="C20" s="10">
        <f>ROUND(C17/C18*100,0)</f>
        <v>9</v>
      </c>
      <c r="D20" s="5" t="s">
        <v>76</v>
      </c>
      <c r="E20" s="21" t="s">
        <v>78</v>
      </c>
    </row>
    <row r="21" spans="1:5" x14ac:dyDescent="0.2">
      <c r="A21" t="s">
        <v>0</v>
      </c>
      <c r="D21" s="5"/>
    </row>
    <row r="22" spans="1:5" ht="18" x14ac:dyDescent="0.2">
      <c r="B22" s="3" t="s">
        <v>25</v>
      </c>
      <c r="C22" s="10">
        <f>C8-C17</f>
        <v>-6717570.3399999999</v>
      </c>
    </row>
    <row r="23" spans="1:5" x14ac:dyDescent="0.2">
      <c r="A23" t="s">
        <v>0</v>
      </c>
      <c r="D23" s="5"/>
    </row>
    <row r="24" spans="1:5" x14ac:dyDescent="0.2">
      <c r="D24" s="5"/>
    </row>
    <row r="25" spans="1:5" x14ac:dyDescent="0.2">
      <c r="D25" s="5"/>
    </row>
    <row r="26" spans="1:5" x14ac:dyDescent="0.2">
      <c r="D26" s="5"/>
    </row>
    <row r="27" spans="1:5" x14ac:dyDescent="0.2">
      <c r="D27" s="5"/>
    </row>
    <row r="28" spans="1:5" x14ac:dyDescent="0.2">
      <c r="D28" s="5"/>
    </row>
    <row r="29" spans="1:5" x14ac:dyDescent="0.2">
      <c r="D29" s="5"/>
    </row>
    <row r="31" spans="1:5" x14ac:dyDescent="0.2">
      <c r="D31" s="5"/>
    </row>
    <row r="33" spans="4:4" x14ac:dyDescent="0.2">
      <c r="D33" s="5"/>
    </row>
    <row r="34" spans="4:4" x14ac:dyDescent="0.2">
      <c r="D34" s="5"/>
    </row>
    <row r="35" spans="4:4" x14ac:dyDescent="0.2">
      <c r="D35" s="5"/>
    </row>
    <row r="37" spans="4:4" x14ac:dyDescent="0.2">
      <c r="D37" s="5"/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6CAB-DAE2-4E90-B07B-720C70FD3A38}">
  <dimension ref="A1:BO63"/>
  <sheetViews>
    <sheetView topLeftCell="A18" zoomScale="80" zoomScaleNormal="80" workbookViewId="0">
      <selection activeCell="AV34" sqref="AV34"/>
    </sheetView>
  </sheetViews>
  <sheetFormatPr baseColWidth="10" defaultColWidth="8.83203125" defaultRowHeight="15" x14ac:dyDescent="0.2"/>
  <cols>
    <col min="1" max="1" width="12.1640625" bestFit="1" customWidth="1"/>
    <col min="2" max="2" width="69.5" bestFit="1" customWidth="1"/>
    <col min="3" max="3" width="19.5" bestFit="1" customWidth="1"/>
    <col min="4" max="4" width="13.5" bestFit="1" customWidth="1"/>
    <col min="5" max="5" width="53.1640625" customWidth="1"/>
    <col min="6" max="6" width="22.5" hidden="1" customWidth="1"/>
    <col min="7" max="7" width="15.6640625" hidden="1" customWidth="1"/>
    <col min="8" max="8" width="14" hidden="1" customWidth="1"/>
    <col min="9" max="9" width="13.83203125" hidden="1" customWidth="1"/>
    <col min="10" max="10" width="13.5" hidden="1" customWidth="1"/>
    <col min="11" max="11" width="21" hidden="1" customWidth="1"/>
    <col min="12" max="12" width="12.1640625" hidden="1" customWidth="1"/>
    <col min="13" max="13" width="13.83203125" hidden="1" customWidth="1"/>
    <col min="14" max="14" width="12.1640625" hidden="1" customWidth="1"/>
    <col min="15" max="15" width="13.83203125" hidden="1" customWidth="1"/>
    <col min="16" max="16" width="12.1640625" hidden="1" customWidth="1"/>
    <col min="17" max="17" width="11.1640625" hidden="1" customWidth="1"/>
    <col min="18" max="19" width="13.83203125" hidden="1" customWidth="1"/>
    <col min="20" max="33" width="12.1640625" hidden="1" customWidth="1"/>
    <col min="34" max="37" width="11.1640625" hidden="1" customWidth="1"/>
    <col min="38" max="41" width="0" hidden="1" customWidth="1"/>
    <col min="42" max="43" width="11.1640625" hidden="1" customWidth="1"/>
    <col min="44" max="44" width="69.6640625" hidden="1" customWidth="1"/>
    <col min="45" max="45" width="15" bestFit="1" customWidth="1"/>
  </cols>
  <sheetData>
    <row r="1" spans="1:11" ht="18.75" customHeight="1" x14ac:dyDescent="0.2">
      <c r="A1" s="20" t="s">
        <v>68</v>
      </c>
      <c r="B1" s="20"/>
      <c r="C1" s="20"/>
    </row>
    <row r="2" spans="1:11" ht="18.75" customHeight="1" x14ac:dyDescent="0.2">
      <c r="A2" s="20" t="s">
        <v>65</v>
      </c>
      <c r="B2" s="20"/>
      <c r="C2" s="20"/>
      <c r="D2" s="4"/>
    </row>
    <row r="3" spans="1:11" ht="18" x14ac:dyDescent="0.2">
      <c r="A3" s="3"/>
      <c r="B3" s="3"/>
      <c r="C3" s="6"/>
    </row>
    <row r="4" spans="1:11" ht="18" x14ac:dyDescent="0.2">
      <c r="A4" s="3" t="s">
        <v>0</v>
      </c>
      <c r="B4" s="3"/>
      <c r="C4" s="1"/>
      <c r="D4" s="2"/>
      <c r="H4" t="s">
        <v>39</v>
      </c>
      <c r="I4" t="s">
        <v>36</v>
      </c>
      <c r="J4" t="s">
        <v>37</v>
      </c>
      <c r="K4" t="s">
        <v>38</v>
      </c>
    </row>
    <row r="5" spans="1:11" ht="18" x14ac:dyDescent="0.2">
      <c r="A5" s="3" t="s">
        <v>9</v>
      </c>
      <c r="B5" s="3"/>
      <c r="C5" s="1"/>
      <c r="D5" s="2"/>
    </row>
    <row r="6" spans="1:11" ht="18" x14ac:dyDescent="0.2">
      <c r="B6" s="9" t="s">
        <v>30</v>
      </c>
      <c r="C6" s="8">
        <f>SUM(H6:H8)</f>
        <v>146127941.56</v>
      </c>
      <c r="D6" s="2"/>
      <c r="H6">
        <v>44499369.340000004</v>
      </c>
      <c r="K6">
        <v>135300</v>
      </c>
    </row>
    <row r="7" spans="1:11" ht="18" x14ac:dyDescent="0.2">
      <c r="B7" s="9" t="s">
        <v>22</v>
      </c>
      <c r="C7" s="8">
        <f>SUM(I6:I9)</f>
        <v>0</v>
      </c>
      <c r="D7" s="2"/>
      <c r="H7">
        <v>6935800</v>
      </c>
      <c r="J7">
        <v>420000</v>
      </c>
    </row>
    <row r="8" spans="1:11" ht="16" x14ac:dyDescent="0.2">
      <c r="B8" s="9" t="s">
        <v>10</v>
      </c>
      <c r="C8" s="8">
        <f>SUM(J6:J10)</f>
        <v>486000</v>
      </c>
      <c r="H8">
        <v>94692772.219999999</v>
      </c>
      <c r="J8">
        <v>18000</v>
      </c>
    </row>
    <row r="9" spans="1:11" ht="16" x14ac:dyDescent="0.2">
      <c r="B9" s="9" t="s">
        <v>27</v>
      </c>
      <c r="C9" s="8">
        <f>SUM(K6:K11)</f>
        <v>135300</v>
      </c>
      <c r="J9">
        <v>48000</v>
      </c>
    </row>
    <row r="10" spans="1:11" ht="16" x14ac:dyDescent="0.2">
      <c r="B10" s="7" t="s">
        <v>32</v>
      </c>
      <c r="C10" s="10">
        <f>SUM(C6:C9)</f>
        <v>146749241.56</v>
      </c>
    </row>
    <row r="11" spans="1:11" ht="16" x14ac:dyDescent="0.2">
      <c r="B11" s="7"/>
      <c r="C11" s="10"/>
    </row>
    <row r="12" spans="1:11" ht="16" x14ac:dyDescent="0.2">
      <c r="B12" s="7"/>
      <c r="C12" s="10"/>
    </row>
    <row r="13" spans="1:11" ht="18" x14ac:dyDescent="0.2">
      <c r="A13" s="3" t="s">
        <v>4</v>
      </c>
      <c r="B13" s="7"/>
      <c r="C13" s="10"/>
    </row>
    <row r="14" spans="1:11" ht="16" x14ac:dyDescent="0.2">
      <c r="B14" s="9" t="s">
        <v>11</v>
      </c>
      <c r="C14" s="12">
        <v>64671.45</v>
      </c>
    </row>
    <row r="15" spans="1:11" ht="16" x14ac:dyDescent="0.2">
      <c r="B15" s="9" t="s">
        <v>28</v>
      </c>
      <c r="C15" s="8">
        <v>200000</v>
      </c>
      <c r="D15" s="5"/>
    </row>
    <row r="16" spans="1:11" ht="16" x14ac:dyDescent="0.2">
      <c r="B16" s="9" t="s">
        <v>8</v>
      </c>
      <c r="C16" s="8">
        <v>675000</v>
      </c>
    </row>
    <row r="17" spans="1:4" ht="16" x14ac:dyDescent="0.2">
      <c r="B17" s="9" t="s">
        <v>18</v>
      </c>
      <c r="C17" s="8">
        <v>368100</v>
      </c>
      <c r="D17" s="5"/>
    </row>
    <row r="18" spans="1:4" ht="16" x14ac:dyDescent="0.2">
      <c r="B18" s="9" t="s">
        <v>29</v>
      </c>
      <c r="C18" s="12">
        <v>8114975.7999999998</v>
      </c>
      <c r="D18" s="5"/>
    </row>
    <row r="19" spans="1:4" ht="16" x14ac:dyDescent="0.2">
      <c r="B19" s="9" t="s">
        <v>13</v>
      </c>
      <c r="C19" s="8">
        <v>898800</v>
      </c>
      <c r="D19" s="5"/>
    </row>
    <row r="20" spans="1:4" ht="16" x14ac:dyDescent="0.2">
      <c r="A20" t="s">
        <v>0</v>
      </c>
      <c r="B20" s="9" t="s">
        <v>19</v>
      </c>
      <c r="C20" s="8">
        <v>1270000</v>
      </c>
      <c r="D20" s="5"/>
    </row>
    <row r="21" spans="1:4" ht="16" x14ac:dyDescent="0.2">
      <c r="A21" t="s">
        <v>0</v>
      </c>
      <c r="B21" s="9" t="s">
        <v>17</v>
      </c>
      <c r="C21" s="8">
        <v>835600</v>
      </c>
      <c r="D21" s="5"/>
    </row>
    <row r="22" spans="1:4" ht="16" x14ac:dyDescent="0.2">
      <c r="B22" s="9" t="s">
        <v>7</v>
      </c>
      <c r="C22" s="8">
        <v>2006811.25</v>
      </c>
    </row>
    <row r="23" spans="1:4" ht="16" x14ac:dyDescent="0.2">
      <c r="A23" t="s">
        <v>0</v>
      </c>
      <c r="B23" s="9" t="s">
        <v>1</v>
      </c>
      <c r="C23" s="8">
        <v>24641632.890000004</v>
      </c>
      <c r="D23" s="5"/>
    </row>
    <row r="24" spans="1:4" ht="16" x14ac:dyDescent="0.2">
      <c r="B24" s="9" t="s">
        <v>20</v>
      </c>
      <c r="C24" s="8">
        <v>764000</v>
      </c>
    </row>
    <row r="25" spans="1:4" ht="16" x14ac:dyDescent="0.2">
      <c r="B25" s="9" t="s">
        <v>14</v>
      </c>
      <c r="C25" s="8">
        <v>1820000</v>
      </c>
      <c r="D25" s="5"/>
    </row>
    <row r="26" spans="1:4" ht="16" x14ac:dyDescent="0.2">
      <c r="B26" s="9" t="s">
        <v>21</v>
      </c>
      <c r="C26" s="8">
        <v>1581325</v>
      </c>
      <c r="D26" s="5"/>
    </row>
    <row r="27" spans="1:4" ht="16" x14ac:dyDescent="0.2">
      <c r="B27" s="9" t="s">
        <v>15</v>
      </c>
      <c r="C27" s="8">
        <v>1118469.22</v>
      </c>
      <c r="D27" s="5"/>
    </row>
    <row r="28" spans="1:4" ht="16" x14ac:dyDescent="0.2">
      <c r="B28" s="9" t="s">
        <v>16</v>
      </c>
      <c r="C28" s="8">
        <v>139972.5</v>
      </c>
      <c r="D28" s="5"/>
    </row>
    <row r="29" spans="1:4" ht="16" x14ac:dyDescent="0.2">
      <c r="B29" s="9" t="s">
        <v>6</v>
      </c>
      <c r="C29" s="8">
        <v>985600</v>
      </c>
      <c r="D29" s="5"/>
    </row>
    <row r="30" spans="1:4" ht="16" x14ac:dyDescent="0.2">
      <c r="B30" s="7" t="s">
        <v>33</v>
      </c>
      <c r="C30" s="10">
        <f>SUM(C14:C29)</f>
        <v>45484958.109999999</v>
      </c>
      <c r="D30" s="5"/>
    </row>
    <row r="31" spans="1:4" ht="16" x14ac:dyDescent="0.2">
      <c r="B31" s="7" t="s">
        <v>71</v>
      </c>
      <c r="C31" s="10">
        <v>42080093.860833339</v>
      </c>
      <c r="D31" s="5"/>
    </row>
    <row r="32" spans="1:4" ht="16" x14ac:dyDescent="0.2">
      <c r="B32" s="7" t="s">
        <v>77</v>
      </c>
      <c r="C32" s="10">
        <f>C31-C30</f>
        <v>-3404864.24916666</v>
      </c>
      <c r="D32" s="5"/>
    </row>
    <row r="33" spans="2:67" ht="57" customHeight="1" x14ac:dyDescent="0.2">
      <c r="B33" s="7" t="s">
        <v>75</v>
      </c>
      <c r="C33" s="10">
        <f>C30/C31*100</f>
        <v>108.09138938812062</v>
      </c>
      <c r="D33" s="5" t="s">
        <v>76</v>
      </c>
      <c r="E33" s="21" t="s">
        <v>79</v>
      </c>
    </row>
    <row r="35" spans="2:67" ht="16" x14ac:dyDescent="0.2">
      <c r="B35" s="7" t="s">
        <v>34</v>
      </c>
      <c r="C35" s="10">
        <f>C10-C30</f>
        <v>101264283.45</v>
      </c>
      <c r="D35" s="5"/>
    </row>
    <row r="36" spans="2:67" x14ac:dyDescent="0.2">
      <c r="D36" s="5"/>
    </row>
    <row r="37" spans="2:67" ht="16" x14ac:dyDescent="0.2">
      <c r="B37" s="7" t="s">
        <v>35</v>
      </c>
      <c r="C37" s="10">
        <v>365747.01</v>
      </c>
    </row>
    <row r="38" spans="2:67" x14ac:dyDescent="0.2">
      <c r="D38" s="5"/>
    </row>
    <row r="39" spans="2:67" ht="18" x14ac:dyDescent="0.2">
      <c r="B39" s="3" t="s">
        <v>40</v>
      </c>
      <c r="C39" s="15">
        <v>66053.75</v>
      </c>
    </row>
    <row r="40" spans="2:67" ht="18" x14ac:dyDescent="0.2">
      <c r="B40" s="3" t="s">
        <v>31</v>
      </c>
      <c r="C40" s="11">
        <f>SUM(C39,C37,C35)</f>
        <v>101696084.21000001</v>
      </c>
    </row>
    <row r="42" spans="2:67" x14ac:dyDescent="0.2">
      <c r="C42" s="5"/>
    </row>
    <row r="45" spans="2:67" hidden="1" x14ac:dyDescent="0.2"/>
    <row r="46" spans="2:67" ht="18" hidden="1" x14ac:dyDescent="0.2">
      <c r="B46" s="1" t="s">
        <v>11</v>
      </c>
      <c r="C46" s="12">
        <v>64677.45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>
        <f t="shared" ref="AS46:AS54" si="0">SUM(C46:AR46)</f>
        <v>64677.45</v>
      </c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</row>
    <row r="47" spans="2:67" ht="18" hidden="1" x14ac:dyDescent="0.2">
      <c r="B47" s="1" t="s">
        <v>28</v>
      </c>
      <c r="C47" s="12">
        <v>100000</v>
      </c>
      <c r="D47" s="12">
        <v>100000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>
        <f t="shared" si="0"/>
        <v>200000</v>
      </c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</row>
    <row r="48" spans="2:67" ht="18" hidden="1" x14ac:dyDescent="0.2">
      <c r="B48" s="1" t="s">
        <v>8</v>
      </c>
      <c r="C48" s="12">
        <v>650000</v>
      </c>
      <c r="D48" s="12">
        <v>25000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>
        <f t="shared" si="0"/>
        <v>675000</v>
      </c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</row>
    <row r="49" spans="2:67" ht="18" hidden="1" x14ac:dyDescent="0.2">
      <c r="B49" s="1" t="s">
        <v>18</v>
      </c>
      <c r="C49" s="12">
        <v>36000</v>
      </c>
      <c r="D49" s="12">
        <v>13000</v>
      </c>
      <c r="E49" s="12">
        <v>40000</v>
      </c>
      <c r="F49" s="12">
        <v>14700</v>
      </c>
      <c r="G49" s="12">
        <v>20000</v>
      </c>
      <c r="H49" s="12">
        <v>164000</v>
      </c>
      <c r="I49" s="12">
        <v>10400</v>
      </c>
      <c r="J49" s="12">
        <v>15000</v>
      </c>
      <c r="K49" s="12">
        <v>40000</v>
      </c>
      <c r="L49" s="12">
        <v>15000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>
        <f t="shared" si="0"/>
        <v>368100</v>
      </c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</row>
    <row r="50" spans="2:67" ht="18" hidden="1" x14ac:dyDescent="0.2">
      <c r="B50" s="1" t="s">
        <v>29</v>
      </c>
      <c r="C50" s="12">
        <v>725000</v>
      </c>
      <c r="D50" s="12">
        <v>2969175.8</v>
      </c>
      <c r="E50" s="12">
        <v>902000</v>
      </c>
      <c r="F50" s="12">
        <v>2230000</v>
      </c>
      <c r="G50" s="12">
        <v>22000</v>
      </c>
      <c r="H50" s="12">
        <v>150000</v>
      </c>
      <c r="I50" s="12">
        <v>465000</v>
      </c>
      <c r="J50" s="12">
        <v>619300</v>
      </c>
      <c r="K50" s="12">
        <v>32500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>
        <f t="shared" si="0"/>
        <v>8114975.7999999998</v>
      </c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</row>
    <row r="51" spans="2:67" ht="18" hidden="1" x14ac:dyDescent="0.2">
      <c r="B51" s="1" t="s">
        <v>13</v>
      </c>
      <c r="C51" s="12">
        <v>120000</v>
      </c>
      <c r="D51" s="12">
        <v>153400</v>
      </c>
      <c r="E51" s="12">
        <v>48000</v>
      </c>
      <c r="F51" s="12">
        <v>142500</v>
      </c>
      <c r="G51" s="12">
        <v>8000</v>
      </c>
      <c r="H51" s="12">
        <v>15200</v>
      </c>
      <c r="I51" s="12">
        <v>18900</v>
      </c>
      <c r="J51" s="12">
        <v>5800</v>
      </c>
      <c r="K51" s="12">
        <v>17000</v>
      </c>
      <c r="L51" s="12">
        <v>370000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>
        <f t="shared" si="0"/>
        <v>898800</v>
      </c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</row>
    <row r="52" spans="2:67" ht="18" hidden="1" x14ac:dyDescent="0.2">
      <c r="B52" s="1" t="s">
        <v>19</v>
      </c>
      <c r="C52" s="12">
        <v>720000</v>
      </c>
      <c r="D52" s="12">
        <v>550000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>
        <f t="shared" si="0"/>
        <v>1270000</v>
      </c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</row>
    <row r="53" spans="2:67" ht="18" hidden="1" x14ac:dyDescent="0.2">
      <c r="B53" s="1" t="s">
        <v>17</v>
      </c>
      <c r="C53" s="12">
        <v>3600</v>
      </c>
      <c r="D53" s="12">
        <v>832000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>
        <f t="shared" si="0"/>
        <v>835600</v>
      </c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</row>
    <row r="54" spans="2:67" ht="18" hidden="1" x14ac:dyDescent="0.2">
      <c r="B54" s="1" t="s">
        <v>7</v>
      </c>
      <c r="C54" s="12">
        <v>25000</v>
      </c>
      <c r="D54" s="12">
        <v>100000</v>
      </c>
      <c r="E54" s="12">
        <v>162100</v>
      </c>
      <c r="F54" s="12">
        <v>12000</v>
      </c>
      <c r="G54" s="12">
        <v>320161.25</v>
      </c>
      <c r="H54" s="12">
        <v>30000</v>
      </c>
      <c r="I54" s="12">
        <v>1357550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>
        <f t="shared" si="0"/>
        <v>2006811.25</v>
      </c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</row>
    <row r="55" spans="2:67" ht="18" hidden="1" x14ac:dyDescent="0.2">
      <c r="B55" s="1" t="s">
        <v>1</v>
      </c>
      <c r="C55" s="12">
        <v>249491.56</v>
      </c>
      <c r="D55" s="12">
        <v>35000</v>
      </c>
      <c r="E55" s="12">
        <v>284491.56</v>
      </c>
      <c r="F55" s="12">
        <v>3570659.44</v>
      </c>
      <c r="G55" s="12">
        <v>2070487.47</v>
      </c>
      <c r="H55" s="12">
        <v>152194.92000000001</v>
      </c>
      <c r="I55" s="12">
        <v>252957.21</v>
      </c>
      <c r="J55" s="12">
        <v>156011.73000000001</v>
      </c>
      <c r="K55" s="12">
        <v>156011.73000000001</v>
      </c>
      <c r="L55" s="12">
        <v>156011.73000000001</v>
      </c>
      <c r="M55" s="12">
        <v>3570659.43</v>
      </c>
      <c r="N55" s="12">
        <v>152194.92000000001</v>
      </c>
      <c r="O55" s="12">
        <v>3570659.43</v>
      </c>
      <c r="P55" s="12">
        <v>152194.92000000001</v>
      </c>
      <c r="Q55" s="12">
        <v>72999.33</v>
      </c>
      <c r="R55" s="12">
        <v>3570659.44</v>
      </c>
      <c r="S55" s="12">
        <v>2070487.48</v>
      </c>
      <c r="T55" s="12">
        <v>476225</v>
      </c>
      <c r="U55" s="12">
        <v>284491.57</v>
      </c>
      <c r="V55" s="12">
        <v>284491.57</v>
      </c>
      <c r="W55" s="12">
        <v>284491.57</v>
      </c>
      <c r="X55" s="12">
        <v>284491.57</v>
      </c>
      <c r="Y55" s="12">
        <v>284491.57</v>
      </c>
      <c r="Z55" s="12">
        <v>284491.57</v>
      </c>
      <c r="AA55" s="12">
        <v>284491.57</v>
      </c>
      <c r="AB55" s="12">
        <v>152226.67000000001</v>
      </c>
      <c r="AC55" s="12">
        <v>284491.57</v>
      </c>
      <c r="AD55" s="12">
        <v>152194.93</v>
      </c>
      <c r="AE55" s="12">
        <v>284491.57</v>
      </c>
      <c r="AF55" s="12">
        <v>152194.93</v>
      </c>
      <c r="AG55" s="12">
        <v>152194.93</v>
      </c>
      <c r="AH55" s="12">
        <v>75000</v>
      </c>
      <c r="AI55" s="12">
        <v>75000</v>
      </c>
      <c r="AJ55" s="12">
        <v>75000</v>
      </c>
      <c r="AK55" s="12">
        <v>66000</v>
      </c>
      <c r="AL55" s="12">
        <v>66000</v>
      </c>
      <c r="AM55" s="12">
        <v>66000</v>
      </c>
      <c r="AN55" s="12">
        <v>66000</v>
      </c>
      <c r="AO55" s="12">
        <v>66000</v>
      </c>
      <c r="AP55" s="12">
        <v>66000</v>
      </c>
      <c r="AQ55" s="12">
        <v>66000</v>
      </c>
      <c r="AR55" s="12">
        <v>66000</v>
      </c>
      <c r="AS55" s="12">
        <f>SUM(C55:AR55)</f>
        <v>24641632.890000004</v>
      </c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</row>
    <row r="56" spans="2:67" ht="18" hidden="1" x14ac:dyDescent="0.2">
      <c r="B56" s="1" t="s">
        <v>20</v>
      </c>
      <c r="C56" s="12">
        <v>475000</v>
      </c>
      <c r="D56" s="12">
        <v>39000</v>
      </c>
      <c r="E56" s="12">
        <v>250000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>
        <f t="shared" ref="AS56:AS61" si="1">SUM(C56:AR56)</f>
        <v>764000</v>
      </c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</row>
    <row r="57" spans="2:67" ht="18" hidden="1" x14ac:dyDescent="0.2">
      <c r="B57" s="1" t="s">
        <v>14</v>
      </c>
      <c r="C57" s="12">
        <v>50000</v>
      </c>
      <c r="D57" s="12">
        <v>1770000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>
        <f t="shared" si="1"/>
        <v>1820000</v>
      </c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</row>
    <row r="58" spans="2:67" ht="18" hidden="1" x14ac:dyDescent="0.2">
      <c r="B58" s="1" t="s">
        <v>21</v>
      </c>
      <c r="C58" s="12">
        <v>1581325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>
        <f t="shared" si="1"/>
        <v>1581325</v>
      </c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</row>
    <row r="59" spans="2:67" ht="18" hidden="1" x14ac:dyDescent="0.2">
      <c r="B59" s="1" t="s">
        <v>15</v>
      </c>
      <c r="C59" s="12">
        <v>46440</v>
      </c>
      <c r="D59" s="12">
        <v>49392.86</v>
      </c>
      <c r="E59" s="12">
        <v>715176</v>
      </c>
      <c r="F59" s="12">
        <v>198660</v>
      </c>
      <c r="G59" s="12">
        <v>9470.36</v>
      </c>
      <c r="H59" s="12">
        <v>99330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>
        <f t="shared" si="1"/>
        <v>1118469.22</v>
      </c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</row>
    <row r="60" spans="2:67" ht="18" hidden="1" x14ac:dyDescent="0.2">
      <c r="B60" s="1" t="s">
        <v>16</v>
      </c>
      <c r="C60" s="12">
        <v>20161.25</v>
      </c>
      <c r="D60" s="12">
        <v>119811.25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>
        <f t="shared" si="1"/>
        <v>139972.5</v>
      </c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</row>
    <row r="61" spans="2:67" ht="18" hidden="1" x14ac:dyDescent="0.2">
      <c r="B61" s="1" t="s">
        <v>6</v>
      </c>
      <c r="C61" s="12">
        <v>200000</v>
      </c>
      <c r="D61" s="12">
        <v>150000</v>
      </c>
      <c r="E61" s="12">
        <v>304000</v>
      </c>
      <c r="F61" s="12">
        <v>149000</v>
      </c>
      <c r="G61" s="12">
        <v>13600</v>
      </c>
      <c r="H61" s="12">
        <v>169000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>
        <f t="shared" si="1"/>
        <v>985600</v>
      </c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</row>
    <row r="62" spans="2:67" hidden="1" x14ac:dyDescent="0.2"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</row>
    <row r="63" spans="2:67" hidden="1" x14ac:dyDescent="0.2">
      <c r="AS63" s="13">
        <f>SUM(AS46:AS62)</f>
        <v>45484964.109999999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84A1-C665-498A-B0A4-466DE0FF8E2A}">
  <dimension ref="A1:BO60"/>
  <sheetViews>
    <sheetView topLeftCell="A6" zoomScale="80" zoomScaleNormal="80" workbookViewId="0">
      <selection activeCell="AS29" sqref="AS29"/>
    </sheetView>
  </sheetViews>
  <sheetFormatPr baseColWidth="10" defaultColWidth="9.1640625" defaultRowHeight="16" x14ac:dyDescent="0.2"/>
  <cols>
    <col min="1" max="1" width="12.1640625" style="9" bestFit="1" customWidth="1"/>
    <col min="2" max="2" width="74.6640625" style="9" bestFit="1" customWidth="1"/>
    <col min="3" max="3" width="19.5" style="9" bestFit="1" customWidth="1"/>
    <col min="4" max="4" width="14.6640625" style="9" bestFit="1" customWidth="1"/>
    <col min="5" max="5" width="16.33203125" style="9" bestFit="1" customWidth="1"/>
    <col min="6" max="6" width="22.5" style="9" hidden="1" customWidth="1"/>
    <col min="7" max="7" width="15.6640625" style="9" hidden="1" customWidth="1"/>
    <col min="8" max="8" width="14" style="9" hidden="1" customWidth="1"/>
    <col min="9" max="9" width="13.83203125" style="9" hidden="1" customWidth="1"/>
    <col min="10" max="10" width="13.5" style="9" hidden="1" customWidth="1"/>
    <col min="11" max="11" width="21" style="9" hidden="1" customWidth="1"/>
    <col min="12" max="12" width="12.1640625" style="9" hidden="1" customWidth="1"/>
    <col min="13" max="13" width="13.83203125" style="9" hidden="1" customWidth="1"/>
    <col min="14" max="14" width="12.1640625" style="9" hidden="1" customWidth="1"/>
    <col min="15" max="15" width="13.83203125" style="9" hidden="1" customWidth="1"/>
    <col min="16" max="16" width="12.1640625" style="9" hidden="1" customWidth="1"/>
    <col min="17" max="17" width="11.1640625" style="9" hidden="1" customWidth="1"/>
    <col min="18" max="19" width="13.83203125" style="9" hidden="1" customWidth="1"/>
    <col min="20" max="33" width="12.1640625" style="9" hidden="1" customWidth="1"/>
    <col min="34" max="37" width="11.1640625" style="9" hidden="1" customWidth="1"/>
    <col min="38" max="41" width="0" style="9" hidden="1" customWidth="1"/>
    <col min="42" max="44" width="11.1640625" style="9" hidden="1" customWidth="1"/>
    <col min="45" max="45" width="15.83203125" style="9" bestFit="1" customWidth="1"/>
    <col min="46" max="46" width="12.5" style="9" bestFit="1" customWidth="1"/>
    <col min="47" max="47" width="11" style="9" bestFit="1" customWidth="1"/>
    <col min="48" max="16384" width="9.1640625" style="9"/>
  </cols>
  <sheetData>
    <row r="1" spans="1:47" ht="18.75" customHeight="1" x14ac:dyDescent="0.2">
      <c r="A1" s="20" t="s">
        <v>69</v>
      </c>
      <c r="B1" s="20"/>
      <c r="C1" s="20"/>
    </row>
    <row r="2" spans="1:47" ht="18.75" customHeight="1" x14ac:dyDescent="0.2">
      <c r="A2" s="20" t="s">
        <v>66</v>
      </c>
      <c r="B2" s="20"/>
      <c r="C2" s="20"/>
      <c r="D2" s="16"/>
    </row>
    <row r="3" spans="1:47" x14ac:dyDescent="0.2">
      <c r="A3" s="7"/>
      <c r="B3" s="7"/>
      <c r="C3" s="17"/>
    </row>
    <row r="4" spans="1:47" x14ac:dyDescent="0.2">
      <c r="A4" s="7" t="s">
        <v>0</v>
      </c>
      <c r="B4" s="7"/>
      <c r="D4" s="8"/>
      <c r="H4" s="9" t="s">
        <v>39</v>
      </c>
      <c r="I4" s="9" t="s">
        <v>36</v>
      </c>
      <c r="J4" s="9" t="s">
        <v>37</v>
      </c>
      <c r="K4" s="9" t="s">
        <v>38</v>
      </c>
    </row>
    <row r="5" spans="1:47" ht="18" x14ac:dyDescent="0.2">
      <c r="A5" s="3" t="s">
        <v>9</v>
      </c>
      <c r="B5" s="7"/>
      <c r="D5" s="8"/>
    </row>
    <row r="6" spans="1:47" ht="18" x14ac:dyDescent="0.2">
      <c r="A6" s="1"/>
      <c r="C6" s="8"/>
      <c r="D6" s="8"/>
      <c r="H6" s="9">
        <v>6935800</v>
      </c>
      <c r="J6" s="9">
        <v>420000</v>
      </c>
    </row>
    <row r="7" spans="1:47" ht="18" x14ac:dyDescent="0.2">
      <c r="A7" s="1"/>
      <c r="B7" s="9" t="s">
        <v>10</v>
      </c>
      <c r="C7" s="8">
        <v>2723750</v>
      </c>
      <c r="D7" s="8"/>
    </row>
    <row r="8" spans="1:47" ht="18" x14ac:dyDescent="0.2">
      <c r="A8" s="1"/>
      <c r="B8" s="9" t="s">
        <v>13</v>
      </c>
      <c r="C8" s="8">
        <v>2699450</v>
      </c>
      <c r="D8" s="8"/>
    </row>
    <row r="9" spans="1:47" ht="18" x14ac:dyDescent="0.2">
      <c r="A9" s="1"/>
      <c r="B9" s="7" t="s">
        <v>32</v>
      </c>
      <c r="C9" s="10">
        <f>SUM(C6:C8)</f>
        <v>5423200</v>
      </c>
    </row>
    <row r="10" spans="1:47" ht="18" x14ac:dyDescent="0.2">
      <c r="A10" s="1"/>
      <c r="B10" s="7"/>
      <c r="C10" s="10"/>
    </row>
    <row r="11" spans="1:47" ht="18" x14ac:dyDescent="0.2">
      <c r="A11" s="1"/>
      <c r="B11" s="7"/>
      <c r="C11" s="10"/>
    </row>
    <row r="12" spans="1:47" ht="18" x14ac:dyDescent="0.2">
      <c r="A12" s="3" t="s">
        <v>4</v>
      </c>
      <c r="B12" s="7"/>
      <c r="C12" s="10"/>
    </row>
    <row r="13" spans="1:47" ht="18" x14ac:dyDescent="0.2">
      <c r="A13" s="1"/>
      <c r="B13" s="9" t="s">
        <v>11</v>
      </c>
      <c r="C13" s="8">
        <v>31853.729999999996</v>
      </c>
      <c r="AS13" s="8"/>
      <c r="AT13" s="8"/>
      <c r="AU13" s="8"/>
    </row>
    <row r="14" spans="1:47" ht="18" x14ac:dyDescent="0.2">
      <c r="A14" s="1"/>
      <c r="B14" s="8" t="s">
        <v>44</v>
      </c>
      <c r="C14" s="8">
        <v>370000</v>
      </c>
      <c r="D14" s="8"/>
      <c r="AS14" s="8"/>
    </row>
    <row r="15" spans="1:47" x14ac:dyDescent="0.2">
      <c r="B15" s="9" t="s">
        <v>8</v>
      </c>
      <c r="C15" s="8">
        <v>740000</v>
      </c>
      <c r="AS15" s="8"/>
    </row>
    <row r="16" spans="1:47" x14ac:dyDescent="0.2">
      <c r="B16" s="9" t="s">
        <v>18</v>
      </c>
      <c r="C16" s="8">
        <v>2174000</v>
      </c>
      <c r="D16" s="8"/>
      <c r="AS16" s="8"/>
      <c r="AT16" s="8"/>
    </row>
    <row r="17" spans="1:47" x14ac:dyDescent="0.2">
      <c r="B17" s="9" t="s">
        <v>43</v>
      </c>
      <c r="C17" s="8">
        <v>2174811</v>
      </c>
      <c r="D17" s="8"/>
      <c r="AS17" s="8"/>
    </row>
    <row r="18" spans="1:47" x14ac:dyDescent="0.2">
      <c r="B18" s="9" t="s">
        <v>13</v>
      </c>
      <c r="C18" s="8">
        <v>2189476</v>
      </c>
      <c r="D18" s="8"/>
      <c r="AS18" s="8"/>
      <c r="AT18" s="8"/>
      <c r="AU18" s="8"/>
    </row>
    <row r="19" spans="1:47" x14ac:dyDescent="0.2">
      <c r="A19" s="9" t="s">
        <v>0</v>
      </c>
      <c r="B19" s="8" t="s">
        <v>45</v>
      </c>
      <c r="C19" s="8">
        <v>57000</v>
      </c>
      <c r="D19" s="8"/>
      <c r="AS19" s="8"/>
    </row>
    <row r="20" spans="1:47" x14ac:dyDescent="0.2">
      <c r="A20" s="9" t="s">
        <v>0</v>
      </c>
      <c r="B20" s="9" t="s">
        <v>17</v>
      </c>
      <c r="C20" s="8">
        <v>1367958</v>
      </c>
      <c r="D20" s="8"/>
      <c r="AS20" s="8"/>
    </row>
    <row r="21" spans="1:47" x14ac:dyDescent="0.2">
      <c r="B21" s="9" t="s">
        <v>7</v>
      </c>
      <c r="C21" s="8">
        <v>509790</v>
      </c>
      <c r="AS21" s="8"/>
      <c r="AT21" s="8"/>
    </row>
    <row r="22" spans="1:47" x14ac:dyDescent="0.2">
      <c r="A22" s="9" t="s">
        <v>0</v>
      </c>
      <c r="B22" s="9" t="s">
        <v>1</v>
      </c>
      <c r="C22" s="8">
        <v>10105872.41</v>
      </c>
      <c r="D22" s="8"/>
      <c r="AS22" s="8"/>
    </row>
    <row r="23" spans="1:47" x14ac:dyDescent="0.2">
      <c r="B23" s="9" t="s">
        <v>20</v>
      </c>
      <c r="C23" s="8">
        <v>950000</v>
      </c>
      <c r="AS23" s="8"/>
    </row>
    <row r="24" spans="1:47" x14ac:dyDescent="0.2">
      <c r="B24" s="9" t="s">
        <v>14</v>
      </c>
      <c r="C24" s="8">
        <v>2250000</v>
      </c>
      <c r="D24" s="8"/>
      <c r="AS24" s="8"/>
    </row>
    <row r="25" spans="1:47" x14ac:dyDescent="0.2">
      <c r="B25" s="8" t="s">
        <v>46</v>
      </c>
      <c r="C25" s="8">
        <v>138000</v>
      </c>
      <c r="D25" s="8"/>
      <c r="AS25" s="8"/>
    </row>
    <row r="26" spans="1:47" x14ac:dyDescent="0.2">
      <c r="B26" s="9" t="s">
        <v>6</v>
      </c>
      <c r="C26" s="8">
        <v>173414</v>
      </c>
      <c r="D26" s="8"/>
      <c r="AS26" s="8"/>
    </row>
    <row r="27" spans="1:47" x14ac:dyDescent="0.2">
      <c r="B27" s="9" t="s">
        <v>53</v>
      </c>
      <c r="C27" s="8">
        <v>500000</v>
      </c>
      <c r="D27" s="8"/>
      <c r="AT27" s="8"/>
    </row>
    <row r="28" spans="1:47" x14ac:dyDescent="0.2">
      <c r="B28" s="7" t="s">
        <v>33</v>
      </c>
      <c r="C28" s="10">
        <f>SUM(C13:C27)</f>
        <v>23732175.140000001</v>
      </c>
      <c r="D28" s="8"/>
    </row>
    <row r="29" spans="1:47" x14ac:dyDescent="0.2">
      <c r="B29" s="7" t="s">
        <v>70</v>
      </c>
      <c r="C29" s="10">
        <v>27906985.388433333</v>
      </c>
      <c r="D29" s="8"/>
    </row>
    <row r="30" spans="1:47" x14ac:dyDescent="0.2">
      <c r="B30" s="7" t="s">
        <v>75</v>
      </c>
      <c r="C30" s="10">
        <f>C28/C29*100</f>
        <v>85.040267910257072</v>
      </c>
      <c r="D30" s="8" t="s">
        <v>76</v>
      </c>
    </row>
    <row r="32" spans="1:47" x14ac:dyDescent="0.2">
      <c r="B32" s="7"/>
      <c r="C32" s="10"/>
      <c r="D32" s="8"/>
    </row>
    <row r="33" spans="2:67" x14ac:dyDescent="0.2">
      <c r="D33" s="8"/>
    </row>
    <row r="34" spans="2:67" x14ac:dyDescent="0.2">
      <c r="B34" s="7" t="s">
        <v>57</v>
      </c>
      <c r="C34" s="15">
        <v>101696084.21000001</v>
      </c>
    </row>
    <row r="35" spans="2:67" x14ac:dyDescent="0.2">
      <c r="B35" s="7" t="s">
        <v>55</v>
      </c>
      <c r="C35" s="10">
        <v>380000</v>
      </c>
      <c r="D35" s="8"/>
    </row>
    <row r="36" spans="2:67" x14ac:dyDescent="0.2">
      <c r="E36" s="19"/>
      <c r="AS36" s="19"/>
    </row>
    <row r="37" spans="2:67" x14ac:dyDescent="0.2">
      <c r="B37" s="7" t="s">
        <v>56</v>
      </c>
      <c r="C37" s="10">
        <f>(C9+C34+C35)-C28</f>
        <v>83767109.070000008</v>
      </c>
    </row>
    <row r="39" spans="2:67" x14ac:dyDescent="0.2">
      <c r="C39" s="8"/>
      <c r="D39" s="8"/>
    </row>
    <row r="42" spans="2:67" hidden="1" x14ac:dyDescent="0.2"/>
    <row r="43" spans="2:67" hidden="1" x14ac:dyDescent="0.2">
      <c r="B43" s="9" t="s">
        <v>11</v>
      </c>
      <c r="C43" s="14">
        <v>64677.45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>
        <f t="shared" ref="AS43:AS51" si="0">SUM(C43:AR43)</f>
        <v>64677.45</v>
      </c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spans="2:67" hidden="1" x14ac:dyDescent="0.2">
      <c r="B44" s="9" t="s">
        <v>28</v>
      </c>
      <c r="C44" s="14">
        <v>100000</v>
      </c>
      <c r="D44" s="14">
        <v>100000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>
        <f t="shared" si="0"/>
        <v>200000</v>
      </c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spans="2:67" hidden="1" x14ac:dyDescent="0.2">
      <c r="B45" s="9" t="s">
        <v>8</v>
      </c>
      <c r="C45" s="14">
        <v>650000</v>
      </c>
      <c r="D45" s="14">
        <v>25000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>
        <f t="shared" si="0"/>
        <v>675000</v>
      </c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spans="2:67" hidden="1" x14ac:dyDescent="0.2">
      <c r="B46" s="9" t="s">
        <v>18</v>
      </c>
      <c r="C46" s="14">
        <v>36000</v>
      </c>
      <c r="D46" s="14">
        <v>13000</v>
      </c>
      <c r="E46" s="14">
        <v>40000</v>
      </c>
      <c r="F46" s="14">
        <v>14700</v>
      </c>
      <c r="G46" s="14">
        <v>20000</v>
      </c>
      <c r="H46" s="14">
        <v>164000</v>
      </c>
      <c r="I46" s="14">
        <v>10400</v>
      </c>
      <c r="J46" s="14">
        <v>15000</v>
      </c>
      <c r="K46" s="14">
        <v>40000</v>
      </c>
      <c r="L46" s="14">
        <v>15000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>
        <f t="shared" si="0"/>
        <v>368100</v>
      </c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spans="2:67" hidden="1" x14ac:dyDescent="0.2">
      <c r="B47" s="9" t="s">
        <v>29</v>
      </c>
      <c r="C47" s="14">
        <v>725000</v>
      </c>
      <c r="D47" s="14">
        <v>2969175.8</v>
      </c>
      <c r="E47" s="14">
        <v>902000</v>
      </c>
      <c r="F47" s="14">
        <v>2230000</v>
      </c>
      <c r="G47" s="14">
        <v>22000</v>
      </c>
      <c r="H47" s="14">
        <v>150000</v>
      </c>
      <c r="I47" s="14">
        <v>465000</v>
      </c>
      <c r="J47" s="14">
        <v>619300</v>
      </c>
      <c r="K47" s="14">
        <v>32500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>
        <f t="shared" si="0"/>
        <v>8114975.7999999998</v>
      </c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spans="2:67" hidden="1" x14ac:dyDescent="0.2">
      <c r="B48" s="9" t="s">
        <v>13</v>
      </c>
      <c r="C48" s="14">
        <v>120000</v>
      </c>
      <c r="D48" s="14">
        <v>153400</v>
      </c>
      <c r="E48" s="14">
        <v>48000</v>
      </c>
      <c r="F48" s="14">
        <v>142500</v>
      </c>
      <c r="G48" s="14">
        <v>8000</v>
      </c>
      <c r="H48" s="14">
        <v>15200</v>
      </c>
      <c r="I48" s="14">
        <v>18900</v>
      </c>
      <c r="J48" s="14">
        <v>5800</v>
      </c>
      <c r="K48" s="14">
        <v>17000</v>
      </c>
      <c r="L48" s="14">
        <v>370000</v>
      </c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>
        <f t="shared" si="0"/>
        <v>898800</v>
      </c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spans="2:67" hidden="1" x14ac:dyDescent="0.2">
      <c r="B49" s="9" t="s">
        <v>19</v>
      </c>
      <c r="C49" s="14">
        <v>720000</v>
      </c>
      <c r="D49" s="14">
        <v>550000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>
        <f t="shared" si="0"/>
        <v>1270000</v>
      </c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spans="2:67" hidden="1" x14ac:dyDescent="0.2">
      <c r="B50" s="9" t="s">
        <v>17</v>
      </c>
      <c r="C50" s="14">
        <v>3600</v>
      </c>
      <c r="D50" s="14">
        <v>832000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>
        <f t="shared" si="0"/>
        <v>835600</v>
      </c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spans="2:67" hidden="1" x14ac:dyDescent="0.2">
      <c r="B51" s="9" t="s">
        <v>7</v>
      </c>
      <c r="C51" s="14">
        <v>25000</v>
      </c>
      <c r="D51" s="14">
        <v>100000</v>
      </c>
      <c r="E51" s="14">
        <v>162100</v>
      </c>
      <c r="F51" s="14">
        <v>12000</v>
      </c>
      <c r="G51" s="14">
        <v>320161.25</v>
      </c>
      <c r="H51" s="14">
        <v>30000</v>
      </c>
      <c r="I51" s="14">
        <v>1357550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>
        <f t="shared" si="0"/>
        <v>2006811.25</v>
      </c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spans="2:67" hidden="1" x14ac:dyDescent="0.2">
      <c r="B52" s="9" t="s">
        <v>1</v>
      </c>
      <c r="C52" s="14">
        <v>249491.56</v>
      </c>
      <c r="D52" s="14">
        <v>35000</v>
      </c>
      <c r="E52" s="14">
        <v>284491.56</v>
      </c>
      <c r="F52" s="14">
        <v>3570659.44</v>
      </c>
      <c r="G52" s="14">
        <v>2070487.47</v>
      </c>
      <c r="H52" s="14">
        <v>152194.92000000001</v>
      </c>
      <c r="I52" s="14">
        <v>252957.21</v>
      </c>
      <c r="J52" s="14">
        <v>156011.73000000001</v>
      </c>
      <c r="K52" s="14">
        <v>156011.73000000001</v>
      </c>
      <c r="L52" s="14">
        <v>156011.73000000001</v>
      </c>
      <c r="M52" s="14">
        <v>3570659.43</v>
      </c>
      <c r="N52" s="14">
        <v>152194.92000000001</v>
      </c>
      <c r="O52" s="14">
        <v>3570659.43</v>
      </c>
      <c r="P52" s="14">
        <v>152194.92000000001</v>
      </c>
      <c r="Q52" s="14">
        <v>72999.33</v>
      </c>
      <c r="R52" s="14">
        <v>3570659.44</v>
      </c>
      <c r="S52" s="14">
        <v>2070487.48</v>
      </c>
      <c r="T52" s="14">
        <v>476225</v>
      </c>
      <c r="U52" s="14">
        <v>284491.57</v>
      </c>
      <c r="V52" s="14">
        <v>284491.57</v>
      </c>
      <c r="W52" s="14">
        <v>284491.57</v>
      </c>
      <c r="X52" s="14">
        <v>284491.57</v>
      </c>
      <c r="Y52" s="14">
        <v>284491.57</v>
      </c>
      <c r="Z52" s="14">
        <v>284491.57</v>
      </c>
      <c r="AA52" s="14">
        <v>284491.57</v>
      </c>
      <c r="AB52" s="14">
        <v>152226.67000000001</v>
      </c>
      <c r="AC52" s="14">
        <v>284491.57</v>
      </c>
      <c r="AD52" s="14">
        <v>152194.93</v>
      </c>
      <c r="AE52" s="14">
        <v>284491.57</v>
      </c>
      <c r="AF52" s="14">
        <v>152194.93</v>
      </c>
      <c r="AG52" s="14">
        <v>152194.93</v>
      </c>
      <c r="AH52" s="14">
        <v>75000</v>
      </c>
      <c r="AI52" s="14">
        <v>75000</v>
      </c>
      <c r="AJ52" s="14">
        <v>75000</v>
      </c>
      <c r="AK52" s="14">
        <v>66000</v>
      </c>
      <c r="AL52" s="14">
        <v>66000</v>
      </c>
      <c r="AM52" s="14">
        <v>66000</v>
      </c>
      <c r="AN52" s="14">
        <v>66000</v>
      </c>
      <c r="AO52" s="14">
        <v>66000</v>
      </c>
      <c r="AP52" s="14">
        <v>66000</v>
      </c>
      <c r="AQ52" s="14">
        <v>66000</v>
      </c>
      <c r="AR52" s="14">
        <v>66000</v>
      </c>
      <c r="AS52" s="14">
        <f>SUM(C52:AR52)</f>
        <v>24641632.890000004</v>
      </c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spans="2:67" hidden="1" x14ac:dyDescent="0.2">
      <c r="B53" s="9" t="s">
        <v>20</v>
      </c>
      <c r="C53" s="14">
        <v>475000</v>
      </c>
      <c r="D53" s="14">
        <v>39000</v>
      </c>
      <c r="E53" s="14">
        <v>250000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>
        <f t="shared" ref="AS53:AS58" si="1">SUM(C53:AR53)</f>
        <v>764000</v>
      </c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spans="2:67" hidden="1" x14ac:dyDescent="0.2">
      <c r="B54" s="9" t="s">
        <v>14</v>
      </c>
      <c r="C54" s="14">
        <v>50000</v>
      </c>
      <c r="D54" s="14">
        <v>1770000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>
        <f t="shared" si="1"/>
        <v>1820000</v>
      </c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spans="2:67" hidden="1" x14ac:dyDescent="0.2">
      <c r="B55" s="9" t="s">
        <v>21</v>
      </c>
      <c r="C55" s="14">
        <v>1581325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>
        <f t="shared" si="1"/>
        <v>1581325</v>
      </c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spans="2:67" hidden="1" x14ac:dyDescent="0.2">
      <c r="B56" s="9" t="s">
        <v>15</v>
      </c>
      <c r="C56" s="14">
        <v>46440</v>
      </c>
      <c r="D56" s="14">
        <v>49392.86</v>
      </c>
      <c r="E56" s="14">
        <v>715176</v>
      </c>
      <c r="F56" s="14">
        <v>198660</v>
      </c>
      <c r="G56" s="14">
        <v>9470.36</v>
      </c>
      <c r="H56" s="14">
        <v>99330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>
        <f t="shared" si="1"/>
        <v>1118469.22</v>
      </c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spans="2:67" hidden="1" x14ac:dyDescent="0.2">
      <c r="B57" s="9" t="s">
        <v>16</v>
      </c>
      <c r="C57" s="14">
        <v>20161.25</v>
      </c>
      <c r="D57" s="14">
        <v>119811.25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>
        <f t="shared" si="1"/>
        <v>139972.5</v>
      </c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spans="2:67" hidden="1" x14ac:dyDescent="0.2">
      <c r="B58" s="9" t="s">
        <v>6</v>
      </c>
      <c r="C58" s="14">
        <v>200000</v>
      </c>
      <c r="D58" s="14">
        <v>150000</v>
      </c>
      <c r="E58" s="14">
        <v>304000</v>
      </c>
      <c r="F58" s="14">
        <v>149000</v>
      </c>
      <c r="G58" s="14">
        <v>13600</v>
      </c>
      <c r="H58" s="14">
        <v>169000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>
        <f t="shared" si="1"/>
        <v>985600</v>
      </c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2:67" hidden="1" x14ac:dyDescent="0.2"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spans="2:67" hidden="1" x14ac:dyDescent="0.2">
      <c r="AS60" s="19">
        <f>SUM(AS43:AS59)</f>
        <v>45484964.109999999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B7CF-F657-4EEE-895E-D06509672823}">
  <dimension ref="A1:E69"/>
  <sheetViews>
    <sheetView topLeftCell="A3" zoomScale="90" zoomScaleNormal="90" workbookViewId="0">
      <selection activeCell="A26" sqref="A26:XFD26"/>
    </sheetView>
  </sheetViews>
  <sheetFormatPr baseColWidth="10" defaultColWidth="9.1640625" defaultRowHeight="16" x14ac:dyDescent="0.2"/>
  <cols>
    <col min="1" max="1" width="19.83203125" style="9" customWidth="1"/>
    <col min="2" max="2" width="56.83203125" style="9" customWidth="1"/>
    <col min="3" max="3" width="20.83203125" style="9" customWidth="1"/>
    <col min="4" max="4" width="13.83203125" style="9" bestFit="1" customWidth="1"/>
    <col min="5" max="5" width="11.6640625" style="9" bestFit="1" customWidth="1"/>
    <col min="6" max="16384" width="9.1640625" style="9"/>
  </cols>
  <sheetData>
    <row r="1" spans="1:5" ht="15.75" customHeight="1" x14ac:dyDescent="0.2">
      <c r="A1" s="1"/>
      <c r="B1" s="3" t="s">
        <v>48</v>
      </c>
    </row>
    <row r="2" spans="1:5" ht="18.75" customHeight="1" x14ac:dyDescent="0.2">
      <c r="A2" s="1"/>
      <c r="B2" s="6" t="s">
        <v>41</v>
      </c>
    </row>
    <row r="3" spans="1:5" ht="18.75" customHeight="1" x14ac:dyDescent="0.2">
      <c r="A3" s="1"/>
      <c r="B3" s="3" t="s">
        <v>49</v>
      </c>
    </row>
    <row r="4" spans="1:5" x14ac:dyDescent="0.2">
      <c r="C4" s="16"/>
    </row>
    <row r="5" spans="1:5" x14ac:dyDescent="0.2">
      <c r="B5" s="8" t="s">
        <v>0</v>
      </c>
    </row>
    <row r="6" spans="1:5" x14ac:dyDescent="0.2">
      <c r="A6" s="7" t="s">
        <v>9</v>
      </c>
      <c r="B6" s="8"/>
    </row>
    <row r="7" spans="1:5" x14ac:dyDescent="0.2">
      <c r="B7" s="8" t="s">
        <v>50</v>
      </c>
      <c r="C7" s="8">
        <v>380000</v>
      </c>
    </row>
    <row r="8" spans="1:5" x14ac:dyDescent="0.2">
      <c r="B8" s="7" t="s">
        <v>32</v>
      </c>
      <c r="C8" s="8"/>
    </row>
    <row r="10" spans="1:5" x14ac:dyDescent="0.2">
      <c r="A10" s="7" t="s">
        <v>4</v>
      </c>
      <c r="B10" s="8" t="s">
        <v>11</v>
      </c>
      <c r="C10" s="8">
        <v>11740.74</v>
      </c>
    </row>
    <row r="11" spans="1:5" x14ac:dyDescent="0.2">
      <c r="B11" s="8" t="s">
        <v>42</v>
      </c>
      <c r="C11" s="8">
        <v>66040</v>
      </c>
    </row>
    <row r="12" spans="1:5" x14ac:dyDescent="0.2">
      <c r="B12" s="8" t="s">
        <v>8</v>
      </c>
      <c r="C12" s="8">
        <v>740000</v>
      </c>
    </row>
    <row r="13" spans="1:5" x14ac:dyDescent="0.2">
      <c r="B13" s="8" t="s">
        <v>18</v>
      </c>
      <c r="C13" s="8">
        <v>1654000</v>
      </c>
      <c r="D13" s="8"/>
      <c r="E13" s="8"/>
    </row>
    <row r="14" spans="1:5" x14ac:dyDescent="0.2">
      <c r="B14" s="8" t="s">
        <v>13</v>
      </c>
      <c r="C14" s="8">
        <v>1776226</v>
      </c>
    </row>
    <row r="15" spans="1:5" x14ac:dyDescent="0.2">
      <c r="B15" s="8" t="s">
        <v>43</v>
      </c>
      <c r="C15" s="8">
        <v>2174811</v>
      </c>
    </row>
    <row r="16" spans="1:5" x14ac:dyDescent="0.2">
      <c r="B16" s="8" t="s">
        <v>44</v>
      </c>
      <c r="C16" s="8">
        <v>370000</v>
      </c>
    </row>
    <row r="17" spans="2:4" x14ac:dyDescent="0.2">
      <c r="B17" s="8" t="s">
        <v>45</v>
      </c>
      <c r="C17" s="8">
        <v>57000</v>
      </c>
    </row>
    <row r="18" spans="2:4" x14ac:dyDescent="0.2">
      <c r="B18" s="8" t="s">
        <v>17</v>
      </c>
      <c r="C18" s="8">
        <v>1367958</v>
      </c>
    </row>
    <row r="19" spans="2:4" x14ac:dyDescent="0.2">
      <c r="B19" s="8" t="s">
        <v>46</v>
      </c>
      <c r="C19" s="8">
        <v>138000</v>
      </c>
    </row>
    <row r="20" spans="2:4" x14ac:dyDescent="0.2">
      <c r="B20" s="8" t="s">
        <v>7</v>
      </c>
      <c r="C20" s="8">
        <v>443750</v>
      </c>
    </row>
    <row r="21" spans="2:4" x14ac:dyDescent="0.2">
      <c r="B21" s="8" t="s">
        <v>1</v>
      </c>
      <c r="C21" s="8">
        <v>10105872.41</v>
      </c>
    </row>
    <row r="22" spans="2:4" x14ac:dyDescent="0.2">
      <c r="B22" s="8" t="s">
        <v>20</v>
      </c>
      <c r="C22" s="8">
        <v>950000</v>
      </c>
    </row>
    <row r="23" spans="2:4" x14ac:dyDescent="0.2">
      <c r="B23" s="8" t="s">
        <v>14</v>
      </c>
      <c r="C23" s="8">
        <v>2250000</v>
      </c>
    </row>
    <row r="24" spans="2:4" x14ac:dyDescent="0.2">
      <c r="B24" s="8" t="s">
        <v>6</v>
      </c>
      <c r="C24" s="8">
        <v>173414</v>
      </c>
    </row>
    <row r="25" spans="2:4" x14ac:dyDescent="0.2">
      <c r="B25" s="7" t="s">
        <v>33</v>
      </c>
      <c r="C25" s="10">
        <f>SUM(C10:C24)</f>
        <v>22278812.149999999</v>
      </c>
    </row>
    <row r="26" spans="2:4" x14ac:dyDescent="0.2">
      <c r="B26" s="9" t="s">
        <v>0</v>
      </c>
    </row>
    <row r="27" spans="2:4" x14ac:dyDescent="0.2">
      <c r="B27" s="8"/>
      <c r="C27" s="8"/>
    </row>
    <row r="28" spans="2:4" x14ac:dyDescent="0.2">
      <c r="B28" s="8" t="s">
        <v>23</v>
      </c>
      <c r="C28" s="9">
        <v>101696084.21000001</v>
      </c>
    </row>
    <row r="29" spans="2:4" x14ac:dyDescent="0.2">
      <c r="B29" s="8" t="s">
        <v>58</v>
      </c>
      <c r="C29" s="8">
        <f>C28+C7</f>
        <v>102076084.21000001</v>
      </c>
      <c r="D29" s="8"/>
    </row>
    <row r="30" spans="2:4" x14ac:dyDescent="0.2">
      <c r="B30" s="7" t="s">
        <v>54</v>
      </c>
      <c r="C30" s="10">
        <f>C29-C25</f>
        <v>79797272.060000002</v>
      </c>
      <c r="D30" s="8"/>
    </row>
    <row r="31" spans="2:4" x14ac:dyDescent="0.2">
      <c r="B31" s="8"/>
      <c r="C31" s="8"/>
    </row>
    <row r="32" spans="2:4" x14ac:dyDescent="0.2">
      <c r="B32" s="9" t="s">
        <v>0</v>
      </c>
    </row>
    <row r="36" spans="2:2" x14ac:dyDescent="0.2">
      <c r="B36" s="8"/>
    </row>
    <row r="37" spans="2:2" x14ac:dyDescent="0.2">
      <c r="B37" s="8"/>
    </row>
    <row r="38" spans="2:2" x14ac:dyDescent="0.2">
      <c r="B38" s="8"/>
    </row>
    <row r="39" spans="2:2" x14ac:dyDescent="0.2">
      <c r="B39" s="8"/>
    </row>
    <row r="50" spans="3:3" x14ac:dyDescent="0.2">
      <c r="C50" s="8"/>
    </row>
    <row r="51" spans="3:3" x14ac:dyDescent="0.2">
      <c r="C51" s="8"/>
    </row>
    <row r="52" spans="3:3" x14ac:dyDescent="0.2">
      <c r="C52" s="8"/>
    </row>
    <row r="54" spans="3:3" x14ac:dyDescent="0.2">
      <c r="C54" s="8"/>
    </row>
    <row r="55" spans="3:3" x14ac:dyDescent="0.2">
      <c r="C55" s="8"/>
    </row>
    <row r="56" spans="3:3" x14ac:dyDescent="0.2">
      <c r="C56" s="8"/>
    </row>
    <row r="57" spans="3:3" x14ac:dyDescent="0.2">
      <c r="C57" s="8"/>
    </row>
    <row r="58" spans="3:3" x14ac:dyDescent="0.2">
      <c r="C58" s="8"/>
    </row>
    <row r="59" spans="3:3" x14ac:dyDescent="0.2">
      <c r="C59" s="8"/>
    </row>
    <row r="60" spans="3:3" x14ac:dyDescent="0.2">
      <c r="C60" s="8"/>
    </row>
    <row r="61" spans="3:3" x14ac:dyDescent="0.2">
      <c r="C61" s="8"/>
    </row>
    <row r="62" spans="3:3" x14ac:dyDescent="0.2">
      <c r="C62" s="8"/>
    </row>
    <row r="63" spans="3:3" x14ac:dyDescent="0.2">
      <c r="C63" s="8"/>
    </row>
    <row r="64" spans="3:3" x14ac:dyDescent="0.2">
      <c r="C64" s="8"/>
    </row>
    <row r="65" spans="3:3" x14ac:dyDescent="0.2">
      <c r="C65" s="8"/>
    </row>
    <row r="66" spans="3:3" x14ac:dyDescent="0.2">
      <c r="C66" s="8"/>
    </row>
    <row r="67" spans="3:3" x14ac:dyDescent="0.2">
      <c r="C67" s="8"/>
    </row>
    <row r="68" spans="3:3" x14ac:dyDescent="0.2">
      <c r="C68" s="8"/>
    </row>
    <row r="69" spans="3:3" x14ac:dyDescent="0.2">
      <c r="C69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5BE8-C081-4D7D-ADA0-5AE5DD23B815}">
  <dimension ref="A1:C20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19.6640625" customWidth="1"/>
    <col min="2" max="2" width="56" bestFit="1" customWidth="1"/>
    <col min="3" max="3" width="21.5" customWidth="1"/>
  </cols>
  <sheetData>
    <row r="1" spans="1:3" ht="18" x14ac:dyDescent="0.2">
      <c r="A1" s="1"/>
      <c r="B1" s="3" t="s">
        <v>48</v>
      </c>
      <c r="C1" s="9"/>
    </row>
    <row r="2" spans="1:3" ht="18" x14ac:dyDescent="0.2">
      <c r="A2" s="1"/>
      <c r="B2" s="3" t="s">
        <v>41</v>
      </c>
      <c r="C2" s="9"/>
    </row>
    <row r="3" spans="1:3" ht="18" x14ac:dyDescent="0.2">
      <c r="A3" s="1"/>
      <c r="B3" s="3" t="s">
        <v>51</v>
      </c>
      <c r="C3" s="9"/>
    </row>
    <row r="4" spans="1:3" ht="16" x14ac:dyDescent="0.2">
      <c r="A4" s="9"/>
      <c r="B4" s="9"/>
      <c r="C4" s="16">
        <v>45869</v>
      </c>
    </row>
    <row r="5" spans="1:3" ht="16" x14ac:dyDescent="0.2">
      <c r="A5" s="9"/>
      <c r="B5" s="9" t="s">
        <v>0</v>
      </c>
      <c r="C5" s="9"/>
    </row>
    <row r="6" spans="1:3" ht="16" x14ac:dyDescent="0.2">
      <c r="A6" s="7" t="s">
        <v>9</v>
      </c>
      <c r="B6" s="9"/>
      <c r="C6" s="9"/>
    </row>
    <row r="7" spans="1:3" ht="16" x14ac:dyDescent="0.2">
      <c r="A7" s="9"/>
      <c r="B7" s="9" t="s">
        <v>10</v>
      </c>
      <c r="C7" s="8">
        <v>2723750</v>
      </c>
    </row>
    <row r="8" spans="1:3" ht="16" x14ac:dyDescent="0.2">
      <c r="A8" s="9"/>
      <c r="B8" s="7" t="s">
        <v>32</v>
      </c>
      <c r="C8" s="10">
        <v>2723750</v>
      </c>
    </row>
    <row r="9" spans="1:3" ht="16" x14ac:dyDescent="0.2">
      <c r="A9" s="7" t="s">
        <v>4</v>
      </c>
      <c r="B9" s="9"/>
      <c r="C9" s="9"/>
    </row>
    <row r="10" spans="1:3" ht="16" x14ac:dyDescent="0.2">
      <c r="A10" s="9"/>
      <c r="B10" s="9" t="s">
        <v>11</v>
      </c>
      <c r="C10" s="8">
        <v>10157.5</v>
      </c>
    </row>
    <row r="11" spans="1:3" ht="16" x14ac:dyDescent="0.2">
      <c r="A11" s="9"/>
      <c r="B11" s="9" t="s">
        <v>18</v>
      </c>
      <c r="C11" s="8">
        <v>520000</v>
      </c>
    </row>
    <row r="12" spans="1:3" ht="16" x14ac:dyDescent="0.2">
      <c r="A12" s="9"/>
      <c r="B12" s="9" t="s">
        <v>47</v>
      </c>
      <c r="C12" s="8">
        <v>500000</v>
      </c>
    </row>
    <row r="13" spans="1:3" ht="16" x14ac:dyDescent="0.2">
      <c r="A13" s="9"/>
      <c r="B13" s="7" t="s">
        <v>33</v>
      </c>
      <c r="C13" s="10">
        <v>1030157.5</v>
      </c>
    </row>
    <row r="14" spans="1:3" ht="16" x14ac:dyDescent="0.2">
      <c r="A14" s="9"/>
      <c r="B14" s="9" t="s">
        <v>0</v>
      </c>
      <c r="C14" s="9"/>
    </row>
    <row r="15" spans="1:3" ht="16" x14ac:dyDescent="0.2">
      <c r="A15" s="9"/>
      <c r="B15" s="7" t="s">
        <v>34</v>
      </c>
      <c r="C15" s="10">
        <f>C8-C13</f>
        <v>1693592.5</v>
      </c>
    </row>
    <row r="16" spans="1:3" ht="16" x14ac:dyDescent="0.2">
      <c r="A16" s="9"/>
      <c r="B16" s="9" t="s">
        <v>0</v>
      </c>
      <c r="C16" s="9"/>
    </row>
    <row r="17" spans="1:3" ht="16" x14ac:dyDescent="0.2">
      <c r="A17" s="9"/>
      <c r="B17" s="9" t="s">
        <v>60</v>
      </c>
      <c r="C17" s="9">
        <v>0</v>
      </c>
    </row>
    <row r="18" spans="1:3" ht="16" x14ac:dyDescent="0.2">
      <c r="A18" s="9"/>
      <c r="B18" s="9" t="s">
        <v>0</v>
      </c>
      <c r="C18" s="9"/>
    </row>
    <row r="19" spans="1:3" ht="16" x14ac:dyDescent="0.2">
      <c r="A19" s="9"/>
      <c r="B19" s="7" t="s">
        <v>61</v>
      </c>
      <c r="C19" s="10">
        <v>1693592.5</v>
      </c>
    </row>
    <row r="20" spans="1:3" ht="16" x14ac:dyDescent="0.2">
      <c r="A20" s="9"/>
      <c r="B20" s="9" t="s">
        <v>0</v>
      </c>
      <c r="C2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4D0C-77D3-4593-A1BD-32945070EDAF}">
  <dimension ref="A1:C19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1" width="15.83203125" customWidth="1"/>
    <col min="2" max="2" width="56" bestFit="1" customWidth="1"/>
    <col min="3" max="3" width="19.6640625" customWidth="1"/>
  </cols>
  <sheetData>
    <row r="1" spans="1:3" s="18" customFormat="1" ht="19" x14ac:dyDescent="0.25">
      <c r="A1" s="1"/>
      <c r="B1" s="3" t="s">
        <v>48</v>
      </c>
      <c r="C1" s="1"/>
    </row>
    <row r="2" spans="1:3" s="18" customFormat="1" ht="19" x14ac:dyDescent="0.25">
      <c r="A2" s="1"/>
      <c r="B2" s="3" t="s">
        <v>41</v>
      </c>
      <c r="C2" s="1"/>
    </row>
    <row r="3" spans="1:3" s="18" customFormat="1" ht="19" x14ac:dyDescent="0.25">
      <c r="A3" s="1"/>
      <c r="B3" s="3" t="s">
        <v>52</v>
      </c>
      <c r="C3" s="1"/>
    </row>
    <row r="4" spans="1:3" ht="16" x14ac:dyDescent="0.2">
      <c r="A4" s="9"/>
      <c r="B4" s="9"/>
      <c r="C4" s="16">
        <v>45869</v>
      </c>
    </row>
    <row r="5" spans="1:3" ht="16" x14ac:dyDescent="0.2">
      <c r="A5" s="9"/>
      <c r="B5" s="9" t="s">
        <v>0</v>
      </c>
      <c r="C5" s="9"/>
    </row>
    <row r="6" spans="1:3" ht="16" x14ac:dyDescent="0.2">
      <c r="A6" s="7" t="s">
        <v>9</v>
      </c>
      <c r="B6" s="9"/>
      <c r="C6" s="9"/>
    </row>
    <row r="7" spans="1:3" ht="16" x14ac:dyDescent="0.2">
      <c r="A7" s="9"/>
      <c r="B7" s="9" t="s">
        <v>13</v>
      </c>
      <c r="C7" s="8">
        <v>2699450</v>
      </c>
    </row>
    <row r="8" spans="1:3" ht="16" x14ac:dyDescent="0.2">
      <c r="A8" s="9"/>
      <c r="B8" s="7" t="s">
        <v>32</v>
      </c>
      <c r="C8" s="10">
        <v>2699450</v>
      </c>
    </row>
    <row r="9" spans="1:3" ht="16" x14ac:dyDescent="0.2">
      <c r="A9" s="7" t="s">
        <v>4</v>
      </c>
      <c r="B9" s="9"/>
      <c r="C9" s="9"/>
    </row>
    <row r="10" spans="1:3" ht="16" x14ac:dyDescent="0.2">
      <c r="A10" s="9"/>
      <c r="B10" s="9" t="s">
        <v>11</v>
      </c>
      <c r="C10" s="8">
        <v>9955.49</v>
      </c>
    </row>
    <row r="11" spans="1:3" ht="16" x14ac:dyDescent="0.2">
      <c r="A11" s="9"/>
      <c r="B11" s="9" t="s">
        <v>13</v>
      </c>
      <c r="C11" s="8">
        <v>413250</v>
      </c>
    </row>
    <row r="12" spans="1:3" ht="16" x14ac:dyDescent="0.2">
      <c r="A12" s="9"/>
      <c r="B12" s="7" t="s">
        <v>33</v>
      </c>
      <c r="C12" s="10">
        <v>423205.49</v>
      </c>
    </row>
    <row r="13" spans="1:3" ht="16" x14ac:dyDescent="0.2">
      <c r="A13" s="9"/>
      <c r="B13" s="9" t="s">
        <v>0</v>
      </c>
      <c r="C13" s="9"/>
    </row>
    <row r="14" spans="1:3" ht="16" x14ac:dyDescent="0.2">
      <c r="A14" s="9"/>
      <c r="B14" s="7" t="s">
        <v>34</v>
      </c>
      <c r="C14" s="8">
        <f>C7-C12</f>
        <v>2276244.5099999998</v>
      </c>
    </row>
    <row r="15" spans="1:3" ht="16" x14ac:dyDescent="0.2">
      <c r="A15" s="9"/>
      <c r="B15" s="9" t="s">
        <v>0</v>
      </c>
      <c r="C15" s="9"/>
    </row>
    <row r="16" spans="1:3" ht="16" x14ac:dyDescent="0.2">
      <c r="A16" s="9"/>
      <c r="B16" s="9" t="s">
        <v>60</v>
      </c>
      <c r="C16" s="9">
        <v>0</v>
      </c>
    </row>
    <row r="17" spans="1:3" ht="16" x14ac:dyDescent="0.2">
      <c r="A17" s="9"/>
      <c r="B17" s="9" t="s">
        <v>0</v>
      </c>
      <c r="C17" s="9"/>
    </row>
    <row r="18" spans="1:3" ht="16" x14ac:dyDescent="0.2">
      <c r="A18" s="9"/>
      <c r="B18" s="7" t="s">
        <v>59</v>
      </c>
      <c r="C18" s="10">
        <v>2276244.5099999998</v>
      </c>
    </row>
    <row r="19" spans="1:3" ht="16" x14ac:dyDescent="0.2">
      <c r="A19" s="9"/>
      <c r="B19" s="9" t="s">
        <v>0</v>
      </c>
      <c r="C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 2025</vt:lpstr>
      <vt:lpstr>Apr 2025</vt:lpstr>
      <vt:lpstr>May 2025</vt:lpstr>
      <vt:lpstr>June 2025</vt:lpstr>
      <vt:lpstr>July 2025</vt:lpstr>
      <vt:lpstr>Premium Trust Bank July Report</vt:lpstr>
      <vt:lpstr>Sterling Bank July Report</vt:lpstr>
      <vt:lpstr>Zenith Bank July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Temi Kolawole</cp:lastModifiedBy>
  <cp:lastPrinted>2025-08-02T17:37:22Z</cp:lastPrinted>
  <dcterms:created xsi:type="dcterms:W3CDTF">2025-08-02T17:31:55Z</dcterms:created>
  <dcterms:modified xsi:type="dcterms:W3CDTF">2025-08-20T16:03:03Z</dcterms:modified>
</cp:coreProperties>
</file>