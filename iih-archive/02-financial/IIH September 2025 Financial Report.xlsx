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IH\Downloads\"/>
    </mc:Choice>
  </mc:AlternateContent>
  <bookViews>
    <workbookView xWindow="0" yWindow="0" windowWidth="19200" windowHeight="7900"/>
  </bookViews>
  <sheets>
    <sheet name="September Summary" sheetId="1" r:id="rId1"/>
    <sheet name="Breakdown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C13" i="1"/>
  <c r="D11" i="1"/>
  <c r="E11" i="1"/>
  <c r="C11" i="1"/>
  <c r="D29" i="1"/>
  <c r="E29" i="1"/>
  <c r="C29" i="1"/>
  <c r="J129" i="2" l="1"/>
  <c r="J107" i="2"/>
  <c r="J89" i="2"/>
  <c r="J45" i="2"/>
  <c r="J33" i="2"/>
  <c r="J65" i="2"/>
  <c r="E118" i="2"/>
  <c r="E40" i="2"/>
  <c r="J85" i="2"/>
  <c r="E85" i="2"/>
  <c r="E59" i="2"/>
  <c r="E35" i="2"/>
  <c r="E101" i="2"/>
  <c r="D146" i="2"/>
  <c r="N155" i="2"/>
  <c r="E129" i="2"/>
  <c r="E17" i="2"/>
  <c r="J123" i="2" l="1"/>
  <c r="E107" i="2" l="1"/>
  <c r="E66" i="2"/>
  <c r="E22" i="2"/>
  <c r="E12" i="2"/>
  <c r="E6" i="2"/>
  <c r="E125" i="2" l="1"/>
</calcChain>
</file>

<file path=xl/sharedStrings.xml><?xml version="1.0" encoding="utf-8"?>
<sst xmlns="http://schemas.openxmlformats.org/spreadsheetml/2006/main" count="194" uniqueCount="165">
  <si>
    <t> </t>
  </si>
  <si>
    <t>IHS</t>
  </si>
  <si>
    <t>Caution Fee</t>
  </si>
  <si>
    <t>Facility Rental</t>
  </si>
  <si>
    <t>Miscellaneuos Income</t>
  </si>
  <si>
    <t>Income</t>
  </si>
  <si>
    <t>Facility Rentals</t>
  </si>
  <si>
    <t>Guest Entertainment and Refreshments</t>
  </si>
  <si>
    <t>Expenses</t>
  </si>
  <si>
    <t>Bank charges</t>
  </si>
  <si>
    <t>Cleaning Service</t>
  </si>
  <si>
    <t>Facility Maintenance and Repairs</t>
  </si>
  <si>
    <t>Local Travel</t>
  </si>
  <si>
    <t>Miscellaneous Expenses - 2% of Operating Expenses</t>
  </si>
  <si>
    <t>Salaries and Wages</t>
  </si>
  <si>
    <t>Security</t>
  </si>
  <si>
    <t>Merchandise and Staff T Shirts</t>
  </si>
  <si>
    <t>Stationery and Office Supplies</t>
  </si>
  <si>
    <t>Landscaping</t>
  </si>
  <si>
    <t>Staff Email + Collaboration Tools (Zoho One)</t>
  </si>
  <si>
    <t>Description</t>
  </si>
  <si>
    <t>Category</t>
  </si>
  <si>
    <t>Amount</t>
  </si>
  <si>
    <t>PAYMENT FOR ZOHO CAMPAIGNS 5000CONTACTS ANNUAL</t>
  </si>
  <si>
    <t>Cleaning</t>
  </si>
  <si>
    <t>Website Hosting, Cloud Servers &amp; Services</t>
  </si>
  <si>
    <t>Guest Entertainment &amp; Refreshments</t>
  </si>
  <si>
    <t>Travel &amp; Conferences</t>
  </si>
  <si>
    <t>International Travel Flights</t>
  </si>
  <si>
    <t>Salaries &amp; Wages</t>
  </si>
  <si>
    <t>SECURITY DEPOSIT REFUND SUI BLOCKCHAIN</t>
  </si>
  <si>
    <t>Facility Maintenance &amp; Repairs</t>
  </si>
  <si>
    <t>International Conference Registration</t>
  </si>
  <si>
    <t>BNG PYT FOR Ai4 2025 START UP PASS APPLICATION</t>
  </si>
  <si>
    <t>BNG PYT FOR BOOKING ID 2508030403119</t>
  </si>
  <si>
    <t>PAYMENT FOR NSITF JULY CONTRIB</t>
  </si>
  <si>
    <t>International Travel Accomodation</t>
  </si>
  <si>
    <t>Miscellaneous Expenses - % of Operating Exp.</t>
  </si>
  <si>
    <t>Stationery &amp; Office Supplies</t>
  </si>
  <si>
    <t>Corporate Comms &amp; PR</t>
  </si>
  <si>
    <t>Merchandise &amp; Staff T-Shirts</t>
  </si>
  <si>
    <t>Bank Charges</t>
  </si>
  <si>
    <t>Salary</t>
  </si>
  <si>
    <t>Allowance</t>
  </si>
  <si>
    <t>Staff Email &amp; Collaboration Tools</t>
  </si>
  <si>
    <t>Facility Rentals Refund</t>
  </si>
  <si>
    <t>Income Facility</t>
  </si>
  <si>
    <t>Sterling Bank</t>
  </si>
  <si>
    <t>Premium Trust Bank</t>
  </si>
  <si>
    <t>Zenith Bank</t>
  </si>
  <si>
    <t>ACCOUNT MAINTENANCE FEE</t>
  </si>
  <si>
    <t>Total — Income (A) Premium + Zenith+ Sterling</t>
  </si>
  <si>
    <t>Sub Total</t>
  </si>
  <si>
    <t>Total — Expenses (B)  Premium + Zenith+ Sterling</t>
  </si>
  <si>
    <t>EXPENSES</t>
  </si>
  <si>
    <t>INCOME</t>
  </si>
  <si>
    <t>IIH September Financial 2025 Report</t>
  </si>
  <si>
    <t>For the period from 01/09/2025 to 30/09/2025</t>
  </si>
  <si>
    <t>PURCHASEOFPLASTICCHAIRS</t>
  </si>
  <si>
    <t>PAYMENTFORWASTE DISPOSAL FORAUGUST</t>
  </si>
  <si>
    <t>PAYMENTFORFLIGHT TICKET MD GITEX RETURN LOS ILV</t>
  </si>
  <si>
    <t>Payment Date</t>
  </si>
  <si>
    <t>PAYMENT FOR AUGUST 2025 SECURITY SERVICE</t>
  </si>
  <si>
    <t>PAYMENTTO HIRE AND TRANSPORT 20KVA DIESEL GENERATOR FOR 12 DAYS</t>
  </si>
  <si>
    <t>PAYMENTFOR AUGUST 2025 STAFF PENSION</t>
  </si>
  <si>
    <t>PAYMENTFOR JULY 2025 STAFF PENSION</t>
  </si>
  <si>
    <t>PAYMENTFOR JUNE 2025 STAFF PENSION</t>
  </si>
  <si>
    <t>PAYMENTFOR MAY 2025 STAFF PENSION</t>
  </si>
  <si>
    <t>PAYMENTFOR AUGUST 2025 LANDSCAPING SERVICE</t>
  </si>
  <si>
    <t>PAYMENT FOR MD STAY 3NIGHTSGITEX</t>
  </si>
  <si>
    <t>PAYMENTFOR MARCH 2025 STAFF PENSION</t>
  </si>
  <si>
    <t>PAYMENTFOR APRIL 2025 STAFF PENSION</t>
  </si>
  <si>
    <t>ISREAL ABIODUN B/O HIRE 
A FORKLIFT TO OFFLOAD 3 TONS OF UNDP GOODS</t>
  </si>
  <si>
    <t>PAYMENT FORDIESEL PURCHASE 251L ELEVATOR</t>
  </si>
  <si>
    <t>PAYMENT FOR BREAKFASTREFRESHMENTSTACOMM</t>
  </si>
  <si>
    <t>REIMBURSEMENT FOR STAFFBIRTHDAYCAKECARDS</t>
  </si>
  <si>
    <t>BNG PYT FOR AUGUST 2025 JANITORIAL SERVICES</t>
  </si>
  <si>
    <t>OFFICESUPPLIESFOR AUGUST</t>
  </si>
  <si>
    <t>REMITTAPAYMENT FOR STAFF NATIONAL HOUSING FUND</t>
  </si>
  <si>
    <t>PAYMENTFORTACOMM EVENT LUNCH</t>
  </si>
  <si>
    <t>REIMBURSEMENT FOR MD LOGISTICS GITEX</t>
  </si>
  <si>
    <t>REIMBURSEMENT FOR HOSPOTALITYLOGISTICS IHSGUESTS</t>
  </si>
  <si>
    <t>PAYMENT FORLAGOS LOGISTICS IIH STAFF ZOHO TRIP</t>
  </si>
  <si>
    <t>Local Conference Accomodation</t>
  </si>
  <si>
    <t>PAYMENT COR ACCOMODATION FOR IIH STAFF ZOHO LAGOS TRIP</t>
  </si>
  <si>
    <t>PAYMENT FOR BUSINESS CARDS IIH STAFF</t>
  </si>
  <si>
    <t>PAYMENT FOR ACCOMODATIONBALANCE FOR IIHSTAFF ZOHO LAGOS TRIP</t>
  </si>
  <si>
    <t>PAYMENTTO HIRE A FORKLIFT</t>
  </si>
  <si>
    <t>REIMBURSEMENT FOR FLIGHTTICKETABVLOSUSEMBVISIT</t>
  </si>
  <si>
    <t>PAYMENT FOR FLIGHT TICKETABVILVMDUSEMBASSYVISIT</t>
  </si>
  <si>
    <t>BNGPYTTOHIREA VEHICLE</t>
  </si>
  <si>
    <t>Local travel transportation</t>
  </si>
  <si>
    <t>BNG PYT FOR REPAIR OF DAMAGED SCREEN</t>
  </si>
  <si>
    <t>BNG COST OF REMITA (STAFF AUGUST 2025 NSITF )</t>
  </si>
  <si>
    <t>PAYMENT CAP FOR DRINKSSUIEVENT</t>
  </si>
  <si>
    <t>REIMBURSEMENT FOR MAUREEN LAGOS LOGISTICS ZOHOUNDP</t>
  </si>
  <si>
    <t>REIMBURSEMENT FOR STAFF LOGISTICS SINACHI LAGOS ZOHO TRIP</t>
  </si>
  <si>
    <t>REIMBURSEMENT FOR REFRESHMENTSTACOMM</t>
  </si>
  <si>
    <t>REIMBURSEMENT TA COMM REFRESHMENT</t>
  </si>
  <si>
    <t>REIMBURSEMENT FOR FUEL MD</t>
  </si>
  <si>
    <t>REIMBURSEMENT FOR STARLINKAUGSEPTMD</t>
  </si>
  <si>
    <t>PURCHASE OF IT EQUIPMENT HDMl PRINTER CABLES</t>
  </si>
  <si>
    <t>PAYMENT FOR PURCHASE OF EXTENSION BOXES</t>
  </si>
  <si>
    <t>PAYMENT GOR STARLINK SEPT OCT</t>
  </si>
  <si>
    <t>PURCHASE OF NEXUS SHOWCASE FREZEER</t>
  </si>
  <si>
    <t>PAYMENTFORDRINKS WATERDEVBOX</t>
  </si>
  <si>
    <t>REIMBURSEMENT OF CAUTIONFEESOLOEXHIBITION</t>
  </si>
  <si>
    <t>BNG PYT FOR PURCHASE OF 20UNITS OF 200WSOLAR STREET LIGHT</t>
  </si>
  <si>
    <t>BNG PYT FOR PURCHSE OF 30 UNITS OF CHAIRS</t>
  </si>
  <si>
    <t>PAYMENT FOR REPLACEMENT OF DOOR CYLINDERS</t>
  </si>
  <si>
    <t>REIMBURSEMENT FOR FRIDGEBALANC</t>
  </si>
  <si>
    <t>PAYMENT FOR MD HOTEL 2 NIGHTS IHS IMPACT REPORT TRIP</t>
  </si>
  <si>
    <t>BNG PYT FOR SEPT 2025 JANITORIAL SERVICE</t>
  </si>
  <si>
    <t>BNG PYT FOR SEPT 2025 SECURITY SERVICE</t>
  </si>
  <si>
    <t>BNG PYT FOR REPAIR OF LED SCREEN</t>
  </si>
  <si>
    <t>VAT ON TRANSACTION CHARGES</t>
  </si>
  <si>
    <t>016AMFC25273003M ACCOUNT MAINTENANCE FEE</t>
  </si>
  <si>
    <t>Date</t>
  </si>
  <si>
    <t>STAFF LOAN TO HENRY MGBECHI CHUKWUEBUKA</t>
  </si>
  <si>
    <t>TUNMISEJOHNSONHOUSEHOLDFO UNDA</t>
  </si>
  <si>
    <t>COCREATION HUB LIMITED/ER 06072 IHS Towers IIH payment for Beef Rice and bottle water</t>
  </si>
  <si>
    <t>HADIJAT ZUMAH SULYMAN/STLB /per diem payment</t>
  </si>
  <si>
    <t>TEMILOLUWA OLUWALEKE 
KOLAWOLE/STBC /per diem payment</t>
  </si>
  <si>
    <t>/MUHAMMED NASIRU MAHMOOD/GTB /per diem payment</t>
  </si>
  <si>
    <t>/OKEY MAUREEN DANIEL/GTB /per diem payment</t>
  </si>
  <si>
    <t>OLALEYE KAYODE/ABN/per diem payment</t>
  </si>
  <si>
    <t>JAMIU ADEBOLA OLADIPO/SCB /per diem payment</t>
  </si>
  <si>
    <t>TEMILOLUWA OLUWALEKE KOLAWOLE/STBC /per diem payment</t>
  </si>
  <si>
    <t>//KAMIL LANRE AHMED/SKYE /per diem payment</t>
  </si>
  <si>
    <t>MUHAMMED NASIRU MAHMOOD/GTB /per diem payment</t>
  </si>
  <si>
    <t>/JAMIU ADEBOLA OLADIPO/SCB /per diem payment</t>
  </si>
  <si>
    <t>ONUCHUKWU SINACHI GOODNESS/GTB /per diem payment</t>
  </si>
  <si>
    <t>/OLALEYE KAYODE/ABN /per diem payment</t>
  </si>
  <si>
    <t>/ADENIRAN KAZEEM/FBN /IIH SECURITY SERVICE</t>
  </si>
  <si>
    <t xml:space="preserve"> DIGITAL SKILLS FOR ALL INITIATIVE/WBP /pyt for security deposit refund</t>
  </si>
  <si>
    <t>/refreshment for sui blockchain and solo photo</t>
  </si>
  <si>
    <t>Innovation &amp; Program Support</t>
  </si>
  <si>
    <t>Training  &amp; Mentorship</t>
  </si>
  <si>
    <t>/DIGIEQ AFRICA LTD</t>
  </si>
  <si>
    <t>DIGIEQ AFRICA LTD/STLB /deduction refund ai literacy camp</t>
  </si>
  <si>
    <t>//SAMUEL SOLOMON ILEMONA/</t>
  </si>
  <si>
    <t>//MOAJ MEDIA CONSULT/</t>
  </si>
  <si>
    <t>/JIMOH SULEIMAN OLAWALE</t>
  </si>
  <si>
    <t>/OLALUWOYE JUMOKE OLUFUNKE</t>
  </si>
  <si>
    <t>//WAKANOWCOM LIMITED/GTB /PYT FOR BOOKING ID 2509300401464</t>
  </si>
  <si>
    <t>Refreshments for 2 days</t>
  </si>
  <si>
    <t>Payment for hall</t>
  </si>
  <si>
    <t>Strategy session IIHFRM ABDULRAH</t>
  </si>
  <si>
    <t>Complete payment for hal</t>
  </si>
  <si>
    <t>prefreshment small chops water and drinks</t>
  </si>
  <si>
    <t>/MINISTRY OF BUSINESS INNOVATION AND TECH</t>
  </si>
  <si>
    <t>/CITN INVESTITURE PROG</t>
  </si>
  <si>
    <t>8 IHS Towers Mix and mingle event</t>
  </si>
  <si>
    <t>AYINLA OLAMILEKAN ADIGUN</t>
  </si>
  <si>
    <t>Payment Of 400-capa</t>
  </si>
  <si>
    <t>ALABI TAOFIQ TAIWO</t>
  </si>
  <si>
    <t>MOAJ MEDIA CONSULT REMARK</t>
  </si>
  <si>
    <t>Payment of 200k for Corkage fee</t>
  </si>
  <si>
    <t>All cash withdrawn and deposited in Zenith Bank</t>
  </si>
  <si>
    <t>SEPTEMBER 2025 STAFF SALARY</t>
  </si>
  <si>
    <t>SEPTEMBER 2025 STAFF ALLOWANCE</t>
  </si>
  <si>
    <t>JIMOH SULEIMAN OLAWALE/FCMB /trf</t>
  </si>
  <si>
    <t>Training and Program Support</t>
  </si>
  <si>
    <t>ABDULRAHMAN YUSUF (Deposit from Sterling Bank)</t>
  </si>
  <si>
    <t>Deposit from Sterling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</si>
</sst>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164" fontId="2" fillId="0" borderId="0" xfId="0" applyNumberFormat="1" applyFont="1"/>
    <xf numFmtId="43" fontId="2" fillId="0" borderId="0" xfId="1" applyFont="1"/>
    <xf numFmtId="0" fontId="2" fillId="0" borderId="0" xfId="0" applyFont="1" applyAlignment="1">
      <alignment horizontal="right"/>
    </xf>
    <xf numFmtId="4" fontId="3" fillId="0" borderId="0" xfId="0" applyNumberFormat="1" applyFont="1" applyAlignment="1"/>
    <xf numFmtId="43" fontId="3" fillId="0" borderId="0" xfId="0" applyNumberFormat="1" applyFont="1"/>
    <xf numFmtId="2" fontId="2" fillId="0" borderId="0" xfId="0" applyNumberFormat="1" applyFont="1"/>
    <xf numFmtId="0" fontId="4" fillId="0" borderId="0" xfId="0" applyFont="1"/>
    <xf numFmtId="3" fontId="2" fillId="0" borderId="0" xfId="0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indent="1"/>
    </xf>
    <xf numFmtId="43" fontId="2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/>
    <xf numFmtId="0" fontId="2" fillId="0" borderId="1" xfId="0" applyFont="1" applyBorder="1" applyAlignment="1">
      <alignment horizontal="left" wrapText="1" indent="1"/>
    </xf>
    <xf numFmtId="0" fontId="2" fillId="0" borderId="0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3" fontId="2" fillId="0" borderId="0" xfId="1" applyFont="1" applyFill="1" applyBorder="1" applyAlignment="1">
      <alignment horizontal="left" vertical="top"/>
    </xf>
    <xf numFmtId="0" fontId="2" fillId="0" borderId="1" xfId="0" applyFont="1" applyBorder="1" applyAlignment="1"/>
    <xf numFmtId="3" fontId="3" fillId="0" borderId="0" xfId="0" applyNumberFormat="1" applyFont="1"/>
    <xf numFmtId="14" fontId="0" fillId="0" borderId="0" xfId="0" applyNumberFormat="1"/>
    <xf numFmtId="4" fontId="0" fillId="0" borderId="0" xfId="0" applyNumberFormat="1"/>
    <xf numFmtId="14" fontId="2" fillId="0" borderId="0" xfId="1" applyNumberFormat="1" applyFont="1"/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3" fontId="3" fillId="0" borderId="0" xfId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topLeftCell="A10" workbookViewId="0">
      <selection activeCell="C23" sqref="C23"/>
    </sheetView>
  </sheetViews>
  <sheetFormatPr defaultColWidth="9.1796875" defaultRowHeight="15.5" x14ac:dyDescent="0.35"/>
  <cols>
    <col min="1" max="1" width="12.1796875" style="1" bestFit="1" customWidth="1"/>
    <col min="2" max="2" width="74.7265625" style="1" bestFit="1" customWidth="1"/>
    <col min="3" max="3" width="25.54296875" style="1" bestFit="1" customWidth="1"/>
    <col min="4" max="4" width="14.7265625" style="1" bestFit="1" customWidth="1"/>
    <col min="5" max="5" width="16.26953125" style="1" bestFit="1" customWidth="1"/>
    <col min="6" max="6" width="22.453125" style="1" hidden="1" customWidth="1"/>
    <col min="7" max="7" width="15.7265625" style="1" hidden="1" customWidth="1"/>
    <col min="8" max="8" width="14" style="1" hidden="1" customWidth="1"/>
    <col min="9" max="9" width="13.81640625" style="1" hidden="1" customWidth="1"/>
    <col min="10" max="10" width="13.54296875" style="1" hidden="1" customWidth="1"/>
    <col min="11" max="11" width="21" style="1" hidden="1" customWidth="1"/>
    <col min="12" max="12" width="12.1796875" style="1" hidden="1" customWidth="1"/>
    <col min="13" max="13" width="13.81640625" style="1" hidden="1" customWidth="1"/>
    <col min="14" max="14" width="12.1796875" style="1" hidden="1" customWidth="1"/>
    <col min="15" max="15" width="13.81640625" style="1" hidden="1" customWidth="1"/>
    <col min="16" max="16" width="12.1796875" style="1" hidden="1" customWidth="1"/>
    <col min="17" max="17" width="11.1796875" style="1" hidden="1" customWidth="1"/>
    <col min="18" max="19" width="13.81640625" style="1" hidden="1" customWidth="1"/>
    <col min="20" max="33" width="12.1796875" style="1" hidden="1" customWidth="1"/>
    <col min="34" max="37" width="11.1796875" style="1" hidden="1" customWidth="1"/>
    <col min="38" max="41" width="0" style="1" hidden="1" customWidth="1"/>
    <col min="42" max="44" width="11.1796875" style="1" hidden="1" customWidth="1"/>
    <col min="45" max="45" width="15.81640625" style="1" bestFit="1" customWidth="1"/>
    <col min="46" max="46" width="12.54296875" style="1" bestFit="1" customWidth="1"/>
    <col min="47" max="47" width="11" style="1" bestFit="1" customWidth="1"/>
    <col min="48" max="16384" width="9.1796875" style="1"/>
  </cols>
  <sheetData>
    <row r="1" spans="1:46" x14ac:dyDescent="0.35">
      <c r="A1" s="33" t="s">
        <v>56</v>
      </c>
      <c r="B1" s="33"/>
      <c r="C1" s="33"/>
    </row>
    <row r="2" spans="1:46" x14ac:dyDescent="0.35">
      <c r="A2" s="33" t="s">
        <v>57</v>
      </c>
      <c r="B2" s="33"/>
      <c r="C2" s="33"/>
      <c r="D2" s="2"/>
    </row>
    <row r="3" spans="1:46" x14ac:dyDescent="0.35">
      <c r="A3" s="3"/>
      <c r="B3" s="3"/>
      <c r="C3" s="4"/>
    </row>
    <row r="4" spans="1:46" x14ac:dyDescent="0.35">
      <c r="A4" s="3" t="s">
        <v>0</v>
      </c>
      <c r="B4" s="3"/>
      <c r="D4" s="5"/>
      <c r="H4" s="1" t="s">
        <v>1</v>
      </c>
      <c r="I4" s="1" t="s">
        <v>2</v>
      </c>
      <c r="J4" s="1" t="s">
        <v>3</v>
      </c>
      <c r="K4" s="1" t="s">
        <v>4</v>
      </c>
    </row>
    <row r="5" spans="1:46" x14ac:dyDescent="0.35">
      <c r="A5" s="3" t="s">
        <v>5</v>
      </c>
      <c r="B5" s="3"/>
      <c r="C5" s="6" t="s">
        <v>48</v>
      </c>
      <c r="D5" s="6" t="s">
        <v>49</v>
      </c>
      <c r="E5" s="3" t="s">
        <v>47</v>
      </c>
    </row>
    <row r="6" spans="1:46" x14ac:dyDescent="0.35">
      <c r="H6" s="1">
        <v>6935800</v>
      </c>
      <c r="J6" s="1">
        <v>420000</v>
      </c>
    </row>
    <row r="7" spans="1:46" x14ac:dyDescent="0.35">
      <c r="B7" s="1" t="s">
        <v>6</v>
      </c>
      <c r="C7" s="5">
        <v>100000</v>
      </c>
      <c r="D7" s="5">
        <v>300000</v>
      </c>
      <c r="E7" s="8"/>
    </row>
    <row r="8" spans="1:46" x14ac:dyDescent="0.35">
      <c r="B8" s="1" t="s">
        <v>7</v>
      </c>
      <c r="C8" s="5"/>
      <c r="D8" s="6">
        <v>3801962.5</v>
      </c>
    </row>
    <row r="9" spans="1:46" x14ac:dyDescent="0.35">
      <c r="B9" s="1" t="s">
        <v>164</v>
      </c>
      <c r="C9" s="5"/>
      <c r="D9" s="27">
        <v>3422590</v>
      </c>
    </row>
    <row r="10" spans="1:46" x14ac:dyDescent="0.35">
      <c r="B10" s="1" t="s">
        <v>162</v>
      </c>
      <c r="C10" s="5"/>
      <c r="D10" s="27">
        <v>20220000</v>
      </c>
    </row>
    <row r="11" spans="1:46" x14ac:dyDescent="0.35">
      <c r="B11" s="34" t="s">
        <v>52</v>
      </c>
      <c r="C11" s="6">
        <f>SUM(C7:C10)</f>
        <v>100000</v>
      </c>
      <c r="D11" s="6">
        <f t="shared" ref="D11:E11" si="0">SUM(D7:D10)</f>
        <v>27744552.5</v>
      </c>
      <c r="E11" s="6">
        <f t="shared" si="0"/>
        <v>0</v>
      </c>
    </row>
    <row r="12" spans="1:46" x14ac:dyDescent="0.35">
      <c r="B12" s="9"/>
      <c r="C12" s="5"/>
      <c r="D12" s="5"/>
      <c r="E12" s="8"/>
    </row>
    <row r="13" spans="1:46" x14ac:dyDescent="0.35">
      <c r="B13" s="3" t="s">
        <v>51</v>
      </c>
      <c r="C13" s="10">
        <f>C11+D11+E11</f>
        <v>27844552.5</v>
      </c>
      <c r="D13" s="10"/>
      <c r="E13" s="10"/>
    </row>
    <row r="14" spans="1:46" x14ac:dyDescent="0.35">
      <c r="B14" s="3"/>
      <c r="C14" s="6"/>
    </row>
    <row r="15" spans="1:46" x14ac:dyDescent="0.35">
      <c r="B15" s="3"/>
      <c r="C15" s="6" t="s">
        <v>48</v>
      </c>
      <c r="D15" s="3" t="s">
        <v>49</v>
      </c>
      <c r="E15" s="3" t="s">
        <v>47</v>
      </c>
    </row>
    <row r="16" spans="1:46" x14ac:dyDescent="0.35">
      <c r="A16" s="3" t="s">
        <v>8</v>
      </c>
      <c r="B16" s="3"/>
      <c r="C16" s="6"/>
      <c r="AT16" s="14"/>
    </row>
    <row r="17" spans="1:47" x14ac:dyDescent="0.35">
      <c r="B17" s="1" t="s">
        <v>9</v>
      </c>
      <c r="C17" s="5">
        <v>45410.55</v>
      </c>
      <c r="D17" s="23">
        <v>24883.23</v>
      </c>
      <c r="AU17" s="5"/>
    </row>
    <row r="18" spans="1:47" x14ac:dyDescent="0.35">
      <c r="B18" s="1" t="s">
        <v>10</v>
      </c>
      <c r="C18" s="5">
        <v>1340000</v>
      </c>
    </row>
    <row r="19" spans="1:47" x14ac:dyDescent="0.35">
      <c r="B19" s="1" t="s">
        <v>11</v>
      </c>
      <c r="C19" s="5">
        <v>3507610</v>
      </c>
      <c r="D19" s="5"/>
      <c r="AS19" s="5"/>
      <c r="AT19" s="5"/>
    </row>
    <row r="20" spans="1:47" x14ac:dyDescent="0.35">
      <c r="B20" s="1" t="s">
        <v>7</v>
      </c>
      <c r="C20" s="5">
        <v>444700</v>
      </c>
      <c r="D20" s="5">
        <v>873500</v>
      </c>
      <c r="AS20" s="5"/>
      <c r="AT20" s="5"/>
      <c r="AU20" s="5"/>
    </row>
    <row r="21" spans="1:47" x14ac:dyDescent="0.35">
      <c r="A21" s="1" t="s">
        <v>0</v>
      </c>
      <c r="B21" s="13" t="s">
        <v>27</v>
      </c>
      <c r="C21" s="5">
        <v>2446600</v>
      </c>
      <c r="D21" s="5"/>
      <c r="AS21" s="5"/>
    </row>
    <row r="22" spans="1:47" x14ac:dyDescent="0.35">
      <c r="B22" s="1" t="s">
        <v>13</v>
      </c>
      <c r="C22" s="5">
        <v>234000</v>
      </c>
      <c r="D22" s="14">
        <v>500000</v>
      </c>
      <c r="AS22" s="5"/>
      <c r="AT22" s="5"/>
    </row>
    <row r="23" spans="1:47" x14ac:dyDescent="0.35">
      <c r="A23" s="1" t="s">
        <v>0</v>
      </c>
      <c r="B23" s="1" t="s">
        <v>14</v>
      </c>
      <c r="C23" s="5">
        <v>22138891.07</v>
      </c>
      <c r="D23" s="5">
        <v>1210000</v>
      </c>
      <c r="AS23" s="5"/>
    </row>
    <row r="24" spans="1:47" x14ac:dyDescent="0.35">
      <c r="B24" s="5" t="s">
        <v>16</v>
      </c>
      <c r="C24" s="5">
        <v>102260.75</v>
      </c>
      <c r="D24" s="5"/>
      <c r="AS24" s="5"/>
    </row>
    <row r="25" spans="1:47" x14ac:dyDescent="0.35">
      <c r="B25" s="1" t="s">
        <v>17</v>
      </c>
      <c r="C25" s="5">
        <v>3575500</v>
      </c>
      <c r="D25" s="5"/>
      <c r="AS25" s="5"/>
    </row>
    <row r="26" spans="1:47" x14ac:dyDescent="0.35">
      <c r="B26" s="1" t="s">
        <v>44</v>
      </c>
      <c r="C26" s="5">
        <v>119032.72</v>
      </c>
      <c r="D26" s="5"/>
      <c r="AS26" s="5"/>
    </row>
    <row r="27" spans="1:47" x14ac:dyDescent="0.35">
      <c r="B27" s="24" t="s">
        <v>45</v>
      </c>
      <c r="C27" s="5">
        <v>100000</v>
      </c>
      <c r="D27" s="5">
        <v>300000</v>
      </c>
      <c r="AS27" s="5"/>
    </row>
    <row r="28" spans="1:47" x14ac:dyDescent="0.35">
      <c r="B28" s="1" t="s">
        <v>18</v>
      </c>
      <c r="C28" s="5"/>
      <c r="D28" s="5"/>
      <c r="AT28" s="5"/>
    </row>
    <row r="29" spans="1:47" x14ac:dyDescent="0.35">
      <c r="B29" s="34" t="s">
        <v>52</v>
      </c>
      <c r="C29" s="6">
        <f>SUM(C17:C28)</f>
        <v>34054005.090000004</v>
      </c>
      <c r="D29" s="6">
        <f t="shared" ref="D29:E29" si="1">SUM(D17:D28)</f>
        <v>2908383.23</v>
      </c>
      <c r="E29" s="6">
        <f t="shared" si="1"/>
        <v>0</v>
      </c>
    </row>
    <row r="31" spans="1:47" x14ac:dyDescent="0.35">
      <c r="B31" s="3" t="s">
        <v>53</v>
      </c>
      <c r="C31" s="6">
        <f>C29+D29+E29</f>
        <v>36962388.32</v>
      </c>
      <c r="D31" s="5"/>
    </row>
    <row r="32" spans="1:47" x14ac:dyDescent="0.35">
      <c r="D32" s="5"/>
    </row>
    <row r="33" spans="3:67" x14ac:dyDescent="0.35">
      <c r="C33" s="8"/>
    </row>
    <row r="34" spans="3:67" x14ac:dyDescent="0.35">
      <c r="C34" s="8"/>
    </row>
    <row r="35" spans="3:67" x14ac:dyDescent="0.35">
      <c r="C35" s="8"/>
    </row>
    <row r="36" spans="3:67" x14ac:dyDescent="0.35">
      <c r="C36" s="5"/>
      <c r="D36" s="5"/>
    </row>
    <row r="37" spans="3:67" x14ac:dyDescent="0.35">
      <c r="C37" s="5"/>
      <c r="D37" s="5"/>
    </row>
    <row r="38" spans="3:67" x14ac:dyDescent="0.35">
      <c r="E38" s="7"/>
      <c r="AS38" s="7"/>
    </row>
    <row r="40" spans="3:67" x14ac:dyDescent="0.35">
      <c r="C40" s="5"/>
    </row>
    <row r="41" spans="3:67" x14ac:dyDescent="0.35">
      <c r="C41" s="5"/>
      <c r="D41" s="5"/>
    </row>
    <row r="42" spans="3:67" x14ac:dyDescent="0.35">
      <c r="C42" s="17"/>
    </row>
    <row r="44" spans="3:67" hidden="1" x14ac:dyDescent="0.35"/>
    <row r="45" spans="3:67" hidden="1" x14ac:dyDescent="0.3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3:67" hidden="1" x14ac:dyDescent="0.3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3:67" hidden="1" x14ac:dyDescent="0.3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spans="3:67" hidden="1" x14ac:dyDescent="0.3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spans="3:67" hidden="1" x14ac:dyDescent="0.3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3:67" hidden="1" x14ac:dyDescent="0.3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3:67" hidden="1" x14ac:dyDescent="0.3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3:67" hidden="1" x14ac:dyDescent="0.3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3:67" hidden="1" x14ac:dyDescent="0.3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4" spans="3:67" hidden="1" x14ac:dyDescent="0.3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</row>
    <row r="55" spans="3:67" hidden="1" x14ac:dyDescent="0.3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</row>
    <row r="56" spans="3:67" hidden="1" x14ac:dyDescent="0.3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</row>
    <row r="57" spans="3:67" hidden="1" x14ac:dyDescent="0.35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 spans="3:67" hidden="1" x14ac:dyDescent="0.35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</row>
    <row r="59" spans="3:67" hidden="1" x14ac:dyDescent="0.3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3:67" hidden="1" x14ac:dyDescent="0.35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3:67" hidden="1" x14ac:dyDescent="0.3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3:67" hidden="1" x14ac:dyDescent="0.35">
      <c r="AS62" s="7"/>
    </row>
    <row r="65" spans="2:3" x14ac:dyDescent="0.35">
      <c r="B65" s="3"/>
      <c r="C65" s="1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0" zoomScaleNormal="70" workbookViewId="0">
      <pane xSplit="1" ySplit="4" topLeftCell="I132" activePane="bottomRight" state="frozen"/>
      <selection pane="topRight" activeCell="B1" sqref="B1"/>
      <selection pane="bottomLeft" activeCell="A5" sqref="A5"/>
      <selection pane="bottomRight" activeCell="M150" sqref="M150"/>
    </sheetView>
  </sheetViews>
  <sheetFormatPr defaultColWidth="8.7265625" defaultRowHeight="15.5" x14ac:dyDescent="0.35"/>
  <cols>
    <col min="1" max="1" width="47" style="1" customWidth="1"/>
    <col min="2" max="2" width="79.54296875" style="12" bestFit="1" customWidth="1"/>
    <col min="3" max="3" width="14.54296875" style="12" bestFit="1" customWidth="1"/>
    <col min="4" max="4" width="26.453125" style="1" customWidth="1"/>
    <col min="5" max="5" width="16.54296875" style="3" customWidth="1"/>
    <col min="6" max="6" width="41" style="1" bestFit="1" customWidth="1"/>
    <col min="7" max="7" width="51.54296875" style="1" bestFit="1" customWidth="1"/>
    <col min="8" max="8" width="97" style="1" customWidth="1"/>
    <col min="9" max="9" width="14.7265625" style="1" bestFit="1" customWidth="1"/>
    <col min="10" max="10" width="17.7265625" style="3" customWidth="1"/>
    <col min="11" max="11" width="42.54296875" style="1" customWidth="1"/>
    <col min="12" max="12" width="48.453125" style="1" customWidth="1"/>
    <col min="13" max="13" width="17" style="1" customWidth="1"/>
    <col min="14" max="14" width="19.26953125" style="3" customWidth="1"/>
    <col min="15" max="16384" width="8.7265625" style="1"/>
  </cols>
  <sheetData>
    <row r="1" spans="1:9" x14ac:dyDescent="0.35">
      <c r="A1" s="33" t="s">
        <v>54</v>
      </c>
      <c r="B1" s="33"/>
      <c r="C1" s="33"/>
      <c r="D1" s="33"/>
      <c r="E1" s="33"/>
      <c r="F1" s="33"/>
      <c r="G1" s="33"/>
      <c r="H1" s="18"/>
    </row>
    <row r="2" spans="1:9" x14ac:dyDescent="0.35">
      <c r="A2" s="3"/>
      <c r="B2" s="19"/>
      <c r="C2" s="19"/>
      <c r="D2" s="3" t="s">
        <v>48</v>
      </c>
      <c r="F2" s="3" t="s">
        <v>47</v>
      </c>
      <c r="G2" s="3" t="s">
        <v>49</v>
      </c>
      <c r="H2" s="3"/>
    </row>
    <row r="3" spans="1:9" x14ac:dyDescent="0.35">
      <c r="A3" s="3" t="s">
        <v>21</v>
      </c>
      <c r="B3" s="19" t="s">
        <v>20</v>
      </c>
      <c r="C3" s="19" t="s">
        <v>61</v>
      </c>
      <c r="D3" s="3" t="s">
        <v>22</v>
      </c>
      <c r="F3" s="3"/>
      <c r="G3" s="3"/>
      <c r="H3" s="3"/>
    </row>
    <row r="4" spans="1:9" x14ac:dyDescent="0.35">
      <c r="A4" s="16" t="s">
        <v>19</v>
      </c>
      <c r="C4" s="2"/>
      <c r="G4" s="3" t="s">
        <v>20</v>
      </c>
      <c r="H4" s="3" t="s">
        <v>117</v>
      </c>
      <c r="I4" s="3" t="s">
        <v>22</v>
      </c>
    </row>
    <row r="5" spans="1:9" x14ac:dyDescent="0.35">
      <c r="B5" s="1" t="s">
        <v>23</v>
      </c>
      <c r="C5" s="2">
        <v>45911</v>
      </c>
      <c r="D5" s="27">
        <v>119032.72</v>
      </c>
    </row>
    <row r="6" spans="1:9" x14ac:dyDescent="0.35">
      <c r="B6" s="8"/>
      <c r="C6" s="28"/>
      <c r="E6" s="6">
        <f>SUM(D5)</f>
        <v>119032.72</v>
      </c>
    </row>
    <row r="7" spans="1:9" x14ac:dyDescent="0.35">
      <c r="B7" s="8"/>
      <c r="C7" s="28"/>
    </row>
    <row r="8" spans="1:9" x14ac:dyDescent="0.35">
      <c r="A8" s="1" t="s">
        <v>18</v>
      </c>
      <c r="C8" s="2"/>
    </row>
    <row r="9" spans="1:9" x14ac:dyDescent="0.35">
      <c r="B9" s="1"/>
      <c r="C9" s="2"/>
      <c r="D9" s="5"/>
    </row>
    <row r="10" spans="1:9" x14ac:dyDescent="0.35">
      <c r="B10" s="1"/>
      <c r="C10" s="2"/>
      <c r="D10" s="5"/>
    </row>
    <row r="11" spans="1:9" x14ac:dyDescent="0.35">
      <c r="B11" t="s">
        <v>68</v>
      </c>
      <c r="C11" s="2">
        <v>45902</v>
      </c>
      <c r="D11" s="1">
        <v>400000</v>
      </c>
    </row>
    <row r="12" spans="1:9" x14ac:dyDescent="0.35">
      <c r="B12" s="1"/>
      <c r="C12" s="2"/>
      <c r="D12" s="5"/>
      <c r="E12" s="6">
        <f>SUM(D9:D11)</f>
        <v>400000</v>
      </c>
    </row>
    <row r="13" spans="1:9" x14ac:dyDescent="0.35">
      <c r="A13" s="1" t="s">
        <v>24</v>
      </c>
      <c r="C13" s="2"/>
    </row>
    <row r="14" spans="1:9" x14ac:dyDescent="0.35">
      <c r="B14" t="s">
        <v>76</v>
      </c>
      <c r="C14" s="2">
        <v>45903</v>
      </c>
      <c r="D14" s="5">
        <v>1300000</v>
      </c>
    </row>
    <row r="15" spans="1:9" x14ac:dyDescent="0.35">
      <c r="B15" t="s">
        <v>59</v>
      </c>
      <c r="C15" s="26">
        <v>45901</v>
      </c>
      <c r="D15" s="5">
        <v>40000</v>
      </c>
      <c r="E15" s="25"/>
    </row>
    <row r="16" spans="1:9" x14ac:dyDescent="0.35">
      <c r="B16" t="s">
        <v>112</v>
      </c>
      <c r="C16" s="26">
        <v>45928</v>
      </c>
      <c r="D16" s="5">
        <v>1300000</v>
      </c>
      <c r="E16" s="25"/>
    </row>
    <row r="17" spans="1:10" x14ac:dyDescent="0.35">
      <c r="C17" s="2"/>
      <c r="E17" s="6">
        <f>SUM(D14:D15)</f>
        <v>1340000</v>
      </c>
    </row>
    <row r="18" spans="1:10" x14ac:dyDescent="0.35">
      <c r="C18" s="2"/>
    </row>
    <row r="19" spans="1:10" x14ac:dyDescent="0.35">
      <c r="C19" s="2"/>
    </row>
    <row r="20" spans="1:10" x14ac:dyDescent="0.35">
      <c r="A20" s="20" t="s">
        <v>25</v>
      </c>
      <c r="C20" s="2"/>
    </row>
    <row r="21" spans="1:10" x14ac:dyDescent="0.35">
      <c r="B21" s="1"/>
      <c r="C21" s="2"/>
      <c r="D21" s="5"/>
    </row>
    <row r="22" spans="1:10" x14ac:dyDescent="0.35">
      <c r="C22" s="2"/>
      <c r="E22" s="6">
        <f>SUM(D21)</f>
        <v>0</v>
      </c>
    </row>
    <row r="23" spans="1:10" x14ac:dyDescent="0.35">
      <c r="C23" s="2"/>
    </row>
    <row r="24" spans="1:10" x14ac:dyDescent="0.35">
      <c r="A24" s="3" t="s">
        <v>39</v>
      </c>
      <c r="C24" s="2"/>
    </row>
    <row r="25" spans="1:10" x14ac:dyDescent="0.35">
      <c r="A25" s="16" t="s">
        <v>26</v>
      </c>
      <c r="C25" s="2"/>
    </row>
    <row r="26" spans="1:10" x14ac:dyDescent="0.35">
      <c r="B26" t="s">
        <v>74</v>
      </c>
      <c r="C26" s="2">
        <v>45903</v>
      </c>
      <c r="D26" s="27">
        <v>54000</v>
      </c>
      <c r="G26" t="s">
        <v>161</v>
      </c>
      <c r="H26" s="26">
        <v>45908</v>
      </c>
      <c r="I26" s="27">
        <v>104000</v>
      </c>
    </row>
    <row r="27" spans="1:10" x14ac:dyDescent="0.35">
      <c r="B27" t="s">
        <v>75</v>
      </c>
      <c r="C27" s="2">
        <v>45903</v>
      </c>
      <c r="D27" s="5">
        <v>28000</v>
      </c>
      <c r="G27" t="s">
        <v>135</v>
      </c>
      <c r="H27" s="26">
        <v>45916</v>
      </c>
      <c r="I27" s="27">
        <v>286000</v>
      </c>
    </row>
    <row r="28" spans="1:10" x14ac:dyDescent="0.35">
      <c r="B28" t="s">
        <v>79</v>
      </c>
      <c r="C28" s="2">
        <v>45904</v>
      </c>
      <c r="D28" s="27">
        <v>180000</v>
      </c>
      <c r="G28" t="s">
        <v>142</v>
      </c>
      <c r="H28" s="2">
        <v>45926</v>
      </c>
      <c r="I28" s="27">
        <v>130000</v>
      </c>
    </row>
    <row r="29" spans="1:10" x14ac:dyDescent="0.35">
      <c r="B29" t="s">
        <v>81</v>
      </c>
      <c r="C29" s="2">
        <v>45908</v>
      </c>
      <c r="D29" s="5">
        <v>50000</v>
      </c>
      <c r="G29" t="s">
        <v>143</v>
      </c>
      <c r="H29" s="2">
        <v>45926</v>
      </c>
      <c r="I29" s="27">
        <v>153500</v>
      </c>
    </row>
    <row r="30" spans="1:10" x14ac:dyDescent="0.35">
      <c r="B30" t="s">
        <v>94</v>
      </c>
      <c r="C30" s="2">
        <v>45915</v>
      </c>
      <c r="D30" s="27">
        <v>67800</v>
      </c>
    </row>
    <row r="31" spans="1:10" x14ac:dyDescent="0.35">
      <c r="B31" t="s">
        <v>97</v>
      </c>
      <c r="C31" s="2">
        <v>45916</v>
      </c>
      <c r="D31" s="27">
        <v>41000</v>
      </c>
      <c r="J31" s="6"/>
    </row>
    <row r="32" spans="1:10" x14ac:dyDescent="0.35">
      <c r="B32" t="s">
        <v>98</v>
      </c>
      <c r="C32" s="2">
        <v>45916</v>
      </c>
      <c r="D32" s="5">
        <v>6900</v>
      </c>
    </row>
    <row r="33" spans="1:10" x14ac:dyDescent="0.35">
      <c r="B33" t="s">
        <v>105</v>
      </c>
      <c r="C33" s="2">
        <v>45922</v>
      </c>
      <c r="D33" s="5">
        <v>17000</v>
      </c>
      <c r="J33" s="6">
        <f>SUM(I26:I29)</f>
        <v>673500</v>
      </c>
    </row>
    <row r="34" spans="1:10" x14ac:dyDescent="0.35">
      <c r="B34" s="1"/>
      <c r="C34" s="2"/>
      <c r="D34" s="5"/>
    </row>
    <row r="35" spans="1:10" x14ac:dyDescent="0.35">
      <c r="B35" s="1"/>
      <c r="C35" s="2"/>
      <c r="D35" s="5"/>
      <c r="E35" s="6">
        <f>SUM(D26:D33)</f>
        <v>444700</v>
      </c>
      <c r="I35" s="6"/>
    </row>
    <row r="36" spans="1:10" x14ac:dyDescent="0.35">
      <c r="B36" s="1"/>
      <c r="C36" s="2"/>
      <c r="D36" s="5"/>
    </row>
    <row r="37" spans="1:10" x14ac:dyDescent="0.35">
      <c r="A37" s="16" t="s">
        <v>40</v>
      </c>
      <c r="B37" s="1"/>
      <c r="C37" s="2"/>
      <c r="D37" s="5"/>
    </row>
    <row r="38" spans="1:10" x14ac:dyDescent="0.35">
      <c r="A38" s="21"/>
      <c r="B38" t="s">
        <v>85</v>
      </c>
      <c r="C38" s="2">
        <v>45908</v>
      </c>
      <c r="D38" s="27">
        <v>78846.75</v>
      </c>
    </row>
    <row r="39" spans="1:10" x14ac:dyDescent="0.35">
      <c r="A39" s="21"/>
      <c r="B39"/>
      <c r="C39" s="2">
        <v>45909</v>
      </c>
      <c r="D39" s="27">
        <v>23414</v>
      </c>
    </row>
    <row r="40" spans="1:10" x14ac:dyDescent="0.35">
      <c r="A40" s="21"/>
      <c r="B40" s="1"/>
      <c r="C40" s="2"/>
      <c r="D40" s="5"/>
      <c r="E40" s="6">
        <f>SUM(D38:D39)</f>
        <v>102260.75</v>
      </c>
    </row>
    <row r="41" spans="1:10" x14ac:dyDescent="0.35">
      <c r="A41" s="21"/>
      <c r="B41" s="1"/>
      <c r="C41" s="2"/>
      <c r="D41" s="5"/>
    </row>
    <row r="42" spans="1:10" x14ac:dyDescent="0.35">
      <c r="A42" s="3" t="s">
        <v>27</v>
      </c>
      <c r="C42" s="2"/>
      <c r="G42" s="14"/>
      <c r="H42" s="14"/>
    </row>
    <row r="43" spans="1:10" x14ac:dyDescent="0.35">
      <c r="A43" s="16" t="s">
        <v>28</v>
      </c>
      <c r="B43" s="1" t="s">
        <v>34</v>
      </c>
      <c r="C43" s="2"/>
      <c r="D43" s="5"/>
      <c r="G43" t="s">
        <v>144</v>
      </c>
      <c r="H43" s="26">
        <v>45930</v>
      </c>
      <c r="I43" s="27">
        <v>2295088</v>
      </c>
    </row>
    <row r="44" spans="1:10" x14ac:dyDescent="0.35">
      <c r="A44" s="16" t="s">
        <v>32</v>
      </c>
      <c r="B44" s="1" t="s">
        <v>33</v>
      </c>
      <c r="C44" s="2"/>
      <c r="D44" s="5"/>
    </row>
    <row r="45" spans="1:10" x14ac:dyDescent="0.35">
      <c r="A45" s="21" t="s">
        <v>12</v>
      </c>
      <c r="B45" t="s">
        <v>60</v>
      </c>
      <c r="C45" s="26">
        <v>45901</v>
      </c>
      <c r="D45" s="5">
        <v>240000</v>
      </c>
      <c r="J45" s="6">
        <f>SUM(I43)</f>
        <v>2295088</v>
      </c>
    </row>
    <row r="46" spans="1:10" x14ac:dyDescent="0.35">
      <c r="A46" s="16" t="s">
        <v>36</v>
      </c>
      <c r="B46" t="s">
        <v>69</v>
      </c>
      <c r="C46" s="29">
        <v>45902</v>
      </c>
      <c r="D46" s="5">
        <v>300000</v>
      </c>
    </row>
    <row r="47" spans="1:10" x14ac:dyDescent="0.35">
      <c r="A47" s="21" t="s">
        <v>12</v>
      </c>
      <c r="B47" t="s">
        <v>80</v>
      </c>
      <c r="C47" s="2">
        <v>45905</v>
      </c>
      <c r="D47" s="5">
        <v>200000</v>
      </c>
    </row>
    <row r="48" spans="1:10" x14ac:dyDescent="0.35">
      <c r="A48" s="21" t="s">
        <v>12</v>
      </c>
      <c r="B48" t="s">
        <v>82</v>
      </c>
      <c r="C48" s="2">
        <v>45908</v>
      </c>
      <c r="D48" s="5">
        <v>200000</v>
      </c>
    </row>
    <row r="49" spans="1:9" x14ac:dyDescent="0.35">
      <c r="A49" s="20" t="s">
        <v>83</v>
      </c>
      <c r="B49" t="s">
        <v>84</v>
      </c>
      <c r="C49" s="2">
        <v>45908</v>
      </c>
      <c r="D49" s="27">
        <v>220000</v>
      </c>
    </row>
    <row r="50" spans="1:9" x14ac:dyDescent="0.35">
      <c r="A50" s="20" t="s">
        <v>12</v>
      </c>
      <c r="B50" t="s">
        <v>86</v>
      </c>
      <c r="C50" s="2">
        <v>45908</v>
      </c>
      <c r="D50" s="27">
        <v>320000</v>
      </c>
    </row>
    <row r="51" spans="1:9" x14ac:dyDescent="0.35">
      <c r="A51" s="20" t="s">
        <v>12</v>
      </c>
      <c r="B51" t="s">
        <v>88</v>
      </c>
      <c r="C51" s="2">
        <v>45911</v>
      </c>
      <c r="D51" s="27">
        <v>162000</v>
      </c>
    </row>
    <row r="52" spans="1:9" x14ac:dyDescent="0.35">
      <c r="A52" s="20" t="s">
        <v>12</v>
      </c>
      <c r="B52" t="s">
        <v>89</v>
      </c>
      <c r="C52" s="2">
        <v>45912</v>
      </c>
      <c r="D52" s="5">
        <v>262000</v>
      </c>
    </row>
    <row r="53" spans="1:9" x14ac:dyDescent="0.35">
      <c r="A53" s="20" t="s">
        <v>91</v>
      </c>
      <c r="B53" t="s">
        <v>90</v>
      </c>
      <c r="C53" s="2">
        <v>45912</v>
      </c>
      <c r="D53" s="5">
        <v>250000</v>
      </c>
    </row>
    <row r="54" spans="1:9" x14ac:dyDescent="0.35">
      <c r="A54" s="20"/>
      <c r="B54" t="s">
        <v>95</v>
      </c>
      <c r="C54" s="2">
        <v>45915</v>
      </c>
      <c r="D54" s="27">
        <v>18400</v>
      </c>
    </row>
    <row r="55" spans="1:9" x14ac:dyDescent="0.35">
      <c r="A55" s="20"/>
      <c r="B55" t="s">
        <v>96</v>
      </c>
      <c r="C55" s="2">
        <v>45915</v>
      </c>
      <c r="D55" s="27">
        <v>74200</v>
      </c>
    </row>
    <row r="56" spans="1:9" x14ac:dyDescent="0.35">
      <c r="A56" s="20"/>
      <c r="B56" t="s">
        <v>111</v>
      </c>
      <c r="C56" s="2">
        <v>45929</v>
      </c>
      <c r="D56" s="27">
        <v>200000</v>
      </c>
    </row>
    <row r="57" spans="1:9" x14ac:dyDescent="0.35">
      <c r="A57" s="20"/>
      <c r="B57"/>
      <c r="C57" s="2"/>
      <c r="D57" s="27"/>
    </row>
    <row r="58" spans="1:9" x14ac:dyDescent="0.35">
      <c r="A58" s="20"/>
      <c r="B58"/>
      <c r="C58" s="2"/>
      <c r="D58" s="27"/>
    </row>
    <row r="59" spans="1:9" x14ac:dyDescent="0.35">
      <c r="A59" s="20"/>
      <c r="B59" s="1"/>
      <c r="C59" s="2"/>
      <c r="D59" s="5"/>
      <c r="E59" s="6">
        <f>SUM(D45:D56)</f>
        <v>2446600</v>
      </c>
    </row>
    <row r="60" spans="1:9" x14ac:dyDescent="0.35">
      <c r="A60" s="20"/>
      <c r="B60" s="1"/>
      <c r="C60" s="2"/>
    </row>
    <row r="61" spans="1:9" x14ac:dyDescent="0.35">
      <c r="A61" s="16" t="s">
        <v>6</v>
      </c>
      <c r="C61" s="2"/>
    </row>
    <row r="62" spans="1:9" x14ac:dyDescent="0.35">
      <c r="B62" t="s">
        <v>106</v>
      </c>
      <c r="C62" s="2">
        <v>45922</v>
      </c>
      <c r="D62" s="5">
        <v>100000</v>
      </c>
      <c r="G62" t="s">
        <v>119</v>
      </c>
      <c r="H62" s="2">
        <v>45908</v>
      </c>
      <c r="I62" s="5">
        <v>100000</v>
      </c>
    </row>
    <row r="63" spans="1:9" x14ac:dyDescent="0.35">
      <c r="B63" s="1" t="s">
        <v>30</v>
      </c>
      <c r="C63" s="2"/>
      <c r="D63" s="14"/>
      <c r="G63" t="s">
        <v>140</v>
      </c>
      <c r="H63" s="2">
        <v>45923</v>
      </c>
      <c r="I63" s="5">
        <v>100000</v>
      </c>
    </row>
    <row r="64" spans="1:9" x14ac:dyDescent="0.35">
      <c r="B64" s="1"/>
      <c r="C64" s="2"/>
      <c r="D64" s="14"/>
      <c r="G64" t="s">
        <v>141</v>
      </c>
      <c r="H64" s="2">
        <v>45923</v>
      </c>
      <c r="I64" s="5">
        <v>100000</v>
      </c>
    </row>
    <row r="65" spans="1:10" x14ac:dyDescent="0.35">
      <c r="B65" s="1"/>
      <c r="C65" s="2"/>
      <c r="D65" s="14"/>
      <c r="J65" s="6">
        <f>SUM(I62:I64)</f>
        <v>300000</v>
      </c>
    </row>
    <row r="66" spans="1:10" x14ac:dyDescent="0.35">
      <c r="C66" s="2"/>
      <c r="E66" s="6">
        <f>SUM(D62:D63)</f>
        <v>100000</v>
      </c>
    </row>
    <row r="67" spans="1:10" x14ac:dyDescent="0.35">
      <c r="C67" s="2"/>
    </row>
    <row r="68" spans="1:10" x14ac:dyDescent="0.35">
      <c r="A68" s="22" t="s">
        <v>29</v>
      </c>
      <c r="C68" s="2"/>
    </row>
    <row r="69" spans="1:10" ht="31" x14ac:dyDescent="0.35">
      <c r="B69" t="s">
        <v>78</v>
      </c>
      <c r="C69" s="2">
        <v>45903</v>
      </c>
      <c r="D69" s="27">
        <v>1317857.02</v>
      </c>
      <c r="G69" s="15" t="s">
        <v>122</v>
      </c>
      <c r="H69" s="2">
        <v>45908</v>
      </c>
      <c r="I69" s="27">
        <v>200000</v>
      </c>
    </row>
    <row r="70" spans="1:10" ht="31" x14ac:dyDescent="0.35">
      <c r="B70" s="1" t="s">
        <v>35</v>
      </c>
      <c r="C70" s="2"/>
      <c r="D70" s="5"/>
      <c r="G70" s="15" t="s">
        <v>122</v>
      </c>
      <c r="H70" s="2">
        <v>45908</v>
      </c>
      <c r="I70" s="27">
        <v>150000</v>
      </c>
    </row>
    <row r="71" spans="1:10" x14ac:dyDescent="0.35">
      <c r="B71" s="12" t="s">
        <v>42</v>
      </c>
      <c r="C71" s="2"/>
      <c r="D71" s="6"/>
      <c r="G71" t="s">
        <v>121</v>
      </c>
      <c r="H71" s="2">
        <v>45908</v>
      </c>
      <c r="I71" s="14">
        <v>120000</v>
      </c>
    </row>
    <row r="72" spans="1:10" x14ac:dyDescent="0.35">
      <c r="B72" s="12" t="s">
        <v>43</v>
      </c>
      <c r="C72" s="2"/>
      <c r="G72" t="s">
        <v>123</v>
      </c>
      <c r="H72" s="2">
        <v>45908</v>
      </c>
      <c r="I72" s="14">
        <v>84000</v>
      </c>
    </row>
    <row r="73" spans="1:10" x14ac:dyDescent="0.35">
      <c r="B73" t="s">
        <v>64</v>
      </c>
      <c r="C73" s="2">
        <v>45902</v>
      </c>
      <c r="D73" s="27">
        <v>2035800</v>
      </c>
      <c r="G73" t="s">
        <v>124</v>
      </c>
      <c r="H73" s="2">
        <v>45908</v>
      </c>
      <c r="I73" s="14">
        <v>60000</v>
      </c>
    </row>
    <row r="74" spans="1:10" x14ac:dyDescent="0.35">
      <c r="B74" t="s">
        <v>65</v>
      </c>
      <c r="C74" s="2">
        <v>45902</v>
      </c>
      <c r="D74" s="27">
        <v>2092500</v>
      </c>
      <c r="G74" t="s">
        <v>125</v>
      </c>
      <c r="H74" s="2">
        <v>45908</v>
      </c>
      <c r="I74" s="14">
        <v>60000</v>
      </c>
    </row>
    <row r="75" spans="1:10" x14ac:dyDescent="0.35">
      <c r="B75" t="s">
        <v>66</v>
      </c>
      <c r="C75" s="2">
        <v>45902</v>
      </c>
      <c r="D75" s="27">
        <v>2066040</v>
      </c>
      <c r="G75" t="s">
        <v>126</v>
      </c>
      <c r="H75" s="2">
        <v>45909</v>
      </c>
      <c r="I75" s="14">
        <v>40000</v>
      </c>
    </row>
    <row r="76" spans="1:10" x14ac:dyDescent="0.35">
      <c r="B76" t="s">
        <v>67</v>
      </c>
      <c r="C76" s="2">
        <v>45902</v>
      </c>
      <c r="D76" s="27">
        <v>1633064.48</v>
      </c>
      <c r="G76" t="s">
        <v>127</v>
      </c>
      <c r="H76" s="2">
        <v>45909</v>
      </c>
      <c r="I76" s="14">
        <v>150000</v>
      </c>
    </row>
    <row r="77" spans="1:10" x14ac:dyDescent="0.35">
      <c r="B77" t="s">
        <v>70</v>
      </c>
      <c r="C77" s="2">
        <v>45902</v>
      </c>
      <c r="D77" s="27">
        <v>883800</v>
      </c>
      <c r="G77" t="s">
        <v>127</v>
      </c>
      <c r="H77" s="2">
        <v>45909</v>
      </c>
      <c r="I77" s="14">
        <v>100000</v>
      </c>
    </row>
    <row r="78" spans="1:10" x14ac:dyDescent="0.35">
      <c r="B78" t="s">
        <v>71</v>
      </c>
      <c r="C78" s="2">
        <v>45902</v>
      </c>
      <c r="D78" s="27">
        <v>883800</v>
      </c>
      <c r="G78" t="s">
        <v>128</v>
      </c>
      <c r="H78" s="2">
        <v>45909</v>
      </c>
      <c r="I78" s="14">
        <v>40000</v>
      </c>
    </row>
    <row r="79" spans="1:10" x14ac:dyDescent="0.35">
      <c r="B79" t="s">
        <v>93</v>
      </c>
      <c r="C79" s="2">
        <v>45912</v>
      </c>
      <c r="D79" s="27">
        <v>118881.25</v>
      </c>
      <c r="G79" t="s">
        <v>129</v>
      </c>
      <c r="H79" s="2">
        <v>45909</v>
      </c>
      <c r="I79" s="14">
        <v>56000</v>
      </c>
    </row>
    <row r="80" spans="1:10" x14ac:dyDescent="0.35">
      <c r="B80" t="s">
        <v>159</v>
      </c>
      <c r="C80" s="2"/>
      <c r="D80" s="27">
        <v>10274648.32</v>
      </c>
      <c r="G80" t="s">
        <v>130</v>
      </c>
      <c r="H80" s="2">
        <v>45909</v>
      </c>
      <c r="I80" s="14">
        <v>40000</v>
      </c>
    </row>
    <row r="81" spans="1:10" x14ac:dyDescent="0.35">
      <c r="B81" t="s">
        <v>160</v>
      </c>
      <c r="C81" s="2"/>
      <c r="D81" s="27">
        <v>832500</v>
      </c>
      <c r="G81" t="s">
        <v>124</v>
      </c>
      <c r="H81" s="2">
        <v>45909</v>
      </c>
      <c r="I81" s="14">
        <v>40000</v>
      </c>
    </row>
    <row r="82" spans="1:10" ht="15.75" customHeight="1" x14ac:dyDescent="0.35">
      <c r="B82"/>
      <c r="C82" s="2"/>
      <c r="D82" s="27"/>
      <c r="G82" t="s">
        <v>131</v>
      </c>
      <c r="H82" s="2">
        <v>45909</v>
      </c>
      <c r="I82" s="14">
        <v>40000</v>
      </c>
    </row>
    <row r="83" spans="1:10" ht="18.75" customHeight="1" x14ac:dyDescent="0.35">
      <c r="B83"/>
      <c r="C83" s="2"/>
      <c r="D83" s="27"/>
      <c r="G83" t="s">
        <v>132</v>
      </c>
      <c r="H83" s="2">
        <v>45909</v>
      </c>
      <c r="I83" s="14">
        <v>30000</v>
      </c>
    </row>
    <row r="84" spans="1:10" x14ac:dyDescent="0.35">
      <c r="B84"/>
      <c r="C84" s="2"/>
      <c r="D84" s="27"/>
    </row>
    <row r="85" spans="1:10" x14ac:dyDescent="0.35">
      <c r="C85" s="2"/>
      <c r="E85" s="6">
        <f>SUM(D69:D81)</f>
        <v>22138891.07</v>
      </c>
      <c r="J85" s="6">
        <f>SUM(I69:I83)</f>
        <v>1210000</v>
      </c>
    </row>
    <row r="86" spans="1:10" x14ac:dyDescent="0.35">
      <c r="A86" s="3" t="s">
        <v>136</v>
      </c>
      <c r="C86" s="2"/>
      <c r="E86" s="6"/>
    </row>
    <row r="87" spans="1:10" x14ac:dyDescent="0.35">
      <c r="A87" s="1" t="s">
        <v>137</v>
      </c>
      <c r="C87" s="2"/>
      <c r="E87" s="6"/>
      <c r="G87" t="s">
        <v>138</v>
      </c>
      <c r="H87" s="26">
        <v>45919</v>
      </c>
      <c r="I87" s="27">
        <v>15409000</v>
      </c>
    </row>
    <row r="88" spans="1:10" x14ac:dyDescent="0.35">
      <c r="C88" s="2"/>
      <c r="E88" s="6"/>
      <c r="G88" t="s">
        <v>139</v>
      </c>
      <c r="H88" s="26">
        <v>45922</v>
      </c>
      <c r="I88" s="27">
        <v>811000</v>
      </c>
    </row>
    <row r="89" spans="1:10" x14ac:dyDescent="0.35">
      <c r="C89" s="2"/>
      <c r="J89" s="6">
        <f>SUM(I87:I88)</f>
        <v>16220000</v>
      </c>
    </row>
    <row r="90" spans="1:10" x14ac:dyDescent="0.35">
      <c r="C90" s="2"/>
    </row>
    <row r="91" spans="1:10" x14ac:dyDescent="0.35">
      <c r="A91" s="20" t="s">
        <v>31</v>
      </c>
      <c r="C91" s="2"/>
    </row>
    <row r="92" spans="1:10" x14ac:dyDescent="0.35">
      <c r="B92" t="s">
        <v>63</v>
      </c>
      <c r="C92" s="2">
        <v>45902</v>
      </c>
      <c r="D92" s="5">
        <v>470000</v>
      </c>
    </row>
    <row r="93" spans="1:10" ht="29" x14ac:dyDescent="0.35">
      <c r="B93" s="30" t="s">
        <v>72</v>
      </c>
      <c r="C93" s="2">
        <v>45903</v>
      </c>
      <c r="D93" s="5">
        <v>450000</v>
      </c>
    </row>
    <row r="94" spans="1:10" x14ac:dyDescent="0.35">
      <c r="B94" t="s">
        <v>73</v>
      </c>
      <c r="C94" s="2">
        <v>45903</v>
      </c>
      <c r="D94" s="27">
        <v>27610</v>
      </c>
    </row>
    <row r="95" spans="1:10" x14ac:dyDescent="0.35">
      <c r="B95" t="s">
        <v>87</v>
      </c>
      <c r="C95" s="2">
        <v>45911</v>
      </c>
      <c r="D95" s="27">
        <v>450000</v>
      </c>
    </row>
    <row r="96" spans="1:10" x14ac:dyDescent="0.35">
      <c r="B96" t="s">
        <v>92</v>
      </c>
      <c r="C96" s="2">
        <v>45912</v>
      </c>
      <c r="D96" s="8">
        <v>500000</v>
      </c>
    </row>
    <row r="97" spans="1:10" x14ac:dyDescent="0.35">
      <c r="B97" t="s">
        <v>107</v>
      </c>
      <c r="C97" s="2">
        <v>45923</v>
      </c>
      <c r="D97" s="27">
        <v>1548000</v>
      </c>
    </row>
    <row r="98" spans="1:10" x14ac:dyDescent="0.35">
      <c r="B98" t="s">
        <v>109</v>
      </c>
      <c r="C98" s="2">
        <v>45924</v>
      </c>
      <c r="D98" s="8">
        <v>52000</v>
      </c>
    </row>
    <row r="99" spans="1:10" x14ac:dyDescent="0.35">
      <c r="B99" t="s">
        <v>114</v>
      </c>
      <c r="C99" s="2">
        <v>45930</v>
      </c>
      <c r="D99" s="8">
        <v>10000</v>
      </c>
    </row>
    <row r="100" spans="1:10" x14ac:dyDescent="0.35">
      <c r="B100"/>
      <c r="C100" s="2"/>
      <c r="D100" s="14"/>
    </row>
    <row r="101" spans="1:10" x14ac:dyDescent="0.35">
      <c r="B101" s="1"/>
      <c r="C101" s="2"/>
      <c r="E101" s="6">
        <f>SUM(D92:D99)</f>
        <v>3507610</v>
      </c>
    </row>
    <row r="102" spans="1:10" x14ac:dyDescent="0.35">
      <c r="B102" s="1"/>
      <c r="C102" s="2"/>
      <c r="E102" s="6"/>
    </row>
    <row r="103" spans="1:10" x14ac:dyDescent="0.35">
      <c r="A103" s="16" t="s">
        <v>37</v>
      </c>
      <c r="C103" s="2"/>
    </row>
    <row r="104" spans="1:10" x14ac:dyDescent="0.35">
      <c r="B104" t="s">
        <v>99</v>
      </c>
      <c r="C104" s="2">
        <v>45916</v>
      </c>
      <c r="D104" s="27">
        <v>120000</v>
      </c>
    </row>
    <row r="105" spans="1:10" x14ac:dyDescent="0.35">
      <c r="B105" t="s">
        <v>100</v>
      </c>
      <c r="C105" s="2">
        <v>45918</v>
      </c>
      <c r="D105" s="5">
        <v>57000</v>
      </c>
      <c r="G105" t="s">
        <v>118</v>
      </c>
      <c r="H105" s="2">
        <v>45901</v>
      </c>
      <c r="I105" s="8">
        <v>500000</v>
      </c>
    </row>
    <row r="106" spans="1:10" x14ac:dyDescent="0.35">
      <c r="B106" t="s">
        <v>103</v>
      </c>
      <c r="C106" s="2">
        <v>45918</v>
      </c>
      <c r="D106" s="8">
        <v>57000</v>
      </c>
    </row>
    <row r="107" spans="1:10" x14ac:dyDescent="0.35">
      <c r="C107" s="2"/>
      <c r="E107" s="6">
        <f>SUM(D104:D106)</f>
        <v>234000</v>
      </c>
      <c r="J107" s="11">
        <f>SUM(I105)</f>
        <v>500000</v>
      </c>
    </row>
    <row r="108" spans="1:10" x14ac:dyDescent="0.35">
      <c r="C108" s="2"/>
    </row>
    <row r="109" spans="1:10" x14ac:dyDescent="0.35">
      <c r="C109" s="2"/>
    </row>
    <row r="110" spans="1:10" x14ac:dyDescent="0.35">
      <c r="A110" s="20" t="s">
        <v>38</v>
      </c>
      <c r="C110" s="2"/>
    </row>
    <row r="111" spans="1:10" x14ac:dyDescent="0.35">
      <c r="B111" t="s">
        <v>58</v>
      </c>
      <c r="C111" s="26">
        <v>45901</v>
      </c>
      <c r="D111" s="5">
        <v>108000</v>
      </c>
    </row>
    <row r="112" spans="1:10" x14ac:dyDescent="0.35">
      <c r="B112" t="s">
        <v>77</v>
      </c>
      <c r="C112" s="2">
        <v>45903</v>
      </c>
      <c r="D112" s="5">
        <v>150000</v>
      </c>
    </row>
    <row r="113" spans="1:10" x14ac:dyDescent="0.35">
      <c r="B113" t="s">
        <v>101</v>
      </c>
      <c r="C113" s="2">
        <v>45918</v>
      </c>
      <c r="D113" s="5">
        <v>215000</v>
      </c>
    </row>
    <row r="114" spans="1:10" x14ac:dyDescent="0.35">
      <c r="B114" t="s">
        <v>102</v>
      </c>
      <c r="C114" s="2">
        <v>45918</v>
      </c>
      <c r="D114" s="5">
        <v>169000</v>
      </c>
    </row>
    <row r="115" spans="1:10" x14ac:dyDescent="0.35">
      <c r="B115" t="s">
        <v>104</v>
      </c>
      <c r="C115" s="2">
        <v>45922</v>
      </c>
      <c r="D115" s="5">
        <v>540000</v>
      </c>
    </row>
    <row r="116" spans="1:10" x14ac:dyDescent="0.35">
      <c r="B116" t="s">
        <v>108</v>
      </c>
      <c r="C116" s="2">
        <v>45924</v>
      </c>
      <c r="D116" s="27">
        <v>2350000</v>
      </c>
    </row>
    <row r="117" spans="1:10" x14ac:dyDescent="0.35">
      <c r="B117" t="s">
        <v>110</v>
      </c>
      <c r="C117" s="2">
        <v>45926</v>
      </c>
      <c r="D117" s="8">
        <v>43500</v>
      </c>
    </row>
    <row r="118" spans="1:10" x14ac:dyDescent="0.35">
      <c r="C118" s="2"/>
      <c r="E118" s="6">
        <f>SUM(D111:D117)</f>
        <v>3575500</v>
      </c>
    </row>
    <row r="119" spans="1:10" x14ac:dyDescent="0.35">
      <c r="C119" s="2"/>
    </row>
    <row r="120" spans="1:10" x14ac:dyDescent="0.35">
      <c r="A120" s="1" t="s">
        <v>41</v>
      </c>
      <c r="C120" s="2"/>
    </row>
    <row r="121" spans="1:10" x14ac:dyDescent="0.35">
      <c r="B121" t="s">
        <v>115</v>
      </c>
      <c r="C121" s="2"/>
      <c r="D121" s="27">
        <v>2829.13</v>
      </c>
      <c r="G121" s="1" t="s">
        <v>50</v>
      </c>
      <c r="H121" s="26">
        <v>45930</v>
      </c>
      <c r="I121" s="8">
        <v>23130.33</v>
      </c>
    </row>
    <row r="122" spans="1:10" x14ac:dyDescent="0.35">
      <c r="B122" t="s">
        <v>116</v>
      </c>
      <c r="C122" s="2"/>
      <c r="D122" s="27">
        <v>37720.559999999998</v>
      </c>
      <c r="G122" s="1" t="s">
        <v>41</v>
      </c>
      <c r="I122" s="1">
        <v>1752.9</v>
      </c>
    </row>
    <row r="123" spans="1:10" x14ac:dyDescent="0.35">
      <c r="B123" s="12" t="s">
        <v>41</v>
      </c>
      <c r="C123" s="2"/>
      <c r="D123" s="5">
        <v>4860.8599999999997</v>
      </c>
      <c r="E123" s="6"/>
      <c r="J123" s="11">
        <f>SUM(I121:I122)</f>
        <v>24883.230000000003</v>
      </c>
    </row>
    <row r="124" spans="1:10" x14ac:dyDescent="0.35">
      <c r="C124" s="2"/>
    </row>
    <row r="125" spans="1:10" x14ac:dyDescent="0.35">
      <c r="C125" s="2"/>
      <c r="E125" s="6">
        <f>SUM(D121:D123)</f>
        <v>45410.549999999996</v>
      </c>
    </row>
    <row r="126" spans="1:10" x14ac:dyDescent="0.35">
      <c r="C126" s="2"/>
      <c r="F126" s="5"/>
      <c r="J126" s="11"/>
    </row>
    <row r="127" spans="1:10" x14ac:dyDescent="0.35">
      <c r="A127" s="1" t="s">
        <v>15</v>
      </c>
      <c r="B127" t="s">
        <v>62</v>
      </c>
      <c r="C127" s="2">
        <v>45902</v>
      </c>
      <c r="D127" s="5">
        <v>950000</v>
      </c>
      <c r="G127" t="s">
        <v>133</v>
      </c>
      <c r="H127" s="2">
        <v>45915</v>
      </c>
      <c r="I127" s="27">
        <v>218000</v>
      </c>
    </row>
    <row r="128" spans="1:10" x14ac:dyDescent="0.35">
      <c r="B128" t="s">
        <v>113</v>
      </c>
      <c r="C128" s="2">
        <v>45929</v>
      </c>
      <c r="D128" s="5">
        <v>950000</v>
      </c>
      <c r="G128" t="s">
        <v>134</v>
      </c>
      <c r="H128" s="2">
        <v>45916</v>
      </c>
      <c r="I128" s="14">
        <v>100000</v>
      </c>
    </row>
    <row r="129" spans="1:13" x14ac:dyDescent="0.35">
      <c r="C129" s="2"/>
      <c r="E129" s="6">
        <f>SUM(D125:D127)</f>
        <v>950000</v>
      </c>
      <c r="J129" s="6">
        <f>SUM(I127:I128)</f>
        <v>318000</v>
      </c>
    </row>
    <row r="130" spans="1:13" x14ac:dyDescent="0.35">
      <c r="C130" s="2"/>
    </row>
    <row r="131" spans="1:13" x14ac:dyDescent="0.35">
      <c r="C131" s="2"/>
    </row>
    <row r="132" spans="1:13" x14ac:dyDescent="0.35">
      <c r="C132" s="2"/>
      <c r="E132" s="6"/>
    </row>
    <row r="133" spans="1:13" x14ac:dyDescent="0.35">
      <c r="C133" s="2"/>
    </row>
    <row r="134" spans="1:13" x14ac:dyDescent="0.35">
      <c r="C134" s="2"/>
    </row>
    <row r="135" spans="1:13" x14ac:dyDescent="0.35">
      <c r="C135" s="2"/>
    </row>
    <row r="136" spans="1:13" x14ac:dyDescent="0.35">
      <c r="C136" s="2"/>
    </row>
    <row r="137" spans="1:13" x14ac:dyDescent="0.35">
      <c r="C137" s="2"/>
    </row>
    <row r="138" spans="1:13" x14ac:dyDescent="0.35">
      <c r="A138" s="3" t="s">
        <v>55</v>
      </c>
    </row>
    <row r="141" spans="1:13" x14ac:dyDescent="0.35">
      <c r="A141" s="3" t="s">
        <v>46</v>
      </c>
      <c r="B141" s="33" t="s">
        <v>47</v>
      </c>
      <c r="C141" s="33"/>
      <c r="D141" s="33"/>
      <c r="E141" s="33"/>
      <c r="F141" s="3"/>
      <c r="G141" s="33" t="s">
        <v>48</v>
      </c>
      <c r="H141" s="33"/>
      <c r="I141" s="33"/>
      <c r="K141" s="3" t="s">
        <v>49</v>
      </c>
      <c r="L141" s="3"/>
      <c r="M141" s="3"/>
    </row>
    <row r="142" spans="1:13" x14ac:dyDescent="0.35">
      <c r="B142" t="s">
        <v>155</v>
      </c>
      <c r="C142">
        <v>372500</v>
      </c>
      <c r="D142" s="8"/>
      <c r="E142" s="1"/>
      <c r="I142" s="5"/>
      <c r="K142" s="16" t="s">
        <v>26</v>
      </c>
    </row>
    <row r="143" spans="1:13" x14ac:dyDescent="0.35">
      <c r="B143" t="s">
        <v>156</v>
      </c>
      <c r="C143">
        <v>422500</v>
      </c>
      <c r="D143" s="8"/>
      <c r="E143" s="1"/>
      <c r="G143" s="12"/>
      <c r="H143" s="12"/>
      <c r="L143" t="s">
        <v>120</v>
      </c>
      <c r="M143" s="27">
        <v>676000</v>
      </c>
    </row>
    <row r="144" spans="1:13" x14ac:dyDescent="0.35">
      <c r="B144" t="s">
        <v>157</v>
      </c>
      <c r="C144">
        <v>200000</v>
      </c>
      <c r="D144" s="8"/>
      <c r="E144" s="1"/>
      <c r="L144" t="s">
        <v>147</v>
      </c>
      <c r="M144" s="27">
        <v>149962.5</v>
      </c>
    </row>
    <row r="145" spans="2:14" x14ac:dyDescent="0.35">
      <c r="B145" s="1"/>
      <c r="C145" s="1"/>
      <c r="D145" s="3"/>
      <c r="E145" s="17"/>
      <c r="L145" t="s">
        <v>163</v>
      </c>
      <c r="M145" s="27">
        <v>3422590</v>
      </c>
    </row>
    <row r="146" spans="2:14" x14ac:dyDescent="0.35">
      <c r="B146" s="31" t="s">
        <v>158</v>
      </c>
      <c r="C146" s="15"/>
      <c r="D146" s="32">
        <f>SUM(C142:C144)</f>
        <v>995000</v>
      </c>
      <c r="E146" s="1"/>
      <c r="L146" t="s">
        <v>146</v>
      </c>
      <c r="M146" s="27">
        <v>430000</v>
      </c>
    </row>
    <row r="147" spans="2:14" x14ac:dyDescent="0.35">
      <c r="E147" s="1"/>
      <c r="L147" t="s">
        <v>145</v>
      </c>
      <c r="M147" s="27">
        <v>204000</v>
      </c>
      <c r="N147" s="11"/>
    </row>
    <row r="148" spans="2:14" x14ac:dyDescent="0.35">
      <c r="E148" s="1"/>
      <c r="L148" t="s">
        <v>148</v>
      </c>
      <c r="M148" s="27">
        <v>100000</v>
      </c>
    </row>
    <row r="149" spans="2:14" x14ac:dyDescent="0.35">
      <c r="L149" t="s">
        <v>149</v>
      </c>
      <c r="M149" s="27">
        <v>220000</v>
      </c>
    </row>
    <row r="150" spans="2:14" x14ac:dyDescent="0.35">
      <c r="L150" t="s">
        <v>150</v>
      </c>
      <c r="M150" s="27">
        <v>20220000</v>
      </c>
    </row>
    <row r="151" spans="2:14" x14ac:dyDescent="0.35">
      <c r="L151" t="s">
        <v>151</v>
      </c>
      <c r="M151" s="27">
        <v>552000</v>
      </c>
    </row>
    <row r="152" spans="2:14" x14ac:dyDescent="0.35">
      <c r="L152" t="s">
        <v>152</v>
      </c>
      <c r="M152" s="27">
        <v>170000</v>
      </c>
    </row>
    <row r="153" spans="2:14" x14ac:dyDescent="0.35">
      <c r="L153" t="s">
        <v>153</v>
      </c>
      <c r="M153" s="27">
        <v>600000</v>
      </c>
    </row>
    <row r="154" spans="2:14" x14ac:dyDescent="0.35">
      <c r="L154" t="s">
        <v>154</v>
      </c>
      <c r="M154" s="27">
        <v>700000</v>
      </c>
    </row>
    <row r="155" spans="2:14" x14ac:dyDescent="0.35">
      <c r="N155" s="6">
        <f>SUM(M143:M154)</f>
        <v>27444552.5</v>
      </c>
    </row>
  </sheetData>
  <mergeCells count="3">
    <mergeCell ref="B141:E141"/>
    <mergeCell ref="G141:I141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 Summary</vt:lpstr>
      <vt:lpstr>Breakdown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IIH</dc:creator>
  <cp:lastModifiedBy>IIH</cp:lastModifiedBy>
  <dcterms:created xsi:type="dcterms:W3CDTF">2025-09-11T08:10:22Z</dcterms:created>
  <dcterms:modified xsi:type="dcterms:W3CDTF">2025-10-08T12:54:42Z</dcterms:modified>
</cp:coreProperties>
</file>