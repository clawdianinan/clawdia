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IH\Downloads\"/>
    </mc:Choice>
  </mc:AlternateContent>
  <bookViews>
    <workbookView xWindow="0" yWindow="0" windowWidth="19200" windowHeight="7900" tabRatio="864" firstSheet="1" activeTab="8"/>
  </bookViews>
  <sheets>
    <sheet name="Sheet2 (2)" sheetId="4" state="hidden" r:id="rId1"/>
    <sheet name="Cover" sheetId="15" r:id="rId2"/>
    <sheet name="SCI" sheetId="9" r:id="rId3"/>
    <sheet name="SFP" sheetId="10" r:id="rId4"/>
    <sheet name="SCF" sheetId="11" r:id="rId5"/>
    <sheet name="Notes" sheetId="12" r:id="rId6"/>
    <sheet name="&gt;&gt;&gt;&gt;" sheetId="18" r:id="rId7"/>
    <sheet name="Trial Balance" sheetId="8" r:id="rId8"/>
    <sheet name="GL_Transactions" sheetId="2" r:id="rId9"/>
    <sheet name="FAR" sheetId="19" r:id="rId10"/>
    <sheet name="MoM Transactions" sheetId="16" r:id="rId11"/>
    <sheet name="Chart of Accounts" sheetId="5" r:id="rId12"/>
    <sheet name="Breakdown of MD reimbu" sheetId="6" r:id="rId13"/>
    <sheet name="invoice_details" sheetId="22" r:id="rId14"/>
  </sheets>
  <definedNames>
    <definedName name="_xlnm._FilterDatabase" localSheetId="11" hidden="1">'Chart of Accounts'!$A$1:$M$77</definedName>
    <definedName name="_xlnm._FilterDatabase" localSheetId="8" hidden="1">GL_Transactions!$A$1:$H$1029</definedName>
    <definedName name="_xlnm._FilterDatabase" localSheetId="13" hidden="1">invoice_details!$A$2:$U$58</definedName>
    <definedName name="_xlnm._FilterDatabase" localSheetId="0" hidden="1">'Sheet2 (2)'!$A$1:$E$1025</definedName>
    <definedName name="_xlnm._FilterDatabase" localSheetId="7" hidden="1">'Trial Balance'!$A$2:$F$78</definedName>
    <definedName name="_xlnm.Print_Area" localSheetId="1">Cover!$A$1:$J$28</definedName>
    <definedName name="_xlnm.Print_Area" localSheetId="4">SCF!$A$1:$D$45</definedName>
    <definedName name="_xlnm.Print_Area" localSheetId="2">SCI!$A$1:$E$19</definedName>
    <definedName name="_xlnm.Print_Area" localSheetId="3">SFP!$A$1:$E$46</definedName>
  </definedNames>
  <calcPr calcId="152511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2" l="1"/>
  <c r="D14" i="12"/>
  <c r="D7" i="12"/>
  <c r="D6" i="12"/>
  <c r="C6" i="11"/>
  <c r="D6" i="10"/>
  <c r="D34" i="12" l="1"/>
  <c r="D60" i="12" s="1"/>
  <c r="D68" i="12" s="1"/>
  <c r="D75" i="12" s="1"/>
  <c r="D81" i="12" s="1"/>
  <c r="C89" i="12" s="1"/>
  <c r="D89" i="12" s="1"/>
  <c r="D33" i="12"/>
  <c r="D59" i="12" s="1"/>
  <c r="D67" i="12" s="1"/>
  <c r="D74" i="12" s="1"/>
  <c r="D80" i="12" s="1"/>
  <c r="C42" i="12" l="1"/>
  <c r="D42" i="12" s="1"/>
  <c r="B4" i="10" l="1"/>
  <c r="B4" i="11" s="1"/>
  <c r="B4" i="12" s="1"/>
  <c r="L64" i="22" l="1"/>
  <c r="A14" i="12" l="1"/>
  <c r="C3" i="8"/>
  <c r="H61" i="22"/>
  <c r="M61" i="22"/>
  <c r="C40" i="11"/>
  <c r="I61" i="22" l="1"/>
  <c r="D49" i="12"/>
  <c r="D18" i="11"/>
  <c r="D90" i="12"/>
  <c r="D72" i="12"/>
  <c r="D17" i="10" s="1"/>
  <c r="C17" i="11" s="1"/>
  <c r="C8" i="9"/>
  <c r="D43" i="12"/>
  <c r="C56" i="12"/>
  <c r="E11" i="12"/>
  <c r="E43" i="10"/>
  <c r="E34" i="10"/>
  <c r="D34" i="10"/>
  <c r="E29" i="10"/>
  <c r="E19" i="10"/>
  <c r="E13" i="10"/>
  <c r="E10" i="9"/>
  <c r="E13" i="9" s="1"/>
  <c r="E16" i="9" s="1"/>
  <c r="E18" i="9" s="1"/>
  <c r="E21" i="10" l="1"/>
  <c r="D56" i="12"/>
  <c r="E36" i="10"/>
  <c r="E45" i="10" s="1"/>
  <c r="A33" i="12"/>
  <c r="C11" i="9"/>
  <c r="E38" i="10" l="1"/>
  <c r="C12" i="9"/>
  <c r="A40" i="12"/>
  <c r="C10" i="10" l="1"/>
  <c r="A59" i="12"/>
  <c r="C71" i="8"/>
  <c r="D71" i="8"/>
  <c r="F71" i="8"/>
  <c r="C72" i="8"/>
  <c r="D72" i="8"/>
  <c r="F72" i="8"/>
  <c r="C73" i="8"/>
  <c r="C92" i="12" s="1"/>
  <c r="D73" i="8"/>
  <c r="F73" i="8"/>
  <c r="C52" i="8"/>
  <c r="C50" i="12" s="1"/>
  <c r="D52" i="8"/>
  <c r="F52" i="8"/>
  <c r="A67" i="12" l="1"/>
  <c r="C16" i="10"/>
  <c r="C52" i="12"/>
  <c r="D50" i="12"/>
  <c r="A74" i="12" l="1"/>
  <c r="C17" i="10"/>
  <c r="C11" i="11"/>
  <c r="D52" i="12"/>
  <c r="A80" i="12" l="1"/>
  <c r="C18" i="10"/>
  <c r="D78" i="8"/>
  <c r="F78" i="8"/>
  <c r="C78" i="8"/>
  <c r="C15" i="8"/>
  <c r="C57" i="8"/>
  <c r="C58" i="8"/>
  <c r="C59" i="8"/>
  <c r="C51" i="8"/>
  <c r="C44" i="12" s="1"/>
  <c r="C25" i="11" s="1"/>
  <c r="C61" i="8"/>
  <c r="C64" i="8"/>
  <c r="C66" i="8"/>
  <c r="D83" i="12" s="1"/>
  <c r="C74" i="8"/>
  <c r="C75" i="8"/>
  <c r="C76" i="8"/>
  <c r="C8" i="8"/>
  <c r="C9" i="8"/>
  <c r="C67" i="8"/>
  <c r="D84" i="12" s="1"/>
  <c r="C10" i="8"/>
  <c r="D35" i="12" s="1"/>
  <c r="C11" i="8"/>
  <c r="C16" i="8"/>
  <c r="D23" i="12" s="1"/>
  <c r="C17" i="8"/>
  <c r="D24" i="12" s="1"/>
  <c r="C6" i="8"/>
  <c r="C18" i="8"/>
  <c r="D25" i="12" s="1"/>
  <c r="C19" i="8"/>
  <c r="C22" i="8"/>
  <c r="C23" i="8"/>
  <c r="C24" i="8"/>
  <c r="C25" i="8"/>
  <c r="C26" i="8"/>
  <c r="C27" i="8"/>
  <c r="C12" i="8"/>
  <c r="C29" i="8"/>
  <c r="C30" i="8"/>
  <c r="C69" i="8"/>
  <c r="C62" i="8"/>
  <c r="C40" i="8"/>
  <c r="C70" i="8"/>
  <c r="C41" i="8"/>
  <c r="C42" i="8"/>
  <c r="C43" i="8"/>
  <c r="C44" i="8"/>
  <c r="C45" i="8"/>
  <c r="C46" i="8"/>
  <c r="D17" i="12" s="1"/>
  <c r="C68" i="8"/>
  <c r="C47" i="8"/>
  <c r="C60" i="8"/>
  <c r="C13" i="8"/>
  <c r="C77" i="8"/>
  <c r="C48" i="8"/>
  <c r="C63" i="8"/>
  <c r="D63" i="12" s="1"/>
  <c r="C49" i="8"/>
  <c r="C50" i="8"/>
  <c r="C53" i="8"/>
  <c r="C54" i="8"/>
  <c r="C56" i="8"/>
  <c r="D8" i="12"/>
  <c r="C65" i="8"/>
  <c r="C20" i="8"/>
  <c r="D22" i="12" s="1"/>
  <c r="C21" i="8"/>
  <c r="D28" i="12" s="1"/>
  <c r="C14" i="8"/>
  <c r="C4" i="8"/>
  <c r="C5" i="8"/>
  <c r="C31" i="8"/>
  <c r="D27" i="12" s="1"/>
  <c r="C32" i="8"/>
  <c r="C33" i="8"/>
  <c r="D26" i="12" s="1"/>
  <c r="C34" i="8"/>
  <c r="D19" i="12" s="1"/>
  <c r="C35" i="8"/>
  <c r="D20" i="12" s="1"/>
  <c r="C36" i="8"/>
  <c r="C37" i="8"/>
  <c r="C38" i="8"/>
  <c r="C39" i="8"/>
  <c r="C7" i="8"/>
  <c r="D62" i="12" l="1"/>
  <c r="D16" i="12"/>
  <c r="A88" i="12"/>
  <c r="C41" i="10" s="1"/>
  <c r="C25" i="10"/>
  <c r="D18" i="12"/>
  <c r="D37" i="12"/>
  <c r="D12" i="9" s="1"/>
  <c r="C29" i="11"/>
  <c r="C31" i="11" s="1"/>
  <c r="C12" i="11"/>
  <c r="D61" i="12"/>
  <c r="D30" i="12"/>
  <c r="D29" i="12"/>
  <c r="D77" i="12"/>
  <c r="D85" i="12"/>
  <c r="D82" i="12"/>
  <c r="C46" i="12"/>
  <c r="C55" i="12" s="1"/>
  <c r="D44" i="12"/>
  <c r="D46" i="12" s="1"/>
  <c r="D55" i="12" s="1"/>
  <c r="D10" i="10" s="1"/>
  <c r="D13" i="10" s="1"/>
  <c r="D10" i="12"/>
  <c r="D9" i="12"/>
  <c r="D65" i="12" l="1"/>
  <c r="D16" i="10" s="1"/>
  <c r="C15" i="11" s="1"/>
  <c r="D86" i="12"/>
  <c r="D25" i="10" s="1"/>
  <c r="D11" i="12"/>
  <c r="D8" i="9" s="1"/>
  <c r="D10" i="9" s="1"/>
  <c r="D29" i="10" l="1"/>
  <c r="D36" i="10" s="1"/>
  <c r="C16" i="11"/>
  <c r="C18" i="11" s="1"/>
  <c r="D15" i="8" l="1"/>
  <c r="F15" i="8"/>
  <c r="D57" i="8"/>
  <c r="F57" i="8"/>
  <c r="D58" i="8"/>
  <c r="F58" i="8"/>
  <c r="D59" i="8"/>
  <c r="F59" i="8"/>
  <c r="D51" i="8"/>
  <c r="F51" i="8"/>
  <c r="D61" i="8"/>
  <c r="F61" i="8"/>
  <c r="D64" i="8"/>
  <c r="F64" i="8"/>
  <c r="D66" i="8"/>
  <c r="F66" i="8"/>
  <c r="D74" i="8"/>
  <c r="F74" i="8"/>
  <c r="D75" i="8"/>
  <c r="F75" i="8"/>
  <c r="D76" i="8"/>
  <c r="F76" i="8"/>
  <c r="D8" i="8"/>
  <c r="F8" i="8"/>
  <c r="D9" i="8"/>
  <c r="F9" i="8"/>
  <c r="D67" i="8"/>
  <c r="F67" i="8"/>
  <c r="D10" i="8"/>
  <c r="D11" i="8"/>
  <c r="F11" i="8"/>
  <c r="D16" i="8"/>
  <c r="F16" i="8"/>
  <c r="D17" i="8"/>
  <c r="F17" i="8"/>
  <c r="D6" i="8"/>
  <c r="F6" i="8"/>
  <c r="D18" i="8"/>
  <c r="F18" i="8"/>
  <c r="D19" i="8"/>
  <c r="F19" i="8"/>
  <c r="D22" i="8"/>
  <c r="F22" i="8"/>
  <c r="D23" i="8"/>
  <c r="F23" i="8"/>
  <c r="D24" i="8"/>
  <c r="F24" i="8"/>
  <c r="D25" i="8"/>
  <c r="F25" i="8"/>
  <c r="D26" i="8"/>
  <c r="F26" i="8"/>
  <c r="D27" i="8"/>
  <c r="F27" i="8"/>
  <c r="D28" i="8"/>
  <c r="F28" i="8"/>
  <c r="D12" i="8"/>
  <c r="F12" i="8"/>
  <c r="D29" i="8"/>
  <c r="F29" i="8"/>
  <c r="D30" i="8"/>
  <c r="F30" i="8"/>
  <c r="D69" i="8"/>
  <c r="F69" i="8"/>
  <c r="D62" i="8"/>
  <c r="F62" i="8"/>
  <c r="D40" i="8"/>
  <c r="F40" i="8"/>
  <c r="D70" i="8"/>
  <c r="F70" i="8"/>
  <c r="D41" i="8"/>
  <c r="F41" i="8"/>
  <c r="D42" i="8"/>
  <c r="F42" i="8"/>
  <c r="D43" i="8"/>
  <c r="F43" i="8"/>
  <c r="D44" i="8"/>
  <c r="F44" i="8"/>
  <c r="D45" i="8"/>
  <c r="F45" i="8"/>
  <c r="D46" i="8"/>
  <c r="F46" i="8"/>
  <c r="D68" i="8"/>
  <c r="F68" i="8"/>
  <c r="D47" i="8"/>
  <c r="F47" i="8"/>
  <c r="D60" i="8"/>
  <c r="F60" i="8"/>
  <c r="D13" i="8"/>
  <c r="F13" i="8"/>
  <c r="D77" i="8"/>
  <c r="F77" i="8"/>
  <c r="D48" i="8"/>
  <c r="F48" i="8"/>
  <c r="D63" i="8"/>
  <c r="F63" i="8"/>
  <c r="D49" i="8"/>
  <c r="F49" i="8"/>
  <c r="D50" i="8"/>
  <c r="F50" i="8"/>
  <c r="D53" i="8"/>
  <c r="F53" i="8"/>
  <c r="D54" i="8"/>
  <c r="F54" i="8"/>
  <c r="D55" i="8"/>
  <c r="F55" i="8"/>
  <c r="D56" i="8"/>
  <c r="F56" i="8"/>
  <c r="D3" i="8"/>
  <c r="F3" i="8"/>
  <c r="D65" i="8"/>
  <c r="F65" i="8"/>
  <c r="D20" i="8"/>
  <c r="F20" i="8"/>
  <c r="D21" i="8"/>
  <c r="F21" i="8"/>
  <c r="D14" i="8"/>
  <c r="D4" i="8"/>
  <c r="F4" i="8"/>
  <c r="D5" i="8"/>
  <c r="F5" i="8"/>
  <c r="D31" i="8"/>
  <c r="F31" i="8"/>
  <c r="D32" i="8"/>
  <c r="F32" i="8"/>
  <c r="D33" i="8"/>
  <c r="F33" i="8"/>
  <c r="D34" i="8"/>
  <c r="F34" i="8"/>
  <c r="D35" i="8"/>
  <c r="F35" i="8"/>
  <c r="D36" i="8"/>
  <c r="F36" i="8"/>
  <c r="D37" i="8"/>
  <c r="F37" i="8"/>
  <c r="D38" i="8"/>
  <c r="F38" i="8"/>
  <c r="D39" i="8"/>
  <c r="F39" i="8"/>
  <c r="F7" i="8"/>
  <c r="D7" i="8"/>
  <c r="F348" i="2" l="1"/>
  <c r="C28" i="8" s="1"/>
  <c r="D11" i="6"/>
  <c r="D7" i="6"/>
  <c r="C13" i="6"/>
  <c r="D21" i="12" l="1"/>
  <c r="D31" i="12" s="1"/>
  <c r="E355" i="4"/>
  <c r="F361" i="2" l="1"/>
  <c r="D11" i="9" l="1"/>
  <c r="D13" i="9" s="1"/>
  <c r="D16" i="9" s="1"/>
  <c r="D18" i="9" s="1"/>
  <c r="C55" i="8"/>
  <c r="C1" i="8" s="1"/>
  <c r="C91" i="12" l="1"/>
  <c r="C93" i="12" s="1"/>
  <c r="D41" i="10" s="1"/>
  <c r="D43" i="10" s="1"/>
  <c r="D45" i="10" s="1"/>
  <c r="C8" i="11"/>
  <c r="C13" i="11" s="1"/>
  <c r="C20" i="11" s="1"/>
  <c r="C22" i="11" s="1"/>
  <c r="C42" i="11" s="1"/>
  <c r="C44" i="11" s="1"/>
  <c r="C80" i="8"/>
  <c r="D76" i="12"/>
  <c r="D78" i="12" s="1"/>
  <c r="D18" i="10" s="1"/>
  <c r="D19" i="10" s="1"/>
  <c r="D21" i="10" s="1"/>
  <c r="D91" i="12" l="1"/>
  <c r="D93" i="12" s="1"/>
  <c r="C45" i="11"/>
  <c r="D38" i="10"/>
  <c r="D46" i="10"/>
</calcChain>
</file>

<file path=xl/sharedStrings.xml><?xml version="1.0" encoding="utf-8"?>
<sst xmlns="http://schemas.openxmlformats.org/spreadsheetml/2006/main" count="11951" uniqueCount="1713">
  <si>
    <t>Category</t>
  </si>
  <si>
    <t>Transactions</t>
  </si>
  <si>
    <t>Facility rentals</t>
  </si>
  <si>
    <t>Bank charges</t>
  </si>
  <si>
    <t>Stationery and Office Supplies</t>
  </si>
  <si>
    <t>Other Expenses</t>
  </si>
  <si>
    <t>Cleaning expenses</t>
  </si>
  <si>
    <t>IHS Payment</t>
  </si>
  <si>
    <t>Salaries and Wages</t>
  </si>
  <si>
    <t>Deposit refund</t>
  </si>
  <si>
    <t>Software expense - Zoho</t>
  </si>
  <si>
    <t>Data and telephone expenses</t>
  </si>
  <si>
    <t>Income</t>
  </si>
  <si>
    <t>Repairs and maintenance</t>
  </si>
  <si>
    <t>Purchase of phones</t>
  </si>
  <si>
    <t>Guest and entertainment</t>
  </si>
  <si>
    <t>security</t>
  </si>
  <si>
    <t>Generator purchase</t>
  </si>
  <si>
    <t>000MOBT251686079  NIP  Transfer  from ILORIN INNOVATION HUB LTD to PRECIOUS UCHECHUKWU OSELE</t>
  </si>
  <si>
    <t>Unallocated expense</t>
  </si>
  <si>
    <t>Purchase of AC</t>
  </si>
  <si>
    <t>Souvenirs</t>
  </si>
  <si>
    <t>Security</t>
  </si>
  <si>
    <t>Purchase of equipment</t>
  </si>
  <si>
    <t>Refund</t>
  </si>
  <si>
    <t>000MOBT25181ADF2 MD EXPENSE REIMBURSEMENT MAR TO JUN NIP Transfer from ILORIN INNOVATION HUB LTD to</t>
  </si>
  <si>
    <t>Transport and Travel</t>
  </si>
  <si>
    <t>Staff welfare</t>
  </si>
  <si>
    <t>Accomodation</t>
  </si>
  <si>
    <t>Diesel and Fuel</t>
  </si>
  <si>
    <t>Rentals</t>
  </si>
  <si>
    <t>Security deposit</t>
  </si>
  <si>
    <t>Staff training</t>
  </si>
  <si>
    <t>Staff allowance</t>
  </si>
  <si>
    <t>bank charges</t>
  </si>
  <si>
    <t>salaries and Wages</t>
  </si>
  <si>
    <t>Staff expense</t>
  </si>
  <si>
    <t>Trans Date</t>
  </si>
  <si>
    <t>Value Date</t>
  </si>
  <si>
    <t>Transaction Details</t>
  </si>
  <si>
    <t>21-MAY-
2025</t>
  </si>
  <si>
    <t>016NIPT251410435 NIP TRSF FROM AYOBAMI JOEL ATOLAGBE IIH HALL BOOKING by</t>
  </si>
  <si>
    <t>016EMTL251410057     ELECTRONIC     MONEY TRANSFER LEVY</t>
  </si>
  <si>
    <t>30-MAY-
2025</t>
  </si>
  <si>
    <t>000MOBT25150A0VX Payment for 4 flags US EU UNDP NG NIP Transfer from ILORIN INNOVATION HUB LTD to LET S BR</t>
  </si>
  <si>
    <t>0168840251500001 BNG LEGAL SEARCH FEE FOR ILORIN INNOVATION  HUB LTD0040117676</t>
  </si>
  <si>
    <t>000MOBT25150A5H9 Purchase of cleaning supplies NIP Transfer from ILORIN INNOVATION HUB LTD to MAUREEN DANIE</t>
  </si>
  <si>
    <t>000MOBT25150AA0U      NIP     Transfer     from ILORIN  INNOVATION  HUB  LTD  to  MAUREEN
DANIEL OKEY</t>
  </si>
  <si>
    <t>000MOBT25150AA0U NIP  Transfer  from ILORIN INNOVATION HUB LTD to MAUREEN DANIEL OKEY</t>
  </si>
  <si>
    <t>016AMFC251500023                             ACCOUNT MAINTENANCE FEE</t>
  </si>
  <si>
    <t>016AMFV251500021   VAT   ON  TRANSACTION CHARGES</t>
  </si>
  <si>
    <t>000MOBT25150AJEP           REFUND           FOR PURCHASE    OF    SPEAKER    SYSTEM    NIP
Transfer from ILORIN INNOVATION HUB LTD</t>
  </si>
  <si>
    <t>02-JUN-
2025</t>
  </si>
  <si>
    <t>000NEFI251530339 NEFT INWARD STP CR - ILORIN INNOVATION HUB (Q2 ONE-OFF I B/O IHS (NIGERIA) LIMITED</t>
  </si>
  <si>
    <t>000MOBT25153A588  IIH  SALARY  MAY  2025
NIP  Transfer  from  ILORIN  INNOVATION  HUB LTD to ONUCHUKWU  SINACHI GOOD</t>
  </si>
  <si>
    <t>000MOBT25153A5CB  IIH  SALARY  MAY  2025
ALLOWANCES   NIP   Transfer    from   ILORIN INNOVATION HUB LTD to ONUCHUKWU  S</t>
  </si>
  <si>
    <t>000MOBT25153A5D4  IIH  MAY  2025  SALARY
ALLOWANCES   NIP   Transfer    from   ILORIN INNOVATION HUB LTD to OLUWADAMILA</t>
  </si>
  <si>
    <t>000MOBT25153A5G3  IIH  SALARY  MAY  2025
ALLOWANCES   NIP   Transfer    from   ILORIN INNOVATION HUB LTD to TEMILOLUWA</t>
  </si>
  <si>
    <t>000MOBT25153A5H1  IIH  SALARY  MAY  2025
ALLOWANCES   NIP   Transfer    from   ILORIN INNOVATION HUB LTD to KHADIJAT ZU</t>
  </si>
  <si>
    <t>000MOBT25153A5JT  IIH  SALARY  MAY  2025
ALLOWANCES   NIP   Transfer    from   ILORIN INNOVATION HUB LTD to OLALEYE KAY</t>
  </si>
  <si>
    <t>016EMTL2515300B9     ELECTRONIC     MONEY TRANSFER LEVY</t>
  </si>
  <si>
    <t>03-JUN-
2025</t>
  </si>
  <si>
    <t>000MOBT251540405      IIH      MAY      SALARY
ALLOWANCES   NIP   Transfer    from   ILORIN INNOVATION HUB LTD to MUHAMMED</t>
  </si>
  <si>
    <t>000MOBT251540515      IIH      MAY      SALARY
ALLOWANCES   NIP   Transfer    from   ILORIN INNOVATION HUB LTD to OKEY MAUREEN</t>
  </si>
  <si>
    <t>000MOBT251540536            MAY            SALARY
ALLOWANCES   NIP   Transfer    from   ILORIN INNOVATION HUB LTD to HENRY MGBECHI</t>
  </si>
  <si>
    <t>000MOBT251541459            MAY            SALARY
ALLOWANCES   NIP   Transfer    from   ILORIN INNOVATION HUB LTD to AKANDE</t>
  </si>
  <si>
    <t>000NEFI251540263 NEFT INWARD STP CR - ILORIN INNOVATION HUB OPERATIONAL C B/O IHS (NIGERIA) LIMITED</t>
  </si>
  <si>
    <t>000NEFI251540264 NEFT INWARD STP CR - ILORIN INNOVATION HUB (Q2 RECURRENT B/O IHS (NIGERIA) LIMITED</t>
  </si>
  <si>
    <t>000MOBT25154A0ED   IIH   DEPOSIT   REFUND
FOR   BITKWA   EVENT    NIP    Transfer   from ILORIN INNOVATION HUB LTD to AYOBAMI</t>
  </si>
  <si>
    <t>000MOBT25154A0F7  JUNE  OFFICE SUPPLIES
NIP  Transfer  from  ILORIN  INNOVATION  HUB LTD to MAUREEN DANIEL OKEY</t>
  </si>
  <si>
    <t>000MOBT25154A15G          50          JANITORIAL
CLEANING     NIP     Transfer     from     ILORIN INNOVATION HUB LTD to SIII MULTIPURPOSE</t>
  </si>
  <si>
    <t>016EMTL2515400BW    ELECTRONIC    MONEY TRANSFER LEVY</t>
  </si>
  <si>
    <t>016EMTL2515400CD     ELECTRONIC     MONEY TRANSFER LEVY</t>
  </si>
  <si>
    <t>000MOBT25154A3ZU         MARCH         SALARY
ALLOWANCES   NIP   Transfer    from   ILORIN INNOVATION HUB LTD to TEMILOLUWA</t>
  </si>
  <si>
    <t>000MOBT25154A401         MARCH         SALARY
ALLOWANCES   NIP   Transfer    from   ILORIN INNOVATION HUB LTD to OLALEYE KAYODE</t>
  </si>
  <si>
    <t>000MOBT25154A405          APRIL          SALARY
ALLOWANCES   NIP   Transfer    from   ILORIN INNOVATION HUB LTD to TEMILOLUWA</t>
  </si>
  <si>
    <t>000MOBT25154A408          APRIL          SALARY
ALLOWANCES   NIP   Transfer    from   ILORIN INNOVATION HUB LTD to OLALEYE KAYODE</t>
  </si>
  <si>
    <t>04-JUN-
2025</t>
  </si>
  <si>
    <t>000MOBT251557167            ZOHO           BOOKS
STANDARD PLAN 3 USERS NIP Transfer from ILORIN INNOVATION HUB LTD to PAYSTACK</t>
  </si>
  <si>
    <t>000MOBT251557289      ZOHO      WORKPLACE
UPGRADE 5 USERS NIP Transfer from ILORIN INNOVATION HUB LTD to PAYSTACK CHE</t>
  </si>
  <si>
    <t>05-JUN-
2025</t>
  </si>
  <si>
    <t>0165522251560001 BNG LEGAL SEARCH FEE FOR ILORIN INNOVATION HUB LTD</t>
  </si>
  <si>
    <t>000MOBT251567774    STARLINK    PURCHASE
INSTALLATION   NIP   Transfer   from   ILORIN INNOVATION HUB LTD to FEMTECH INF</t>
  </si>
  <si>
    <t>016NIPT251560778 NIP TRSF FROM COCREATION HUB LIMITED ER-05417 IHS ILORIN INNOVATION REFUND TO</t>
  </si>
  <si>
    <t>10-JUN-
2025</t>
  </si>
  <si>
    <t>000MOBT25161B18D  Reimbursement    for Office Equipment purchase NIP Transfer from ILORIN INNOVATION HUB LTD t</t>
  </si>
  <si>
    <t>000MOBT25161B1AA DSTV Compact Xtraview Subscription NIP Transfer from ILORIN INNOVATION HUB LTD to ISAIAH</t>
  </si>
  <si>
    <t>000MOBT25161B2CT Electrical security light repair NIP Transfer from ILORIN INNOVATION HUB LTD to ELIJAH OD</t>
  </si>
  <si>
    <t>000MOBT25161B2EN  Reimbursement  for waste disposal payment NIP Transfer from ILORIN INNOVATION HUB LTD to HE</t>
  </si>
  <si>
    <t>000MOBT25161B2FU MTN FIBER Installation 45MBPS Monthly NIP Transfer from ILORIN INNOVATION HUB LTD to MTN</t>
  </si>
  <si>
    <t>000MOBT25161B2JT  LANDPHONE PURCHASE
HUAWEI      NIP      Transfer      from      ILORIN INNOVATION HUB LTD to FEMTECH PHONES</t>
  </si>
  <si>
    <t>000MOBT25161B3P2         STAFF         PHONES
PURCHASE     NIP     Transfer     from     ILORIN INNOVATION HUB LTD to TOO SCARCE</t>
  </si>
  <si>
    <t>000MOBT25161B5H1   LED   SCREEN   REPAIR
NIP  Transfer  from  ILORIN  INNOVATION  HUB LTD to CORPORATE SWAGGZ   CSI ME</t>
  </si>
  <si>
    <t>016EMTL2516100GH     ELECTRONIC     MONEY TRANSFER LEVY</t>
  </si>
  <si>
    <t>000MOBT25161BB6Q    SMALL    CHOPS    FOR
FIRESIDE CHAT WITH IYIN NIP Transfer from ILORIN INNOVATION HUB LTD to JIM</t>
  </si>
  <si>
    <t>11-JUN-
2025</t>
  </si>
  <si>
    <t>000MOBT251621922           ZOHO           PEOPLE
ENTERPRISE  16  USERS  NIP  Transfer  from ILORIN INNOVATION HUB LTD to PAYSTACK</t>
  </si>
  <si>
    <t>13-JUN-
2025</t>
  </si>
  <si>
    <t>000MOBT251646244      SECURITY      SERVICE
HALF   PAYMENT   JUNE   NIP   Transfer   from ILORIN INNOVATION HUB LTD to ROHI INT</t>
  </si>
  <si>
    <t>16-JUN-
2025</t>
  </si>
  <si>
    <t>000MOBT251675348     STAFF     LUNCH     NIP
Transfer  from  ILORIN  INNOVATION  HUB  LTD to BOA FOODS RESTAURANT LTD</t>
  </si>
  <si>
    <t>000MOBT251676319      MAY      SALARY      NIP
Transfer  from  ILORIN  INNOVATION  HUB  LTD to AYORINDE OLAMIDE OPEMIPO</t>
  </si>
  <si>
    <t>000MOBT25167AD55 FIRMAN GENERATOR PURCHASE 3 ITEL EXTENSIONS NIP Transfer from ILORIN INNOVATION HUB LTD t</t>
  </si>
  <si>
    <t>000MOBT25167AHII  PURCHASE  OF  DRILLING
MACHINE      NIP      Transfer      from      ILORIN INNOVATION HUB LTD to ONYEAGBA EMEKA</t>
  </si>
  <si>
    <t>000MOBT25167AHX5          PURCHASE          OF MAINTENANCE   AND   SECURITY   ITEMS   NIP
Transfer from ILORIN INNOVATION HUB LTD</t>
  </si>
  <si>
    <t>000MOBT25167AHYM   COST   OF   ALUMINIUM
DOOR  REPAIRS   NIP  Transfer  from  ILORIN INNOVATION HUB LTD to ABDULRAHEEM</t>
  </si>
  <si>
    <t>17-JUN-
2025</t>
  </si>
  <si>
    <t>000MOBT251684004 20 STAFF CUG LINES NIP
Transfer  from  ILORIN  INNOVATION  HUB  LTD to MUHAMMED NASIRU MAHMOOD</t>
  </si>
  <si>
    <t>000MOBT251688231 PURCHASE OF 2 WASTE
BINS  NIP  Transfer  from  ILORIN  INNOVATION HUB LTD to Halimat Damilola A</t>
  </si>
  <si>
    <t>18-JUN-
2025</t>
  </si>
  <si>
    <t>000MOBT251690018 ZOHO CREATOR 1 USER
ANNUAL      NIP      Transfer      from      ILORIN INNOVATION HUB LTD to PAYSTACK</t>
  </si>
  <si>
    <t>016NIPT251690179  NIP  TRSF  FROM  KWSG INT REV SERV EXP ACCT GT20250649 BEING PAYMENT TO RENT INNOVATION HUB TO</t>
  </si>
  <si>
    <t>016EMTL2516900BW    ELECTRONIC    MONEY TRANSFER LEVY</t>
  </si>
  <si>
    <t>19-JUN-
2025</t>
  </si>
  <si>
    <t>016NIPT251700200 NIP TRSF FROM DADZIE OMOTOLA VANESSA NIP Transfer to ILORIN INNOVATION HUB LTD.</t>
  </si>
  <si>
    <t>000MOBT251709749  MTN  CUG  16  LINES  NIP
Transfer  from  ILORIN  INNOVATION  HUB  LTD to POSTPAID CUSTOMERSCOLLECTI</t>
  </si>
  <si>
    <t>000MOBT25170A05E  PURCHASE  OF  POWER
BANKS       NIP       Transfer       from       ILORIN INNOVATION HUB LTD to FEMTECH PHONES</t>
  </si>
  <si>
    <t>000MOBT25170A07Q    ZOZO    MAIL    1    ONE
ADDITIONAL USER NIP Transfer from ILORIN INNOVATION HUB LTD to PAYSTACK CH</t>
  </si>
  <si>
    <t>000MOBT25170A0C0          PURCHASE          OF SAMSUNG GALAXY A06 FOR COMM MGR NIP
Transfer from ILORIN INNOVATION HUB LTD</t>
  </si>
  <si>
    <t>000MOBT25170A15P NIP  Transfer  from ILORIN INNOVATION HUB LTD to BENETTON CONSULTING LIMITED</t>
  </si>
  <si>
    <t>016EMTL25170006K     ELECTRONIC     MONEY TRANSFER LEVY</t>
  </si>
  <si>
    <t>20-JUN-
2025</t>
  </si>
  <si>
    <t>0166678251710001 REMITTA PAYMENT IFO E-
payment   till   –Olaoluwa   Ishola   B/O   ILORIN INNOVATION HUB LTD</t>
  </si>
  <si>
    <t>016NIPT251710467        NIP       TRSF       FROM
MICHELLE   CHIDINMA   UBA   Transfer   from MICHELLE CHIDINMA UBA</t>
  </si>
  <si>
    <t>000MOBT25171A1LE  PURCHASE  OF SNACKS FOR  ILORIN  DEV  BOX  EVENT  NIP  Transfer
from ILORIN INNOVATION HUB LTD to</t>
  </si>
  <si>
    <t>000MOBT25171A1LE PURCHASE OF SNACKS FOR ILORIN DEV BOX EVENT NIP Transfer from ILORIN INNOVATION HUB LTD to</t>
  </si>
  <si>
    <t>016EMTL251710057     ELECTRONIC     MONEY TRANSFER LEVY</t>
  </si>
  <si>
    <t>23-JUN-
2025</t>
  </si>
  <si>
    <t>000MOBT251740051        BREAKFAST        FOR MASTERCLASS       WITH       PRINCE       DAPO
ADELEGAN NIP Transfer from ILORIN</t>
  </si>
  <si>
    <t>000MOBT251743898   AIRTEL  WIFI  MONTHLY
RENEWAL      NIP     Transfer     from     ILORIN INNOVATION HUB LTD to PAYSTACK CHECK</t>
  </si>
  <si>
    <t>000MOBT25174AIVI PURCHASE OF UTENCILS MICROWAVE FOR VIP  LOUNGE NIP  Transfer from ILORIN INNOVATION HUB LTD</t>
  </si>
  <si>
    <t>000MOBT25174AIX6           PURCHASE           OF
SOUVENIR  MUGS  NIP  Transfer  from  ILORIN INNOVATION HUB LTD to SQUAD KITCHEN</t>
  </si>
  <si>
    <t>000MOBT25174ALEW    PURCHASE    OF   ONE
YEAR ZOHO FORMS NIP Transfer from ILORIN INNOVATION HUB LTD to PAYSTACK CH</t>
  </si>
  <si>
    <t>000MOBT25174ALSD          PURCHASE          OF WASHROOM          HANDTAP          ADDITIONAL
INSTALLATION MATERIALS NIP Transfer from</t>
  </si>
  <si>
    <t>000MOBT25174ALT1         1HP        AC        FOR
MAINTENANCE   OFFICE   NIP   Transfer   from ILORIN INNOVATION HUB LTD to CYCLE</t>
  </si>
  <si>
    <t>24-JUN-
2025</t>
  </si>
  <si>
    <t>000MOBT251750725  NIP  Transfer  from ILORIN INNOVATION HUB LTD to  Infinitus Innovations Limited    FOODSTER</t>
  </si>
  <si>
    <t>000MOBT251751920       SECURITY       SALARY
OFFSET      NIP      Transfer      from      ILORIN INNOVATION HUB LTD to OKPE EDWIN</t>
  </si>
  <si>
    <t>000MOBT251753537 IHS VISITOR LUNCH  NIP
Transfer  from  ILORIN  INNOVATION  HUB  LTD to BOA FOODS RESTAURANT LTD</t>
  </si>
  <si>
    <t>000MOBT251758433  REIMB  FOR  PURCHASE OF  WATER  FOR  MASTERCLASS  ADELEGAN
NIP Transfer from ILORIN INNOVATION H</t>
  </si>
  <si>
    <t>000MOBT251759864    REIMBURSEMENT    FOR
RIDE  NIP  Transfer  from  ILORIN  INNOVATION HUB LTD to ONUCHUKWU  SINACHI G</t>
  </si>
  <si>
    <t>000MOBT251759905           PAYMENT           FOR
FURNITURE MAINTENANCE NIP Transfer from ILORIN INNOVATION HUB LTD to IBRAHIM A</t>
  </si>
  <si>
    <t>000MOBT25175A0AB   REIMBURSEMENT   FOR
TOILETRIES   PURCHASE   NIP   Transfer   from ILORIN INNOVATION HUB LTD to ONUCH</t>
  </si>
  <si>
    <t>000MOBT25175A0FU          PAYMENT          FOR
PLUMBING  MAINTENANCE  NIP  Transfer from ILORIN INNOVATION HUB LTD to</t>
  </si>
  <si>
    <t>000MOBT25175A0HI IHS ADDITIONAL VISITOR
LUNCH       NIP       Transfer       from       ILORIN INNOVATION HUB LTD to HENRY MGBECHI</t>
  </si>
  <si>
    <t>25-JUN-
2025</t>
  </si>
  <si>
    <t>000MOBT251766406   INITIAL   DEPOSIT   FOR PURCHASE   OF   SOUVENIRS   FOR   CCHUB
ROADSHOW  NIP Transfer from ILORIN INN</t>
  </si>
  <si>
    <t>000MOBT251769386     PURCHASE     OF     VIP LOUNGE      HOSPITALITY      SUPPLIES      NIP
Transfer from ILORIN INNOVATION HUB LTD</t>
  </si>
  <si>
    <t>000MOBT251769514 IIH SALARY JUN 2025 NIP
Transfer  from  ILORIN  INNOVATION  HUB  LTD to TEMILOLUWA OLUWALEKE KO</t>
  </si>
  <si>
    <t>000MOBT251769516 IIH SALARY JUN 2025 NIP
Transfer  from  ILORIN  INNOVATION  HUB  LTD to KHADIJAT ZUMAH SULYMAN</t>
  </si>
  <si>
    <t>000MOBT251769518 IIH SALARY JUN 2025 NIP
Transfer  from  ILORIN  INNOVATION  HUB  LTD to MUHAMMED NASIRU MAHMOOD</t>
  </si>
  <si>
    <t>000MOBT251769520 IIH SALARY JUN 2025 NIP
Transfer  from  ILORIN  INNOVATION  HUB  LTD to OKEY MAUREEN DANIEL</t>
  </si>
  <si>
    <t>000MOBT251769522 IIH SALARY JUN 2025 NIP
Transfer  from  ILORIN  INNOVATION  HUB  LTD to ONUCHUKWU  SINACHI GOOD</t>
  </si>
  <si>
    <t>000MOBT251769525 IIH SALARY JUN 2025 NIP
Transfer  from  ILORIN  INNOVATION  HUB  LTD to AKANDE OLUWASAYO TEMILO</t>
  </si>
  <si>
    <t>000MOBT251769526 IIH SALARY JUN 2025 NIP
Transfer  from  ILORIN  INNOVATION  HUB  LTD to HENRY MGBECHI CHUKWUEBU</t>
  </si>
  <si>
    <t>000MOBT251769531 IIH SALARY JUN 2025 NIP
Transfer  from  ILORIN  INNOVATION  HUB  LTD to OLUWADAMILARE EMMANUEL</t>
  </si>
  <si>
    <t>000MOBT251769535 IIH SALARY JUN 2025 NIP
Transfer  from  ILORIN  INNOVATION  HUB  LTD to AHMAD FARIDAT OLUWATOSI</t>
  </si>
  <si>
    <t>000MOBT251769537 IIH SALARY JUN 2025 NIP
Transfer  from  ILORIN  INNOVATION  HUB  LTD to YUSUF DOLAPO ABDULRAMAN</t>
  </si>
  <si>
    <t>000MOBT251769543 IIH SALARY JUN 2025 NIP
Transfer  from  ILORIN  INNOVATION  HUB  LTD to JAMIU ADEBOLA OLADIPO</t>
  </si>
  <si>
    <t>000MOBT251769544 IIH SALARY JUN 2025 NIP
Transfer  from  ILORIN  INNOVATION  HUB  LTD to AMIDAT OLUWATOSIN OLALE</t>
  </si>
  <si>
    <t>000MOBT251769545 IIH SALARY JUN 2025 NIP
Transfer  from  ILORIN  INNOVATION  HUB  LTD to MUINAT OYINKANSOLA BELL</t>
  </si>
  <si>
    <t>000MOBT251769547 IIH SALARY JUN 2025 NIP
Transfer  from  ILORIN  INNOVATION  HUB  LTD to KAMIL LANRE AHMED</t>
  </si>
  <si>
    <t>000MOBT251769553 IIH SALARY JUN 2025 NIP
Transfer  from  ILORIN  INNOVATION  HUB  LTD to SULYMAN YUSUF ALAO</t>
  </si>
  <si>
    <t>000MOBT251769555 IIH SALARY JUN 2025 NIP
Transfer  from  ILORIN  INNOVATION  HUB  LTD to OLALEYE KAYODE</t>
  </si>
  <si>
    <t>000MOBT251769557 IIH SALARY JUN 2025 NIP
Transfer  from  ILORIN  INNOVATION  HUB  LTD to AYORINDE OLAMIDE OPEMIP</t>
  </si>
  <si>
    <t>000MOBT251769563 IIH SALARY JUN 2025 NIP
Transfer  from  ILORIN  INNOVATION  HUB  LTD to OKOLIE  OGOCHUKWUKA BEN</t>
  </si>
  <si>
    <t>000MOBT251769568 IIH SALARY JUN 2025 NIP
Transfer  from  ILORIN  INNOVATION  HUB  LTD to OWARE JOAN</t>
  </si>
  <si>
    <t>000MOBT251769576 IIH SALARY JUN 2025 NIP
Transfer  from  ILORIN  INNOVATION  HUB  LTD to ABDULHAMEED BOLAJI MUST</t>
  </si>
  <si>
    <t>000MOBT251769581 IIH SALARY JUN 2025 NIP
Transfer  from  ILORIN  INNOVATION  HUB  LTD to ABDULRASAQ   ABDULRASAQ</t>
  </si>
  <si>
    <t>000MOBT251769584 IIH SALARY JUN 2025 NIP
Transfer  from  ILORIN  INNOVATION  HUB  LTD to SAMUEL STEVEN ARISE</t>
  </si>
  <si>
    <t>000MOBT251769586 IIH SALARY JUN 2025 NIP
Transfer  from  ILORIN  INNOVATION  HUB  LTD to ABDULKHALEED EYITAYO AL</t>
  </si>
  <si>
    <t>000MOBT251769587 IIH SALARY JUN 2025 NIP
Transfer  from  ILORIN  INNOVATION  HUB  LTD to SHEIDU  AL FAID OSIFOMO</t>
  </si>
  <si>
    <t>000MOBT251769595 IIH SALARY JUN 2025 NIP
Transfer  from  ILORIN  INNOVATION  HUB  LTD to HAPPINESS  SAMUEL</t>
  </si>
  <si>
    <t>27-JUN-
2025</t>
  </si>
  <si>
    <t>000MOBT251788098    NSITF    REGISTRATION
FEE    REMITA    NIP    Transfer    from    ILORIN INNOVATION HUB LTD to Remita Checko</t>
  </si>
  <si>
    <t>000MOBT251789399  IIH  STIPEND  JUNE  2025
NIP  Transfer  from  ILORIN  INNOVATION  HUB LTD to HAPPINESS  SAMUEL</t>
  </si>
  <si>
    <t>000MOBT251789463  IIH  STIPEND  JUNE  2025
NIP  Transfer  from  ILORIN  INNOVATION  HUB LTD to AOFIOLUJUWON MIRIAM D</t>
  </si>
  <si>
    <t>000MOBT251789530  PURCHASE  OF  WALKIE
TALKIE   GAMING  ITEMS  NIP  Transfer  from ILORIN INNOVATION HUB LTD to Kon</t>
  </si>
  <si>
    <t>000MOBT25178A04Q   LUNCH   FOR   INTERNS
NIP  Transfer  from  ILORIN  INNOVATION  HUB LTD to AKINVEST INTEGRATED ENTER</t>
  </si>
  <si>
    <t>000MOBT25178A0G1   SPILLOVER   SECURITY
SERVICES     NIP     Transfer     from     ILORIN INNOVATION HUB LTD to SHCM INTEGRATED</t>
  </si>
  <si>
    <t>000MOBT25178A0PD   PURCHASE   OF   GATE
PADLOCK   AND   KEYS   NIP   Transfer   from ILORIN INNOVATION HUB LTD to POS Trans</t>
  </si>
  <si>
    <t>30-JUN-
2025</t>
  </si>
  <si>
    <t>000MOBT25181A04I  INDOOR  AND  OUTDOOR
FUMIGATION   SERVICE   NIP   Transfer   from ILORIN INNOVATION HUB LTD to BENET</t>
  </si>
  <si>
    <t>000MOBT25181A08C          PAYMENT          FOR
PLUMBING    SERVICES    NIP    Transfer    from ILORIN INNOVATION HUB LTD to</t>
  </si>
  <si>
    <t>000MOBT25181ABR4          PURCHASE          OF ADDITIONAL      SOUND      EQUIPMENT      NIP
Transfer from ILORIN INNOVATION HUB LTD</t>
  </si>
  <si>
    <t>000MOBT25181ACFR     NSITF     JUNE     2025
CONTRIB      NIP      Transfer      from      ILORIN INNOVATION HUB LTD to Remita Checkout</t>
  </si>
  <si>
    <t>016AMFC251810009                             ACCOUNT MAINTENANCE FEE</t>
  </si>
  <si>
    <t>016AMFV251810009   VAT   ON  TRANSACTION CHARGES</t>
  </si>
  <si>
    <t>000MOBT25181ADCP       FACILITY       RENTAL
REFUND      NIP      Transfer      from      ILORIN INNOVATION HUB LTD to KWSG INT  REV</t>
  </si>
  <si>
    <t>000MOBT25181ADMK      TKT      ABUJA      US
EMBASSY  VISIT   NIP  Transfer  from  ILORIN INNOVATION HUB LTD to PAYSTACK</t>
  </si>
  <si>
    <t>016AMFC25181003N                             ACCOUNT MAINTENANCE FEE</t>
  </si>
  <si>
    <t>016AMFV25181003E  VAT  ON  TRANSACTION CHARGES</t>
  </si>
  <si>
    <t>01-JUL-
2025</t>
  </si>
  <si>
    <t>000MOBT25182AT02     MONTHLY     CLEANING
BALANCE      NIP      Transfer      from      ILORIN INNOVATION HUB LTD to SIII MULTIPURPOSE</t>
  </si>
  <si>
    <t>02-JUL-
2025</t>
  </si>
  <si>
    <t>000MOBT251834063      EODB      LUNCH      NIP
Transfer  from  ILORIN  INNOVATION  HUB  LTD to  BOA FOODS RESTAURANT LTD   1</t>
  </si>
  <si>
    <t>03-JUL-
2025</t>
  </si>
  <si>
    <t>000MOBT251841910   EODB  BREAKFAST  NIP
Transfer  from  ILORIN  INNOVATION  HUB  LTD to Infinitus Innovations Limite</t>
  </si>
  <si>
    <t>000MOBT251846895      EODB      Lunch      NIP
Transfer  from  ILORIN  INNOVATION  HUB  LTD to  BOA FOODS RESTAURANT LTD   1</t>
  </si>
  <si>
    <t>000MOBT251847829  MD  100 BIZ  CARDS   NIP
Transfer  from  ILORIN  INNOVATION  HUB  LTD to DOCULAND BUSINESS SOL LTD</t>
  </si>
  <si>
    <t>000MOBT25184A2YX  LOS  ABV  LOS  TRAVEL
ZUMAH       NIP       Transfer       from       ILORIN INNOVATION HUB LTD to PAYSTACK</t>
  </si>
  <si>
    <t>04-JUL-
2025</t>
  </si>
  <si>
    <t>000MOBT251851068    REIMBURSEMENT    FOR
REFRESHMENTS  NIP  Transfer  from  ILORIN INNOVATION HUB LTD to ONUCHUKWU  S</t>
  </si>
  <si>
    <t>000MOBT251851121   EODB   REFRESHMENTS
NIP  Transfer  from  ILORIN  INNOVATION  HUB LTD to JIMOH SULEIMAN OLAWALE</t>
  </si>
  <si>
    <t>000MOBT251854607    BALANCE    OF   CCHUB
ROADSHOW  SOUVENIRS  NIP  Transfer  from ILORIN INNOVATION HUB LTD to LET S B</t>
  </si>
  <si>
    <t>000MOBT251859338  TA  COMMUNITY  LUNCH
NIP  Transfer  from  ILORIN  INNOVATION  HUB LTD to  BOA FOODS RESTAURANT LT</t>
  </si>
  <si>
    <t>000MOBT25185A03Q      HMO      ONE      YEAR
LEADWAY HEALTH NIP Transfer from ILORIN INNOVATION HUB LTD to LEADWAY HEALTH</t>
  </si>
  <si>
    <t>07-JUL-
2025</t>
  </si>
  <si>
    <t>000MOBT25188A8LT   EODB   REFRESHMENTS
NIP  Transfer  from  ILORIN  INNOVATION  HUB LTD to POS Transfer   BOLANLE OK</t>
  </si>
  <si>
    <t>000MOBT25188A8MI   EODB   REFRESHMENTS
NIP  Transfer  from  ILORIN  INNOVATION  HUB LTD to Infinitus Innovations Lim</t>
  </si>
  <si>
    <t>000MOBT25188ABX7  EODB  REFRESHMENTS
NIP  Transfer  from  ILORIN  INNOVATION  HUB LTD to BANKOLE RICHARD OGUNDILE</t>
  </si>
  <si>
    <t>000MOBT25188ABZ7  PAYMENT  FOR MONTHLY WASTE DISPOSAL  NIP  Transfer from ILORIN INNOVATION HUB LTD to</t>
  </si>
  <si>
    <t>09-JUL-
2025</t>
  </si>
  <si>
    <t>000MOBT251904319    ABJ   BOLT    RIDE   NIP
Transfer  from  ILORIN  INNOVATION  HUB  LTD to BOLANLE MONICA MAKINWA</t>
  </si>
  <si>
    <t>10-JUL-
2025</t>
  </si>
  <si>
    <t>016NIPO251910009 NIP - NIP TRF IFO ALPHA TECHNOLOGIES  LIMITED  B/O   ILORIN  TECH
PARK LTD</t>
  </si>
  <si>
    <t>016NIPC251910009 NIP Charge - NIP TRF IFO ALPHA TECHNOLOGIES LIMITED B/O ILORIN TECH PARK LTD</t>
  </si>
  <si>
    <t>016VATP251910009 NIP Charge VAT - NIP TRF IFO ALPHA TECHNOLOGIES LIMITED B/O ILORIN TECH PARK LTD</t>
  </si>
  <si>
    <t>0167022251910001 BNG ISSUANCE OF 1 TOKENS (37-6477779-9 KOLAWOLE ( IFO ILORIN TECH PARK LTD)</t>
  </si>
  <si>
    <t>0167022251910001 BNG ISSUANCE OF 1 TOKENS (37-6477780-5 YAHAYA ( IFO ILORIN TECH PARK LTD)</t>
  </si>
  <si>
    <t>0167022251910001 BNG ISSUANCE OF 1 TOKENS (37-6477781-2 AHMAD ( IFO ILORIN TECH PARK LTD)</t>
  </si>
  <si>
    <t>016NIPO251910018 NIP - NIP TRF IFO JIMOH SULEIMAN OLAWALE B/O  ILORIN  TECH PARK LTD</t>
  </si>
  <si>
    <t>016NIPC251910018 NIP Charge - NIP TRF IFO JIMOH SULEIMAN OLAWALE B/O  ILORIN TECH PARK LTD</t>
  </si>
  <si>
    <t>016VATP251910018 NIP Charge VAT - NIP TRF IFO JIMOH SULEIMAN OLAWALE B/O ILORIN TECH PARK LTD</t>
  </si>
  <si>
    <t>11-JUL-
2025</t>
  </si>
  <si>
    <t>016NIPO251920002 NIP - NIP TRF IFO LET'S BRAND IT ENTERPRISES B/O ILORIN TECH PARK LTD</t>
  </si>
  <si>
    <t>016NIPC251920002 NIP Charge - NIP TRF IFO LET'S BRAND IT ENTERPRISES B/O ILORIN TECH PARK LTD</t>
  </si>
  <si>
    <t>016VATP251920002 NIP Charge VAT - NIP TRF IFO LET'S BRAND IT ENTERPRISES B/O ILORIN TECH PARK LTD</t>
  </si>
  <si>
    <t>17-JUL-
2025</t>
  </si>
  <si>
    <t>016NIPO251980008 NIP - NIP TRF IFO TEMILOLUWA OLUWALEKE KOLAWOLE B/O ILORIN TECH PARK LTD</t>
  </si>
  <si>
    <t>016NIPC251980008 NIP Charge - NIP TRF IFO TEMILOLUWA OLUWALEKE KOLAWOLE B/O ILORIN TECH PARK LTD</t>
  </si>
  <si>
    <t>016VATP251980008 NIP Charge VAT - NIP TRF IFO TEMILOLUWA OLUWALEKE KOLAWOLE B/O  ILORIN TECH PARK LTD</t>
  </si>
  <si>
    <t>016NIPO251980009 NIP  -  BNG  PAYMENT MADE FOR LAGOS HOTEL ACCOMODATION REIMBURSEMENT</t>
  </si>
  <si>
    <t>016NIPC251980009 NIP Charge - BNG PAYMENT MADE FOR LAGOS HOTEL ACCOMODATION  REIMBURSEMENT</t>
  </si>
  <si>
    <t>016VATP251980009 NIP Charge VAT - BNG PAYMENT MADE FOR LAGOS HOTEL ACCOMODATION  REIMBURSEMENT</t>
  </si>
  <si>
    <t>016NIPO251980015    NIP    -    BNG    PAYMENT MADE FOR PURCHASE OF SCAFFOLD</t>
  </si>
  <si>
    <t>016NIPC251980015 NIP Charge - BNG PAYMENT MADE FOR PURCHASE OF SCAFFOLD</t>
  </si>
  <si>
    <t>016VATP251980015 NIP Charge VAT - BNG PAYMENT MADE FOR PURCHASE OF SCAFFOLD</t>
  </si>
  <si>
    <t>18-JUL-
2025</t>
  </si>
  <si>
    <t>016NIPO251990009 NIP - NIP TRF IFO ISREAL ABIODUN B/O  ILORIN TECH PARK LTD</t>
  </si>
  <si>
    <t>016NIPC251990009 NIP Charge - NIP TRF IFO ISREAL ABIODUN B/O ILORIN TECH PARK LTD</t>
  </si>
  <si>
    <t>016VATP251990009 NIP Charge VAT - NIP TRF IFO   ISREAL   ABIODUN   B/O    ILORIN   TECH
PARK LTD</t>
  </si>
  <si>
    <t>000MOBT25199A0ME REIMBURSEMENT FOR STAFF BIRTHDAY FAREEDAH NIP Transfer from ILORIN INNOVATION HUB LTD to O</t>
  </si>
  <si>
    <t>000MOBT25199A0U0              REIMBURSEMENT
STAFF   BIRTHDAY   NAS   NIP   Transfer   from ILORIN INNOVATION HUB LTD to</t>
  </si>
  <si>
    <t>000MOBT25199A0W7                               TRAVEL REIMBURSEMENT   ABUJA  HOTEL  TAXI  NIP
Transfer from ILORIN INNOVATION HUB LTD</t>
  </si>
  <si>
    <t>000MOBT25199A0YV              REIMBURSEMENT
STARLINK  JUL10  AUG10  NIP  Transfer  from ILORIN INNOVATION HUB LTD to TEMILOLU</t>
  </si>
  <si>
    <t>21-JUL-
2025</t>
  </si>
  <si>
    <t>000MOBT25202A2F1     REFRESHMENTS    3SU
MENTORSHIP    EVENT    NIP    Transfer    from ILORIN INNOVATION HUB LTD to  BOA FOOD</t>
  </si>
  <si>
    <t>000MOBT25202ADQO PAYMENT FOR AIRTEL MONTHLY INTERNET BACKUP NIP Transfer from ILORIN INNOVATION HUB LTD to</t>
  </si>
  <si>
    <t>22-JUL-
2025</t>
  </si>
  <si>
    <t>000MOBT252030888  AC  MAINTENANCE  GAS
NIP  Transfer  from  ILORIN  INNOVATION  HUB LTD to KAYDEEN INTEGRATED SERVI</t>
  </si>
  <si>
    <t>000MOBT252037206    REIMBURSEMENT    FOR
FUEL NIP Transfer from ILORIN INNOVATION HUB LTD to TEMILOLUWA OLUWALEKE</t>
  </si>
  <si>
    <t>23-JUL-
2025</t>
  </si>
  <si>
    <t>000MOBT25204A0WG  PAYMENT  FOR  STAFF
ID CARD PRINTING NIP Transfer from ILORIN INNOVATION HUB LTD to PRINT WO</t>
  </si>
  <si>
    <t>000MOBT25204A0XM PAYMENT FOR ID CARD
LANYARDS  AND  CASES  NIP  Transfer  from ILORIN INNOVATION HUB LTD to LET</t>
  </si>
  <si>
    <t>000MOBT25204A197    PAYMENT    FOR    3SU
REFRESHMENTS  WATER  NIP  Transfer  from ILORIN INNOVATION HUB LTD to OLALUWOY</t>
  </si>
  <si>
    <t>24-JUL-
2025</t>
  </si>
  <si>
    <t>000MOBT252054108     PAYMENT     FOR     3SU
REFRESHMENTS  NIP  Transfer  from  ILORIN INNOVATION HUB LTD to  BOA FOODS RES</t>
  </si>
  <si>
    <t>000MOBT252055681 LUNCH FOR IHS GUESTS
NIP  Transfer  from  ILORIN  INNOVATION  HUB LTD to THE GREEN DOOR FOOD LA</t>
  </si>
  <si>
    <t>000MOBT252056033 LUNCH FOR IHS GUESTS
NIP  Transfer  from  ILORIN  INNOVATION  HUB LTD to  BOA FOODS RESTAURANT</t>
  </si>
  <si>
    <t>000MOBT252057480 LUNCH FOR IHS GUESTS
NIP  Transfer  from  ILORIN  INNOVATION  HUB LTD to DAVID ABIDEMI OWOJAIYE</t>
  </si>
  <si>
    <t>000MOBT25205A11V   REIMBURSEMENT   FOR
REFRESHMENTS TA COMM NIP Transfer from ILORIN INNOVATION HUB LTD to HENR</t>
  </si>
  <si>
    <t>000MOBT25205A12X   REIMBURSEMENT   FOR
REFRESHMENTS   EODB   NIP   Transfer   from ILORIN INNOVATION HUB LTD to ONUCHUK</t>
  </si>
  <si>
    <t>25-JUL-
2025</t>
  </si>
  <si>
    <t>000MOBT252067575     PAYMENT     FOR     3SU
REFRESHMENTS  NIP  Transfer  from  ILORIN INNOVATION HUB LTD to  BOA FOODS RES</t>
  </si>
  <si>
    <t>016NIPO252060019   NIP  -  ILH  SALARY  JUL
2025</t>
  </si>
  <si>
    <t>016NIPC252060019 NIP Charge - ILH SALARY JUL 2025</t>
  </si>
  <si>
    <t>016VATP252060019   NIP   Charge   VAT   -   ILH SALARY JUL 2025</t>
  </si>
  <si>
    <t>016NIPO252060020   NIP  -  ILH  SALARY  JUL
2025</t>
  </si>
  <si>
    <t>016NIPC252060020 NIP Charge - ILH SALARY JUL 2025</t>
  </si>
  <si>
    <t>016VATP252060020   NIP   Charge   VAT   -   ILH SALARY JUL 2025</t>
  </si>
  <si>
    <t>016NIPO252060021   NIP  -  ILH  SALARY  JUL
2025</t>
  </si>
  <si>
    <t>016NIPC252060021 NIP Charge - ILH SALARY JUL 2025</t>
  </si>
  <si>
    <t>016VATP252060021   NIP   Charge   VAT   -   ILH SALARY JUL 2025</t>
  </si>
  <si>
    <t>016NIPO252060022   NIP  -  ILH  SALARY  JUL
2025</t>
  </si>
  <si>
    <t>016NIPC252060022 NIP Charge - ILH SALARY JUL 2025</t>
  </si>
  <si>
    <t>016VATP252060022   NIP   Charge   VAT   -   ILH SALARY JUL 2025</t>
  </si>
  <si>
    <t>016NIPO252060023   NIP  -  ILH  SALARY  JUL
2025</t>
  </si>
  <si>
    <t>016NIPC252060023 NIP Charge - ILH SALARY JUL 2025</t>
  </si>
  <si>
    <t>016VATP252060023   NIP   Charge   VAT   -   ILH SALARY JUL 2025</t>
  </si>
  <si>
    <t>016NIPO252060024   NIP  -  ILH  SALARY  JUL
2025</t>
  </si>
  <si>
    <t>016NIPC252060024 NIP Charge - ILH SALARY JUL 2025</t>
  </si>
  <si>
    <t>016VATP252060024   NIP   Charge   VAT   -   ILH SALARY JUL 2025</t>
  </si>
  <si>
    <t>016NIPO252060025   NIP  -  ILH  SALARY  JUL
2025</t>
  </si>
  <si>
    <t>016NIPC252060025 NIP Charge - ILH SALARY JUL 2025</t>
  </si>
  <si>
    <t>016VATP252060025   NIP   Charge   VAT   -   ILH SALARY JUL 2025</t>
  </si>
  <si>
    <t>016NIPO252060026   NIP  -  ILH  SALARY  JUL
2025</t>
  </si>
  <si>
    <t>016NIPC252060026 NIP Charge - ILH SALARY JUL 2025</t>
  </si>
  <si>
    <t>016VATP252060026   NIP   Charge   VAT   -   ILH SALARY JUL 2025</t>
  </si>
  <si>
    <t>016NIPO252060028   NIP  -  ILH  SALARY  JUL
2025</t>
  </si>
  <si>
    <t>016NIPC252060028 NIP Charge - ILH SALARY JUL 2025</t>
  </si>
  <si>
    <t>016VATP252060028   NIP   Charge   VAT   -   ILH SALARY JUL 2025</t>
  </si>
  <si>
    <t>016NIPO252060029   NIP  -  ILH  SALARY  JUL
2025</t>
  </si>
  <si>
    <t>016NIPC252060029 NIP Charge - ILH SALARY JUL 2025</t>
  </si>
  <si>
    <t>016VATP252060029   NIP   Charge   VAT   -   ILH SALARY JUL 2025</t>
  </si>
  <si>
    <t>016NIPO252060030   NIP  -  ILH  SALARY  JUL
2025</t>
  </si>
  <si>
    <t>016NIPC252060030 NIP Charge - ILH SALARY JUL 2025</t>
  </si>
  <si>
    <t>016VATP252060030   NIP   Charge   VAT   -   ILH SALARY JUL 2025</t>
  </si>
  <si>
    <t>016NIPO252060031   NIP  -  ILH  SALARY  JUL
2025</t>
  </si>
  <si>
    <t>016NIPC252060031 NIP Charge - ILH SALARY JUL 2025</t>
  </si>
  <si>
    <t>016VATP252060031   NIP   Charge   VAT   -   ILH SALARY JUL 2025</t>
  </si>
  <si>
    <t>016NIPO252060032   NIP  -  ILH  SALARY  JUL
2025</t>
  </si>
  <si>
    <t>016NIPC252060032 NIP Charge - ILH SALARY JUL 2025</t>
  </si>
  <si>
    <t>016VATP252060032   NIP   Charge   VAT   -   ILH SALARY JUL 2025</t>
  </si>
  <si>
    <t>016NIPO252060033   NIP  -  ILH  SALARY  JUL
2025</t>
  </si>
  <si>
    <t>016NIPC252060033 NIP Charge - ILH SALARY JUL 2025</t>
  </si>
  <si>
    <t>016VATP252060033   NIP   Charge   VAT   -   ILH SALARY JUL 2025</t>
  </si>
  <si>
    <t>016NIPO252060034   NIP  -  ILH  SALARY  JUL
2025</t>
  </si>
  <si>
    <t>016NIPC252060034 NIP Charge - ILH SALARY JUL 2025</t>
  </si>
  <si>
    <t>016VATP252060034   NIP   Charge   VAT   -   ILH SALARY JUL 2025</t>
  </si>
  <si>
    <t>016NIPO252060035   NIP  -  ILH  SALARY  JUL
2025</t>
  </si>
  <si>
    <t>016NIPC252060035 NIP Charge - ILH SALARY JUL 2025</t>
  </si>
  <si>
    <t>016VATP252060035   NIP   Charge   VAT   -   ILH SALARY JUL 2025</t>
  </si>
  <si>
    <t>016NIPO252060036   NIP  -  ILH  SALARY  JUL
2025</t>
  </si>
  <si>
    <t>016NIPC252060036 NIP Charge - ILH SALARY JUL 2025</t>
  </si>
  <si>
    <t>016VATP252060036   NIP   Charge   VAT   -   ILH SALARY JUL 2025</t>
  </si>
  <si>
    <t>016NIPO252060037   NIP  -  ILH  SALARY  JUL
2025</t>
  </si>
  <si>
    <t>016NIPC252060037 NIP Charge - ILH SALARY JUL 2025</t>
  </si>
  <si>
    <t>016VATP252060037   NIP   Charge   VAT   -   ILH SALARY JUL 2025</t>
  </si>
  <si>
    <t>016NIPO252060038   NIP  -  ILH  SALARY  JUL
2025</t>
  </si>
  <si>
    <t>016NIPC252060038 NIP Charge - ILH SALARY JUL 2025</t>
  </si>
  <si>
    <t>016VATP252060038   NIP   Charge   VAT   -   ILH SALARY JUL 2025</t>
  </si>
  <si>
    <t>016NIPO252060039   NIP  -  ILH  SALARY  JUL
2025</t>
  </si>
  <si>
    <t>016NIPC252060039 NIP Charge - ILH SALARY JUL 2025</t>
  </si>
  <si>
    <t>016VATP252060039   NIP   Charge   VAT   -   ILH SALARY JUL 2025</t>
  </si>
  <si>
    <t>016NIPO252060040   NIP  -  ILH  SALARY  JUL
2025</t>
  </si>
  <si>
    <t>016NIPC252060040 NIP Charge - ILH SALARY JUL 2025</t>
  </si>
  <si>
    <t>016VATP252060040   NIP   Charge   VAT   -   ILH SALARY JUL 2025</t>
  </si>
  <si>
    <t>016NIPO252060041   NIP  -  ILH  SALARY  JUL
2025</t>
  </si>
  <si>
    <t>016NIPC252060041 NIP Charge - ILH SALARY JUL 2025</t>
  </si>
  <si>
    <t>016VATP252060041   NIP   Charge   VAT   -   ILH SALARY JUL 2025</t>
  </si>
  <si>
    <t>016NIPO252060042   NIP  -  ILH  SALARY  JUL
2025</t>
  </si>
  <si>
    <t>016NIPC252060042 NIP Charge - ILH SALARY JUL 2025</t>
  </si>
  <si>
    <t>016VATP252060042   NIP   Charge   VAT   -   ILH SALARY JUL 2025</t>
  </si>
  <si>
    <t>016NIPO252060043   NIP  -  ILH  SALARY  JUL
2025</t>
  </si>
  <si>
    <t>016NIPC252060043 NIP Charge - ILH SALARY JUL 2025</t>
  </si>
  <si>
    <t>016VATP252060043   NIP   Charge   VAT   -   ILH SALARY JUL 2025</t>
  </si>
  <si>
    <t>016NIPO252060044   NIP  -  ILH  SALARY  JUL
2025</t>
  </si>
  <si>
    <t>016NIPC252060044 NIP Charge - ILH SALARY JUL 2025</t>
  </si>
  <si>
    <t>016VATP252060044   NIP   Charge   VAT   -   ILH SALARY JUL 2025</t>
  </si>
  <si>
    <t>016NIPO252060045   NIP  -  ILH  SALARY  JUL
2025</t>
  </si>
  <si>
    <t>016NIPC252060045 NIP Charge - ILH SALARY JUL 2025</t>
  </si>
  <si>
    <t>016VATP252060045   NIP   Charge   VAT   -   ILH SALARY JUL 2025</t>
  </si>
  <si>
    <t>28-JUL-
2025</t>
  </si>
  <si>
    <t>000MOBT25209AM38 JULY OFFICE SUPPLIES
NIP  Transfer  from  ILORIN  INNOVATION  HUB LTD to MAUREEN DANIEL OKEY</t>
  </si>
  <si>
    <t>29-JUL-
2025</t>
  </si>
  <si>
    <t>000MOBT252101281  MD  ILORINLAGOS  TRIP
NIP  Transfer  from  ILORIN  INNOVATION  HUB LTD to PAYSTACK CHECKOUT</t>
  </si>
  <si>
    <t>016NIPO252100014   NIP   -   BEING   PAYMENT FOR PURCHASE OF 160A 4 POLE BEAKER</t>
  </si>
  <si>
    <t>016NIPC252100013 NIP Charge - BEING PAYMENT FOR PURCHASE OF 160A 4 POLE BEAKER</t>
  </si>
  <si>
    <t>016VATP252100013 NIP  Charge VAT - BEING PAYMENT FOR PURCHASE OF 160A 4 POLE BEAKER</t>
  </si>
  <si>
    <t>016NIPO252100015 NIP - BNG PYT TO HIRE AND  TRANSPORT  20KVA  DIESEL GENERATOR FOR 7 DAYS</t>
  </si>
  <si>
    <t>016NIPC252100014 NIP Charge - BNG PYT TO HIRE AND TRANSPORT 20KVA DIESEL GENERATOR FOR 7 DAYS</t>
  </si>
  <si>
    <t>016VATP252100014 NIP Charge VAT - BNG PYT TO HIRE AND TRANSPORT 20KVA DIESEL GENERATOR FOR 7 DAYS</t>
  </si>
  <si>
    <t>016NIPT252100475  NIP  TRSF  FROM  ISREAL
ABIODUN     Premium-Refund     of     generator rentage @ ilorin innov</t>
  </si>
  <si>
    <t>000MOBT25210A23U   PAYMENT   FOR   20KVA GEN  RENTAL  AND  TRANSPORT  ELEVATOR
INSTALL NIP Transfer from ILORIN INNOV</t>
  </si>
  <si>
    <t>016EMTL2521000EA     ELECTRONIC     MONEY TRANSFER LEVY</t>
  </si>
  <si>
    <t>30-JUL-
2025</t>
  </si>
  <si>
    <t>000MOBT252115101    PAYMENT   FOR   FOOD
FOR  IHS  GUESTS  NIP  Transfer  from  ILORIN INNOVATION HUB LTD to  BOA FOODS</t>
  </si>
  <si>
    <t>000MOBT252116629   PAYMENT   FOR   STAFF
TRAINING  LUNCH  NIP  Transfer  from  ILORIN INNOVATION HUB LTD to  BOA FOODS</t>
  </si>
  <si>
    <t>000MOBT25211A0YD   REIMBURSEMENT   FOR
GUEST  REFRESHMENTS  NIP  Transfer  from ILORIN INNOVATION HUB LTD to MAUREE</t>
  </si>
  <si>
    <t>000MOBT25211A108   PAYMENT   FOR   STAFF
TRAINING  LUNCH   NIP  Transfer  from  ILORIN INNOVATION HUB LTD to  BOA FOOD</t>
  </si>
  <si>
    <t>000MOBT25211A11L   REIMBURSEMENT   FOR STAFF    BIRTHDAY    CAKE    ADEBOLA    NIP
Transfer from ILORIN INNOVATION HUB LTD</t>
  </si>
  <si>
    <t>31-JUL-
2025</t>
  </si>
  <si>
    <t>000MOBT252127799    PAYMENT    FOR    JULY
WASTE  DISPOSAL  NIP  Transfer  from  ILORIN INNOVATION HUB LTD to EXTREME GLO</t>
  </si>
  <si>
    <t>016NIPO252120019 NIP - BNG PYT FOR JULY
2025 SECURITY SERVICE</t>
  </si>
  <si>
    <t>016NIPC252120019   NIP  Charge  -  BNG  PYT FOR JULY 2025 SECURITY SERVICE</t>
  </si>
  <si>
    <t>016VATP252120019  NIP  Charge  VAT  -  BNG PYT FOR JULY 2025 SECURITY SERVICE</t>
  </si>
  <si>
    <t>016AMFV25212002M  VAT  ON  TRANSACTION CHARGES</t>
  </si>
  <si>
    <t>016AMFC25212003P                             ACCOUNT MAINTENANCE FEE</t>
  </si>
  <si>
    <t>000MOBT25212AB40   PAYMENT   FOR   ZOHO CAMPAIGNS   5000CONTACTS   ANNUAL   NIP
Transfer from ILORIN INNOVATION HUB LTD</t>
  </si>
  <si>
    <t>01-AUG-
2025</t>
  </si>
  <si>
    <t>000MOBT252131560           PAYMENT           FOR
OUTDOOR RING PAINTING NIP Transfer from ILORIN INNOVATION HUB LTD to BENETTON</t>
  </si>
  <si>
    <t>016AMFC25213000D                             ACCOUNT MAINTENANCE FEE</t>
  </si>
  <si>
    <t>016AMFV252130008   VAT   ON  TRANSACTION CHARGES</t>
  </si>
  <si>
    <t>016NIPO252130019 NIP - BNG PYT FOR JULY
2025 JANITORIAL SERVICE</t>
  </si>
  <si>
    <t>016NIPC252130019   NIP  Charge  -  BNG  PYT FOR JULY 2025 JANITORIAL SERVICE</t>
  </si>
  <si>
    <t>016VATP252130019  NIP  Charge  VAT  -  BNG PYT FOR JULY 2025 JANITORIAL SERVICE</t>
  </si>
  <si>
    <t>000MOBT252136754 ILORININNOVATIONHUBCOM                DOMAIN
RENEWAL NIP Transfer from ILORIN</t>
  </si>
  <si>
    <t>016NIPT252130273 NIP TRSF FROM TEMILOLUWA OLUWALEKE KOLAWOLE ABJ BOLT RIDE REFUND</t>
  </si>
  <si>
    <t>016EMTL2521300NZ     ELECTRONIC     MONEY TRANSFER LEVY</t>
  </si>
  <si>
    <t>04-AUG-
2025</t>
  </si>
  <si>
    <t>000MOBT252169336 REIMBURSEMENT FOR SUI EVENT  REFRESHMENTS  NIP  Transfer from ILORIN INNOVATION HUB LTD to M</t>
  </si>
  <si>
    <t>000MOBT25216AAFF   PAYMENT   FOR   STAFF
BIRTHDAY  CAKE  TOSIN  NIP  Transfer  from ILORIN INNOVATION HUB LTD to Infin</t>
  </si>
  <si>
    <t>016NIPO252160001   NIP   -   BNG   PYT   FOR BOOKING ID 2508030403119</t>
  </si>
  <si>
    <t>016NIPC252160001   NIP  Charge  -  BNG  PYT FOR BOOKING ID 2508030403119</t>
  </si>
  <si>
    <t>016VATP252160001  NIP  Charge  VAT  -  BNG PYT FOR BOOKING ID 2508030403119</t>
  </si>
  <si>
    <t>016NIPO252160002   NIP   -   BNG   PYT   FOR BOOKING ID 2508030403119</t>
  </si>
  <si>
    <t>016NIPC252160002   NIP  Charge  -  BNG  PYT FOR BOOKING ID 2508030403119</t>
  </si>
  <si>
    <t>016VATP252160002  NIP  Charge  VAT  -  BNG PYT FOR BOOKING ID 2508030403119</t>
  </si>
  <si>
    <t>000MOBT25216AHDE     SECURITY     DEPOSIT
REDUND   3SU   NIP   Transfer   from   ILORIN INNOVATION HUB LTD to BLAISE MICHAELS</t>
  </si>
  <si>
    <t>000MOBT25216AHJJ            NHF            SALARY
DEDUCTION    REFUND    NIP    Transfer    from ILORIN INNOVATION HUB LTD to AHMAD</t>
  </si>
  <si>
    <t>000MOBT25216AHQL     SECURITY     DEPOSIT
REFUND SUI BLOCKCHAIN NIP Transfer from ILORIN INNOVATION HUB LTD to SAMU</t>
  </si>
  <si>
    <t>000MOBT25216AMLC ADDITIONAL 6 DAY GEN RENTAL    FOR    ELEVATOR    INSTALL    NIP
Transfer from ILORIN INNOVATION HUB L</t>
  </si>
  <si>
    <t>05-AUG-
2025</t>
  </si>
  <si>
    <t>016NIPO252170002  NIP  -  BNG  PYT  FOR  Ai4
2025 START UP PASS APPLICATION</t>
  </si>
  <si>
    <t>016NIPC252170002   NIP  Charge  -  BNG  PYT FOR Ai4 2025 START UP PASS APPLICATION</t>
  </si>
  <si>
    <t>016VATP252170002 NIP Charge VAT - BNG PYT FOR Ai4 2025 START UP PASS APPLICATION</t>
  </si>
  <si>
    <t>000MOBT25217A0IN     PAYMENT     FOR     70L
DIESEL       NIP       Transfer       from       ILORIN INNOVATION HUB LTD to  One Mind Triplet Co</t>
  </si>
  <si>
    <t>06-AUG-
2025</t>
  </si>
  <si>
    <t>000MOBT252189725    PAYMENT   FOR   NSITF
JULY   CONTRIB   NIP   Transfer   from   ILORIN INNOVATION HUB LTD to Remita Check</t>
  </si>
  <si>
    <t>016NIPT252180674 NIP TRSF FROM WAKANOWWORKING CAPITAL/CAPEX 638900946004306974-4 EXCESS FUND RFD</t>
  </si>
  <si>
    <t>000MOBT252182211  MD  ILVABV  TICKET  LBS
AI   WORKSHOP    NIP   Transfer   from   ILORIN INNOVATION HUB LTD to PAYSTACK</t>
  </si>
  <si>
    <t>07-AUG-
2025</t>
  </si>
  <si>
    <t>016NIPO252190009    NIP    -    NIP    TRSF    IFO
PAYOUTSUB     Temiloluwa     Kolawole     B/O ILORIN TECH (BNG PMNT FOR Ai4 2025</t>
  </si>
  <si>
    <t>016NIPC252190009 NIP Charge - NIP TRSF IFO
PAYOUTSUB     Temiloluwa     Kolawole     B/O ILORIN TECH (BNG PMNT FOR Ai4 2025</t>
  </si>
  <si>
    <t>016VATP252190009   NIP   Charge   VAT   -   NIP
TRSF  IFO  PAYOUTSUB  Temiloluwa  Kolawole B/O ILORIN TECH (BNG PMNT FOR Ai4 2025</t>
  </si>
  <si>
    <t>016EMTL25219000H     ELECTRONIC     MONEY TRANSFER LEVY</t>
  </si>
  <si>
    <t>11-AUG-
2025</t>
  </si>
  <si>
    <t>000MOBT25223AC77   REIMBURSEMENT   FOR
LAGOSILORIN  MD  NIP  Transfer  from  ILORIN INNOVATION HUB LTD to TEMILOLUWA</t>
  </si>
  <si>
    <t>000MOBT25223AC78              REIMBURSEMENT
ABUJA LAGOS MD NIP Transfer from ILORIN INNOVATION HUB LTD to TEMILOLUWA OLU</t>
  </si>
  <si>
    <t>12-AUG-
2025</t>
  </si>
  <si>
    <t>000MOBT25224A4DH   REIMBURSEMENT   FOR
FUEL NIP Transfer from ILORIN INNOVATION HUB LTD to OKEY MAUREEN DANIEL</t>
  </si>
  <si>
    <t>13-AUG-
2025</t>
  </si>
  <si>
    <t>000MOBT252250014    REIMBURSEMENT    FOR
FUEL NIP Transfer from ILORIN INNOVATION HUB LTD to TEMILOLUWA OLUWALEKE</t>
  </si>
  <si>
    <t>14-AUG-
2025</t>
  </si>
  <si>
    <t>000MOBT252268507           PAYMENT           FOR ADDITIONAL  GEN  RENTAL  FOF  ELEVETOR
INSTALL NIP Transfer from ILORIN</t>
  </si>
  <si>
    <t>15-AUG-
2025</t>
  </si>
  <si>
    <t>000MOBT252276361   PURCHASE  OF  WATER
20     PACKS     NIP     Transfer     from     ILORIN INNOVATION HUB LTD to OLALUWOYE</t>
  </si>
  <si>
    <t>19-AUG-
2025</t>
  </si>
  <si>
    <t>000MOBT252318387           PAYMENT           FOR PURCHASE   OF   ARTIFICIAL   FLOWERS   NIP
Transfer from ILORIN INNOVATION HUB LTD</t>
  </si>
  <si>
    <t>000MOBT252319830           PAYMENT           FOR
PURCHASE   OF   DIESEL   NIP   Transfer   from ILORIN INNOVATION HUB LTD to  One Mind Tr</t>
  </si>
  <si>
    <t>016NIPO252310009 NIP - BNG PYT FOR JULY
2025 LANDSCAPING SERVICE</t>
  </si>
  <si>
    <t>016NIPC252310009   NIP  Charge  -  BNG  PYT FOR JULY 2025 LANDSCAPING SERVICE</t>
  </si>
  <si>
    <t>016VATP252310009  NIP  Charge  VAT  -  BNG PYT FOR JULY 2025 LANDSCAPING SERVICE</t>
  </si>
  <si>
    <t>000MOBT25231A1NZ   REIMBURSEMENT   FOR
IT SUPPLIES  DATA NIP Transfer from ILORIN INNOVATION HUB LTD to MUHAMME</t>
  </si>
  <si>
    <t>000MOBT25231A2M8 zoholics NIP Transfer from ILORIN INNOVATION HUB LTD to PAYSTACK CHECKOUT</t>
  </si>
  <si>
    <t>25-AUG-
2025</t>
  </si>
  <si>
    <t>000MOBT25237A3XK cake NIP Transfer from ILORIN INNOVATION HUB LTD to  Infinitus Innovations Limited    FOODS</t>
  </si>
  <si>
    <t>016NIPT252370971 NIP TRSF FROM THREE M GLOBAL DESIGNS SERVICES .</t>
  </si>
  <si>
    <t>000MOBT25237AJXD   FLAGS   AND   AC   TAG
STICKERS     NIP     Transfer     from     ILORIN INNOVATION HUB LTD to LET S BRAND IT EN</t>
  </si>
  <si>
    <t>016NEFO252370005  NEFT  CREDIT  -  AUGUST
2025 STAFF ALLOWANCE PAYMENT</t>
  </si>
  <si>
    <t>016NEFC252370005  NEFT  CREDIT  CHARGE  - AUGUST 2025 STAFF ALLOWANCE PAYMENT</t>
  </si>
  <si>
    <t>016VATO252370005 NEFT CREDIT  CHARGE VAT - AUGUST 2025 STAFF ALLOWANCE PAYMENT</t>
  </si>
  <si>
    <t>016NEFO252370006  NEFT  CREDIT  -  AUGUST
2025 STAFF ALLOWANCE PAYMENT</t>
  </si>
  <si>
    <t>016NEFC252370006  NEFT  CREDIT  CHARGE  - AUGUST 2025 STAFF ALLOWANCE PAYMENT</t>
  </si>
  <si>
    <t>016VATO252370006 NEFT CREDIT  CHARGE VAT - AUGUST 2025 STAFF ALLOWANCE PAYMENT</t>
  </si>
  <si>
    <t>016NEFO252370007  NEFT  CREDIT  -  AUGUST
2025 STAFF ALLOWANCE PAYMENT</t>
  </si>
  <si>
    <t>016NEFC252370007  NEFT  CREDIT  CHARGE  - AUGUST 2025 STAFF ALLOWANCE PAYMENT</t>
  </si>
  <si>
    <t>016VATO252370007 NEFT CREDIT  CHARGE VAT - AUGUST 2025 STAFF ALLOWANCE PAYMENT</t>
  </si>
  <si>
    <t>016NEFO252370010  NEFT  CREDIT  -  AUGUST
2025 SALARY PYT</t>
  </si>
  <si>
    <t>016NEFC252370008  NEFT  CREDIT  CHARGE  - AUGUST 2025 SALARY PYT</t>
  </si>
  <si>
    <t>016VATO252370008   NEFT   CREDIT   CHARGE VAT - AUGUST 2025 SALARY PYT</t>
  </si>
  <si>
    <t>016NEFO252370012  NEFT  CREDIT  -  AUGUST
2025 SALARY PYT</t>
  </si>
  <si>
    <t>016NEFC252370009  NEFT  CREDIT  CHARGE  - AUGUST 2025 SALARY PYT</t>
  </si>
  <si>
    <t>016VATO252370009   NEFT   CREDIT   CHARGE VAT - AUGUST 2025 SALARY PYT</t>
  </si>
  <si>
    <t>016NEFO252370013  NEFT  CREDIT  -  AUGUST
2025 SALARY PYT</t>
  </si>
  <si>
    <t>016NEFC252370010  NEFT  CREDIT  CHARGE  - AUGUST 2025 SALARY PYT</t>
  </si>
  <si>
    <t>016VATO252370010   NEFT   CREDIT   CHARGE VAT - AUGUST 2025 SALARY PYT</t>
  </si>
  <si>
    <t>016NEFO252370016  NEFT  CREDIT  -  AUGUST
2025 SALARY PYT</t>
  </si>
  <si>
    <t>016NEFC252370011  NEFT  CREDIT  CHARGE  - AUGUST 2025 SALARY PYT</t>
  </si>
  <si>
    <t>016VATO252370011   NEFT   CREDIT   CHARGE VAT - AUGUST 2025 SALARY PYT</t>
  </si>
  <si>
    <t>016NEFO252370017  NEFT  CREDIT  -  AUGUST
2025 SALARY PYT</t>
  </si>
  <si>
    <t>016NEFC252370012  NEFT  CREDIT  CHARGE  - AUGUST 2025 SALARY PYT</t>
  </si>
  <si>
    <t>016VATO252370012   NEFT   CREDIT   CHARGE VAT - AUGUST 2025 SALARY PYT</t>
  </si>
  <si>
    <t>016NEFO252370018  NEFT  CREDIT  -  AUGUST
2025 SALARY PYT</t>
  </si>
  <si>
    <t>016NEFC252370013  NEFT  CREDIT  CHARGE  - AUGUST 2025 SALARY PYT</t>
  </si>
  <si>
    <t>016VATO252370013   NEFT   CREDIT   CHARGE VAT - AUGUST 2025 SALARY PYT</t>
  </si>
  <si>
    <t>016NEFO252370019  NEFT  CREDIT  -  AUGUST
2025 SALARY PYT</t>
  </si>
  <si>
    <t>016NEFC252370014  NEFT  CREDIT  CHARGE  - AUGUST 2025 SALARY PYT</t>
  </si>
  <si>
    <t>016VATO252370014   NEFT   CREDIT   CHARGE VAT - AUGUST 2025 SALARY PYT</t>
  </si>
  <si>
    <t>016NEFO252370020  NEFT  CREDIT  -  AUGUST
2025 SALARY PYT</t>
  </si>
  <si>
    <t>016NEFC252370015  NEFT  CREDIT  CHARGE  - AUGUST 2025 SALARY PYT</t>
  </si>
  <si>
    <t>016VATO252370015   NEFT   CREDIT   CHARGE VAT - AUGUST 2025 SALARY PYT</t>
  </si>
  <si>
    <t>016NEFO252370021  NEFT  CREDIT  -  AUGUST
2025 SALARY PYT</t>
  </si>
  <si>
    <t>016NEFC252370016  NEFT  CREDIT  CHARGE  - AUGUST 2025 SALARY PYT</t>
  </si>
  <si>
    <t>016VATO252370016   NEFT   CREDIT   CHARGE VAT - AUGUST 2025 SALARY PYT</t>
  </si>
  <si>
    <t>016NEFO252370023  NEFT  CREDIT  -  AUGUST
2025 SALARY PYT</t>
  </si>
  <si>
    <t>016NEFC252370017  NEFT  CREDIT  CHARGE  - AUGUST 2025 SALARY PYT</t>
  </si>
  <si>
    <t>016VATO252370017   NEFT   CREDIT   CHARGE VAT - AUGUST 2025 SALARY PYT</t>
  </si>
  <si>
    <t>016NEFO252370024  NEFT  CREDIT  -  AUGUST
2025 SALARY PYT</t>
  </si>
  <si>
    <t>016NEFC252370018  NEFT  CREDIT  CHARGE  - AUGUST 2025 SALARY PYT</t>
  </si>
  <si>
    <t>016VATO252370018   NEFT   CREDIT   CHARGE VAT - AUGUST 2025 SALARY PYT</t>
  </si>
  <si>
    <t>016NEFO252370025  NEFT  CREDIT  -  AUGUST
2025 SALARY PYT</t>
  </si>
  <si>
    <t>016NEFC252370019  NEFT  CREDIT  CHARGE  - AUGUST 2025 SALARY PYT</t>
  </si>
  <si>
    <t>016VATO252370019   NEFT   CREDIT   CHARGE VAT - AUGUST 2025 SALARY PYT</t>
  </si>
  <si>
    <t>016NEFO252370026  NEFT  CREDIT  -  AUGUST
2025 SALARY PYT</t>
  </si>
  <si>
    <t>016NEFC252370020  NEFT  CREDIT  CHARGE  - AUGUST 2025 SALARY PYT</t>
  </si>
  <si>
    <t>016VATO252370020   NEFT   CREDIT   CHARGE VAT - AUGUST 2025 SALARY PYT</t>
  </si>
  <si>
    <t>016NEFO252370027  NEFT  CREDIT  -  AUGUST
2025 SALARY PYT</t>
  </si>
  <si>
    <t>016NEFC252370021  NEFT  CREDIT  CHARGE  - AUGUST 2025 SALARY PYT</t>
  </si>
  <si>
    <t>016VATO252370021   NEFT   CREDIT   CHARGE VAT - AUGUST 2025 SALARY PYT</t>
  </si>
  <si>
    <t>016NEFO252370031  NEFT  CREDIT  -  AUGUST
2025 SALARY PYT</t>
  </si>
  <si>
    <t>016NEFC252370022  NEFT  CREDIT  CHARGE  - AUGUST 2025 SALARY PYT</t>
  </si>
  <si>
    <t>016VATO252370022   NEFT   CREDIT   CHARGE VAT - AUGUST 2025 SALARY PYT</t>
  </si>
  <si>
    <t>016NEFO252370033  NEFT  CREDIT  -  AUGUST
2025 SALARY PYT</t>
  </si>
  <si>
    <t>016NEFC252370023  NEFT  CREDIT  CHARGE  - AUGUST 2025 SALARY PYT</t>
  </si>
  <si>
    <t>016VATO252370023   NEFT   CREDIT   CHARGE VAT - AUGUST 2025 SALARY PYT</t>
  </si>
  <si>
    <t>016NEFO252370034  NEFT  CREDIT  -  AUGUST
2025 STAFF ALLOWANCE PAYMENT</t>
  </si>
  <si>
    <t>016NEFC252370024  NEFT  CREDIT  CHARGE  - AUGUST 2025 STAFF ALLOWANCE PAYMENT</t>
  </si>
  <si>
    <t>016VATO252370024 NEFT CREDIT  CHARGE VAT - AUGUST 2025 STAFF ALLOWANCE PAYMENT</t>
  </si>
  <si>
    <t>016NEFO252370035  NEFT  CREDIT  -  AUGUST
2025 STAFF ALLOWANCE PAYMENT</t>
  </si>
  <si>
    <t>016NEFC252370025  NEFT  CREDIT  CHARGE  - AUGUST 2025 STAFF ALLOWANCE PAYMENT</t>
  </si>
  <si>
    <t>016VATO252370025 NEFT CREDIT  CHARGE VAT - AUGUST 2025 STAFF ALLOWANCE PAYMENT</t>
  </si>
  <si>
    <t>016NEFO252370036  NEFT  CREDIT  -  AUGUST
2025 STAFF ALLOWANCE PAYMENT</t>
  </si>
  <si>
    <t>016NEFC252370026  NEFT  CREDIT  CHARGE  - AUGUST 2025 STAFF ALLOWANCE PAYMENT</t>
  </si>
  <si>
    <t>016VATO252370026 NEFT CREDIT  CHARGE VAT - AUGUST 2025 STAFF ALLOWANCE PAYMENT</t>
  </si>
  <si>
    <t>016NEFO252370037  NEFT  CREDIT  -  AUGUST
2025 STAFF ALLOWANCE PAYMENT</t>
  </si>
  <si>
    <t>016NEFC252370027  NEFT  CREDIT  CHARGE  - AUGUST 2025 STAFF ALLOWANCE PAYMENT</t>
  </si>
  <si>
    <t>016VATO252370027 NEFT CREDIT  CHARGE VAT - AUGUST 2025 STAFF ALLOWANCE PAYMENT</t>
  </si>
  <si>
    <t>016NEFO252370038  NEFT  CREDIT  -  AUGUST
2025 STAFF ALLOWANCE PAYMENT</t>
  </si>
  <si>
    <t>016NEFC252370028  NEFT  CREDIT  CHARGE  - AUGUST 2025 STAFF ALLOWANCE PAYMENT</t>
  </si>
  <si>
    <t>016VATO252370028 NEFT CREDIT  CHARGE VAT - AUGUST 2025 STAFF ALLOWANCE PAYMENT</t>
  </si>
  <si>
    <t>016NEFO252370039  NEFT  CREDIT  -  AUGUST
2025 STAFF ALLOWANCE PAYMENT</t>
  </si>
  <si>
    <t>016NEFC252370029  NEFT  CREDIT  CHARGE  - AUGUST 2025 STAFF ALLOWANCE PAYMENT</t>
  </si>
  <si>
    <t>016VATO252370029 NEFT CREDIT  CHARGE VAT - AUGUST 2025 STAFF ALLOWANCE PAYMENT</t>
  </si>
  <si>
    <t>016NEFO252370040  NEFT  CREDIT  -  AUGUST
2025 STAFF ALLOWANCE PAYMENT</t>
  </si>
  <si>
    <t>016NEFC252370030  NEFT  CREDIT  CHARGE  - AUGUST 2025 STAFF ALLOWANCE PAYMENT</t>
  </si>
  <si>
    <t>016VATO252370030 NEFT CREDIT  CHARGE VAT - AUGUST 2025 STAFF ALLOWANCE PAYMENT</t>
  </si>
  <si>
    <t>016NEFO252370041  NEFT  CREDIT  -  AUGUST
2025 STAFF ALLOWANCE PAYMENT</t>
  </si>
  <si>
    <t>016NEFC252370031  NEFT  CREDIT  CHARGE  - AUGUST 2025 STAFF ALLOWANCE PAYMENT</t>
  </si>
  <si>
    <t>016VATO252370031 NEFT CREDIT  CHARGE VAT - AUGUST 2025 STAFF ALLOWANCE PAYMENT</t>
  </si>
  <si>
    <t>016NEFO252370042  NEFT  CREDIT  -  AUGUST
2025 STAFF ALLOWANCE PAYMENT</t>
  </si>
  <si>
    <t>016NEFC252370032  NEFT  CREDIT  CHARGE  - AUGUST 2025 STAFF ALLOWANCE PAYMENT</t>
  </si>
  <si>
    <t>016VATO252370032 NEFT CREDIT  CHARGE VAT - AUGUST 2025 STAFF ALLOWANCE PAYMENT</t>
  </si>
  <si>
    <t>016NEFO252370043  NEFT  CREDIT  -  AUGUST
2025 STAFF ALLOWANCE PAYMENT</t>
  </si>
  <si>
    <t>016NEFC252370033  NEFT  CREDIT  CHARGE  - AUGUST 2025 STAFF ALLOWANCE PAYMENT</t>
  </si>
  <si>
    <t>016VATO252370033 NEFT CREDIT  CHARGE VAT - AUGUST 2025 STAFF ALLOWANCE PAYMENT</t>
  </si>
  <si>
    <t>016NEFO252370047  NEFT  CREDIT  -  AUGUST
2025 STAFF ALLOWANCE PAYMENT</t>
  </si>
  <si>
    <t>016NEFC252370034  NEFT  CREDIT  CHARGE  - AUGUST 2025 STAFF ALLOWANCE PAYMENT</t>
  </si>
  <si>
    <t>016VATO252370034 NEFT CREDIT  CHARGE VAT - AUGUST 2025 STAFF ALLOWANCE PAYMENT</t>
  </si>
  <si>
    <t>016NEFO252370051  NEFT  CREDIT  -  AUGUST
2025 STAFF ALLOWANCE PAYMENT</t>
  </si>
  <si>
    <t>016NEFC252370035  NEFT  CREDIT  CHARGE  - AUGUST 2025 STAFF ALLOWANCE PAYMENT</t>
  </si>
  <si>
    <t>016VATO252370035 NEFT CREDIT  CHARGE VAT - AUGUST 2025 STAFF ALLOWANCE PAYMENT</t>
  </si>
  <si>
    <t>016NEFO252370056  NEFT  CREDIT  -  AUGUST
2025 STAFF ALLOWANCE PAYMENT</t>
  </si>
  <si>
    <t>016NEFC252370036  NEFT  CREDIT  CHARGE  - AUGUST 2025 STAFF ALLOWANCE PAYMENT</t>
  </si>
  <si>
    <t>016VATO252370036   NEFT   CREDIT   CHARGE VAT   -   AUGUST   2025   STAFF   ALLOWANCE
PAYMENT</t>
  </si>
  <si>
    <t>016NEFO252370057  NEFT  CREDIT  -  AUGUST
2025 STAFF ALLOWANCE PAYMENT</t>
  </si>
  <si>
    <t>016NEFC252370037  NEFT  CREDIT  CHARGE  - AUGUST 2025 STAFF ALLOWANCE PAYMENT</t>
  </si>
  <si>
    <t>016VATO252370037 NEFT CREDIT  CHARGE VAT - AUGUST 2025 STAFF ALLOWANCE PAYMENT</t>
  </si>
  <si>
    <t>016NEFO252370058  NEFT  CREDIT  -  AUGUST
2025 STAFF ALLOWANCE PAYMENT</t>
  </si>
  <si>
    <t>016NEFC252370038  NEFT  CREDIT  CHARGE  - AUGUST 2025 STAFF ALLOWANCE PAYMENT</t>
  </si>
  <si>
    <t>016VATO252370038 NEFT CREDIT  CHARGE VAT - AUGUST 2025 STAFF ALLOWANCE PAYMENT</t>
  </si>
  <si>
    <t>016NEFO252370059  NEFT  CREDIT  -  AUGUST
2025 STAFF ALLOWANCE PAYMENT</t>
  </si>
  <si>
    <t>016NEFC252370039  NEFT  CREDIT  CHARGE  - AUGUST 2025 STAFF ALLOWANCE PAYMENT</t>
  </si>
  <si>
    <t>016VATO252370039 NEFT CREDIT  CHARGE VAT - AUGUST 2025 STAFF ALLOWANCE PAYMENT</t>
  </si>
  <si>
    <t>016NEFO252370060  NEFT  CREDIT  -  AUGUST
2025 STAFF ALLOWANCE PAYMENT</t>
  </si>
  <si>
    <t>016NEFC252370040  NEFT  CREDIT  CHARGE  - AUGUST 2025 STAFF ALLOWANCE PAYMENT</t>
  </si>
  <si>
    <t>016VATO252370040 NEFT CREDIT  CHARGE VAT - AUGUST 2025 STAFF ALLOWANCE PAYMENT</t>
  </si>
  <si>
    <t>016NEFO252370061  NEFT  CREDIT  -  AUGUST
2025 STAFF ALLOWANCE PAYMENT</t>
  </si>
  <si>
    <t>016NEFC252370041  NEFT  CREDIT  CHARGE  - AUGUST 2025 STAFF ALLOWANCE PAYMENT</t>
  </si>
  <si>
    <t>016VATO252370041 NEFT CREDIT  CHARGE VAT - AUGUST 2025 STAFF ALLOWANCE PAYMENT</t>
  </si>
  <si>
    <t>016NEFO252370062  NEFT  CREDIT  -  AUGUST
2025 STAFF ALLOWANCE PAYMENT</t>
  </si>
  <si>
    <t>016NEFC252370042  NEFT  CREDIT  CHARGE  - AUGUST 2025 STAFF ALLOWANCE PAYMENT</t>
  </si>
  <si>
    <t>016VATO252370042 NEFT CREDIT  CHARGE VAT - AUGUST 2025 STAFF ALLOWANCE PAYMENT</t>
  </si>
  <si>
    <t>016NEFO252370063  NEFT  CREDIT  -  AUGUST
2025 STAFF ALLOWANCE PAYMENT</t>
  </si>
  <si>
    <t>016NEFC252370043  NEFT  CREDIT  CHARGE  - AUGUST 2025 STAFF ALLOWANCE PAYMENT</t>
  </si>
  <si>
    <t>016VATO252370043 NEFT CREDIT  CHARGE VAT - AUGUST 2025 STAFF ALLOWANCE PAYMENT</t>
  </si>
  <si>
    <t>016NEFO252370064  NEFT  CREDIT  -  AUGUST
2025 STAFF ALLOWANCE PAYMENT</t>
  </si>
  <si>
    <t>016NEFC252370045  NEFT  CREDIT  CHARGE  - AUGUST 2025 STAFF ALLOWANCE PAYMENT</t>
  </si>
  <si>
    <t>016NEFO252370066  NEFT  CREDIT  -  AUGUST
2025 STAFF ALLOWANCE PAYMENT</t>
  </si>
  <si>
    <t>016VATO252370044 NEFT CREDIT  CHARGE VAT - AUGUST 2025 STAFF ALLOWANCE PAYMENT</t>
  </si>
  <si>
    <t>016NEFC252370046  NEFT  CREDIT  CHARGE  - AUGUST 2025 STAFF ALLOWANCE PAYMENT</t>
  </si>
  <si>
    <t>016VATO252370045 NEFT CREDIT  CHARGE VAT - AUGUST 2025 STAFF ALLOWANCE PAYMENT</t>
  </si>
  <si>
    <t>016NEFO252370067  NEFT  CREDIT  -  AUGUST
2025 STAFF ALLOWANCE PAYMENT</t>
  </si>
  <si>
    <t>016NEFC252370048  NEFT  CREDIT  CHARGE  - AUGUST 2025 STAFF ALLOWANCE PAYMENT</t>
  </si>
  <si>
    <t>016VATO252370046 NEFT CREDIT  CHARGE VAT - AUGUST 2025 STAFF ALLOWANCE PAYMENT</t>
  </si>
  <si>
    <t>016EMTL2523700O6     ELECTRONIC     MONEY TRANSFER LEVY</t>
  </si>
  <si>
    <t>26-AUG-
2025</t>
  </si>
  <si>
    <t>016NIPO252380002 NIP - NIP TRF IFO OLALEYE KAYODE B/O ILORIN  TECH  PARK LTD (IIH AUG 2025 ALLOWANCE</t>
  </si>
  <si>
    <t>016NIPC252380002 NIP Charge - NIP TRF IFO OLALEYE KAYODE B/O ILORIN  TECH  PARK LTD (IIH AUG 2025 ALLOWANCE</t>
  </si>
  <si>
    <t>016VATP252380002 NIP Charge VAT - NIP TRF IFO OLALEYE KAYODE B/O ILORIN TECH PARK LTD (IIH AUG 2025 ALLOWANCE</t>
  </si>
  <si>
    <t>000MOBT252381475      TRADE      FAIR      TRIP
LAGOS LOGISTICS NIP Transfer from ILORIN INNOVATION HUB LTD to JAMIU ADEBO</t>
  </si>
  <si>
    <t>016NIPO252380010 NIP - NIP TRF IFO ABDULKHALEED EYITAYO ALABI B/O ILORIN TECH PARK LTD (IIH SALARY AUG 2025</t>
  </si>
  <si>
    <t>016NIPC252380010 NIP Charge - NIP TRF IFO ABDULKHALEED EYITAYO ALABI B/O ILORIN TECH PARK LTD (IIH SALARY AUG 2025</t>
  </si>
  <si>
    <t>016VATP252380010 NIP Charge VAT - NIP TRF IFO ABDULKHALEED EYITAYO ALABI B/O ILORIN TECH PARK LTD (IIH SALARY AUG</t>
  </si>
  <si>
    <t>016NIPO252380011 NIP - NIP TRF IFO SAMUEL STEVEN ARISE B/O  ILORIN TECH PARK LTD</t>
  </si>
  <si>
    <t>016NIPC252380011 NIP Charge - NIP TRF IFO SAMUEL STEVEN ARISE B/O ILORIN TECH PARK LTD</t>
  </si>
  <si>
    <t>016VATP252380011 NIP Charge VAT - NIP TRF IFO SAMUEL STEVEN ARISE  B/O  ILORIN TECH PARK LTD</t>
  </si>
  <si>
    <t>016NIPO252380012 NIP - NIPTRF IFO HENRY MGBECHI CHUKWUEBUKA B/O ILORIN TECH PARK LTD</t>
  </si>
  <si>
    <t>016NIPC252380012 NIP Charge - NIPTRF IFO HENRY MGBECHI CHUKWUEBUKA  B/O ILORIN TECH PARK LTD</t>
  </si>
  <si>
    <t>016VATP252380012 NIP Charge VAT - NIPTRF IFO  HENRY  MGBECHI  CHUKWUEBUKA  B/O
ILORIN TECH PARK LTD</t>
  </si>
  <si>
    <t>016NIPO252380013 NIP - NIP TRF IFO OLALEYE KAYODE B/O ILORIN  TECH  PARK LTD</t>
  </si>
  <si>
    <t>016NIPC252380013 NIP Charge - NIP TRF IFO OLALEYE KAYODE B/O ILORIN  TECH  PARK LTD</t>
  </si>
  <si>
    <t>016VATP252380013 NIP Charge VAT - NIP TRF IFO OLALEYE KAYODE B/O ILORIN TECH PARK LTD</t>
  </si>
  <si>
    <t>016NIPO252380014 NIP - NIP TRF IFO OLUWADAMILARE EMMANUEL OLOYEDE B/O ILORIN TECH PARK LTD</t>
  </si>
  <si>
    <t>016NIPC252380014 NIP Charge - NIP TRF IFO OLUWADAMILARE EMMANUEL OLOYEDE B/O ILORIN TECH PARK LTD</t>
  </si>
  <si>
    <t>016VATP252380014 NIP Charge VAT - NIP TRF IFO OLUWADAMILARE EMMANUEL OLOYEDE B/O  ILORIN TECH PARK LTD</t>
  </si>
  <si>
    <t>016NIPO252380015 NIP - NIP TRF IFO YUSUF DOLAPO ABDULRAMAN B/O ILORIN TECH PARK LTD</t>
  </si>
  <si>
    <t>016NIPC252380015 NIP Charge - NIP TRF IFO YUSUF DOLAPO ABDULRAMAN B/O ILORIN TECH PARK LTD</t>
  </si>
  <si>
    <t>016VATP252380015 NIP Charge VAT - NIP TRF IFO YUSUF DOLAPO ABDULRAMAN  B/O ILORIN TECH PARK LTD</t>
  </si>
  <si>
    <t>016NIPO252380016 NIP - NIP TRF IFO SHEIDU AL FAID OSIFOMOFURA B/O ILORIN TECH PARK LTD</t>
  </si>
  <si>
    <t>016NIPC252380016 NIP Charge - NIP TRF IFO SHEIDU AL FAID OSIFOMOFURA B/O ILORIN TECH PARK LTD</t>
  </si>
  <si>
    <t>016VATP252380016 NIP Charge VAT - NIP TRF IFO SHEIDU AL  FAID OSIFOMOFURA B/O ILORIN TECH PARK LTD</t>
  </si>
  <si>
    <t>016NIPO252380017 NIP - NIP TRF IFO DELE OLUKOJU AOFIOLUJUWON MIRI B/O ILORIN TECH PARK LTD</t>
  </si>
  <si>
    <t>016NIPC252380017 NIP Charge - NIP TRF IFO DELE OLUKOJU AOFIOLUJUWON MIRI B/O ILORIN TECH PARK LTD</t>
  </si>
  <si>
    <t>016VATP252380017 NIP Charge VAT - NIP TRF IFO DELE OLUKOJU AOFIOLUJUWON MIRI B/O  ILORIN TECH PARK LTD</t>
  </si>
  <si>
    <t>016NIPO252380018 NIP - NIP TRF IFO OWARE JOAN B/O  ILORIN TECH PARK LTD</t>
  </si>
  <si>
    <t>016NIPC252380018 NIP Charge - NIP TRF IFO OWARE JOAN B/O  ILORIN TECH PARK LTD</t>
  </si>
  <si>
    <t>016VATP252380018 NIP Charge VAT - NIP TRF IFO OWARE JOAN B/O ILORIN TECH  PARK LTD</t>
  </si>
  <si>
    <t>016NIPO252380019 NIP - NIP TRF IFO OKEY MAUREEN DANIEL B/O ILORIN TECH PARK LTD</t>
  </si>
  <si>
    <t>016NIPC252380019 NIP Charge - NIP TRF IFO OKEY MAUREEN DANIEL B/O ILORIN TECH PARK LTD</t>
  </si>
  <si>
    <t>016VATP252380019 NIP Charge VAT - NIP TRF IFO OKEY MAUREEN DANIEL  B/O ILORIN TECH PARK LTD</t>
  </si>
  <si>
    <t>016NIPO252380020 NIP - NIP TRF IFO MUHAMMED NASIRU MAHMOOD B/O ILORIN TECH PARK LTD</t>
  </si>
  <si>
    <t>016NIPC252380020 NIP Charge - NIP TRF IFO MUHAMMED NASIRU MAHMOOD  B/O   ILORIN
TECH PARK LTD</t>
  </si>
  <si>
    <t>016VATP252380020 NIP Charge VAT - NIP TRF IFO MUHAMMED NASIRU MAHMOOD B/O ILORIN TECH PARK LTD</t>
  </si>
  <si>
    <t>016NIPO252380021 NIP - NIP TRF IFO OKOLIE OGOCHUKWUKA BENJAMIN  B/O  ILORIN TECH PARK LTD</t>
  </si>
  <si>
    <t>016NIPC252380021 NIP Charge - NIP TRF IFO OKOLIE OGOCHUKWUKA BENJAMIN B/O ILORIN TECH PARK LTD</t>
  </si>
  <si>
    <t>016VATP252380021 NIP Charge VAT - NIP TRF IFO OKOLIE OGOCHUKWUKA BENJAMIN B/O ILORIN TECH PARK LTD</t>
  </si>
  <si>
    <t>016NIPO252380022 NIP - NIP  TRF  IFO AKANDE  OLUWASAYO  TEMILOLA   B/O ILORIN TECH PARK LTD</t>
  </si>
  <si>
    <t>016NIPC252380022 NIP Charge - NIP TRF IFO AKANDE  OLUWASAYO  TEMILOLA   B/O ILORIN TECH PARK LTD</t>
  </si>
  <si>
    <t>016VATP252380022 NIP Charge VAT - NIP TRF IFO AKANDE OLUWASAYO TEMILOLA B/O ILORIN TECH PARK LTD</t>
  </si>
  <si>
    <t>016NIPO252380023 NIP - NIP TRF IFO ONUCHUKWU SINACHI GOODNESS B/O ILORIN TECH PARK LTD</t>
  </si>
  <si>
    <t>016NIPC252380023 NIP Charge - NIP TRF IFO ONUCHUKWU SINACHI GOODNESS B/O ILORIN TECH PARK LTD</t>
  </si>
  <si>
    <t>016VATP252380023 NIP Charge VAT - NIP TRF IFO ONUCHUKWU SINACHI GOODNESS B/O ILORIN TECH PARK LTD</t>
  </si>
  <si>
    <t>016NIPO252380024 NIP - NIP TRF IFO SULYMAN YUSUF ALAO B/O ILORIN TECH PARK LTD</t>
  </si>
  <si>
    <t>016NIPC252380024 NIP Charge - NIP TRF IFO SULYMAN YUSUF ALAO B/O ILORIN TECH PARK LTD</t>
  </si>
  <si>
    <t>016VATP252380024 NIP Charge VAT - NIP TRF IFO SULYMAN YUSUF ALAO  B/O  ILORIN TECH PARK LTD</t>
  </si>
  <si>
    <t>016NIPO252380025  NIP - NIP TRF IFO KAMIL LANRE AHMED B/O  ILORIN TECH PARK LTD</t>
  </si>
  <si>
    <t>016NIPC252380025 NIP Charge - NIP TRF IFO KAMIL LANRE AHMED B/O  ILORIN  TECH PARK LTD</t>
  </si>
  <si>
    <t>016VATP252380025 NIP Charge VAT - NIP TRF IFO KAMIL LANRE AHMED B/O ILORIN TECH PARK LTD</t>
  </si>
  <si>
    <t>016NIPO252380026 NIP - NIP TRF IFO TEMILOLUWA OLUWALEKE KOLAWOLE B/O ILORIN TECH PARK LTD</t>
  </si>
  <si>
    <t>016NIPC252380026 NIP Charge - NIP TRF IFO TEMILOLUWA OLUWALEKE KOLAWOLE B/O ILORIN TECH PARK LTD</t>
  </si>
  <si>
    <t>016VATP252380026 NIP Charge VAT - NIP TRF IFO TEMILOLUWA OLUWALEKE KOLAWOLE B/O  ILORIN TECH PARK LTD</t>
  </si>
  <si>
    <t>016NIPO252380027 NIP - NIP TRF IFO JAMIU ADEBOLA OLADIPO B/O ILORIN TECH PARK LTD</t>
  </si>
  <si>
    <t>016NIPC252380027 NIP Charge - NIP TRF IFO JAMIU ADEBOLA OLADIPO B/O ILORIN TECH PARK LTD</t>
  </si>
  <si>
    <t>016VATP252380027 NIP Charge VAT - NIP TRF IFO JAMIU ADEBOLA OLADIPO B/O ILORIN TECH PARK LTD</t>
  </si>
  <si>
    <t>016NIPO252380028    NIP    -    NIP    TRF    IFO AYORINDE  OLAMIDE  OPEMIPO  B/O   ILORIN
TECH PARK LTD</t>
  </si>
  <si>
    <t>016NIPC252380028 NIP Charge - NIP TRF IFO AYORINDE OLAMIDE OPEMIPO B/O ILORIN TECH PARK LTD</t>
  </si>
  <si>
    <t>016VATP252380028 NIP Charge VAT - NIP TRF IFO AYORINDE OLAMIDE OPEMIPO  B/O ILORIN TECH PARK LTD</t>
  </si>
  <si>
    <t>016NIPO252380029 NIP - NIP TRF IFO KHADIJAT ZUMAH SULYMAN B/O  ILORIN TECH PARK LTD</t>
  </si>
  <si>
    <t>016NIPC252380029 NIP Charge - NIP TRF IFO KHADIJAT ZUMAH SULYMAN B/O  ILORIN TECH PARK LTD</t>
  </si>
  <si>
    <t>016VATP252380029 NIP Charge VAT - NIP TRF IFO KHADIJAT ZUMAH SULYMAN B/O ILORIN TECH PARK LTD</t>
  </si>
  <si>
    <t>016NIPO252380030 NIP - NIP TRF IFO ABDULHAMEED BOLAJI MUSTAPHA B/O ILORIN TECH PARK LTD</t>
  </si>
  <si>
    <t>016NIPC252380030 NIP Charge - NIP TRF IFO ABDULHAMEED BOLAJI MUSTAPHA B/O ILORIN TECH PARK LTD</t>
  </si>
  <si>
    <t>016VATP252380030 NIP Charge VAT - NIP TRF IFO ABDULHAMEED BOLAJI MUSTAPHA B/O ILORIN TECH PARK LTD</t>
  </si>
  <si>
    <t>016NIPO252380031 NIP - NIP TRF IFO HAPPINESS SAMUEL  B/O  ILORIN  TECH PARK LTD</t>
  </si>
  <si>
    <t>016NIPC252380031 NIP Charge - NIP TRF IFO HAPPINESS SAMUEL  B/O  ILORIN  TECH PARK LTD</t>
  </si>
  <si>
    <t>016VATP252380031 NIP Charge VAT - NIP TRF IFO HAPPINESS SAMUEL B/O ILORIN TECH PARK LTD</t>
  </si>
  <si>
    <t>016NIPO252380032 NIP - NIP TRF IFO MUINAT OYINKANSOLA BELLO B/O ILORIN TECH PARK LTD</t>
  </si>
  <si>
    <t>016NIPC252380032 NIP Charge - NIP TRF IFO MUINAT OYINKANSOLA BELLO B/O ILORIN TECH PARK LTD</t>
  </si>
  <si>
    <t>016VATP252380032 NIP Charge VAT - NIP TRF IFO MUINAT OYINKANSOLA BELLO  B/O ILORIN TECH PARK LTD</t>
  </si>
  <si>
    <t>016NIPO252380033 NIP - NIP TRF IFO ABDULRASAQ ABDULRASAQ B/O  ILORIN TECH PARK LTD</t>
  </si>
  <si>
    <t>016NIPC252380033 NIP Charge - NIP TRF IFO ABDULRASAQ ABDULRASAQ B/O  ILORIN TECH PARK LTD</t>
  </si>
  <si>
    <t>016VATP252380033 NIP Charge VAT - NIP TRF IFO  ABDULRASAQ  ABDULRASAQ  B/O ILORIN TECH PARK LTD</t>
  </si>
  <si>
    <t>016NIPO252380034 NIP - NIP TRF IFO AMIDAT OLUWATOSIN OLALERE B/O ILORIN TECH PARK LTD</t>
  </si>
  <si>
    <t>016NIPC252380034 NIP Charge - NIP TRF IFO AMIDAT OLUWATOSIN OLALERE B/O ILORIN TECH PARK LTD</t>
  </si>
  <si>
    <t>016VATP252380034 NIP Charge VAT - NIP TRF IFO AMIDAT OLUWATOSIN OLALERE B/O ILORIN TECH PARK LTD</t>
  </si>
  <si>
    <t>000MOBT252384664       FACILITY       RUNNING
COSTS    AUG    NIP    Transfer    from    ILORIN INNOVATION HUB LTD to KAMIL LANRE</t>
  </si>
  <si>
    <t>000o752252380016 RVSL OF AUGUST 2025 STAFF ALLOWANCE PAYMENT FOR 16 BENEFICIARIES</t>
  </si>
  <si>
    <t>000o752252380017 FAILED-AUGUST 2025 STAFF ALLOWANCE PAYMENT FOR 2 BENEFICIARIES</t>
  </si>
  <si>
    <t>000MOBT25238A08K TWO NIGHTS ADEBOLA TRADE FAIR TRIP TO LAGOS NIP Transfer from ILORIN INNOVATION HUB LTD to</t>
  </si>
  <si>
    <t>000MOBT25238A0KJ  IIH  SALARY  AUG  2025
NIP  Transfer  from  ILORIN  INNOVATION  HUB LTD to FARAYADE EMMANUEL OLAWA</t>
  </si>
  <si>
    <t>27-AUG-
2025</t>
  </si>
  <si>
    <t>000MOBT252397226   AIRTEL   WIFI   SUB   NIP
Transfer  from  ILORIN  INNOVATION  HUB  LTD to PAYSTACK CHECKOUT</t>
  </si>
  <si>
    <t>000MOBT252397283  IIH  TRADE  FAIR  PRINT
MATERIALS     NIP     Transfer     from     ILORIN INNOVATION HUB LTD to PRINT WORLD</t>
  </si>
  <si>
    <t>000MOBT252399651 TWENTY PACKS OF WATER CCHUB 12 13 14 AUG NIP  Transfer from ILORIN INNOVATION HUB LTD to OL</t>
  </si>
  <si>
    <t>000MOBT252399787  MD  GITEX  TRIP  FLIGHT
TICKET  ILV  LOS  NIP  Transfer  from  ILORIN INNOVATION HUB LTD to PAYSTAC</t>
  </si>
  <si>
    <t>000MOBT25239A01H   REIMBURSEMENT   FOR
AUG   STAFF   HANGOUT   NIP   Transfer   from ILORIN INNOVATION HUB LTD to TEMILOL</t>
  </si>
  <si>
    <t>29-AUG-
2025</t>
  </si>
  <si>
    <t>000MOBT25241ADC5   REIMBURSEMENT   FOR
DRINKS PURCHASE NIP Transfer from ILORIN INNOVATION HUB LTD to OKEY MAUR</t>
  </si>
  <si>
    <t>016AMFV25241002Y  VAT  ON  TRANSACTION CHARGES</t>
  </si>
  <si>
    <t>016AMFC25241003S                             ACCOUNT MAINTENANCE FEE</t>
  </si>
  <si>
    <t>01-SEP-
2025</t>
  </si>
  <si>
    <t>000MOBT25244A6TY PAYMENT FOR PURCHASE OF PLASTIC CHAIRS NIP Transfer from ILORIN INNOVATION HUB LTD to SERI</t>
  </si>
  <si>
    <t>000MOBT25244A6WO  PAYMENT  FOR  WASTE
DISPOSAL  FOR  AUGUST  NIP  Transfer  from ILORIN INNOVATION HUB LTD to EXTRE</t>
  </si>
  <si>
    <t>000MOBT25244A9SS  PAYMENT  FOR  FLIGHT TICKET   MD   GITEX   RETURN   LOS   ILV   NIP
Transfer from ILORIN INNOVATION HUB</t>
  </si>
  <si>
    <t>02-SEP-
2025</t>
  </si>
  <si>
    <t>016NIPO252450052   NIP   -   BEING   PAYMENT FOR AUGUST 2025 SECURITY SERVICE</t>
  </si>
  <si>
    <t>016NIPC252450052 NIP Charge - BEING PAYMENT FOR AUGUST 2025 SECURITY SERVICE</t>
  </si>
  <si>
    <t>016VATP252450052 NIP  Charge VAT - BEING PAYMENT FOR AUGUST 2025 SECURITY SERVICE</t>
  </si>
  <si>
    <t>016NIPO252450053 NIP - BNG PAYMENT TO HIRE AND TRANSPORT 20KVA DIESEL GENERATOR FOR 12 DAYS</t>
  </si>
  <si>
    <t>016NIPC252450053 NIP Charge - BNG PAYMENT TO HIRE AND TRANSPORT 20KVA DIESEL GENERATOR FOR 12 DAYS</t>
  </si>
  <si>
    <t>016VATP252450053 NIP Charge VAT - BNG PAYMENT TO HIRE AND TRANSPORT 20KVA DIESEL GENERATOR FOR 12 DAYS</t>
  </si>
  <si>
    <t>016NIPO252450069 NIP - BNG PAYMENT FOR AUGUST 2025 STAFF PENSION</t>
  </si>
  <si>
    <t>016NIPC252450069 NIP Charge - BNG PAYMENT FOR AUGUST 2025  STAFF PENSION</t>
  </si>
  <si>
    <t>016VATP252450069  NIP  Charge  VAT  -  BNG PAYMENT     FOR     AUGUST     2025     STAFF
PENSION</t>
  </si>
  <si>
    <t>016NIPO252450070 NIP - BNG PAYMENT FOR JULY 2025 STAFF PENSION</t>
  </si>
  <si>
    <t>016NIPC252450070     NIP     Charge     -     BNG PAYMENT FOR JULY 2025 STAFF PENSION</t>
  </si>
  <si>
    <t>016VATP252450070  NIP  Charge  VAT  -  BNG PAYMENT FOR JULY 2025 STAFF PENSION</t>
  </si>
  <si>
    <t>016NIPO252450073 NIP - BNG PAYMENT FOR JUNE 2025 STAFF PENSION</t>
  </si>
  <si>
    <t>016NIPC252450073     NIP     Charge     -     BNG PAYMENT FOR JUNE 2025 STAFF PENSION</t>
  </si>
  <si>
    <t>016VATP252450073  NIP  Charge  VAT  -  BNG PAYMENT FOR JUNE 2025 STAFF PENSION</t>
  </si>
  <si>
    <t>016NIPO252450080 NIP - BNG PAYMENT FOR MAY 2025 STAFF PENSION</t>
  </si>
  <si>
    <t>016NIPC252450080     NIP     Charge     -     BNG PAYMENT FOR MAY 2025 STAFF PENSION</t>
  </si>
  <si>
    <t>016VATP252450080  NIP  Charge  VAT  -  BNG PAYMENT FOR MAY 2025 STAFF PENSION</t>
  </si>
  <si>
    <t>016NIPO252450081 NIP - BNG PAYMENT FOR AUGUST 2025 LANDSCAPING SERVICE</t>
  </si>
  <si>
    <t>016NIPC252450081 NIP Charge - BNG PAYMENT FOR AUGUST 2025 LANDSCAPING SERVICE</t>
  </si>
  <si>
    <t>016VATP252450081 NIP Charge VAT - BNG PAYMENT FOR AUGUST 2025 LANDSCAPING SERVICE</t>
  </si>
  <si>
    <t>000MOBT25245A18Q PAYMENT FOR MD STAY
3  NIGHTS  GITEX  NIP  Transfer  from  ILORIN INNOVATION HUB LTD to T9 HOTEL</t>
  </si>
  <si>
    <t>016NIPO252450087 NIP - BNG PAYMENT FOR MARCH 2025 STAFF PENSION</t>
  </si>
  <si>
    <t>016NIPC252450087     NIP     Charge     -     BNG PAYMENT FOR MARCH 2025 STAFF PENSION</t>
  </si>
  <si>
    <t>016VATP252450087  NIP  Charge  VAT  -  BNG PAYMENT FOR MARCH 2025 STAFF PENSION</t>
  </si>
  <si>
    <t>016NIPO252450088 NIP - BNG PAYMENT FOR APRIL 2025 STAFF PENSION</t>
  </si>
  <si>
    <t>016NIPC252450088     NIP     Charge     -     BNG PAYMENT FOR APRIL 2025 STAFF PENSION</t>
  </si>
  <si>
    <t>016VATP252450088  NIP  Charge  VAT  -  BNG PAYMENT FOR APRIL 2025 STAFF PENSION</t>
  </si>
  <si>
    <t>03-SEP-
2025</t>
  </si>
  <si>
    <t>016NIPO252460004 NIP - NIP TRF IFO ISREAL ABIODUN B/O  ILORIN TECH PARK LTD</t>
  </si>
  <si>
    <t>016NIPC252460004 NIP Charge - NIP TRF IFO ISREAL  ABIODUN  B/O   ILORIN  TECH  PARK
LTD</t>
  </si>
  <si>
    <t>016VATP252460004 NIP Charge VAT - NIP TRF IFO ISREAL ABIODUN B/O  ILORIN  TECH PARK LTD</t>
  </si>
  <si>
    <t>000MOBT252463993 PAYMENT FOR DIESEL PURCHASE 251L ELEVATOR  NIP  Transfer from ILORIN INNOVATION HUB LTD to</t>
  </si>
  <si>
    <t>000MOBT252465110           PAYMENT           FOR BREAKFAST  REFRESHMENTS  TA COMM  NIP
Transfer from ILORIN INNOVATION HUB LTD</t>
  </si>
  <si>
    <t>000MOBT252466909 REIMBURSEMENT FOR STAFF BIRTHDAY CAKE CARDS NIP Transfer from ILORIN INNOVATION HUB LTD t</t>
  </si>
  <si>
    <t>000MOBT252467581   IIH   AUG   ALLOWANCE
NIP  Transfer  from  ILORIN  INNOVATION  HUB LTD to FARAYADE EMMANUEL OLAWALE</t>
  </si>
  <si>
    <t>016NIPO252460039   NIP   -   BNG   PYT   FOR AUGUST 2025 JANITORIAL SERVICES</t>
  </si>
  <si>
    <t>016NIPC252460038   NIP  Charge  -  BNG  PYT FOR AUGUST 2025 JANITORIAL SERVICES</t>
  </si>
  <si>
    <t>016VATP252460038 NIP Charge VAT - BNG PYT FOR AUGUST 2025 JANITORIAL SERVICES</t>
  </si>
  <si>
    <t>0160020252460001 REMITTA PAYMENT FOR STAFF NATIONAL  HOUSING  FUND  B/O ILORIN TECH PARK LTD</t>
  </si>
  <si>
    <t>000MOBT25246A2PV  OFFICE  SUPPLIES  FOR
AUGUST      NIP      Transfer      from      ILORIN INNOVATION HUB LTD to MAUREEN DANIEL</t>
  </si>
  <si>
    <t>04-SEP-
2025</t>
  </si>
  <si>
    <t>000MOBT252474993 PAYMENT FOR TA COMM
EVENT   LUNCH   NIP   Transfer   from   ILORIN INNOVATION HUB LTD to ARIYO VICTO</t>
  </si>
  <si>
    <t>000MOBT25247AC0N   REIMBURSEMENT   FOR
MD   LOGISTICS   GITEX   NIP   Transfer   from ILORIN INNOVATION HUB LTD to TEMILO</t>
  </si>
  <si>
    <t>08-SEP-
2025</t>
  </si>
  <si>
    <t>000MOBT252518586    REIMBURSEMENT    FOR HOSPOTALITY  LOGISTICS  IHS  GUESTS   NIP
Transfer from ILORIN INNOVATION HU</t>
  </si>
  <si>
    <t>000MOBT25251A4JV  PAYMENT  FOR  LAGOS LOGISTICS    IIH    STAFF    ZOHO    TRIP    NIP
Transfer from ILORIN INNOVATION HUB LT</t>
  </si>
  <si>
    <t>000MOBT25251A70Q          PAYMENT          COR ACCOMODATION    FOR    IIH    STAFF    ZOHO
LAGOS TRIP  NIP Transfer from ILORIN</t>
  </si>
  <si>
    <t>000MOBT25251ADGL PAYMENT  FOR BUSINESS CARDS IIH STAFF NIP Transfer from ILORIN INNOVATION HUB LTD to</t>
  </si>
  <si>
    <t>000MOBT25251AGLX          PAYMENT          FOR ADDITIONAL    BUSINESS    CARDS    MD    NIP
Transfer from ILORIN INNOVATION HUB LTD</t>
  </si>
  <si>
    <t>000MOBT25251AIU6           PAYMENT           FOR ACCOMODATION  BALANCE  FOR  IIH  STAFF
ZOHO LAGOS TRIP NIP Transfer from ILORIN</t>
  </si>
  <si>
    <t>Generator Rentals</t>
  </si>
  <si>
    <t>Bank</t>
  </si>
  <si>
    <t>Bank01</t>
  </si>
  <si>
    <t>Bank02</t>
  </si>
  <si>
    <t>31-MAY-
2025</t>
  </si>
  <si>
    <t>Bank transactions in May</t>
  </si>
  <si>
    <t>Bank balance</t>
  </si>
  <si>
    <t>Bank transactions in June</t>
  </si>
  <si>
    <t>Expense</t>
  </si>
  <si>
    <t>Bank transactions in July</t>
  </si>
  <si>
    <t>Bank transactions in August</t>
  </si>
  <si>
    <t>CIP/CR//NIP Transfer to ILORIN TECH PARK LTD. 000260490164/FRM ADEBAYO SAFAU IYABO
000013250702120114000260490164</t>
  </si>
  <si>
    <t>LEGAL SEARCH FEE</t>
  </si>
  <si>
    <t>NIP/PBNL/TUNMISEJOHNSONHOUSEHO LDFOUNDA /To ZENITH BANK ILORIN TECH PARK LTD Payment for refreshment</t>
  </si>
  <si>
    <t>FGN ELECTRONIC MONEY TRANSFER
LEVY</t>
  </si>
  <si>
    <t>TRF FROM TUNMISE JOHNSON//TRF TO
ILORIN TECH PARK LTD//Food and drink</t>
  </si>
  <si>
    <t>NIP/FCMB/ADEBAYO IYABO Bank ILORIN TECH PARK LTD
SAFAU/AppEoDB Refreshments To Zenith</t>
  </si>
  <si>
    <t>TRF FRM TUNMISE JOHNSON HOUSEHOLD FOUNDATION</t>
  </si>
  <si>
    <t>NIP CR// BOA FOODS RESTAURANT LTD
- 2/ROLEZ/payment made for refreshment for event catering</t>
  </si>
  <si>
    <t>NIP CHARGE + VAT</t>
  </si>
  <si>
    <t>NIP CR// BOA FOODS RESTAURANT LTD
- 2/ROLEZ/refreshment and event catering</t>
  </si>
  <si>
    <t>CIP/CR//Transfer from SOLOMON
ILEMONA SAMUEL 100004250718065709137041570691</t>
  </si>
  <si>
    <t>NIP CR//OKEY MAUREEN DANIEL/GTB
/PAYMENT FOR REFRESHMENT REIMBURSEMENT</t>
  </si>
  <si>
    <t>NIP/ROLEZ/NGUTOR MICHAEL AKPEM/Payment for REFRESHMENT BY 3SU MENTORS/AT68</t>
  </si>
  <si>
    <t>TRF FRM TUNMISE JOHNSON HOUSEHOLD FOUNDATION TO ILORIN 
TECH PARK LTD</t>
  </si>
  <si>
    <t>FGN ELECTRONIC MONEY TRANSFER LEVY</t>
  </si>
  <si>
    <t xml:space="preserve">:ETZ INFLOW 09FG250730171527404NEHDLJ:
completion for refreshments </t>
  </si>
  <si>
    <t>ACCOUNT MAINTENANCE FEE</t>
  </si>
  <si>
    <t>VAT ON ACCOUNT MAINTENNACE FEE</t>
  </si>
  <si>
    <t>NIP CR// BOA FOODS RESTAURANT LTD
- 2/ROLEZ/TRF</t>
  </si>
  <si>
    <t>:ETZ INFLOW BOLATITO GANIYAT OLAGUNJU to 09FG250819202702574RJSV9Z:</t>
  </si>
  <si>
    <t>NIP CR// BOA FOODS RESTAURANT LTD
- 2/ROLEZ/trf</t>
  </si>
  <si>
    <t>CIP/CR//Transfer from OLUWASEYI 100004250822145246139533323913
RACHAEL ROTIMI</t>
  </si>
  <si>
    <t>TRF FROM TUNMISE JOHNSON
HOUSEHOLD FOUNDATIO/1756149758657</t>
  </si>
  <si>
    <t>NIP CR//JIMOH SULEIMAN 
OLAWALE/FCMB /REFRESHMENT -BASE 
ONCHAIN SUMMER WORKSHOP</t>
  </si>
  <si>
    <t>NIP/GTB/COCREATION HUB LIMITED/ER_x0002_06213 IHS Ilorin Meals for meet and greet 212086272 GAPS0003691237212086272S</t>
  </si>
  <si>
    <t>Bank transactions in September</t>
  </si>
  <si>
    <t>Landscaping</t>
  </si>
  <si>
    <t>Bidet for toilet</t>
  </si>
  <si>
    <t>ITF contribution</t>
  </si>
  <si>
    <t>souvenirs</t>
  </si>
  <si>
    <t>Description</t>
  </si>
  <si>
    <t>Reimburse expense (breakdown provided in email)</t>
  </si>
  <si>
    <t>refreshement for guests</t>
  </si>
  <si>
    <t>Reimbursement for Abuja trip accommodation</t>
  </si>
  <si>
    <t>Domain renewal of ilorininnovationhub.com - 1 Year/s (23/08/2025 - 22/08/2026)+ ID Protection</t>
  </si>
  <si>
    <t>travel -failed  payment to wakanow for Ai4 2025 conference in vegas, for the booking ID 2508030403119</t>
  </si>
  <si>
    <t>travel - payment to wakanow for Ai4 2025 conference in vegas, the payment was reversed for the booking ID 2508030403119</t>
  </si>
  <si>
    <t>travel - Successful payment to wakanow for Ai4 2025 conference in vegas, for the booking ID 2508030403119</t>
  </si>
  <si>
    <t>Room reservation for Ai4 2025 Conference</t>
  </si>
  <si>
    <t>August 2025 Salary for Intern</t>
  </si>
  <si>
    <t>The refund was as a result of change in the flight route as the booking with ID 2508040401010 cost N4,061,624.00 which is cheaper than the previous hence the refund of N729,742.00</t>
  </si>
  <si>
    <t/>
  </si>
  <si>
    <t>NGN</t>
  </si>
  <si>
    <t>Active</t>
  </si>
  <si>
    <t>0040117676</t>
  </si>
  <si>
    <t>false</t>
  </si>
  <si>
    <t>0.000</t>
  </si>
  <si>
    <t>Ilorin Innovation Hub Ltd</t>
  </si>
  <si>
    <t>6104627000000114013</t>
  </si>
  <si>
    <t>The parking fares you pay while on business trips can be recorded under this expense category.</t>
  </si>
  <si>
    <t>Parking</t>
  </si>
  <si>
    <t>6104627000000091204</t>
  </si>
  <si>
    <t>This category is for tracking all the mileage related expenses.</t>
  </si>
  <si>
    <t>Fuel/Mileage Expenses</t>
  </si>
  <si>
    <t>6104627000000091159</t>
  </si>
  <si>
    <t>Other Current Asset</t>
  </si>
  <si>
    <t>An asset account that reports amounts paid in advance while purchasing goods or services from a vendor.</t>
  </si>
  <si>
    <t>Prepaid Expenses</t>
  </si>
  <si>
    <t>6104627000000091013</t>
  </si>
  <si>
    <t>Tracks any reduction that your vendor offers on your purchases. Some vendors also provide them to encourage quick payment settlement.</t>
  </si>
  <si>
    <t>Purchase Discounts</t>
  </si>
  <si>
    <t>6104627000000072001</t>
  </si>
  <si>
    <t>Equity</t>
  </si>
  <si>
    <t>The money withdrawn from a business by its owner can be tracked with this account.</t>
  </si>
  <si>
    <t>Drawings</t>
  </si>
  <si>
    <t>6104627000000012001</t>
  </si>
  <si>
    <t>Cost Of Goods Sold</t>
  </si>
  <si>
    <t>An expense account which tracks the value of the goods sold.</t>
  </si>
  <si>
    <t>Cost of Goods Sold</t>
  </si>
  <si>
    <t>6104627000000034003</t>
  </si>
  <si>
    <t>Stock</t>
  </si>
  <si>
    <t>An account which tracks the value of goods in your inventory.</t>
  </si>
  <si>
    <t>Inventory Asset</t>
  </si>
  <si>
    <t>6104627000000034001</t>
  </si>
  <si>
    <t>Any minor expense on activities unrelated to primary business operations is recorded under the other expense account.</t>
  </si>
  <si>
    <t>6104627000000000460</t>
  </si>
  <si>
    <t>Other Liability</t>
  </si>
  <si>
    <t>This adjustment account tracks the transfers between different dimensions like tags, branches.</t>
  </si>
  <si>
    <t>Dimension Adjustments</t>
  </si>
  <si>
    <t>6104627000000045001</t>
  </si>
  <si>
    <t>The costs involved in maintenance and repair of assets is recorded under this account.</t>
  </si>
  <si>
    <t>Repairs and Maintenance</t>
  </si>
  <si>
    <t>6104627000000000457</t>
  </si>
  <si>
    <t>Charges for availing the services of a consultant is recorded as a consultant expenses. The fees paid to a soft skills consultant to impart personality development training for your employees is a good example.</t>
  </si>
  <si>
    <t>Consultant Expense</t>
  </si>
  <si>
    <t>6104627000000000454</t>
  </si>
  <si>
    <t>Any depreciation in value of your assets can be captured as a depreciation expense.</t>
  </si>
  <si>
    <t>Depreciation Expense</t>
  </si>
  <si>
    <t>6104627000000000451</t>
  </si>
  <si>
    <t>Expenses on food and entertainment are recorded into this account.</t>
  </si>
  <si>
    <t>Meals and Entertainment</t>
  </si>
  <si>
    <t>6104627000000000448</t>
  </si>
  <si>
    <t>This account can be used to temporarily track expenses that are yet to be identified and classified into a particular category</t>
  </si>
  <si>
    <t>Uncategorized</t>
  </si>
  <si>
    <t>6104627000000035005</t>
  </si>
  <si>
    <t>Salaries for your employees and the wages paid to workers are recorded under the salaries and wages account.</t>
  </si>
  <si>
    <t>Salaries and Employee Wages</t>
  </si>
  <si>
    <t>6104627000000000445</t>
  </si>
  <si>
    <t>Other Current Liability</t>
  </si>
  <si>
    <t>This account can be used to track the reimbursements that are due to be paid out to employees.</t>
  </si>
  <si>
    <t>Employee Reimbursements</t>
  </si>
  <si>
    <t>6104627000000035003</t>
  </si>
  <si>
    <t>Expenses incurred by the organization towards printing and stationery.</t>
  </si>
  <si>
    <t>Printing and Stationery</t>
  </si>
  <si>
    <t>6104627000000000442</t>
  </si>
  <si>
    <t>Money paid out to an employee in advance can be tracked here till it's repaid or shown to be spent for company purposes.</t>
  </si>
  <si>
    <t>Employee Advance</t>
  </si>
  <si>
    <t>6104627000000035001</t>
  </si>
  <si>
    <t>This account will hold the difference in the debits and credits entered during the opening balance.</t>
  </si>
  <si>
    <t>Opening Balance Adjustments</t>
  </si>
  <si>
    <t>6104627000000003001</t>
  </si>
  <si>
    <t>Any amount which is lost and is unrecoverable is recorded into the bad debt account.</t>
  </si>
  <si>
    <t>Bad Debt</t>
  </si>
  <si>
    <t>6104627000000000439</t>
  </si>
  <si>
    <t>Your expenses on ground mails, shipping and air mails can be recorded under the postage account.</t>
  </si>
  <si>
    <t>Postage</t>
  </si>
  <si>
    <t>6104627000000000436</t>
  </si>
  <si>
    <t>Shipping charges made to the invoice will be recorded in this account.</t>
  </si>
  <si>
    <t>Shipping Charge</t>
  </si>
  <si>
    <t>6104627000000014001</t>
  </si>
  <si>
    <t>All your janitorial and cleaning expenses are recorded into the janitorial expenses account.</t>
  </si>
  <si>
    <t>Janitorial Expense</t>
  </si>
  <si>
    <t>6104627000000000433</t>
  </si>
  <si>
    <t>The rent paid for your office or any space related to your business can be recorded as a rental expense.</t>
  </si>
  <si>
    <t>Rent Expense</t>
  </si>
  <si>
    <t>6104627000000000430</t>
  </si>
  <si>
    <t>Money spent on your IT infrastructure and usage like  internet connection, purchasing computer equipment etc is recorded as an IT and Computer Expense.</t>
  </si>
  <si>
    <t>IT and Internet Expenses</t>
  </si>
  <si>
    <t>6104627000000000427</t>
  </si>
  <si>
    <t>Transportation related expenses like fuel charges and maintenance charges for automobiles, are included to the automobile expense account.</t>
  </si>
  <si>
    <t>Automobile Expense</t>
  </si>
  <si>
    <t>6104627000000000424</t>
  </si>
  <si>
    <t>The expenses on your telephone, mobile and fax usage are accounted as telephone expenses.</t>
  </si>
  <si>
    <t>Telephone Expense</t>
  </si>
  <si>
    <t>6104627000000000421</t>
  </si>
  <si>
    <t>Expenses on business travels like hotel bookings, flight charges, etc. are recorded as travel expenses.</t>
  </si>
  <si>
    <t>Air Travel Expense</t>
  </si>
  <si>
    <t>6104627000000000418</t>
  </si>
  <si>
    <t>Other Expense</t>
  </si>
  <si>
    <t>Changing the conversion rate can result in a gain or a loss. You can record this into the exchange gain or loss account.</t>
  </si>
  <si>
    <t>Exchange Gain or Loss</t>
  </si>
  <si>
    <t>6104627000000000415</t>
  </si>
  <si>
    <t>Service fees for transactions , balance transfer fees, annual credit fees and other charges levied on a credit card are recorded into the credit card account.</t>
  </si>
  <si>
    <t>Credit Card Charges</t>
  </si>
  <si>
    <t>6104627000000000412</t>
  </si>
  <si>
    <t>Any bank fees levied is recorded into the bank fees and charges account. A bank account maintenance fee, transaction charges, a late payment fee are some examples.</t>
  </si>
  <si>
    <t>Bank Fees and Charges</t>
  </si>
  <si>
    <t>6104627000000000409</t>
  </si>
  <si>
    <t>Any reduction on your selling price as a discount can be recorded into the discount account.</t>
  </si>
  <si>
    <t>Discount</t>
  </si>
  <si>
    <t>6104627000000000406</t>
  </si>
  <si>
    <t>Your expenses on promotional, marketing and advertising activities like banners, web-adds, trade shows, etc. are recorded in advertising and marketing account.</t>
  </si>
  <si>
    <t>Advertising And Marketing</t>
  </si>
  <si>
    <t>6104627000000000403</t>
  </si>
  <si>
    <t>All expenses on purchasing office supplies like stationery are recorded into the office supplies account.</t>
  </si>
  <si>
    <t>Office Supplies</t>
  </si>
  <si>
    <t>6104627000000000400</t>
  </si>
  <si>
    <t>Any late fee income is recorded into the late fee income account. The late fee is levied when the payment for an invoice is not received by the due date.</t>
  </si>
  <si>
    <t>Late Fee Income</t>
  </si>
  <si>
    <t>6104627000000000397</t>
  </si>
  <si>
    <t>A percentage of your balances and deposits are given as interest to you by your banks and financial institutions. This interest is recorded into the interest income account.</t>
  </si>
  <si>
    <t>Interest Income</t>
  </si>
  <si>
    <t>6104627000000000394</t>
  </si>
  <si>
    <t>A liability account that reports amounts received in advance of providing goods or services. When the goods or services are provided, this account balance is decreased and a revenue account is increased.</t>
  </si>
  <si>
    <t>Unearned Revenue</t>
  </si>
  <si>
    <t>6104627000000005001</t>
  </si>
  <si>
    <t>A general category of account where you can record any income which cannot be recorded into any other category.</t>
  </si>
  <si>
    <t>General Income</t>
  </si>
  <si>
    <t>6104627000000000391</t>
  </si>
  <si>
    <t>The income from the sales in your business is recorded under the sales account.</t>
  </si>
  <si>
    <t>Sales</t>
  </si>
  <si>
    <t>6104627000000000388</t>
  </si>
  <si>
    <t>This is an account where you can record the balance from your previous years earning or the amount set aside for some activities. It is like a buffer account for your funds.</t>
  </si>
  <si>
    <t>Opening Balance Offset</t>
  </si>
  <si>
    <t>6104627000000000385</t>
  </si>
  <si>
    <t>The owners rights to the assets of a company can be quantified in the owner''s equity account.</t>
  </si>
  <si>
    <t>Owner's Equity</t>
  </si>
  <si>
    <t>6104627000000000382</t>
  </si>
  <si>
    <t>The earnings of your company which are not distributed among the share holders is accounted as retained earnings.</t>
  </si>
  <si>
    <t>Retained Earnings</t>
  </si>
  <si>
    <t>6104627000000000379</t>
  </si>
  <si>
    <t>The amount of money which you owe to your tax authority is recorded under the tax payable account. This amount is a sum of your outstanding in taxes and the tax charged on sales.</t>
  </si>
  <si>
    <t>Tax Payable</t>
  </si>
  <si>
    <t>6104627000000000376</t>
  </si>
  <si>
    <t>Accounts Payable</t>
  </si>
  <si>
    <t>This is an account of all the money which you owe to others like a pending bill payment to a vendor,etc.</t>
  </si>
  <si>
    <t>6104627000000000373</t>
  </si>
  <si>
    <t>Any tax which is paid in advance is recorded into the advance tax account. This advance tax payment could be a quarterly, half yearly or yearly payment.</t>
  </si>
  <si>
    <t>Advance Tax</t>
  </si>
  <si>
    <t>6104627000000000370</t>
  </si>
  <si>
    <t>Fixed Asset</t>
  </si>
  <si>
    <t>Purchases of furniture and equipment for your office that can be used for a long period of time usually exceeding one year can be tracked with this account.</t>
  </si>
  <si>
    <t>Furniture and Equipment</t>
  </si>
  <si>
    <t>6104627000000000367</t>
  </si>
  <si>
    <t>Accounts Receivable</t>
  </si>
  <si>
    <t>The money that customers owe you becomes the accounts receivable. A good example of this is a payment expected from an invoice sent to your customer.</t>
  </si>
  <si>
    <t>6104627000000000364</t>
  </si>
  <si>
    <t>Cash</t>
  </si>
  <si>
    <t>It is a small amount of cash that is used to pay your minor or casual expenses rather than writing a check.</t>
  </si>
  <si>
    <t>Petty Cash</t>
  </si>
  <si>
    <t>6104627000000000361</t>
  </si>
  <si>
    <t>Record funds received by your company yet to be deposited in a bank as undeposited funds and group them as a current asset in your balance sheet.</t>
  </si>
  <si>
    <t>Undeposited Funds</t>
  </si>
  <si>
    <t>6104627000000000358</t>
  </si>
  <si>
    <t>Any expense related to putting up at motels etc while on business travel can be entered here.</t>
  </si>
  <si>
    <t>Lodging</t>
  </si>
  <si>
    <t>6104627000000032023</t>
  </si>
  <si>
    <t>Miscellaneous charges like adjustments made to the invoice can be recorded in this account.</t>
  </si>
  <si>
    <t>Other Charges</t>
  </si>
  <si>
    <t>6104627000000010001</t>
  </si>
  <si>
    <t>Parent Account</t>
  </si>
  <si>
    <t>Currency</t>
  </si>
  <si>
    <t>Account Status</t>
  </si>
  <si>
    <t xml:space="preserve">Account # </t>
  </si>
  <si>
    <t>IsMileage</t>
  </si>
  <si>
    <t>Mileage Unit</t>
  </si>
  <si>
    <t>Mileage Rate</t>
  </si>
  <si>
    <t>Account Type</t>
  </si>
  <si>
    <t>Account Code</t>
  </si>
  <si>
    <t>Account Name</t>
  </si>
  <si>
    <t>Account ID</t>
  </si>
  <si>
    <t>Cost of sales</t>
  </si>
  <si>
    <t>Current Asset</t>
  </si>
  <si>
    <t>FSLI</t>
  </si>
  <si>
    <t>Accumulated funds</t>
  </si>
  <si>
    <t>FSLI - Added</t>
  </si>
  <si>
    <t>Non-current asset</t>
  </si>
  <si>
    <t>Current Liabilities</t>
  </si>
  <si>
    <t>Category per Zoho</t>
  </si>
  <si>
    <t>***Added***</t>
  </si>
  <si>
    <t>Zenith bank</t>
  </si>
  <si>
    <t>Premium Trust bank</t>
  </si>
  <si>
    <t>Sterling bank</t>
  </si>
  <si>
    <t>Bank transactions in the stated bank account</t>
  </si>
  <si>
    <t>Donation received from IHS for day to day running of the business</t>
  </si>
  <si>
    <t>Donation income</t>
  </si>
  <si>
    <t>Telephone and Data expense</t>
  </si>
  <si>
    <t>The expenses on your telephone, data, voice mobile and fax usage</t>
  </si>
  <si>
    <t>Software related expenses from the use of Zoho or other software related expenses</t>
  </si>
  <si>
    <t>Software expense</t>
  </si>
  <si>
    <t>Expenses on food and entertainment for Guests are recorded into this account directly related to income</t>
  </si>
  <si>
    <t>Income from renting facilities to Host</t>
  </si>
  <si>
    <t>Income from providing food and drinks to Host</t>
  </si>
  <si>
    <t>Guest and entertainment (Income)</t>
  </si>
  <si>
    <t>Fuel/Diesel Expenses</t>
  </si>
  <si>
    <t>Relates to all fuel and diesel related expenses</t>
  </si>
  <si>
    <t>Contrubutions relating to employees</t>
  </si>
  <si>
    <t>Employee related costs</t>
  </si>
  <si>
    <t>Description </t>
  </si>
  <si>
    <t>Amount </t>
  </si>
  <si>
    <t>Pebbles sim consult (Cleaning services ) </t>
  </si>
  <si>
    <t>Bubble drinks (drinks and snacks )</t>
  </si>
  <si>
    <t>Star link Invoice </t>
  </si>
  <si>
    <t>Zoho invoice </t>
  </si>
  <si>
    <t>Staff lunch </t>
  </si>
  <si>
    <t>VIP refreshment (Coffee, water)</t>
  </si>
  <si>
    <t>TOTAL</t>
  </si>
  <si>
    <t>Reallocation of MD expenses reimbursement</t>
  </si>
  <si>
    <t>Security expense</t>
  </si>
  <si>
    <t>Payment for security of the facility</t>
  </si>
  <si>
    <t>Travel expense - Local</t>
  </si>
  <si>
    <t>Travel expense - International</t>
  </si>
  <si>
    <t>Expenses on local business travels like hotel bookings, flight charges, etc. are recorded as travel expenses.</t>
  </si>
  <si>
    <t>Expenses on international business travels like hotel bookings, flight charges, etc. are recorded as travel expenses.</t>
  </si>
  <si>
    <t>Staff related trainings expense</t>
  </si>
  <si>
    <t>Staff welfare like HMO</t>
  </si>
  <si>
    <t>Staff allowances</t>
  </si>
  <si>
    <t>Staff allowances to be defined</t>
  </si>
  <si>
    <t>Rental expense</t>
  </si>
  <si>
    <t>Rental of equipments such as generators</t>
  </si>
  <si>
    <t>Refundable security deposit</t>
  </si>
  <si>
    <t>Security deposit charged to the host and refunded after event</t>
  </si>
  <si>
    <t>Amount</t>
  </si>
  <si>
    <t>Balance check</t>
  </si>
  <si>
    <t>zenith bank</t>
  </si>
  <si>
    <t>Clearing account</t>
  </si>
  <si>
    <t>Temporay account to post unclear entries</t>
  </si>
  <si>
    <t>Accumulated depreciation of furniture and equipment can be tracked with this account.</t>
  </si>
  <si>
    <t>Furniture and Equipment (Acc Depr)</t>
  </si>
  <si>
    <t xml:space="preserve">Surplus/Deficit </t>
  </si>
  <si>
    <t>The surplus or deficit from each year</t>
  </si>
  <si>
    <t>Reserves</t>
  </si>
  <si>
    <t>Bank03</t>
  </si>
  <si>
    <t>sterling bank</t>
  </si>
  <si>
    <t>BANKNIP From 000015250826062358000000205483 000015 PAYREF: SP33363963 SENDER: TUNMISE JOHNSON HOUSEHOLD FOUNDATIO REMARK: 1756149559014 ILORIN TECH PARK LTD Ref:
0000152508260623580000002054832</t>
  </si>
  <si>
    <t>09FG2508192006139819TJWVE | BOLATITO GANIYAT OLAGUNJU | BOLATITO GANIYAT OLAGUNJU to ILORIN TECH PARK LTD Ref: 09FG2508192006139819TJWVE2</t>
  </si>
  <si>
    <t>BANKNIP From 000012250827114416629004483368
000012 PAYREF: 9286-2 SENDER: WEBFALA DIGITAL SKILLS FOR ALL INITIATI REMARK: IIH Facility rental
(pitch hall) for WIA ILORIN TECH PARK LTD Ref: 0000122508271144166290044833682</t>
  </si>
  <si>
    <t>Administrative expenses</t>
  </si>
  <si>
    <t>IIH Financial 2025 Report</t>
  </si>
  <si>
    <t>30 xxx 2024</t>
  </si>
  <si>
    <t xml:space="preserve"> N'000 </t>
  </si>
  <si>
    <t xml:space="preserve">Other income </t>
  </si>
  <si>
    <t>Finance income</t>
  </si>
  <si>
    <t>Finance cost</t>
  </si>
  <si>
    <t>Taxation charge</t>
  </si>
  <si>
    <t>ASSETS</t>
  </si>
  <si>
    <t>Non-current assets</t>
  </si>
  <si>
    <t>Property, plant and equipment</t>
  </si>
  <si>
    <t>Intangible assets</t>
  </si>
  <si>
    <t>Investments</t>
  </si>
  <si>
    <t>Current assets</t>
  </si>
  <si>
    <t>Inventories</t>
  </si>
  <si>
    <t>Trade and other receivables</t>
  </si>
  <si>
    <t>Bank and cash balances</t>
  </si>
  <si>
    <t>Total assets</t>
  </si>
  <si>
    <t>LIABILITIES</t>
  </si>
  <si>
    <t>Current liabilities</t>
  </si>
  <si>
    <t>Trade and other payables</t>
  </si>
  <si>
    <t>Borrowings</t>
  </si>
  <si>
    <t>Provision for liabilities and charges</t>
  </si>
  <si>
    <t>Income tax liabilities</t>
  </si>
  <si>
    <t>Non-current liabilities</t>
  </si>
  <si>
    <t>Total liabilities</t>
  </si>
  <si>
    <t>Net Asset/(liabilities)</t>
  </si>
  <si>
    <t>FUNDS/RESERVES</t>
  </si>
  <si>
    <t>Surplus/Deficit</t>
  </si>
  <si>
    <t>Total Accumulated Funds</t>
  </si>
  <si>
    <t>Total liabilities and funds</t>
  </si>
  <si>
    <t>Cash flows from operating activities</t>
  </si>
  <si>
    <t>Cash generated from operations</t>
  </si>
  <si>
    <t>Income taxes paid</t>
  </si>
  <si>
    <t>Net cash flows generated from operating activities</t>
  </si>
  <si>
    <t>Cash flows from investing activities</t>
  </si>
  <si>
    <t>Purchase of property, plant and equipment</t>
  </si>
  <si>
    <t>Purchase of software and licences</t>
  </si>
  <si>
    <t>Proceeds from sale of property, plant and equipment</t>
  </si>
  <si>
    <t>Proceeds from sale of investment</t>
  </si>
  <si>
    <t>Interest received</t>
  </si>
  <si>
    <t>Short term deposits</t>
  </si>
  <si>
    <t>Net cash used in investing activities</t>
  </si>
  <si>
    <t>Cash flows from financing activities</t>
  </si>
  <si>
    <t>Interest paid to third parties</t>
  </si>
  <si>
    <t>Interest paid to related parties</t>
  </si>
  <si>
    <t>Loan receipts from third parties</t>
  </si>
  <si>
    <t>Loan receipts from related parties</t>
  </si>
  <si>
    <t>Principal repayment to third parties</t>
  </si>
  <si>
    <t>Principal repayment to related parties</t>
  </si>
  <si>
    <t>Net cash used in financing activities</t>
  </si>
  <si>
    <t>Increase/(decrease) in cash and cash equivalents</t>
  </si>
  <si>
    <t>Cash and cash equivalents at beginning of the period</t>
  </si>
  <si>
    <t>Cash and cash equivalent at period end</t>
  </si>
  <si>
    <t>Cost</t>
  </si>
  <si>
    <t>Total</t>
  </si>
  <si>
    <t>At beginning of year</t>
  </si>
  <si>
    <t>Additions</t>
  </si>
  <si>
    <t>Disposals</t>
  </si>
  <si>
    <t>At end of year</t>
  </si>
  <si>
    <t>Depreciation and impairment</t>
  </si>
  <si>
    <t>Charge for the year</t>
  </si>
  <si>
    <t>Carrying amount</t>
  </si>
  <si>
    <t>As at 30 xxx 2025</t>
  </si>
  <si>
    <t>As at 30 xxx 2024</t>
  </si>
  <si>
    <t>Other income</t>
  </si>
  <si>
    <t>COGS</t>
  </si>
  <si>
    <t>Other Liabilities</t>
  </si>
  <si>
    <t>Others</t>
  </si>
  <si>
    <t>Staff salaries and allowance</t>
  </si>
  <si>
    <t>Cleaning expense</t>
  </si>
  <si>
    <t>Staff related cost</t>
  </si>
  <si>
    <t>Surplus/(Deficit) for the period</t>
  </si>
  <si>
    <t>Surplus/(Deficit) before taxation</t>
  </si>
  <si>
    <t>Operating Surplus/(Deficit)</t>
  </si>
  <si>
    <t>Gross Surplus/(Deficit)</t>
  </si>
  <si>
    <t>Furniture &amp; Equipment</t>
  </si>
  <si>
    <t>Notes</t>
  </si>
  <si>
    <t>Prepaid expenses</t>
  </si>
  <si>
    <t>Trade receivables</t>
  </si>
  <si>
    <t>Other receivables</t>
  </si>
  <si>
    <t>Balance at beginning</t>
  </si>
  <si>
    <t>Check</t>
  </si>
  <si>
    <t>Transfered to cost of goods sold</t>
  </si>
  <si>
    <t>Add non-cash items:</t>
  </si>
  <si>
    <t>Depreciation expense</t>
  </si>
  <si>
    <t>Changes in working capital:</t>
  </si>
  <si>
    <t>(Increase)/Decrease in receivables</t>
  </si>
  <si>
    <t>Increase/(Decrease) in payables</t>
  </si>
  <si>
    <t>(Increase)/Decrease in inventories</t>
  </si>
  <si>
    <t>Surplus/Deficit for the year</t>
  </si>
  <si>
    <t>Ilorin Innovation Hub</t>
  </si>
  <si>
    <t>Financial Report</t>
  </si>
  <si>
    <t>Column Labels</t>
  </si>
  <si>
    <t>Grand Total</t>
  </si>
  <si>
    <t>Row Labels</t>
  </si>
  <si>
    <t>Sum of Transactions</t>
  </si>
  <si>
    <t>Period</t>
  </si>
  <si>
    <t>FIXED ASSET REGISTER</t>
  </si>
  <si>
    <t>DATE</t>
  </si>
  <si>
    <t>TRANSACTION DETAILS</t>
  </si>
  <si>
    <t>ASSET CATEGORY</t>
  </si>
  <si>
    <t>Generator</t>
  </si>
  <si>
    <t>AC</t>
  </si>
  <si>
    <t>AMOUNT</t>
  </si>
  <si>
    <t>BANKNIP From 000023250704172240002161736596
000023 PAYREF: 20250704172110431 SENDER: TUNMISEJOHNSONHOUSEHOLDFOUNDA. REMARK: To STERLING BANK | ILORIN TECH PARK LTD Payment for
meeting room ILORIN TECH PARK LTD Ref: 0000232507041722400021617365962</t>
  </si>
  <si>
    <t>BANKNIP From 000023250707202613002162301935
000023 PAYREF: 20250707202458121 SENDER: TUNMISEJOHNSONHOUSEHOLDFOUNDA. REMARK: To STERLING BANK | ILORIN TECH PARK LTD Payment for
workspace ILORIN TECH PARK LTD Ref: 0000232507072026130021623019352</t>
  </si>
  <si>
    <t>BANKNIP From 000023250709100931002162553147
000023 PAYREF: 20250709100757642 SENDER: TUNMISEJOHNSONHOUSEHOLDFOUNDA. REMARK: To STERLING BANK | ILORIN TECH PARK LTD Payment for
workspace Illorin Innovation Hub ILORIN TECH PARK LTD Ref: 0000232507091009310021625531472</t>
  </si>
  <si>
    <t>BANKNIP From 090405250714201122339824072848
090405 PAYREF: AT68_TRF2MPT5huqf1944837139734736896 SENDER:
NGUTOR MICHAEL AKPEM REMARK: Payment for use of Ilorin Innovation H/AT68_TRF2MPT5huqf1944837139734736896 ILORIN TECH PARK LTD Ref: 0904052507142011223398240728482</t>
  </si>
  <si>
    <t>BANKNIP From 000015250716074837778350829545
000015 PAYREF: PAY20250716064856822ZLVEE4CT6 SENDER: TUNMISE JOHNSON HOUSEHOLD FOUNDATIO REMARK: TRF ILORIN TECH PARK LTD Ref: 0000152507160748377783508295452</t>
  </si>
  <si>
    <t>BANKNIP From 000004250716114707496107532094
000004 PAYREF: 250716114707 SENDER: SALAU ADETOLA ARIYIKE REMARK: BAS/NIP/SALAU A/ILORIN
T/Funds Transfer ILORIN TECH PARK LTD Ref: 0000042507161147074961075320942</t>
  </si>
  <si>
    <t>BANKNIP From 000015250716131058536351259698
000015 PAYREF: PAY20250716121128322B7J0NEKI1 SENDER: THE PRISTINE CHILDREN FOUNDATION REMARK: NIP ILORIN TECH PARK LTD Ref: 0000152507161310585363512596982</t>
  </si>
  <si>
    <t>BANKNIP From 100004250718075728137046750306
100004 PAYREF: 100004250718075728137046750306 SENDER: SOLOMON ILEMONA SAMUEL REMARK:
payment for Hall ILORIN TECH PARK LTD Ref: 1000042507180757281370467503062</t>
  </si>
  <si>
    <t>BANKNIP From 000013250718132808000292628644
000013 PAYREF: 000292628644 SENDER: IJISESAN
ADEYEYE OLUKAYODE REMARK: From Mayowa Ijisesan to ILORIN TECH PARK LTD.
000013250718132808000292628644 ILORIN TECH PARK LTD Ref: 0000132507181328080002926286442</t>
  </si>
  <si>
    <t>BANKNIP From 000015250723092323712358949558
000015 PAYREF: PAY20250723082358432AQQW1P075 SENDER: TUNMISE JOHNSON HOUSEHOLD FOUNDATIO REMARK: TRF ILORIN TECH PARK LTD Ref: 0000152507230923237123589495582</t>
  </si>
  <si>
    <t>LEGAL SEARCH IFOILORIN TECH PARK LTD ILORIN TECH PARK LTD Ref: BT25071114gTWBqmfI1</t>
  </si>
  <si>
    <t>VAT FEE - 000001250717155508142098272646 | InBranch NIP at 044 BOO ILORIN TECH PARK LTD IFO ASMAU
NINIOLA OLANREWAJU Being Payment made for pro ILORIN TECH PARK LTD Ref: 0000012507171555081420982726462</t>
  </si>
  <si>
    <t>NIP FEE - 000001250717155508142098272646 | InBranch NIP at 044 BOO ILORIN TECH PARK LTD IFO ASMAU
NINIOLA OLANREWAJU Being Payment made for pro ILORIN TECH PARK LTD Ref: 0000012507171555081420982726463</t>
  </si>
  <si>
    <t>VAT FEE - 000001250723174037222117856621 | InBranch NIP at 044 BOO ILORIN TECH PARK LTD IFO BDA
POWER &amp;amp;amp;PROJECT COMPANY purchase of flexible po ILORIN TECH PARK LTD Ref: 0000012507231740372221178566212</t>
  </si>
  <si>
    <t>NIP FEE - 000001250723174037222117856621 | InBranch NIP at 044 BOO ILORIN TECH PARK LTD IFO BDA
POWER &amp;amp;amp;PROJECT COMPANY purchase of flexible po ILORIN TECH PARK LTD Ref: 0000012507231740372221178566213</t>
  </si>
  <si>
    <t>Govt Levy (FIRS) – EMT for 2025-07-23 ILORIN TECH
PARK LTD Ref: b7229d09-f4b2-47f5-b73c-3b8fe08f7e9c1</t>
  </si>
  <si>
    <t>000001250723174037222117856621 | InBranch NIP at 044 BOO ILORIN TECH PARK LTD IFO BDA POWER
&amp;amp;amp;PROJECT COMPANY purchase of flexible po ILORIN TECH PARK LTD Ref: 0000012507231740372221178566211</t>
  </si>
  <si>
    <t>000001250717155508142098272646 | InBranch NIP at 044 BOO ILORIN TECH PARK LTD IFO ASMAU NINIOLA</t>
  </si>
  <si>
    <t>TAX</t>
  </si>
  <si>
    <t>DEPOSIT REFUND</t>
  </si>
  <si>
    <t>SALES</t>
  </si>
  <si>
    <t>AR</t>
  </si>
  <si>
    <t>6104627000000227031</t>
  </si>
  <si>
    <t>6104627000000091085</t>
  </si>
  <si>
    <t>Special Assistant on Students’ Affairs, Kwara State Government.</t>
  </si>
  <si>
    <t>INV-000067</t>
  </si>
  <si>
    <t>2025-09-30</t>
  </si>
  <si>
    <t>2025-09-22</t>
  </si>
  <si>
    <t>paid</t>
  </si>
  <si>
    <t>6104627000000227058</t>
  </si>
  <si>
    <t>6104627000000227001</t>
  </si>
  <si>
    <t>Mr. Kelani Ayodeji</t>
  </si>
  <si>
    <t>INV-000066</t>
  </si>
  <si>
    <t>draft</t>
  </si>
  <si>
    <t>6104627000000227019</t>
  </si>
  <si>
    <t>6104627000000225001</t>
  </si>
  <si>
    <t>Block Dag, Dag Systems ltd</t>
  </si>
  <si>
    <t>INV-000065</t>
  </si>
  <si>
    <t>2025-09-26</t>
  </si>
  <si>
    <t>2025-09-19</t>
  </si>
  <si>
    <t>6104627000000225019</t>
  </si>
  <si>
    <t>6104627000000111019</t>
  </si>
  <si>
    <t>Co-creation Hub</t>
  </si>
  <si>
    <t>INV-000064</t>
  </si>
  <si>
    <t>2025-09-17</t>
  </si>
  <si>
    <t>6104627000000224001</t>
  </si>
  <si>
    <t>6104627000000207001</t>
  </si>
  <si>
    <t>Committee of the Chartered Institute of Taxation of Nigeria CITN</t>
  </si>
  <si>
    <t>INV-000063</t>
  </si>
  <si>
    <t>2025-09-12</t>
  </si>
  <si>
    <t>6104627000000216043</t>
  </si>
  <si>
    <t>6104627000000208001</t>
  </si>
  <si>
    <t>Mrs. Mary Oladimeji-Ajado (Moaj)</t>
  </si>
  <si>
    <t>INV-000062</t>
  </si>
  <si>
    <t>2025-09-11</t>
  </si>
  <si>
    <t>6104627000000215040</t>
  </si>
  <si>
    <t>6104627000000170001</t>
  </si>
  <si>
    <t>Sui Blockchain Developers &amp; Community</t>
  </si>
  <si>
    <t>INV-000061</t>
  </si>
  <si>
    <t>6104627000000215024</t>
  </si>
  <si>
    <t>INV-000060</t>
  </si>
  <si>
    <t>6104627000000215010</t>
  </si>
  <si>
    <t>INV-000042</t>
  </si>
  <si>
    <t>6104627000000174001</t>
  </si>
  <si>
    <t>6104627000000210083</t>
  </si>
  <si>
    <t>Picture Works limited</t>
  </si>
  <si>
    <t>INV-000054</t>
  </si>
  <si>
    <t>2025-09-08</t>
  </si>
  <si>
    <t>6104627000000196067</t>
  </si>
  <si>
    <t>6104627000000210001</t>
  </si>
  <si>
    <t>United Nations Development Programme (UNDP) Nigeria</t>
  </si>
  <si>
    <t>INV-000059</t>
  </si>
  <si>
    <t>2025-09-07</t>
  </si>
  <si>
    <t>6104627000000210031</t>
  </si>
  <si>
    <t>INV-000058</t>
  </si>
  <si>
    <t>2025-09-02</t>
  </si>
  <si>
    <t>6104627000000208019</t>
  </si>
  <si>
    <t>INV-000057</t>
  </si>
  <si>
    <t>2025-10-15</t>
  </si>
  <si>
    <t>2025-09-01</t>
  </si>
  <si>
    <t>6104627000000207019</t>
  </si>
  <si>
    <t>6104627000000094027</t>
  </si>
  <si>
    <t>IHS Nigeria</t>
  </si>
  <si>
    <t>INV-000056</t>
  </si>
  <si>
    <t>6104627000000205001</t>
  </si>
  <si>
    <t>6104627000000196049</t>
  </si>
  <si>
    <t>WDSFAI</t>
  </si>
  <si>
    <t>INV-000055</t>
  </si>
  <si>
    <t>2025-08-26</t>
  </si>
  <si>
    <t>6104627000000201084</t>
  </si>
  <si>
    <t>INV-000048</t>
  </si>
  <si>
    <t>2025-08-28</t>
  </si>
  <si>
    <t>2025-08-25</t>
  </si>
  <si>
    <t>6104627000000188047</t>
  </si>
  <si>
    <t>6104627000000194065</t>
  </si>
  <si>
    <t>PARANTI FILMS PRODUCTION</t>
  </si>
  <si>
    <t>INV-000053</t>
  </si>
  <si>
    <t>2025-08-22</t>
  </si>
  <si>
    <t>2025-08-19</t>
  </si>
  <si>
    <t>6104627000000194083</t>
  </si>
  <si>
    <t>6104627000000194001</t>
  </si>
  <si>
    <t>BASE BRIDGE</t>
  </si>
  <si>
    <t>INV-000052</t>
  </si>
  <si>
    <t>2025-08-20</t>
  </si>
  <si>
    <t>6104627000000194053</t>
  </si>
  <si>
    <t>INV-000051</t>
  </si>
  <si>
    <t>6104627000000194019</t>
  </si>
  <si>
    <t>6104627000000154017</t>
  </si>
  <si>
    <t>TA Community</t>
  </si>
  <si>
    <t>INV-000050</t>
  </si>
  <si>
    <t>2025-08-13</t>
  </si>
  <si>
    <t>6104627000000191011</t>
  </si>
  <si>
    <t>INV-000049</t>
  </si>
  <si>
    <t>6104627000000191001</t>
  </si>
  <si>
    <t>INV-000047</t>
  </si>
  <si>
    <t>2025-08-07</t>
  </si>
  <si>
    <t>6104627000000188031</t>
  </si>
  <si>
    <t>INV-000046</t>
  </si>
  <si>
    <t>2025-08-11</t>
  </si>
  <si>
    <t>6104627000000188015</t>
  </si>
  <si>
    <t>INV-000045</t>
  </si>
  <si>
    <t>6104627000000188001</t>
  </si>
  <si>
    <t>INV-000037</t>
  </si>
  <si>
    <t>2025-07-23</t>
  </si>
  <si>
    <t>6104627000000170019</t>
  </si>
  <si>
    <t>6104627000000167042</t>
  </si>
  <si>
    <t>3SU MENTORSHIP AND FELLOWSHIP PROGRAM</t>
  </si>
  <si>
    <t>INV-000043</t>
  </si>
  <si>
    <t>2025-07-21</t>
  </si>
  <si>
    <t>6104627000000175001</t>
  </si>
  <si>
    <t>INV-000044</t>
  </si>
  <si>
    <t>2025-07-22</t>
  </si>
  <si>
    <t>2025-07-18</t>
  </si>
  <si>
    <t>6104627000000175013</t>
  </si>
  <si>
    <t>INV-000041</t>
  </si>
  <si>
    <t>6104627000000173051</t>
  </si>
  <si>
    <t>INV-000040</t>
  </si>
  <si>
    <t>2025-07-20</t>
  </si>
  <si>
    <t>6104627000000173035</t>
  </si>
  <si>
    <t>INV-000039</t>
  </si>
  <si>
    <t>2025-07-19</t>
  </si>
  <si>
    <t>6104627000000173001</t>
  </si>
  <si>
    <t>INV-000038</t>
  </si>
  <si>
    <t>2025-07-16</t>
  </si>
  <si>
    <t>6104627000000170044</t>
  </si>
  <si>
    <t>6104627000000169001</t>
  </si>
  <si>
    <t>The Pristine Foundation</t>
  </si>
  <si>
    <t>INV-000036</t>
  </si>
  <si>
    <t>overdue</t>
  </si>
  <si>
    <t>6104627000000169015</t>
  </si>
  <si>
    <t>INV-000035</t>
  </si>
  <si>
    <t>2025-07-14</t>
  </si>
  <si>
    <t>6104627000000168033</t>
  </si>
  <si>
    <t>INV-000034</t>
  </si>
  <si>
    <t>6104627000000167196</t>
  </si>
  <si>
    <t>6104627000000167117</t>
  </si>
  <si>
    <t>SILICON VALLEY GIRL FOUNDATION</t>
  </si>
  <si>
    <t>INV-000033</t>
  </si>
  <si>
    <t>2025-07-31</t>
  </si>
  <si>
    <t>6104627000000167135</t>
  </si>
  <si>
    <t>INV-000032</t>
  </si>
  <si>
    <t>2025-07-15</t>
  </si>
  <si>
    <t>6104627000000167101</t>
  </si>
  <si>
    <t>INV-000031</t>
  </si>
  <si>
    <t>6104627000000167058</t>
  </si>
  <si>
    <t>INV-000025</t>
  </si>
  <si>
    <t>2025-07-08</t>
  </si>
  <si>
    <t>6104627000000160011</t>
  </si>
  <si>
    <t>INV-000024</t>
  </si>
  <si>
    <t>6104627000000160001</t>
  </si>
  <si>
    <t>6104627000000150003</t>
  </si>
  <si>
    <t>Kwara State Ease of Doing Business Council</t>
  </si>
  <si>
    <t>INV-000028</t>
  </si>
  <si>
    <t>2025-07-07</t>
  </si>
  <si>
    <t>6104627000000160067</t>
  </si>
  <si>
    <t>INV-000023</t>
  </si>
  <si>
    <t>6104627000000156001</t>
  </si>
  <si>
    <t>INV-000027</t>
  </si>
  <si>
    <t>2025-07-04</t>
  </si>
  <si>
    <t>6104627000000160053</t>
  </si>
  <si>
    <t>INV-000022</t>
  </si>
  <si>
    <t>6104627000000154070</t>
  </si>
  <si>
    <t>INV-000021</t>
  </si>
  <si>
    <t>6104627000000154035</t>
  </si>
  <si>
    <t>INV-000026</t>
  </si>
  <si>
    <t>2025-07-03</t>
  </si>
  <si>
    <t>6104627000000160027</t>
  </si>
  <si>
    <t>INV-000029</t>
  </si>
  <si>
    <t>2025-07-02</t>
  </si>
  <si>
    <t>6104627000000162001</t>
  </si>
  <si>
    <t>INV-000020</t>
  </si>
  <si>
    <t>2025-07-01</t>
  </si>
  <si>
    <t>6104627000000150021</t>
  </si>
  <si>
    <t>6104627000000145001</t>
  </si>
  <si>
    <t>kwara kre8</t>
  </si>
  <si>
    <t>INV-000019</t>
  </si>
  <si>
    <t>2025-06-18</t>
  </si>
  <si>
    <t>6104627000000145015</t>
  </si>
  <si>
    <t>true</t>
  </si>
  <si>
    <t>6104627000000136005</t>
  </si>
  <si>
    <t>Kwara State Internal Revenue Service</t>
  </si>
  <si>
    <t>INV-000018</t>
  </si>
  <si>
    <t>2025-06-16</t>
  </si>
  <si>
    <t>6104627000000136030</t>
  </si>
  <si>
    <t>INV-000017</t>
  </si>
  <si>
    <t>2025-06-12</t>
  </si>
  <si>
    <t>6104627000000133019</t>
  </si>
  <si>
    <t>INV-000016</t>
  </si>
  <si>
    <t>2025-05-30</t>
  </si>
  <si>
    <t>6104627000000111033</t>
  </si>
  <si>
    <t>6104627000000110056</t>
  </si>
  <si>
    <t>Bitkwa Initiatives</t>
  </si>
  <si>
    <t>INV-000015</t>
  </si>
  <si>
    <t>2025-05-21</t>
  </si>
  <si>
    <t>6104627000000110074</t>
  </si>
  <si>
    <t>INV-000014</t>
  </si>
  <si>
    <t>2025-04-23</t>
  </si>
  <si>
    <t>6104627000000100229</t>
  </si>
  <si>
    <t>INV-000013</t>
  </si>
  <si>
    <t>6104627000000094099</t>
  </si>
  <si>
    <t>INV-000011</t>
  </si>
  <si>
    <t>6104627000000094051</t>
  </si>
  <si>
    <t>exchange_rate</t>
  </si>
  <si>
    <t>reminders_sent</t>
  </si>
  <si>
    <t>is_emailed</t>
  </si>
  <si>
    <t>price_precision</t>
  </si>
  <si>
    <t>customer_id</t>
  </si>
  <si>
    <t>currency_id</t>
  </si>
  <si>
    <t>currency_code</t>
  </si>
  <si>
    <t>project_names</t>
  </si>
  <si>
    <t>paid_amount</t>
  </si>
  <si>
    <t>tax_amount</t>
  </si>
  <si>
    <t>salesperson_id</t>
  </si>
  <si>
    <t>bcy_balance</t>
  </si>
  <si>
    <t>bcy_total</t>
  </si>
  <si>
    <t>customer_name</t>
  </si>
  <si>
    <t>reference_number</t>
  </si>
  <si>
    <t>invoice_number</t>
  </si>
  <si>
    <t>due_date</t>
  </si>
  <si>
    <t>txn_posting_date</t>
  </si>
  <si>
    <t>date</t>
  </si>
  <si>
    <t>status</t>
  </si>
  <si>
    <t>invoice_id</t>
  </si>
  <si>
    <t>Ilorin Innovation Hub
Invoice Details
From 01 Mar 2025 To 30 Sep 2025</t>
  </si>
  <si>
    <t>Donations</t>
  </si>
  <si>
    <t>Guest entertainment</t>
  </si>
  <si>
    <t>Guest entertainment (Income)</t>
  </si>
  <si>
    <t>INV-000026, INV-000027, INV-000028</t>
  </si>
  <si>
    <t>INV-000032 - Invoice in draft, payment not captured</t>
  </si>
  <si>
    <t>INV-000034 - Invoice in draft, payment not captured</t>
  </si>
  <si>
    <t>INV-000044 - Invoice in draft, payment not captured</t>
  </si>
  <si>
    <t>INV-000049 - Invoice in draft, payment not captured</t>
  </si>
  <si>
    <t>INV-000050 - Invoice in draft, payment not captured</t>
  </si>
  <si>
    <t>INV-000039, INV-000040, INV-000041  - Invoice in draft, payment not captured</t>
  </si>
  <si>
    <t>INV-000048 - Invoice in draft, payment not captured</t>
  </si>
  <si>
    <t>Pending - No invoice traced</t>
  </si>
  <si>
    <t>INV-000031 - Invoice in draft, payment not captured</t>
  </si>
  <si>
    <t>INV-000043 - Invoice in draft, payment not captured</t>
  </si>
  <si>
    <t>for the 6month period ended 31st August 2025</t>
  </si>
  <si>
    <t>For the 6month period ended 31 August 2025</t>
  </si>
  <si>
    <t>Notes to financial report</t>
  </si>
  <si>
    <t>Statement of cashflows</t>
  </si>
  <si>
    <t>Statement of financial position</t>
  </si>
  <si>
    <t>Statement of comprehensive income</t>
  </si>
  <si>
    <t>₦’000</t>
  </si>
  <si>
    <t>Surplus/(Deficit) for the year</t>
  </si>
  <si>
    <t>000MOBT25244A6TY PAYMENT FOR PURCHASEOFPLASTICCHAIRSNIPTransfer from ILORIN INNOVATION HUB LTD to SERI</t>
  </si>
  <si>
    <t>000MOBT25244A6WOPAYMENTFORWASTE DISPOSAL FORAUGUSTNIPTransfer from ILORIN INNOVATION HUB LTD to EXTRE</t>
  </si>
  <si>
    <t>000MOBT25244A9SSPAYMENTFORFLIGHT TICKET MD GITEX RETURN LOS ILV NIP Transfer from ILORIN INNOVATION HUB</t>
  </si>
  <si>
    <t>016NIPO252450052 NIP-BEING PAYMENT FOR AUGUST 2025 SECURITY SERVICE</t>
  </si>
  <si>
    <t>016NIPO252450053NIP-BNGPAYMENTTO HIRE AND TRANSPORT 20KVA DIESEL GENERATOR FOR 12 DAYS</t>
  </si>
  <si>
    <t>Pension</t>
  </si>
  <si>
    <t>Employee and employer monthly pension contribution</t>
  </si>
  <si>
    <t>016NIPO252450069NIP-BNGPAYMENTFOR AUGUST 2025 STAFF PENSION</t>
  </si>
  <si>
    <t>016NIPC252450069 NIP Charge-BNG PAYMENT FOR AUGUST 2025 STAFF PENSION</t>
  </si>
  <si>
    <t>016VATP252450069 NIPCharge VAT-BNG PAYMENT FOR AUGUST 2025 STAFF PENSION</t>
  </si>
  <si>
    <t>016NIPO252450070NIP-BNGPAYMENTFOR JULY 2025 STAFF PENSION</t>
  </si>
  <si>
    <t>016NIPC252450070 NIP Charge-BNG PAYMENT FOR JULY 2025 STAFF PENSION</t>
  </si>
  <si>
    <t>016VATP252450070 NIPCharge VAT-BNG PAYMENT FOR JULY 2025 STAFF PENSION</t>
  </si>
  <si>
    <t>016NIPO252450073NIP-BNGPAYMENTFOR JUNE 2025 STAFF PENSION</t>
  </si>
  <si>
    <t>016NIPC252450073 NIP Charge-BNG PAYMENT FOR JUNE 2025 STAFF PENSION</t>
  </si>
  <si>
    <t>016VATP252450073 NIPCharge VAT-BNG PAYMENT FOR JUNE 2025 STAFF PENSION</t>
  </si>
  <si>
    <t>016NIPO252450080NIP-BNGPAYMENTFOR MAY 2025 STAFF PENSION</t>
  </si>
  <si>
    <t>016NIPC252450080 NIP Charge-BNG PAYMENT FOR MAY 2025 STAFF PENSION</t>
  </si>
  <si>
    <t>016VATP252450080 NIPCharge VAT-BNG PAYMENT FOR MAY 2025 STAFF PENSION</t>
  </si>
  <si>
    <t>016NIPO252450081NIP-BNGPAYMENTFOR AUGUST 2025 LANDSCAPING SERVICE</t>
  </si>
  <si>
    <t>016NIPC252450081 NIP Charge-BNG PAYMENTFORAUGUST2025LANDSCAPING SERVICE</t>
  </si>
  <si>
    <t>016VATP252450081 NIPCharge VAT-BNG PAYMENTFORAUGUST2025LANDSCAPING SERVICE</t>
  </si>
  <si>
    <t>000MOBT25245A18Q PAYMENT FOR MD STAY 3NIGHTSGITEXNIPTransfer from ILORIN INNOVATION HUB LTD to T9 HOTEL</t>
  </si>
  <si>
    <t>016NIPO252450087NIP-BNGPAYMENTFOR MARCH 2025 STAFF PENSION</t>
  </si>
  <si>
    <t>016NIPC252450087 NIP Charge-BNG PAYMENT FOR MARCH 2025 STAFF PENSION</t>
  </si>
  <si>
    <t>016VATP252450087 NIPCharge VAT-BNG PAYMENT FOR MARCH 2025 STAFF PENSION</t>
  </si>
  <si>
    <t>016NIPO252450088NIP-BNGPAYMENTFOR APRIL 2025 STAFF PENSION</t>
  </si>
  <si>
    <t>16NIPC252450088 NIP Charge-BNG PAYMENT FOR APRIL 2025 STAFF PENSION</t>
  </si>
  <si>
    <t>016VATP252450088 NIPCharge VAT-BNG PAYMENT FOR APRIL 2025 STAFF PENSION</t>
  </si>
  <si>
    <t>016NIPO252460004NIP-NIPTRFIFOISREAL ABIODUN B/O ILORIN TECH PARK LTD</t>
  </si>
  <si>
    <t>016NIPC252460004NIPCharge-NIPTRFIFO ISREALABIODUNB/O ILORINTECHPARK LTD</t>
  </si>
  <si>
    <t>016VATP252460004NIPChargeVAT-NIPTRF IFO ISREAL ABIODUN B/O ILORIN TECH PARK LTD</t>
  </si>
  <si>
    <t>000MOBT252463993 PAYMENT FORDIESEL PURCHASE 251L ELEVATOR NIP Transfer from ILORIN INNOVATION HUB LTD to</t>
  </si>
  <si>
    <t>000MOBT252465110 PAYMENT FOR BREAKFASTREFRESHMENTSTACOMMNIP Transfer from ILORIN INNOVATION HUB LTD</t>
  </si>
  <si>
    <t>000MOBT252466909 REIMBURSEMENT FOR STAFFBIRTHDAYCAKECARDSNIPTransfer from ILORIN INNOVATION HUB LTD t</t>
  </si>
  <si>
    <t>guest entertainment</t>
  </si>
  <si>
    <t>000MOBT252467581 IIH AUG ALLOWANCE NIPTransfer fromILORIN INNOVATIONHUB LTD to FARAYADE EMMANUEL OLAWALE</t>
  </si>
  <si>
    <t>016NIPO252460039 NIP-BNG PYT FOR AUGUST 2025 JANITORIAL SERVICES</t>
  </si>
  <si>
    <t>016NIPC252460038 NIP Charge-BNGPYT FOR AUGUST 2025 JANITORIAL SERVICES</t>
  </si>
  <si>
    <t>016VATP252460038 NIPCharge VAT-BNG PYT FOR AUGUST 2025 JANITORIAL SERVICES</t>
  </si>
  <si>
    <t>National Housing Fund</t>
  </si>
  <si>
    <t>0160020252460001 REMITTAPAYMENT FOR STAFF NATIONAL HOUSING FUND B/O ILORIN TECH PARK LTD</t>
  </si>
  <si>
    <t>000MOBT25246A2PVOFFICESUPPLIESFOR AUGUST NIP Transfer from ILORIN INNOVATION HUB LTD to MAUREEN DANIEL</t>
  </si>
  <si>
    <t>000MOBT252474993PAYMENTFORTACOMM EVENT LUNCH NIP Transfer from ILORIN INNOVATION HUB LTD to ARIYO VICTO</t>
  </si>
  <si>
    <t>000MOBT25247AC0NREIMBURSEMENT FOR MD LOGISTICS GITEX NIP Transfer from ILORIN INNOVATION HUB LTD to TEMILO</t>
  </si>
  <si>
    <t>000MOBT252518586 REIMBURSEMENT FOR HOSPOTALITYLOGISTICS IHSGUESTS NIP Transfer from ILORIN INNOVATION HU</t>
  </si>
  <si>
    <t>000MOBT25251A4JVPAYMENT FORLAGOS LOGISTICS IIH STAFF ZOHO TRIP NIP Transfer from ILORIN INNOVATION HUB LT</t>
  </si>
  <si>
    <t>000MOBT25251A70Q PAYMENT COR ACCOMODATION FOR IIH STAFF ZOHO LAGOS TRIP NIP Transfer from ILORIN</t>
  </si>
  <si>
    <t>000MOBT25251ADGL PAYMENT FOR BUSINESS CARDS IIH STAFF NIP Transfer from ILORIN INNOVATION HUB LTD to</t>
  </si>
  <si>
    <t>000MOBT25251AGLX PAYMENT FOR ADDITIONAL BUSINESS CARDS MD NIP Transfer from ILORIN INNOVATION HUB LTD</t>
  </si>
  <si>
    <t>stationery and Office Supplies</t>
  </si>
  <si>
    <t>000MOBT25251AIU6 PAYMENT FOR ACCOMODATIONBALANCE FOR IIHSTAFF ZOHO LAGOS TRIP NIP Transfer from ILORIN</t>
  </si>
  <si>
    <t>000MOBT252548484 PAYMENT FOR ZOHO CAMPAIGNSUPGRADEFROM5KTO10KNIP Transfer from ILORIN INNOVATION HUB</t>
  </si>
  <si>
    <t>016NIPO252540023NIP-BEINGPAYMENTTO HIRE A FORKLIFT</t>
  </si>
  <si>
    <t>016NIPC252540023 NIP Charge-BEING PAYMENT TO HIRE A FORKLIFT</t>
  </si>
  <si>
    <t>016VATP252540023NIPChargeVAT-BEING PAYMENT TO HIRE A FORKLIFT</t>
  </si>
  <si>
    <t>000MOBT25254A3GVREIMBURSEMENT FOR FLIGHTTICKETABVLOSUSEMBVISITNIP Transfer from ILORIN INNOVATION H</t>
  </si>
  <si>
    <t>000MOBT252552196 PAYMENT FOR FLIGHT TICKETABVILVMDUSEMBASSYVISITNIP Transfer from ILORIN INNOVATION</t>
  </si>
  <si>
    <t>016NIPO252550008NIP-BNGPYTTOHIREA VEHICLE</t>
  </si>
  <si>
    <t>016NIPC252550008NIPCharge-BNGPYTTO HIRE A VEHICLE</t>
  </si>
  <si>
    <t>016VATP252550008 NIPCharge VAT-BNG PYT TO HIRE A VEHICLE</t>
  </si>
  <si>
    <t>016NIPO252550026 NIP-BNG PYT FOR REPAIR OF DAMAGED SCREEN</t>
  </si>
  <si>
    <t>016NIPC252550026 NIP Charge-BNGPYT FOR REPAIR OF DAMAGED SCREEN</t>
  </si>
  <si>
    <t>016VATP252550026 NIPCharge VAT-BNG PYT FOR REPAIR OF DAMAGED SCREEN</t>
  </si>
  <si>
    <t>0160076252550001 BNG COST OF REMITA (STAFF AUGUST 2025 NSITF )B/O ILORIN TECH PARK LTD</t>
  </si>
  <si>
    <t>salaries and Employee Wages</t>
  </si>
  <si>
    <t>000MOBT25258ANOM PAYMENT CAP FOR DRINKSSUIEVENTNIPTransfer fromILORIN INNOVATION HUB LTD to OLALUWOYE</t>
  </si>
  <si>
    <t>000MOBT25258ARSF REIMBURSEMENT FOR MAUREEN LAGOS LOGISTICS ZOHOUNDP TRIP NIP Transfer from ILORIN INNOVAT</t>
  </si>
  <si>
    <t>000MOBT25259A0SL REIMBURSEMENT FOR STAFF LOGISTICS SINACHI LAGOS ZOHO TRIP NIP Transfer from ILORIN INNOVAT</t>
  </si>
  <si>
    <t>000MOBT25259A1U8 REIMBURSEMENT FOR REFRESHMENTSTACOMMNIPTransferfrom ILORIN INNOVATION HUB LTD to MAUR</t>
  </si>
  <si>
    <t>000MOBT25259A1VK REIMBURSEMENT TA COMM REFRESHMENT NIP Transfer from ILORIN INNOVATION HUB LTD to OKEY MAUR</t>
  </si>
  <si>
    <t>000MOBT25259A23GREIMBURSEMENT FOR FUEL MD NIP Transfer from ILORIN INNOVATION HUB LTD to TEMILOLUWA</t>
  </si>
  <si>
    <t>000MOBT25260A7EHREIMBURSEMENT FOR STARLINKAUGSEPTMDNIPTransfer from ILORIN INNOVATION HUB LTD to OLUWA</t>
  </si>
  <si>
    <t>000MOBT25260AADB PURCHASE OF IT EQUIPMENT HDMl PRINTER CABLES NIP Transfer from ILORIN INNOVATION HUB LTD t</t>
  </si>
  <si>
    <t>000MOBT25260AB8N PAYMENT FOR PURCHASE OF EXTENSION BOXES NIP Transfer from ILORIN INNOVATION HUB LTD</t>
  </si>
  <si>
    <t>000MOBT25260AG4S PAYMENT GOR STARLINK SEPT OCT NIP Transfer from ILORIN INNOVATION HUB LTD to</t>
  </si>
  <si>
    <t>016NIPO252650022 NIP-PURCHASE OF NEXUS SHOWCASE FREZEER</t>
  </si>
  <si>
    <t>016NIPC252650022NIPCharge-PURCHASE OF NEXUS SHOWCASE FREZEER</t>
  </si>
  <si>
    <t>016VATP252650022 NIP Charge VAT PURCHASE OF NEXUS SHOWCASE FREZEER</t>
  </si>
  <si>
    <t>000MOBT25265AKYHPAYMENTFORDRINKS WATERDEVBOXNIPTransfer fromILORIN INNOVATION HUB LTD to OLALUWOYE</t>
  </si>
  <si>
    <t>000MOBT25265AORQ REIMBURSEMENT OF CAUTIONFEESOLOEXHIBITIONNIPTransfer from ILORIN INNOVATION HUB LTD t</t>
  </si>
  <si>
    <t>016NIPO252660011 NIP-BNG PYT FOR PURCHASE OF 20UNITS OF 200WSOLAR STREET LIGHT</t>
  </si>
  <si>
    <t>016NIPC252660008 NIP Charge-BNGPYT FOR PURCHASE OF 20UNITS OF 200W SOLAR STREET LIGHT</t>
  </si>
  <si>
    <t>016VATP252660008 NIPCharge VAT-BNG PYTFORPURCHASEOF20UNITSOF200W SOLAR STREET LIGHT</t>
  </si>
  <si>
    <t>016NIPT252660185 NIP TRSF FROMMOAJ MEDIA CONSULT webAppRefund To PREMIUMTRUST BANK ILORIN TECH PARK</t>
  </si>
  <si>
    <t>016EMTL252660072 ELECTRONIC MONEY TRANSFER LEVY</t>
  </si>
  <si>
    <t>016NIPO252670019 NIP-BNG PYT FOR PURCHSE OF 30 UNITS OF CHAIRS</t>
  </si>
  <si>
    <t>016NIPC252670019 NIP Charge-BNGPYT FOR PURCHSE OF 30 UNITS OF CHAIRS</t>
  </si>
  <si>
    <t>016VATP252670019 NIPCharge VAT-BNG PYT FOR PURCHSE OF 30 UNITS OF CHAIRS</t>
  </si>
  <si>
    <t>000MOBT252678487 PAYMENT FOR REPLACEMENT OF DOOR CYLINDERS NIP Transfer from ILORIN INNOVATION HUB LTD</t>
  </si>
  <si>
    <t>016NEFO252680001 NEFT CREDIT-IIH SALARY SEPT 2025</t>
  </si>
  <si>
    <t>016NEFC252680001NEFTCREDITCHARGE IIH SALARY SEPT 2025</t>
  </si>
  <si>
    <t>016VATO252680001 NEFT CREDIT CHARGE VAT - IIH SALARY SEPT 2025</t>
  </si>
  <si>
    <t>016NEFO252680002 NEFT CREDIT-IIH SALARY SEPT 2025</t>
  </si>
  <si>
    <t>016NEFC252680002NEFTCREDITCHARGE IIH SALARY SEPT 2025</t>
  </si>
  <si>
    <t>016VATO252680002 NEFT CREDIT CHARGE VAT - IIH SALARY SEPT 2025</t>
  </si>
  <si>
    <t>016NEFO252680003 NEFT CREDIT-IIH SALARY SEPT 2025</t>
  </si>
  <si>
    <t>016NEFC252680003NEFTCREDITCHARGE IIH SALARY SEPT 2025</t>
  </si>
  <si>
    <t>016VATO252680003 NEFT CREDIT CHARGE VAT - IIH SALARY SEPT 2025</t>
  </si>
  <si>
    <t>016NEFO252680004 NEFT CREDIT-IIH SALARY SEPT 2025</t>
  </si>
  <si>
    <t>016NEFC252680004NEFTCREDITCHARGE IIH SALARY SEPT 2025</t>
  </si>
  <si>
    <t>016VATO252680004 NEFT CREDIT CHARGE VAT - IIH SALARY SEPT 2025</t>
  </si>
  <si>
    <t>016NEFO252680005 NEFT CREDIT-IIH SALARY SEPT 2025</t>
  </si>
  <si>
    <t>016NEFC252680005NEFTCREDITCHARGE IIH SALARY SEPT 2025</t>
  </si>
  <si>
    <t>016VATO252680005 NEFT CREDIT CHARGE VAT - IIH SALARY SEPT 2025</t>
  </si>
  <si>
    <t>016NEFO252680006 NEFT CREDIT-IIH SALARY SEPT 2025</t>
  </si>
  <si>
    <t>016NEFC252680006NEFTCREDITCHARGE IIH SALARY SEPT 2025</t>
  </si>
  <si>
    <t>016VATO252680006 NEFT CREDIT CHARGE VAT - IIH SALARY SEPT 2025</t>
  </si>
  <si>
    <t>016NEFO252680007 NEFT CREDIT-IIH SALARY SEPT 2025</t>
  </si>
  <si>
    <t>016NEFC252680007NEFTCREDITCHARGE IIH SALARY SEPT 2025</t>
  </si>
  <si>
    <t>016VATO252680007 NEFT CREDIT CHARGE VAT - IIH SALARY SEPT 2025</t>
  </si>
  <si>
    <t>016NEFO252680008 NEFT CREDIT-IIH SALARY SEPT 2025</t>
  </si>
  <si>
    <t>016NEFC252680008NEFTCREDITCHARGE IIH SALARY SEPT 2025</t>
  </si>
  <si>
    <t>016VATO252680008 NEFT CREDIT CHARGE VAT - IIH SALARY SEPT 2025</t>
  </si>
  <si>
    <t>016NEFO252680009 NEFT CREDIT-IIH SALARY SEPT 2025</t>
  </si>
  <si>
    <t>016NEFC252680009NEFTCREDITCHARGE IIH SALARY SEPT 2025</t>
  </si>
  <si>
    <t>016VATO252680009 NEFT CREDIT CHARGE VAT - IIH SALARY SEPT 2025</t>
  </si>
  <si>
    <t>016NEFO252680010 NEFT CREDIT-IIH SALARY SEPT 2025</t>
  </si>
  <si>
    <t>016NEFC252680010NEFTCREDITCHARGE IIH SALARY SEPT 2025</t>
  </si>
  <si>
    <t>016VATO252680010 NEFT CREDIT CHARGE VAT - IIH SALARY SEPT 2025</t>
  </si>
  <si>
    <t>016NEFO252680011 NEFT CREDIT-IIH SALARY SEPT 2025</t>
  </si>
  <si>
    <t>016NEFC252680011NEFTCREDITCHARGE IIH SALARY SEPT 2025</t>
  </si>
  <si>
    <t>016VATO252680011 NEFT CREDIT CHARGE VAT - IIH SALARY SEPT 2025</t>
  </si>
  <si>
    <t>016NEFO252680012 NEFT CREDIT-IIH SALARY SEPT 2025</t>
  </si>
  <si>
    <t>016NEFC252680012NEFTCREDITCHARGE IIH SALARY SEPT 2025</t>
  </si>
  <si>
    <t>016VATO252680012 NEFT CREDIT CHARGE VAT - IIH SALARY SEPT 2025</t>
  </si>
  <si>
    <t>016NEFO252680013 NEFT CREDIT-IIH SALARY SEPT 2025</t>
  </si>
  <si>
    <t>016NEFC252680013NEFTCREDITCHARGE IIH SALARY SEPT 2025</t>
  </si>
  <si>
    <t>016VATO252680013 NEFT CREDIT CHARGE VAT - IIH SALARY SEPT 2025</t>
  </si>
  <si>
    <t>016NEFO252680014 NEFT CREDIT-IIH SALARY SEPT 2025</t>
  </si>
  <si>
    <t>016NEFC252680014NEFTCREDITCHARGE IIH SALARY SEPT 2025</t>
  </si>
  <si>
    <t>016VATO252680014 NEFT CREDIT CHARGE VAT - IIH SALARY SEPT 2025</t>
  </si>
  <si>
    <t>016NEFO252680015 NEFT CREDIT-IIH SALARY SEPT 2025</t>
  </si>
  <si>
    <t>016NEFC252680015NEFTCREDITCHARGE IIH SALARY SEPT 2025</t>
  </si>
  <si>
    <t>016VATO252680015 NEFT CREDIT CHARGE VAT - IIH SALARY SEPT 2025</t>
  </si>
  <si>
    <t>016NEFO252680016 NEFT CREDIT-IIH SALARY SEPT 2025</t>
  </si>
  <si>
    <t>016NEFC252680016NEFTCREDITCHARGE IIH SALARY SEPT 2025</t>
  </si>
  <si>
    <t>016VATO252680016 NEFT CREDIT CHARGE VAT - IIH SALARY SEPT 2025</t>
  </si>
  <si>
    <t>016NEFO252680017 NEFT CREDIT-IIH SALARY SEPT 2025</t>
  </si>
  <si>
    <t>016NEFC252680017NEFTCREDITCHARGE IIH SALARY SEPT 2025</t>
  </si>
  <si>
    <t>016VATO252680017 NEFT CREDIT CHARGE VAT - IIH SALARY SEPT 2025</t>
  </si>
  <si>
    <t>016NEFO252680018 NEFT CREDIT-IIH SALARY SEPT 2025</t>
  </si>
  <si>
    <t>016NEFC252680018NEFTCREDITCHARGE IIH SALARY SEPT 2025</t>
  </si>
  <si>
    <t>016VATO252680018 NEFT CREDIT CHARGE VAT - IIH SALARY SEPT 2025</t>
  </si>
  <si>
    <t>016NEFO252680019 NEFT CREDIT-IIH SALARY SEPT 2025</t>
  </si>
  <si>
    <t>016NEFC252680019NEFTCREDITCHARGE IIH SALARY SEPT 2025</t>
  </si>
  <si>
    <t>016VATO252680019 NEFT CREDIT CHARGE VAT - IIH SALARY SEPT 2025</t>
  </si>
  <si>
    <t>016NEFO252680020 NEFT CREDIT-IIH SALARY SEPT 2025</t>
  </si>
  <si>
    <t>016NEFC252680020NEFTCREDITCHARGE IIH SALARY SEPT 2025</t>
  </si>
  <si>
    <t>016VATO252680020 NEFT CREDIT CHARGE VAT - IIH SALARY SEPT 2025</t>
  </si>
  <si>
    <t>016NEFO252680021 NEFT CREDIT-IIH SALARY SEPT 2025</t>
  </si>
  <si>
    <t>016NEFC252680021NEFTCREDITCHARGE IIH SALARY SEPT 2025</t>
  </si>
  <si>
    <t>016VATO252680021 NEFT CREDIT CHARGE VAT - IIH SALARY SEPT 2025</t>
  </si>
  <si>
    <t>016NEFO252680022 NEFT CREDIT-IIH SALARY SEPT 2025</t>
  </si>
  <si>
    <t>016NEFC252680022NEFTCREDITCHARGE IIH SALARY SEPT 2025</t>
  </si>
  <si>
    <t>016VATO252680022 NEFT CREDIT CHARGE VAT - IIH SALARY SEPT 2025</t>
  </si>
  <si>
    <t>016NEFO252680023 NEFT CREDIT-IIH SALARY SEPT 2025</t>
  </si>
  <si>
    <t>016NEFC252680023NEFTCREDITCHARGE IIH SALARY SEPT 2025</t>
  </si>
  <si>
    <t>016VATO252680023 NEFT CREDIT CHARGE VAT - IIH SALARY SEPT 2025</t>
  </si>
  <si>
    <t>016NEFO252680024 NEFT CREDIT-IIH SALARY SEPT 2025</t>
  </si>
  <si>
    <t>016NEFC252680024NEFTCREDITCHARGE IIH SALARY SEPT 2025</t>
  </si>
  <si>
    <t>016VATO252680024 NEFT CREDIT CHARGE VAT - IIH SALARY SEPT 2025</t>
  </si>
  <si>
    <t>016NEFO252680025 NEFT CREDIT-IIH SALARY SEPT 2025</t>
  </si>
  <si>
    <t>016NEFC252680025NEFTCREDITCHARGE IIH SALARY SEPT 2025</t>
  </si>
  <si>
    <t>016VATO252680025 NEFT CREDIT CHARGE VAT - IIH SALARY SEPT 2025</t>
  </si>
  <si>
    <t>016NEFO252680026 NEFT CREDIT-IIH SALARY SEPT 2025</t>
  </si>
  <si>
    <t>016NEFC252680026NEFTCREDITCHARGE IIH SALARY SEPT 2025</t>
  </si>
  <si>
    <t>016VATO252680026 NEFT CREDIT CHARGE VAT - IIH SALARY SEPT 2025</t>
  </si>
  <si>
    <t>016NEFO252680027 NEFT CREDIT-IIH SALARY SEPT 2025</t>
  </si>
  <si>
    <t>016NEFC252680027NEFTCREDITCHARGE IIH SALARY SEPT 2025</t>
  </si>
  <si>
    <t>016VATO252680027 NEFT CREDIT CHARGE VAT - IIH SALARY SEPT 2025</t>
  </si>
  <si>
    <t>016NEFO252680028NEFTCREDIT-IIHSEPT 2025 ALLOWANCE</t>
  </si>
  <si>
    <t>016NEFC252680028NEFTCREDITCHARGE IIH SEPT 2025 ALLOWANCE</t>
  </si>
  <si>
    <t>016VATO252680028 NEFT CREDIT CHARGE VAT - IIH SEPT 2025 ALLOWANCE</t>
  </si>
  <si>
    <t>016NEFO252680029NEFTCREDIT-IIHSEPT 2025 ALLOWANCE</t>
  </si>
  <si>
    <t>016NEFC252680029NEFTCREDITCHARGE IIH SEPT 2025 ALLOWANCE</t>
  </si>
  <si>
    <t>016VATO252680029 NEFT CREDIT CHARGE VAT - IIH SEPT 2025 ALLOWANCE</t>
  </si>
  <si>
    <t>016NEFO252680030NEFTCREDIT-IIHSEPT 2025 ALLOWANCE</t>
  </si>
  <si>
    <t>016NEFC252680030NEFTCREDITCHARGE IIH SEPT 2025 ALLOWANCE</t>
  </si>
  <si>
    <t>016VATO252680030 NEFT CREDIT CHARGE VAT - IIH SEPT 2025 ALLOWANCE</t>
  </si>
  <si>
    <t>016NEFO252680031NEFTCREDIT-IIHSEPT 2025 ALLOWANCE</t>
  </si>
  <si>
    <t>016NEFC252680031NEFTCREDITCHARGE IIH SEPT 2025 ALLOWANCE</t>
  </si>
  <si>
    <t>016VATO252680031 NEFT CREDIT CHARGE VAT - IIH SEPT 2025 ALLOWANCE</t>
  </si>
  <si>
    <t>016NEFO252680032NEFTCREDIT-IIHSEPT 2025 ALLOWANCE</t>
  </si>
  <si>
    <t>016NEFC252680032NEFTCREDITCHARGE IIH SEPT 2025 ALLOWANCE</t>
  </si>
  <si>
    <t>016VATO252680032 NEFT CREDIT CHARGE VAT - IIH SEPT 2025 ALLOWANCE</t>
  </si>
  <si>
    <t>016NEFO252680033NEFTCREDIT-IIHSEPT 2025 ALLOWANCE</t>
  </si>
  <si>
    <t>016NEFC252680033NEFTCREDITCHARGE IIH SEPT 2025 ALLOWANCE</t>
  </si>
  <si>
    <t>016VATO252680033 NEFT CREDIT CHARGE VAT - IIH SEPT 2025 ALLOWANCE</t>
  </si>
  <si>
    <t>016NEFO252680034NEFTCREDIT-IIHSEPT 2025 ALLOWANCE</t>
  </si>
  <si>
    <t>016NEFC252680034NEFTCREDITCHARGE IIH SEPT 2025 ALLOWANCE</t>
  </si>
  <si>
    <t>016VATO252680034 NEFT CREDIT CHARGE VAT - IIH SEPT 2025 ALLOWANCE</t>
  </si>
  <si>
    <t>016NEFO252680035NEFTCREDIT-IIHSEPT 2025 ALLOWANCE</t>
  </si>
  <si>
    <t>016NEFC252680035NEFTCREDITCHARGE IIH SEPT 2025 ALLOWANCE</t>
  </si>
  <si>
    <t>016VATO252680035 NEFT CREDIT CHARGE VAT - IIH SEPT 2025 ALLOWANCE</t>
  </si>
  <si>
    <t>016NEFO252680036NEFTCREDIT-IIHSEPT 2025 ALLOWANCE</t>
  </si>
  <si>
    <t>016NEFC252680036NEFTCREDITCHARGE IIH SEPT 2025 ALLOWANCE</t>
  </si>
  <si>
    <t>016VATO252680036 NEFT CREDIT CHARGE VAT - IIH SEPT 2025 ALLOWANCE</t>
  </si>
  <si>
    <t>016NEFO252680037NEFTCREDIT-IIHSEPT 2025 ALLOWANCE</t>
  </si>
  <si>
    <t>016NEFC252680037NEFTCREDITCHARGE IIH SEPT 2025 ALLOWANCE</t>
  </si>
  <si>
    <t>016VATO252680037 NEFT CREDIT CHARGE VAT - IIH SEPT 2025 ALLOWANCE</t>
  </si>
  <si>
    <t>016NEFO252680038NEFTCREDIT-IIHSEPT 2025 ALLOWANCE</t>
  </si>
  <si>
    <t>016NEFC252680038NEFTCREDITCHARGE IIH SEPT 2025 ALLOWANCE</t>
  </si>
  <si>
    <t>016VATO252680038 NEFT CREDIT CHARGE VAT - IIH SEPT 2025 ALLOWANCE</t>
  </si>
  <si>
    <t>016NEFO252680039NEFTCREDIT-IIHSEPT 2025 ALLOWANCE</t>
  </si>
  <si>
    <t>016NEFC252680039NEFTCREDITCHARGE IIH SEPT 2025 ALLOWANCE</t>
  </si>
  <si>
    <t>016VATO252680039 NEFT CREDIT CHARGE VAT - IIH SEPT 2025 ALLOWANCE</t>
  </si>
  <si>
    <t>016NEFO252680040NEFTCREDIT-IIHSEPT 2025 ALLOWANCE</t>
  </si>
  <si>
    <t>016NEFC252680040NEFTCREDITCHARGE IIH SEPT 2025 ALLOWANCE</t>
  </si>
  <si>
    <t>016VATO252680040 NEFT CREDIT CHARGE VAT - IIH SEPT 2025 ALLOWANCE</t>
  </si>
  <si>
    <t>016NEFO252680041NEFTCREDIT-IIHSEPT 2025 ALLOWANCE</t>
  </si>
  <si>
    <t>016NEFC252680041NEFTCREDITCHARGE IIH SEPT 2025 ALLOWANCE</t>
  </si>
  <si>
    <t>016VATO252680041 NEFT CREDIT CHARGE VAT - IIH SEPT 2025 ALLOWANCE</t>
  </si>
  <si>
    <t>016NEFO252680042NEFTCREDIT-IIHSEPT 2025 ALLOWANCE</t>
  </si>
  <si>
    <t>016NEFC252680042NEFTCREDITCHARGE IIH SEPT 2025 ALLOWANCE</t>
  </si>
  <si>
    <t>016VATO252680042 NEFT CREDIT CHARGE VAT - IIH SEPT 2025 ALLOWANCE</t>
  </si>
  <si>
    <t>016NEFO252680043NEFTCREDIT-IIHSEPT 2025 ALLOWANCE</t>
  </si>
  <si>
    <t>016NEFC252680043NEFTCREDITCHARGE IIH SEPT 2025 ALLOWANCE</t>
  </si>
  <si>
    <t>016VATO252680043 NEFT CREDIT CHARGE VAT - IIH SEPT 2025 ALLOWANCE</t>
  </si>
  <si>
    <t>016NEFO252680044NEFTCREDIT-IIHSEPT 2025 ALLOWANCE</t>
  </si>
  <si>
    <t>016NEFC252680044NEFTCREDITCHARGE IIH SEPT 2025 ALLOWANCE</t>
  </si>
  <si>
    <t>016VATO252680044 NEFT CREDIT CHARGE VAT - IIH SEPT 2025 ALLOWANCE</t>
  </si>
  <si>
    <t>016NEFO252680046NEFTCREDIT-IIHSEPT 2025 ALLOWANCE</t>
  </si>
  <si>
    <t>016NEFO252680045NEFTCREDIT-IIHSEPT 2025 ALLOWANCE</t>
  </si>
  <si>
    <t>016NEFC252680045NEFTCREDITCHARGE IIH SEPT 2025 ALLOWANCE</t>
  </si>
  <si>
    <t>016VATO252680045 NEFT CREDIT CHARGE VAT - IIH SEPT 2025 ALLOWANCE</t>
  </si>
  <si>
    <t>016NEFC252680046NEFTCREDITCHARGE IIH SEPT 2025 ALLOWANCE</t>
  </si>
  <si>
    <t>016VATO252680046 NEFT CREDIT CHARGE VAT - IIH SEPT 2025 ALLOWANCE</t>
  </si>
  <si>
    <t>016NEFO252680047NEFTCREDIT-IIHSEPT 2025 ALLOWANCE</t>
  </si>
  <si>
    <t>016NEFC252680047NEFTCREDITCHARGE IIH SEPT 2025 ALLOWANCE</t>
  </si>
  <si>
    <t>016VATO252680047 NEFT CREDIT CHARGE VAT - IIH SEPT 2025 ALLOWANCE</t>
  </si>
  <si>
    <t>016NEFO252680048NEFTCREDIT-IIHSEPT 2025 ALLOWANCE</t>
  </si>
  <si>
    <t>016NEFC252680048NEFTCREDITCHARGE IIH SEPT 2025 ALLOWANCE</t>
  </si>
  <si>
    <t>016VATO252680048 NEFT CREDIT CHARGE VAT - IIH SEPT 2025 ALLOWANCE</t>
  </si>
  <si>
    <t>016NEFO252680049NEFTCREDIT-IIHSEPT 2025 ALLOWANCE</t>
  </si>
  <si>
    <t>016NEFC252680049NEFTCREDITCHARGE IIH SEPT 2025 ALLOWANCE</t>
  </si>
  <si>
    <t>016VATO252680049 NEFT CREDIT CHARGE VAT - IIH SEPT 2025 ALLOWANCE</t>
  </si>
  <si>
    <t>016NEFO252680050NEFTCREDIT-IIHSEPT 2025 ALLOWANCE</t>
  </si>
  <si>
    <t>016NEFC252680050NEFTCREDITCHARGE IIH SEPT 2025 ALLOWANCE</t>
  </si>
  <si>
    <t>016VATO252680050 NEFT CREDIT CHARGE VAT - IIH SEPT 2025 ALLOWANCE</t>
  </si>
  <si>
    <t>016NEFO252680051NEFTCREDIT-IIHSEPT 2025 ALLOWANCE</t>
  </si>
  <si>
    <t>016NEFC252680051NEFTCREDITCHARGE IIH SEPT 2025 ALLOWANCE</t>
  </si>
  <si>
    <t>016VATO252680051 NEFT CREDIT CHARGE VAT - IIH SEPT 2025 ALLOWANCE</t>
  </si>
  <si>
    <t>016NEFO252680052NEFTCREDIT-IIHSEPT 2025 ALLOWANC</t>
  </si>
  <si>
    <t>016NEFC252680052NEFTCREDITCHARGE IIH SEPT 2025 ALLOWANCE</t>
  </si>
  <si>
    <t>016VATO252680052 NEFT CREDIT CHARGE VAT - IIH SEPT 2025 ALLOWANCE</t>
  </si>
  <si>
    <t>016NEFO252680053NEFTCREDIT-IIHSEPT 2025 ALLOWANCE</t>
  </si>
  <si>
    <t>016NEFC252680053NEFTCREDITCHARGE IIH SEPT 2025 ALLOWANCE</t>
  </si>
  <si>
    <t>016VATO252680053 NEFT CREDIT CHARGE VAT - IIH SEPT 2025 ALLOWANCE</t>
  </si>
  <si>
    <t>016NEFO252680054NEFTCREDIT-IIHSEPT 2025 ALLOWANCE</t>
  </si>
  <si>
    <t>016NEFC252680054NEFTCREDITCHARGE IIH SEPT 2025 ALLOWANCE</t>
  </si>
  <si>
    <t>016VATO252680054 NEFT CREDIT CHARGE VAT - IIH SEPT 2025 ALLOWANCE</t>
  </si>
  <si>
    <t>016NIPO252680016NIP-ILHSALARYSEPT 2025</t>
  </si>
  <si>
    <t>016NIPC252680016NIPCharge-ILHSALARY SEPT 2025</t>
  </si>
  <si>
    <t>016VATP252680016 NIP Charge VAT-ILH SALARY SEPT 2025</t>
  </si>
  <si>
    <t>016NIPO252680017 NIP-ILH SEPT 2025 ALLOWANCE</t>
  </si>
  <si>
    <t>016NIPC252680017 NIP Charge-ILH SEPT 2025 ALLOWANCE</t>
  </si>
  <si>
    <t>016VATP252680017 NIP Charge VAT-ILH SEPT 2025 ALLOWANCE</t>
  </si>
  <si>
    <t>(-140,171.67)</t>
  </si>
  <si>
    <t>(-50.00)</t>
  </si>
  <si>
    <t>(-3.75)</t>
  </si>
  <si>
    <t>(-27,500.00)</t>
  </si>
  <si>
    <t>(-25.00)</t>
  </si>
  <si>
    <t>(-1.88)</t>
  </si>
  <si>
    <t>016NIPO252680020 NIP-ILH SEPT 2025 STAFF ALLOWANCE</t>
  </si>
  <si>
    <t>016NIPC252680020 NIP Charge-ILH SEPT 2025 STAFF ALLOWANCE</t>
  </si>
  <si>
    <t>016VATP252680020 NIP Charge VAT-ILH SEPT 2025 STAFF ALLOWANCE</t>
  </si>
  <si>
    <t>016NIPO252680021NIP-ILHSALARYSEPT 2025</t>
  </si>
  <si>
    <t>016NIPC252680021NIPCharge-ILHSALARY SEPT 2025</t>
  </si>
  <si>
    <t>016VATP252680021 NIP Charge VAT-ILH SALARY SEPT 2025</t>
  </si>
  <si>
    <t>000MOBT252696668 REIMBURSEMENT FOR FRIDGEBALANCENIPTransfer fromILORIN INNOVATION HUB LTD to MAUREEN DA</t>
  </si>
  <si>
    <t>000MOBT252696668 REIMBURSEMENT FOR FRIDGE BALANCE NIP Transfer from ILORIN INNOVATION HUB LTD to MAUREEN DA</t>
  </si>
  <si>
    <t>000MOBT252726779 PAYMENT FOR MD HOTEL 2 NIGHTS IHS IMPACT REPORT TRIP NIP Transfer from ILORIN INNOVATION H</t>
  </si>
  <si>
    <t>016NIPO252720022 NIP- BNG PYT FOR SEPT 2025 JANITORIAL SERVICE</t>
  </si>
  <si>
    <t>016NIPC252720022 NIP Charge- BNG PYT FOR SEPT 2025 JANITORIAL SERVICE</t>
  </si>
  <si>
    <t>016VATP252720022 NIP Charge VAT- BNG PYT FOR SEPT 2025 JANITORIAL SERVICE</t>
  </si>
  <si>
    <t>016NIPO252720023 NIP- BNG PYT FOR SEPT 2025 SECURITY SERVICE</t>
  </si>
  <si>
    <t>016NIPC252720023 NIP Charge- BNG PYT FOR SEPT 2025 SECURITY SERVICE</t>
  </si>
  <si>
    <t>016VATP252720023 NIP Charge VAT- BNG PYT FOR SEPT 2025 SECURITY SERVICE</t>
  </si>
  <si>
    <t>016NIPO252730013 NIP- BNG PYT FOR REPAIR OF LED SCREEN</t>
  </si>
  <si>
    <t>016NIPC252730013 NIP Charge- BNG PYT FOR REPAIR OF LED SCREEN</t>
  </si>
  <si>
    <t>016VATP252730013 NIP Charge VAT- BNG PYT FOR REPAIR OF LED SCREEN</t>
  </si>
  <si>
    <t>016AMFV25273002S VAT ON TRANSACTION CHARGES</t>
  </si>
  <si>
    <t>016AMFC25273003M ACCOUNT MAINTENANCE FEE</t>
  </si>
  <si>
    <t>NIP CR//HENRY MGBECHI CHUKWUEBUKA/ABN /TRF</t>
  </si>
  <si>
    <t>Welfare</t>
  </si>
  <si>
    <t>NIP CR//TUNMISEJOHNSONHOUSEHOLDFO UNDA /PBNL /TRF</t>
  </si>
  <si>
    <t>NIP/GTB/COCREATION HUB LIMITED/ER 06072 IHS Towers IIH payment for Beef Rice and bottle water 212345903 GAPS00</t>
  </si>
  <si>
    <t>NIP CR//JIMOH SULEIMAN OLAWALE/FCMB /trf</t>
  </si>
  <si>
    <t>:ETZ INFLOW 09FG250908131640233QKUAYI:NXG : TRFStrategy session IIHFRM ABDULRAH</t>
  </si>
  <si>
    <t>NIP CR//TEMILOLUWA OLUWALEKE KOLAWOLE/STBC /per diem paymen</t>
  </si>
  <si>
    <t>NIP CR//KHADIJAT ZUMAH SULYMAN/STLB /per diem payment</t>
  </si>
  <si>
    <t>NIP CR//MUHAMMED NASIRU MAHMOOD/GTB /per diem payment</t>
  </si>
  <si>
    <t>NIP CR//OKEY MAUREEN DANIEL/GTB /per diem payment</t>
  </si>
  <si>
    <t>NIP CR//OLALEYE KAYODE/ABN /trf</t>
  </si>
  <si>
    <t>NIP CR//JAMIU ADEBOLA OLADIPO/SCB /per diem paymen</t>
  </si>
  <si>
    <t>NIP CR//TEMILOLUWA OLUWALEKE KOLAWOLE/STBC /per diem payment</t>
  </si>
  <si>
    <t>NIP CR//KAMIL LANRE AHMED/SKYE /per diem payment</t>
  </si>
  <si>
    <t>NIP CR//ONUCHUKWU SINACHI GOODNESS/GTB /per diem payment</t>
  </si>
  <si>
    <t>NIP CR//OLALEYE KAYODE/ABN /per diem payment</t>
  </si>
  <si>
    <t>Cash Deposit ABDULRAHMAN YUSUF 129030</t>
  </si>
  <si>
    <t>Sterling</t>
  </si>
  <si>
    <t>:ETZ INFLOW 09FG250911165338460KLBKTQ:Payment for hall</t>
  </si>
  <si>
    <t>:ETZ INFLOW 09FG250911192112590AN713H: Refreshments for 2 days</t>
  </si>
  <si>
    <t>:ETZ INFLOW 09FG250912155227099IQQJ36:Complete payment for hall</t>
  </si>
  <si>
    <t>accountStatementRequest</t>
  </si>
  <si>
    <t>VALUE ADDED TAX</t>
  </si>
  <si>
    <t>NIP/FCMB/MOAJ MEDIA CONSULT/webApprefreshment small chops water and drinks To Zenith Ba</t>
  </si>
  <si>
    <t xml:space="preserve">FGN ELECTRONIC MONEY TRANSFER LEVY </t>
  </si>
  <si>
    <t xml:space="preserve">NIP CR//ADENIRAN KAZEEM/FBN /IIH SECURITY SERVICE </t>
  </si>
  <si>
    <t xml:space="preserve">NIP CHARGE + VAT </t>
  </si>
  <si>
    <t xml:space="preserve">NIP/UBA/MINISTRY OF BUSINESS INNOVATION AND TECH/trf ilorin tech park ilorin in 0.00 </t>
  </si>
  <si>
    <t>Kwara State Government</t>
  </si>
  <si>
    <t>NIP CR//FLUTTERWAVE/WEBFALA DIGITAL SKILLS FOR ALL INITIATIVE/WBP /pyt for security deposit refund to wdsfai</t>
  </si>
  <si>
    <t>NIP CR//JIMOH SULEIMAN OLAWALE/FCMB /refreshment for sui blockchain and solo photo</t>
  </si>
  <si>
    <t>NIP/FBN/KW-IRS IGR RETENTION ACCOUNT 2/18258571 FD/FT/CITN INVESTITURE PROG</t>
  </si>
  <si>
    <t xml:space="preserve">NIP CR//DIGIEQ AFRICA LTD/STLB /TRF </t>
  </si>
  <si>
    <t>Training</t>
  </si>
  <si>
    <t>NIP CR//DIGIEQ AFRICA LTD/STLB /deduction refund ai literacy camp</t>
  </si>
  <si>
    <t xml:space="preserve">NIP CR//SAMUEL SOLOMON ILEMONA/GTB /trf </t>
  </si>
  <si>
    <t xml:space="preserve">NIP CR//MOAJ MEDIA CONSULT/FCMB /trf </t>
  </si>
  <si>
    <t xml:space="preserve">NIP CR//JIMOH SULEIMAN OLAWALE/FCMB /TRF </t>
  </si>
  <si>
    <t xml:space="preserve">NIP CR//OLALUWOYE JUMOKE OLUFUNKE/FBN /TRF </t>
  </si>
  <si>
    <t>NIP/GTB/COCREATION HUB LIMITED/ER 06498 IHS Towers Mix and mingle event at Ilorin Innovation hub 213589632 GAP</t>
  </si>
  <si>
    <t>CIP/CR//NIP Transfer to ILORIN TECH PARK LTD. 000013250926185057000439640729 000439640729/FRM AYINLA OLAMILEKAN ADIGUN</t>
  </si>
  <si>
    <t xml:space="preserve">NIP CR//WAKANOWCOM LIMITED/GTB /PYT FOR BOOKING ID 2509300401464 </t>
  </si>
  <si>
    <t xml:space="preserve">ACCOUNT MAINTENANCE FEE </t>
  </si>
  <si>
    <t xml:space="preserve">VAT ON ACCOUNT MAINTENNACE FEE </t>
  </si>
  <si>
    <t>NIP/JAIZ/WASIU SALAMI/IFO ILORIN TECH PARK LTD Payment Of 400-capa</t>
  </si>
  <si>
    <t>BANKNIP From 000013250901215132000387303638 000013 PAYREF: 000387303638 SENDER: ALABI TAOFIQ TAIWO REMARK: CITN Investiture - part pymt for use of hall to ILORIN TECH PARK LTD. 000013250901215132000387303638 ILORIN TECH PARK LTD Ref: 0000132509012151320003873036382</t>
  </si>
  <si>
    <t>BANKNIP From 000003250903100009004252193541 000003 PAYREF: S8398261 SENDER: MOAJ MEDIA CONSULT REMARK: webAppPitch Hall Rental Security deposit and vat To Sterlin ILORIN TECH PARK LTD Ref: 0000032509031000090042521935412</t>
  </si>
  <si>
    <t>BANKNIP From 110006250907134314088022446701 110006 PAYREF: 0088022446701 SENDER: Paystack REMARK: 2511 Payment of 200k for Corkage feeABEGBR001 ILORIN TECH PARK LTD Ref: 1100062509071343140880224467012</t>
  </si>
  <si>
    <t>Cash Withdrawal ILORIN TECH PARK LTD at MM WAY ILORIN ILORIN TECH PARK LTD Ref: BT25090816x0nJnzmX1</t>
  </si>
  <si>
    <t>Cash withdrawal</t>
  </si>
  <si>
    <t>Cash Withdrawal ILORIN TECH PARK LTD at MM WAY ILORIN ILORIN TECH PARK LTD Ref: BT25090816x0nJnzmX2</t>
  </si>
  <si>
    <t>Cash Withdrawal ILORIN TECH PARK LTD at MM WAY ILORIN ILORIN TECH PARK LTD Ref: BT2509081624w1DlHc1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</si>
</sst>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26">
    <font>
      <sz val="10"/>
      <color rgb="FF000000"/>
      <name val="Times New Roman"/>
      <charset val="20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204"/>
    </font>
    <font>
      <b/>
      <sz val="11"/>
      <color theme="1"/>
      <name val="Calibri"/>
      <family val="2"/>
    </font>
    <font>
      <sz val="10"/>
      <color rgb="FFFF0000"/>
      <name val="Times New Roman"/>
      <family val="1"/>
    </font>
    <font>
      <sz val="10"/>
      <name val="Arial"/>
      <family val="2"/>
    </font>
    <font>
      <b/>
      <sz val="10"/>
      <name val="timesnewroman"/>
    </font>
    <font>
      <b/>
      <sz val="10"/>
      <color rgb="FF000000"/>
      <name val="Times New Roman"/>
      <family val="1"/>
    </font>
    <font>
      <i/>
      <sz val="10"/>
      <color rgb="FFFF0000"/>
      <name val="Arial"/>
      <family val="2"/>
    </font>
    <font>
      <i/>
      <sz val="10"/>
      <color rgb="FFFF000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0"/>
      <name val="Times New Roman"/>
      <family val="1"/>
      <charset val="204"/>
    </font>
    <font>
      <sz val="11"/>
      <color indexed="6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9" fillId="0" borderId="0"/>
    <xf numFmtId="0" fontId="2" fillId="0" borderId="0"/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15">
    <xf numFmtId="0" fontId="0" fillId="0" borderId="0" xfId="0"/>
    <xf numFmtId="14" fontId="0" fillId="0" borderId="0" xfId="0" applyNumberFormat="1"/>
    <xf numFmtId="164" fontId="0" fillId="0" borderId="0" xfId="1" applyFont="1"/>
    <xf numFmtId="164" fontId="4" fillId="0" borderId="0" xfId="1" applyFont="1"/>
    <xf numFmtId="14" fontId="5" fillId="0" borderId="0" xfId="0" applyNumberFormat="1" applyFont="1"/>
    <xf numFmtId="0" fontId="5" fillId="0" borderId="0" xfId="0" applyFont="1"/>
    <xf numFmtId="164" fontId="5" fillId="0" borderId="0" xfId="1" applyFont="1"/>
    <xf numFmtId="0" fontId="0" fillId="2" borderId="0" xfId="0" applyFill="1"/>
    <xf numFmtId="14" fontId="6" fillId="0" borderId="0" xfId="0" applyNumberFormat="1" applyFont="1"/>
    <xf numFmtId="0" fontId="6" fillId="2" borderId="0" xfId="0" applyFont="1" applyFill="1"/>
    <xf numFmtId="0" fontId="6" fillId="0" borderId="0" xfId="0" applyFont="1"/>
    <xf numFmtId="164" fontId="6" fillId="0" borderId="0" xfId="1" applyFont="1"/>
    <xf numFmtId="0" fontId="0" fillId="0" borderId="0" xfId="0" applyAlignment="1">
      <alignment wrapText="1"/>
    </xf>
    <xf numFmtId="0" fontId="9" fillId="0" borderId="0" xfId="2"/>
    <xf numFmtId="0" fontId="8" fillId="0" borderId="0" xfId="0" applyFont="1"/>
    <xf numFmtId="0" fontId="10" fillId="3" borderId="0" xfId="2" applyFont="1" applyFill="1"/>
    <xf numFmtId="0" fontId="9" fillId="4" borderId="0" xfId="2" applyFill="1"/>
    <xf numFmtId="3" fontId="0" fillId="0" borderId="0" xfId="0" applyNumberFormat="1"/>
    <xf numFmtId="3" fontId="11" fillId="0" borderId="0" xfId="0" applyNumberFormat="1" applyFont="1"/>
    <xf numFmtId="14" fontId="11" fillId="0" borderId="0" xfId="0" applyNumberFormat="1" applyFont="1"/>
    <xf numFmtId="0" fontId="11" fillId="2" borderId="0" xfId="0" applyFont="1" applyFill="1"/>
    <xf numFmtId="0" fontId="11" fillId="0" borderId="0" xfId="0" applyFont="1"/>
    <xf numFmtId="164" fontId="11" fillId="0" borderId="0" xfId="1" applyFont="1"/>
    <xf numFmtId="0" fontId="12" fillId="0" borderId="0" xfId="2" applyFont="1"/>
    <xf numFmtId="164" fontId="13" fillId="0" borderId="0" xfId="0" applyNumberFormat="1" applyFont="1"/>
    <xf numFmtId="14" fontId="15" fillId="0" borderId="0" xfId="0" applyNumberFormat="1" applyFont="1"/>
    <xf numFmtId="0" fontId="15" fillId="0" borderId="0" xfId="0" applyFont="1"/>
    <xf numFmtId="164" fontId="15" fillId="0" borderId="0" xfId="1" applyFont="1"/>
    <xf numFmtId="0" fontId="3" fillId="0" borderId="0" xfId="0" applyFont="1"/>
    <xf numFmtId="0" fontId="7" fillId="0" borderId="0" xfId="3" applyFont="1"/>
    <xf numFmtId="0" fontId="2" fillId="0" borderId="0" xfId="3"/>
    <xf numFmtId="0" fontId="7" fillId="0" borderId="1" xfId="3" applyFont="1" applyBorder="1"/>
    <xf numFmtId="0" fontId="2" fillId="0" borderId="1" xfId="3" applyBorder="1"/>
    <xf numFmtId="15" fontId="16" fillId="0" borderId="0" xfId="3" applyNumberFormat="1" applyFont="1" applyAlignment="1">
      <alignment horizontal="right" vertical="center"/>
    </xf>
    <xf numFmtId="165" fontId="17" fillId="0" borderId="0" xfId="3" applyNumberFormat="1" applyFont="1" applyAlignment="1">
      <alignment horizontal="right" vertical="center"/>
    </xf>
    <xf numFmtId="165" fontId="16" fillId="0" borderId="0" xfId="3" applyNumberFormat="1" applyFont="1" applyAlignment="1">
      <alignment horizontal="right" vertical="center"/>
    </xf>
    <xf numFmtId="0" fontId="18" fillId="0" borderId="0" xfId="3" applyFont="1"/>
    <xf numFmtId="165" fontId="18" fillId="0" borderId="2" xfId="3" applyNumberFormat="1" applyFont="1" applyBorder="1"/>
    <xf numFmtId="165" fontId="18" fillId="0" borderId="3" xfId="3" applyNumberFormat="1" applyFont="1" applyBorder="1"/>
    <xf numFmtId="0" fontId="2" fillId="0" borderId="3" xfId="3" applyBorder="1"/>
    <xf numFmtId="164" fontId="0" fillId="0" borderId="3" xfId="4" applyFont="1" applyBorder="1"/>
    <xf numFmtId="164" fontId="0" fillId="0" borderId="0" xfId="4" applyFont="1"/>
    <xf numFmtId="15" fontId="17" fillId="0" borderId="0" xfId="3" applyNumberFormat="1" applyFont="1" applyAlignment="1">
      <alignment horizontal="left" vertical="center"/>
    </xf>
    <xf numFmtId="164" fontId="0" fillId="0" borderId="5" xfId="4" applyFont="1" applyBorder="1"/>
    <xf numFmtId="164" fontId="2" fillId="0" borderId="0" xfId="1" applyFont="1"/>
    <xf numFmtId="164" fontId="2" fillId="0" borderId="3" xfId="1" applyFont="1" applyBorder="1"/>
    <xf numFmtId="165" fontId="2" fillId="0" borderId="0" xfId="1" applyNumberFormat="1" applyFont="1"/>
    <xf numFmtId="165" fontId="2" fillId="0" borderId="3" xfId="1" applyNumberFormat="1" applyFont="1" applyBorder="1"/>
    <xf numFmtId="165" fontId="2" fillId="0" borderId="3" xfId="3" applyNumberFormat="1" applyBorder="1"/>
    <xf numFmtId="165" fontId="18" fillId="0" borderId="0" xfId="1" applyNumberFormat="1" applyFont="1"/>
    <xf numFmtId="165" fontId="7" fillId="0" borderId="3" xfId="3" applyNumberFormat="1" applyFont="1" applyBorder="1"/>
    <xf numFmtId="165" fontId="7" fillId="0" borderId="3" xfId="1" applyNumberFormat="1" applyFont="1" applyBorder="1"/>
    <xf numFmtId="165" fontId="19" fillId="0" borderId="5" xfId="4" applyNumberFormat="1" applyFont="1" applyBorder="1"/>
    <xf numFmtId="165" fontId="20" fillId="0" borderId="0" xfId="4" applyNumberFormat="1" applyFont="1"/>
    <xf numFmtId="165" fontId="20" fillId="0" borderId="4" xfId="4" applyNumberFormat="1" applyFont="1" applyBorder="1"/>
    <xf numFmtId="165" fontId="20" fillId="0" borderId="1" xfId="4" applyNumberFormat="1" applyFont="1" applyBorder="1"/>
    <xf numFmtId="0" fontId="2" fillId="0" borderId="0" xfId="3" applyAlignment="1">
      <alignment horizontal="center"/>
    </xf>
    <xf numFmtId="0" fontId="7" fillId="0" borderId="0" xfId="3" applyFont="1" applyAlignment="1">
      <alignment horizontal="center"/>
    </xf>
    <xf numFmtId="165" fontId="2" fillId="0" borderId="0" xfId="3" applyNumberFormat="1"/>
    <xf numFmtId="15" fontId="16" fillId="0" borderId="0" xfId="3" applyNumberFormat="1" applyFont="1" applyAlignment="1">
      <alignment horizontal="right" vertical="center" wrapText="1"/>
    </xf>
    <xf numFmtId="0" fontId="21" fillId="0" borderId="0" xfId="3" applyFont="1"/>
    <xf numFmtId="165" fontId="21" fillId="0" borderId="0" xfId="3" applyNumberFormat="1" applyFont="1"/>
    <xf numFmtId="164" fontId="2" fillId="0" borderId="0" xfId="1" applyFont="1" applyBorder="1"/>
    <xf numFmtId="0" fontId="7" fillId="0" borderId="1" xfId="3" applyFont="1" applyBorder="1" applyAlignment="1">
      <alignment horizontal="center"/>
    </xf>
    <xf numFmtId="0" fontId="21" fillId="0" borderId="0" xfId="3" applyFont="1" applyAlignment="1">
      <alignment horizontal="center"/>
    </xf>
    <xf numFmtId="15" fontId="16" fillId="0" borderId="2" xfId="3" applyNumberFormat="1" applyFont="1" applyBorder="1" applyAlignment="1">
      <alignment horizontal="right" vertical="center"/>
    </xf>
    <xf numFmtId="165" fontId="17" fillId="0" borderId="0" xfId="1" applyNumberFormat="1" applyFont="1" applyAlignment="1">
      <alignment horizontal="right" vertical="center"/>
    </xf>
    <xf numFmtId="164" fontId="17" fillId="0" borderId="0" xfId="3" applyNumberFormat="1" applyFont="1" applyAlignment="1">
      <alignment horizontal="right" vertical="center"/>
    </xf>
    <xf numFmtId="165" fontId="17" fillId="0" borderId="2" xfId="3" applyNumberFormat="1" applyFont="1" applyBorder="1" applyAlignment="1">
      <alignment horizontal="right" vertical="center"/>
    </xf>
    <xf numFmtId="165" fontId="21" fillId="0" borderId="0" xfId="1" applyNumberFormat="1" applyFont="1"/>
    <xf numFmtId="165" fontId="22" fillId="0" borderId="3" xfId="3" applyNumberFormat="1" applyFont="1" applyBorder="1"/>
    <xf numFmtId="165" fontId="22" fillId="0" borderId="2" xfId="3" applyNumberFormat="1" applyFont="1" applyBorder="1"/>
    <xf numFmtId="165" fontId="19" fillId="0" borderId="4" xfId="4" applyNumberFormat="1" applyFont="1" applyBorder="1"/>
    <xf numFmtId="165" fontId="19" fillId="0" borderId="1" xfId="4" applyNumberFormat="1" applyFont="1" applyBorder="1"/>
    <xf numFmtId="0" fontId="2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7" fontId="0" fillId="0" borderId="0" xfId="0" applyNumberFormat="1"/>
    <xf numFmtId="164" fontId="7" fillId="0" borderId="3" xfId="1" applyFont="1" applyBorder="1"/>
    <xf numFmtId="17" fontId="15" fillId="0" borderId="0" xfId="0" applyNumberFormat="1" applyFont="1"/>
    <xf numFmtId="164" fontId="15" fillId="2" borderId="0" xfId="1" applyFont="1" applyFill="1"/>
    <xf numFmtId="0" fontId="24" fillId="0" borderId="0" xfId="0" applyFont="1"/>
    <xf numFmtId="14" fontId="24" fillId="0" borderId="0" xfId="0" applyNumberFormat="1" applyFont="1"/>
    <xf numFmtId="17" fontId="24" fillId="0" borderId="0" xfId="0" applyNumberFormat="1" applyFont="1"/>
    <xf numFmtId="164" fontId="24" fillId="0" borderId="0" xfId="1" applyFont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5" applyFont="1"/>
    <xf numFmtId="164" fontId="9" fillId="0" borderId="0" xfId="5" applyFont="1"/>
    <xf numFmtId="0" fontId="10" fillId="3" borderId="6" xfId="2" applyFont="1" applyFill="1" applyBorder="1"/>
    <xf numFmtId="164" fontId="10" fillId="3" borderId="6" xfId="5" applyFont="1" applyFill="1" applyBorder="1"/>
    <xf numFmtId="0" fontId="1" fillId="0" borderId="0" xfId="3" applyFont="1"/>
    <xf numFmtId="164" fontId="0" fillId="2" borderId="0" xfId="5" applyFont="1" applyFill="1"/>
    <xf numFmtId="164" fontId="15" fillId="2" borderId="0" xfId="5" applyFont="1" applyFill="1"/>
    <xf numFmtId="0" fontId="9" fillId="6" borderId="0" xfId="2" applyFill="1"/>
    <xf numFmtId="164" fontId="0" fillId="6" borderId="0" xfId="5" applyFont="1" applyFill="1"/>
    <xf numFmtId="0" fontId="9" fillId="0" borderId="0" xfId="2" applyFill="1"/>
    <xf numFmtId="164" fontId="0" fillId="0" borderId="0" xfId="5" applyFont="1" applyFill="1"/>
    <xf numFmtId="0" fontId="7" fillId="0" borderId="0" xfId="3" applyFont="1" applyAlignment="1">
      <alignment horizontal="right" wrapText="1"/>
    </xf>
    <xf numFmtId="0" fontId="7" fillId="0" borderId="0" xfId="3" applyFont="1" applyAlignment="1">
      <alignment horizontal="right"/>
    </xf>
    <xf numFmtId="15" fontId="7" fillId="0" borderId="0" xfId="3" applyNumberFormat="1" applyFont="1" applyAlignment="1">
      <alignment horizontal="right" wrapText="1"/>
    </xf>
    <xf numFmtId="15" fontId="7" fillId="0" borderId="0" xfId="3" applyNumberFormat="1" applyFont="1" applyAlignment="1">
      <alignment horizontal="right"/>
    </xf>
    <xf numFmtId="0" fontId="11" fillId="7" borderId="0" xfId="0" applyFont="1" applyFill="1"/>
    <xf numFmtId="164" fontId="18" fillId="0" borderId="0" xfId="1" applyFont="1"/>
    <xf numFmtId="0" fontId="11" fillId="4" borderId="0" xfId="0" applyFont="1" applyFill="1"/>
    <xf numFmtId="0" fontId="25" fillId="5" borderId="6" xfId="2" applyFont="1" applyFill="1" applyBorder="1" applyAlignment="1">
      <alignment horizontal="center" vertical="center"/>
    </xf>
    <xf numFmtId="0" fontId="9" fillId="0" borderId="0" xfId="2"/>
    <xf numFmtId="4" fontId="0" fillId="0" borderId="0" xfId="0" applyNumberFormat="1"/>
    <xf numFmtId="2" fontId="0" fillId="0" borderId="0" xfId="0" applyNumberFormat="1"/>
    <xf numFmtId="4" fontId="3" fillId="0" borderId="0" xfId="0" applyNumberFormat="1" applyFont="1"/>
    <xf numFmtId="2" fontId="3" fillId="0" borderId="0" xfId="0" applyNumberFormat="1" applyFont="1"/>
    <xf numFmtId="164" fontId="3" fillId="0" borderId="0" xfId="1" applyFont="1"/>
    <xf numFmtId="14" fontId="3" fillId="0" borderId="0" xfId="0" applyNumberFormat="1" applyFont="1"/>
  </cellXfs>
  <cellStyles count="6">
    <cellStyle name="Comma" xfId="1" builtinId="3"/>
    <cellStyle name="Comma 2" xfId="4"/>
    <cellStyle name="Comma 3" xfId="5"/>
    <cellStyle name="Normal" xfId="0" builtinId="0"/>
    <cellStyle name="Normal 2" xfId="2"/>
    <cellStyle name="Normal 3" xfId="3"/>
  </cellStyles>
  <dxfs count="8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uwakemi Ajayi" refreshedDate="45933.377140972225" createdVersion="6" refreshedVersion="6" minRefreshableVersion="3" recordCount="999">
  <cacheSource type="worksheet">
    <worksheetSource ref="A1:F1000" sheet="GL_Transactions"/>
  </cacheSource>
  <cacheFields count="6">
    <cacheField name="Trans Date" numFmtId="14">
      <sharedItems containsSemiMixedTypes="0" containsNonDate="0" containsDate="1" containsString="0" minDate="2025-05-21T00:00:00" maxDate="2025-09-01T00:00:00"/>
    </cacheField>
    <cacheField name="Period" numFmtId="17">
      <sharedItems containsSemiMixedTypes="0" containsNonDate="0" containsDate="1" containsString="0" minDate="2025-05-31T00:00:00" maxDate="2025-09-01T00:00:00" count="4">
        <d v="2025-05-31T00:00:00"/>
        <d v="2025-06-30T00:00:00"/>
        <d v="2025-07-31T00:00:00"/>
        <d v="2025-08-31T00:00:00"/>
      </sharedItems>
    </cacheField>
    <cacheField name="Transaction Details" numFmtId="0">
      <sharedItems containsBlank="1"/>
    </cacheField>
    <cacheField name="Category" numFmtId="0">
      <sharedItems containsBlank="1"/>
    </cacheField>
    <cacheField name="Category per Zoho" numFmtId="0">
      <sharedItems count="30">
        <s v="Facility rentals"/>
        <s v="Bank Fees and Charges"/>
        <s v="Office Supplies"/>
        <s v="Janitorial Expense"/>
        <s v="Other Expenses"/>
        <s v="Premium Trust bank"/>
        <s v="Donation income"/>
        <s v="Salaries and Employee Wages"/>
        <s v="Refundable security deposit"/>
        <s v="Software expense"/>
        <s v="Telephone and Data expense"/>
        <s v="Clearing account"/>
        <s v="Repairs and Maintenance"/>
        <s v="Guest and entertainment"/>
        <s v="Security expense"/>
        <s v="Meals and Entertainment"/>
        <s v="Furniture and Equipment"/>
        <s v="Employee related costs"/>
        <s v="Travel expense - Local"/>
        <s v="Advertising And Marketing"/>
        <s v="Staff welfare"/>
        <s v="Guest and entertainment (Income)"/>
        <s v="Fuel/Diesel Expenses"/>
        <s v="Rental expense"/>
        <s v="IT and Internet Expenses"/>
        <s v="Travel expense - International"/>
        <s v="Staff training"/>
        <s v="Staff allowances"/>
        <s v="zenith bank"/>
        <s v="sterling bank"/>
      </sharedItems>
    </cacheField>
    <cacheField name="Transactions" numFmtId="164">
      <sharedItems containsSemiMixedTypes="0" containsString="0" containsNumber="1" minValue="-94692772.219999999" maxValue="101330337.1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d v="2025-05-21T00:00:00"/>
    <x v="0"/>
    <s v="016NIPT251410435 NIP TRSF FROM AYOBAMI JOEL ATOLAGBE IIH HALL BOOKING by"/>
    <s v="Facility rentals"/>
    <x v="0"/>
    <n v="-444000"/>
  </r>
  <r>
    <d v="2025-05-21T00:00:00"/>
    <x v="0"/>
    <s v="016EMTL251410057     ELECTRONIC     MONEY TRANSFER LEVY"/>
    <s v="Bank charges"/>
    <x v="1"/>
    <n v="50"/>
  </r>
  <r>
    <d v="2025-05-30T00:00:00"/>
    <x v="0"/>
    <s v="000MOBT25150A0VX Payment for 4 flags US EU UNDP NG NIP Transfer from ILORIN INNOVATION HUB LTD to LET S BR"/>
    <s v="Stationery and Office Supplies"/>
    <x v="2"/>
    <n v="40000"/>
  </r>
  <r>
    <d v="2025-05-30T00:00:00"/>
    <x v="0"/>
    <s v="000MOBT25150A0VX Payment for 4 flags US EU UNDP NG NIP Transfer from ILORIN INNOVATION HUB LTD to LET S BR"/>
    <s v="Bank charges"/>
    <x v="1"/>
    <n v="25"/>
  </r>
  <r>
    <d v="2025-05-30T00:00:00"/>
    <x v="0"/>
    <s v="000MOBT25150A0VX Payment for 4 flags US EU UNDP NG NIP Transfer from ILORIN INNOVATION HUB LTD to LET S BR"/>
    <s v="Bank charges"/>
    <x v="1"/>
    <n v="1.8800000000046566"/>
  </r>
  <r>
    <d v="2025-05-30T00:00:00"/>
    <x v="0"/>
    <s v="0168840251500001 BNG LEGAL SEARCH FEE FOR ILORIN INNOVATION  HUB LTD0040117676"/>
    <s v="Bank charges"/>
    <x v="1"/>
    <n v="10750"/>
  </r>
  <r>
    <d v="2025-05-30T00:00:00"/>
    <x v="0"/>
    <s v="000MOBT25150A5H9 Purchase of cleaning supplies NIP Transfer from ILORIN INNOVATION HUB LTD to MAUREEN DANIE"/>
    <s v="Cleaning expenses"/>
    <x v="3"/>
    <n v="12000"/>
  </r>
  <r>
    <d v="2025-05-30T00:00:00"/>
    <x v="0"/>
    <s v="000MOBT25150A5H9 Purchase of cleaning supplies NIP Transfer from ILORIN INNOVATION HUB LTD to MAUREEN DANIE"/>
    <s v="Bank charges"/>
    <x v="1"/>
    <n v="25"/>
  </r>
  <r>
    <d v="2025-05-30T00:00:00"/>
    <x v="0"/>
    <s v="000MOBT25150A5H9 Purchase of cleaning supplies NIP Transfer from ILORIN INNOVATION HUB LTD to MAUREEN DANIE"/>
    <s v="Bank charges"/>
    <x v="1"/>
    <n v="1.8800000000046566"/>
  </r>
  <r>
    <d v="2025-05-30T00:00:00"/>
    <x v="0"/>
    <s v="000MOBT25150AA0U      NIP     Transfer     from ILORIN  INNOVATION  HUB  LTD  to  MAUREEN_x000a_DANIEL OKEY"/>
    <s v="Other Expenses"/>
    <x v="4"/>
    <n v="15300"/>
  </r>
  <r>
    <d v="2025-05-30T00:00:00"/>
    <x v="0"/>
    <s v="000MOBT25150AA0U NIP  Transfer  from ILORIN INNOVATION HUB LTD to MAUREEN DANIEL OKEY"/>
    <s v="Bank charges"/>
    <x v="1"/>
    <n v="25"/>
  </r>
  <r>
    <d v="2025-05-30T00:00:00"/>
    <x v="0"/>
    <s v="000MOBT25150AA0U NIP  Transfer  from ILORIN INNOVATION HUB LTD to MAUREEN DANIEL OKEY"/>
    <s v="Bank charges"/>
    <x v="1"/>
    <n v="1.8800000000046566"/>
  </r>
  <r>
    <d v="2025-05-30T00:00:00"/>
    <x v="0"/>
    <s v="016AMFC251500023                             ACCOUNT MAINTENANCE FEE"/>
    <s v="Bank charges"/>
    <x v="1"/>
    <n v="67.299999999988358"/>
  </r>
  <r>
    <d v="2025-05-30T00:00:00"/>
    <x v="0"/>
    <s v="016AMFV251500021   VAT   ON  TRANSACTION CHARGES"/>
    <s v="Bank charges"/>
    <x v="1"/>
    <n v="5.0499999999883585"/>
  </r>
  <r>
    <d v="2025-05-31T00:00:00"/>
    <x v="0"/>
    <s v="Bank transactions in May"/>
    <s v="Bank balance"/>
    <x v="5"/>
    <n v="365747.01"/>
  </r>
  <r>
    <d v="2025-06-02T00:00:00"/>
    <x v="1"/>
    <s v="000MOBT25150AJEP           REFUND           FOR PURCHASE    OF    SPEAKER    SYSTEM    NIP_x000a_Transfer from ILORIN INNOVATION HUB LTD"/>
    <s v="Stationery and Office Supplies"/>
    <x v="2"/>
    <n v="200000"/>
  </r>
  <r>
    <d v="2025-06-02T00:00:00"/>
    <x v="1"/>
    <s v="000MOBT25150AJEP           REFUND           FOR PURCHASE    OF    SPEAKER    SYSTEM    NIP_x000a_Transfer from ILORIN INNOVATION HUB LTD"/>
    <s v="Bank charges"/>
    <x v="1"/>
    <n v="50"/>
  </r>
  <r>
    <d v="2025-06-02T00:00:00"/>
    <x v="1"/>
    <s v="000MOBT25150AJEP           REFUND           FOR PURCHASE    OF    SPEAKER    SYSTEM    NIP_x000a_Transfer from ILORIN INNOVATION HUB LTD"/>
    <s v="Bank charges"/>
    <x v="1"/>
    <n v="3.75"/>
  </r>
  <r>
    <d v="2025-06-02T00:00:00"/>
    <x v="1"/>
    <s v="000NEFI251530339 NEFT INWARD STP CR - ILORIN INNOVATION HUB (Q2 ONE-OFF I B/O IHS (NIGERIA) LIMITED"/>
    <s v="IHS Payment"/>
    <x v="6"/>
    <n v="-44499369.340000004"/>
  </r>
  <r>
    <d v="2025-06-02T00:00:00"/>
    <x v="1"/>
    <s v="000MOBT25153A588  IIH  SALARY  MAY  2025_x000a_NIP  Transfer  from  ILORIN  INNOVATION  HUB LTD to ONUCHUKWU  SINACHI GOOD"/>
    <s v="Salaries and Wages"/>
    <x v="7"/>
    <n v="249491.56000000238"/>
  </r>
  <r>
    <d v="2025-06-02T00:00:00"/>
    <x v="1"/>
    <s v="000MOBT25153A588  IIH  SALARY  MAY  2025_x000a_NIP  Transfer  from  ILORIN  INNOVATION  HUB LTD to ONUCHUKWU  SINACHI GOOD"/>
    <s v="Bank charges"/>
    <x v="1"/>
    <n v="50"/>
  </r>
  <r>
    <d v="2025-06-02T00:00:00"/>
    <x v="1"/>
    <s v="000MOBT25153A588  IIH  SALARY  MAY  2025_x000a_NIP  Transfer  from  ILORIN  INNOVATION  HUB LTD to ONUCHUKWU  SINACHI GOOD"/>
    <s v="Bank charges"/>
    <x v="1"/>
    <n v="3.75"/>
  </r>
  <r>
    <d v="2025-06-02T00:00:00"/>
    <x v="1"/>
    <s v="000MOBT25153A5CB  IIH  SALARY  MAY  2025_x000a_ALLOWANCES   NIP   Transfer    from   ILORIN INNOVATION HUB LTD to ONUCHUKWU  S"/>
    <s v="Salaries and Wages"/>
    <x v="7"/>
    <n v="35000"/>
  </r>
  <r>
    <d v="2025-06-02T00:00:00"/>
    <x v="1"/>
    <s v="000MOBT25153A5CB  IIH  SALARY  MAY  2025_x000a_ALLOWANCES   NIP   Transfer    from   ILORIN INNOVATION HUB LTD to ONUCHUKWU  S"/>
    <s v="Bank charges"/>
    <x v="1"/>
    <n v="25"/>
  </r>
  <r>
    <d v="2025-06-02T00:00:00"/>
    <x v="1"/>
    <s v="000MOBT25153A5CB  IIH  SALARY  MAY  2025_x000a_ALLOWANCES   NIP   Transfer    from   ILORIN INNOVATION HUB LTD to ONUCHUKWU  S"/>
    <s v="Bank charges"/>
    <x v="1"/>
    <n v="1.880000002682209"/>
  </r>
  <r>
    <d v="2025-06-02T00:00:00"/>
    <x v="1"/>
    <s v="000MOBT25153A5D4  IIH  MAY  2025  SALARY_x000a_ALLOWANCES   NIP   Transfer    from   ILORIN INNOVATION HUB LTD to OLUWADAMILA"/>
    <s v="Salaries and Wages"/>
    <x v="7"/>
    <n v="284491.55999999493"/>
  </r>
  <r>
    <d v="2025-06-02T00:00:00"/>
    <x v="1"/>
    <s v="000MOBT25153A5D4  IIH  MAY  2025  SALARY_x000a_ALLOWANCES   NIP   Transfer    from   ILORIN INNOVATION HUB LTD to OLUWADAMILA"/>
    <s v="Bank charges"/>
    <x v="1"/>
    <n v="50"/>
  </r>
  <r>
    <d v="2025-06-02T00:00:00"/>
    <x v="1"/>
    <s v="000MOBT25153A5D4  IIH  MAY  2025  SALARY_x000a_ALLOWANCES   NIP   Transfer    from   ILORIN INNOVATION HUB LTD to OLUWADAMILA"/>
    <s v="Bank charges"/>
    <x v="1"/>
    <n v="3.75"/>
  </r>
  <r>
    <d v="2025-06-02T00:00:00"/>
    <x v="1"/>
    <s v="000MOBT25153A5G3  IIH  SALARY  MAY  2025_x000a_ALLOWANCES   NIP   Transfer    from   ILORIN INNOVATION HUB LTD to TEMILOLUWA"/>
    <s v="Salaries and Wages"/>
    <x v="7"/>
    <n v="3570659.4400000051"/>
  </r>
  <r>
    <d v="2025-06-02T00:00:00"/>
    <x v="1"/>
    <s v="000MOBT25153A5G3  IIH  SALARY  MAY  2025_x000a_ALLOWANCES   NIP   Transfer    from   ILORIN INNOVATION HUB LTD to TEMILOLUWA"/>
    <s v="Bank charges"/>
    <x v="1"/>
    <n v="50"/>
  </r>
  <r>
    <d v="2025-06-02T00:00:00"/>
    <x v="1"/>
    <s v="000MOBT25153A5G3  IIH  SALARY  MAY  2025_x000a_ALLOWANCES   NIP   Transfer    from   ILORIN INNOVATION HUB LTD to TEMILOLUWA"/>
    <s v="Bank charges"/>
    <x v="1"/>
    <n v="3.75"/>
  </r>
  <r>
    <d v="2025-06-02T00:00:00"/>
    <x v="1"/>
    <s v="000MOBT25153A5H1  IIH  SALARY  MAY  2025_x000a_ALLOWANCES   NIP   Transfer    from   ILORIN INNOVATION HUB LTD to KHADIJAT ZU"/>
    <s v="Salaries and Wages"/>
    <x v="7"/>
    <n v="2070487.4699999988"/>
  </r>
  <r>
    <d v="2025-06-02T00:00:00"/>
    <x v="1"/>
    <s v="000MOBT25153A5H1  IIH  SALARY  MAY  2025_x000a_ALLOWANCES   NIP   Transfer    from   ILORIN INNOVATION HUB LTD to KHADIJAT ZU"/>
    <s v="Bank charges"/>
    <x v="1"/>
    <n v="50"/>
  </r>
  <r>
    <d v="2025-06-02T00:00:00"/>
    <x v="1"/>
    <s v="000MOBT25153A5H1  IIH  SALARY  MAY  2025_x000a_ALLOWANCES   NIP   Transfer    from   ILORIN INNOVATION HUB LTD to KHADIJAT ZU"/>
    <s v="Bank charges"/>
    <x v="1"/>
    <n v="3.75"/>
  </r>
  <r>
    <d v="2025-06-02T00:00:00"/>
    <x v="1"/>
    <s v="000MOBT25153A5JT  IIH  SALARY  MAY  2025_x000a_ALLOWANCES   NIP   Transfer    from   ILORIN INNOVATION HUB LTD to OLALEYE KAY"/>
    <s v="Salaries and Wages"/>
    <x v="7"/>
    <n v="152194.91999999434"/>
  </r>
  <r>
    <d v="2025-06-02T00:00:00"/>
    <x v="1"/>
    <s v="000MOBT25153A5JT  IIH  SALARY  MAY  2025_x000a_ALLOWANCES   NIP   Transfer    from   ILORIN INNOVATION HUB LTD to OLALEYE KAY"/>
    <s v="Bank charges"/>
    <x v="1"/>
    <n v="50"/>
  </r>
  <r>
    <d v="2025-06-02T00:00:00"/>
    <x v="1"/>
    <s v="000MOBT25153A5JT  IIH  SALARY  MAY  2025_x000a_ALLOWANCES   NIP   Transfer    from   ILORIN INNOVATION HUB LTD to OLALEYE KAY"/>
    <s v="Bank charges"/>
    <x v="1"/>
    <n v="3.75"/>
  </r>
  <r>
    <d v="2025-06-02T00:00:00"/>
    <x v="1"/>
    <s v="016EMTL2515300B9     ELECTRONIC     MONEY TRANSFER LEVY"/>
    <s v="Bank charges"/>
    <x v="1"/>
    <n v="50"/>
  </r>
  <r>
    <d v="2025-06-03T00:00:00"/>
    <x v="1"/>
    <s v="000MOBT251540405      IIH      MAY      SALARY_x000a_ALLOWANCES   NIP   Transfer    from   ILORIN INNOVATION HUB LTD to MUHAMMED"/>
    <s v="Salaries and Wages"/>
    <x v="7"/>
    <n v="252957.21000000089"/>
  </r>
  <r>
    <d v="2025-06-03T00:00:00"/>
    <x v="1"/>
    <s v="000MOBT251540405      IIH      MAY      SALARY_x000a_ALLOWANCES   NIP   Transfer    from   ILORIN INNOVATION HUB LTD to MUHAMMED"/>
    <s v="Bank charges"/>
    <x v="1"/>
    <n v="50"/>
  </r>
  <r>
    <d v="2025-06-03T00:00:00"/>
    <x v="1"/>
    <s v="000MOBT251540405      IIH      MAY      SALARY_x000a_ALLOWANCES   NIP   Transfer    from   ILORIN INNOVATION HUB LTD to MUHAMMED"/>
    <s v="Bank charges"/>
    <x v="1"/>
    <n v="3.75"/>
  </r>
  <r>
    <d v="2025-06-03T00:00:00"/>
    <x v="1"/>
    <s v="000MOBT251540515      IIH      MAY      SALARY_x000a_ALLOWANCES   NIP   Transfer    from   ILORIN INNOVATION HUB LTD to OKEY MAUREEN"/>
    <s v="Salaries and Wages"/>
    <x v="7"/>
    <n v="156011.73000000417"/>
  </r>
  <r>
    <d v="2025-06-03T00:00:00"/>
    <x v="1"/>
    <s v="000MOBT251540515      IIH      MAY      SALARY_x000a_ALLOWANCES   NIP   Transfer    from   ILORIN INNOVATION HUB LTD to OKEY MAUREEN"/>
    <s v="Bank charges"/>
    <x v="1"/>
    <n v="50"/>
  </r>
  <r>
    <d v="2025-06-03T00:00:00"/>
    <x v="1"/>
    <s v="000MOBT251540515      IIH      MAY      SALARY_x000a_ALLOWANCES   NIP   Transfer    from   ILORIN INNOVATION HUB LTD to OKEY MAUREEN"/>
    <s v="Bank charges"/>
    <x v="1"/>
    <n v="3.75"/>
  </r>
  <r>
    <d v="2025-06-03T00:00:00"/>
    <x v="1"/>
    <s v="000MOBT251540536            MAY            SALARY_x000a_ALLOWANCES   NIP   Transfer    from   ILORIN INNOVATION HUB LTD to HENRY MGBECHI"/>
    <s v="Salaries and Wages"/>
    <x v="7"/>
    <n v="156011.72999999672"/>
  </r>
  <r>
    <d v="2025-06-03T00:00:00"/>
    <x v="1"/>
    <s v="000MOBT251540536            MAY            SALARY_x000a_ALLOWANCES   NIP   Transfer    from   ILORIN INNOVATION HUB LTD to HENRY MGBECHI"/>
    <s v="Bank charges"/>
    <x v="1"/>
    <n v="50"/>
  </r>
  <r>
    <d v="2025-06-03T00:00:00"/>
    <x v="1"/>
    <s v="000MOBT251540536            MAY            SALARY_x000a_ALLOWANCES   NIP   Transfer    from   ILORIN INNOVATION HUB LTD to HENRY MGBECHI"/>
    <s v="Bank charges"/>
    <x v="1"/>
    <n v="3.75"/>
  </r>
  <r>
    <d v="2025-06-03T00:00:00"/>
    <x v="1"/>
    <s v="000MOBT251541459            MAY            SALARY_x000a_ALLOWANCES   NIP   Transfer    from   ILORIN INNOVATION HUB LTD to AKANDE"/>
    <s v="Salaries and Wages"/>
    <x v="7"/>
    <n v="156011.73000000417"/>
  </r>
  <r>
    <d v="2025-06-03T00:00:00"/>
    <x v="1"/>
    <s v="000MOBT251541459            MAY            SALARY_x000a_ALLOWANCES   NIP   Transfer    from   ILORIN INNOVATION HUB LTD to AKANDE"/>
    <s v="Bank charges"/>
    <x v="1"/>
    <n v="50"/>
  </r>
  <r>
    <d v="2025-06-03T00:00:00"/>
    <x v="1"/>
    <s v="000MOBT251541459            MAY            SALARY_x000a_ALLOWANCES   NIP   Transfer    from   ILORIN INNOVATION HUB LTD to AKANDE"/>
    <s v="Bank charges"/>
    <x v="1"/>
    <n v="3.75"/>
  </r>
  <r>
    <d v="2025-06-03T00:00:00"/>
    <x v="1"/>
    <s v="000NEFI251540263 NEFT INWARD STP CR - ILORIN INNOVATION HUB OPERATIONAL C B/O IHS (NIGERIA) LIMITED"/>
    <s v="IHS Payment"/>
    <x v="6"/>
    <n v="-6935800"/>
  </r>
  <r>
    <d v="2025-06-03T00:00:00"/>
    <x v="1"/>
    <s v="000NEFI251540264 NEFT INWARD STP CR - ILORIN INNOVATION HUB (Q2 RECURRENT B/O IHS (NIGERIA) LIMITED"/>
    <s v="IHS Payment"/>
    <x v="6"/>
    <n v="-94692772.219999999"/>
  </r>
  <r>
    <d v="2025-06-03T00:00:00"/>
    <x v="1"/>
    <s v="000MOBT25154A0ED   IIH   DEPOSIT   REFUND_x000a_FOR   BITKWA   EVENT    NIP    Transfer   from ILORIN INNOVATION HUB LTD to AYOBAMI"/>
    <s v="Deposit refund"/>
    <x v="8"/>
    <n v="100000"/>
  </r>
  <r>
    <d v="2025-06-03T00:00:00"/>
    <x v="1"/>
    <s v="000MOBT25154A0ED   IIH   DEPOSIT   REFUND_x000a_FOR   BITKWA   EVENT    NIP    Transfer   from ILORIN INNOVATION HUB LTD to AYOBAMI"/>
    <s v="Bank charges"/>
    <x v="1"/>
    <n v="50"/>
  </r>
  <r>
    <d v="2025-06-03T00:00:00"/>
    <x v="1"/>
    <s v="000MOBT25154A0ED   IIH   DEPOSIT   REFUND_x000a_FOR   BITKWA   EVENT    NIP    Transfer   from ILORIN INNOVATION HUB LTD to AYOBAMI"/>
    <s v="Bank charges"/>
    <x v="1"/>
    <n v="3.75"/>
  </r>
  <r>
    <d v="2025-06-03T00:00:00"/>
    <x v="1"/>
    <s v="000MOBT25154A0F7  JUNE  OFFICE SUPPLIES_x000a_NIP  Transfer  from  ILORIN  INNOVATION  HUB LTD to MAUREEN DANIEL OKEY"/>
    <s v="Stationery and Office Supplies"/>
    <x v="2"/>
    <n v="150000"/>
  </r>
  <r>
    <d v="2025-06-03T00:00:00"/>
    <x v="1"/>
    <s v="000MOBT25154A0F7  JUNE  OFFICE SUPPLIES_x000a_NIP  Transfer  from  ILORIN  INNOVATION  HUB LTD to MAUREEN DANIEL OKEY"/>
    <s v="Bank charges"/>
    <x v="1"/>
    <n v="50"/>
  </r>
  <r>
    <d v="2025-06-03T00:00:00"/>
    <x v="1"/>
    <s v="000MOBT25154A0F7  JUNE  OFFICE SUPPLIES_x000a_NIP  Transfer  from  ILORIN  INNOVATION  HUB LTD to MAUREEN DANIEL OKEY"/>
    <s v="Bank charges"/>
    <x v="1"/>
    <n v="3.75"/>
  </r>
  <r>
    <d v="2025-06-03T00:00:00"/>
    <x v="1"/>
    <s v="000MOBT25154A15G          50          JANITORIAL_x000a_CLEANING     NIP     Transfer     from     ILORIN INNOVATION HUB LTD to SIII MULTIPURPOSE"/>
    <s v="Cleaning expenses"/>
    <x v="3"/>
    <n v="650000"/>
  </r>
  <r>
    <d v="2025-06-03T00:00:00"/>
    <x v="1"/>
    <s v="000MOBT25154A15G          50          JANITORIAL_x000a_CLEANING     NIP     Transfer     from     ILORIN INNOVATION HUB LTD to SIII MULTIPURPOSE"/>
    <s v="Bank charges"/>
    <x v="1"/>
    <n v="50"/>
  </r>
  <r>
    <d v="2025-06-03T00:00:00"/>
    <x v="1"/>
    <s v="000MOBT25154A15G          50          JANITORIAL_x000a_CLEANING     NIP     Transfer     from     ILORIN INNOVATION HUB LTD to SIII MULTIPURPOSE"/>
    <s v="Bank charges"/>
    <x v="1"/>
    <n v="3.75"/>
  </r>
  <r>
    <d v="2025-06-03T00:00:00"/>
    <x v="1"/>
    <s v="016EMTL2515400BW    ELECTRONIC    MONEY TRANSFER LEVY"/>
    <s v="Bank charges"/>
    <x v="1"/>
    <n v="50"/>
  </r>
  <r>
    <d v="2025-06-03T00:00:00"/>
    <x v="1"/>
    <s v="016EMTL2515400CD     ELECTRONIC     MONEY TRANSFER LEVY"/>
    <s v="Bank charges"/>
    <x v="1"/>
    <n v="50"/>
  </r>
  <r>
    <d v="2025-06-04T00:00:00"/>
    <x v="1"/>
    <s v="000MOBT25154A3ZU         MARCH         SALARY_x000a_ALLOWANCES   NIP   Transfer    from   ILORIN INNOVATION HUB LTD to TEMILOLUWA"/>
    <s v="Salaries and Wages"/>
    <x v="7"/>
    <n v="3570659.4300000072"/>
  </r>
  <r>
    <d v="2025-06-04T00:00:00"/>
    <x v="1"/>
    <s v="000MOBT25154A3ZU         MARCH         SALARY_x000a_ALLOWANCES   NIP   Transfer    from   ILORIN INNOVATION HUB LTD to TEMILOLUWA"/>
    <s v="Bank charges"/>
    <x v="1"/>
    <n v="50"/>
  </r>
  <r>
    <d v="2025-06-04T00:00:00"/>
    <x v="1"/>
    <s v="000MOBT25154A3ZU         MARCH         SALARY_x000a_ALLOWANCES   NIP   Transfer    from   ILORIN INNOVATION HUB LTD to TEMILOLUWA"/>
    <s v="Bank charges"/>
    <x v="1"/>
    <n v="3.75"/>
  </r>
  <r>
    <d v="2025-06-04T00:00:00"/>
    <x v="1"/>
    <s v="000MOBT25154A401         MARCH         SALARY_x000a_ALLOWANCES   NIP   Transfer    from   ILORIN INNOVATION HUB LTD to OLALEYE KAYODE"/>
    <s v="Salaries and Wages"/>
    <x v="7"/>
    <n v="152194.91999998689"/>
  </r>
  <r>
    <d v="2025-06-04T00:00:00"/>
    <x v="1"/>
    <s v="000MOBT25154A401         MARCH         SALARY_x000a_ALLOWANCES   NIP   Transfer    from   ILORIN INNOVATION HUB LTD to OLALEYE KAYODE"/>
    <s v="Bank charges"/>
    <x v="1"/>
    <n v="50"/>
  </r>
  <r>
    <d v="2025-06-04T00:00:00"/>
    <x v="1"/>
    <s v="000MOBT25154A401         MARCH         SALARY_x000a_ALLOWANCES   NIP   Transfer    from   ILORIN INNOVATION HUB LTD to OLALEYE KAYODE"/>
    <s v="Bank charges"/>
    <x v="1"/>
    <n v="3.75"/>
  </r>
  <r>
    <d v="2025-06-04T00:00:00"/>
    <x v="1"/>
    <s v="000MOBT25154A405          APRIL          SALARY_x000a_ALLOWANCES   NIP   Transfer    from   ILORIN INNOVATION HUB LTD to TEMILOLUWA"/>
    <s v="Salaries and Wages"/>
    <x v="7"/>
    <n v="3570659.4300000072"/>
  </r>
  <r>
    <d v="2025-06-04T00:00:00"/>
    <x v="1"/>
    <s v="000MOBT25154A405          APRIL          SALARY_x000a_ALLOWANCES   NIP   Transfer    from   ILORIN INNOVATION HUB LTD to TEMILOLUWA"/>
    <s v="Bank charges"/>
    <x v="1"/>
    <n v="50"/>
  </r>
  <r>
    <d v="2025-06-04T00:00:00"/>
    <x v="1"/>
    <s v="000MOBT25154A405          APRIL          SALARY_x000a_ALLOWANCES   NIP   Transfer    from   ILORIN INNOVATION HUB LTD to TEMILOLUWA"/>
    <s v="Bank charges"/>
    <x v="1"/>
    <n v="3.75"/>
  </r>
  <r>
    <d v="2025-06-04T00:00:00"/>
    <x v="1"/>
    <s v="000MOBT25154A408          APRIL          SALARY_x000a_ALLOWANCES   NIP   Transfer    from   ILORIN INNOVATION HUB LTD to OLALEYE KAYODE"/>
    <s v="Salaries and Wages"/>
    <x v="7"/>
    <n v="152194.92000000179"/>
  </r>
  <r>
    <d v="2025-06-04T00:00:00"/>
    <x v="1"/>
    <s v="000MOBT25154A408          APRIL          SALARY_x000a_ALLOWANCES   NIP   Transfer    from   ILORIN INNOVATION HUB LTD to OLALEYE KAYODE"/>
    <s v="Bank charges"/>
    <x v="1"/>
    <n v="50"/>
  </r>
  <r>
    <d v="2025-06-04T00:00:00"/>
    <x v="1"/>
    <s v="000MOBT25154A408          APRIL          SALARY_x000a_ALLOWANCES   NIP   Transfer    from   ILORIN INNOVATION HUB LTD to OLALEYE KAYODE"/>
    <s v="Bank charges"/>
    <x v="1"/>
    <n v="3.75"/>
  </r>
  <r>
    <d v="2025-06-04T00:00:00"/>
    <x v="1"/>
    <s v="000MOBT251557167            ZOHO           BOOKS_x000a_STANDARD PLAN 3 USERS NIP Transfer from ILORIN INNOVATION HUB LTD to PAYSTACK"/>
    <s v="Software expense - Zoho"/>
    <x v="9"/>
    <n v="46440"/>
  </r>
  <r>
    <d v="2025-06-04T00:00:00"/>
    <x v="1"/>
    <s v="000MOBT251557167            ZOHO           BOOKS_x000a_STANDARD PLAN 3 USERS NIP Transfer from ILORIN INNOVATION HUB LTD to PAYSTACK"/>
    <s v="Bank charges"/>
    <x v="1"/>
    <n v="25"/>
  </r>
  <r>
    <d v="2025-06-04T00:00:00"/>
    <x v="1"/>
    <s v="000MOBT251557167            ZOHO           BOOKS_x000a_STANDARD PLAN 3 USERS NIP Transfer from ILORIN INNOVATION HUB LTD to PAYSTACK"/>
    <s v="Bank charges"/>
    <x v="1"/>
    <n v="1.8799999952316284"/>
  </r>
  <r>
    <d v="2025-06-04T00:00:00"/>
    <x v="1"/>
    <s v="000MOBT251557289      ZOHO      WORKPLACE_x000a_UPGRADE 5 USERS NIP Transfer from ILORIN INNOVATION HUB LTD to PAYSTACK CHE"/>
    <s v="Software expense - Zoho"/>
    <x v="9"/>
    <n v="49392.859999999404"/>
  </r>
  <r>
    <d v="2025-06-04T00:00:00"/>
    <x v="1"/>
    <s v="000MOBT251557289      ZOHO      WORKPLACE_x000a_UPGRADE 5 USERS NIP Transfer from ILORIN INNOVATION HUB LTD to PAYSTACK CHE"/>
    <s v="Bank charges"/>
    <x v="1"/>
    <n v="25"/>
  </r>
  <r>
    <d v="2025-06-04T00:00:00"/>
    <x v="1"/>
    <s v="000MOBT251557289      ZOHO      WORKPLACE_x000a_UPGRADE 5 USERS NIP Transfer from ILORIN INNOVATION HUB LTD to PAYSTACK CHE"/>
    <s v="Bank charges"/>
    <x v="1"/>
    <n v="1.8800000101327896"/>
  </r>
  <r>
    <d v="2025-06-05T00:00:00"/>
    <x v="1"/>
    <s v="0165522251560001 BNG LEGAL SEARCH FEE FOR ILORIN INNOVATION HUB LTD"/>
    <s v="Bank charges"/>
    <x v="1"/>
    <n v="10750"/>
  </r>
  <r>
    <d v="2025-06-05T00:00:00"/>
    <x v="1"/>
    <s v="000MOBT251567774    STARLINK    PURCHASE_x000a_INSTALLATION   NIP   Transfer   from   ILORIN INNOVATION HUB LTD to FEMTECH INF"/>
    <s v="Data and telephone expenses"/>
    <x v="10"/>
    <n v="725000"/>
  </r>
  <r>
    <d v="2025-06-05T00:00:00"/>
    <x v="1"/>
    <s v="000MOBT251567774    STARLINK    PURCHASE_x000a_INSTALLATION   NIP   Transfer   from   ILORIN INNOVATION HUB LTD to FEMTECH INF"/>
    <s v="Bank charges"/>
    <x v="1"/>
    <n v="50"/>
  </r>
  <r>
    <d v="2025-06-05T00:00:00"/>
    <x v="1"/>
    <s v="000MOBT251567774    STARLINK    PURCHASE_x000a_INSTALLATION   NIP   Transfer   from   ILORIN INNOVATION HUB LTD to FEMTECH INF"/>
    <s v="Bank charges"/>
    <x v="1"/>
    <n v="3.75"/>
  </r>
  <r>
    <d v="2025-06-10T00:00:00"/>
    <x v="1"/>
    <s v="016NIPT251560778 NIP TRSF FROM COCREATION HUB LIMITED ER-05417 IHS ILORIN INNOVATION REFUND TO"/>
    <s v="Income"/>
    <x v="11"/>
    <n v="-135300"/>
  </r>
  <r>
    <d v="2025-06-10T00:00:00"/>
    <x v="1"/>
    <s v="000MOBT25161B18D  Reimbursement    for Office Equipment purchase NIP Transfer from ILORIN INNOVATION HUB LTD t"/>
    <s v="Stationery and Office Supplies"/>
    <x v="2"/>
    <n v="36000"/>
  </r>
  <r>
    <d v="2025-06-10T00:00:00"/>
    <x v="1"/>
    <s v="000MOBT25161B18D  Reimbursement    for Office Equipment purchase NIP Transfer from ILORIN INNOVATION HUB LTD t"/>
    <s v="Bank charges"/>
    <x v="1"/>
    <n v="25"/>
  </r>
  <r>
    <d v="2025-06-10T00:00:00"/>
    <x v="1"/>
    <s v="000MOBT25161B18D  Reimbursement    for Office Equipment purchase NIP Transfer from ILORIN INNOVATION HUB LTD t"/>
    <s v="Bank charges"/>
    <x v="1"/>
    <n v="1.8799999952316284"/>
  </r>
  <r>
    <d v="2025-06-10T00:00:00"/>
    <x v="1"/>
    <s v="000MOBT25161B1AA DSTV Compact Xtraview Subscription NIP Transfer from ILORIN INNOVATION HUB LTD to ISAIAH"/>
    <s v="Other Expenses"/>
    <x v="4"/>
    <n v="25000"/>
  </r>
  <r>
    <d v="2025-06-10T00:00:00"/>
    <x v="1"/>
    <s v="000MOBT25161B1AA DSTV Compact Xtraview Subscription NIP Transfer from ILORIN INNOVATION HUB LTD to ISAIAH"/>
    <s v="Bank charges"/>
    <x v="1"/>
    <n v="25"/>
  </r>
  <r>
    <d v="2025-06-10T00:00:00"/>
    <x v="1"/>
    <s v="000MOBT25161B1AA DSTV Compact Xtraview Subscription NIP Transfer from ILORIN INNOVATION HUB LTD to ISAIAH"/>
    <s v="Bank charges"/>
    <x v="1"/>
    <n v="1.8799999952316284"/>
  </r>
  <r>
    <d v="2025-06-10T00:00:00"/>
    <x v="1"/>
    <s v="000MOBT25161B2CT Electrical security light repair NIP Transfer from ILORIN INNOVATION HUB LTD to ELIJAH OD"/>
    <s v="Repairs and maintenance"/>
    <x v="12"/>
    <n v="13000"/>
  </r>
  <r>
    <d v="2025-06-10T00:00:00"/>
    <x v="1"/>
    <s v="000MOBT25161B2CT Electrical security light repair NIP Transfer from ILORIN INNOVATION HUB LTD to ELIJAH OD"/>
    <s v="Bank charges"/>
    <x v="1"/>
    <n v="25"/>
  </r>
  <r>
    <d v="2025-06-10T00:00:00"/>
    <x v="1"/>
    <s v="000MOBT25161B2CT Electrical security light repair NIP Transfer from ILORIN INNOVATION HUB LTD to ELIJAH OD"/>
    <s v="Bank charges"/>
    <x v="1"/>
    <n v="1.8800000101327896"/>
  </r>
  <r>
    <d v="2025-06-10T00:00:00"/>
    <x v="1"/>
    <s v="000MOBT25161B2EN  Reimbursement  for waste disposal payment NIP Transfer from ILORIN INNOVATION HUB LTD to HE"/>
    <s v="Other Expenses"/>
    <x v="4"/>
    <n v="25000"/>
  </r>
  <r>
    <d v="2025-06-10T00:00:00"/>
    <x v="1"/>
    <s v="000MOBT25161B2EN  Reimbursement  for waste disposal payment NIP Transfer from ILORIN INNOVATION HUB LTD to HE"/>
    <s v="Bank charges"/>
    <x v="1"/>
    <n v="25"/>
  </r>
  <r>
    <d v="2025-06-10T00:00:00"/>
    <x v="1"/>
    <s v="000MOBT25161B2EN  Reimbursement  for waste disposal payment NIP Transfer from ILORIN INNOVATION HUB LTD to HE"/>
    <s v="Bank charges"/>
    <x v="1"/>
    <n v="1.8799999952316284"/>
  </r>
  <r>
    <d v="2025-06-10T00:00:00"/>
    <x v="1"/>
    <s v="000MOBT25161B2FU MTN FIBER Installation 45MBPS Monthly NIP Transfer from ILORIN INNOVATION HUB LTD to MTN"/>
    <s v="Data and telephone expenses"/>
    <x v="10"/>
    <n v="2969175.799999997"/>
  </r>
  <r>
    <d v="2025-06-10T00:00:00"/>
    <x v="1"/>
    <s v="000MOBT25161B2FU MTN FIBER Installation 45MBPS Monthly NIP Transfer from ILORIN INNOVATION HUB LTD to MTN"/>
    <s v="Bank charges"/>
    <x v="1"/>
    <n v="50"/>
  </r>
  <r>
    <d v="2025-06-10T00:00:00"/>
    <x v="1"/>
    <s v="000MOBT25161B2FU MTN FIBER Installation 45MBPS Monthly NIP Transfer from ILORIN INNOVATION HUB LTD to MTN"/>
    <s v="Bank charges"/>
    <x v="1"/>
    <n v="3.75"/>
  </r>
  <r>
    <d v="2025-06-10T00:00:00"/>
    <x v="1"/>
    <s v="000MOBT25161B2JT  LANDPHONE PURCHASE_x000a_HUAWEI      NIP      Transfer      from      ILORIN INNOVATION HUB LTD to FEMTECH PHONES"/>
    <s v="Stationery and Office Supplies"/>
    <x v="2"/>
    <n v="22000"/>
  </r>
  <r>
    <d v="2025-06-10T00:00:00"/>
    <x v="1"/>
    <s v="000MOBT25161B2JT  LANDPHONE PURCHASE_x000a_HUAWEI      NIP      Transfer      from      ILORIN INNOVATION HUB LTD to FEMTECH PHONES"/>
    <s v="Bank charges"/>
    <x v="1"/>
    <n v="25"/>
  </r>
  <r>
    <d v="2025-06-10T00:00:00"/>
    <x v="1"/>
    <s v="000MOBT25161B2JT  LANDPHONE PURCHASE_x000a_HUAWEI      NIP      Transfer      from      ILORIN INNOVATION HUB LTD to FEMTECH PHONES"/>
    <s v="Bank charges"/>
    <x v="1"/>
    <n v="1.8800000101327896"/>
  </r>
  <r>
    <d v="2025-06-10T00:00:00"/>
    <x v="1"/>
    <s v="000MOBT25161B3P2         STAFF         PHONES_x000a_PURCHASE     NIP     Transfer     from     ILORIN INNOVATION HUB LTD to TOO SCARCE"/>
    <s v="Purchase of phones"/>
    <x v="10"/>
    <n v="2230000"/>
  </r>
  <r>
    <d v="2025-06-10T00:00:00"/>
    <x v="1"/>
    <s v="000MOBT25161B3P2         STAFF         PHONES_x000a_PURCHASE     NIP     Transfer     from     ILORIN INNOVATION HUB LTD to TOO SCARCE"/>
    <s v="Bank charges"/>
    <x v="1"/>
    <n v="50"/>
  </r>
  <r>
    <d v="2025-06-10T00:00:00"/>
    <x v="1"/>
    <s v="000MOBT25161B3P2         STAFF         PHONES_x000a_PURCHASE     NIP     Transfer     from     ILORIN INNOVATION HUB LTD to TOO SCARCE"/>
    <s v="Bank charges"/>
    <x v="1"/>
    <n v="3.75"/>
  </r>
  <r>
    <d v="2025-06-10T00:00:00"/>
    <x v="1"/>
    <s v="000MOBT25161B5H1   LED   SCREEN   REPAIR_x000a_NIP  Transfer  from  ILORIN  INNOVATION  HUB LTD to CORPORATE SWAGGZ   CSI ME"/>
    <s v="Repairs and maintenance"/>
    <x v="12"/>
    <n v="1581325"/>
  </r>
  <r>
    <d v="2025-06-10T00:00:00"/>
    <x v="1"/>
    <s v="000MOBT25161B5H1   LED   SCREEN   REPAIR_x000a_NIP  Transfer  from  ILORIN  INNOVATION  HUB LTD to CORPORATE SWAGGZ   CSI ME"/>
    <s v="Bank charges"/>
    <x v="1"/>
    <n v="50"/>
  </r>
  <r>
    <d v="2025-06-10T00:00:00"/>
    <x v="1"/>
    <s v="000MOBT25161B5H1   LED   SCREEN   REPAIR_x000a_NIP  Transfer  from  ILORIN  INNOVATION  HUB LTD to CORPORATE SWAGGZ   CSI ME"/>
    <s v="Bank charges"/>
    <x v="1"/>
    <n v="3.75"/>
  </r>
  <r>
    <d v="2025-06-10T00:00:00"/>
    <x v="1"/>
    <s v="016EMTL2516100GH     ELECTRONIC     MONEY TRANSFER LEVY"/>
    <s v="Bank charges"/>
    <x v="1"/>
    <n v="50"/>
  </r>
  <r>
    <d v="2025-06-11T00:00:00"/>
    <x v="1"/>
    <s v="000MOBT25161BB6Q    SMALL    CHOPS    FOR_x000a_FIRESIDE CHAT WITH IYIN NIP Transfer from ILORIN INNOVATION HUB LTD to JIM"/>
    <s v="Guest and entertainment"/>
    <x v="13"/>
    <n v="120000"/>
  </r>
  <r>
    <d v="2025-06-11T00:00:00"/>
    <x v="1"/>
    <s v="000MOBT25161BB6Q    SMALL    CHOPS    FOR_x000a_FIRESIDE CHAT WITH IYIN NIP Transfer from ILORIN INNOVATION HUB LTD to JIM"/>
    <s v="Bank charges"/>
    <x v="1"/>
    <n v="50"/>
  </r>
  <r>
    <d v="2025-06-11T00:00:00"/>
    <x v="1"/>
    <s v="000MOBT25161BB6Q    SMALL    CHOPS    FOR_x000a_FIRESIDE CHAT WITH IYIN NIP Transfer from ILORIN INNOVATION HUB LTD to JIM"/>
    <s v="Bank charges"/>
    <x v="1"/>
    <n v="3.75"/>
  </r>
  <r>
    <d v="2025-06-11T00:00:00"/>
    <x v="1"/>
    <s v="000MOBT251621922           ZOHO           PEOPLE_x000a_ENTERPRISE  16  USERS  NIP  Transfer  from ILORIN INNOVATION HUB LTD to PAYSTACK"/>
    <s v="Software expense - Zoho"/>
    <x v="9"/>
    <n v="715176"/>
  </r>
  <r>
    <d v="2025-06-11T00:00:00"/>
    <x v="1"/>
    <s v="000MOBT251621922           ZOHO           PEOPLE_x000a_ENTERPRISE  16  USERS  NIP  Transfer  from ILORIN INNOVATION HUB LTD to PAYSTACK"/>
    <s v="Bank charges"/>
    <x v="1"/>
    <n v="50"/>
  </r>
  <r>
    <d v="2025-06-11T00:00:00"/>
    <x v="1"/>
    <s v="000MOBT251621922           ZOHO           PEOPLE_x000a_ENTERPRISE  16  USERS  NIP  Transfer  from ILORIN INNOVATION HUB LTD to PAYSTACK"/>
    <s v="Bank charges"/>
    <x v="1"/>
    <n v="3.75"/>
  </r>
  <r>
    <d v="2025-06-13T00:00:00"/>
    <x v="1"/>
    <s v="000MOBT251646244      SECURITY      SERVICE_x000a_HALF   PAYMENT   JUNE   NIP   Transfer   from ILORIN INNOVATION HUB LTD to ROHI INT"/>
    <s v="security"/>
    <x v="14"/>
    <n v="475000"/>
  </r>
  <r>
    <d v="2025-06-13T00:00:00"/>
    <x v="1"/>
    <s v="000MOBT251646244      SECURITY      SERVICE_x000a_HALF   PAYMENT   JUNE   NIP   Transfer   from ILORIN INNOVATION HUB LTD to ROHI INT"/>
    <s v="Bank charges"/>
    <x v="1"/>
    <n v="50"/>
  </r>
  <r>
    <d v="2025-06-13T00:00:00"/>
    <x v="1"/>
    <s v="000MOBT251646244      SECURITY      SERVICE_x000a_HALF   PAYMENT   JUNE   NIP   Transfer   from ILORIN INNOVATION HUB LTD to ROHI INT"/>
    <s v="Bank charges"/>
    <x v="1"/>
    <n v="3.75"/>
  </r>
  <r>
    <d v="2025-06-16T00:00:00"/>
    <x v="1"/>
    <s v="000MOBT251675348     STAFF     LUNCH     NIP_x000a_Transfer  from  ILORIN  INNOVATION  HUB  LTD to BOA FOODS RESTAURANT LTD"/>
    <s v="Guest and entertainment"/>
    <x v="15"/>
    <n v="153400"/>
  </r>
  <r>
    <d v="2025-06-16T00:00:00"/>
    <x v="1"/>
    <s v="000MOBT251675348     STAFF     LUNCH     NIP_x000a_Transfer  from  ILORIN  INNOVATION  HUB  LTD to BOA FOODS RESTAURANT LTD"/>
    <s v="Bank charges"/>
    <x v="1"/>
    <n v="50"/>
  </r>
  <r>
    <d v="2025-06-16T00:00:00"/>
    <x v="1"/>
    <s v="000MOBT251675348     STAFF     LUNCH     NIP_x000a_Transfer  from  ILORIN  INNOVATION  HUB  LTD to BOA FOODS RESTAURANT LTD"/>
    <s v="Bank charges"/>
    <x v="1"/>
    <n v="3.75"/>
  </r>
  <r>
    <d v="2025-06-16T00:00:00"/>
    <x v="1"/>
    <s v="000MOBT251676319      MAY      SALARY      NIP_x000a_Transfer  from  ILORIN  INNOVATION  HUB  LTD to AYORINDE OLAMIDE OPEMIPO"/>
    <s v="Salaries and Wages"/>
    <x v="7"/>
    <n v="72993.329999998212"/>
  </r>
  <r>
    <d v="2025-06-16T00:00:00"/>
    <x v="1"/>
    <s v="000MOBT251676319      MAY      SALARY      NIP_x000a_Transfer  from  ILORIN  INNOVATION  HUB  LTD to AYORINDE OLAMIDE OPEMIPO"/>
    <s v="Bank charges"/>
    <x v="1"/>
    <n v="50"/>
  </r>
  <r>
    <d v="2025-06-16T00:00:00"/>
    <x v="1"/>
    <s v="000MOBT251676319      MAY      SALARY      NIP_x000a_Transfer  from  ILORIN  INNOVATION  HUB  LTD to AYORINDE OLAMIDE OPEMIPO"/>
    <s v="Bank charges"/>
    <x v="1"/>
    <n v="3.75"/>
  </r>
  <r>
    <d v="2025-06-16T00:00:00"/>
    <x v="1"/>
    <s v="000MOBT25167AD55 FIRMAN GENERATOR PURCHASE 3 ITEL EXTENSIONS NIP Transfer from ILORIN INNOVATION HUB LTD t"/>
    <s v="Generator purchase"/>
    <x v="16"/>
    <n v="902000"/>
  </r>
  <r>
    <d v="2025-06-16T00:00:00"/>
    <x v="1"/>
    <s v="000MOBT25167AD55 FIRMAN GENERATOR PURCHASE 3 ITEL EXTENSIONS NIP Transfer from ILORIN INNOVATION HUB LTD t"/>
    <s v="Bank charges"/>
    <x v="1"/>
    <n v="50"/>
  </r>
  <r>
    <d v="2025-06-16T00:00:00"/>
    <x v="1"/>
    <s v="000MOBT25167AD55 FIRMAN GENERATOR PURCHASE 3 ITEL EXTENSIONS NIP Transfer from ILORIN INNOVATION HUB LTD t"/>
    <s v="Bank charges"/>
    <x v="1"/>
    <n v="3.75"/>
  </r>
  <r>
    <d v="2025-06-16T00:00:00"/>
    <x v="1"/>
    <s v="000MOBT25167AHII  PURCHASE  OF  DRILLING_x000a_MACHINE      NIP      Transfer      from      ILORIN INNOVATION HUB LTD to ONYEAGBA EMEKA"/>
    <s v="Stationery and Office Supplies"/>
    <x v="2"/>
    <n v="40000"/>
  </r>
  <r>
    <d v="2025-06-16T00:00:00"/>
    <x v="1"/>
    <s v="000MOBT25167AHII  PURCHASE  OF  DRILLING_x000a_MACHINE      NIP      Transfer      from      ILORIN INNOVATION HUB LTD to ONYEAGBA EMEKA"/>
    <s v="Bank charges"/>
    <x v="1"/>
    <n v="25"/>
  </r>
  <r>
    <d v="2025-06-16T00:00:00"/>
    <x v="1"/>
    <s v="000MOBT25167AHII  PURCHASE  OF  DRILLING_x000a_MACHINE      NIP      Transfer      from      ILORIN INNOVATION HUB LTD to ONYEAGBA EMEKA"/>
    <s v="Bank charges"/>
    <x v="1"/>
    <n v="1.8799999952316284"/>
  </r>
  <r>
    <d v="2025-06-16T00:00:00"/>
    <x v="1"/>
    <s v="000MOBT25167AHX5          PURCHASE          OF MAINTENANCE   AND   SECURITY   ITEMS   NIP_x000a_Transfer from ILORIN INNOVATION HUB LTD"/>
    <s v="Repairs and maintenance"/>
    <x v="12"/>
    <n v="14700"/>
  </r>
  <r>
    <d v="2025-06-16T00:00:00"/>
    <x v="1"/>
    <s v="000MOBT25167AHX5          PURCHASE          OF MAINTENANCE   AND   SECURITY   ITEMS   NIP_x000a_Transfer from ILORIN INNOVATION HUB LTD"/>
    <s v="Bank charges"/>
    <x v="1"/>
    <n v="25"/>
  </r>
  <r>
    <d v="2025-06-16T00:00:00"/>
    <x v="1"/>
    <s v="000MOBT25167AHX5          PURCHASE          OF MAINTENANCE   AND   SECURITY   ITEMS   NIP_x000a_Transfer from ILORIN INNOVATION HUB LTD"/>
    <s v="Bank charges"/>
    <x v="1"/>
    <n v="1.8799999952316284"/>
  </r>
  <r>
    <d v="2025-06-16T00:00:00"/>
    <x v="1"/>
    <s v="000MOBT25167AHYM   COST   OF   ALUMINIUM_x000a_DOOR  REPAIRS   NIP  Transfer  from  ILORIN INNOVATION HUB LTD to ABDULRAHEEM"/>
    <s v="Repairs and maintenance"/>
    <x v="12"/>
    <n v="20000"/>
  </r>
  <r>
    <d v="2025-06-16T00:00:00"/>
    <x v="1"/>
    <s v="000MOBT25167AHYM   COST   OF   ALUMINIUM_x000a_DOOR  REPAIRS   NIP  Transfer  from  ILORIN INNOVATION HUB LTD to ABDULRAHEEM"/>
    <s v="Bank charges"/>
    <x v="1"/>
    <n v="25"/>
  </r>
  <r>
    <d v="2025-06-16T00:00:00"/>
    <x v="1"/>
    <s v="000MOBT25167AHYM   COST   OF   ALUMINIUM_x000a_DOOR  REPAIRS   NIP  Transfer  from  ILORIN INNOVATION HUB LTD to ABDULRAHEEM"/>
    <s v="Bank charges"/>
    <x v="1"/>
    <n v="1.8800000101327896"/>
  </r>
  <r>
    <d v="2025-06-17T00:00:00"/>
    <x v="1"/>
    <s v="000MOBT251684004 20 STAFF CUG LINES NIP_x000a_Transfer  from  ILORIN  INNOVATION  HUB  LTD to MUHAMMED NASIRU MAHMOOD"/>
    <s v="Data and telephone expenses"/>
    <x v="10"/>
    <n v="100000"/>
  </r>
  <r>
    <d v="2025-06-17T00:00:00"/>
    <x v="1"/>
    <s v="000MOBT251684004 20 STAFF CUG LINES NIP_x000a_Transfer  from  ILORIN  INNOVATION  HUB  LTD to MUHAMMED NASIRU MAHMOOD"/>
    <s v="Bank charges"/>
    <x v="1"/>
    <n v="50"/>
  </r>
  <r>
    <d v="2025-06-17T00:00:00"/>
    <x v="1"/>
    <s v="000MOBT251684004 20 STAFF CUG LINES NIP_x000a_Transfer  from  ILORIN  INNOVATION  HUB  LTD to MUHAMMED NASIRU MAHMOOD"/>
    <s v="Bank charges"/>
    <x v="1"/>
    <n v="3.75"/>
  </r>
  <r>
    <d v="2025-06-17T00:00:00"/>
    <x v="1"/>
    <s v="000MOBT251686079  NIP  Transfer  from ILORIN INNOVATION HUB LTD to PRECIOUS UCHECHUKWU OSELE"/>
    <s v="Unallocated expense"/>
    <x v="4"/>
    <n v="162100"/>
  </r>
  <r>
    <d v="2025-06-17T00:00:00"/>
    <x v="1"/>
    <s v="000MOBT251686079  NIP  Transfer  from ILORIN INNOVATION HUB LTD to PRECIOUS UCHECHUKWU OSELE"/>
    <s v="Bank charges"/>
    <x v="1"/>
    <n v="50"/>
  </r>
  <r>
    <d v="2025-06-17T00:00:00"/>
    <x v="1"/>
    <s v="000MOBT251686079  NIP  Transfer  from ILORIN INNOVATION HUB LTD to PRECIOUS UCHECHUKWU OSELE"/>
    <s v="Bank charges"/>
    <x v="1"/>
    <n v="3.75"/>
  </r>
  <r>
    <d v="2025-06-17T00:00:00"/>
    <x v="1"/>
    <s v="000MOBT251688231 PURCHASE OF 2 WASTE_x000a_BINS  NIP  Transfer  from  ILORIN  INNOVATION HUB LTD to Halimat Damilola A"/>
    <s v="Stationery and Office Supplies"/>
    <x v="2"/>
    <n v="164000"/>
  </r>
  <r>
    <d v="2025-06-17T00:00:00"/>
    <x v="1"/>
    <s v="000MOBT251688231 PURCHASE OF 2 WASTE_x000a_BINS  NIP  Transfer  from  ILORIN  INNOVATION HUB LTD to Halimat Damilola A"/>
    <s v="Bank charges"/>
    <x v="1"/>
    <n v="50"/>
  </r>
  <r>
    <d v="2025-06-17T00:00:00"/>
    <x v="1"/>
    <s v="000MOBT251688231 PURCHASE OF 2 WASTE_x000a_BINS  NIP  Transfer  from  ILORIN  INNOVATION HUB LTD to Halimat Damilola A"/>
    <s v="Bank charges"/>
    <x v="1"/>
    <n v="3.75"/>
  </r>
  <r>
    <d v="2025-06-18T00:00:00"/>
    <x v="1"/>
    <s v="000MOBT251690018 ZOHO CREATOR 1 USER_x000a_ANNUAL      NIP      Transfer      from      ILORIN INNOVATION HUB LTD to PAYSTACK"/>
    <s v="Software expense - Zoho"/>
    <x v="9"/>
    <n v="198660"/>
  </r>
  <r>
    <d v="2025-06-18T00:00:00"/>
    <x v="1"/>
    <s v="000MOBT251690018 ZOHO CREATOR 1 USER_x000a_ANNUAL      NIP      Transfer      from      ILORIN INNOVATION HUB LTD to PAYSTACK"/>
    <s v="Bank charges"/>
    <x v="1"/>
    <n v="50"/>
  </r>
  <r>
    <d v="2025-06-18T00:00:00"/>
    <x v="1"/>
    <s v="000MOBT251690018 ZOHO CREATOR 1 USER_x000a_ANNUAL      NIP      Transfer      from      ILORIN INNOVATION HUB LTD to PAYSTACK"/>
    <s v="Bank charges"/>
    <x v="1"/>
    <n v="3.75"/>
  </r>
  <r>
    <d v="2025-06-18T00:00:00"/>
    <x v="1"/>
    <s v="016NIPT251690179  NIP  TRSF  FROM  KWSG INT REV SERV EXP ACCT GT20250649 BEING PAYMENT TO RENT INNOVATION HUB TO"/>
    <s v="Income"/>
    <x v="0"/>
    <n v="-420000"/>
  </r>
  <r>
    <d v="2025-06-18T00:00:00"/>
    <x v="1"/>
    <s v="016EMTL2516900BW    ELECTRONIC    MONEY TRANSFER LEVY"/>
    <s v="Bank charges"/>
    <x v="1"/>
    <n v="50"/>
  </r>
  <r>
    <d v="2025-06-19T00:00:00"/>
    <x v="1"/>
    <s v="016NIPT251700200 NIP TRSF FROM DADZIE OMOTOLA VANESSA NIP Transfer to ILORIN INNOVATION HUB LTD."/>
    <s v="Income"/>
    <x v="11"/>
    <n v="-18000"/>
  </r>
  <r>
    <d v="2025-06-19T00:00:00"/>
    <x v="1"/>
    <s v="000MOBT251709749  MTN  CUG  16  LINES  NIP_x000a_Transfer  from  ILORIN  INNOVATION  HUB  LTD to POSTPAID CUSTOMERSCOLLECTI"/>
    <s v="Data and telephone expenses"/>
    <x v="10"/>
    <n v="12000"/>
  </r>
  <r>
    <d v="2025-06-19T00:00:00"/>
    <x v="1"/>
    <s v="000MOBT251709749  MTN  CUG  16  LINES  NIP_x000a_Transfer  from  ILORIN  INNOVATION  HUB  LTD to POSTPAID CUSTOMERSCOLLECTI"/>
    <s v="Bank charges"/>
    <x v="1"/>
    <n v="25"/>
  </r>
  <r>
    <d v="2025-06-19T00:00:00"/>
    <x v="1"/>
    <s v="000MOBT251709749  MTN  CUG  16  LINES  NIP_x000a_Transfer  from  ILORIN  INNOVATION  HUB  LTD to POSTPAID CUSTOMERSCOLLECTI"/>
    <s v="Bank charges"/>
    <x v="1"/>
    <n v="1.8799999952316284"/>
  </r>
  <r>
    <d v="2025-06-19T00:00:00"/>
    <x v="1"/>
    <s v="000MOBT25170A05E  PURCHASE  OF  POWER_x000a_BANKS       NIP       Transfer       from       ILORIN INNOVATION HUB LTD to FEMTECH PHONES"/>
    <s v="Stationery and Office Supplies"/>
    <x v="2"/>
    <n v="304000"/>
  </r>
  <r>
    <d v="2025-06-19T00:00:00"/>
    <x v="1"/>
    <s v="000MOBT25170A05E  PURCHASE  OF  POWER_x000a_BANKS       NIP       Transfer       from       ILORIN INNOVATION HUB LTD to FEMTECH PHONES"/>
    <s v="Bank charges"/>
    <x v="1"/>
    <n v="50"/>
  </r>
  <r>
    <d v="2025-06-19T00:00:00"/>
    <x v="1"/>
    <s v="000MOBT25170A05E  PURCHASE  OF  POWER_x000a_BANKS       NIP       Transfer       from       ILORIN INNOVATION HUB LTD to FEMTECH PHONES"/>
    <s v="Bank charges"/>
    <x v="1"/>
    <n v="3.75"/>
  </r>
  <r>
    <d v="2025-06-19T00:00:00"/>
    <x v="1"/>
    <s v="000MOBT25170A07Q    ZOZO    MAIL    1    ONE_x000a_ADDITIONAL USER NIP Transfer from ILORIN INNOVATION HUB LTD to PAYSTACK CH"/>
    <s v="Software expense - Zoho"/>
    <x v="9"/>
    <n v="9470.359999999404"/>
  </r>
  <r>
    <d v="2025-06-19T00:00:00"/>
    <x v="1"/>
    <s v="000MOBT25170A07Q    ZOZO    MAIL    1    ONE_x000a_ADDITIONAL USER NIP Transfer from ILORIN INNOVATION HUB LTD to PAYSTACK CH"/>
    <s v="Bank charges"/>
    <x v="1"/>
    <n v="25"/>
  </r>
  <r>
    <d v="2025-06-19T00:00:00"/>
    <x v="1"/>
    <s v="000MOBT25170A07Q    ZOZO    MAIL    1    ONE_x000a_ADDITIONAL USER NIP Transfer from ILORIN INNOVATION HUB LTD to PAYSTACK CH"/>
    <s v="Bank charges"/>
    <x v="1"/>
    <n v="1.8799999952316284"/>
  </r>
  <r>
    <d v="2025-06-19T00:00:00"/>
    <x v="1"/>
    <s v="000MOBT25170A0C0          PURCHASE          OF SAMSUNG GALAXY A06 FOR COMM MGR NIP_x000a_Transfer from ILORIN INNOVATION HUB LTD"/>
    <s v="Stationery and Office Supplies"/>
    <x v="2"/>
    <n v="150000"/>
  </r>
  <r>
    <d v="2025-06-19T00:00:00"/>
    <x v="1"/>
    <s v="000MOBT25170A0C0          PURCHASE          OF SAMSUNG GALAXY A06 FOR COMM MGR NIP_x000a_Transfer from ILORIN INNOVATION HUB LTD"/>
    <s v="Bank charges"/>
    <x v="1"/>
    <n v="50"/>
  </r>
  <r>
    <d v="2025-06-19T00:00:00"/>
    <x v="1"/>
    <s v="000MOBT25170A0C0          PURCHASE          OF SAMSUNG GALAXY A06 FOR COMM MGR NIP_x000a_Transfer from ILORIN INNOVATION HUB LTD"/>
    <s v="Bank charges"/>
    <x v="1"/>
    <n v="3.75"/>
  </r>
  <r>
    <d v="2025-06-19T00:00:00"/>
    <x v="1"/>
    <s v="000MOBT25170A15P NIP  Transfer  from ILORIN INNOVATION HUB LTD to BENETTON CONSULTING LIMITED"/>
    <s v="Unallocated expense"/>
    <x v="12"/>
    <n v="720000"/>
  </r>
  <r>
    <d v="2025-06-19T00:00:00"/>
    <x v="1"/>
    <s v="000MOBT25170A15P NIP  Transfer  from ILORIN INNOVATION HUB LTD to BENETTON CONSULTING LIMITED"/>
    <s v="Bank charges"/>
    <x v="1"/>
    <n v="50"/>
  </r>
  <r>
    <d v="2025-06-19T00:00:00"/>
    <x v="1"/>
    <s v="000MOBT25170A15P NIP  Transfer  from ILORIN INNOVATION HUB LTD to BENETTON CONSULTING LIMITED"/>
    <s v="Bank charges"/>
    <x v="1"/>
    <n v="3.75"/>
  </r>
  <r>
    <d v="2025-06-19T00:00:00"/>
    <x v="1"/>
    <s v="016EMTL25170006K     ELECTRONIC     MONEY TRANSFER LEVY"/>
    <s v="Bank charges"/>
    <x v="1"/>
    <n v="50"/>
  </r>
  <r>
    <d v="2025-06-20T00:00:00"/>
    <x v="1"/>
    <s v="0166678251710001 REMITTA PAYMENT IFO E-_x000a_payment   till   –Olaoluwa   Ishola   B/O   ILORIN INNOVATION HUB LTD"/>
    <s v="Unallocated expense"/>
    <x v="17"/>
    <n v="320161.25"/>
  </r>
  <r>
    <d v="2025-06-20T00:00:00"/>
    <x v="1"/>
    <s v="016NIPT251710467        NIP       TRSF       FROM_x000a_MICHELLE   CHIDINMA   UBA   Transfer   from MICHELLE CHIDINMA UBA"/>
    <s v="Income"/>
    <x v="11"/>
    <n v="-48000"/>
  </r>
  <r>
    <d v="2025-06-20T00:00:00"/>
    <x v="1"/>
    <s v="000MOBT25171A1LE  PURCHASE  OF SNACKS FOR  ILORIN  DEV  BOX  EVENT  NIP  Transfer_x000a_from ILORIN INNOVATION HUB LTD to"/>
    <s v="Guest and entertainment"/>
    <x v="13"/>
    <n v="48000"/>
  </r>
  <r>
    <d v="2025-06-20T00:00:00"/>
    <x v="1"/>
    <s v="000MOBT25171A1LE PURCHASE OF SNACKS FOR ILORIN DEV BOX EVENT NIP Transfer from ILORIN INNOVATION HUB LTD to"/>
    <s v="Bank charges"/>
    <x v="1"/>
    <n v="25"/>
  </r>
  <r>
    <d v="2025-06-20T00:00:00"/>
    <x v="1"/>
    <s v="000MOBT25171A1LE PURCHASE OF SNACKS FOR ILORIN DEV BOX EVENT NIP Transfer from ILORIN INNOVATION HUB LTD to"/>
    <s v="Bank charges"/>
    <x v="1"/>
    <n v="1.8800000101327896"/>
  </r>
  <r>
    <d v="2025-06-20T00:00:00"/>
    <x v="1"/>
    <s v="016EMTL251710057     ELECTRONIC     MONEY TRANSFER LEVY"/>
    <s v="Bank charges"/>
    <x v="1"/>
    <n v="50"/>
  </r>
  <r>
    <d v="2025-06-23T00:00:00"/>
    <x v="1"/>
    <s v="000MOBT251740051        BREAKFAST        FOR MASTERCLASS       WITH       PRINCE       DAPO_x000a_ADELEGAN NIP Transfer from ILORIN"/>
    <s v="Guest and entertainment"/>
    <x v="13"/>
    <n v="142500"/>
  </r>
  <r>
    <d v="2025-06-23T00:00:00"/>
    <x v="1"/>
    <s v="000MOBT251740051        BREAKFAST        FOR MASTERCLASS       WITH       PRINCE       DAPO_x000a_ADELEGAN NIP Transfer from ILORIN"/>
    <s v="Bank charges"/>
    <x v="1"/>
    <n v="50"/>
  </r>
  <r>
    <d v="2025-06-23T00:00:00"/>
    <x v="1"/>
    <s v="000MOBT251740051        BREAKFAST        FOR MASTERCLASS       WITH       PRINCE       DAPO_x000a_ADELEGAN NIP Transfer from ILORIN"/>
    <s v="Bank charges"/>
    <x v="1"/>
    <n v="3.75"/>
  </r>
  <r>
    <d v="2025-06-23T00:00:00"/>
    <x v="1"/>
    <s v="000MOBT251743898   AIRTEL  WIFI  MONTHLY_x000a_RENEWAL      NIP     Transfer     from     ILORIN INNOVATION HUB LTD to PAYSTACK CHECK"/>
    <s v="Data and telephone expenses"/>
    <x v="10"/>
    <n v="30000"/>
  </r>
  <r>
    <d v="2025-06-23T00:00:00"/>
    <x v="1"/>
    <s v="000MOBT251743898   AIRTEL  WIFI  MONTHLY_x000a_RENEWAL      NIP     Transfer     from     ILORIN INNOVATION HUB LTD to PAYSTACK CHECK"/>
    <s v="Bank charges"/>
    <x v="1"/>
    <n v="25"/>
  </r>
  <r>
    <d v="2025-06-23T00:00:00"/>
    <x v="1"/>
    <s v="000MOBT251743898   AIRTEL  WIFI  MONTHLY_x000a_RENEWAL      NIP     Transfer     from     ILORIN INNOVATION HUB LTD to PAYSTACK CHECK"/>
    <s v="Bank charges"/>
    <x v="1"/>
    <n v="1.8799999952316284"/>
  </r>
  <r>
    <d v="2025-06-23T00:00:00"/>
    <x v="1"/>
    <s v="000MOBT25174AIVI PURCHASE OF UTENCILS MICROWAVE FOR VIP  LOUNGE NIP  Transfer from ILORIN INNOVATION HUB LTD"/>
    <s v="Stationery and Office Supplies"/>
    <x v="2"/>
    <n v="149000"/>
  </r>
  <r>
    <d v="2025-06-23T00:00:00"/>
    <x v="1"/>
    <s v="000MOBT25174AIVI PURCHASE OF UTENCILS MICROWAVE FOR VIP  LOUNGE NIP  Transfer from ILORIN INNOVATION HUB LTD"/>
    <s v="Bank charges"/>
    <x v="1"/>
    <n v="50"/>
  </r>
  <r>
    <d v="2025-06-23T00:00:00"/>
    <x v="1"/>
    <s v="000MOBT25174AIVI PURCHASE OF UTENCILS MICROWAVE FOR VIP  LOUNGE NIP  Transfer from ILORIN INNOVATION HUB LTD"/>
    <s v="Bank charges"/>
    <x v="1"/>
    <n v="3.75"/>
  </r>
  <r>
    <d v="2025-06-23T00:00:00"/>
    <x v="1"/>
    <s v="000MOBT25174AIX6           PURCHASE           OF_x000a_SOUVENIR  MUGS  NIP  Transfer  from  ILORIN INNOVATION HUB LTD to SQUAD KITCHEN"/>
    <s v="Stationery and Office Supplies"/>
    <x v="2"/>
    <n v="50000"/>
  </r>
  <r>
    <d v="2025-06-23T00:00:00"/>
    <x v="1"/>
    <s v="000MOBT25174AIX6           PURCHASE           OF_x000a_SOUVENIR  MUGS  NIP  Transfer  from  ILORIN INNOVATION HUB LTD to SQUAD KITCHEN"/>
    <s v="Bank charges"/>
    <x v="1"/>
    <n v="25"/>
  </r>
  <r>
    <d v="2025-06-23T00:00:00"/>
    <x v="1"/>
    <s v="000MOBT25174AIX6           PURCHASE           OF_x000a_SOUVENIR  MUGS  NIP  Transfer  from  ILORIN INNOVATION HUB LTD to SQUAD KITCHEN"/>
    <s v="Bank charges"/>
    <x v="1"/>
    <n v="1.8799999952316284"/>
  </r>
  <r>
    <d v="2025-06-23T00:00:00"/>
    <x v="1"/>
    <s v="000MOBT25174ALEW    PURCHASE    OF   ONE_x000a_YEAR ZOHO FORMS NIP Transfer from ILORIN INNOVATION HUB LTD to PAYSTACK CH"/>
    <s v="Software expense - Zoho"/>
    <x v="9"/>
    <n v="99330"/>
  </r>
  <r>
    <d v="2025-06-23T00:00:00"/>
    <x v="1"/>
    <s v="000MOBT25174ALEW    PURCHASE    OF   ONE_x000a_YEAR ZOHO FORMS NIP Transfer from ILORIN INNOVATION HUB LTD to PAYSTACK CH"/>
    <s v="Bank charges"/>
    <x v="1"/>
    <n v="50"/>
  </r>
  <r>
    <d v="2025-06-23T00:00:00"/>
    <x v="1"/>
    <s v="000MOBT25174ALEW    PURCHASE    OF   ONE_x000a_YEAR ZOHO FORMS NIP Transfer from ILORIN INNOVATION HUB LTD to PAYSTACK CH"/>
    <s v="Bank charges"/>
    <x v="1"/>
    <n v="3.75"/>
  </r>
  <r>
    <d v="2025-06-23T00:00:00"/>
    <x v="1"/>
    <s v="000MOBT25174ALSD          PURCHASE          OF WASHROOM          HANDTAP          ADDITIONAL_x000a_INSTALLATION MATERIALS NIP Transfer from"/>
    <s v="Stationery and Office Supplies"/>
    <x v="2"/>
    <n v="10400"/>
  </r>
  <r>
    <d v="2025-06-23T00:00:00"/>
    <x v="1"/>
    <s v="000MOBT25174ALSD          PURCHASE          OF WASHROOM          HANDTAP          ADDITIONAL_x000a_INSTALLATION MATERIALS NIP Transfer from"/>
    <s v="Bank charges"/>
    <x v="1"/>
    <n v="25"/>
  </r>
  <r>
    <d v="2025-06-23T00:00:00"/>
    <x v="1"/>
    <s v="000MOBT25174ALSD          PURCHASE          OF WASHROOM          HANDTAP          ADDITIONAL_x000a_INSTALLATION MATERIALS NIP Transfer from"/>
    <s v="Bank charges"/>
    <x v="1"/>
    <n v="1.8800000101327896"/>
  </r>
  <r>
    <d v="2025-06-23T00:00:00"/>
    <x v="1"/>
    <s v="000MOBT25174ALT1         1HP        AC        FOR_x000a_MAINTENANCE   OFFICE   NIP   Transfer   from ILORIN INNOVATION HUB LTD to CYCLE"/>
    <s v="Purchase of AC"/>
    <x v="16"/>
    <n v="465000"/>
  </r>
  <r>
    <d v="2025-06-23T00:00:00"/>
    <x v="1"/>
    <s v="000MOBT25174ALT1         1HP        AC        FOR_x000a_MAINTENANCE   OFFICE   NIP   Transfer   from ILORIN INNOVATION HUB LTD to CYCLE"/>
    <s v="Bank charges"/>
    <x v="1"/>
    <n v="50"/>
  </r>
  <r>
    <d v="2025-06-23T00:00:00"/>
    <x v="1"/>
    <s v="000MOBT25174ALT1         1HP        AC        FOR_x000a_MAINTENANCE   OFFICE   NIP   Transfer   from ILORIN INNOVATION HUB LTD to CYCLE"/>
    <s v="Bank charges"/>
    <x v="1"/>
    <n v="3.75"/>
  </r>
  <r>
    <d v="2025-06-24T00:00:00"/>
    <x v="1"/>
    <s v="000MOBT251750725  NIP  Transfer  from ILORIN INNOVATION HUB LTD to  Infinitus Innovations Limited    FOODSTER"/>
    <s v="Guest and entertainment"/>
    <x v="13"/>
    <n v="8000"/>
  </r>
  <r>
    <d v="2025-06-24T00:00:00"/>
    <x v="1"/>
    <s v="000MOBT251750725  NIP  Transfer  from ILORIN INNOVATION HUB LTD to  Infinitus Innovations Limited    FOODSTER"/>
    <s v="Bank charges"/>
    <x v="1"/>
    <n v="25"/>
  </r>
  <r>
    <d v="2025-06-24T00:00:00"/>
    <x v="1"/>
    <s v="000MOBT251750725  NIP  Transfer  from ILORIN INNOVATION HUB LTD to  Infinitus Innovations Limited    FOODSTER"/>
    <s v="Bank charges"/>
    <x v="1"/>
    <n v="1.8799999952316284"/>
  </r>
  <r>
    <d v="2025-06-24T00:00:00"/>
    <x v="1"/>
    <s v="000MOBT251751920       SECURITY       SALARY_x000a_OFFSET      NIP      Transfer      from      ILORIN INNOVATION HUB LTD to OKPE EDWIN"/>
    <s v="Salaries and Wages"/>
    <x v="7"/>
    <n v="39000"/>
  </r>
  <r>
    <d v="2025-06-24T00:00:00"/>
    <x v="1"/>
    <s v="000MOBT251751920       SECURITY       SALARY_x000a_OFFSET      NIP      Transfer      from      ILORIN INNOVATION HUB LTD to OKPE EDWIN"/>
    <s v="Bank charges"/>
    <x v="1"/>
    <n v="25"/>
  </r>
  <r>
    <d v="2025-06-24T00:00:00"/>
    <x v="1"/>
    <s v="000MOBT251751920       SECURITY       SALARY_x000a_OFFSET      NIP      Transfer      from      ILORIN INNOVATION HUB LTD to OKPE EDWIN"/>
    <s v="Bank charges"/>
    <x v="1"/>
    <n v="1.8799999952316284"/>
  </r>
  <r>
    <d v="2025-06-24T00:00:00"/>
    <x v="1"/>
    <s v="000MOBT251753537 IHS VISITOR LUNCH  NIP_x000a_Transfer  from  ILORIN  INNOVATION  HUB  LTD to BOA FOODS RESTAURANT LTD"/>
    <s v="Guest and entertainment"/>
    <x v="15"/>
    <n v="15200"/>
  </r>
  <r>
    <d v="2025-06-24T00:00:00"/>
    <x v="1"/>
    <s v="000MOBT251753537 IHS VISITOR LUNCH  NIP_x000a_Transfer  from  ILORIN  INNOVATION  HUB  LTD to BOA FOODS RESTAURANT LTD"/>
    <s v="Bank charges"/>
    <x v="1"/>
    <n v="25"/>
  </r>
  <r>
    <d v="2025-06-24T00:00:00"/>
    <x v="1"/>
    <s v="000MOBT251753537 IHS VISITOR LUNCH  NIP_x000a_Transfer  from  ILORIN  INNOVATION  HUB  LTD to BOA FOODS RESTAURANT LTD"/>
    <s v="Bank charges"/>
    <x v="1"/>
    <n v="1.8800000101327896"/>
  </r>
  <r>
    <d v="2025-06-24T00:00:00"/>
    <x v="1"/>
    <s v="000MOBT251758433  REIMB  FOR  PURCHASE OF  WATER  FOR  MASTERCLASS  ADELEGAN_x000a_NIP Transfer from ILORIN INNOVATION H"/>
    <s v="Guest and entertainment"/>
    <x v="13"/>
    <n v="18900"/>
  </r>
  <r>
    <d v="2025-06-24T00:00:00"/>
    <x v="1"/>
    <s v="000MOBT251758433  REIMB  FOR  PURCHASE OF  WATER  FOR  MASTERCLASS  ADELEGAN_x000a_NIP Transfer from ILORIN INNOVATION H"/>
    <s v="Bank charges"/>
    <x v="1"/>
    <n v="25"/>
  </r>
  <r>
    <d v="2025-06-24T00:00:00"/>
    <x v="1"/>
    <s v="000MOBT251758433  REIMB  FOR  PURCHASE OF  WATER  FOR  MASTERCLASS  ADELEGAN_x000a_NIP Transfer from ILORIN INNOVATION H"/>
    <s v="Bank charges"/>
    <x v="1"/>
    <n v="1.8799999952316284"/>
  </r>
  <r>
    <d v="2025-06-24T00:00:00"/>
    <x v="1"/>
    <s v="000MOBT251759864    REIMBURSEMENT    FOR_x000a_RIDE  NIP  Transfer  from  ILORIN  INNOVATION HUB LTD to ONUCHUKWU  SINACHI G"/>
    <s v="Transport and Travel"/>
    <x v="18"/>
    <n v="3600"/>
  </r>
  <r>
    <d v="2025-06-24T00:00:00"/>
    <x v="1"/>
    <s v="000MOBT251759864    REIMBURSEMENT    FOR_x000a_RIDE  NIP  Transfer  from  ILORIN  INNOVATION HUB LTD to ONUCHUKWU  SINACHI G"/>
    <s v="Bank charges"/>
    <x v="1"/>
    <n v="10"/>
  </r>
  <r>
    <d v="2025-06-24T00:00:00"/>
    <x v="1"/>
    <s v="000MOBT251759864    REIMBURSEMENT    FOR_x000a_RIDE  NIP  Transfer  from  ILORIN  INNOVATION HUB LTD to ONUCHUKWU  SINACHI G"/>
    <s v="Bank charges"/>
    <x v="1"/>
    <n v="0.75"/>
  </r>
  <r>
    <d v="2025-06-24T00:00:00"/>
    <x v="1"/>
    <s v="000MOBT251759905           PAYMENT           FOR_x000a_FURNITURE MAINTENANCE NIP Transfer from ILORIN INNOVATION HUB LTD to IBRAHIM A"/>
    <s v="Repairs and maintenance"/>
    <x v="12"/>
    <n v="15000"/>
  </r>
  <r>
    <d v="2025-06-24T00:00:00"/>
    <x v="1"/>
    <s v="000MOBT251759905           PAYMENT           FOR_x000a_FURNITURE MAINTENANCE NIP Transfer from ILORIN INNOVATION HUB LTD to IBRAHIM A"/>
    <s v="Bank charges"/>
    <x v="1"/>
    <n v="25"/>
  </r>
  <r>
    <d v="2025-06-24T00:00:00"/>
    <x v="1"/>
    <s v="000MOBT251759905           PAYMENT           FOR_x000a_FURNITURE MAINTENANCE NIP Transfer from ILORIN INNOVATION HUB LTD to IBRAHIM A"/>
    <s v="Bank charges"/>
    <x v="1"/>
    <n v="1.8799999952316284"/>
  </r>
  <r>
    <d v="2025-06-24T00:00:00"/>
    <x v="1"/>
    <s v="000MOBT25175A0AB   REIMBURSEMENT   FOR_x000a_TOILETRIES   PURCHASE   NIP   Transfer   from ILORIN INNOVATION HUB LTD to ONUCH"/>
    <s v="Stationery and Office Supplies"/>
    <x v="2"/>
    <n v="13600"/>
  </r>
  <r>
    <d v="2025-06-24T00:00:00"/>
    <x v="1"/>
    <s v="000MOBT25175A0AB   REIMBURSEMENT   FOR_x000a_TOILETRIES   PURCHASE   NIP   Transfer   from ILORIN INNOVATION HUB LTD to ONUCH"/>
    <s v="Bank charges"/>
    <x v="1"/>
    <n v="25"/>
  </r>
  <r>
    <d v="2025-06-24T00:00:00"/>
    <x v="1"/>
    <s v="000MOBT25175A0AB   REIMBURSEMENT   FOR_x000a_TOILETRIES   PURCHASE   NIP   Transfer   from ILORIN INNOVATION HUB LTD to ONUCH"/>
    <s v="Bank charges"/>
    <x v="1"/>
    <n v="1.8799999952316284"/>
  </r>
  <r>
    <d v="2025-06-24T00:00:00"/>
    <x v="1"/>
    <s v="000MOBT25175A0FU          PAYMENT          FOR_x000a_PLUMBING  MAINTENANCE  NIP  Transfer from ILORIN INNOVATION HUB LTD to"/>
    <s v="Repairs and maintenance"/>
    <x v="12"/>
    <n v="40000"/>
  </r>
  <r>
    <d v="2025-06-24T00:00:00"/>
    <x v="1"/>
    <s v="000MOBT25175A0FU          PAYMENT          FOR_x000a_PLUMBING  MAINTENANCE  NIP  Transfer from ILORIN INNOVATION HUB LTD to"/>
    <s v="Bank charges"/>
    <x v="1"/>
    <n v="25"/>
  </r>
  <r>
    <d v="2025-06-24T00:00:00"/>
    <x v="1"/>
    <s v="000MOBT25175A0FU          PAYMENT          FOR_x000a_PLUMBING  MAINTENANCE  NIP  Transfer from ILORIN INNOVATION HUB LTD to"/>
    <s v="Bank charges"/>
    <x v="1"/>
    <n v="1.8800000101327896"/>
  </r>
  <r>
    <d v="2025-06-24T00:00:00"/>
    <x v="1"/>
    <s v="000MOBT25175A0HI IHS ADDITIONAL VISITOR_x000a_LUNCH       NIP       Transfer       from       ILORIN INNOVATION HUB LTD to HENRY MGBECHI"/>
    <s v="Guest and entertainment"/>
    <x v="15"/>
    <n v="5800"/>
  </r>
  <r>
    <d v="2025-06-24T00:00:00"/>
    <x v="1"/>
    <s v="000MOBT25175A0HI IHS ADDITIONAL VISITOR_x000a_LUNCH       NIP       Transfer       from       ILORIN INNOVATION HUB LTD to HENRY MGBECHI"/>
    <s v="Bank charges"/>
    <x v="1"/>
    <n v="25"/>
  </r>
  <r>
    <d v="2025-06-24T00:00:00"/>
    <x v="1"/>
    <s v="000MOBT25175A0HI IHS ADDITIONAL VISITOR_x000a_LUNCH       NIP       Transfer       from       ILORIN INNOVATION HUB LTD to HENRY MGBECHI"/>
    <s v="Bank charges"/>
    <x v="1"/>
    <n v="1.8799999952316284"/>
  </r>
  <r>
    <d v="2025-06-25T00:00:00"/>
    <x v="1"/>
    <s v="000MOBT251766406   INITIAL   DEPOSIT   FOR PURCHASE   OF   SOUVENIRS   FOR   CCHUB_x000a_ROADSHOW  NIP Transfer from ILORIN INN"/>
    <s v="Souvenirs"/>
    <x v="19"/>
    <n v="1770000"/>
  </r>
  <r>
    <d v="2025-06-25T00:00:00"/>
    <x v="1"/>
    <s v="000MOBT251766406   INITIAL   DEPOSIT   FOR PURCHASE   OF   SOUVENIRS   FOR   CCHUB_x000a_ROADSHOW  NIP Transfer from ILORIN INN"/>
    <s v="Bank charges"/>
    <x v="1"/>
    <n v="50"/>
  </r>
  <r>
    <d v="2025-06-25T00:00:00"/>
    <x v="1"/>
    <s v="000MOBT251766406   INITIAL   DEPOSIT   FOR PURCHASE   OF   SOUVENIRS   FOR   CCHUB_x000a_ROADSHOW  NIP Transfer from ILORIN INN"/>
    <s v="Bank charges"/>
    <x v="1"/>
    <n v="3.75"/>
  </r>
  <r>
    <d v="2025-06-25T00:00:00"/>
    <x v="1"/>
    <s v="000MOBT251769386     PURCHASE     OF     VIP LOUNGE      HOSPITALITY      SUPPLIES      NIP_x000a_Transfer from ILORIN INNOVATION HUB LTD"/>
    <s v="Stationery and Office Supplies"/>
    <x v="2"/>
    <n v="169000"/>
  </r>
  <r>
    <d v="2025-06-25T00:00:00"/>
    <x v="1"/>
    <s v="000MOBT251769386     PURCHASE     OF     VIP LOUNGE      HOSPITALITY      SUPPLIES      NIP_x000a_Transfer from ILORIN INNOVATION HUB LTD"/>
    <s v="Bank charges"/>
    <x v="1"/>
    <n v="50"/>
  </r>
  <r>
    <d v="2025-06-25T00:00:00"/>
    <x v="1"/>
    <s v="000MOBT251769386     PURCHASE     OF     VIP LOUNGE      HOSPITALITY      SUPPLIES      NIP_x000a_Transfer from ILORIN INNOVATION HUB LTD"/>
    <s v="Bank charges"/>
    <x v="1"/>
    <n v="3.75"/>
  </r>
  <r>
    <d v="2025-06-25T00:00:00"/>
    <x v="1"/>
    <s v="000MOBT251769514 IIH SALARY JUN 2025 NIP_x000a_Transfer  from  ILORIN  INNOVATION  HUB  LTD to TEMILOLUWA OLUWALEKE KO"/>
    <s v="Salaries and Wages"/>
    <x v="7"/>
    <n v="3570659.4399999976"/>
  </r>
  <r>
    <d v="2025-06-25T00:00:00"/>
    <x v="1"/>
    <s v="000MOBT251769514 IIH SALARY JUN 2025 NIP_x000a_Transfer  from  ILORIN  INNOVATION  HUB  LTD to TEMILOLUWA OLUWALEKE KO"/>
    <s v="Bank charges"/>
    <x v="1"/>
    <n v="50"/>
  </r>
  <r>
    <d v="2025-06-25T00:00:00"/>
    <x v="1"/>
    <s v="000MOBT251769514 IIH SALARY JUN 2025 NIP_x000a_Transfer  from  ILORIN  INNOVATION  HUB  LTD to TEMILOLUWA OLUWALEKE KO"/>
    <s v="Bank charges"/>
    <x v="1"/>
    <n v="3.75"/>
  </r>
  <r>
    <d v="2025-06-25T00:00:00"/>
    <x v="1"/>
    <s v="000MOBT251769516 IIH SALARY JUN 2025 NIP_x000a_Transfer  from  ILORIN  INNOVATION  HUB  LTD to KHADIJAT ZUMAH SULYMAN"/>
    <s v="Salaries and Wages"/>
    <x v="7"/>
    <n v="2070487.4800000042"/>
  </r>
  <r>
    <d v="2025-06-25T00:00:00"/>
    <x v="1"/>
    <s v="000MOBT251769516 IIH SALARY JUN 2025 NIP_x000a_Transfer  from  ILORIN  INNOVATION  HUB  LTD to KHADIJAT ZUMAH SULYMAN"/>
    <s v="Bank charges"/>
    <x v="1"/>
    <n v="50"/>
  </r>
  <r>
    <d v="2025-06-25T00:00:00"/>
    <x v="1"/>
    <s v="000MOBT251769516 IIH SALARY JUN 2025 NIP_x000a_Transfer  from  ILORIN  INNOVATION  HUB  LTD to KHADIJAT ZUMAH SULYMAN"/>
    <s v="Bank charges"/>
    <x v="1"/>
    <n v="3.75"/>
  </r>
  <r>
    <d v="2025-06-25T00:00:00"/>
    <x v="1"/>
    <s v="000MOBT251769518 IIH SALARY JUN 2025 NIP_x000a_Transfer  from  ILORIN  INNOVATION  HUB  LTD to MUHAMMED NASIRU MAHMOOD"/>
    <s v="Salaries and Wages"/>
    <x v="7"/>
    <n v="476225"/>
  </r>
  <r>
    <d v="2025-06-25T00:00:00"/>
    <x v="1"/>
    <s v="000MOBT251769518 IIH SALARY JUN 2025 NIP_x000a_Transfer  from  ILORIN  INNOVATION  HUB  LTD to MUHAMMED NASIRU MAHMOOD"/>
    <s v="Bank charges"/>
    <x v="1"/>
    <n v="50"/>
  </r>
  <r>
    <d v="2025-06-25T00:00:00"/>
    <x v="1"/>
    <s v="000MOBT251769518 IIH SALARY JUN 2025 NIP_x000a_Transfer  from  ILORIN  INNOVATION  HUB  LTD to MUHAMMED NASIRU MAHMOOD"/>
    <s v="Bank charges"/>
    <x v="1"/>
    <n v="3.75"/>
  </r>
  <r>
    <d v="2025-06-25T00:00:00"/>
    <x v="1"/>
    <s v="000MOBT251769520 IIH SALARY JUN 2025 NIP_x000a_Transfer  from  ILORIN  INNOVATION  HUB  LTD to OKEY MAUREEN DANIEL"/>
    <s v="Salaries and Wages"/>
    <x v="7"/>
    <n v="284491.56999999285"/>
  </r>
  <r>
    <d v="2025-06-25T00:00:00"/>
    <x v="1"/>
    <s v="000MOBT251769520 IIH SALARY JUN 2025 NIP_x000a_Transfer  from  ILORIN  INNOVATION  HUB  LTD to OKEY MAUREEN DANIEL"/>
    <s v="Bank charges"/>
    <x v="1"/>
    <n v="50"/>
  </r>
  <r>
    <d v="2025-06-25T00:00:00"/>
    <x v="1"/>
    <s v="000MOBT251769520 IIH SALARY JUN 2025 NIP_x000a_Transfer  from  ILORIN  INNOVATION  HUB  LTD to OKEY MAUREEN DANIEL"/>
    <s v="Bank charges"/>
    <x v="1"/>
    <n v="3.75"/>
  </r>
  <r>
    <d v="2025-06-25T00:00:00"/>
    <x v="1"/>
    <s v="000MOBT251769522 IIH SALARY JUN 2025 NIP_x000a_Transfer  from  ILORIN  INNOVATION  HUB  LTD to ONUCHUKWU  SINACHI GOOD"/>
    <s v="Salaries and Wages"/>
    <x v="7"/>
    <n v="284491.57000000775"/>
  </r>
  <r>
    <d v="2025-06-25T00:00:00"/>
    <x v="1"/>
    <s v="000MOBT251769522 IIH SALARY JUN 2025 NIP_x000a_Transfer  from  ILORIN  INNOVATION  HUB  LTD to ONUCHUKWU  SINACHI GOOD"/>
    <s v="Bank charges"/>
    <x v="1"/>
    <n v="50"/>
  </r>
  <r>
    <d v="2025-06-25T00:00:00"/>
    <x v="1"/>
    <s v="000MOBT251769522 IIH SALARY JUN 2025 NIP_x000a_Transfer  from  ILORIN  INNOVATION  HUB  LTD to ONUCHUKWU  SINACHI GOOD"/>
    <s v="Bank charges"/>
    <x v="1"/>
    <n v="3.75"/>
  </r>
  <r>
    <d v="2025-06-25T00:00:00"/>
    <x v="1"/>
    <s v="000MOBT251769525 IIH SALARY JUN 2025 NIP_x000a_Transfer  from  ILORIN  INNOVATION  HUB  LTD to AKANDE OLUWASAYO TEMILO"/>
    <s v="Salaries and Wages"/>
    <x v="7"/>
    <n v="284491.56999999285"/>
  </r>
  <r>
    <d v="2025-06-25T00:00:00"/>
    <x v="1"/>
    <s v="000MOBT251769525 IIH SALARY JUN 2025 NIP_x000a_Transfer  from  ILORIN  INNOVATION  HUB  LTD to AKANDE OLUWASAYO TEMILO"/>
    <s v="Bank charges"/>
    <x v="1"/>
    <n v="50"/>
  </r>
  <r>
    <d v="2025-06-25T00:00:00"/>
    <x v="1"/>
    <s v="000MOBT251769525 IIH SALARY JUN 2025 NIP_x000a_Transfer  from  ILORIN  INNOVATION  HUB  LTD to AKANDE OLUWASAYO TEMILO"/>
    <s v="Bank charges"/>
    <x v="1"/>
    <n v="3.75"/>
  </r>
  <r>
    <d v="2025-06-25T00:00:00"/>
    <x v="1"/>
    <s v="000MOBT251769526 IIH SALARY JUN 2025 NIP_x000a_Transfer  from  ILORIN  INNOVATION  HUB  LTD to HENRY MGBECHI CHUKWUEBU"/>
    <s v="Salaries and Wages"/>
    <x v="7"/>
    <n v="284491.57000000775"/>
  </r>
  <r>
    <d v="2025-06-25T00:00:00"/>
    <x v="1"/>
    <s v="000MOBT251769526 IIH SALARY JUN 2025 NIP_x000a_Transfer  from  ILORIN  INNOVATION  HUB  LTD to HENRY MGBECHI CHUKWUEBU"/>
    <s v="Bank charges"/>
    <x v="1"/>
    <n v="50"/>
  </r>
  <r>
    <d v="2025-06-25T00:00:00"/>
    <x v="1"/>
    <s v="000MOBT251769526 IIH SALARY JUN 2025 NIP_x000a_Transfer  from  ILORIN  INNOVATION  HUB  LTD to HENRY MGBECHI CHUKWUEBU"/>
    <s v="Bank charges"/>
    <x v="1"/>
    <n v="3.75"/>
  </r>
  <r>
    <d v="2025-06-25T00:00:00"/>
    <x v="1"/>
    <s v="000MOBT251769531 IIH SALARY JUN 2025 NIP_x000a_Transfer  from  ILORIN  INNOVATION  HUB  LTD to OLUWADAMILARE EMMANUEL"/>
    <s v="Salaries and Wages"/>
    <x v="7"/>
    <n v="284491.56999999285"/>
  </r>
  <r>
    <d v="2025-06-25T00:00:00"/>
    <x v="1"/>
    <s v="000MOBT251769531 IIH SALARY JUN 2025 NIP_x000a_Transfer  from  ILORIN  INNOVATION  HUB  LTD to OLUWADAMILARE EMMANUEL"/>
    <s v="Bank charges"/>
    <x v="1"/>
    <n v="50"/>
  </r>
  <r>
    <d v="2025-06-25T00:00:00"/>
    <x v="1"/>
    <s v="000MOBT251769531 IIH SALARY JUN 2025 NIP_x000a_Transfer  from  ILORIN  INNOVATION  HUB  LTD to OLUWADAMILARE EMMANUEL"/>
    <s v="Bank charges"/>
    <x v="1"/>
    <n v="3.75"/>
  </r>
  <r>
    <d v="2025-06-25T00:00:00"/>
    <x v="1"/>
    <s v="000MOBT251769535 IIH SALARY JUN 2025 NIP_x000a_Transfer  from  ILORIN  INNOVATION  HUB  LTD to AHMAD FARIDAT OLUWATOSI"/>
    <s v="Salaries and Wages"/>
    <x v="7"/>
    <n v="284491.57000000775"/>
  </r>
  <r>
    <d v="2025-06-25T00:00:00"/>
    <x v="1"/>
    <s v="000MOBT251769535 IIH SALARY JUN 2025 NIP_x000a_Transfer  from  ILORIN  INNOVATION  HUB  LTD to AHMAD FARIDAT OLUWATOSI"/>
    <s v="Bank charges"/>
    <x v="1"/>
    <n v="50"/>
  </r>
  <r>
    <d v="2025-06-25T00:00:00"/>
    <x v="1"/>
    <s v="000MOBT251769535 IIH SALARY JUN 2025 NIP_x000a_Transfer  from  ILORIN  INNOVATION  HUB  LTD to AHMAD FARIDAT OLUWATOSI"/>
    <s v="Bank charges"/>
    <x v="1"/>
    <n v="3.75"/>
  </r>
  <r>
    <d v="2025-06-25T00:00:00"/>
    <x v="1"/>
    <s v="000MOBT251769537 IIH SALARY JUN 2025 NIP_x000a_Transfer  from  ILORIN  INNOVATION  HUB  LTD to YUSUF DOLAPO ABDULRAMAN"/>
    <s v="Salaries and Wages"/>
    <x v="7"/>
    <n v="284491.56999999285"/>
  </r>
  <r>
    <d v="2025-06-25T00:00:00"/>
    <x v="1"/>
    <s v="000MOBT251769537 IIH SALARY JUN 2025 NIP_x000a_Transfer  from  ILORIN  INNOVATION  HUB  LTD to YUSUF DOLAPO ABDULRAMAN"/>
    <s v="Bank charges"/>
    <x v="1"/>
    <n v="50"/>
  </r>
  <r>
    <d v="2025-06-25T00:00:00"/>
    <x v="1"/>
    <s v="000MOBT251769537 IIH SALARY JUN 2025 NIP_x000a_Transfer  from  ILORIN  INNOVATION  HUB  LTD to YUSUF DOLAPO ABDULRAMAN"/>
    <s v="Bank charges"/>
    <x v="1"/>
    <n v="3.75"/>
  </r>
  <r>
    <d v="2025-06-25T00:00:00"/>
    <x v="1"/>
    <s v="000MOBT251769543 IIH SALARY JUN 2025 NIP_x000a_Transfer  from  ILORIN  INNOVATION  HUB  LTD to JAMIU ADEBOLA OLADIPO"/>
    <s v="Salaries and Wages"/>
    <x v="7"/>
    <n v="152226.67000000179"/>
  </r>
  <r>
    <d v="2025-06-25T00:00:00"/>
    <x v="1"/>
    <s v="000MOBT251769543 IIH SALARY JUN 2025 NIP_x000a_Transfer  from  ILORIN  INNOVATION  HUB  LTD to JAMIU ADEBOLA OLADIPO"/>
    <s v="Bank charges"/>
    <x v="1"/>
    <n v="50"/>
  </r>
  <r>
    <d v="2025-06-25T00:00:00"/>
    <x v="1"/>
    <s v="000MOBT251769543 IIH SALARY JUN 2025 NIP_x000a_Transfer  from  ILORIN  INNOVATION  HUB  LTD to JAMIU ADEBOLA OLADIPO"/>
    <s v="Bank charges"/>
    <x v="1"/>
    <n v="3.75"/>
  </r>
  <r>
    <d v="2025-06-25T00:00:00"/>
    <x v="1"/>
    <s v="000MOBT251769544 IIH SALARY JUN 2025 NIP_x000a_Transfer  from  ILORIN  INNOVATION  HUB  LTD to AMIDAT OLUWATOSIN OLALE"/>
    <s v="Salaries and Wages"/>
    <x v="7"/>
    <n v="284491.57000000775"/>
  </r>
  <r>
    <d v="2025-06-25T00:00:00"/>
    <x v="1"/>
    <s v="000MOBT251769544 IIH SALARY JUN 2025 NIP_x000a_Transfer  from  ILORIN  INNOVATION  HUB  LTD to AMIDAT OLUWATOSIN OLALE"/>
    <s v="Bank charges"/>
    <x v="1"/>
    <n v="50"/>
  </r>
  <r>
    <d v="2025-06-25T00:00:00"/>
    <x v="1"/>
    <s v="000MOBT251769544 IIH SALARY JUN 2025 NIP_x000a_Transfer  from  ILORIN  INNOVATION  HUB  LTD to AMIDAT OLUWATOSIN OLALE"/>
    <s v="Bank charges"/>
    <x v="1"/>
    <n v="3.75"/>
  </r>
  <r>
    <d v="2025-06-25T00:00:00"/>
    <x v="1"/>
    <s v="000MOBT251769545 IIH SALARY JUN 2025 NIP_x000a_Transfer  from  ILORIN  INNOVATION  HUB  LTD to MUINAT OYINKANSOLA BELL"/>
    <s v="Salaries and Wages"/>
    <x v="7"/>
    <n v="152194.92999999225"/>
  </r>
  <r>
    <d v="2025-06-25T00:00:00"/>
    <x v="1"/>
    <s v="000MOBT251769545 IIH SALARY JUN 2025 NIP_x000a_Transfer  from  ILORIN  INNOVATION  HUB  LTD to MUINAT OYINKANSOLA BELL"/>
    <s v="Bank charges"/>
    <x v="1"/>
    <n v="50"/>
  </r>
  <r>
    <d v="2025-06-25T00:00:00"/>
    <x v="1"/>
    <s v="000MOBT251769545 IIH SALARY JUN 2025 NIP_x000a_Transfer  from  ILORIN  INNOVATION  HUB  LTD to MUINAT OYINKANSOLA BELL"/>
    <s v="Bank charges"/>
    <x v="1"/>
    <n v="3.75"/>
  </r>
  <r>
    <d v="2025-06-25T00:00:00"/>
    <x v="1"/>
    <s v="000MOBT251769547 IIH SALARY JUN 2025 NIP_x000a_Transfer  from  ILORIN  INNOVATION  HUB  LTD to KAMIL LANRE AHMED"/>
    <s v="Salaries and Wages"/>
    <x v="7"/>
    <n v="284491.57000000775"/>
  </r>
  <r>
    <d v="2025-06-25T00:00:00"/>
    <x v="1"/>
    <s v="000MOBT251769547 IIH SALARY JUN 2025 NIP_x000a_Transfer  from  ILORIN  INNOVATION  HUB  LTD to KAMIL LANRE AHMED"/>
    <s v="Bank charges"/>
    <x v="1"/>
    <n v="50"/>
  </r>
  <r>
    <d v="2025-06-25T00:00:00"/>
    <x v="1"/>
    <s v="000MOBT251769547 IIH SALARY JUN 2025 NIP_x000a_Transfer  from  ILORIN  INNOVATION  HUB  LTD to KAMIL LANRE AHMED"/>
    <s v="Bank charges"/>
    <x v="1"/>
    <n v="3.75"/>
  </r>
  <r>
    <d v="2025-06-25T00:00:00"/>
    <x v="1"/>
    <s v="000MOBT251769553 IIH SALARY JUN 2025 NIP_x000a_Transfer  from  ILORIN  INNOVATION  HUB  LTD to SULYMAN YUSUF ALAO"/>
    <s v="Salaries and Wages"/>
    <x v="7"/>
    <n v="152194.92999999225"/>
  </r>
  <r>
    <d v="2025-06-25T00:00:00"/>
    <x v="1"/>
    <s v="000MOBT251769553 IIH SALARY JUN 2025 NIP_x000a_Transfer  from  ILORIN  INNOVATION  HUB  LTD to SULYMAN YUSUF ALAO"/>
    <s v="Bank charges"/>
    <x v="1"/>
    <n v="50"/>
  </r>
  <r>
    <d v="2025-06-25T00:00:00"/>
    <x v="1"/>
    <s v="000MOBT251769553 IIH SALARY JUN 2025 NIP_x000a_Transfer  from  ILORIN  INNOVATION  HUB  LTD to SULYMAN YUSUF ALAO"/>
    <s v="Bank charges"/>
    <x v="1"/>
    <n v="3.75"/>
  </r>
  <r>
    <d v="2025-06-25T00:00:00"/>
    <x v="1"/>
    <s v="000MOBT251769555 IIH SALARY JUN 2025 NIP_x000a_Transfer  from  ILORIN  INNOVATION  HUB  LTD to OLALEYE KAYODE"/>
    <s v="Salaries and Wages"/>
    <x v="7"/>
    <n v="152194.93000000715"/>
  </r>
  <r>
    <d v="2025-06-25T00:00:00"/>
    <x v="1"/>
    <s v="000MOBT251769555 IIH SALARY JUN 2025 NIP_x000a_Transfer  from  ILORIN  INNOVATION  HUB  LTD to OLALEYE KAYODE"/>
    <s v="Bank charges"/>
    <x v="1"/>
    <n v="50"/>
  </r>
  <r>
    <d v="2025-06-25T00:00:00"/>
    <x v="1"/>
    <s v="000MOBT251769555 IIH SALARY JUN 2025 NIP_x000a_Transfer  from  ILORIN  INNOVATION  HUB  LTD to OLALEYE KAYODE"/>
    <s v="Bank charges"/>
    <x v="1"/>
    <n v="3.75"/>
  </r>
  <r>
    <d v="2025-06-25T00:00:00"/>
    <x v="1"/>
    <s v="000MOBT251769557 IIH SALARY JUN 2025 NIP_x000a_Transfer  from  ILORIN  INNOVATION  HUB  LTD to AYORINDE OLAMIDE OPEMIP"/>
    <s v="Salaries and Wages"/>
    <x v="7"/>
    <n v="75000"/>
  </r>
  <r>
    <d v="2025-06-25T00:00:00"/>
    <x v="1"/>
    <s v="000MOBT251769557 IIH SALARY JUN 2025 NIP_x000a_Transfer  from  ILORIN  INNOVATION  HUB  LTD to AYORINDE OLAMIDE OPEMIP"/>
    <s v="Bank charges"/>
    <x v="1"/>
    <n v="50"/>
  </r>
  <r>
    <d v="2025-06-25T00:00:00"/>
    <x v="1"/>
    <s v="000MOBT251769557 IIH SALARY JUN 2025 NIP_x000a_Transfer  from  ILORIN  INNOVATION  HUB  LTD to AYORINDE OLAMIDE OPEMIP"/>
    <s v="Bank charges"/>
    <x v="1"/>
    <n v="3.75"/>
  </r>
  <r>
    <d v="2025-06-25T00:00:00"/>
    <x v="1"/>
    <s v="000MOBT251769563 IIH SALARY JUN 2025 NIP_x000a_Transfer  from  ILORIN  INNOVATION  HUB  LTD to OKOLIE  OGOCHUKWUKA BEN"/>
    <s v="Salaries and Wages"/>
    <x v="7"/>
    <n v="75000"/>
  </r>
  <r>
    <d v="2025-06-25T00:00:00"/>
    <x v="1"/>
    <s v="000MOBT251769563 IIH SALARY JUN 2025 NIP_x000a_Transfer  from  ILORIN  INNOVATION  HUB  LTD to OKOLIE  OGOCHUKWUKA BEN"/>
    <s v="Bank charges"/>
    <x v="1"/>
    <n v="50"/>
  </r>
  <r>
    <d v="2025-06-25T00:00:00"/>
    <x v="1"/>
    <s v="000MOBT251769563 IIH SALARY JUN 2025 NIP_x000a_Transfer  from  ILORIN  INNOVATION  HUB  LTD to OKOLIE  OGOCHUKWUKA BEN"/>
    <s v="Bank charges"/>
    <x v="1"/>
    <n v="3.75"/>
  </r>
  <r>
    <d v="2025-06-25T00:00:00"/>
    <x v="1"/>
    <s v="000MOBT251769568 IIH SALARY JUN 2025 NIP_x000a_Transfer  from  ILORIN  INNOVATION  HUB  LTD to OWARE JOAN"/>
    <s v="Salaries and Wages"/>
    <x v="7"/>
    <n v="75000"/>
  </r>
  <r>
    <d v="2025-06-25T00:00:00"/>
    <x v="1"/>
    <s v="000MOBT251769568 IIH SALARY JUN 2025 NIP_x000a_Transfer  from  ILORIN  INNOVATION  HUB  LTD to OWARE JOAN"/>
    <s v="Bank charges"/>
    <x v="1"/>
    <n v="50"/>
  </r>
  <r>
    <d v="2025-06-25T00:00:00"/>
    <x v="1"/>
    <s v="000MOBT251769568 IIH SALARY JUN 2025 NIP_x000a_Transfer  from  ILORIN  INNOVATION  HUB  LTD to OWARE JOAN"/>
    <s v="Bank charges"/>
    <x v="1"/>
    <n v="3.75"/>
  </r>
  <r>
    <d v="2025-06-25T00:00:00"/>
    <x v="1"/>
    <s v="000MOBT251769576 IIH SALARY JUN 2025 NIP_x000a_Transfer  from  ILORIN  INNOVATION  HUB  LTD to ABDULHAMEED BOLAJI MUST"/>
    <s v="Salaries and Wages"/>
    <x v="7"/>
    <n v="66000"/>
  </r>
  <r>
    <d v="2025-06-25T00:00:00"/>
    <x v="1"/>
    <s v="000MOBT251769576 IIH SALARY JUN 2025 NIP_x000a_Transfer  from  ILORIN  INNOVATION  HUB  LTD to ABDULHAMEED BOLAJI MUST"/>
    <s v="Bank charges"/>
    <x v="1"/>
    <n v="50"/>
  </r>
  <r>
    <d v="2025-06-25T00:00:00"/>
    <x v="1"/>
    <s v="000MOBT251769576 IIH SALARY JUN 2025 NIP_x000a_Transfer  from  ILORIN  INNOVATION  HUB  LTD to ABDULHAMEED BOLAJI MUST"/>
    <s v="Bank charges"/>
    <x v="1"/>
    <n v="3.75"/>
  </r>
  <r>
    <d v="2025-06-25T00:00:00"/>
    <x v="1"/>
    <s v="000MOBT251769581 IIH SALARY JUN 2025 NIP_x000a_Transfer  from  ILORIN  INNOVATION  HUB  LTD to ABDULRASAQ   ABDULRASAQ"/>
    <s v="Salaries and Wages"/>
    <x v="7"/>
    <n v="66000"/>
  </r>
  <r>
    <d v="2025-06-25T00:00:00"/>
    <x v="1"/>
    <s v="000MOBT251769581 IIH SALARY JUN 2025 NIP_x000a_Transfer  from  ILORIN  INNOVATION  HUB  LTD to ABDULRASAQ   ABDULRASAQ"/>
    <s v="Bank charges"/>
    <x v="1"/>
    <n v="50"/>
  </r>
  <r>
    <d v="2025-06-25T00:00:00"/>
    <x v="1"/>
    <s v="000MOBT251769581 IIH SALARY JUN 2025 NIP_x000a_Transfer  from  ILORIN  INNOVATION  HUB  LTD to ABDULRASAQ   ABDULRASAQ"/>
    <s v="Bank charges"/>
    <x v="1"/>
    <n v="3.75"/>
  </r>
  <r>
    <d v="2025-06-25T00:00:00"/>
    <x v="1"/>
    <s v="000MOBT251769584 IIH SALARY JUN 2025 NIP_x000a_Transfer  from  ILORIN  INNOVATION  HUB  LTD to SAMUEL STEVEN ARISE"/>
    <s v="Salaries and Wages"/>
    <x v="7"/>
    <n v="66000"/>
  </r>
  <r>
    <d v="2025-06-25T00:00:00"/>
    <x v="1"/>
    <s v="000MOBT251769584 IIH SALARY JUN 2025 NIP_x000a_Transfer  from  ILORIN  INNOVATION  HUB  LTD to SAMUEL STEVEN ARISE"/>
    <s v="Bank charges"/>
    <x v="1"/>
    <n v="50"/>
  </r>
  <r>
    <d v="2025-06-25T00:00:00"/>
    <x v="1"/>
    <s v="000MOBT251769584 IIH SALARY JUN 2025 NIP_x000a_Transfer  from  ILORIN  INNOVATION  HUB  LTD to SAMUEL STEVEN ARISE"/>
    <s v="Bank charges"/>
    <x v="1"/>
    <n v="3.75"/>
  </r>
  <r>
    <d v="2025-06-25T00:00:00"/>
    <x v="1"/>
    <s v="000MOBT251769586 IIH SALARY JUN 2025 NIP_x000a_Transfer  from  ILORIN  INNOVATION  HUB  LTD to ABDULKHALEED EYITAYO AL"/>
    <s v="Salaries and Wages"/>
    <x v="7"/>
    <n v="66000"/>
  </r>
  <r>
    <d v="2025-06-25T00:00:00"/>
    <x v="1"/>
    <s v="000MOBT251769586 IIH SALARY JUN 2025 NIP_x000a_Transfer  from  ILORIN  INNOVATION  HUB  LTD to ABDULKHALEED EYITAYO AL"/>
    <s v="Bank charges"/>
    <x v="1"/>
    <n v="50"/>
  </r>
  <r>
    <d v="2025-06-25T00:00:00"/>
    <x v="1"/>
    <s v="000MOBT251769586 IIH SALARY JUN 2025 NIP_x000a_Transfer  from  ILORIN  INNOVATION  HUB  LTD to ABDULKHALEED EYITAYO AL"/>
    <s v="Bank charges"/>
    <x v="1"/>
    <n v="3.75"/>
  </r>
  <r>
    <d v="2025-06-25T00:00:00"/>
    <x v="1"/>
    <s v="000MOBT251769587 IIH SALARY JUN 2025 NIP_x000a_Transfer  from  ILORIN  INNOVATION  HUB  LTD to SHEIDU  AL FAID OSIFOMO"/>
    <s v="Salaries and Wages"/>
    <x v="7"/>
    <n v="66000"/>
  </r>
  <r>
    <d v="2025-06-25T00:00:00"/>
    <x v="1"/>
    <s v="000MOBT251769587 IIH SALARY JUN 2025 NIP_x000a_Transfer  from  ILORIN  INNOVATION  HUB  LTD to SHEIDU  AL FAID OSIFOMO"/>
    <s v="Bank charges"/>
    <x v="1"/>
    <n v="50"/>
  </r>
  <r>
    <d v="2025-06-25T00:00:00"/>
    <x v="1"/>
    <s v="000MOBT251769587 IIH SALARY JUN 2025 NIP_x000a_Transfer  from  ILORIN  INNOVATION  HUB  LTD to SHEIDU  AL FAID OSIFOMO"/>
    <s v="Bank charges"/>
    <x v="1"/>
    <n v="3.75"/>
  </r>
  <r>
    <d v="2025-06-25T00:00:00"/>
    <x v="1"/>
    <s v="000MOBT251769595 IIH SALARY JUN 2025 NIP_x000a_Transfer  from  ILORIN  INNOVATION  HUB  LTD to HAPPINESS  SAMUEL"/>
    <s v="Salaries and Wages"/>
    <x v="7"/>
    <n v="66000"/>
  </r>
  <r>
    <d v="2025-06-25T00:00:00"/>
    <x v="1"/>
    <s v="000MOBT251769595 IIH SALARY JUN 2025 NIP_x000a_Transfer  from  ILORIN  INNOVATION  HUB  LTD to HAPPINESS  SAMUEL"/>
    <s v="Bank charges"/>
    <x v="1"/>
    <n v="50"/>
  </r>
  <r>
    <d v="2025-06-25T00:00:00"/>
    <x v="1"/>
    <s v="000MOBT251769595 IIH SALARY JUN 2025 NIP_x000a_Transfer  from  ILORIN  INNOVATION  HUB  LTD to HAPPINESS  SAMUEL"/>
    <s v="Bank charges"/>
    <x v="1"/>
    <n v="3.75"/>
  </r>
  <r>
    <d v="2025-06-25T00:00:00"/>
    <x v="1"/>
    <s v="000MOBT251769595 IIH SALARY JUN 2025 NIP_x000a_Transfer  from  ILORIN  INNOVATION  HUB  LTD to HAPPINESS  SAMUEL"/>
    <s v="Salaries and Wages"/>
    <x v="7"/>
    <n v="-66000"/>
  </r>
  <r>
    <d v="2025-06-25T00:00:00"/>
    <x v="1"/>
    <s v="000MOBT251769595 IIH SALARY JUN 2025 NIP_x000a_Transfer  from  ILORIN  INNOVATION  HUB  LTD to HAPPINESS  SAMUEL"/>
    <s v="Bank charges"/>
    <x v="1"/>
    <n v="-50"/>
  </r>
  <r>
    <d v="2025-06-25T00:00:00"/>
    <x v="1"/>
    <s v="000MOBT251769595 IIH SALARY JUN 2025 NIP_x000a_Transfer  from  ILORIN  INNOVATION  HUB  LTD to HAPPINESS  SAMUEL"/>
    <s v="Bank charges"/>
    <x v="1"/>
    <n v="-3.75"/>
  </r>
  <r>
    <d v="2025-06-27T00:00:00"/>
    <x v="1"/>
    <s v="000MOBT251788098    NSITF    REGISTRATION_x000a_FEE    REMITA    NIP    Transfer    from    ILORIN INNOVATION HUB LTD to Remita Checko"/>
    <s v="Other Expenses"/>
    <x v="4"/>
    <n v="20161.25"/>
  </r>
  <r>
    <d v="2025-06-27T00:00:00"/>
    <x v="1"/>
    <s v="000MOBT251788098    NSITF    REGISTRATION_x000a_FEE    REMITA    NIP    Transfer    from    ILORIN INNOVATION HUB LTD to Remita Checko"/>
    <s v="Bank charges"/>
    <x v="1"/>
    <n v="25"/>
  </r>
  <r>
    <d v="2025-06-27T00:00:00"/>
    <x v="1"/>
    <s v="000MOBT251788098    NSITF    REGISTRATION_x000a_FEE    REMITA    NIP    Transfer    from    ILORIN INNOVATION HUB LTD to Remita Checko"/>
    <s v="Bank charges"/>
    <x v="1"/>
    <n v="1.8799999952316284"/>
  </r>
  <r>
    <d v="2025-06-27T00:00:00"/>
    <x v="1"/>
    <s v="000MOBT251789399  IIH  STIPEND  JUNE  2025_x000a_NIP  Transfer  from  ILORIN  INNOVATION  HUB LTD to HAPPINESS  SAMUEL"/>
    <s v="Stationery and Office Supplies"/>
    <x v="2"/>
    <n v="66000"/>
  </r>
  <r>
    <d v="2025-06-27T00:00:00"/>
    <x v="1"/>
    <s v="000MOBT251789399  IIH  STIPEND  JUNE  2025_x000a_NIP  Transfer  from  ILORIN  INNOVATION  HUB LTD to HAPPINESS  SAMUEL"/>
    <s v="Bank charges"/>
    <x v="1"/>
    <n v="50"/>
  </r>
  <r>
    <d v="2025-06-27T00:00:00"/>
    <x v="1"/>
    <s v="000MOBT251789399  IIH  STIPEND  JUNE  2025_x000a_NIP  Transfer  from  ILORIN  INNOVATION  HUB LTD to HAPPINESS  SAMUEL"/>
    <s v="Bank charges"/>
    <x v="1"/>
    <n v="3.75"/>
  </r>
  <r>
    <d v="2025-06-27T00:00:00"/>
    <x v="1"/>
    <s v="000MOBT251789463  IIH  STIPEND  JUNE  2025_x000a_NIP  Transfer  from  ILORIN  INNOVATION  HUB LTD to AOFIOLUJUWON MIRIAM D"/>
    <s v="Stationery and Office Supplies"/>
    <x v="2"/>
    <n v="66000"/>
  </r>
  <r>
    <d v="2025-06-27T00:00:00"/>
    <x v="1"/>
    <s v="000MOBT251789463  IIH  STIPEND  JUNE  2025_x000a_NIP  Transfer  from  ILORIN  INNOVATION  HUB LTD to AOFIOLUJUWON MIRIAM D"/>
    <s v="Bank charges"/>
    <x v="1"/>
    <n v="50"/>
  </r>
  <r>
    <d v="2025-06-27T00:00:00"/>
    <x v="1"/>
    <s v="000MOBT251789463  IIH  STIPEND  JUNE  2025_x000a_NIP  Transfer  from  ILORIN  INNOVATION  HUB LTD to AOFIOLUJUWON MIRIAM D"/>
    <s v="Bank charges"/>
    <x v="1"/>
    <n v="3.75"/>
  </r>
  <r>
    <d v="2025-06-27T00:00:00"/>
    <x v="1"/>
    <s v="000MOBT251789530  PURCHASE  OF  WALKIE_x000a_TALKIE   GAMING  ITEMS  NIP  Transfer  from ILORIN INNOVATION HUB LTD to Kon"/>
    <s v="security"/>
    <x v="14"/>
    <n v="619300"/>
  </r>
  <r>
    <d v="2025-06-27T00:00:00"/>
    <x v="1"/>
    <s v="000MOBT251789530  PURCHASE  OF  WALKIE_x000a_TALKIE   GAMING  ITEMS  NIP  Transfer  from ILORIN INNOVATION HUB LTD to Kon"/>
    <s v="Bank charges"/>
    <x v="1"/>
    <n v="50"/>
  </r>
  <r>
    <d v="2025-06-27T00:00:00"/>
    <x v="1"/>
    <s v="000MOBT251789530  PURCHASE  OF  WALKIE_x000a_TALKIE   GAMING  ITEMS  NIP  Transfer  from ILORIN INNOVATION HUB LTD to Kon"/>
    <s v="Bank charges"/>
    <x v="1"/>
    <n v="3.75"/>
  </r>
  <r>
    <d v="2025-06-27T00:00:00"/>
    <x v="1"/>
    <s v="000MOBT25178A04Q   LUNCH   FOR   INTERNS_x000a_NIP  Transfer  from  ILORIN  INNOVATION  HUB LTD to AKINVEST INTEGRATED ENTER"/>
    <s v="Guest and entertainment"/>
    <x v="13"/>
    <n v="17000"/>
  </r>
  <r>
    <d v="2025-06-27T00:00:00"/>
    <x v="1"/>
    <s v="000MOBT25178A04Q   LUNCH   FOR   INTERNS_x000a_NIP  Transfer  from  ILORIN  INNOVATION  HUB LTD to AKINVEST INTEGRATED ENTER"/>
    <s v="Bank charges"/>
    <x v="1"/>
    <n v="25"/>
  </r>
  <r>
    <d v="2025-06-27T00:00:00"/>
    <x v="1"/>
    <s v="000MOBT25178A04Q   LUNCH   FOR   INTERNS_x000a_NIP  Transfer  from  ILORIN  INNOVATION  HUB LTD to AKINVEST INTEGRATED ENTER"/>
    <s v="Bank charges"/>
    <x v="1"/>
    <n v="1.8799999952316284"/>
  </r>
  <r>
    <d v="2025-06-27T00:00:00"/>
    <x v="1"/>
    <s v="000MOBT25178A0G1   SPILLOVER   SECURITY_x000a_SERVICES     NIP     Transfer     from     ILORIN INNOVATION HUB LTD to SHCM INTEGRATED"/>
    <s v="security"/>
    <x v="14"/>
    <n v="250000"/>
  </r>
  <r>
    <d v="2025-06-27T00:00:00"/>
    <x v="1"/>
    <s v="000MOBT25178A0G1   SPILLOVER   SECURITY_x000a_SERVICES     NIP     Transfer     from     ILORIN INNOVATION HUB LTD to SHCM INTEGRATED"/>
    <s v="Bank charges"/>
    <x v="1"/>
    <n v="50"/>
  </r>
  <r>
    <d v="2025-06-27T00:00:00"/>
    <x v="1"/>
    <s v="000MOBT25178A0G1   SPILLOVER   SECURITY_x000a_SERVICES     NIP     Transfer     from     ILORIN INNOVATION HUB LTD to SHCM INTEGRATED"/>
    <s v="Bank charges"/>
    <x v="1"/>
    <n v="3.75"/>
  </r>
  <r>
    <d v="2025-06-27T00:00:00"/>
    <x v="1"/>
    <s v="000MOBT25178A0PD   PURCHASE   OF   GATE_x000a_PADLOCK   AND   KEYS   NIP   Transfer   from ILORIN INNOVATION HUB LTD to POS Trans"/>
    <s v="Stationery and Office Supplies"/>
    <x v="2"/>
    <n v="32500"/>
  </r>
  <r>
    <d v="2025-06-27T00:00:00"/>
    <x v="1"/>
    <s v="000MOBT25178A0PD   PURCHASE   OF   GATE_x000a_PADLOCK   AND   KEYS   NIP   Transfer   from ILORIN INNOVATION HUB LTD to POS Trans"/>
    <s v="Bank charges"/>
    <x v="1"/>
    <n v="25"/>
  </r>
  <r>
    <d v="2025-06-27T00:00:00"/>
    <x v="1"/>
    <s v="000MOBT25178A0PD   PURCHASE   OF   GATE_x000a_PADLOCK   AND   KEYS   NIP   Transfer   from ILORIN INNOVATION HUB LTD to POS Trans"/>
    <s v="Bank charges"/>
    <x v="1"/>
    <n v="1.8800000101327896"/>
  </r>
  <r>
    <d v="2025-06-30T00:00:00"/>
    <x v="1"/>
    <s v="000MOBT25181A04I  INDOOR  AND  OUTDOOR_x000a_FUMIGATION   SERVICE   NIP   Transfer   from ILORIN INNOVATION HUB LTD to BENET"/>
    <s v="Repairs and maintenance"/>
    <x v="12"/>
    <n v="550000"/>
  </r>
  <r>
    <d v="2025-06-30T00:00:00"/>
    <x v="1"/>
    <s v="000MOBT25181A04I  INDOOR  AND  OUTDOOR_x000a_FUMIGATION   SERVICE   NIP   Transfer   from ILORIN INNOVATION HUB LTD to BENET"/>
    <s v="Bank charges"/>
    <x v="1"/>
    <n v="50"/>
  </r>
  <r>
    <d v="2025-06-30T00:00:00"/>
    <x v="1"/>
    <s v="000MOBT25181A04I  INDOOR  AND  OUTDOOR_x000a_FUMIGATION   SERVICE   NIP   Transfer   from ILORIN INNOVATION HUB LTD to BENET"/>
    <s v="Bank charges"/>
    <x v="1"/>
    <n v="3.75"/>
  </r>
  <r>
    <d v="2025-06-30T00:00:00"/>
    <x v="1"/>
    <s v="000MOBT25181A08C          PAYMENT          FOR_x000a_PLUMBING    SERVICES    NIP    Transfer    from ILORIN INNOVATION HUB LTD to"/>
    <s v="Repairs and maintenance"/>
    <x v="12"/>
    <n v="15000"/>
  </r>
  <r>
    <d v="2025-06-30T00:00:00"/>
    <x v="1"/>
    <s v="000MOBT25181A08C          PAYMENT          FOR_x000a_PLUMBING    SERVICES    NIP    Transfer    from ILORIN INNOVATION HUB LTD to"/>
    <s v="Bank charges"/>
    <x v="1"/>
    <n v="25"/>
  </r>
  <r>
    <d v="2025-06-30T00:00:00"/>
    <x v="1"/>
    <s v="000MOBT25181A08C          PAYMENT          FOR_x000a_PLUMBING    SERVICES    NIP    Transfer    from ILORIN INNOVATION HUB LTD to"/>
    <s v="Bank charges"/>
    <x v="1"/>
    <n v="1.8799999952316284"/>
  </r>
  <r>
    <d v="2025-06-30T00:00:00"/>
    <x v="1"/>
    <s v="000MOBT25181ABR4          PURCHASE          OF ADDITIONAL      SOUND      EQUIPMENT      NIP_x000a_Transfer from ILORIN INNOVATION HUB LTD"/>
    <s v="Purchase of equipment"/>
    <x v="16"/>
    <n v="370000"/>
  </r>
  <r>
    <d v="2025-06-30T00:00:00"/>
    <x v="1"/>
    <s v="000MOBT25181ABR4          PURCHASE          OF ADDITIONAL      SOUND      EQUIPMENT      NIP_x000a_Transfer from ILORIN INNOVATION HUB LTD"/>
    <s v="Bank charges"/>
    <x v="1"/>
    <n v="50"/>
  </r>
  <r>
    <d v="2025-06-30T00:00:00"/>
    <x v="1"/>
    <s v="000MOBT25181ABR4          PURCHASE          OF ADDITIONAL      SOUND      EQUIPMENT      NIP_x000a_Transfer from ILORIN INNOVATION HUB LTD"/>
    <s v="Bank charges"/>
    <x v="1"/>
    <n v="3.75"/>
  </r>
  <r>
    <d v="2025-06-30T00:00:00"/>
    <x v="1"/>
    <s v="000MOBT25181ACFR     NSITF     JUNE     2025_x000a_CONTRIB      NIP      Transfer      from      ILORIN INNOVATION HUB LTD to Remita Checkout"/>
    <s v="Salaries and Wages"/>
    <x v="7"/>
    <n v="119811.25"/>
  </r>
  <r>
    <d v="2025-06-30T00:00:00"/>
    <x v="1"/>
    <s v="000MOBT25181ACFR     NSITF     JUNE     2025_x000a_CONTRIB      NIP      Transfer      from      ILORIN INNOVATION HUB LTD to Remita Checkout"/>
    <s v="Bank charges"/>
    <x v="1"/>
    <n v="50"/>
  </r>
  <r>
    <d v="2025-06-30T00:00:00"/>
    <x v="1"/>
    <s v="000MOBT25181ACFR     NSITF     JUNE     2025_x000a_CONTRIB      NIP      Transfer      from      ILORIN INNOVATION HUB LTD to Remita Checkout"/>
    <s v="Bank charges"/>
    <x v="1"/>
    <n v="3.75"/>
  </r>
  <r>
    <d v="2025-06-30T00:00:00"/>
    <x v="1"/>
    <s v="016AMFC251810009                             ACCOUNT MAINTENANCE FEE"/>
    <s v="Bank charges"/>
    <x v="1"/>
    <n v="200"/>
  </r>
  <r>
    <d v="2025-06-30T00:00:00"/>
    <x v="1"/>
    <s v="016AMFV251810009   VAT   ON  TRANSACTION CHARGES"/>
    <s v="Bank charges"/>
    <x v="1"/>
    <n v="15"/>
  </r>
  <r>
    <d v="2025-06-30T00:00:00"/>
    <x v="1"/>
    <s v="000MOBT25181ADCP       FACILITY       RENTAL_x000a_REFUND      NIP      Transfer      from      ILORIN INNOVATION HUB LTD to KWSG INT  REV"/>
    <s v="Refund"/>
    <x v="8"/>
    <n v="100000"/>
  </r>
  <r>
    <d v="2025-06-30T00:00:00"/>
    <x v="1"/>
    <s v="000MOBT25181ADCP       FACILITY       RENTAL_x000a_REFUND      NIP      Transfer      from      ILORIN INNOVATION HUB LTD to KWSG INT  REV"/>
    <s v="Bank charges"/>
    <x v="1"/>
    <n v="50"/>
  </r>
  <r>
    <d v="2025-06-30T00:00:00"/>
    <x v="1"/>
    <s v="000MOBT25181ADCP       FACILITY       RENTAL_x000a_REFUND      NIP      Transfer      from      ILORIN INNOVATION HUB LTD to KWSG INT  REV"/>
    <s v="Bank charges"/>
    <x v="1"/>
    <n v="3.75"/>
  </r>
  <r>
    <d v="2025-06-30T00:00:00"/>
    <x v="1"/>
    <s v="000MOBT25181ADF2 MD EXPENSE REIMBURSEMENT MAR TO JUN NIP Transfer from ILORIN INNOVATION HUB LTD to"/>
    <s v="Unallocated expense"/>
    <x v="3"/>
    <n v="1357550"/>
  </r>
  <r>
    <d v="2025-06-30T00:00:00"/>
    <x v="1"/>
    <s v="Reallocation of MD expenses reimbursement"/>
    <m/>
    <x v="3"/>
    <n v="-1357550"/>
  </r>
  <r>
    <d v="2025-06-30T00:00:00"/>
    <x v="1"/>
    <s v="000MOBT25181ADF2 MD EXPENSE REIMBURSEMENT MAR TO JUN NIP Transfer from ILORIN INNOVATION HUB LTD to"/>
    <m/>
    <x v="9"/>
    <n v="122550"/>
  </r>
  <r>
    <d v="2025-06-30T00:00:00"/>
    <x v="1"/>
    <s v="000MOBT25181ADF2 MD EXPENSE REIMBURSEMENT MAR TO JUN NIP Transfer from ILORIN INNOVATION HUB LTD to"/>
    <m/>
    <x v="15"/>
    <n v="70000"/>
  </r>
  <r>
    <d v="2025-06-30T00:00:00"/>
    <x v="1"/>
    <s v="000MOBT25181ADF2 MD EXPENSE REIMBURSEMENT MAR TO JUN NIP Transfer from ILORIN INNOVATION HUB LTD to"/>
    <m/>
    <x v="3"/>
    <n v="1040000"/>
  </r>
  <r>
    <d v="2025-06-30T00:00:00"/>
    <x v="1"/>
    <s v="000MOBT25181ADF2 MD EXPENSE REIMBURSEMENT MAR TO JUN NIP Transfer from ILORIN INNOVATION HUB LTD to"/>
    <m/>
    <x v="13"/>
    <n v="68000"/>
  </r>
  <r>
    <d v="2025-06-30T00:00:00"/>
    <x v="1"/>
    <s v="000MOBT25181ADF2 MD EXPENSE REIMBURSEMENT MAR TO JUN NIP Transfer from ILORIN INNOVATION HUB LTD to"/>
    <m/>
    <x v="10"/>
    <n v="57000"/>
  </r>
  <r>
    <d v="2025-06-30T00:00:00"/>
    <x v="1"/>
    <s v="000MOBT25181ADF2 MD EXPENSE REIMBURSEMENT MAR TO JUN NIP Transfer from ILORIN INNOVATION HUB LTD to"/>
    <s v="Bank charges"/>
    <x v="1"/>
    <n v="50"/>
  </r>
  <r>
    <d v="2025-06-30T00:00:00"/>
    <x v="1"/>
    <s v="000MOBT25181ADF2 MD EXPENSE REIMBURSEMENT MAR TO JUN NIP Transfer from ILORIN INNOVATION HUB LTD to"/>
    <s v="Bank charges"/>
    <x v="1"/>
    <n v="3.75"/>
  </r>
  <r>
    <d v="2025-06-30T00:00:00"/>
    <x v="1"/>
    <s v="000MOBT25181ADMK      TKT      ABUJA      US_x000a_EMBASSY  VISIT   NIP  Transfer  from  ILORIN INNOVATION HUB LTD to PAYSTACK"/>
    <s v="Transport and Travel"/>
    <x v="18"/>
    <n v="832000"/>
  </r>
  <r>
    <d v="2025-06-30T00:00:00"/>
    <x v="1"/>
    <s v="000MOBT25181ADMK      TKT      ABUJA      US_x000a_EMBASSY  VISIT   NIP  Transfer  from  ILORIN INNOVATION HUB LTD to PAYSTACK"/>
    <s v="Bank charges"/>
    <x v="1"/>
    <n v="50"/>
  </r>
  <r>
    <d v="2025-06-30T00:00:00"/>
    <x v="1"/>
    <s v="000MOBT25181ADMK      TKT      ABUJA      US_x000a_EMBASSY  VISIT   NIP  Transfer  from  ILORIN INNOVATION HUB LTD to PAYSTACK"/>
    <s v="Bank charges"/>
    <x v="1"/>
    <n v="3.75"/>
  </r>
  <r>
    <d v="2025-06-30T00:00:00"/>
    <x v="1"/>
    <s v="016AMFC25181003N                             ACCOUNT MAINTENANCE FEE"/>
    <s v="Bank charges"/>
    <x v="1"/>
    <n v="45154.25"/>
  </r>
  <r>
    <d v="2025-06-30T00:00:00"/>
    <x v="1"/>
    <s v="016AMFV25181003E  VAT  ON  TRANSACTION CHARGES"/>
    <s v="Bank charges"/>
    <x v="1"/>
    <n v="3386.6800000071526"/>
  </r>
  <r>
    <d v="2025-06-30T00:00:00"/>
    <x v="1"/>
    <s v="Bank transactions in June"/>
    <s v="Bank balance"/>
    <x v="5"/>
    <n v="101330337.19999997"/>
  </r>
  <r>
    <d v="2025-07-01T00:00:00"/>
    <x v="2"/>
    <s v="000MOBT25182AT02     MONTHLY     CLEANING_x000a_BALANCE      NIP      Transfer      from      ILORIN INNOVATION HUB LTD to SIII MULTIPURPOSE"/>
    <s v="Cleaning expenses"/>
    <x v="3"/>
    <n v="650000"/>
  </r>
  <r>
    <d v="2025-07-01T00:00:00"/>
    <x v="2"/>
    <s v="000MOBT25182AT02     MONTHLY     CLEANING_x000a_BALANCE      NIP      Transfer      from      ILORIN INNOVATION HUB LTD to SIII MULTIPURPOSE"/>
    <s v="Bank charges"/>
    <x v="1"/>
    <n v="50"/>
  </r>
  <r>
    <d v="2025-07-01T00:00:00"/>
    <x v="2"/>
    <s v="000MOBT25182AT02     MONTHLY     CLEANING_x000a_BALANCE      NIP      Transfer      from      ILORIN INNOVATION HUB LTD to SIII MULTIPURPOSE"/>
    <s v="Bank charges"/>
    <x v="1"/>
    <n v="3.75"/>
  </r>
  <r>
    <d v="2025-07-02T00:00:00"/>
    <x v="2"/>
    <s v="000MOBT251834063      EODB      LUNCH      NIP_x000a_Transfer  from  ILORIN  INNOVATION  HUB  LTD to  BOA FOODS RESTAURANT LTD   1"/>
    <s v="Guest and entertainment"/>
    <x v="13"/>
    <n v="190200"/>
  </r>
  <r>
    <d v="2025-07-02T00:00:00"/>
    <x v="2"/>
    <s v="000MOBT251834063      EODB      LUNCH      NIP_x000a_Transfer  from  ILORIN  INNOVATION  HUB  LTD to  BOA FOODS RESTAURANT LTD   1"/>
    <s v="Bank charges"/>
    <x v="1"/>
    <n v="50"/>
  </r>
  <r>
    <d v="2025-07-02T00:00:00"/>
    <x v="2"/>
    <s v="000MOBT251834063      EODB      LUNCH      NIP_x000a_Transfer  from  ILORIN  INNOVATION  HUB  LTD to  BOA FOODS RESTAURANT LTD   1"/>
    <s v="Bank charges"/>
    <x v="1"/>
    <n v="3.75"/>
  </r>
  <r>
    <d v="2025-07-03T00:00:00"/>
    <x v="2"/>
    <s v="000MOBT251841910   EODB  BREAKFAST  NIP_x000a_Transfer  from  ILORIN  INNOVATION  HUB  LTD to Infinitus Innovations Limite"/>
    <s v="Guest and entertainment"/>
    <x v="13"/>
    <n v="37500"/>
  </r>
  <r>
    <d v="2025-07-03T00:00:00"/>
    <x v="2"/>
    <s v="000MOBT251841910   EODB  BREAKFAST  NIP_x000a_Transfer  from  ILORIN  INNOVATION  HUB  LTD to Infinitus Innovations Limite"/>
    <s v="Bank charges"/>
    <x v="1"/>
    <n v="25"/>
  </r>
  <r>
    <d v="2025-07-03T00:00:00"/>
    <x v="2"/>
    <s v="000MOBT251841910   EODB  BREAKFAST  NIP_x000a_Transfer  from  ILORIN  INNOVATION  HUB  LTD to Infinitus Innovations Limite"/>
    <s v="Bank charges"/>
    <x v="1"/>
    <n v="1.8799999952316284"/>
  </r>
  <r>
    <d v="2025-07-03T00:00:00"/>
    <x v="2"/>
    <s v="000MOBT251846895      EODB      Lunch      NIP_x000a_Transfer  from  ILORIN  INNOVATION  HUB  LTD to  BOA FOODS RESTAURANT LTD   1"/>
    <s v="Guest and entertainment"/>
    <x v="13"/>
    <n v="100200"/>
  </r>
  <r>
    <d v="2025-07-03T00:00:00"/>
    <x v="2"/>
    <s v="000MOBT251846895      EODB      Lunch      NIP_x000a_Transfer  from  ILORIN  INNOVATION  HUB  LTD to  BOA FOODS RESTAURANT LTD   1"/>
    <s v="Bank charges"/>
    <x v="1"/>
    <n v="50"/>
  </r>
  <r>
    <d v="2025-07-03T00:00:00"/>
    <x v="2"/>
    <s v="000MOBT251846895      EODB      Lunch      NIP_x000a_Transfer  from  ILORIN  INNOVATION  HUB  LTD to  BOA FOODS RESTAURANT LTD   1"/>
    <s v="Bank charges"/>
    <x v="1"/>
    <n v="3.75"/>
  </r>
  <r>
    <d v="2025-07-03T00:00:00"/>
    <x v="2"/>
    <s v="000MOBT251847829  MD  100 BIZ  CARDS   NIP_x000a_Transfer  from  ILORIN  INNOVATION  HUB  LTD to DOCULAND BUSINESS SOL LTD"/>
    <s v="Stationery and Office Supplies"/>
    <x v="2"/>
    <n v="23414"/>
  </r>
  <r>
    <d v="2025-07-03T00:00:00"/>
    <x v="2"/>
    <s v="000MOBT251847829  MD  100 BIZ  CARDS   NIP_x000a_Transfer  from  ILORIN  INNOVATION  HUB  LTD to DOCULAND BUSINESS SOL LTD"/>
    <s v="Bank charges"/>
    <x v="1"/>
    <n v="25"/>
  </r>
  <r>
    <d v="2025-07-03T00:00:00"/>
    <x v="2"/>
    <s v="000MOBT251847829  MD  100 BIZ  CARDS   NIP_x000a_Transfer  from  ILORIN  INNOVATION  HUB  LTD to DOCULAND BUSINESS SOL LTD"/>
    <s v="Bank charges"/>
    <x v="1"/>
    <n v="1.8799999952316284"/>
  </r>
  <r>
    <d v="2025-07-03T00:00:00"/>
    <x v="2"/>
    <s v="000MOBT25184A2YX  LOS  ABV  LOS  TRAVEL_x000a_ZUMAH       NIP       Transfer       from       ILORIN INNOVATION HUB LTD to PAYSTACK"/>
    <s v="Transport and Travel"/>
    <x v="18"/>
    <n v="362000"/>
  </r>
  <r>
    <d v="2025-07-03T00:00:00"/>
    <x v="2"/>
    <s v="000MOBT25184A2YX  LOS  ABV  LOS  TRAVEL_x000a_ZUMAH       NIP       Transfer       from       ILORIN INNOVATION HUB LTD to PAYSTACK"/>
    <s v="Bank charges"/>
    <x v="1"/>
    <n v="50"/>
  </r>
  <r>
    <d v="2025-07-03T00:00:00"/>
    <x v="2"/>
    <s v="000MOBT25184A2YX  LOS  ABV  LOS  TRAVEL_x000a_ZUMAH       NIP       Transfer       from       ILORIN INNOVATION HUB LTD to PAYSTACK"/>
    <s v="Bank charges"/>
    <x v="1"/>
    <n v="3.75"/>
  </r>
  <r>
    <d v="2025-07-04T00:00:00"/>
    <x v="2"/>
    <s v="000MOBT251851068    REIMBURSEMENT    FOR_x000a_REFRESHMENTS  NIP  Transfer  from  ILORIN INNOVATION HUB LTD to ONUCHUKWU  S"/>
    <s v="Guest and entertainment"/>
    <x v="13"/>
    <n v="54350"/>
  </r>
  <r>
    <d v="2025-07-04T00:00:00"/>
    <x v="2"/>
    <s v="000MOBT251851068    REIMBURSEMENT    FOR_x000a_REFRESHMENTS  NIP  Transfer  from  ILORIN INNOVATION HUB LTD to ONUCHUKWU  S"/>
    <s v="Bank charges"/>
    <x v="1"/>
    <n v="50"/>
  </r>
  <r>
    <d v="2025-07-04T00:00:00"/>
    <x v="2"/>
    <s v="000MOBT251851068    REIMBURSEMENT    FOR_x000a_REFRESHMENTS  NIP  Transfer  from  ILORIN INNOVATION HUB LTD to ONUCHUKWU  S"/>
    <s v="Bank charges"/>
    <x v="1"/>
    <n v="3.75"/>
  </r>
  <r>
    <d v="2025-07-04T00:00:00"/>
    <x v="2"/>
    <s v="000MOBT251851121   EODB   REFRESHMENTS_x000a_NIP  Transfer  from  ILORIN  INNOVATION  HUB LTD to JIMOH SULEIMAN OLAWALE"/>
    <s v="Guest and entertainment"/>
    <x v="13"/>
    <n v="32500"/>
  </r>
  <r>
    <d v="2025-07-04T00:00:00"/>
    <x v="2"/>
    <s v="000MOBT251851121   EODB   REFRESHMENTS_x000a_NIP  Transfer  from  ILORIN  INNOVATION  HUB LTD to JIMOH SULEIMAN OLAWALE"/>
    <s v="Bank charges"/>
    <x v="1"/>
    <n v="25"/>
  </r>
  <r>
    <d v="2025-07-04T00:00:00"/>
    <x v="2"/>
    <s v="000MOBT251851121   EODB   REFRESHMENTS_x000a_NIP  Transfer  from  ILORIN  INNOVATION  HUB LTD to JIMOH SULEIMAN OLAWALE"/>
    <s v="Bank charges"/>
    <x v="1"/>
    <n v="1.8800000101327896"/>
  </r>
  <r>
    <d v="2025-07-04T00:00:00"/>
    <x v="2"/>
    <s v="000MOBT251854607    BALANCE    OF   CCHUB_x000a_ROADSHOW  SOUVENIRS  NIP  Transfer  from ILORIN INNOVATION HUB LTD to LET S B"/>
    <s v="Souvenirs"/>
    <x v="19"/>
    <n v="1000000"/>
  </r>
  <r>
    <d v="2025-07-04T00:00:00"/>
    <x v="2"/>
    <s v="000MOBT251854607    BALANCE    OF   CCHUB_x000a_ROADSHOW  SOUVENIRS  NIP  Transfer  from ILORIN INNOVATION HUB LTD to LET S B"/>
    <s v="Bank charges"/>
    <x v="1"/>
    <n v="50"/>
  </r>
  <r>
    <d v="2025-07-04T00:00:00"/>
    <x v="2"/>
    <s v="000MOBT251854607    BALANCE    OF   CCHUB_x000a_ROADSHOW  SOUVENIRS  NIP  Transfer  from ILORIN INNOVATION HUB LTD to LET S B"/>
    <s v="Bank charges"/>
    <x v="1"/>
    <n v="3.75"/>
  </r>
  <r>
    <d v="2025-07-04T00:00:00"/>
    <x v="2"/>
    <s v="000MOBT251859338  TA  COMMUNITY  LUNCH_x000a_NIP  Transfer  from  ILORIN  INNOVATION  HUB LTD to  BOA FOODS RESTAURANT LT"/>
    <s v="Guest and entertainment"/>
    <x v="13"/>
    <n v="28000"/>
  </r>
  <r>
    <d v="2025-07-04T00:00:00"/>
    <x v="2"/>
    <s v="000MOBT251859338  TA  COMMUNITY  LUNCH_x000a_NIP  Transfer  from  ILORIN  INNOVATION  HUB LTD to  BOA FOODS RESTAURANT LT"/>
    <s v="Bank charges"/>
    <x v="1"/>
    <n v="25"/>
  </r>
  <r>
    <d v="2025-07-04T00:00:00"/>
    <x v="2"/>
    <s v="000MOBT251859338  TA  COMMUNITY  LUNCH_x000a_NIP  Transfer  from  ILORIN  INNOVATION  HUB LTD to  BOA FOODS RESTAURANT LT"/>
    <s v="Bank charges"/>
    <x v="1"/>
    <n v="1.8799999952316284"/>
  </r>
  <r>
    <d v="2025-07-04T00:00:00"/>
    <x v="2"/>
    <s v="000MOBT25185A03Q      HMO      ONE      YEAR_x000a_LEADWAY HEALTH NIP Transfer from ILORIN INNOVATION HUB LTD to LEADWAY HEALTH"/>
    <s v="Staff welfare"/>
    <x v="20"/>
    <n v="2174811"/>
  </r>
  <r>
    <d v="2025-07-04T00:00:00"/>
    <x v="2"/>
    <s v="000MOBT25185A03Q      HMO      ONE      YEAR_x000a_LEADWAY HEALTH NIP Transfer from ILORIN INNOVATION HUB LTD to LEADWAY HEALTH"/>
    <s v="Bank charges"/>
    <x v="1"/>
    <n v="50"/>
  </r>
  <r>
    <d v="2025-07-04T00:00:00"/>
    <x v="2"/>
    <s v="000MOBT25185A03Q      HMO      ONE      YEAR_x000a_LEADWAY HEALTH NIP Transfer from ILORIN INNOVATION HUB LTD to LEADWAY HEALTH"/>
    <s v="Bank charges"/>
    <x v="1"/>
    <n v="3.75"/>
  </r>
  <r>
    <d v="2025-07-07T00:00:00"/>
    <x v="2"/>
    <s v="000MOBT25188A8LT   EODB   REFRESHMENTS_x000a_NIP  Transfer  from  ILORIN  INNOVATION  HUB LTD to POS Transfer   BOLANLE OK"/>
    <s v="Guest and entertainment"/>
    <x v="13"/>
    <n v="36000"/>
  </r>
  <r>
    <d v="2025-07-07T00:00:00"/>
    <x v="2"/>
    <s v="000MOBT25188A8LT   EODB   REFRESHMENTS_x000a_NIP  Transfer  from  ILORIN  INNOVATION  HUB LTD to POS Transfer   BOLANLE OK"/>
    <s v="Bank charges"/>
    <x v="1"/>
    <n v="25"/>
  </r>
  <r>
    <d v="2025-07-07T00:00:00"/>
    <x v="2"/>
    <s v="000MOBT25188A8LT   EODB   REFRESHMENTS_x000a_NIP  Transfer  from  ILORIN  INNOVATION  HUB LTD to POS Transfer   BOLANLE OK"/>
    <s v="Bank charges"/>
    <x v="1"/>
    <n v="1.8799999952316284"/>
  </r>
  <r>
    <d v="2025-07-07T00:00:00"/>
    <x v="2"/>
    <s v="000MOBT25188A8MI   EODB   REFRESHMENTS_x000a_NIP  Transfer  from  ILORIN  INNOVATION  HUB LTD to Infinitus Innovations Lim"/>
    <s v="Guest and entertainment"/>
    <x v="13"/>
    <n v="103000"/>
  </r>
  <r>
    <d v="2025-07-07T00:00:00"/>
    <x v="2"/>
    <s v="000MOBT25188A8MI   EODB   REFRESHMENTS_x000a_NIP  Transfer  from  ILORIN  INNOVATION  HUB LTD to Infinitus Innovations Lim"/>
    <s v="Bank charges"/>
    <x v="1"/>
    <n v="50"/>
  </r>
  <r>
    <d v="2025-07-07T00:00:00"/>
    <x v="2"/>
    <s v="000MOBT25188A8MI   EODB   REFRESHMENTS_x000a_NIP  Transfer  from  ILORIN  INNOVATION  HUB LTD to Infinitus Innovations Lim"/>
    <s v="Bank charges"/>
    <x v="1"/>
    <n v="3.75"/>
  </r>
  <r>
    <d v="2025-07-07T00:00:00"/>
    <x v="2"/>
    <s v="000MOBT25188ABX7  EODB  REFRESHMENTS_x000a_NIP  Transfer  from  ILORIN  INNOVATION  HUB LTD to BANKOLE RICHARD OGUNDILE"/>
    <s v="Guest and entertainment"/>
    <x v="13"/>
    <n v="16000"/>
  </r>
  <r>
    <d v="2025-07-07T00:00:00"/>
    <x v="2"/>
    <s v="000MOBT25188ABX7  EODB  REFRESHMENTS_x000a_NIP  Transfer  from  ILORIN  INNOVATION  HUB LTD to BANKOLE RICHARD OGUNDILE"/>
    <s v="Bank charges"/>
    <x v="1"/>
    <n v="25"/>
  </r>
  <r>
    <d v="2025-07-07T00:00:00"/>
    <x v="2"/>
    <s v="000MOBT25188ABX7  EODB  REFRESHMENTS_x000a_NIP  Transfer  from  ILORIN  INNOVATION  HUB LTD to BANKOLE RICHARD OGUNDILE"/>
    <s v="Bank charges"/>
    <x v="1"/>
    <n v="1.8799999952316284"/>
  </r>
  <r>
    <d v="2025-07-07T00:00:00"/>
    <x v="2"/>
    <s v="000MOBT25188ABZ7  PAYMENT  FOR MONTHLY WASTE DISPOSAL  NIP  Transfer from ILORIN INNOVATION HUB LTD to"/>
    <s v="Stationery and Office Supplies"/>
    <x v="2"/>
    <n v="50000"/>
  </r>
  <r>
    <d v="2025-07-07T00:00:00"/>
    <x v="2"/>
    <s v="000MOBT25188ABZ7  PAYMENT  FOR MONTHLY WASTE DISPOSAL  NIP  Transfer from ILORIN INNOVATION HUB LTD to"/>
    <s v="Bank charges"/>
    <x v="1"/>
    <n v="25"/>
  </r>
  <r>
    <d v="2025-07-07T00:00:00"/>
    <x v="2"/>
    <s v="000MOBT25188ABZ7  PAYMENT  FOR MONTHLY WASTE DISPOSAL  NIP  Transfer from ILORIN INNOVATION HUB LTD to"/>
    <s v="Bank charges"/>
    <x v="1"/>
    <n v="1.8800000101327896"/>
  </r>
  <r>
    <d v="2025-07-09T00:00:00"/>
    <x v="2"/>
    <s v="000MOBT251904319    ABJ   BOLT    RIDE   NIP_x000a_Transfer  from  ILORIN  INNOVATION  HUB  LTD to BOLANLE MONICA MAKINWA"/>
    <s v="Transport and Travel"/>
    <x v="18"/>
    <n v="20700"/>
  </r>
  <r>
    <d v="2025-07-09T00:00:00"/>
    <x v="2"/>
    <s v="000MOBT251904319    ABJ   BOLT    RIDE   NIP_x000a_Transfer  from  ILORIN  INNOVATION  HUB  LTD to BOLANLE MONICA MAKINWA"/>
    <s v="Bank charges"/>
    <x v="1"/>
    <n v="25"/>
  </r>
  <r>
    <d v="2025-07-09T00:00:00"/>
    <x v="2"/>
    <s v="000MOBT251904319    ABJ   BOLT    RIDE   NIP_x000a_Transfer  from  ILORIN  INNOVATION  HUB  LTD to BOLANLE MONICA MAKINWA"/>
    <s v="Bank charges"/>
    <x v="1"/>
    <n v="1.8799999952316284"/>
  </r>
  <r>
    <d v="2025-07-10T00:00:00"/>
    <x v="2"/>
    <s v="016NIPO251910009 NIP - NIP TRF IFO ALPHA TECHNOLOGIES  LIMITED  B/O   ILORIN  TECH_x000a_PARK LTD"/>
    <s v="Stationery and Office Supplies"/>
    <x v="2"/>
    <n v="53750"/>
  </r>
  <r>
    <d v="2025-07-10T00:00:00"/>
    <x v="2"/>
    <s v="016NIPC251910009 NIP Charge - NIP TRF IFO ALPHA TECHNOLOGIES LIMITED B/O ILORIN TECH PARK LTD"/>
    <s v="Bank charges"/>
    <x v="1"/>
    <n v="50"/>
  </r>
  <r>
    <d v="2025-07-10T00:00:00"/>
    <x v="2"/>
    <s v="016VATP251910009 NIP Charge VAT - NIP TRF IFO ALPHA TECHNOLOGIES LIMITED B/O ILORIN TECH PARK LTD"/>
    <s v="Bank charges"/>
    <x v="1"/>
    <n v="3.75"/>
  </r>
  <r>
    <d v="2025-07-10T00:00:00"/>
    <x v="2"/>
    <s v="0167022251910001 BNG ISSUANCE OF 1 TOKENS (37-6477779-9 KOLAWOLE ( IFO ILORIN TECH PARK LTD)"/>
    <s v="Other Expenses"/>
    <x v="4"/>
    <n v="2687.5"/>
  </r>
  <r>
    <d v="2025-07-10T00:00:00"/>
    <x v="2"/>
    <s v="0167022251910001 BNG ISSUANCE OF 1 TOKENS (37-6477780-5 YAHAYA ( IFO ILORIN TECH PARK LTD)"/>
    <s v="Other Expenses"/>
    <x v="4"/>
    <n v="2687.5"/>
  </r>
  <r>
    <d v="2025-07-10T00:00:00"/>
    <x v="2"/>
    <s v="0167022251910001 BNG ISSUANCE OF 1 TOKENS (37-6477781-2 AHMAD ( IFO ILORIN TECH PARK LTD)"/>
    <s v="Other Expenses"/>
    <x v="4"/>
    <n v="2687.5"/>
  </r>
  <r>
    <d v="2025-07-10T00:00:00"/>
    <x v="2"/>
    <s v="016NIPO251910018 NIP - NIP TRF IFO JIMOH SULEIMAN OLAWALE B/O  ILORIN  TECH PARK LTD"/>
    <s v="Unallocated expense"/>
    <x v="21"/>
    <n v="65000"/>
  </r>
  <r>
    <d v="2025-07-10T00:00:00"/>
    <x v="2"/>
    <s v="016NIPC251910018 NIP Charge - NIP TRF IFO JIMOH SULEIMAN OLAWALE B/O  ILORIN TECH PARK LTD"/>
    <s v="Bank charges"/>
    <x v="1"/>
    <n v="50"/>
  </r>
  <r>
    <d v="2025-07-10T00:00:00"/>
    <x v="2"/>
    <s v="016VATP251910018 NIP Charge VAT - NIP TRF IFO JIMOH SULEIMAN OLAWALE B/O ILORIN TECH PARK LTD"/>
    <s v="Bank charges"/>
    <x v="1"/>
    <n v="3.75"/>
  </r>
  <r>
    <d v="2025-07-11T00:00:00"/>
    <x v="2"/>
    <s v="016NIPO251920002 NIP - NIP TRF IFO LET'S BRAND IT ENTERPRISES B/O ILORIN TECH PARK LTD"/>
    <s v="Unallocated expense"/>
    <x v="19"/>
    <n v="1250000"/>
  </r>
  <r>
    <d v="2025-07-11T00:00:00"/>
    <x v="2"/>
    <s v="016NIPC251920002 NIP Charge - NIP TRF IFO LET'S BRAND IT ENTERPRISES B/O ILORIN TECH PARK LTD"/>
    <s v="Bank charges"/>
    <x v="1"/>
    <n v="50"/>
  </r>
  <r>
    <d v="2025-07-11T00:00:00"/>
    <x v="2"/>
    <s v="016VATP251920002 NIP Charge VAT - NIP TRF IFO LET'S BRAND IT ENTERPRISES B/O ILORIN TECH PARK LTD"/>
    <s v="Bank charges"/>
    <x v="1"/>
    <n v="3.75"/>
  </r>
  <r>
    <d v="2025-07-17T00:00:00"/>
    <x v="2"/>
    <s v="016NIPO251980008 NIP - NIP TRF IFO TEMILOLUWA OLUWALEKE KOLAWOLE B/O ILORIN TECH PARK LTD"/>
    <s v="Unallocated expense"/>
    <x v="18"/>
    <n v="240000"/>
  </r>
  <r>
    <d v="2025-07-17T00:00:00"/>
    <x v="2"/>
    <s v="016NIPC251980008 NIP Charge - NIP TRF IFO TEMILOLUWA OLUWALEKE KOLAWOLE B/O ILORIN TECH PARK LTD"/>
    <s v="Bank charges"/>
    <x v="1"/>
    <n v="50"/>
  </r>
  <r>
    <d v="2025-07-17T00:00:00"/>
    <x v="2"/>
    <s v="016VATP251980008 NIP Charge VAT - NIP TRF IFO TEMILOLUWA OLUWALEKE KOLAWOLE B/O  ILORIN TECH PARK LTD"/>
    <s v="Bank charges"/>
    <x v="1"/>
    <n v="3.75"/>
  </r>
  <r>
    <d v="2025-07-17T00:00:00"/>
    <x v="2"/>
    <s v="016NIPO251980009 NIP  -  BNG  PAYMENT MADE FOR LAGOS HOTEL ACCOMODATION REIMBURSEMENT"/>
    <s v="Accomodation"/>
    <x v="18"/>
    <n v="420180"/>
  </r>
  <r>
    <d v="2025-07-17T00:00:00"/>
    <x v="2"/>
    <s v="016NIPC251980009 NIP Charge - BNG PAYMENT MADE FOR LAGOS HOTEL ACCOMODATION  REIMBURSEMENT"/>
    <s v="Bank charges"/>
    <x v="1"/>
    <n v="50"/>
  </r>
  <r>
    <d v="2025-07-17T00:00:00"/>
    <x v="2"/>
    <s v="016VATP251980009 NIP Charge VAT - BNG PAYMENT MADE FOR LAGOS HOTEL ACCOMODATION  REIMBURSEMENT"/>
    <s v="Bank charges"/>
    <x v="1"/>
    <n v="3.75"/>
  </r>
  <r>
    <d v="2025-07-17T00:00:00"/>
    <x v="2"/>
    <s v="016NIPO251980015    NIP    -    BNG    PAYMENT MADE FOR PURCHASE OF SCAFFOLD"/>
    <s v="Repairs and maintenance"/>
    <x v="12"/>
    <n v="785000"/>
  </r>
  <r>
    <d v="2025-07-17T00:00:00"/>
    <x v="2"/>
    <s v="016NIPC251980015 NIP Charge - BNG PAYMENT MADE FOR PURCHASE OF SCAFFOLD"/>
    <s v="Bank charges"/>
    <x v="1"/>
    <n v="50"/>
  </r>
  <r>
    <d v="2025-07-17T00:00:00"/>
    <x v="2"/>
    <s v="016VATP251980015 NIP Charge VAT - BNG PAYMENT MADE FOR PURCHASE OF SCAFFOLD"/>
    <s v="Bank charges"/>
    <x v="1"/>
    <n v="3.75"/>
  </r>
  <r>
    <d v="2025-07-18T00:00:00"/>
    <x v="2"/>
    <s v="016NIPO251990009 NIP - NIP TRF IFO ISREAL ABIODUN B/O  ILORIN TECH PARK LTD"/>
    <s v="Stationery and Office Supplies"/>
    <x v="2"/>
    <n v="260000"/>
  </r>
  <r>
    <d v="2025-07-18T00:00:00"/>
    <x v="2"/>
    <s v="016NIPC251990009 NIP Charge - NIP TRF IFO ISREAL ABIODUN B/O ILORIN TECH PARK LTD"/>
    <s v="Bank charges"/>
    <x v="1"/>
    <n v="50"/>
  </r>
  <r>
    <d v="2025-07-18T00:00:00"/>
    <x v="2"/>
    <s v="016VATP251990009 NIP Charge VAT - NIP TRF IFO   ISREAL   ABIODUN   B/O    ILORIN   TECH_x000a_PARK LTD"/>
    <s v="Bank charges"/>
    <x v="1"/>
    <n v="3.75"/>
  </r>
  <r>
    <d v="2025-07-18T00:00:00"/>
    <x v="2"/>
    <s v="000MOBT25199A0ME REIMBURSEMENT FOR STAFF BIRTHDAY FAREEDAH NIP Transfer from ILORIN INNOVATION HUB LTD to O"/>
    <s v="Staff welfare"/>
    <x v="20"/>
    <n v="31500"/>
  </r>
  <r>
    <d v="2025-07-18T00:00:00"/>
    <x v="2"/>
    <s v="000MOBT25199A0ME REIMBURSEMENT FOR STAFF BIRTHDAY FAREEDAH NIP Transfer from ILORIN INNOVATION HUB LTD to O"/>
    <s v="Bank charges"/>
    <x v="1"/>
    <n v="25"/>
  </r>
  <r>
    <d v="2025-07-18T00:00:00"/>
    <x v="2"/>
    <s v="000MOBT25199A0ME REIMBURSEMENT FOR STAFF BIRTHDAY FAREEDAH NIP Transfer from ILORIN INNOVATION HUB LTD to O"/>
    <s v="Bank charges"/>
    <x v="1"/>
    <n v="1.8799999952316284"/>
  </r>
  <r>
    <d v="2025-07-18T00:00:00"/>
    <x v="2"/>
    <s v="000MOBT25199A0U0              REIMBURSEMENT_x000a_STAFF   BIRTHDAY   NAS   NIP   Transfer   from ILORIN INNOVATION HUB LTD to"/>
    <s v="Staff welfare"/>
    <x v="20"/>
    <n v="14540"/>
  </r>
  <r>
    <d v="2025-07-18T00:00:00"/>
    <x v="2"/>
    <s v="000MOBT25199A0U0              REIMBURSEMENT_x000a_STAFF   BIRTHDAY   NAS   NIP   Transfer   from ILORIN INNOVATION HUB LTD to"/>
    <s v="Bank charges"/>
    <x v="1"/>
    <n v="25"/>
  </r>
  <r>
    <d v="2025-07-18T00:00:00"/>
    <x v="2"/>
    <s v="000MOBT25199A0U0              REIMBURSEMENT_x000a_STAFF   BIRTHDAY   NAS   NIP   Transfer   from ILORIN INNOVATION HUB LTD to"/>
    <s v="Bank charges"/>
    <x v="1"/>
    <n v="1.8800000101327896"/>
  </r>
  <r>
    <d v="2025-07-18T00:00:00"/>
    <x v="2"/>
    <s v="000MOBT25199A0W7                               TRAVEL REIMBURSEMENT   ABUJA  HOTEL  TAXI  NIP_x000a_Transfer from ILORIN INNOVATION HUB LTD"/>
    <s v="Transport and Travel"/>
    <x v="18"/>
    <n v="263078"/>
  </r>
  <r>
    <d v="2025-07-18T00:00:00"/>
    <x v="2"/>
    <s v="000MOBT25199A0W7                               TRAVEL REIMBURSEMENT   ABUJA  HOTEL  TAXI  NIP_x000a_Transfer from ILORIN INNOVATION HUB LTD"/>
    <s v="Bank charges"/>
    <x v="1"/>
    <n v="50"/>
  </r>
  <r>
    <d v="2025-07-18T00:00:00"/>
    <x v="2"/>
    <s v="000MOBT25199A0W7                               TRAVEL REIMBURSEMENT   ABUJA  HOTEL  TAXI  NIP_x000a_Transfer from ILORIN INNOVATION HUB LTD"/>
    <s v="Bank charges"/>
    <x v="1"/>
    <n v="3.75"/>
  </r>
  <r>
    <d v="2025-07-18T00:00:00"/>
    <x v="2"/>
    <s v="000MOBT25199A0YV              REIMBURSEMENT_x000a_STARLINK  JUL10  AUG10  NIP  Transfer  from ILORIN INNOVATION HUB LTD to TEMILOLU"/>
    <s v="Data and telephone expenses"/>
    <x v="10"/>
    <n v="57000"/>
  </r>
  <r>
    <d v="2025-07-18T00:00:00"/>
    <x v="2"/>
    <s v="000MOBT25199A0YV              REIMBURSEMENT_x000a_STARLINK  JUL10  AUG10  NIP  Transfer  from ILORIN INNOVATION HUB LTD to TEMILOLU"/>
    <s v="Bank charges"/>
    <x v="1"/>
    <n v="50"/>
  </r>
  <r>
    <d v="2025-07-18T00:00:00"/>
    <x v="2"/>
    <s v="000MOBT25199A0YV              REIMBURSEMENT_x000a_STARLINK  JUL10  AUG10  NIP  Transfer  from ILORIN INNOVATION HUB LTD to TEMILOLU"/>
    <s v="Bank charges"/>
    <x v="1"/>
    <n v="3.75"/>
  </r>
  <r>
    <d v="2025-07-21T00:00:00"/>
    <x v="2"/>
    <s v="000MOBT25202A2F1     REFRESHMENTS    3SU_x000a_MENTORSHIP    EVENT    NIP    Transfer    from ILORIN INNOVATION HUB LTD to  BOA FOOD"/>
    <s v="Guest and entertainment"/>
    <x v="13"/>
    <n v="250400"/>
  </r>
  <r>
    <d v="2025-07-21T00:00:00"/>
    <x v="2"/>
    <s v="000MOBT25202A2F1     REFRESHMENTS    3SU_x000a_MENTORSHIP    EVENT    NIP    Transfer    from ILORIN INNOVATION HUB LTD to  BOA FOOD"/>
    <s v="Bank charges"/>
    <x v="1"/>
    <n v="50"/>
  </r>
  <r>
    <d v="2025-07-21T00:00:00"/>
    <x v="2"/>
    <s v="000MOBT25202A2F1     REFRESHMENTS    3SU_x000a_MENTORSHIP    EVENT    NIP    Transfer    from ILORIN INNOVATION HUB LTD to  BOA FOOD"/>
    <s v="Bank charges"/>
    <x v="1"/>
    <n v="3.75"/>
  </r>
  <r>
    <d v="2025-07-21T00:00:00"/>
    <x v="2"/>
    <s v="000MOBT25202ADQO PAYMENT FOR AIRTEL MONTHLY INTERNET BACKUP NIP Transfer from ILORIN INNOVATION HUB LTD to"/>
    <s v="Data and telephone expenses"/>
    <x v="10"/>
    <n v="30000"/>
  </r>
  <r>
    <d v="2025-07-21T00:00:00"/>
    <x v="2"/>
    <s v="000MOBT25202ADQO PAYMENT FOR AIRTEL MONTHLY INTERNET BACKUP NIP Transfer from ILORIN INNOVATION HUB LTD to"/>
    <s v="Bank charges"/>
    <x v="1"/>
    <n v="25"/>
  </r>
  <r>
    <d v="2025-07-21T00:00:00"/>
    <x v="2"/>
    <s v="000MOBT25202ADQO PAYMENT FOR AIRTEL MONTHLY INTERNET BACKUP NIP Transfer from ILORIN INNOVATION HUB LTD to"/>
    <s v="Bank charges"/>
    <x v="1"/>
    <n v="1.8799999952316284"/>
  </r>
  <r>
    <d v="2025-07-22T00:00:00"/>
    <x v="2"/>
    <s v="000MOBT252030888  AC  MAINTENANCE  GAS_x000a_NIP  Transfer  from  ILORIN  INNOVATION  HUB LTD to KAYDEEN INTEGRATED SERVI"/>
    <s v="Repairs and maintenance"/>
    <x v="12"/>
    <n v="370000"/>
  </r>
  <r>
    <d v="2025-07-22T00:00:00"/>
    <x v="2"/>
    <s v="000MOBT252030888  AC  MAINTENANCE  GAS_x000a_NIP  Transfer  from  ILORIN  INNOVATION  HUB LTD to KAYDEEN INTEGRATED SERVI"/>
    <s v="Bank charges"/>
    <x v="1"/>
    <n v="50"/>
  </r>
  <r>
    <d v="2025-07-22T00:00:00"/>
    <x v="2"/>
    <s v="000MOBT252030888  AC  MAINTENANCE  GAS_x000a_NIP  Transfer  from  ILORIN  INNOVATION  HUB LTD to KAYDEEN INTEGRATED SERVI"/>
    <s v="Bank charges"/>
    <x v="1"/>
    <n v="3.75"/>
  </r>
  <r>
    <d v="2025-07-22T00:00:00"/>
    <x v="2"/>
    <s v="000MOBT252037206    REIMBURSEMENT    FOR_x000a_FUEL NIP Transfer from ILORIN INNOVATION HUB LTD to TEMILOLUWA OLUWALEKE"/>
    <s v="Diesel and Fuel"/>
    <x v="22"/>
    <n v="120000"/>
  </r>
  <r>
    <d v="2025-07-22T00:00:00"/>
    <x v="2"/>
    <s v="000MOBT252037206    REIMBURSEMENT    FOR_x000a_FUEL NIP Transfer from ILORIN INNOVATION HUB LTD to TEMILOLUWA OLUWALEKE"/>
    <s v="Bank charges"/>
    <x v="1"/>
    <n v="50"/>
  </r>
  <r>
    <d v="2025-07-22T00:00:00"/>
    <x v="2"/>
    <s v="000MOBT252037206    REIMBURSEMENT    FOR_x000a_FUEL NIP Transfer from ILORIN INNOVATION HUB LTD to TEMILOLUWA OLUWALEKE"/>
    <s v="Bank charges"/>
    <x v="1"/>
    <n v="3.75"/>
  </r>
  <r>
    <d v="2025-07-23T00:00:00"/>
    <x v="2"/>
    <s v="000MOBT25204A0WG  PAYMENT  FOR  STAFF_x000a_ID CARD PRINTING NIP Transfer from ILORIN INNOVATION HUB LTD to PRINT WO"/>
    <s v="Stationery and Office Supplies"/>
    <x v="2"/>
    <n v="48000"/>
  </r>
  <r>
    <d v="2025-07-23T00:00:00"/>
    <x v="2"/>
    <s v="000MOBT25204A0WG  PAYMENT  FOR  STAFF_x000a_ID CARD PRINTING NIP Transfer from ILORIN INNOVATION HUB LTD to PRINT WO"/>
    <s v="Bank charges"/>
    <x v="1"/>
    <n v="25"/>
  </r>
  <r>
    <d v="2025-07-23T00:00:00"/>
    <x v="2"/>
    <s v="000MOBT25204A0WG  PAYMENT  FOR  STAFF_x000a_ID CARD PRINTING NIP Transfer from ILORIN INNOVATION HUB LTD to PRINT WO"/>
    <s v="Bank charges"/>
    <x v="1"/>
    <n v="1.8799999952316284"/>
  </r>
  <r>
    <d v="2025-07-23T00:00:00"/>
    <x v="2"/>
    <s v="000MOBT25204A0XM PAYMENT FOR ID CARD_x000a_LANYARDS  AND  CASES  NIP  Transfer  from ILORIN INNOVATION HUB LTD to LET"/>
    <s v="Stationery and Office Supplies"/>
    <x v="2"/>
    <n v="90000"/>
  </r>
  <r>
    <d v="2025-07-23T00:00:00"/>
    <x v="2"/>
    <s v="000MOBT25204A0XM PAYMENT FOR ID CARD_x000a_LANYARDS  AND  CASES  NIP  Transfer  from ILORIN INNOVATION HUB LTD to LET"/>
    <s v="Bank charges"/>
    <x v="1"/>
    <n v="50"/>
  </r>
  <r>
    <d v="2025-07-23T00:00:00"/>
    <x v="2"/>
    <s v="000MOBT25204A0XM PAYMENT FOR ID CARD_x000a_LANYARDS  AND  CASES  NIP  Transfer  from ILORIN INNOVATION HUB LTD to LET"/>
    <s v="Bank charges"/>
    <x v="1"/>
    <n v="3.75"/>
  </r>
  <r>
    <d v="2025-07-23T00:00:00"/>
    <x v="2"/>
    <s v="000MOBT25204A197    PAYMENT    FOR    3SU_x000a_REFRESHMENTS  WATER  NIP  Transfer  from ILORIN INNOVATION HUB LTD to OLALUWOY"/>
    <s v="Stationery and Office Supplies"/>
    <x v="2"/>
    <n v="40000"/>
  </r>
  <r>
    <d v="2025-07-23T00:00:00"/>
    <x v="2"/>
    <s v="000MOBT25204A197    PAYMENT    FOR    3SU_x000a_REFRESHMENTS  WATER  NIP  Transfer  from ILORIN INNOVATION HUB LTD to OLALUWOY"/>
    <s v="Bank charges"/>
    <x v="1"/>
    <n v="25"/>
  </r>
  <r>
    <d v="2025-07-23T00:00:00"/>
    <x v="2"/>
    <s v="000MOBT25204A197    PAYMENT    FOR    3SU_x000a_REFRESHMENTS  WATER  NIP  Transfer  from ILORIN INNOVATION HUB LTD to OLALUWOY"/>
    <s v="Bank charges"/>
    <x v="1"/>
    <n v="1.8800000101327896"/>
  </r>
  <r>
    <d v="2025-07-24T00:00:00"/>
    <x v="2"/>
    <s v="000MOBT252054108     PAYMENT     FOR     3SU_x000a_REFRESHMENTS  NIP  Transfer  from  ILORIN INNOVATION HUB LTD to  BOA FOODS RES"/>
    <s v="Guest and entertainment"/>
    <x v="13"/>
    <n v="223400"/>
  </r>
  <r>
    <d v="2025-07-24T00:00:00"/>
    <x v="2"/>
    <s v="000MOBT252054108     PAYMENT     FOR     3SU_x000a_REFRESHMENTS  NIP  Transfer  from  ILORIN INNOVATION HUB LTD to  BOA FOODS RES"/>
    <s v="Bank charges"/>
    <x v="1"/>
    <n v="50"/>
  </r>
  <r>
    <d v="2025-07-24T00:00:00"/>
    <x v="2"/>
    <s v="000MOBT252054108     PAYMENT     FOR     3SU_x000a_REFRESHMENTS  NIP  Transfer  from  ILORIN INNOVATION HUB LTD to  BOA FOODS RES"/>
    <s v="Bank charges"/>
    <x v="1"/>
    <n v="3.75"/>
  </r>
  <r>
    <d v="2025-07-24T00:00:00"/>
    <x v="2"/>
    <s v="000MOBT252055681 LUNCH FOR IHS GUESTS_x000a_NIP  Transfer  from  ILORIN  INNOVATION  HUB LTD to THE GREEN DOOR FOOD LA"/>
    <s v="Guest and entertainment"/>
    <x v="15"/>
    <n v="34938"/>
  </r>
  <r>
    <d v="2025-07-24T00:00:00"/>
    <x v="2"/>
    <s v="000MOBT252055681 LUNCH FOR IHS GUESTS_x000a_NIP  Transfer  from  ILORIN  INNOVATION  HUB LTD to THE GREEN DOOR FOOD LA"/>
    <s v="Bank charges"/>
    <x v="1"/>
    <n v="25"/>
  </r>
  <r>
    <d v="2025-07-24T00:00:00"/>
    <x v="2"/>
    <s v="000MOBT252055681 LUNCH FOR IHS GUESTS_x000a_NIP  Transfer  from  ILORIN  INNOVATION  HUB LTD to THE GREEN DOOR FOOD LA"/>
    <s v="Bank charges"/>
    <x v="1"/>
    <n v="1.8799999952316284"/>
  </r>
  <r>
    <d v="2025-07-24T00:00:00"/>
    <x v="2"/>
    <s v="000MOBT252056033 LUNCH FOR IHS GUESTS_x000a_NIP  Transfer  from  ILORIN  INNOVATION  HUB LTD to  BOA FOODS RESTAURANT"/>
    <s v="Guest and entertainment"/>
    <x v="15"/>
    <n v="10000"/>
  </r>
  <r>
    <d v="2025-07-24T00:00:00"/>
    <x v="2"/>
    <s v="000MOBT252056033 LUNCH FOR IHS GUESTS_x000a_NIP  Transfer  from  ILORIN  INNOVATION  HUB LTD to  BOA FOODS RESTAURANT"/>
    <s v="Bank charges"/>
    <x v="1"/>
    <n v="25"/>
  </r>
  <r>
    <d v="2025-07-24T00:00:00"/>
    <x v="2"/>
    <s v="000MOBT252056033 LUNCH FOR IHS GUESTS_x000a_NIP  Transfer  from  ILORIN  INNOVATION  HUB LTD to  BOA FOODS RESTAURANT"/>
    <s v="Bank charges"/>
    <x v="1"/>
    <n v="1.8799999952316284"/>
  </r>
  <r>
    <d v="2025-07-24T00:00:00"/>
    <x v="2"/>
    <s v="000MOBT252057480 LUNCH FOR IHS GUESTS_x000a_NIP  Transfer  from  ILORIN  INNOVATION  HUB LTD to DAVID ABIDEMI OWOJAIYE"/>
    <s v="Guest and entertainment"/>
    <x v="15"/>
    <n v="12138"/>
  </r>
  <r>
    <d v="2025-07-24T00:00:00"/>
    <x v="2"/>
    <s v="000MOBT252057480 LUNCH FOR IHS GUESTS_x000a_NIP  Transfer  from  ILORIN  INNOVATION  HUB LTD to DAVID ABIDEMI OWOJAIYE"/>
    <s v="Bank charges"/>
    <x v="1"/>
    <n v="25"/>
  </r>
  <r>
    <d v="2025-07-24T00:00:00"/>
    <x v="2"/>
    <s v="000MOBT252057480 LUNCH FOR IHS GUESTS_x000a_NIP  Transfer  from  ILORIN  INNOVATION  HUB LTD to DAVID ABIDEMI OWOJAIYE"/>
    <s v="Bank charges"/>
    <x v="1"/>
    <n v="1.8800000101327896"/>
  </r>
  <r>
    <d v="2025-07-24T00:00:00"/>
    <x v="2"/>
    <s v="000MOBT25205A11V   REIMBURSEMENT   FOR_x000a_REFRESHMENTS TA COMM NIP Transfer from ILORIN INNOVATION HUB LTD to HENR"/>
    <s v="Guest and entertainment"/>
    <x v="13"/>
    <n v="25900"/>
  </r>
  <r>
    <d v="2025-07-24T00:00:00"/>
    <x v="2"/>
    <s v="000MOBT25205A11V   REIMBURSEMENT   FOR_x000a_REFRESHMENTS TA COMM NIP Transfer from ILORIN INNOVATION HUB LTD to HENR"/>
    <s v="Bank charges"/>
    <x v="1"/>
    <n v="25"/>
  </r>
  <r>
    <d v="2025-07-24T00:00:00"/>
    <x v="2"/>
    <s v="000MOBT25205A11V   REIMBURSEMENT   FOR_x000a_REFRESHMENTS TA COMM NIP Transfer from ILORIN INNOVATION HUB LTD to HENR"/>
    <s v="Bank charges"/>
    <x v="1"/>
    <n v="1.8799999952316284"/>
  </r>
  <r>
    <d v="2025-07-24T00:00:00"/>
    <x v="2"/>
    <s v="000MOBT25205A12X   REIMBURSEMENT   FOR_x000a_REFRESHMENTS   EODB   NIP   Transfer   from ILORIN INNOVATION HUB LTD to ONUCHUK"/>
    <s v="Guest and entertainment"/>
    <x v="13"/>
    <n v="13200"/>
  </r>
  <r>
    <d v="2025-07-24T00:00:00"/>
    <x v="2"/>
    <s v="000MOBT25205A12X   REIMBURSEMENT   FOR_x000a_REFRESHMENTS   EODB   NIP   Transfer   from ILORIN INNOVATION HUB LTD to ONUCHUK"/>
    <s v="Bank charges"/>
    <x v="1"/>
    <n v="25"/>
  </r>
  <r>
    <d v="2025-07-24T00:00:00"/>
    <x v="2"/>
    <s v="000MOBT25205A12X   REIMBURSEMENT   FOR_x000a_REFRESHMENTS   EODB   NIP   Transfer   from ILORIN INNOVATION HUB LTD to ONUCHUK"/>
    <s v="Bank charges"/>
    <x v="1"/>
    <n v="1.8799999952316284"/>
  </r>
  <r>
    <d v="2025-07-25T00:00:00"/>
    <x v="2"/>
    <s v="000MOBT252067575     PAYMENT     FOR     3SU_x000a_REFRESHMENTS  NIP  Transfer  from  ILORIN INNOVATION HUB LTD to  BOA FOODS RES"/>
    <s v="Guest and entertainment"/>
    <x v="13"/>
    <n v="250400"/>
  </r>
  <r>
    <d v="2025-07-25T00:00:00"/>
    <x v="2"/>
    <s v="000MOBT252067575     PAYMENT     FOR     3SU_x000a_REFRESHMENTS  NIP  Transfer  from  ILORIN INNOVATION HUB LTD to  BOA FOODS RES"/>
    <s v="Bank charges"/>
    <x v="1"/>
    <n v="50"/>
  </r>
  <r>
    <d v="2025-07-25T00:00:00"/>
    <x v="2"/>
    <s v="000MOBT252067575     PAYMENT     FOR     3SU_x000a_REFRESHMENTS  NIP  Transfer  from  ILORIN INNOVATION HUB LTD to  BOA FOODS RES"/>
    <s v="Bank charges"/>
    <x v="1"/>
    <n v="3.75"/>
  </r>
  <r>
    <d v="2025-07-25T00:00:00"/>
    <x v="2"/>
    <s v="016NIPO252060019   NIP  -  ILH  SALARY  JUL_x000a_2025"/>
    <s v="Salaries and Wages"/>
    <x v="7"/>
    <n v="3570659.4399999976"/>
  </r>
  <r>
    <d v="2025-07-25T00:00:00"/>
    <x v="2"/>
    <s v="016NIPC252060019 NIP Charge - ILH SALARY JUL 2025"/>
    <s v="Bank charges"/>
    <x v="1"/>
    <n v="50"/>
  </r>
  <r>
    <d v="2025-07-25T00:00:00"/>
    <x v="2"/>
    <s v="016VATP252060019   NIP   Charge   VAT   -   ILH SALARY JUL 2025"/>
    <s v="Bank charges"/>
    <x v="1"/>
    <n v="3.75"/>
  </r>
  <r>
    <d v="2025-07-25T00:00:00"/>
    <x v="2"/>
    <s v="016NIPO252060020   NIP  -  ILH  SALARY  JUL_x000a_2025"/>
    <s v="Salaries and Wages"/>
    <x v="7"/>
    <n v="2070487.4800000042"/>
  </r>
  <r>
    <d v="2025-07-25T00:00:00"/>
    <x v="2"/>
    <s v="016NIPC252060020 NIP Charge - ILH SALARY JUL 2025"/>
    <s v="Bank charges"/>
    <x v="1"/>
    <n v="50"/>
  </r>
  <r>
    <d v="2025-07-25T00:00:00"/>
    <x v="2"/>
    <s v="016VATP252060020   NIP   Charge   VAT   -   ILH SALARY JUL 2025"/>
    <s v="Bank charges"/>
    <x v="1"/>
    <n v="3.75"/>
  </r>
  <r>
    <d v="2025-07-25T00:00:00"/>
    <x v="2"/>
    <s v="016NIPO252060021   NIP  -  ILH  SALARY  JUL_x000a_2025"/>
    <s v="Salaries and Wages"/>
    <x v="7"/>
    <n v="476225"/>
  </r>
  <r>
    <d v="2025-07-25T00:00:00"/>
    <x v="2"/>
    <s v="016NIPC252060021 NIP Charge - ILH SALARY JUL 2025"/>
    <s v="Bank charges"/>
    <x v="1"/>
    <n v="50"/>
  </r>
  <r>
    <d v="2025-07-25T00:00:00"/>
    <x v="2"/>
    <s v="016VATP252060021   NIP   Charge   VAT   -   ILH SALARY JUL 2025"/>
    <s v="Bank charges"/>
    <x v="1"/>
    <n v="3.75"/>
  </r>
  <r>
    <d v="2025-07-25T00:00:00"/>
    <x v="2"/>
    <s v="016NIPO252060022   NIP  -  ILH  SALARY  JUL_x000a_2025"/>
    <s v="Salaries and Wages"/>
    <x v="7"/>
    <n v="284491.57000000775"/>
  </r>
  <r>
    <d v="2025-07-25T00:00:00"/>
    <x v="2"/>
    <s v="016NIPC252060022 NIP Charge - ILH SALARY JUL 2025"/>
    <s v="Bank charges"/>
    <x v="1"/>
    <n v="50"/>
  </r>
  <r>
    <d v="2025-07-25T00:00:00"/>
    <x v="2"/>
    <s v="016VATP252060022   NIP   Charge   VAT   -   ILH SALARY JUL 2025"/>
    <s v="Bank charges"/>
    <x v="1"/>
    <n v="3.75"/>
  </r>
  <r>
    <d v="2025-07-25T00:00:00"/>
    <x v="2"/>
    <s v="016NIPO252060023   NIP  -  ILH  SALARY  JUL_x000a_2025"/>
    <s v="Salaries and Wages"/>
    <x v="7"/>
    <n v="284491.56999999285"/>
  </r>
  <r>
    <d v="2025-07-25T00:00:00"/>
    <x v="2"/>
    <s v="016NIPC252060023 NIP Charge - ILH SALARY JUL 2025"/>
    <s v="Bank charges"/>
    <x v="1"/>
    <n v="50"/>
  </r>
  <r>
    <d v="2025-07-25T00:00:00"/>
    <x v="2"/>
    <s v="016VATP252060023   NIP   Charge   VAT   -   ILH SALARY JUL 2025"/>
    <s v="Bank charges"/>
    <x v="1"/>
    <n v="3.75"/>
  </r>
  <r>
    <d v="2025-07-25T00:00:00"/>
    <x v="2"/>
    <s v="016NIPO252060024   NIP  -  ILH  SALARY  JUL_x000a_2025"/>
    <s v="Salaries and Wages"/>
    <x v="7"/>
    <n v="284491.57000000775"/>
  </r>
  <r>
    <d v="2025-07-25T00:00:00"/>
    <x v="2"/>
    <s v="016NIPC252060024 NIP Charge - ILH SALARY JUL 2025"/>
    <s v="Bank charges"/>
    <x v="1"/>
    <n v="50"/>
  </r>
  <r>
    <d v="2025-07-25T00:00:00"/>
    <x v="2"/>
    <s v="016VATP252060024   NIP   Charge   VAT   -   ILH SALARY JUL 2025"/>
    <s v="Bank charges"/>
    <x v="1"/>
    <n v="3.75"/>
  </r>
  <r>
    <d v="2025-07-25T00:00:00"/>
    <x v="2"/>
    <s v="016NIPO252060025   NIP  -  ILH  SALARY  JUL_x000a_2025"/>
    <s v="Salaries and Wages"/>
    <x v="7"/>
    <n v="284491.56999999285"/>
  </r>
  <r>
    <d v="2025-07-25T00:00:00"/>
    <x v="2"/>
    <s v="016NIPC252060025 NIP Charge - ILH SALARY JUL 2025"/>
    <s v="Bank charges"/>
    <x v="1"/>
    <n v="50"/>
  </r>
  <r>
    <d v="2025-07-25T00:00:00"/>
    <x v="2"/>
    <s v="016VATP252060025   NIP   Charge   VAT   -   ILH SALARY JUL 2025"/>
    <s v="Bank charges"/>
    <x v="1"/>
    <n v="3.75"/>
  </r>
  <r>
    <d v="2025-07-25T00:00:00"/>
    <x v="2"/>
    <s v="016NIPO252060026   NIP  -  ILH  SALARY  JUL_x000a_2025"/>
    <s v="Salaries and Wages"/>
    <x v="7"/>
    <n v="284491.57000000775"/>
  </r>
  <r>
    <d v="2025-07-25T00:00:00"/>
    <x v="2"/>
    <s v="016NIPC252060026 NIP Charge - ILH SALARY JUL 2025"/>
    <s v="Bank charges"/>
    <x v="1"/>
    <n v="50"/>
  </r>
  <r>
    <d v="2025-07-25T00:00:00"/>
    <x v="2"/>
    <s v="016VATP252060026   NIP   Charge   VAT   -   ILH SALARY JUL 2025"/>
    <s v="Bank charges"/>
    <x v="1"/>
    <n v="3.75"/>
  </r>
  <r>
    <d v="2025-07-25T00:00:00"/>
    <x v="2"/>
    <s v="016NIPO252060028   NIP  -  ILH  SALARY  JUL_x000a_2025"/>
    <s v="Salaries and Wages"/>
    <x v="7"/>
    <n v="284491.56999999285"/>
  </r>
  <r>
    <d v="2025-07-25T00:00:00"/>
    <x v="2"/>
    <s v="016NIPC252060028 NIP Charge - ILH SALARY JUL 2025"/>
    <s v="Bank charges"/>
    <x v="1"/>
    <n v="50"/>
  </r>
  <r>
    <d v="2025-07-25T00:00:00"/>
    <x v="2"/>
    <s v="016VATP252060028   NIP   Charge   VAT   -   ILH SALARY JUL 2025"/>
    <s v="Bank charges"/>
    <x v="1"/>
    <n v="3.75"/>
  </r>
  <r>
    <d v="2025-07-25T00:00:00"/>
    <x v="2"/>
    <s v="016NIPO252060029   NIP  -  ILH  SALARY  JUL_x000a_2025"/>
    <s v="Salaries and Wages"/>
    <x v="7"/>
    <n v="284491.57000000775"/>
  </r>
  <r>
    <d v="2025-07-25T00:00:00"/>
    <x v="2"/>
    <s v="016NIPC252060029 NIP Charge - ILH SALARY JUL 2025"/>
    <s v="Bank charges"/>
    <x v="1"/>
    <n v="50"/>
  </r>
  <r>
    <d v="2025-07-25T00:00:00"/>
    <x v="2"/>
    <s v="016VATP252060029   NIP   Charge   VAT   -   ILH SALARY JUL 2025"/>
    <s v="Bank charges"/>
    <x v="1"/>
    <n v="3.75"/>
  </r>
  <r>
    <d v="2025-07-25T00:00:00"/>
    <x v="2"/>
    <s v="016NIPO252060030   NIP  -  ILH  SALARY  JUL_x000a_2025"/>
    <s v="Salaries and Wages"/>
    <x v="7"/>
    <n v="284491.56999999285"/>
  </r>
  <r>
    <d v="2025-07-25T00:00:00"/>
    <x v="2"/>
    <s v="016NIPC252060030 NIP Charge - ILH SALARY JUL 2025"/>
    <s v="Bank charges"/>
    <x v="1"/>
    <n v="50"/>
  </r>
  <r>
    <d v="2025-07-25T00:00:00"/>
    <x v="2"/>
    <s v="016VATP252060030   NIP   Charge   VAT   -   ILH SALARY JUL 2025"/>
    <s v="Bank charges"/>
    <x v="1"/>
    <n v="3.75"/>
  </r>
  <r>
    <d v="2025-07-25T00:00:00"/>
    <x v="2"/>
    <s v="016NIPO252060031   NIP  -  ILH  SALARY  JUL_x000a_2025"/>
    <s v="Salaries and Wages"/>
    <x v="7"/>
    <n v="284491.57000000775"/>
  </r>
  <r>
    <d v="2025-07-25T00:00:00"/>
    <x v="2"/>
    <s v="016NIPC252060031 NIP Charge - ILH SALARY JUL 2025"/>
    <s v="Bank charges"/>
    <x v="1"/>
    <n v="50"/>
  </r>
  <r>
    <d v="2025-07-25T00:00:00"/>
    <x v="2"/>
    <s v="016VATP252060031   NIP   Charge   VAT   -   ILH SALARY JUL 2025"/>
    <s v="Bank charges"/>
    <x v="1"/>
    <n v="3.75"/>
  </r>
  <r>
    <d v="2025-07-25T00:00:00"/>
    <x v="2"/>
    <s v="016NIPO252060032   NIP  -  ILH  SALARY  JUL_x000a_2025"/>
    <s v="Salaries and Wages"/>
    <x v="7"/>
    <n v="152194.92999999225"/>
  </r>
  <r>
    <d v="2025-07-25T00:00:00"/>
    <x v="2"/>
    <s v="016NIPC252060032 NIP Charge - ILH SALARY JUL 2025"/>
    <s v="Bank charges"/>
    <x v="1"/>
    <n v="50"/>
  </r>
  <r>
    <d v="2025-07-25T00:00:00"/>
    <x v="2"/>
    <s v="016VATP252060032   NIP   Charge   VAT   -   ILH SALARY JUL 2025"/>
    <s v="Bank charges"/>
    <x v="1"/>
    <n v="3.75"/>
  </r>
  <r>
    <d v="2025-07-25T00:00:00"/>
    <x v="2"/>
    <s v="016NIPO252060033   NIP  -  ILH  SALARY  JUL_x000a_2025"/>
    <s v="Salaries and Wages"/>
    <x v="7"/>
    <n v="284491.57000000775"/>
  </r>
  <r>
    <d v="2025-07-25T00:00:00"/>
    <x v="2"/>
    <s v="016NIPC252060033 NIP Charge - ILH SALARY JUL 2025"/>
    <s v="Bank charges"/>
    <x v="1"/>
    <n v="50"/>
  </r>
  <r>
    <d v="2025-07-25T00:00:00"/>
    <x v="2"/>
    <s v="016VATP252060033   NIP   Charge   VAT   -   ILH SALARY JUL 2025"/>
    <s v="Bank charges"/>
    <x v="1"/>
    <n v="3.75"/>
  </r>
  <r>
    <d v="2025-07-25T00:00:00"/>
    <x v="2"/>
    <s v="016NIPO252060034   NIP  -  ILH  SALARY  JUL_x000a_2025"/>
    <s v="Salaries and Wages"/>
    <x v="7"/>
    <n v="152194.92999999225"/>
  </r>
  <r>
    <d v="2025-07-25T00:00:00"/>
    <x v="2"/>
    <s v="016NIPC252060034 NIP Charge - ILH SALARY JUL 2025"/>
    <s v="Bank charges"/>
    <x v="1"/>
    <n v="50"/>
  </r>
  <r>
    <d v="2025-07-25T00:00:00"/>
    <x v="2"/>
    <s v="016VATP252060034   NIP   Charge   VAT   -   ILH SALARY JUL 2025"/>
    <s v="Bank charges"/>
    <x v="1"/>
    <n v="3.75"/>
  </r>
  <r>
    <d v="2025-07-25T00:00:00"/>
    <x v="2"/>
    <s v="016NIPO252060035   NIP  -  ILH  SALARY  JUL_x000a_2025"/>
    <s v="Salaries and Wages"/>
    <x v="7"/>
    <n v="75000"/>
  </r>
  <r>
    <d v="2025-07-25T00:00:00"/>
    <x v="2"/>
    <s v="016NIPC252060035 NIP Charge - ILH SALARY JUL 2025"/>
    <s v="Bank charges"/>
    <x v="1"/>
    <n v="50"/>
  </r>
  <r>
    <d v="2025-07-25T00:00:00"/>
    <x v="2"/>
    <s v="016VATP252060035   NIP   Charge   VAT   -   ILH SALARY JUL 2025"/>
    <s v="Bank charges"/>
    <x v="1"/>
    <n v="3.75"/>
  </r>
  <r>
    <d v="2025-07-25T00:00:00"/>
    <x v="2"/>
    <s v="016NIPO252060036   NIP  -  ILH  SALARY  JUL_x000a_2025"/>
    <s v="Salaries and Wages"/>
    <x v="7"/>
    <n v="75000"/>
  </r>
  <r>
    <d v="2025-07-25T00:00:00"/>
    <x v="2"/>
    <s v="016NIPC252060036 NIP Charge - ILH SALARY JUL 2025"/>
    <s v="Bank charges"/>
    <x v="1"/>
    <n v="50"/>
  </r>
  <r>
    <d v="2025-07-25T00:00:00"/>
    <x v="2"/>
    <s v="016VATP252060036   NIP   Charge   VAT   -   ILH SALARY JUL 2025"/>
    <s v="Bank charges"/>
    <x v="1"/>
    <n v="3.75"/>
  </r>
  <r>
    <d v="2025-07-25T00:00:00"/>
    <x v="2"/>
    <s v="016NIPO252060037   NIP  -  ILH  SALARY  JUL_x000a_2025"/>
    <s v="Salaries and Wages"/>
    <x v="7"/>
    <n v="75000"/>
  </r>
  <r>
    <d v="2025-07-25T00:00:00"/>
    <x v="2"/>
    <s v="016NIPC252060037 NIP Charge - ILH SALARY JUL 2025"/>
    <s v="Bank charges"/>
    <x v="1"/>
    <n v="50"/>
  </r>
  <r>
    <d v="2025-07-25T00:00:00"/>
    <x v="2"/>
    <s v="016VATP252060037   NIP   Charge   VAT   -   ILH SALARY JUL 2025"/>
    <s v="Bank charges"/>
    <x v="1"/>
    <n v="3.75"/>
  </r>
  <r>
    <d v="2025-07-25T00:00:00"/>
    <x v="2"/>
    <s v="016NIPO252060038   NIP  -  ILH  SALARY  JUL_x000a_2025"/>
    <s v="Salaries and Wages"/>
    <x v="7"/>
    <n v="66000"/>
  </r>
  <r>
    <d v="2025-07-25T00:00:00"/>
    <x v="2"/>
    <s v="016NIPC252060038 NIP Charge - ILH SALARY JUL 2025"/>
    <s v="Bank charges"/>
    <x v="1"/>
    <n v="50"/>
  </r>
  <r>
    <d v="2025-07-25T00:00:00"/>
    <x v="2"/>
    <s v="016VATP252060038   NIP   Charge   VAT   -   ILH SALARY JUL 2025"/>
    <s v="Bank charges"/>
    <x v="1"/>
    <n v="3.75"/>
  </r>
  <r>
    <d v="2025-07-25T00:00:00"/>
    <x v="2"/>
    <s v="016NIPO252060039   NIP  -  ILH  SALARY  JUL_x000a_2025"/>
    <s v="Salaries and Wages"/>
    <x v="7"/>
    <n v="66000"/>
  </r>
  <r>
    <d v="2025-07-25T00:00:00"/>
    <x v="2"/>
    <s v="016NIPC252060039 NIP Charge - ILH SALARY JUL 2025"/>
    <s v="Bank charges"/>
    <x v="1"/>
    <n v="50"/>
  </r>
  <r>
    <d v="2025-07-25T00:00:00"/>
    <x v="2"/>
    <s v="016VATP252060039   NIP   Charge   VAT   -   ILH SALARY JUL 2025"/>
    <s v="Bank charges"/>
    <x v="1"/>
    <n v="3.75"/>
  </r>
  <r>
    <d v="2025-07-25T00:00:00"/>
    <x v="2"/>
    <s v="016NIPO252060040   NIP  -  ILH  SALARY  JUL_x000a_2025"/>
    <s v="Salaries and Wages"/>
    <x v="7"/>
    <n v="66000"/>
  </r>
  <r>
    <d v="2025-07-25T00:00:00"/>
    <x v="2"/>
    <s v="016NIPC252060040 NIP Charge - ILH SALARY JUL 2025"/>
    <s v="Bank charges"/>
    <x v="1"/>
    <n v="50"/>
  </r>
  <r>
    <d v="2025-07-25T00:00:00"/>
    <x v="2"/>
    <s v="016VATP252060040   NIP   Charge   VAT   -   ILH SALARY JUL 2025"/>
    <s v="Bank charges"/>
    <x v="1"/>
    <n v="3.75"/>
  </r>
  <r>
    <d v="2025-07-25T00:00:00"/>
    <x v="2"/>
    <s v="016NIPO252060041   NIP  -  ILH  SALARY  JUL_x000a_2025"/>
    <s v="Salaries and Wages"/>
    <x v="7"/>
    <n v="66000"/>
  </r>
  <r>
    <d v="2025-07-25T00:00:00"/>
    <x v="2"/>
    <s v="016NIPC252060041 NIP Charge - ILH SALARY JUL 2025"/>
    <s v="Bank charges"/>
    <x v="1"/>
    <n v="50"/>
  </r>
  <r>
    <d v="2025-07-25T00:00:00"/>
    <x v="2"/>
    <s v="016VATP252060041   NIP   Charge   VAT   -   ILH SALARY JUL 2025"/>
    <s v="Bank charges"/>
    <x v="1"/>
    <n v="3.75"/>
  </r>
  <r>
    <d v="2025-07-25T00:00:00"/>
    <x v="2"/>
    <s v="016NIPO252060042   NIP  -  ILH  SALARY  JUL_x000a_2025"/>
    <s v="Salaries and Wages"/>
    <x v="7"/>
    <n v="66000"/>
  </r>
  <r>
    <d v="2025-07-25T00:00:00"/>
    <x v="2"/>
    <s v="016NIPC252060042 NIP Charge - ILH SALARY JUL 2025"/>
    <s v="Bank charges"/>
    <x v="1"/>
    <n v="50"/>
  </r>
  <r>
    <d v="2025-07-25T00:00:00"/>
    <x v="2"/>
    <s v="016VATP252060042   NIP   Charge   VAT   -   ILH SALARY JUL 2025"/>
    <s v="Bank charges"/>
    <x v="1"/>
    <n v="3.75"/>
  </r>
  <r>
    <d v="2025-07-25T00:00:00"/>
    <x v="2"/>
    <s v="016NIPO252060043   NIP  -  ILH  SALARY  JUL_x000a_2025"/>
    <s v="Salaries and Wages"/>
    <x v="7"/>
    <n v="66000"/>
  </r>
  <r>
    <d v="2025-07-25T00:00:00"/>
    <x v="2"/>
    <s v="016NIPC252060043 NIP Charge - ILH SALARY JUL 2025"/>
    <s v="Bank charges"/>
    <x v="1"/>
    <n v="50"/>
  </r>
  <r>
    <d v="2025-07-25T00:00:00"/>
    <x v="2"/>
    <s v="016VATP252060043   NIP   Charge   VAT   -   ILH SALARY JUL 2025"/>
    <s v="Bank charges"/>
    <x v="1"/>
    <n v="3.75"/>
  </r>
  <r>
    <d v="2025-07-25T00:00:00"/>
    <x v="2"/>
    <s v="016NIPO252060044   NIP  -  ILH  SALARY  JUL_x000a_2025"/>
    <s v="Salaries and Wages"/>
    <x v="7"/>
    <n v="66000"/>
  </r>
  <r>
    <d v="2025-07-25T00:00:00"/>
    <x v="2"/>
    <s v="016NIPC252060044 NIP Charge - ILH SALARY JUL 2025"/>
    <s v="Bank charges"/>
    <x v="1"/>
    <n v="50"/>
  </r>
  <r>
    <d v="2025-07-25T00:00:00"/>
    <x v="2"/>
    <s v="016VATP252060044   NIP   Charge   VAT   -   ILH SALARY JUL 2025"/>
    <s v="Bank charges"/>
    <x v="1"/>
    <n v="3.75"/>
  </r>
  <r>
    <d v="2025-07-25T00:00:00"/>
    <x v="2"/>
    <s v="016NIPO252060045   NIP  -  ILH  SALARY  JUL_x000a_2025"/>
    <s v="Salaries and Wages"/>
    <x v="7"/>
    <n v="152194.93000000715"/>
  </r>
  <r>
    <d v="2025-07-25T00:00:00"/>
    <x v="2"/>
    <s v="016NIPC252060045 NIP Charge - ILH SALARY JUL 2025"/>
    <s v="Bank charges"/>
    <x v="1"/>
    <n v="50"/>
  </r>
  <r>
    <d v="2025-07-25T00:00:00"/>
    <x v="2"/>
    <s v="016VATP252060045   NIP   Charge   VAT   -   ILH SALARY JUL 2025"/>
    <s v="Bank charges"/>
    <x v="1"/>
    <n v="3.75"/>
  </r>
  <r>
    <d v="2025-07-28T00:00:00"/>
    <x v="2"/>
    <s v="000MOBT25209AM38 JULY OFFICE SUPPLIES_x000a_NIP  Transfer  from  ILORIN  INNOVATION  HUB LTD to MAUREEN DANIEL OKEY"/>
    <s v="Stationery and Office Supplies"/>
    <x v="2"/>
    <n v="150000"/>
  </r>
  <r>
    <d v="2025-07-28T00:00:00"/>
    <x v="2"/>
    <s v="000MOBT25209AM38 JULY OFFICE SUPPLIES_x000a_NIP  Transfer  from  ILORIN  INNOVATION  HUB LTD to MAUREEN DANIEL OKEY"/>
    <s v="Bank charges"/>
    <x v="1"/>
    <n v="50"/>
  </r>
  <r>
    <d v="2025-07-28T00:00:00"/>
    <x v="2"/>
    <s v="000MOBT25209AM38 JULY OFFICE SUPPLIES_x000a_NIP  Transfer  from  ILORIN  INNOVATION  HUB LTD to MAUREEN DANIEL OKEY"/>
    <s v="Bank charges"/>
    <x v="1"/>
    <n v="3.75"/>
  </r>
  <r>
    <d v="2025-07-29T00:00:00"/>
    <x v="2"/>
    <s v="000MOBT252101281  MD  ILORINLAGOS  TRIP_x000a_NIP  Transfer  from  ILORIN  INNOVATION  HUB LTD to PAYSTACK CHECKOUT"/>
    <s v="Transport and Travel"/>
    <x v="18"/>
    <n v="302000"/>
  </r>
  <r>
    <d v="2025-07-29T00:00:00"/>
    <x v="2"/>
    <s v="000MOBT252101281  MD  ILORINLAGOS  TRIP_x000a_NIP  Transfer  from  ILORIN  INNOVATION  HUB LTD to PAYSTACK CHECKOUT"/>
    <s v="Bank charges"/>
    <x v="1"/>
    <n v="50"/>
  </r>
  <r>
    <d v="2025-07-29T00:00:00"/>
    <x v="2"/>
    <s v="000MOBT252101281  MD  ILORINLAGOS  TRIP_x000a_NIP  Transfer  from  ILORIN  INNOVATION  HUB LTD to PAYSTACK CHECKOUT"/>
    <s v="Bank charges"/>
    <x v="1"/>
    <n v="3.75"/>
  </r>
  <r>
    <d v="2025-07-29T00:00:00"/>
    <x v="2"/>
    <s v="016NIPO252100014   NIP   -   BEING   PAYMENT FOR PURCHASE OF 160A 4 POLE BEAKER"/>
    <s v="Repairs and maintenance"/>
    <x v="12"/>
    <n v="44000"/>
  </r>
  <r>
    <d v="2025-07-29T00:00:00"/>
    <x v="2"/>
    <s v="016NIPC252100013 NIP Charge - BEING PAYMENT FOR PURCHASE OF 160A 4 POLE BEAKER"/>
    <s v="Bank charges"/>
    <x v="1"/>
    <n v="25"/>
  </r>
  <r>
    <d v="2025-07-29T00:00:00"/>
    <x v="2"/>
    <s v="016VATP252100013 NIP  Charge VAT - BEING PAYMENT FOR PURCHASE OF 160A 4 POLE BEAKER"/>
    <s v="Bank charges"/>
    <x v="1"/>
    <n v="1.8799999952316284"/>
  </r>
  <r>
    <d v="2025-07-29T00:00:00"/>
    <x v="2"/>
    <s v="016NIPO252100015 NIP - BNG PYT TO HIRE AND  TRANSPORT  20KVA  DIESEL GENERATOR FOR 7 DAYS"/>
    <s v="Rentals"/>
    <x v="23"/>
    <n v="380000"/>
  </r>
  <r>
    <d v="2025-07-29T00:00:00"/>
    <x v="2"/>
    <s v="016NIPC252100014 NIP Charge - BNG PYT TO HIRE AND TRANSPORT 20KVA DIESEL GENERATOR FOR 7 DAYS"/>
    <s v="Bank charges"/>
    <x v="1"/>
    <n v="50"/>
  </r>
  <r>
    <d v="2025-07-29T00:00:00"/>
    <x v="2"/>
    <s v="016VATP252100014 NIP Charge VAT - BNG PYT TO HIRE AND TRANSPORT 20KVA DIESEL GENERATOR FOR 7 DAYS"/>
    <s v="Bank charges"/>
    <x v="1"/>
    <n v="3.75"/>
  </r>
  <r>
    <d v="2025-07-29T00:00:00"/>
    <x v="2"/>
    <s v="016NIPT252100475  NIP  TRSF  FROM  ISREAL_x000a_ABIODUN     Premium-Refund     of     generator rentage @ ilorin innov"/>
    <s v="Rentals"/>
    <x v="23"/>
    <n v="-380000"/>
  </r>
  <r>
    <d v="2025-07-29T00:00:00"/>
    <x v="2"/>
    <s v="000MOBT25210A23U   PAYMENT   FOR   20KVA GEN  RENTAL  AND  TRANSPORT  ELEVATOR_x000a_INSTALL NIP Transfer from ILORIN INNOV"/>
    <s v="Rentals"/>
    <x v="23"/>
    <n v="120000"/>
  </r>
  <r>
    <d v="2025-07-29T00:00:00"/>
    <x v="2"/>
    <s v="000MOBT25210A23U   PAYMENT   FOR   20KVA GEN  RENTAL  AND  TRANSPORT  ELEVATOR_x000a_INSTALL NIP Transfer from ILORIN INNOV"/>
    <s v="Bank charges"/>
    <x v="1"/>
    <n v="50"/>
  </r>
  <r>
    <d v="2025-07-29T00:00:00"/>
    <x v="2"/>
    <s v="000MOBT25210A23U   PAYMENT   FOR   20KVA GEN  RENTAL  AND  TRANSPORT  ELEVATOR_x000a_INSTALL NIP Transfer from ILORIN INNOV"/>
    <s v="Bank charges"/>
    <x v="1"/>
    <n v="3.75"/>
  </r>
  <r>
    <d v="2025-07-29T00:00:00"/>
    <x v="2"/>
    <s v="016EMTL2521000EA     ELECTRONIC     MONEY TRANSFER LEVY"/>
    <s v="Bank charges"/>
    <x v="1"/>
    <n v="50"/>
  </r>
  <r>
    <d v="2025-07-30T00:00:00"/>
    <x v="2"/>
    <s v="000MOBT252115101    PAYMENT   FOR   FOOD_x000a_FOR  IHS  GUESTS  NIP  Transfer  from  ILORIN INNOVATION HUB LTD to  BOA FOODS"/>
    <s v="Guest and entertainment"/>
    <x v="15"/>
    <n v="32000"/>
  </r>
  <r>
    <d v="2025-07-30T00:00:00"/>
    <x v="2"/>
    <s v="000MOBT252115101    PAYMENT   FOR   FOOD_x000a_FOR  IHS  GUESTS  NIP  Transfer  from  ILORIN INNOVATION HUB LTD to  BOA FOODS"/>
    <s v="Bank charges"/>
    <x v="1"/>
    <n v="25"/>
  </r>
  <r>
    <d v="2025-07-30T00:00:00"/>
    <x v="2"/>
    <s v="000MOBT252115101    PAYMENT   FOR   FOOD_x000a_FOR  IHS  GUESTS  NIP  Transfer  from  ILORIN INNOVATION HUB LTD to  BOA FOODS"/>
    <s v="Bank charges"/>
    <x v="1"/>
    <n v="1.8799999952316284"/>
  </r>
  <r>
    <d v="2025-07-30T00:00:00"/>
    <x v="2"/>
    <s v="000MOBT252116629   PAYMENT   FOR   STAFF_x000a_TRAINING  LUNCH  NIP  Transfer  from  ILORIN INNOVATION HUB LTD to  BOA FOODS"/>
    <s v="Guest and entertainment"/>
    <x v="15"/>
    <n v="136400"/>
  </r>
  <r>
    <d v="2025-07-30T00:00:00"/>
    <x v="2"/>
    <s v="000MOBT252116629   PAYMENT   FOR   STAFF_x000a_TRAINING  LUNCH  NIP  Transfer  from  ILORIN INNOVATION HUB LTD to  BOA FOODS"/>
    <s v="Bank charges"/>
    <x v="1"/>
    <n v="50"/>
  </r>
  <r>
    <d v="2025-07-30T00:00:00"/>
    <x v="2"/>
    <s v="000MOBT252116629   PAYMENT   FOR   STAFF_x000a_TRAINING  LUNCH  NIP  Transfer  from  ILORIN INNOVATION HUB LTD to  BOA FOODS"/>
    <s v="Bank charges"/>
    <x v="1"/>
    <n v="3.75"/>
  </r>
  <r>
    <d v="2025-07-30T00:00:00"/>
    <x v="2"/>
    <s v="000MOBT25211A0YD   REIMBURSEMENT   FOR_x000a_GUEST  REFRESHMENTS  NIP  Transfer  from ILORIN INNOVATION HUB LTD to MAUREE"/>
    <s v="Guest and entertainment"/>
    <x v="13"/>
    <n v="13300"/>
  </r>
  <r>
    <d v="2025-07-30T00:00:00"/>
    <x v="2"/>
    <s v="000MOBT25211A0YD   REIMBURSEMENT   FOR_x000a_GUEST  REFRESHMENTS  NIP  Transfer  from ILORIN INNOVATION HUB LTD to MAUREE"/>
    <s v="Bank charges"/>
    <x v="1"/>
    <n v="25"/>
  </r>
  <r>
    <d v="2025-07-30T00:00:00"/>
    <x v="2"/>
    <s v="000MOBT25211A0YD   REIMBURSEMENT   FOR_x000a_GUEST  REFRESHMENTS  NIP  Transfer  from ILORIN INNOVATION HUB LTD to MAUREE"/>
    <s v="Bank charges"/>
    <x v="1"/>
    <n v="1.8800000101327896"/>
  </r>
  <r>
    <d v="2025-07-30T00:00:00"/>
    <x v="2"/>
    <s v="000MOBT25211A108   PAYMENT   FOR   STAFF_x000a_TRAINING  LUNCH   NIP  Transfer  from  ILORIN INNOVATION HUB LTD to  BOA FOOD"/>
    <s v="Guest and entertainment"/>
    <x v="15"/>
    <n v="136400"/>
  </r>
  <r>
    <d v="2025-07-30T00:00:00"/>
    <x v="2"/>
    <s v="000MOBT25211A108   PAYMENT   FOR   STAFF_x000a_TRAINING  LUNCH   NIP  Transfer  from  ILORIN INNOVATION HUB LTD to  BOA FOOD"/>
    <s v="Bank charges"/>
    <x v="1"/>
    <n v="50"/>
  </r>
  <r>
    <d v="2025-07-30T00:00:00"/>
    <x v="2"/>
    <s v="000MOBT25211A108   PAYMENT   FOR   STAFF_x000a_TRAINING  LUNCH   NIP  Transfer  from  ILORIN INNOVATION HUB LTD to  BOA FOOD"/>
    <s v="Bank charges"/>
    <x v="1"/>
    <n v="3.75"/>
  </r>
  <r>
    <d v="2025-07-30T00:00:00"/>
    <x v="2"/>
    <s v="000MOBT25211A11L   REIMBURSEMENT   FOR STAFF    BIRTHDAY    CAKE    ADEBOLA    NIP_x000a_Transfer from ILORIN INNOVATION HUB LTD"/>
    <s v="Guest and entertainment"/>
    <x v="15"/>
    <n v="20000"/>
  </r>
  <r>
    <d v="2025-07-30T00:00:00"/>
    <x v="2"/>
    <s v="000MOBT25211A11L   REIMBURSEMENT   FOR STAFF    BIRTHDAY    CAKE    ADEBOLA    NIP_x000a_Transfer from ILORIN INNOVATION HUB LTD"/>
    <s v="Bank charges"/>
    <x v="1"/>
    <n v="25"/>
  </r>
  <r>
    <d v="2025-07-30T00:00:00"/>
    <x v="2"/>
    <s v="000MOBT25211A11L   REIMBURSEMENT   FOR STAFF    BIRTHDAY    CAKE    ADEBOLA    NIP_x000a_Transfer from ILORIN INNOVATION HUB LTD"/>
    <s v="Bank charges"/>
    <x v="1"/>
    <n v="1.8799999952316284"/>
  </r>
  <r>
    <d v="2025-07-31T00:00:00"/>
    <x v="2"/>
    <s v="000MOBT252127799    PAYMENT    FOR    JULY_x000a_WASTE  DISPOSAL  NIP  Transfer  from  ILORIN INNOVATION HUB LTD to EXTREME GLO"/>
    <s v="Stationery and Office Supplies"/>
    <x v="2"/>
    <n v="40000"/>
  </r>
  <r>
    <d v="2025-07-31T00:00:00"/>
    <x v="2"/>
    <s v="000MOBT252127799    PAYMENT    FOR    JULY_x000a_WASTE  DISPOSAL  NIP  Transfer  from  ILORIN INNOVATION HUB LTD to EXTREME GLO"/>
    <s v="Bank charges"/>
    <x v="1"/>
    <n v="25"/>
  </r>
  <r>
    <d v="2025-07-31T00:00:00"/>
    <x v="2"/>
    <s v="000MOBT252127799    PAYMENT    FOR    JULY_x000a_WASTE  DISPOSAL  NIP  Transfer  from  ILORIN INNOVATION HUB LTD to EXTREME GLO"/>
    <s v="Bank charges"/>
    <x v="1"/>
    <n v="1.8799999952316284"/>
  </r>
  <r>
    <d v="2025-07-31T00:00:00"/>
    <x v="2"/>
    <s v="016NIPO252120019 NIP - BNG PYT FOR JULY_x000a_2025 SECURITY SERVICE"/>
    <s v="security"/>
    <x v="14"/>
    <n v="950000"/>
  </r>
  <r>
    <d v="2025-07-31T00:00:00"/>
    <x v="2"/>
    <s v="016NIPC252120019   NIP  Charge  -  BNG  PYT FOR JULY 2025 SECURITY SERVICE"/>
    <s v="Bank charges"/>
    <x v="1"/>
    <n v="50"/>
  </r>
  <r>
    <d v="2025-07-31T00:00:00"/>
    <x v="2"/>
    <s v="016VATP252120019  NIP  Charge  VAT  -  BNG PYT FOR JULY 2025 SECURITY SERVICE"/>
    <s v="Bank charges"/>
    <x v="1"/>
    <n v="3.75"/>
  </r>
  <r>
    <d v="2025-07-31T00:00:00"/>
    <x v="2"/>
    <s v="016AMFV25212002M  VAT  ON  TRANSACTION CHARGES"/>
    <s v="Bank charges"/>
    <x v="1"/>
    <n v="1670.1000000089407"/>
  </r>
  <r>
    <d v="2025-07-31T00:00:00"/>
    <x v="2"/>
    <s v="016AMFC25212003P                             ACCOUNT MAINTENANCE FEE"/>
    <s v="Bank charges"/>
    <x v="1"/>
    <n v="22267.04999999702"/>
  </r>
  <r>
    <d v="2025-08-01T00:00:00"/>
    <x v="3"/>
    <s v="000MOBT25212AB40   PAYMENT   FOR   ZOHO CAMPAIGNS   5000CONTACTS   ANNUAL   NIP_x000a_Transfer from ILORIN INNOVATION HUB LTD"/>
    <s v="Software expense - Zoho"/>
    <x v="9"/>
    <n v="230942.25"/>
  </r>
  <r>
    <d v="2025-08-01T00:00:00"/>
    <x v="3"/>
    <s v="000MOBT25212AB40   PAYMENT   FOR   ZOHO CAMPAIGNS   5000CONTACTS   ANNUAL   NIP_x000a_Transfer from ILORIN INNOVATION HUB LTD"/>
    <s v="Bank charges"/>
    <x v="1"/>
    <n v="50"/>
  </r>
  <r>
    <d v="2025-08-01T00:00:00"/>
    <x v="3"/>
    <s v="000MOBT25212AB40   PAYMENT   FOR   ZOHO CAMPAIGNS   5000CONTACTS   ANNUAL   NIP_x000a_Transfer from ILORIN INNOVATION HUB LTD"/>
    <s v="Bank charges"/>
    <x v="1"/>
    <n v="3.75"/>
  </r>
  <r>
    <d v="2025-07-31T00:00:00"/>
    <x v="2"/>
    <s v="Bank transactions in July"/>
    <s v="Bank balance"/>
    <x v="5"/>
    <n v="-22153745.299999997"/>
  </r>
  <r>
    <d v="2025-08-01T00:00:00"/>
    <x v="3"/>
    <s v="000MOBT252131560           PAYMENT           FOR_x000a_OUTDOOR RING PAINTING NIP Transfer from ILORIN INNOVATION HUB LTD to BENETTON"/>
    <s v="Repairs and maintenance"/>
    <x v="12"/>
    <n v="170000"/>
  </r>
  <r>
    <d v="2025-08-01T00:00:00"/>
    <x v="3"/>
    <s v="000MOBT252131560           PAYMENT           FOR_x000a_OUTDOOR RING PAINTING NIP Transfer from ILORIN INNOVATION HUB LTD to BENETTON"/>
    <s v="Bank charges"/>
    <x v="1"/>
    <n v="50"/>
  </r>
  <r>
    <d v="2025-08-01T00:00:00"/>
    <x v="3"/>
    <s v="000MOBT252131560           PAYMENT           FOR_x000a_OUTDOOR RING PAINTING NIP Transfer from ILORIN INNOVATION HUB LTD to BENETTON"/>
    <s v="Bank charges"/>
    <x v="1"/>
    <n v="3.75"/>
  </r>
  <r>
    <d v="2025-08-01T00:00:00"/>
    <x v="3"/>
    <s v="016AMFC25213000D                             ACCOUNT MAINTENANCE FEE"/>
    <s v="Bank charges"/>
    <x v="1"/>
    <n v="230.93999999761581"/>
  </r>
  <r>
    <d v="2025-08-01T00:00:00"/>
    <x v="3"/>
    <s v="016AMFV252130008   VAT   ON  TRANSACTION CHARGES"/>
    <s v="Bank charges"/>
    <x v="1"/>
    <n v="17.319999992847443"/>
  </r>
  <r>
    <d v="2025-08-01T00:00:00"/>
    <x v="3"/>
    <s v="016NIPO252130019 NIP - BNG PYT FOR JULY_x000a_2025 JANITORIAL SERVICE"/>
    <s v="Cleaning expenses"/>
    <x v="3"/>
    <n v="1300000"/>
  </r>
  <r>
    <d v="2025-08-01T00:00:00"/>
    <x v="3"/>
    <s v="016NIPC252130019   NIP  Charge  -  BNG  PYT FOR JULY 2025 JANITORIAL SERVICE"/>
    <s v="Bank charges"/>
    <x v="1"/>
    <n v="50"/>
  </r>
  <r>
    <d v="2025-08-01T00:00:00"/>
    <x v="3"/>
    <s v="016VATP252130019  NIP  Charge  VAT  -  BNG PYT FOR JULY 2025 JANITORIAL SERVICE"/>
    <s v="Bank charges"/>
    <x v="1"/>
    <n v="3.75"/>
  </r>
  <r>
    <d v="2025-08-01T00:00:00"/>
    <x v="3"/>
    <s v="000MOBT252136754 ILORININNOVATIONHUBCOM                DOMAIN_x000a_RENEWAL NIP Transfer from ILORIN"/>
    <s v="Unallocated expense"/>
    <x v="24"/>
    <n v="36116.760000005364"/>
  </r>
  <r>
    <d v="2025-08-01T00:00:00"/>
    <x v="3"/>
    <s v="000MOBT252136754 ILORININNOVATIONHUBCOM                DOMAIN_x000a_RENEWAL NIP Transfer from ILORIN"/>
    <s v="Bank charges"/>
    <x v="1"/>
    <n v="25"/>
  </r>
  <r>
    <d v="2025-08-01T00:00:00"/>
    <x v="3"/>
    <s v="000MOBT252136754 ILORININNOVATIONHUBCOM                DOMAIN_x000a_RENEWAL NIP Transfer from ILORIN"/>
    <s v="Bank charges"/>
    <x v="1"/>
    <n v="1.8799999952316284"/>
  </r>
  <r>
    <d v="2025-08-01T00:00:00"/>
    <x v="3"/>
    <s v="016NIPT252130273 NIP TRSF FROM TEMILOLUWA OLUWALEKE KOLAWOLE ABJ BOLT RIDE REFUND"/>
    <s v="Transport and Travel"/>
    <x v="18"/>
    <n v="-20700"/>
  </r>
  <r>
    <d v="2025-08-01T00:00:00"/>
    <x v="3"/>
    <s v="016EMTL2521300NZ     ELECTRONIC     MONEY TRANSFER LEVY"/>
    <s v="Bank charges"/>
    <x v="1"/>
    <n v="50"/>
  </r>
  <r>
    <d v="2025-08-04T00:00:00"/>
    <x v="3"/>
    <s v="000MOBT252169336 REIMBURSEMENT FOR SUI EVENT  REFRESHMENTS  NIP  Transfer from ILORIN INNOVATION HUB LTD to M"/>
    <s v="Guest and entertainment"/>
    <x v="13"/>
    <n v="146000"/>
  </r>
  <r>
    <d v="2025-08-04T00:00:00"/>
    <x v="3"/>
    <s v="000MOBT252169336 REIMBURSEMENT FOR SUI EVENT  REFRESHMENTS  NIP  Transfer from ILORIN INNOVATION HUB LTD to M"/>
    <s v="Bank charges"/>
    <x v="1"/>
    <n v="50"/>
  </r>
  <r>
    <d v="2025-08-04T00:00:00"/>
    <x v="3"/>
    <s v="000MOBT252169336 REIMBURSEMENT FOR SUI EVENT  REFRESHMENTS  NIP  Transfer from ILORIN INNOVATION HUB LTD to M"/>
    <s v="Bank charges"/>
    <x v="1"/>
    <n v="3.75"/>
  </r>
  <r>
    <d v="2025-08-04T00:00:00"/>
    <x v="3"/>
    <s v="000MOBT25216AAFF   PAYMENT   FOR   STAFF_x000a_BIRTHDAY  CAKE  TOSIN  NIP  Transfer  from ILORIN INNOVATION HUB LTD to Infin"/>
    <s v="Guest and entertainment"/>
    <x v="15"/>
    <n v="25000"/>
  </r>
  <r>
    <d v="2025-08-04T00:00:00"/>
    <x v="3"/>
    <s v="000MOBT25216AAFF   PAYMENT   FOR   STAFF_x000a_BIRTHDAY  CAKE  TOSIN  NIP  Transfer  from ILORIN INNOVATION HUB LTD to Infin"/>
    <s v="Bank charges"/>
    <x v="1"/>
    <n v="25"/>
  </r>
  <r>
    <d v="2025-08-04T00:00:00"/>
    <x v="3"/>
    <s v="000MOBT25216AAFF   PAYMENT   FOR   STAFF_x000a_BIRTHDAY  CAKE  TOSIN  NIP  Transfer  from ILORIN INNOVATION HUB LTD to Infin"/>
    <s v="Bank charges"/>
    <x v="1"/>
    <n v="1.8800000101327896"/>
  </r>
  <r>
    <d v="2025-08-04T00:00:00"/>
    <x v="3"/>
    <s v="016NIPO252160001   NIP   -   BNG   PYT   FOR BOOKING ID 2508030403119"/>
    <s v="Unallocated expense"/>
    <x v="25"/>
    <n v="4791366"/>
  </r>
  <r>
    <d v="2025-08-04T00:00:00"/>
    <x v="3"/>
    <s v="016NIPC252160001   NIP  Charge  -  BNG  PYT FOR BOOKING ID 2508030403119"/>
    <s v="Bank charges"/>
    <x v="1"/>
    <n v="50"/>
  </r>
  <r>
    <d v="2025-08-04T00:00:00"/>
    <x v="3"/>
    <s v="016VATP252160001  NIP  Charge  VAT  -  BNG PYT FOR BOOKING ID 2508030403119"/>
    <s v="Bank charges"/>
    <x v="1"/>
    <n v="3.75"/>
  </r>
  <r>
    <d v="2025-08-04T00:00:00"/>
    <x v="3"/>
    <s v="016NIPO252160001   NIP   -   BNG   PYT   FOR BOOKING ID 2508030403119"/>
    <s v="Unallocated expense"/>
    <x v="25"/>
    <n v="-4791366"/>
  </r>
  <r>
    <d v="2025-08-04T00:00:00"/>
    <x v="3"/>
    <s v="016NIPC252160001   NIP  Charge  -  BNG  PYT FOR BOOKING ID 2508030403119"/>
    <s v="Bank charges"/>
    <x v="1"/>
    <n v="-50"/>
  </r>
  <r>
    <d v="2025-08-04T00:00:00"/>
    <x v="3"/>
    <s v="016VATP252160001  NIP  Charge  VAT  -  BNG PYT FOR BOOKING ID 2508030403119"/>
    <s v="Bank charges"/>
    <x v="1"/>
    <n v="-3.75"/>
  </r>
  <r>
    <d v="2025-08-04T00:00:00"/>
    <x v="3"/>
    <s v="016NIPO252160002   NIP   -   BNG   PYT   FOR BOOKING ID 2508030403119"/>
    <s v="Unallocated expense"/>
    <x v="25"/>
    <n v="4791366"/>
  </r>
  <r>
    <d v="2025-08-04T00:00:00"/>
    <x v="3"/>
    <s v="016NIPC252160002   NIP  Charge  -  BNG  PYT FOR BOOKING ID 2508030403119"/>
    <s v="Bank charges"/>
    <x v="1"/>
    <n v="50"/>
  </r>
  <r>
    <d v="2025-08-04T00:00:00"/>
    <x v="3"/>
    <s v="016VATP252160002  NIP  Charge  VAT  -  BNG PYT FOR BOOKING ID 2508030403119"/>
    <s v="Bank charges"/>
    <x v="1"/>
    <n v="3.75"/>
  </r>
  <r>
    <d v="2025-08-04T00:00:00"/>
    <x v="3"/>
    <s v="000MOBT25216AHDE     SECURITY     DEPOSIT_x000a_REDUND   3SU   NIP   Transfer   from   ILORIN INNOVATION HUB LTD to BLAISE MICHAELS"/>
    <s v="Security deposit"/>
    <x v="8"/>
    <n v="100000"/>
  </r>
  <r>
    <d v="2025-08-04T00:00:00"/>
    <x v="3"/>
    <s v="000MOBT25216AHDE     SECURITY     DEPOSIT_x000a_REDUND   3SU   NIP   Transfer   from   ILORIN INNOVATION HUB LTD to BLAISE MICHAELS"/>
    <s v="Bank charges"/>
    <x v="1"/>
    <n v="50"/>
  </r>
  <r>
    <d v="2025-08-04T00:00:00"/>
    <x v="3"/>
    <s v="000MOBT25216AHDE     SECURITY     DEPOSIT_x000a_REDUND   3SU   NIP   Transfer   from   ILORIN INNOVATION HUB LTD to BLAISE MICHAELS"/>
    <s v="Bank charges"/>
    <x v="1"/>
    <n v="3.75"/>
  </r>
  <r>
    <d v="2025-08-04T00:00:00"/>
    <x v="3"/>
    <s v="000MOBT25216AHJJ            NHF            SALARY_x000a_DEDUCTION    REFUND    NIP    Transfer    from ILORIN INNOVATION HUB LTD to AHMAD"/>
    <s v="Salaries and Wages"/>
    <x v="7"/>
    <n v="15750"/>
  </r>
  <r>
    <d v="2025-08-04T00:00:00"/>
    <x v="3"/>
    <s v="000MOBT25216AHJJ            NHF            SALARY_x000a_DEDUCTION    REFUND    NIP    Transfer    from ILORIN INNOVATION HUB LTD to AHMAD"/>
    <s v="Bank charges"/>
    <x v="1"/>
    <n v="25"/>
  </r>
  <r>
    <d v="2025-08-04T00:00:00"/>
    <x v="3"/>
    <s v="000MOBT25216AHJJ            NHF            SALARY_x000a_DEDUCTION    REFUND    NIP    Transfer    from ILORIN INNOVATION HUB LTD to AHMAD"/>
    <s v="Bank charges"/>
    <x v="1"/>
    <n v="1.8799999952316284"/>
  </r>
  <r>
    <d v="2025-08-04T00:00:00"/>
    <x v="3"/>
    <s v="000MOBT25216AHQL     SECURITY     DEPOSIT_x000a_REFUND SUI BLOCKCHAIN NIP Transfer from ILORIN INNOVATION HUB LTD to SAMU"/>
    <s v="Security deposit"/>
    <x v="8"/>
    <n v="80000"/>
  </r>
  <r>
    <d v="2025-08-04T00:00:00"/>
    <x v="3"/>
    <s v="000MOBT25216AHQL     SECURITY     DEPOSIT_x000a_REFUND SUI BLOCKCHAIN NIP Transfer from ILORIN INNOVATION HUB LTD to SAMU"/>
    <s v="Bank charges"/>
    <x v="1"/>
    <n v="50"/>
  </r>
  <r>
    <d v="2025-08-04T00:00:00"/>
    <x v="3"/>
    <s v="000MOBT25216AHQL     SECURITY     DEPOSIT_x000a_REFUND SUI BLOCKCHAIN NIP Transfer from ILORIN INNOVATION HUB LTD to SAMU"/>
    <s v="Bank charges"/>
    <x v="1"/>
    <n v="3.75"/>
  </r>
  <r>
    <d v="2025-08-04T00:00:00"/>
    <x v="3"/>
    <s v="000MOBT25216AMLC ADDITIONAL 6 DAY GEN RENTAL    FOR    ELEVATOR    INSTALL    NIP_x000a_Transfer from ILORIN INNOVATION HUB L"/>
    <s v="Generator Rentals"/>
    <x v="23"/>
    <n v="240000"/>
  </r>
  <r>
    <d v="2025-08-04T00:00:00"/>
    <x v="3"/>
    <s v="000MOBT25216AMLC ADDITIONAL 6 DAY GEN RENTAL    FOR    ELEVATOR    INSTALL    NIP_x000a_Transfer from ILORIN INNOVATION HUB L"/>
    <s v="Bank charges"/>
    <x v="1"/>
    <n v="50"/>
  </r>
  <r>
    <d v="2025-08-04T00:00:00"/>
    <x v="3"/>
    <s v="000MOBT25216AMLC ADDITIONAL 6 DAY GEN RENTAL    FOR    ELEVATOR    INSTALL    NIP_x000a_Transfer from ILORIN INNOVATION HUB L"/>
    <s v="Bank charges"/>
    <x v="1"/>
    <n v="3.75"/>
  </r>
  <r>
    <d v="2025-08-05T00:00:00"/>
    <x v="3"/>
    <s v="016NIPO252170002  NIP  -  BNG  PYT  FOR  Ai4_x000a_2025 START UP PASS APPLICATION"/>
    <s v="Staff training"/>
    <x v="26"/>
    <n v="2218342"/>
  </r>
  <r>
    <d v="2025-08-05T00:00:00"/>
    <x v="3"/>
    <s v="016NIPC252170002   NIP  Charge  -  BNG  PYT FOR Ai4 2025 START UP PASS APPLICATION"/>
    <s v="Bank charges"/>
    <x v="1"/>
    <n v="50"/>
  </r>
  <r>
    <d v="2025-08-05T00:00:00"/>
    <x v="3"/>
    <s v="016VATP252170002 NIP Charge VAT - BNG PYT FOR Ai4 2025 START UP PASS APPLICATION"/>
    <s v="Bank charges"/>
    <x v="1"/>
    <n v="3.75"/>
  </r>
  <r>
    <d v="2025-08-05T00:00:00"/>
    <x v="3"/>
    <s v="000MOBT25217A0IN     PAYMENT     FOR     70L_x000a_DIESEL       NIP       Transfer       from       ILORIN INNOVATION HUB LTD to  One Mind Triplet Co"/>
    <s v="Diesel and Fuel"/>
    <x v="22"/>
    <n v="75600"/>
  </r>
  <r>
    <d v="2025-08-05T00:00:00"/>
    <x v="3"/>
    <s v="000MOBT25217A0IN     PAYMENT     FOR     70L_x000a_DIESEL       NIP       Transfer       from       ILORIN INNOVATION HUB LTD to  One Mind Triplet Co"/>
    <s v="Bank charges"/>
    <x v="1"/>
    <n v="50"/>
  </r>
  <r>
    <d v="2025-08-05T00:00:00"/>
    <x v="3"/>
    <s v="000MOBT25217A0IN     PAYMENT     FOR     70L_x000a_DIESEL       NIP       Transfer       from       ILORIN INNOVATION HUB LTD to  One Mind Triplet Co"/>
    <s v="Bank charges"/>
    <x v="1"/>
    <n v="3.75"/>
  </r>
  <r>
    <d v="2025-08-06T00:00:00"/>
    <x v="3"/>
    <s v="000MOBT252189725    PAYMENT   FOR   NSITF_x000a_JULY   CONTRIB   NIP   Transfer   from   ILORIN INNOVATION HUB LTD to Remita Check"/>
    <s v="Salaries and Wages"/>
    <x v="7"/>
    <n v="121281.25"/>
  </r>
  <r>
    <d v="2025-08-06T00:00:00"/>
    <x v="3"/>
    <s v="000MOBT252189725    PAYMENT   FOR   NSITF_x000a_JULY   CONTRIB   NIP   Transfer   from   ILORIN INNOVATION HUB LTD to Remita Check"/>
    <s v="Bank charges"/>
    <x v="1"/>
    <n v="50"/>
  </r>
  <r>
    <d v="2025-08-06T00:00:00"/>
    <x v="3"/>
    <s v="000MOBT252189725    PAYMENT   FOR   NSITF_x000a_JULY   CONTRIB   NIP   Transfer   from   ILORIN INNOVATION HUB LTD to Remita Check"/>
    <s v="Bank charges"/>
    <x v="1"/>
    <n v="3.75"/>
  </r>
  <r>
    <d v="2025-08-06T00:00:00"/>
    <x v="3"/>
    <s v="016NIPT252180674 NIP TRSF FROM WAKANOWWORKING CAPITAL/CAPEX 638900946004306974-4 EXCESS FUND RFD"/>
    <s v="Unallocated expense"/>
    <x v="25"/>
    <n v="-729742"/>
  </r>
  <r>
    <d v="2025-08-07T00:00:00"/>
    <x v="3"/>
    <s v="000MOBT252182211  MD  ILVABV  TICKET  LBS_x000a_AI   WORKSHOP    NIP   Transfer   from   ILORIN INNOVATION HUB LTD to PAYSTACK"/>
    <s v="Transport and Travel"/>
    <x v="18"/>
    <n v="322000"/>
  </r>
  <r>
    <d v="2025-08-07T00:00:00"/>
    <x v="3"/>
    <s v="000MOBT252182211  MD  ILVABV  TICKET  LBS_x000a_AI   WORKSHOP    NIP   Transfer   from   ILORIN INNOVATION HUB LTD to PAYSTACK"/>
    <s v="Bank charges"/>
    <x v="1"/>
    <n v="50"/>
  </r>
  <r>
    <d v="2025-08-07T00:00:00"/>
    <x v="3"/>
    <s v="000MOBT252182211  MD  ILVABV  TICKET  LBS_x000a_AI   WORKSHOP    NIP   Transfer   from   ILORIN INNOVATION HUB LTD to PAYSTACK"/>
    <s v="Bank charges"/>
    <x v="1"/>
    <n v="3.75"/>
  </r>
  <r>
    <d v="2025-08-07T00:00:00"/>
    <x v="3"/>
    <s v="016NIPO252190009    NIP    -    NIP    TRSF    IFO_x000a_PAYOUTSUB     Temiloluwa     Kolawole     B/O ILORIN TECH (BNG PMNT FOR Ai4 2025"/>
    <s v="Unallocated expense"/>
    <x v="25"/>
    <n v="1085847.8400000036"/>
  </r>
  <r>
    <d v="2025-08-07T00:00:00"/>
    <x v="3"/>
    <s v="016NIPC252190009 NIP Charge - NIP TRSF IFO_x000a_PAYOUTSUB     Temiloluwa     Kolawole     B/O ILORIN TECH (BNG PMNT FOR Ai4 2025"/>
    <s v="Bank charges"/>
    <x v="1"/>
    <n v="50"/>
  </r>
  <r>
    <d v="2025-08-07T00:00:00"/>
    <x v="3"/>
    <s v="016VATP252190009   NIP   Charge   VAT   -   NIP_x000a_TRSF  IFO  PAYOUTSUB  Temiloluwa  Kolawole B/O ILORIN TECH (BNG PMNT FOR Ai4 2025"/>
    <s v="Bank charges"/>
    <x v="1"/>
    <n v="3.75"/>
  </r>
  <r>
    <d v="2025-08-07T00:00:00"/>
    <x v="3"/>
    <s v="016EMTL25219000H     ELECTRONIC     MONEY TRANSFER LEVY"/>
    <s v="Bank charges"/>
    <x v="1"/>
    <n v="50"/>
  </r>
  <r>
    <d v="2025-08-11T00:00:00"/>
    <x v="3"/>
    <s v="000MOBT25223AC77   REIMBURSEMENT   FOR_x000a_LAGOSILORIN  MD  NIP  Transfer  from  ILORIN INNOVATION HUB LTD to TEMILOLUWA"/>
    <s v="Transport and Travel"/>
    <x v="18"/>
    <n v="217000"/>
  </r>
  <r>
    <d v="2025-08-11T00:00:00"/>
    <x v="3"/>
    <s v="000MOBT25223AC77   REIMBURSEMENT   FOR_x000a_LAGOSILORIN  MD  NIP  Transfer  from  ILORIN INNOVATION HUB LTD to TEMILOLUWA"/>
    <s v="Bank charges"/>
    <x v="1"/>
    <n v="50"/>
  </r>
  <r>
    <d v="2025-08-11T00:00:00"/>
    <x v="3"/>
    <s v="000MOBT25223AC77   REIMBURSEMENT   FOR_x000a_LAGOSILORIN  MD  NIP  Transfer  from  ILORIN INNOVATION HUB LTD to TEMILOLUWA"/>
    <s v="Bank charges"/>
    <x v="1"/>
    <n v="3.75"/>
  </r>
  <r>
    <d v="2025-08-11T00:00:00"/>
    <x v="3"/>
    <s v="000MOBT25223AC78              REIMBURSEMENT_x000a_ABUJA LAGOS MD NIP Transfer from ILORIN INNOVATION HUB LTD to TEMILOLUWA OLU"/>
    <s v="Transport and Travel"/>
    <x v="18"/>
    <n v="203000"/>
  </r>
  <r>
    <d v="2025-08-11T00:00:00"/>
    <x v="3"/>
    <s v="000MOBT25223AC78              REIMBURSEMENT_x000a_ABUJA LAGOS MD NIP Transfer from ILORIN INNOVATION HUB LTD to TEMILOLUWA OLU"/>
    <s v="Bank charges"/>
    <x v="1"/>
    <n v="50"/>
  </r>
  <r>
    <d v="2025-08-11T00:00:00"/>
    <x v="3"/>
    <s v="000MOBT25223AC78              REIMBURSEMENT_x000a_ABUJA LAGOS MD NIP Transfer from ILORIN INNOVATION HUB LTD to TEMILOLUWA OLU"/>
    <s v="Bank charges"/>
    <x v="1"/>
    <n v="3.75"/>
  </r>
  <r>
    <d v="2025-08-13T00:00:00"/>
    <x v="3"/>
    <s v="000MOBT25224A4DH   REIMBURSEMENT   FOR_x000a_FUEL NIP Transfer from ILORIN INNOVATION HUB LTD to OKEY MAUREEN DANIEL"/>
    <s v="Diesel and Fuel"/>
    <x v="22"/>
    <n v="20000"/>
  </r>
  <r>
    <d v="2025-08-13T00:00:00"/>
    <x v="3"/>
    <s v="000MOBT25224A4DH   REIMBURSEMENT   FOR_x000a_FUEL NIP Transfer from ILORIN INNOVATION HUB LTD to OKEY MAUREEN DANIEL"/>
    <s v="Bank charges"/>
    <x v="1"/>
    <n v="25"/>
  </r>
  <r>
    <d v="2025-08-13T00:00:00"/>
    <x v="3"/>
    <s v="000MOBT25224A4DH   REIMBURSEMENT   FOR_x000a_FUEL NIP Transfer from ILORIN INNOVATION HUB LTD to OKEY MAUREEN DANIEL"/>
    <s v="Bank charges"/>
    <x v="1"/>
    <n v="1.8799999952316284"/>
  </r>
  <r>
    <d v="2025-08-13T00:00:00"/>
    <x v="3"/>
    <s v="000MOBT252250014    REIMBURSEMENT    FOR_x000a_FUEL NIP Transfer from ILORIN INNOVATION HUB LTD to TEMILOLUWA OLUWALEKE"/>
    <s v="Diesel and Fuel"/>
    <x v="22"/>
    <n v="110000"/>
  </r>
  <r>
    <d v="2025-08-13T00:00:00"/>
    <x v="3"/>
    <s v="000MOBT252250014    REIMBURSEMENT    FOR_x000a_FUEL NIP Transfer from ILORIN INNOVATION HUB LTD to TEMILOLUWA OLUWALEKE"/>
    <s v="Bank charges"/>
    <x v="1"/>
    <n v="50"/>
  </r>
  <r>
    <d v="2025-08-13T00:00:00"/>
    <x v="3"/>
    <s v="000MOBT252250014    REIMBURSEMENT    FOR_x000a_FUEL NIP Transfer from ILORIN INNOVATION HUB LTD to TEMILOLUWA OLUWALEKE"/>
    <s v="Bank charges"/>
    <x v="1"/>
    <n v="3.75"/>
  </r>
  <r>
    <d v="2025-08-14T00:00:00"/>
    <x v="3"/>
    <s v="000MOBT252268507           PAYMENT           FOR ADDITIONAL  GEN  RENTAL  FOF  ELEVETOR_x000a_INSTALL NIP Transfer from ILORIN"/>
    <s v="Generator Rentals"/>
    <x v="23"/>
    <n v="320000"/>
  </r>
  <r>
    <d v="2025-08-14T00:00:00"/>
    <x v="3"/>
    <s v="000MOBT252268507           PAYMENT           FOR ADDITIONAL  GEN  RENTAL  FOF  ELEVETOR_x000a_INSTALL NIP Transfer from ILORIN"/>
    <s v="Bank charges"/>
    <x v="1"/>
    <n v="50"/>
  </r>
  <r>
    <d v="2025-08-14T00:00:00"/>
    <x v="3"/>
    <s v="000MOBT252268507           PAYMENT           FOR ADDITIONAL  GEN  RENTAL  FOF  ELEVETOR_x000a_INSTALL NIP Transfer from ILORIN"/>
    <s v="Bank charges"/>
    <x v="1"/>
    <n v="3.75"/>
  </r>
  <r>
    <d v="2025-08-15T00:00:00"/>
    <x v="3"/>
    <s v="000MOBT252276361   PURCHASE  OF  WATER_x000a_20     PACKS     NIP     Transfer     from     ILORIN INNOVATION HUB LTD to OLALUWOYE"/>
    <s v="Stationery and Office Supplies"/>
    <x v="2"/>
    <n v="32000"/>
  </r>
  <r>
    <d v="2025-08-15T00:00:00"/>
    <x v="3"/>
    <s v="000MOBT252276361   PURCHASE  OF  WATER_x000a_20     PACKS     NIP     Transfer     from     ILORIN INNOVATION HUB LTD to OLALUWOYE"/>
    <s v="Bank charges"/>
    <x v="1"/>
    <n v="25"/>
  </r>
  <r>
    <d v="2025-08-15T00:00:00"/>
    <x v="3"/>
    <s v="000MOBT252276361   PURCHASE  OF  WATER_x000a_20     PACKS     NIP     Transfer     from     ILORIN INNOVATION HUB LTD to OLALUWOYE"/>
    <s v="Bank charges"/>
    <x v="1"/>
    <n v="1.8799999952316284"/>
  </r>
  <r>
    <d v="2025-08-19T00:00:00"/>
    <x v="3"/>
    <s v="000MOBT252318387           PAYMENT           FOR PURCHASE   OF   ARTIFICIAL   FLOWERS   NIP_x000a_Transfer from ILORIN INNOVATION HUB LTD"/>
    <s v="Stationery and Office Supplies"/>
    <x v="2"/>
    <n v="295000"/>
  </r>
  <r>
    <d v="2025-08-19T00:00:00"/>
    <x v="3"/>
    <s v="000MOBT252318387           PAYMENT           FOR PURCHASE   OF   ARTIFICIAL   FLOWERS   NIP_x000a_Transfer from ILORIN INNOVATION HUB LTD"/>
    <s v="Bank charges"/>
    <x v="1"/>
    <n v="50"/>
  </r>
  <r>
    <d v="2025-08-19T00:00:00"/>
    <x v="3"/>
    <s v="000MOBT252318387           PAYMENT           FOR PURCHASE   OF   ARTIFICIAL   FLOWERS   NIP_x000a_Transfer from ILORIN INNOVATION HUB LTD"/>
    <s v="Bank charges"/>
    <x v="1"/>
    <n v="3.75"/>
  </r>
  <r>
    <d v="2025-08-19T00:00:00"/>
    <x v="3"/>
    <s v="000MOBT252319830           PAYMENT           FOR_x000a_PURCHASE   OF   DIESEL   NIP   Transfer   from ILORIN INNOVATION HUB LTD to  One Mind Tr"/>
    <s v="Diesel and Fuel"/>
    <x v="22"/>
    <n v="34500"/>
  </r>
  <r>
    <d v="2025-08-19T00:00:00"/>
    <x v="3"/>
    <s v="000MOBT252319830           PAYMENT           FOR_x000a_PURCHASE   OF   DIESEL   NIP   Transfer   from ILORIN INNOVATION HUB LTD to  One Mind Tr"/>
    <s v="Bank charges"/>
    <x v="1"/>
    <n v="25"/>
  </r>
  <r>
    <d v="2025-08-19T00:00:00"/>
    <x v="3"/>
    <s v="000MOBT252319830           PAYMENT           FOR_x000a_PURCHASE   OF   DIESEL   NIP   Transfer   from ILORIN INNOVATION HUB LTD to  One Mind Tr"/>
    <s v="Bank charges"/>
    <x v="1"/>
    <n v="1.8800000101327896"/>
  </r>
  <r>
    <d v="2025-08-19T00:00:00"/>
    <x v="3"/>
    <s v="016NIPO252310009 NIP - BNG PYT FOR JULY_x000a_2025 LANDSCAPING SERVICE"/>
    <s v="Repairs and maintenance"/>
    <x v="12"/>
    <n v="400000"/>
  </r>
  <r>
    <d v="2025-08-19T00:00:00"/>
    <x v="3"/>
    <s v="016NIPC252310009   NIP  Charge  -  BNG  PYT FOR JULY 2025 LANDSCAPING SERVICE"/>
    <s v="Bank charges"/>
    <x v="1"/>
    <n v="50"/>
  </r>
  <r>
    <d v="2025-08-19T00:00:00"/>
    <x v="3"/>
    <s v="016VATP252310009  NIP  Charge  VAT  -  BNG PYT FOR JULY 2025 LANDSCAPING SERVICE"/>
    <s v="Bank charges"/>
    <x v="1"/>
    <n v="3.75"/>
  </r>
  <r>
    <d v="2025-08-19T00:00:00"/>
    <x v="3"/>
    <s v="000MOBT25231A1NZ   REIMBURSEMENT   FOR_x000a_IT SUPPLIES  DATA NIP Transfer from ILORIN INNOVATION HUB LTD to MUHAMME"/>
    <s v="Stationery and Office Supplies"/>
    <x v="2"/>
    <n v="27000"/>
  </r>
  <r>
    <d v="2025-08-19T00:00:00"/>
    <x v="3"/>
    <s v="000MOBT25231A1NZ   REIMBURSEMENT   FOR_x000a_IT SUPPLIES  DATA NIP Transfer from ILORIN INNOVATION HUB LTD to MUHAMME"/>
    <s v="Bank charges"/>
    <x v="1"/>
    <n v="25"/>
  </r>
  <r>
    <d v="2025-08-19T00:00:00"/>
    <x v="3"/>
    <s v="000MOBT25231A1NZ   REIMBURSEMENT   FOR_x000a_IT SUPPLIES  DATA NIP Transfer from ILORIN INNOVATION HUB LTD to MUHAMME"/>
    <s v="Bank charges"/>
    <x v="1"/>
    <n v="1.8799999952316284"/>
  </r>
  <r>
    <d v="2025-08-19T00:00:00"/>
    <x v="3"/>
    <s v="000MOBT25231A2M8 zoholics NIP Transfer from ILORIN INNOVATION HUB LTD to PAYSTACK CHECKOUT"/>
    <s v="Software expense - Zoho"/>
    <x v="9"/>
    <n v="5394"/>
  </r>
  <r>
    <d v="2025-08-19T00:00:00"/>
    <x v="3"/>
    <s v="000MOBT25231A2M8 zoholics NIP Transfer from ILORIN INNOVATION HUB LTD to PAYSTACK CHECKOUT"/>
    <s v="Bank charges"/>
    <x v="1"/>
    <n v="25"/>
  </r>
  <r>
    <d v="2025-08-19T00:00:00"/>
    <x v="3"/>
    <s v="000MOBT25231A2M8 zoholics NIP Transfer from ILORIN INNOVATION HUB LTD to PAYSTACK CHECKOUT"/>
    <s v="Bank charges"/>
    <x v="1"/>
    <n v="1.8799999952316284"/>
  </r>
  <r>
    <d v="2025-08-25T00:00:00"/>
    <x v="3"/>
    <s v="000MOBT25237A3XK cake NIP Transfer from ILORIN INNOVATION HUB LTD to  Infinitus Innovations Limited    FOODS"/>
    <s v="Guest and entertainment"/>
    <x v="13"/>
    <n v="25000"/>
  </r>
  <r>
    <d v="2025-08-25T00:00:00"/>
    <x v="3"/>
    <s v="000MOBT25237A3XK cake NIP Transfer from ILORIN INNOVATION HUB LTD to  Infinitus Innovations Limited    FOODS"/>
    <s v="Bank charges"/>
    <x v="1"/>
    <n v="25"/>
  </r>
  <r>
    <d v="2025-08-25T00:00:00"/>
    <x v="3"/>
    <s v="000MOBT25237A3XK cake NIP Transfer from ILORIN INNOVATION HUB LTD to  Infinitus Innovations Limited    FOODS"/>
    <s v="Bank charges"/>
    <x v="1"/>
    <n v="1.8800000101327896"/>
  </r>
  <r>
    <d v="2025-08-25T00:00:00"/>
    <x v="3"/>
    <s v="016NIPT252370971 NIP TRSF FROM THREE M GLOBAL DESIGNS SERVICES ."/>
    <s v="Unallocated expense"/>
    <x v="11"/>
    <n v="-450000"/>
  </r>
  <r>
    <d v="2025-08-25T00:00:00"/>
    <x v="3"/>
    <s v="000MOBT25237AJXD   FLAGS   AND   AC   TAG_x000a_STICKERS     NIP     Transfer     from     ILORIN INNOVATION HUB LTD to LET S BRAND IT EN"/>
    <s v="Stationery and Office Supplies"/>
    <x v="2"/>
    <n v="140000"/>
  </r>
  <r>
    <d v="2025-08-25T00:00:00"/>
    <x v="3"/>
    <s v="000MOBT25237AJXD   FLAGS   AND   AC   TAG_x000a_STICKERS     NIP     Transfer     from     ILORIN INNOVATION HUB LTD to LET S BRAND IT EN"/>
    <s v="Bank charges"/>
    <x v="1"/>
    <n v="50"/>
  </r>
  <r>
    <d v="2025-08-25T00:00:00"/>
    <x v="3"/>
    <s v="000MOBT25237AJXD   FLAGS   AND   AC   TAG_x000a_STICKERS     NIP     Transfer     from     ILORIN INNOVATION HUB LTD to LET S BRAND IT EN"/>
    <s v="Bank charges"/>
    <x v="1"/>
    <n v="3.75"/>
  </r>
  <r>
    <d v="2025-08-25T00:00:00"/>
    <x v="3"/>
    <s v="016NEFO252370005  NEFT  CREDIT  -  AUGUST_x000a_2025 STAFF ALLOWANCE PAYMENT"/>
    <s v="Staff allowance"/>
    <x v="27"/>
    <n v="20000"/>
  </r>
  <r>
    <d v="2025-08-25T00:00:00"/>
    <x v="3"/>
    <s v="016NEFC252370005  NEFT  CREDIT  CHARGE  - AUGUST 2025 STAFF ALLOWANCE PAYMENT"/>
    <s v="Bank charges"/>
    <x v="1"/>
    <n v="25"/>
  </r>
  <r>
    <d v="2025-08-25T00:00:00"/>
    <x v="3"/>
    <s v="016VATO252370005 NEFT CREDIT  CHARGE VAT - AUGUST 2025 STAFF ALLOWANCE PAYMENT"/>
    <s v="Bank charges"/>
    <x v="1"/>
    <n v="1.8799999952316284"/>
  </r>
  <r>
    <d v="2025-08-25T00:00:00"/>
    <x v="3"/>
    <s v="016NEFO252370006  NEFT  CREDIT  -  AUGUST_x000a_2025 STAFF ALLOWANCE PAYMENT"/>
    <s v="Staff allowance"/>
    <x v="27"/>
    <n v="20000"/>
  </r>
  <r>
    <d v="2025-08-25T00:00:00"/>
    <x v="3"/>
    <s v="016NEFC252370006  NEFT  CREDIT  CHARGE  - AUGUST 2025 STAFF ALLOWANCE PAYMENT"/>
    <s v="Bank charges"/>
    <x v="1"/>
    <n v="25"/>
  </r>
  <r>
    <d v="2025-08-25T00:00:00"/>
    <x v="3"/>
    <s v="016VATO252370006 NEFT CREDIT  CHARGE VAT - AUGUST 2025 STAFF ALLOWANCE PAYMENT"/>
    <s v="Bank charges"/>
    <x v="1"/>
    <n v="1.8799999952316284"/>
  </r>
  <r>
    <d v="2025-08-25T00:00:00"/>
    <x v="3"/>
    <s v="016NEFO252370007  NEFT  CREDIT  -  AUGUST_x000a_2025 STAFF ALLOWANCE PAYMENT"/>
    <s v="Staff allowance"/>
    <x v="27"/>
    <n v="35000"/>
  </r>
  <r>
    <d v="2025-08-25T00:00:00"/>
    <x v="3"/>
    <s v="016NEFC252370007  NEFT  CREDIT  CHARGE  - AUGUST 2025 STAFF ALLOWANCE PAYMENT"/>
    <s v="Bank charges"/>
    <x v="1"/>
    <n v="25"/>
  </r>
  <r>
    <d v="2025-08-25T00:00:00"/>
    <x v="3"/>
    <s v="016VATO252370007 NEFT CREDIT  CHARGE VAT - AUGUST 2025 STAFF ALLOWANCE PAYMENT"/>
    <s v="Bank charges"/>
    <x v="1"/>
    <n v="1.8800000101327896"/>
  </r>
  <r>
    <d v="2025-08-25T00:00:00"/>
    <x v="3"/>
    <s v="016NEFO252370010  NEFT  CREDIT  -  AUGUST_x000a_2025 SALARY PYT"/>
    <s v="Salaries and Wages"/>
    <x v="7"/>
    <n v="283172.19999998808"/>
  </r>
  <r>
    <d v="2025-08-25T00:00:00"/>
    <x v="3"/>
    <s v="016NEFC252370008  NEFT  CREDIT  CHARGE  - AUGUST 2025 SALARY PYT"/>
    <s v="Bank charges"/>
    <x v="1"/>
    <n v="50"/>
  </r>
  <r>
    <d v="2025-08-25T00:00:00"/>
    <x v="3"/>
    <s v="016VATO252370008   NEFT   CREDIT   CHARGE VAT - AUGUST 2025 SALARY PYT"/>
    <s v="Bank charges"/>
    <x v="1"/>
    <n v="3.75"/>
  </r>
  <r>
    <d v="2025-08-25T00:00:00"/>
    <x v="3"/>
    <s v="016NEFO252370012  NEFT  CREDIT  -  AUGUST_x000a_2025 SALARY PYT"/>
    <s v="Salaries and Wages"/>
    <x v="7"/>
    <n v="283172.20000000298"/>
  </r>
  <r>
    <d v="2025-08-25T00:00:00"/>
    <x v="3"/>
    <s v="016NEFC252370009  NEFT  CREDIT  CHARGE  - AUGUST 2025 SALARY PYT"/>
    <s v="Bank charges"/>
    <x v="1"/>
    <n v="50"/>
  </r>
  <r>
    <d v="2025-08-25T00:00:00"/>
    <x v="3"/>
    <s v="016VATO252370009   NEFT   CREDIT   CHARGE VAT - AUGUST 2025 SALARY PYT"/>
    <s v="Bank charges"/>
    <x v="1"/>
    <n v="3.75"/>
  </r>
  <r>
    <d v="2025-08-25T00:00:00"/>
    <x v="3"/>
    <s v="016NEFO252370013  NEFT  CREDIT  -  AUGUST_x000a_2025 SALARY PYT"/>
    <s v="Salaries and Wages"/>
    <x v="7"/>
    <n v="283172.20000000298"/>
  </r>
  <r>
    <d v="2025-08-25T00:00:00"/>
    <x v="3"/>
    <s v="016NEFC252370010  NEFT  CREDIT  CHARGE  - AUGUST 2025 SALARY PYT"/>
    <s v="Bank charges"/>
    <x v="1"/>
    <n v="50"/>
  </r>
  <r>
    <d v="2025-08-25T00:00:00"/>
    <x v="3"/>
    <s v="016VATO252370010   NEFT   CREDIT   CHARGE VAT - AUGUST 2025 SALARY PYT"/>
    <s v="Bank charges"/>
    <x v="1"/>
    <n v="3.75"/>
  </r>
  <r>
    <d v="2025-08-25T00:00:00"/>
    <x v="3"/>
    <s v="016NEFO252370016  NEFT  CREDIT  -  AUGUST_x000a_2025 SALARY PYT"/>
    <s v="Salaries and Wages"/>
    <x v="7"/>
    <n v="52835"/>
  </r>
  <r>
    <d v="2025-08-25T00:00:00"/>
    <x v="3"/>
    <s v="016NEFC252370011  NEFT  CREDIT  CHARGE  - AUGUST 2025 SALARY PYT"/>
    <s v="Bank charges"/>
    <x v="1"/>
    <n v="50"/>
  </r>
  <r>
    <d v="2025-08-25T00:00:00"/>
    <x v="3"/>
    <s v="016VATO252370011   NEFT   CREDIT   CHARGE VAT - AUGUST 2025 SALARY PYT"/>
    <s v="Bank charges"/>
    <x v="1"/>
    <n v="3.75"/>
  </r>
  <r>
    <d v="2025-08-25T00:00:00"/>
    <x v="3"/>
    <s v="016NEFO252370017  NEFT  CREDIT  -  AUGUST_x000a_2025 SALARY PYT"/>
    <s v="Salaries and Wages"/>
    <x v="7"/>
    <n v="283172.20000000298"/>
  </r>
  <r>
    <d v="2025-08-25T00:00:00"/>
    <x v="3"/>
    <s v="016NEFC252370012  NEFT  CREDIT  CHARGE  - AUGUST 2025 SALARY PYT"/>
    <s v="Bank charges"/>
    <x v="1"/>
    <n v="50"/>
  </r>
  <r>
    <d v="2025-08-25T00:00:00"/>
    <x v="3"/>
    <s v="016VATO252370012   NEFT   CREDIT   CHARGE VAT - AUGUST 2025 SALARY PYT"/>
    <s v="Bank charges"/>
    <x v="1"/>
    <n v="3.75"/>
  </r>
  <r>
    <d v="2025-08-25T00:00:00"/>
    <x v="3"/>
    <s v="016NEFO252370018  NEFT  CREDIT  -  AUGUST_x000a_2025 SALARY PYT"/>
    <s v="Salaries and Wages"/>
    <x v="7"/>
    <n v="486614.59999999404"/>
  </r>
  <r>
    <d v="2025-08-25T00:00:00"/>
    <x v="3"/>
    <s v="016NEFC252370013  NEFT  CREDIT  CHARGE  - AUGUST 2025 SALARY PYT"/>
    <s v="Bank charges"/>
    <x v="1"/>
    <n v="50"/>
  </r>
  <r>
    <d v="2025-08-25T00:00:00"/>
    <x v="3"/>
    <s v="016VATO252370013   NEFT   CREDIT   CHARGE VAT - AUGUST 2025 SALARY PYT"/>
    <s v="Bank charges"/>
    <x v="1"/>
    <n v="3.75"/>
  </r>
  <r>
    <d v="2025-08-25T00:00:00"/>
    <x v="3"/>
    <s v="016NEFO252370019  NEFT  CREDIT  -  AUGUST_x000a_2025 SALARY PYT"/>
    <s v="Salaries and Wages"/>
    <x v="7"/>
    <n v="52835"/>
  </r>
  <r>
    <d v="2025-08-25T00:00:00"/>
    <x v="3"/>
    <s v="016NEFC252370014  NEFT  CREDIT  CHARGE  - AUGUST 2025 SALARY PYT"/>
    <s v="Bank charges"/>
    <x v="1"/>
    <n v="50"/>
  </r>
  <r>
    <d v="2025-08-25T00:00:00"/>
    <x v="3"/>
    <s v="016VATO252370014   NEFT   CREDIT   CHARGE VAT - AUGUST 2025 SALARY PYT"/>
    <s v="Bank charges"/>
    <x v="1"/>
    <n v="3.75"/>
  </r>
  <r>
    <d v="2025-08-25T00:00:00"/>
    <x v="3"/>
    <s v="016NEFO252370020  NEFT  CREDIT  -  AUGUST_x000a_2025 SALARY PYT"/>
    <s v="Salaries and Wages"/>
    <x v="7"/>
    <n v="283172.20000000298"/>
  </r>
  <r>
    <d v="2025-08-25T00:00:00"/>
    <x v="3"/>
    <s v="016NEFC252370015  NEFT  CREDIT  CHARGE  - AUGUST 2025 SALARY PYT"/>
    <s v="Bank charges"/>
    <x v="1"/>
    <n v="50"/>
  </r>
  <r>
    <d v="2025-08-25T00:00:00"/>
    <x v="3"/>
    <s v="016VATO252370015   NEFT   CREDIT   CHARGE VAT - AUGUST 2025 SALARY PYT"/>
    <s v="Bank charges"/>
    <x v="1"/>
    <n v="3.75"/>
  </r>
  <r>
    <d v="2025-08-25T00:00:00"/>
    <x v="3"/>
    <s v="016NEFO252370021  NEFT  CREDIT  -  AUGUST_x000a_2025 SALARY PYT"/>
    <s v="Salaries and Wages"/>
    <x v="7"/>
    <n v="283172.20000000298"/>
  </r>
  <r>
    <d v="2025-08-25T00:00:00"/>
    <x v="3"/>
    <s v="016NEFC252370016  NEFT  CREDIT  CHARGE  - AUGUST 2025 SALARY PYT"/>
    <s v="Bank charges"/>
    <x v="1"/>
    <n v="50"/>
  </r>
  <r>
    <d v="2025-08-25T00:00:00"/>
    <x v="3"/>
    <s v="016VATO252370016   NEFT   CREDIT   CHARGE VAT - AUGUST 2025 SALARY PYT"/>
    <s v="Bank charges"/>
    <x v="1"/>
    <n v="3.75"/>
  </r>
  <r>
    <d v="2025-08-25T00:00:00"/>
    <x v="3"/>
    <s v="016NEFO252370023  NEFT  CREDIT  -  AUGUST_x000a_2025 SALARY PYT"/>
    <s v="Salaries and Wages"/>
    <x v="7"/>
    <n v="283172.19999999553"/>
  </r>
  <r>
    <d v="2025-08-25T00:00:00"/>
    <x v="3"/>
    <s v="016NEFC252370017  NEFT  CREDIT  CHARGE  - AUGUST 2025 SALARY PYT"/>
    <s v="Bank charges"/>
    <x v="1"/>
    <n v="50"/>
  </r>
  <r>
    <d v="2025-08-25T00:00:00"/>
    <x v="3"/>
    <s v="016VATO252370017   NEFT   CREDIT   CHARGE VAT - AUGUST 2025 SALARY PYT"/>
    <s v="Bank charges"/>
    <x v="1"/>
    <n v="3.75"/>
  </r>
  <r>
    <d v="2025-08-25T00:00:00"/>
    <x v="3"/>
    <s v="016NEFO252370024  NEFT  CREDIT  -  AUGUST_x000a_2025 SALARY PYT"/>
    <s v="Salaries and Wages"/>
    <x v="7"/>
    <n v="4019028.3599999994"/>
  </r>
  <r>
    <d v="2025-08-25T00:00:00"/>
    <x v="3"/>
    <s v="016NEFC252370018  NEFT  CREDIT  CHARGE  - AUGUST 2025 SALARY PYT"/>
    <s v="Bank charges"/>
    <x v="1"/>
    <n v="50"/>
  </r>
  <r>
    <d v="2025-08-25T00:00:00"/>
    <x v="3"/>
    <s v="016VATO252370018   NEFT   CREDIT   CHARGE VAT - AUGUST 2025 SALARY PYT"/>
    <s v="Bank charges"/>
    <x v="1"/>
    <n v="3.75"/>
  </r>
  <r>
    <d v="2025-08-25T00:00:00"/>
    <x v="3"/>
    <s v="016NEFO252370025  NEFT  CREDIT  -  AUGUST_x000a_2025 SALARY PYT"/>
    <s v="Salaries and Wages"/>
    <x v="7"/>
    <n v="283172.20000000298"/>
  </r>
  <r>
    <d v="2025-08-25T00:00:00"/>
    <x v="3"/>
    <s v="016NEFC252370019  NEFT  CREDIT  CHARGE  - AUGUST 2025 SALARY PYT"/>
    <s v="Bank charges"/>
    <x v="1"/>
    <n v="50"/>
  </r>
  <r>
    <d v="2025-08-25T00:00:00"/>
    <x v="3"/>
    <s v="016VATO252370019   NEFT   CREDIT   CHARGE VAT - AUGUST 2025 SALARY PYT"/>
    <s v="Bank charges"/>
    <x v="1"/>
    <n v="3.75"/>
  </r>
  <r>
    <d v="2025-08-25T00:00:00"/>
    <x v="3"/>
    <s v="016NEFO252370026  NEFT  CREDIT  -  AUGUST_x000a_2025 SALARY PYT"/>
    <s v="Salaries and Wages"/>
    <x v="7"/>
    <n v="52835"/>
  </r>
  <r>
    <d v="2025-08-25T00:00:00"/>
    <x v="3"/>
    <s v="016NEFC252370020  NEFT  CREDIT  CHARGE  - AUGUST 2025 SALARY PYT"/>
    <s v="Bank charges"/>
    <x v="1"/>
    <n v="50"/>
  </r>
  <r>
    <d v="2025-08-25T00:00:00"/>
    <x v="3"/>
    <s v="016VATO252370020   NEFT   CREDIT   CHARGE VAT - AUGUST 2025 SALARY PYT"/>
    <s v="Bank charges"/>
    <x v="1"/>
    <n v="3.75"/>
  </r>
  <r>
    <d v="2025-08-25T00:00:00"/>
    <x v="3"/>
    <s v="016NEFO252370027  NEFT  CREDIT  -  AUGUST_x000a_2025 SALARY PYT"/>
    <s v="Salaries and Wages"/>
    <x v="7"/>
    <n v="2295519.5600000024"/>
  </r>
  <r>
    <d v="2025-08-25T00:00:00"/>
    <x v="3"/>
    <s v="016NEFC252370021  NEFT  CREDIT  CHARGE  - AUGUST 2025 SALARY PYT"/>
    <s v="Bank charges"/>
    <x v="1"/>
    <n v="50"/>
  </r>
  <r>
    <d v="2025-08-25T00:00:00"/>
    <x v="3"/>
    <s v="016VATO252370021   NEFT   CREDIT   CHARGE VAT - AUGUST 2025 SALARY PYT"/>
    <s v="Bank charges"/>
    <x v="1"/>
    <n v="3.75"/>
  </r>
  <r>
    <d v="2025-08-25T00:00:00"/>
    <x v="3"/>
    <s v="016NEFO252370031  NEFT  CREDIT  -  AUGUST_x000a_2025 SALARY PYT"/>
    <s v="Salaries and Wages"/>
    <x v="7"/>
    <n v="71025"/>
  </r>
  <r>
    <d v="2025-08-25T00:00:00"/>
    <x v="3"/>
    <s v="016NEFC252370022  NEFT  CREDIT  CHARGE  - AUGUST 2025 SALARY PYT"/>
    <s v="Bank charges"/>
    <x v="1"/>
    <n v="50"/>
  </r>
  <r>
    <d v="2025-08-25T00:00:00"/>
    <x v="3"/>
    <s v="016VATO252370022   NEFT   CREDIT   CHARGE VAT - AUGUST 2025 SALARY PYT"/>
    <s v="Bank charges"/>
    <x v="1"/>
    <n v="3.75"/>
  </r>
  <r>
    <d v="2025-08-25T00:00:00"/>
    <x v="3"/>
    <s v="016NEFO252370033  NEFT  CREDIT  -  AUGUST_x000a_2025 SALARY PYT"/>
    <s v="Salaries and Wages"/>
    <x v="7"/>
    <n v="283172.19999999553"/>
  </r>
  <r>
    <d v="2025-08-25T00:00:00"/>
    <x v="3"/>
    <s v="016NEFC252370023  NEFT  CREDIT  CHARGE  - AUGUST 2025 SALARY PYT"/>
    <s v="Bank charges"/>
    <x v="1"/>
    <n v="50"/>
  </r>
  <r>
    <d v="2025-08-25T00:00:00"/>
    <x v="3"/>
    <s v="016VATO252370023   NEFT   CREDIT   CHARGE VAT - AUGUST 2025 SALARY PYT"/>
    <s v="Bank charges"/>
    <x v="1"/>
    <n v="3.75"/>
  </r>
  <r>
    <d v="2025-08-25T00:00:00"/>
    <x v="3"/>
    <s v="016NEFO252370034  NEFT  CREDIT  -  AUGUST_x000a_2025 STAFF ALLOWANCE PAYMENT"/>
    <s v="Staff allowance"/>
    <x v="27"/>
    <n v="35000"/>
  </r>
  <r>
    <d v="2025-08-25T00:00:00"/>
    <x v="3"/>
    <s v="016NEFC252370024  NEFT  CREDIT  CHARGE  - AUGUST 2025 STAFF ALLOWANCE PAYMENT"/>
    <s v="Bank charges"/>
    <x v="1"/>
    <n v="25"/>
  </r>
  <r>
    <d v="2025-08-25T00:00:00"/>
    <x v="3"/>
    <s v="016VATO252370024 NEFT CREDIT  CHARGE VAT - AUGUST 2025 STAFF ALLOWANCE PAYMENT"/>
    <s v="Bank charges"/>
    <x v="1"/>
    <n v="1.880000002682209"/>
  </r>
  <r>
    <d v="2025-08-25T00:00:00"/>
    <x v="3"/>
    <s v="016NEFO252370035  NEFT  CREDIT  -  AUGUST_x000a_2025 STAFF ALLOWANCE PAYMENT"/>
    <s v="Staff allowance"/>
    <x v="27"/>
    <n v="20000"/>
  </r>
  <r>
    <d v="2025-08-25T00:00:00"/>
    <x v="3"/>
    <s v="016NEFC252370025  NEFT  CREDIT  CHARGE  - AUGUST 2025 STAFF ALLOWANCE PAYMENT"/>
    <s v="Bank charges"/>
    <x v="1"/>
    <n v="25"/>
  </r>
  <r>
    <d v="2025-08-25T00:00:00"/>
    <x v="3"/>
    <s v="016VATO252370025 NEFT CREDIT  CHARGE VAT - AUGUST 2025 STAFF ALLOWANCE PAYMENT"/>
    <s v="Bank charges"/>
    <x v="1"/>
    <n v="1.880000002682209"/>
  </r>
  <r>
    <d v="2025-08-25T00:00:00"/>
    <x v="3"/>
    <s v="016NEFO252370036  NEFT  CREDIT  -  AUGUST_x000a_2025 STAFF ALLOWANCE PAYMENT"/>
    <s v="Staff allowance"/>
    <x v="27"/>
    <n v="20000"/>
  </r>
  <r>
    <d v="2025-08-25T00:00:00"/>
    <x v="3"/>
    <s v="016NEFC252370026  NEFT  CREDIT  CHARGE  - AUGUST 2025 STAFF ALLOWANCE PAYMENT"/>
    <s v="Bank charges"/>
    <x v="1"/>
    <n v="25"/>
  </r>
  <r>
    <d v="2025-08-25T00:00:00"/>
    <x v="3"/>
    <s v="016VATO252370026 NEFT CREDIT  CHARGE VAT - AUGUST 2025 STAFF ALLOWANCE PAYMENT"/>
    <s v="Bank charges"/>
    <x v="1"/>
    <n v="1.8799999952316284"/>
  </r>
  <r>
    <d v="2025-08-25T00:00:00"/>
    <x v="3"/>
    <s v="016NEFO252370037  NEFT  CREDIT  -  AUGUST_x000a_2025 STAFF ALLOWANCE PAYMENT"/>
    <s v="Staff allowance"/>
    <x v="27"/>
    <n v="27500"/>
  </r>
  <r>
    <d v="2025-08-25T00:00:00"/>
    <x v="3"/>
    <s v="016NEFC252370027  NEFT  CREDIT  CHARGE  - AUGUST 2025 STAFF ALLOWANCE PAYMENT"/>
    <s v="Bank charges"/>
    <x v="1"/>
    <n v="25"/>
  </r>
  <r>
    <d v="2025-08-25T00:00:00"/>
    <x v="3"/>
    <s v="016VATO252370027 NEFT CREDIT  CHARGE VAT - AUGUST 2025 STAFF ALLOWANCE PAYMENT"/>
    <s v="Bank charges"/>
    <x v="1"/>
    <n v="1.880000002682209"/>
  </r>
  <r>
    <d v="2025-08-25T00:00:00"/>
    <x v="3"/>
    <s v="016NEFO252370038  NEFT  CREDIT  -  AUGUST_x000a_2025 STAFF ALLOWANCE PAYMENT"/>
    <s v="Staff allowance"/>
    <x v="27"/>
    <n v="35000"/>
  </r>
  <r>
    <d v="2025-08-25T00:00:00"/>
    <x v="3"/>
    <s v="016NEFC252370028  NEFT  CREDIT  CHARGE  - AUGUST 2025 STAFF ALLOWANCE PAYMENT"/>
    <s v="Bank charges"/>
    <x v="1"/>
    <n v="25"/>
  </r>
  <r>
    <d v="2025-08-25T00:00:00"/>
    <x v="3"/>
    <s v="016VATO252370028 NEFT CREDIT  CHARGE VAT - AUGUST 2025 STAFF ALLOWANCE PAYMENT"/>
    <s v="Bank charges"/>
    <x v="1"/>
    <n v="1.8799999952316284"/>
  </r>
  <r>
    <d v="2025-08-25T00:00:00"/>
    <x v="3"/>
    <s v="016NEFO252370039  NEFT  CREDIT  -  AUGUST_x000a_2025 STAFF ALLOWANCE PAYMENT"/>
    <s v="Staff allowance"/>
    <x v="27"/>
    <n v="35000"/>
  </r>
  <r>
    <d v="2025-08-25T00:00:00"/>
    <x v="3"/>
    <s v="016NEFC252370029  NEFT  CREDIT  CHARGE  - AUGUST 2025 STAFF ALLOWANCE PAYMENT"/>
    <s v="Bank charges"/>
    <x v="1"/>
    <n v="25"/>
  </r>
  <r>
    <d v="2025-08-25T00:00:00"/>
    <x v="3"/>
    <s v="016VATO252370029 NEFT CREDIT  CHARGE VAT - AUGUST 2025 STAFF ALLOWANCE PAYMENT"/>
    <s v="Bank charges"/>
    <x v="1"/>
    <n v="1.880000002682209"/>
  </r>
  <r>
    <d v="2025-08-25T00:00:00"/>
    <x v="3"/>
    <s v="016NEFO252370040  NEFT  CREDIT  -  AUGUST_x000a_2025 STAFF ALLOWANCE PAYMENT"/>
    <s v="Staff allowance"/>
    <x v="27"/>
    <n v="20000"/>
  </r>
  <r>
    <d v="2025-08-25T00:00:00"/>
    <x v="3"/>
    <s v="016NEFC252370030  NEFT  CREDIT  CHARGE  - AUGUST 2025 STAFF ALLOWANCE PAYMENT"/>
    <s v="Bank charges"/>
    <x v="1"/>
    <n v="25"/>
  </r>
  <r>
    <d v="2025-08-25T00:00:00"/>
    <x v="3"/>
    <s v="016VATO252370030 NEFT CREDIT  CHARGE VAT - AUGUST 2025 STAFF ALLOWANCE PAYMENT"/>
    <s v="Bank charges"/>
    <x v="1"/>
    <n v="1.880000002682209"/>
  </r>
  <r>
    <d v="2025-08-25T00:00:00"/>
    <x v="3"/>
    <s v="016NEFO252370041  NEFT  CREDIT  -  AUGUST_x000a_2025 STAFF ALLOWANCE PAYMENT"/>
    <s v="Staff allowance"/>
    <x v="27"/>
    <n v="20000"/>
  </r>
  <r>
    <d v="2025-08-25T00:00:00"/>
    <x v="3"/>
    <s v="016NEFC252370031  NEFT  CREDIT  CHARGE  - AUGUST 2025 STAFF ALLOWANCE PAYMENT"/>
    <s v="Bank charges"/>
    <x v="1"/>
    <n v="25"/>
  </r>
  <r>
    <d v="2025-08-25T00:00:00"/>
    <x v="3"/>
    <s v="016VATO252370031 NEFT CREDIT  CHARGE VAT - AUGUST 2025 STAFF ALLOWANCE PAYMENT"/>
    <s v="Bank charges"/>
    <x v="1"/>
    <n v="1.8799999952316284"/>
  </r>
  <r>
    <d v="2025-08-25T00:00:00"/>
    <x v="3"/>
    <s v="016NEFO252370042  NEFT  CREDIT  -  AUGUST_x000a_2025 STAFF ALLOWANCE PAYMENT"/>
    <s v="Staff allowance"/>
    <x v="27"/>
    <n v="20000"/>
  </r>
  <r>
    <d v="2025-08-25T00:00:00"/>
    <x v="3"/>
    <s v="016NEFC252370032  NEFT  CREDIT  CHARGE  - AUGUST 2025 STAFF ALLOWANCE PAYMENT"/>
    <s v="Bank charges"/>
    <x v="1"/>
    <n v="25"/>
  </r>
  <r>
    <d v="2025-08-25T00:00:00"/>
    <x v="3"/>
    <s v="016VATO252370032 NEFT CREDIT  CHARGE VAT - AUGUST 2025 STAFF ALLOWANCE PAYMENT"/>
    <s v="Bank charges"/>
    <x v="1"/>
    <n v="1.880000002682209"/>
  </r>
  <r>
    <d v="2025-08-25T00:00:00"/>
    <x v="3"/>
    <s v="016NEFO252370043  NEFT  CREDIT  -  AUGUST_x000a_2025 STAFF ALLOWANCE PAYMENT"/>
    <s v="Staff allowance"/>
    <x v="27"/>
    <n v="35000"/>
  </r>
  <r>
    <d v="2025-08-25T00:00:00"/>
    <x v="3"/>
    <s v="016NEFC252370033  NEFT  CREDIT  CHARGE  - AUGUST 2025 STAFF ALLOWANCE PAYMENT"/>
    <s v="Bank charges"/>
    <x v="1"/>
    <n v="25"/>
  </r>
  <r>
    <d v="2025-08-25T00:00:00"/>
    <x v="3"/>
    <s v="016VATO252370033 NEFT CREDIT  CHARGE VAT - AUGUST 2025 STAFF ALLOWANCE PAYMENT"/>
    <s v="Bank charges"/>
    <x v="1"/>
    <n v="1.880000002682209"/>
  </r>
  <r>
    <d v="2025-08-25T00:00:00"/>
    <x v="3"/>
    <s v="016NEFO252370047  NEFT  CREDIT  -  AUGUST_x000a_2025 STAFF ALLOWANCE PAYMENT"/>
    <s v="Staff allowance"/>
    <x v="27"/>
    <n v="35000"/>
  </r>
  <r>
    <d v="2025-08-25T00:00:00"/>
    <x v="3"/>
    <s v="016NEFC252370034  NEFT  CREDIT  CHARGE  - AUGUST 2025 STAFF ALLOWANCE PAYMENT"/>
    <s v="Bank charges"/>
    <x v="1"/>
    <n v="25"/>
  </r>
  <r>
    <d v="2025-08-25T00:00:00"/>
    <x v="3"/>
    <s v="016VATO252370034 NEFT CREDIT  CHARGE VAT - AUGUST 2025 STAFF ALLOWANCE PAYMENT"/>
    <s v="Bank charges"/>
    <x v="1"/>
    <n v="1.8799999952316284"/>
  </r>
  <r>
    <d v="2025-08-25T00:00:00"/>
    <x v="3"/>
    <s v="016NEFO252370051  NEFT  CREDIT  -  AUGUST_x000a_2025 STAFF ALLOWANCE PAYMENT"/>
    <s v="Staff allowance"/>
    <x v="27"/>
    <n v="20000"/>
  </r>
  <r>
    <d v="2025-08-25T00:00:00"/>
    <x v="3"/>
    <s v="016NEFC252370035  NEFT  CREDIT  CHARGE  - AUGUST 2025 STAFF ALLOWANCE PAYMENT"/>
    <s v="Bank charges"/>
    <x v="1"/>
    <n v="25"/>
  </r>
  <r>
    <d v="2025-08-25T00:00:00"/>
    <x v="3"/>
    <s v="016VATO252370035 NEFT CREDIT  CHARGE VAT - AUGUST 2025 STAFF ALLOWANCE PAYMENT"/>
    <s v="Bank charges"/>
    <x v="1"/>
    <n v="1.880000002682209"/>
  </r>
  <r>
    <d v="2025-08-25T00:00:00"/>
    <x v="3"/>
    <s v="016NEFO252370056  NEFT  CREDIT  -  AUGUST_x000a_2025 STAFF ALLOWANCE PAYMENT"/>
    <s v="Staff allowance"/>
    <x v="27"/>
    <n v="35000"/>
  </r>
  <r>
    <d v="2025-08-25T00:00:00"/>
    <x v="3"/>
    <s v="016NEFC252370036  NEFT  CREDIT  CHARGE  - AUGUST 2025 STAFF ALLOWANCE PAYMENT"/>
    <s v="Bank charges"/>
    <x v="1"/>
    <n v="25"/>
  </r>
  <r>
    <d v="2025-08-25T00:00:00"/>
    <x v="3"/>
    <s v="016VATO252370036   NEFT   CREDIT   CHARGE VAT   -   AUGUST   2025   STAFF   ALLOWANCE_x000a_PAYMENT"/>
    <s v="Bank charges"/>
    <x v="1"/>
    <n v="1.880000002682209"/>
  </r>
  <r>
    <d v="2025-08-25T00:00:00"/>
    <x v="3"/>
    <s v="016NEFO252370057  NEFT  CREDIT  -  AUGUST_x000a_2025 STAFF ALLOWANCE PAYMENT"/>
    <s v="Staff allowance"/>
    <x v="27"/>
    <n v="35000"/>
  </r>
  <r>
    <d v="2025-08-25T00:00:00"/>
    <x v="3"/>
    <s v="016NEFC252370037  NEFT  CREDIT  CHARGE  - AUGUST 2025 STAFF ALLOWANCE PAYMENT"/>
    <s v="Bank charges"/>
    <x v="1"/>
    <n v="25"/>
  </r>
  <r>
    <d v="2025-08-25T00:00:00"/>
    <x v="3"/>
    <s v="016VATO252370037 NEFT CREDIT  CHARGE VAT - AUGUST 2025 STAFF ALLOWANCE PAYMENT"/>
    <s v="Bank charges"/>
    <x v="1"/>
    <n v="1.8799999952316284"/>
  </r>
  <r>
    <d v="2025-08-25T00:00:00"/>
    <x v="3"/>
    <s v="016NEFO252370058  NEFT  CREDIT  -  AUGUST_x000a_2025 STAFF ALLOWANCE PAYMENT"/>
    <s v="Staff allowance"/>
    <x v="27"/>
    <n v="27500"/>
  </r>
  <r>
    <d v="2025-08-25T00:00:00"/>
    <x v="3"/>
    <s v="016NEFC252370038  NEFT  CREDIT  CHARGE  - AUGUST 2025 STAFF ALLOWANCE PAYMENT"/>
    <s v="Bank charges"/>
    <x v="1"/>
    <n v="25"/>
  </r>
  <r>
    <d v="2025-08-25T00:00:00"/>
    <x v="3"/>
    <s v="016VATO252370038 NEFT CREDIT  CHARGE VAT - AUGUST 2025 STAFF ALLOWANCE PAYMENT"/>
    <s v="Bank charges"/>
    <x v="1"/>
    <n v="1.880000002682209"/>
  </r>
  <r>
    <d v="2025-08-25T00:00:00"/>
    <x v="3"/>
    <s v="016NEFO252370059  NEFT  CREDIT  -  AUGUST_x000a_2025 STAFF ALLOWANCE PAYMENT"/>
    <s v="Staff allowance"/>
    <x v="27"/>
    <n v="35000"/>
  </r>
  <r>
    <d v="2025-08-25T00:00:00"/>
    <x v="3"/>
    <s v="016NEFC252370039  NEFT  CREDIT  CHARGE  - AUGUST 2025 STAFF ALLOWANCE PAYMENT"/>
    <s v="Bank charges"/>
    <x v="1"/>
    <n v="25"/>
  </r>
  <r>
    <d v="2025-08-25T00:00:00"/>
    <x v="3"/>
    <s v="016VATO252370039 NEFT CREDIT  CHARGE VAT - AUGUST 2025 STAFF ALLOWANCE PAYMENT"/>
    <s v="Bank charges"/>
    <x v="1"/>
    <n v="1.8799999952316284"/>
  </r>
  <r>
    <d v="2025-08-25T00:00:00"/>
    <x v="3"/>
    <s v="016NEFO252370060  NEFT  CREDIT  -  AUGUST_x000a_2025 STAFF ALLOWANCE PAYMENT"/>
    <s v="Staff allowance"/>
    <x v="27"/>
    <n v="70000"/>
  </r>
  <r>
    <d v="2025-08-25T00:00:00"/>
    <x v="3"/>
    <s v="016NEFC252370040  NEFT  CREDIT  CHARGE  - AUGUST 2025 STAFF ALLOWANCE PAYMENT"/>
    <s v="Bank charges"/>
    <x v="1"/>
    <n v="50"/>
  </r>
  <r>
    <d v="2025-08-25T00:00:00"/>
    <x v="3"/>
    <s v="016VATO252370040 NEFT CREDIT  CHARGE VAT - AUGUST 2025 STAFF ALLOWANCE PAYMENT"/>
    <s v="Bank charges"/>
    <x v="1"/>
    <n v="3.75"/>
  </r>
  <r>
    <d v="2025-08-25T00:00:00"/>
    <x v="3"/>
    <s v="016NEFO252370061  NEFT  CREDIT  -  AUGUST_x000a_2025 STAFF ALLOWANCE PAYMENT"/>
    <s v="Staff allowance"/>
    <x v="27"/>
    <n v="35000"/>
  </r>
  <r>
    <d v="2025-08-25T00:00:00"/>
    <x v="3"/>
    <s v="016NEFC252370041  NEFT  CREDIT  CHARGE  - AUGUST 2025 STAFF ALLOWANCE PAYMENT"/>
    <s v="Bank charges"/>
    <x v="1"/>
    <n v="25"/>
  </r>
  <r>
    <d v="2025-08-25T00:00:00"/>
    <x v="3"/>
    <s v="016VATO252370041 NEFT CREDIT  CHARGE VAT - AUGUST 2025 STAFF ALLOWANCE PAYMENT"/>
    <s v="Bank charges"/>
    <x v="1"/>
    <n v="1.880000002682209"/>
  </r>
  <r>
    <d v="2025-08-25T00:00:00"/>
    <x v="3"/>
    <s v="016NEFO252370062  NEFT  CREDIT  -  AUGUST_x000a_2025 STAFF ALLOWANCE PAYMENT"/>
    <s v="Staff allowance"/>
    <x v="27"/>
    <n v="20000"/>
  </r>
  <r>
    <d v="2025-08-25T00:00:00"/>
    <x v="3"/>
    <s v="016NEFC252370042  NEFT  CREDIT  CHARGE  - AUGUST 2025 STAFF ALLOWANCE PAYMENT"/>
    <s v="Bank charges"/>
    <x v="1"/>
    <n v="25"/>
  </r>
  <r>
    <d v="2025-08-25T00:00:00"/>
    <x v="3"/>
    <s v="016VATO252370042 NEFT CREDIT  CHARGE VAT - AUGUST 2025 STAFF ALLOWANCE PAYMENT"/>
    <s v="Bank charges"/>
    <x v="1"/>
    <n v="1.880000002682209"/>
  </r>
  <r>
    <d v="2025-08-25T00:00:00"/>
    <x v="3"/>
    <s v="016NEFO252370063  NEFT  CREDIT  -  AUGUST_x000a_2025 STAFF ALLOWANCE PAYMENT"/>
    <s v="Staff allowance"/>
    <x v="27"/>
    <n v="70000"/>
  </r>
  <r>
    <d v="2025-08-25T00:00:00"/>
    <x v="3"/>
    <s v="016NEFC252370043  NEFT  CREDIT  CHARGE  - AUGUST 2025 STAFF ALLOWANCE PAYMENT"/>
    <s v="Bank charges"/>
    <x v="1"/>
    <n v="50"/>
  </r>
  <r>
    <d v="2025-08-25T00:00:00"/>
    <x v="3"/>
    <s v="016VATO252370043 NEFT CREDIT  CHARGE VAT - AUGUST 2025 STAFF ALLOWANCE PAYMENT"/>
    <s v="Bank charges"/>
    <x v="1"/>
    <n v="3.75"/>
  </r>
  <r>
    <d v="2025-08-25T00:00:00"/>
    <x v="3"/>
    <s v="016NEFO252370064  NEFT  CREDIT  -  AUGUST_x000a_2025 STAFF ALLOWANCE PAYMENT"/>
    <s v="Staff allowance"/>
    <x v="27"/>
    <n v="20000"/>
  </r>
  <r>
    <d v="2025-08-25T00:00:00"/>
    <x v="3"/>
    <s v="016NEFC252370045  NEFT  CREDIT  CHARGE  - AUGUST 2025 STAFF ALLOWANCE PAYMENT"/>
    <s v="Bank charges"/>
    <x v="1"/>
    <n v="25"/>
  </r>
  <r>
    <d v="2025-08-25T00:00:00"/>
    <x v="3"/>
    <s v="016NEFO252370066  NEFT  CREDIT  -  AUGUST_x000a_2025 STAFF ALLOWANCE PAYMENT"/>
    <s v="Staff allowance"/>
    <x v="27"/>
    <n v="20000"/>
  </r>
  <r>
    <d v="2025-08-25T00:00:00"/>
    <x v="3"/>
    <s v="016VATO252370044 NEFT CREDIT  CHARGE VAT - AUGUST 2025 STAFF ALLOWANCE PAYMENT"/>
    <s v="Bank charges"/>
    <x v="1"/>
    <n v="1.8799999952316284"/>
  </r>
  <r>
    <d v="2025-08-25T00:00:00"/>
    <x v="3"/>
    <s v="016NEFC252370046  NEFT  CREDIT  CHARGE  - AUGUST 2025 STAFF ALLOWANCE PAYMENT"/>
    <s v="Bank charges"/>
    <x v="1"/>
    <n v="25"/>
  </r>
  <r>
    <d v="2025-08-25T00:00:00"/>
    <x v="3"/>
    <s v="016VATO252370045 NEFT CREDIT  CHARGE VAT - AUGUST 2025 STAFF ALLOWANCE PAYMENT"/>
    <s v="Bank charges"/>
    <x v="1"/>
    <n v="1.880000002682209"/>
  </r>
  <r>
    <d v="2025-08-25T00:00:00"/>
    <x v="3"/>
    <s v="016NEFO252370067  NEFT  CREDIT  -  AUGUST_x000a_2025 STAFF ALLOWANCE PAYMENT"/>
    <s v="Staff allowance"/>
    <x v="27"/>
    <n v="27500"/>
  </r>
  <r>
    <d v="2025-08-25T00:00:00"/>
    <x v="3"/>
    <s v="016NEFC252370048  NEFT  CREDIT  CHARGE  - AUGUST 2025 STAFF ALLOWANCE PAYMENT"/>
    <s v="Bank charges"/>
    <x v="1"/>
    <n v="25"/>
  </r>
  <r>
    <d v="2025-08-25T00:00:00"/>
    <x v="3"/>
    <s v="016VATO252370046 NEFT CREDIT  CHARGE VAT - AUGUST 2025 STAFF ALLOWANCE PAYMENT"/>
    <s v="Bank charges"/>
    <x v="1"/>
    <n v="1.880000002682209"/>
  </r>
  <r>
    <d v="2025-08-25T00:00:00"/>
    <x v="3"/>
    <s v="016EMTL2523700O6     ELECTRONIC     MONEY TRANSFER LEVY"/>
    <s v="Bank charges"/>
    <x v="1"/>
    <n v="50"/>
  </r>
  <r>
    <d v="2025-08-26T00:00:00"/>
    <x v="3"/>
    <s v="016NIPO252380002 NIP - NIP TRF IFO OLALEYE KAYODE B/O ILORIN  TECH  PARK LTD (IIH AUG 2025 ALLOWANCE"/>
    <s v="Staff allowance"/>
    <x v="27"/>
    <n v="27500"/>
  </r>
  <r>
    <d v="2025-08-26T00:00:00"/>
    <x v="3"/>
    <s v="016NIPC252380002 NIP Charge - NIP TRF IFO OLALEYE KAYODE B/O ILORIN  TECH  PARK LTD (IIH AUG 2025 ALLOWANCE"/>
    <s v="Bank charges"/>
    <x v="1"/>
    <n v="25"/>
  </r>
  <r>
    <d v="2025-08-26T00:00:00"/>
    <x v="3"/>
    <s v="016VATP252380002 NIP Charge VAT - NIP TRF IFO OLALEYE KAYODE B/O ILORIN TECH PARK LTD (IIH AUG 2025 ALLOWANCE"/>
    <s v="Bank charges"/>
    <x v="1"/>
    <n v="1.8799999952316284"/>
  </r>
  <r>
    <d v="2025-08-26T00:00:00"/>
    <x v="3"/>
    <s v="000MOBT252381475      TRADE      FAIR      TRIP_x000a_LAGOS LOGISTICS NIP Transfer from ILORIN INNOVATION HUB LTD to JAMIU ADEBO"/>
    <s v="Transport and Travel"/>
    <x v="18"/>
    <n v="100000"/>
  </r>
  <r>
    <d v="2025-08-26T00:00:00"/>
    <x v="3"/>
    <s v="000MOBT252381475      TRADE      FAIR      TRIP_x000a_LAGOS LOGISTICS NIP Transfer from ILORIN INNOVATION HUB LTD to JAMIU ADEBO"/>
    <s v="Bank charges"/>
    <x v="1"/>
    <n v="50"/>
  </r>
  <r>
    <d v="2025-08-26T00:00:00"/>
    <x v="3"/>
    <s v="000MOBT252381475      TRADE      FAIR      TRIP_x000a_LAGOS LOGISTICS NIP Transfer from ILORIN INNOVATION HUB LTD to JAMIU ADEBO"/>
    <s v="Bank charges"/>
    <x v="1"/>
    <n v="3.75"/>
  </r>
  <r>
    <d v="2025-08-26T00:00:00"/>
    <x v="3"/>
    <s v="016NIPO252380010 NIP - NIP TRF IFO ABDULKHALEED EYITAYO ALABI B/O ILORIN TECH PARK LTD (IIH SALARY AUG 2025"/>
    <s v="Salaries and Wages"/>
    <x v="7"/>
    <n v="44432.330000005662"/>
  </r>
  <r>
    <d v="2025-08-26T00:00:00"/>
    <x v="3"/>
    <s v="016NIPC252380010 NIP Charge - NIP TRF IFO ABDULKHALEED EYITAYO ALABI B/O ILORIN TECH PARK LTD (IIH SALARY AUG 2025"/>
    <s v="Bank charges"/>
    <x v="1"/>
    <n v="25"/>
  </r>
  <r>
    <d v="2025-08-26T00:00:00"/>
    <x v="3"/>
    <s v="016VATP252380010 NIP Charge VAT - NIP TRF IFO ABDULKHALEED EYITAYO ALABI B/O ILORIN TECH PARK LTD (IIH SALARY AUG"/>
    <s v="Bank charges"/>
    <x v="1"/>
    <n v="1.8799999952316284"/>
  </r>
  <r>
    <d v="2025-08-26T00:00:00"/>
    <x v="3"/>
    <s v="016NIPO252380011 NIP - NIP TRF IFO SAMUEL STEVEN ARISE B/O  ILORIN TECH PARK LTD"/>
    <s v="Salaries and Wages"/>
    <x v="7"/>
    <n v="44432.329999998212"/>
  </r>
  <r>
    <d v="2025-08-26T00:00:00"/>
    <x v="3"/>
    <s v="016NIPC252380011 NIP Charge - NIP TRF IFO SAMUEL STEVEN ARISE B/O ILORIN TECH PARK LTD"/>
    <s v="Bank charges"/>
    <x v="1"/>
    <n v="25"/>
  </r>
  <r>
    <d v="2025-08-26T00:00:00"/>
    <x v="3"/>
    <s v="016VATP252380011 NIP Charge VAT - NIP TRF IFO SAMUEL STEVEN ARISE  B/O  ILORIN TECH PARK LTD"/>
    <s v="Bank charges"/>
    <x v="1"/>
    <n v="1.880000002682209"/>
  </r>
  <r>
    <d v="2025-08-26T00:00:00"/>
    <x v="3"/>
    <s v="016NIPO252380012 NIP - NIPTRF IFO HENRY MGBECHI CHUKWUEBUKA B/O ILORIN TECH PARK LTD"/>
    <s v="Salaries and Wages"/>
    <x v="7"/>
    <n v="283172.20000000298"/>
  </r>
  <r>
    <d v="2025-08-26T00:00:00"/>
    <x v="3"/>
    <s v="016NIPC252380012 NIP Charge - NIPTRF IFO HENRY MGBECHI CHUKWUEBUKA  B/O ILORIN TECH PARK LTD"/>
    <s v="Bank charges"/>
    <x v="1"/>
    <n v="50"/>
  </r>
  <r>
    <d v="2025-08-26T00:00:00"/>
    <x v="3"/>
    <s v="016VATP252380012 NIP Charge VAT - NIPTRF IFO  HENRY  MGBECHI  CHUKWUEBUKA  B/O_x000a_ILORIN TECH PARK LTD"/>
    <s v="Bank charges"/>
    <x v="1"/>
    <n v="3.75"/>
  </r>
  <r>
    <d v="2025-08-26T00:00:00"/>
    <x v="3"/>
    <s v="016NIPO252380013 NIP - NIP TRF IFO OLALEYE KAYODE B/O ILORIN  TECH  PARK LTD"/>
    <s v="Salaries and Wages"/>
    <x v="7"/>
    <n v="140171.66999999434"/>
  </r>
  <r>
    <d v="2025-08-26T00:00:00"/>
    <x v="3"/>
    <s v="016NIPC252380013 NIP Charge - NIP TRF IFO OLALEYE KAYODE B/O ILORIN  TECH  PARK LTD"/>
    <s v="Bank charges"/>
    <x v="1"/>
    <n v="50"/>
  </r>
  <r>
    <d v="2025-08-26T00:00:00"/>
    <x v="3"/>
    <s v="016VATP252380013 NIP Charge VAT - NIP TRF IFO OLALEYE KAYODE B/O ILORIN TECH PARK LTD"/>
    <s v="Bank charges"/>
    <x v="1"/>
    <n v="3.75"/>
  </r>
  <r>
    <d v="2025-08-26T00:00:00"/>
    <x v="3"/>
    <s v="016NIPO252380014 NIP - NIP TRF IFO OLUWADAMILARE EMMANUEL OLOYEDE B/O ILORIN TECH PARK LTD"/>
    <s v="Salaries and Wages"/>
    <x v="7"/>
    <n v="283172.20000000298"/>
  </r>
  <r>
    <d v="2025-08-26T00:00:00"/>
    <x v="3"/>
    <s v="016NIPC252380014 NIP Charge - NIP TRF IFO OLUWADAMILARE EMMANUEL OLOYEDE B/O ILORIN TECH PARK LTD"/>
    <s v="Bank charges"/>
    <x v="1"/>
    <n v="50"/>
  </r>
  <r>
    <d v="2025-08-26T00:00:00"/>
    <x v="3"/>
    <s v="016VATP252380014 NIP Charge VAT - NIP TRF IFO OLUWADAMILARE EMMANUEL OLOYEDE B/O  ILORIN TECH PARK LTD"/>
    <s v="Bank charges"/>
    <x v="1"/>
    <n v="3.75"/>
  </r>
  <r>
    <d v="2025-08-26T00:00:00"/>
    <x v="3"/>
    <s v="016NIPO252380015 NIP - NIP TRF IFO YUSUF DOLAPO ABDULRAMAN B/O ILORIN TECH PARK LTD"/>
    <s v="Salaries and Wages"/>
    <x v="7"/>
    <n v="283172.20000000298"/>
  </r>
  <r>
    <d v="2025-08-26T00:00:00"/>
    <x v="3"/>
    <s v="016NIPC252380015 NIP Charge - NIP TRF IFO YUSUF DOLAPO ABDULRAMAN B/O ILORIN TECH PARK LTD"/>
    <s v="Bank charges"/>
    <x v="1"/>
    <n v="50"/>
  </r>
  <r>
    <d v="2025-08-26T00:00:00"/>
    <x v="3"/>
    <s v="016VATP252380015 NIP Charge VAT - NIP TRF IFO YUSUF DOLAPO ABDULRAMAN  B/O ILORIN TECH PARK LTD"/>
    <s v="Bank charges"/>
    <x v="1"/>
    <n v="3.75"/>
  </r>
  <r>
    <d v="2025-08-26T00:00:00"/>
    <x v="3"/>
    <s v="016NIPO252380016 NIP - NIP TRF IFO SHEIDU AL FAID OSIFOMOFURA B/O ILORIN TECH PARK LTD"/>
    <s v="Salaries and Wages"/>
    <x v="7"/>
    <n v="44432.329999998212"/>
  </r>
  <r>
    <d v="2025-08-26T00:00:00"/>
    <x v="3"/>
    <s v="016NIPC252380016 NIP Charge - NIP TRF IFO SHEIDU AL FAID OSIFOMOFURA B/O ILORIN TECH PARK LTD"/>
    <s v="Bank charges"/>
    <x v="1"/>
    <n v="25"/>
  </r>
  <r>
    <d v="2025-08-26T00:00:00"/>
    <x v="3"/>
    <s v="016VATP252380016 NIP Charge VAT - NIP TRF IFO SHEIDU AL  FAID OSIFOMOFURA B/O ILORIN TECH PARK LTD"/>
    <s v="Bank charges"/>
    <x v="1"/>
    <n v="1.880000002682209"/>
  </r>
  <r>
    <d v="2025-08-26T00:00:00"/>
    <x v="3"/>
    <s v="016NIPO252380017 NIP - NIP TRF IFO DELE OLUKOJU AOFIOLUJUWON MIRI B/O ILORIN TECH PARK LTD"/>
    <s v="Salaries and Wages"/>
    <x v="7"/>
    <n v="44432.329999998212"/>
  </r>
  <r>
    <d v="2025-08-26T00:00:00"/>
    <x v="3"/>
    <s v="016NIPC252380017 NIP Charge - NIP TRF IFO DELE OLUKOJU AOFIOLUJUWON MIRI B/O ILORIN TECH PARK LTD"/>
    <s v="Bank charges"/>
    <x v="1"/>
    <n v="25"/>
  </r>
  <r>
    <d v="2025-08-26T00:00:00"/>
    <x v="3"/>
    <s v="016VATP252380017 NIP Charge VAT - NIP TRF IFO DELE OLUKOJU AOFIOLUJUWON MIRI B/O  ILORIN TECH PARK LTD"/>
    <s v="Bank charges"/>
    <x v="1"/>
    <n v="1.8799999952316284"/>
  </r>
  <r>
    <d v="2025-08-26T00:00:00"/>
    <x v="3"/>
    <s v="016NIPO252380018 NIP - NIP TRF IFO OWARE JOAN B/O  ILORIN TECH PARK LTD"/>
    <s v="Salaries and Wages"/>
    <x v="7"/>
    <n v="52835"/>
  </r>
  <r>
    <d v="2025-08-26T00:00:00"/>
    <x v="3"/>
    <s v="016NIPC252380018 NIP Charge - NIP TRF IFO OWARE JOAN B/O  ILORIN TECH PARK LTD"/>
    <s v="Bank charges"/>
    <x v="1"/>
    <n v="50"/>
  </r>
  <r>
    <d v="2025-08-26T00:00:00"/>
    <x v="3"/>
    <s v="016VATP252380018 NIP Charge VAT - NIP TRF IFO OWARE JOAN B/O ILORIN TECH  PARK LTD"/>
    <s v="Bank charges"/>
    <x v="1"/>
    <n v="3.75"/>
  </r>
  <r>
    <d v="2025-08-26T00:00:00"/>
    <x v="3"/>
    <s v="016NIPO252380019 NIP - NIP TRF IFO OKEY MAUREEN DANIEL B/O ILORIN TECH PARK LTD"/>
    <s v="Salaries and Wages"/>
    <x v="7"/>
    <n v="283172.20000000298"/>
  </r>
  <r>
    <d v="2025-08-26T00:00:00"/>
    <x v="3"/>
    <s v="016NIPC252380019 NIP Charge - NIP TRF IFO OKEY MAUREEN DANIEL B/O ILORIN TECH PARK LTD"/>
    <s v="Bank charges"/>
    <x v="1"/>
    <n v="50"/>
  </r>
  <r>
    <d v="2025-08-26T00:00:00"/>
    <x v="3"/>
    <s v="016VATP252380019 NIP Charge VAT - NIP TRF IFO OKEY MAUREEN DANIEL  B/O ILORIN TECH PARK LTD"/>
    <s v="Bank charges"/>
    <x v="1"/>
    <n v="3.75"/>
  </r>
  <r>
    <d v="2025-08-26T00:00:00"/>
    <x v="3"/>
    <s v="016NIPO252380020 NIP - NIP TRF IFO MUHAMMED NASIRU MAHMOOD B/O ILORIN TECH PARK LTD"/>
    <s v="Salaries and Wages"/>
    <x v="7"/>
    <n v="486614.60000000149"/>
  </r>
  <r>
    <d v="2025-08-26T00:00:00"/>
    <x v="3"/>
    <s v="016NIPC252380020 NIP Charge - NIP TRF IFO MUHAMMED NASIRU MAHMOOD  B/O   ILORIN_x000a_TECH PARK LTD"/>
    <s v="Bank charges"/>
    <x v="1"/>
    <n v="50"/>
  </r>
  <r>
    <d v="2025-08-26T00:00:00"/>
    <x v="3"/>
    <s v="016VATP252380020 NIP Charge VAT - NIP TRF IFO MUHAMMED NASIRU MAHMOOD B/O ILORIN TECH PARK LTD"/>
    <s v="Bank charges"/>
    <x v="1"/>
    <n v="3.75"/>
  </r>
  <r>
    <d v="2025-08-26T00:00:00"/>
    <x v="3"/>
    <s v="016NIPO252380021 NIP - NIP TRF IFO OKOLIE OGOCHUKWUKA BENJAMIN  B/O  ILORIN TECH PARK LTD"/>
    <s v="Salaries and Wages"/>
    <x v="7"/>
    <n v="52835"/>
  </r>
  <r>
    <d v="2025-08-26T00:00:00"/>
    <x v="3"/>
    <s v="016NIPC252380021 NIP Charge - NIP TRF IFO OKOLIE OGOCHUKWUKA BENJAMIN B/O ILORIN TECH PARK LTD"/>
    <s v="Bank charges"/>
    <x v="1"/>
    <n v="50"/>
  </r>
  <r>
    <d v="2025-08-26T00:00:00"/>
    <x v="3"/>
    <s v="016VATP252380021 NIP Charge VAT - NIP TRF IFO OKOLIE OGOCHUKWUKA BENJAMIN B/O ILORIN TECH PARK LTD"/>
    <s v="Bank charges"/>
    <x v="1"/>
    <n v="3.75"/>
  </r>
  <r>
    <d v="2025-08-26T00:00:00"/>
    <x v="3"/>
    <s v="016NIPO252380022 NIP - NIP  TRF  IFO AKANDE  OLUWASAYO  TEMILOLA   B/O ILORIN TECH PARK LTD"/>
    <s v="Salaries and Wages"/>
    <x v="7"/>
    <n v="283172.19999999553"/>
  </r>
  <r>
    <d v="2025-08-26T00:00:00"/>
    <x v="3"/>
    <s v="016NIPC252380022 NIP Charge - NIP TRF IFO AKANDE  OLUWASAYO  TEMILOLA   B/O ILORIN TECH PARK LTD"/>
    <s v="Bank charges"/>
    <x v="1"/>
    <n v="50"/>
  </r>
  <r>
    <d v="2025-08-26T00:00:00"/>
    <x v="3"/>
    <s v="016VATP252380022 NIP Charge VAT - NIP TRF IFO AKANDE OLUWASAYO TEMILOLA B/O ILORIN TECH PARK LTD"/>
    <s v="Bank charges"/>
    <x v="1"/>
    <n v="3.75"/>
  </r>
  <r>
    <d v="2025-08-26T00:00:00"/>
    <x v="3"/>
    <s v="016NIPO252380023 NIP - NIP TRF IFO ONUCHUKWU SINACHI GOODNESS B/O ILORIN TECH PARK LTD"/>
    <s v="Salaries and Wages"/>
    <x v="7"/>
    <n v="283172.20000000298"/>
  </r>
  <r>
    <d v="2025-08-26T00:00:00"/>
    <x v="3"/>
    <s v="016NIPC252380023 NIP Charge - NIP TRF IFO ONUCHUKWU SINACHI GOODNESS B/O ILORIN TECH PARK LTD"/>
    <s v="Bank charges"/>
    <x v="1"/>
    <n v="50"/>
  </r>
  <r>
    <d v="2025-08-26T00:00:00"/>
    <x v="3"/>
    <s v="016VATP252380023 NIP Charge VAT - NIP TRF IFO ONUCHUKWU SINACHI GOODNESS B/O ILORIN TECH PARK LTD"/>
    <s v="Bank charges"/>
    <x v="1"/>
    <n v="3.75"/>
  </r>
  <r>
    <d v="2025-08-26T00:00:00"/>
    <x v="3"/>
    <s v="016NIPO252380024 NIP - NIP TRF IFO SULYMAN YUSUF ALAO B/O ILORIN TECH PARK LTD"/>
    <s v="Salaries and Wages"/>
    <x v="7"/>
    <n v="140171.67000000179"/>
  </r>
  <r>
    <d v="2025-08-26T00:00:00"/>
    <x v="3"/>
    <s v="016NIPC252380024 NIP Charge - NIP TRF IFO SULYMAN YUSUF ALAO B/O ILORIN TECH PARK LTD"/>
    <s v="Bank charges"/>
    <x v="1"/>
    <n v="50"/>
  </r>
  <r>
    <d v="2025-08-26T00:00:00"/>
    <x v="3"/>
    <s v="016VATP252380024 NIP Charge VAT - NIP TRF IFO SULYMAN YUSUF ALAO  B/O  ILORIN TECH PARK LTD"/>
    <s v="Bank charges"/>
    <x v="1"/>
    <n v="3.75"/>
  </r>
  <r>
    <d v="2025-08-26T00:00:00"/>
    <x v="3"/>
    <s v="016NIPO252380025  NIP - NIP TRF IFO KAMIL LANRE AHMED B/O  ILORIN TECH PARK LTD"/>
    <s v="Salaries and Wages"/>
    <x v="7"/>
    <n v="283172.19999999553"/>
  </r>
  <r>
    <d v="2025-08-26T00:00:00"/>
    <x v="3"/>
    <s v="016NIPC252380025 NIP Charge - NIP TRF IFO KAMIL LANRE AHMED B/O  ILORIN  TECH PARK LTD"/>
    <s v="Bank charges"/>
    <x v="1"/>
    <n v="50"/>
  </r>
  <r>
    <d v="2025-08-26T00:00:00"/>
    <x v="3"/>
    <s v="016VATP252380025 NIP Charge VAT - NIP TRF IFO KAMIL LANRE AHMED B/O ILORIN TECH PARK LTD"/>
    <s v="Bank charges"/>
    <x v="1"/>
    <n v="3.75"/>
  </r>
  <r>
    <d v="2025-08-26T00:00:00"/>
    <x v="3"/>
    <s v="016NIPO252380026 NIP - NIP TRF IFO TEMILOLUWA OLUWALEKE KOLAWOLE B/O ILORIN TECH PARK LTD"/>
    <s v="Salaries and Wages"/>
    <x v="7"/>
    <n v="4019028.3599999994"/>
  </r>
  <r>
    <d v="2025-08-26T00:00:00"/>
    <x v="3"/>
    <s v="016NIPC252380026 NIP Charge - NIP TRF IFO TEMILOLUWA OLUWALEKE KOLAWOLE B/O ILORIN TECH PARK LTD"/>
    <s v="Bank charges"/>
    <x v="1"/>
    <n v="50"/>
  </r>
  <r>
    <d v="2025-08-26T00:00:00"/>
    <x v="3"/>
    <s v="016VATP252380026 NIP Charge VAT - NIP TRF IFO TEMILOLUWA OLUWALEKE KOLAWOLE B/O  ILORIN TECH PARK LTD"/>
    <s v="Bank charges"/>
    <x v="1"/>
    <n v="3.75"/>
  </r>
  <r>
    <d v="2025-08-26T00:00:00"/>
    <x v="3"/>
    <s v="016NIPO252380027 NIP - NIP TRF IFO JAMIU ADEBOLA OLADIPO B/O ILORIN TECH PARK LTD"/>
    <s v="Salaries and Wages"/>
    <x v="7"/>
    <n v="283172.20000000298"/>
  </r>
  <r>
    <d v="2025-08-26T00:00:00"/>
    <x v="3"/>
    <s v="016NIPC252380027 NIP Charge - NIP TRF IFO JAMIU ADEBOLA OLADIPO B/O ILORIN TECH PARK LTD"/>
    <s v="Bank charges"/>
    <x v="1"/>
    <n v="50"/>
  </r>
  <r>
    <d v="2025-08-26T00:00:00"/>
    <x v="3"/>
    <s v="016VATP252380027 NIP Charge VAT - NIP TRF IFO JAMIU ADEBOLA OLADIPO B/O ILORIN TECH PARK LTD"/>
    <s v="Bank charges"/>
    <x v="1"/>
    <n v="3.75"/>
  </r>
  <r>
    <d v="2025-08-26T00:00:00"/>
    <x v="3"/>
    <s v="016NIPO252380028    NIP    -    NIP    TRF    IFO AYORINDE  OLAMIDE  OPEMIPO  B/O   ILORIN_x000a_TECH PARK LTD"/>
    <s v="Salaries and Wages"/>
    <x v="7"/>
    <n v="52835"/>
  </r>
  <r>
    <d v="2025-08-26T00:00:00"/>
    <x v="3"/>
    <s v="016NIPC252380028 NIP Charge - NIP TRF IFO AYORINDE OLAMIDE OPEMIPO B/O ILORIN TECH PARK LTD"/>
    <s v="Bank charges"/>
    <x v="1"/>
    <n v="50"/>
  </r>
  <r>
    <d v="2025-08-26T00:00:00"/>
    <x v="3"/>
    <s v="016VATP252380028 NIP Charge VAT - NIP TRF IFO AYORINDE OLAMIDE OPEMIPO  B/O ILORIN TECH PARK LTD"/>
    <s v="Bank charges"/>
    <x v="1"/>
    <n v="3.75"/>
  </r>
  <r>
    <d v="2025-08-26T00:00:00"/>
    <x v="3"/>
    <s v="016NIPO252380029 NIP - NIP TRF IFO KHADIJAT ZUMAH SULYMAN B/O  ILORIN TECH PARK LTD"/>
    <s v="Salaries and Wages"/>
    <x v="7"/>
    <n v="2295519.5600000024"/>
  </r>
  <r>
    <d v="2025-08-26T00:00:00"/>
    <x v="3"/>
    <s v="016NIPC252380029 NIP Charge - NIP TRF IFO KHADIJAT ZUMAH SULYMAN B/O  ILORIN TECH PARK LTD"/>
    <s v="Bank charges"/>
    <x v="1"/>
    <n v="50"/>
  </r>
  <r>
    <d v="2025-08-26T00:00:00"/>
    <x v="3"/>
    <s v="016VATP252380029 NIP Charge VAT - NIP TRF IFO KHADIJAT ZUMAH SULYMAN B/O ILORIN TECH PARK LTD"/>
    <s v="Bank charges"/>
    <x v="1"/>
    <n v="3.75"/>
  </r>
  <r>
    <d v="2025-08-26T00:00:00"/>
    <x v="3"/>
    <s v="016NIPO252380030 NIP - NIP TRF IFO ABDULHAMEED BOLAJI MUSTAPHA B/O ILORIN TECH PARK LTD"/>
    <s v="Salaries and Wages"/>
    <x v="7"/>
    <n v="44432.329999998212"/>
  </r>
  <r>
    <d v="2025-08-26T00:00:00"/>
    <x v="3"/>
    <s v="016NIPC252380030 NIP Charge - NIP TRF IFO ABDULHAMEED BOLAJI MUSTAPHA B/O ILORIN TECH PARK LTD"/>
    <s v="Bank charges"/>
    <x v="1"/>
    <n v="25"/>
  </r>
  <r>
    <d v="2025-08-26T00:00:00"/>
    <x v="3"/>
    <s v="016VATP252380030 NIP Charge VAT - NIP TRF IFO ABDULHAMEED BOLAJI MUSTAPHA B/O ILORIN TECH PARK LTD"/>
    <s v="Bank charges"/>
    <x v="1"/>
    <n v="1.880000002682209"/>
  </r>
  <r>
    <d v="2025-08-26T00:00:00"/>
    <x v="3"/>
    <s v="016NIPO252380031 NIP - NIP TRF IFO HAPPINESS SAMUEL  B/O  ILORIN  TECH PARK LTD"/>
    <s v="Unallocated expense"/>
    <x v="7"/>
    <n v="44432.329999998212"/>
  </r>
  <r>
    <d v="2025-08-26T00:00:00"/>
    <x v="3"/>
    <s v="016NIPC252380031 NIP Charge - NIP TRF IFO HAPPINESS SAMUEL  B/O  ILORIN  TECH PARK LTD"/>
    <s v="Bank charges"/>
    <x v="1"/>
    <n v="25"/>
  </r>
  <r>
    <d v="2025-08-26T00:00:00"/>
    <x v="3"/>
    <s v="016VATP252380031 NIP Charge VAT - NIP TRF IFO HAPPINESS SAMUEL B/O ILORIN TECH PARK LTD"/>
    <s v="Bank charges"/>
    <x v="1"/>
    <n v="1.8799999952316284"/>
  </r>
  <r>
    <d v="2025-08-26T00:00:00"/>
    <x v="3"/>
    <s v="016NIPO252380032 NIP - NIP TRF IFO MUINAT OYINKANSOLA BELLO B/O ILORIN TECH PARK LTD"/>
    <s v="Salaries and Wages"/>
    <x v="7"/>
    <n v="140171.67000000179"/>
  </r>
  <r>
    <d v="2025-08-26T00:00:00"/>
    <x v="3"/>
    <s v="016NIPC252380032 NIP Charge - NIP TRF IFO MUINAT OYINKANSOLA BELLO B/O ILORIN TECH PARK LTD"/>
    <s v="Bank charges"/>
    <x v="1"/>
    <n v="50"/>
  </r>
  <r>
    <d v="2025-08-26T00:00:00"/>
    <x v="3"/>
    <s v="016VATP252380032 NIP Charge VAT - NIP TRF IFO MUINAT OYINKANSOLA BELLO  B/O ILORIN TECH PARK LTD"/>
    <s v="Bank charges"/>
    <x v="1"/>
    <n v="3.75"/>
  </r>
  <r>
    <d v="2025-08-26T00:00:00"/>
    <x v="3"/>
    <s v="016NIPO252380033 NIP - NIP TRF IFO ABDULRASAQ ABDULRASAQ B/O  ILORIN TECH PARK LTD"/>
    <s v="Salaries and Wages"/>
    <x v="7"/>
    <n v="44432.329999998212"/>
  </r>
  <r>
    <d v="2025-08-26T00:00:00"/>
    <x v="3"/>
    <s v="016NIPC252380033 NIP Charge - NIP TRF IFO ABDULRASAQ ABDULRASAQ B/O  ILORIN TECH PARK LTD"/>
    <s v="Bank charges"/>
    <x v="1"/>
    <n v="25"/>
  </r>
  <r>
    <d v="2025-08-26T00:00:00"/>
    <x v="3"/>
    <s v="016VATP252380033 NIP Charge VAT - NIP TRF IFO  ABDULRASAQ  ABDULRASAQ  B/O ILORIN TECH PARK LTD"/>
    <s v="Bank charges"/>
    <x v="1"/>
    <n v="1.880000002682209"/>
  </r>
  <r>
    <d v="2025-08-26T00:00:00"/>
    <x v="3"/>
    <s v="016NIPO252380034 NIP - NIP TRF IFO AMIDAT OLUWATOSIN OLALERE B/O ILORIN TECH PARK LTD"/>
    <s v="Salaries and Wages"/>
    <x v="7"/>
    <n v="283172.20000000298"/>
  </r>
  <r>
    <d v="2025-08-26T00:00:00"/>
    <x v="3"/>
    <s v="016NIPC252380034 NIP Charge - NIP TRF IFO AMIDAT OLUWATOSIN OLALERE B/O ILORIN TECH PARK LTD"/>
    <s v="Bank charges"/>
    <x v="1"/>
    <n v="50"/>
  </r>
  <r>
    <d v="2025-08-26T00:00:00"/>
    <x v="3"/>
    <s v="016VATP252380034 NIP Charge VAT - NIP TRF IFO AMIDAT OLUWATOSIN OLALERE B/O ILORIN TECH PARK LTD"/>
    <s v="Bank charges"/>
    <x v="1"/>
    <n v="3.75"/>
  </r>
  <r>
    <d v="2025-08-26T00:00:00"/>
    <x v="3"/>
    <s v="000MOBT252384664       FACILITY       RUNNING_x000a_COSTS    AUG    NIP    Transfer    from    ILORIN INNOVATION HUB LTD to KAMIL LANRE"/>
    <s v="Repairs and maintenance"/>
    <x v="12"/>
    <n v="150000"/>
  </r>
  <r>
    <d v="2025-08-26T00:00:00"/>
    <x v="3"/>
    <s v="000MOBT252384664       FACILITY       RUNNING_x000a_COSTS    AUG    NIP    Transfer    from    ILORIN INNOVATION HUB LTD to KAMIL LANRE"/>
    <s v="Bank charges"/>
    <x v="1"/>
    <n v="50"/>
  </r>
  <r>
    <d v="2025-08-26T00:00:00"/>
    <x v="3"/>
    <s v="000MOBT252384664       FACILITY       RUNNING_x000a_COSTS    AUG    NIP    Transfer    from    ILORIN INNOVATION HUB LTD to KAMIL LANRE"/>
    <s v="Bank charges"/>
    <x v="1"/>
    <n v="3.75"/>
  </r>
  <r>
    <d v="2025-08-26T00:00:00"/>
    <x v="3"/>
    <s v="000o752252380016 RVSL OF AUGUST 2025 STAFF ALLOWANCE PAYMENT FOR 16 BENEFICIARIES"/>
    <s v="Staff allowance"/>
    <x v="27"/>
    <n v="-9579242.3200000003"/>
  </r>
  <r>
    <d v="2025-08-26T00:00:00"/>
    <x v="3"/>
    <s v="000o752252380017 FAILED-AUGUST 2025 STAFF ALLOWANCE PAYMENT FOR 2 BENEFICIARIES"/>
    <s v="Staff allowance"/>
    <x v="27"/>
    <n v="-47500"/>
  </r>
  <r>
    <d v="2025-08-26T00:00:00"/>
    <x v="3"/>
    <s v="000MOBT25238A08K TWO NIGHTS ADEBOLA TRADE FAIR TRIP TO LAGOS NIP Transfer from ILORIN INNOVATION HUB LTD to"/>
    <s v="Transport and Travel"/>
    <x v="18"/>
    <n v="120000"/>
  </r>
  <r>
    <d v="2025-08-26T00:00:00"/>
    <x v="3"/>
    <s v="000MOBT25238A08K TWO NIGHTS ADEBOLA TRADE FAIR TRIP TO LAGOS NIP Transfer from ILORIN INNOVATION HUB LTD to"/>
    <s v="Bank charges"/>
    <x v="1"/>
    <n v="50"/>
  </r>
  <r>
    <d v="2025-08-26T00:00:00"/>
    <x v="3"/>
    <s v="000MOBT25238A08K TWO NIGHTS ADEBOLA TRADE FAIR TRIP TO LAGOS NIP Transfer from ILORIN INNOVATION HUB LTD to"/>
    <s v="Bank charges"/>
    <x v="1"/>
    <n v="3.75"/>
  </r>
  <r>
    <d v="2025-08-26T00:00:00"/>
    <x v="3"/>
    <s v="000MOBT25238A0KJ  IIH  SALARY  AUG  2025_x000a_NIP  Transfer  from  ILORIN  INNOVATION  HUB LTD to FARAYADE EMMANUEL OLAWA"/>
    <s v="Salaries and Wages"/>
    <x v="7"/>
    <n v="71025"/>
  </r>
  <r>
    <d v="2025-08-26T00:00:00"/>
    <x v="3"/>
    <s v="000MOBT25238A0KJ  IIH  SALARY  AUG  2025_x000a_NIP  Transfer  from  ILORIN  INNOVATION  HUB LTD to FARAYADE EMMANUEL OLAWA"/>
    <s v="Bank charges"/>
    <x v="1"/>
    <n v="50"/>
  </r>
  <r>
    <d v="2025-08-26T00:00:00"/>
    <x v="3"/>
    <s v="000MOBT25238A0KJ  IIH  SALARY  AUG  2025_x000a_NIP  Transfer  from  ILORIN  INNOVATION  HUB LTD to FARAYADE EMMANUEL OLAWA"/>
    <s v="Bank charges"/>
    <x v="1"/>
    <n v="3.75"/>
  </r>
  <r>
    <d v="2025-08-27T00:00:00"/>
    <x v="3"/>
    <s v="000MOBT252397226   AIRTEL   WIFI   SUB   NIP_x000a_Transfer  from  ILORIN  INNOVATION  HUB  LTD to PAYSTACK CHECKOUT"/>
    <s v="Data and telephone expenses"/>
    <x v="10"/>
    <n v="30000"/>
  </r>
  <r>
    <d v="2025-08-27T00:00:00"/>
    <x v="3"/>
    <s v="000MOBT252397226   AIRTEL   WIFI   SUB   NIP_x000a_Transfer  from  ILORIN  INNOVATION  HUB  LTD to PAYSTACK CHECKOUT"/>
    <s v="Bank charges"/>
    <x v="1"/>
    <n v="25"/>
  </r>
  <r>
    <d v="2025-08-27T00:00:00"/>
    <x v="3"/>
    <s v="000MOBT252397226   AIRTEL   WIFI   SUB   NIP_x000a_Transfer  from  ILORIN  INNOVATION  HUB  LTD to PAYSTACK CHECKOUT"/>
    <s v="Bank charges"/>
    <x v="1"/>
    <n v="1.8799999952316284"/>
  </r>
  <r>
    <d v="2025-08-27T00:00:00"/>
    <x v="3"/>
    <s v="000MOBT252397283  IIH  TRADE  FAIR  PRINT_x000a_MATERIALS     NIP     Transfer     from     ILORIN INNOVATION HUB LTD to PRINT WORLD"/>
    <s v="Stationery and Office Supplies"/>
    <x v="2"/>
    <n v="167500"/>
  </r>
  <r>
    <d v="2025-08-27T00:00:00"/>
    <x v="3"/>
    <s v="000MOBT252397283  IIH  TRADE  FAIR  PRINT_x000a_MATERIALS     NIP     Transfer     from     ILORIN INNOVATION HUB LTD to PRINT WORLD"/>
    <s v="Bank charges"/>
    <x v="1"/>
    <n v="50"/>
  </r>
  <r>
    <d v="2025-08-27T00:00:00"/>
    <x v="3"/>
    <s v="000MOBT252397283  IIH  TRADE  FAIR  PRINT_x000a_MATERIALS     NIP     Transfer     from     ILORIN INNOVATION HUB LTD to PRINT WORLD"/>
    <s v="Bank charges"/>
    <x v="1"/>
    <n v="3.75"/>
  </r>
  <r>
    <d v="2025-08-27T00:00:00"/>
    <x v="3"/>
    <s v="000MOBT252399651 TWENTY PACKS OF WATER CCHUB 12 13 14 AUG NIP  Transfer from ILORIN INNOVATION HUB LTD to OL"/>
    <s v="Stationery and Office Supplies"/>
    <x v="2"/>
    <n v="32000"/>
  </r>
  <r>
    <d v="2025-08-27T00:00:00"/>
    <x v="3"/>
    <s v="000MOBT252399651 TWENTY PACKS OF WATER CCHUB 12 13 14 AUG NIP  Transfer from ILORIN INNOVATION HUB LTD to OL"/>
    <s v="Bank charges"/>
    <x v="1"/>
    <n v="25"/>
  </r>
  <r>
    <d v="2025-08-27T00:00:00"/>
    <x v="3"/>
    <s v="000MOBT252399651 TWENTY PACKS OF WATER CCHUB 12 13 14 AUG NIP  Transfer from ILORIN INNOVATION HUB LTD to OL"/>
    <s v="Bank charges"/>
    <x v="1"/>
    <n v="1.880000002682209"/>
  </r>
  <r>
    <d v="2025-08-27T00:00:00"/>
    <x v="3"/>
    <s v="000MOBT252399787  MD  GITEX  TRIP  FLIGHT_x000a_TICKET  ILV  LOS  NIP  Transfer  from  ILORIN INNOVATION HUB LTD to PAYSTAC"/>
    <s v="Transport and Travel"/>
    <x v="18"/>
    <n v="202000"/>
  </r>
  <r>
    <d v="2025-08-27T00:00:00"/>
    <x v="3"/>
    <s v="000MOBT252399787  MD  GITEX  TRIP  FLIGHT_x000a_TICKET  ILV  LOS  NIP  Transfer  from  ILORIN INNOVATION HUB LTD to PAYSTAC"/>
    <s v="Bank charges"/>
    <x v="1"/>
    <n v="50"/>
  </r>
  <r>
    <d v="2025-08-27T00:00:00"/>
    <x v="3"/>
    <s v="000MOBT252399787  MD  GITEX  TRIP  FLIGHT_x000a_TICKET  ILV  LOS  NIP  Transfer  from  ILORIN INNOVATION HUB LTD to PAYSTAC"/>
    <s v="Bank charges"/>
    <x v="1"/>
    <n v="3.75"/>
  </r>
  <r>
    <d v="2025-08-27T00:00:00"/>
    <x v="3"/>
    <s v="000MOBT25239A01H   REIMBURSEMENT   FOR_x000a_AUG   STAFF   HANGOUT   NIP   Transfer   from ILORIN INNOVATION HUB LTD to TEMILOL"/>
    <s v="Guest and entertainment"/>
    <x v="15"/>
    <n v="63500"/>
  </r>
  <r>
    <d v="2025-08-27T00:00:00"/>
    <x v="3"/>
    <s v="000MOBT25239A01H   REIMBURSEMENT   FOR_x000a_AUG   STAFF   HANGOUT   NIP   Transfer   from ILORIN INNOVATION HUB LTD to TEMILOL"/>
    <s v="Bank charges"/>
    <x v="1"/>
    <n v="50"/>
  </r>
  <r>
    <d v="2025-08-27T00:00:00"/>
    <x v="3"/>
    <s v="000MOBT25239A01H   REIMBURSEMENT   FOR_x000a_AUG   STAFF   HANGOUT   NIP   Transfer   from ILORIN INNOVATION HUB LTD to TEMILOL"/>
    <s v="Bank charges"/>
    <x v="1"/>
    <n v="3.75"/>
  </r>
  <r>
    <d v="2025-08-29T00:00:00"/>
    <x v="3"/>
    <s v="000MOBT25241ADC5   REIMBURSEMENT   FOR_x000a_DRINKS PURCHASE NIP Transfer from ILORIN INNOVATION HUB LTD to OKEY MAUR"/>
    <s v="Guest and entertainment"/>
    <x v="13"/>
    <n v="70500"/>
  </r>
  <r>
    <d v="2025-08-29T00:00:00"/>
    <x v="3"/>
    <s v="000MOBT25241ADC5   REIMBURSEMENT   FOR_x000a_DRINKS PURCHASE NIP Transfer from ILORIN INNOVATION HUB LTD to OKEY MAUR"/>
    <s v="Bank charges"/>
    <x v="1"/>
    <n v="50"/>
  </r>
  <r>
    <d v="2025-08-29T00:00:00"/>
    <x v="3"/>
    <s v="000MOBT25241ADC5   REIMBURSEMENT   FOR_x000a_DRINKS PURCHASE NIP Transfer from ILORIN INNOVATION HUB LTD to OKEY MAUR"/>
    <s v="Bank charges"/>
    <x v="1"/>
    <n v="3.75"/>
  </r>
  <r>
    <d v="2025-08-29T00:00:00"/>
    <x v="3"/>
    <s v="016AMFV25241002Y  VAT  ON  TRANSACTION CHARGES"/>
    <s v="Bank charges"/>
    <x v="1"/>
    <n v="2565.2100000008941"/>
  </r>
  <r>
    <d v="2025-08-29T00:00:00"/>
    <x v="3"/>
    <s v="016AMFC25241003S                             ACCOUNT MAINTENANCE FEE"/>
    <s v="bank charges"/>
    <x v="1"/>
    <n v="34201.70000000298"/>
  </r>
  <r>
    <d v="2025-08-31T00:00:00"/>
    <x v="3"/>
    <s v="Bank transactions in August"/>
    <s v="Bank balance"/>
    <x v="5"/>
    <n v="-23416246.75"/>
  </r>
  <r>
    <d v="2025-07-02T00:00:00"/>
    <x v="2"/>
    <s v="CIP/CR//NIP Transfer to ILORIN TECH PARK LTD. 000260490164/FRM ADEBAYO SAFAU IYABO_x000a_000013250702120114000260490164"/>
    <s v="Income"/>
    <x v="0"/>
    <n v="-334200"/>
  </r>
  <r>
    <d v="2025-07-03T00:00:00"/>
    <x v="2"/>
    <s v="LEGAL SEARCH FEE"/>
    <s v="Bank charges"/>
    <x v="1"/>
    <n v="9000"/>
  </r>
  <r>
    <d v="2025-07-04T00:00:00"/>
    <x v="2"/>
    <s v="NIP/PBNL/TUNMISEJOHNSONHOUSEHO LDFOUNDA /To ZENITH BANK ILORIN TECH PARK LTD Payment for refreshment"/>
    <s v="Income"/>
    <x v="21"/>
    <n v="-32250"/>
  </r>
  <r>
    <d v="2025-07-06T00:00:00"/>
    <x v="2"/>
    <s v="FGN ELECTRONIC MONEY TRANSFER_x000a_LEVY"/>
    <s v="Bank charges"/>
    <x v="1"/>
    <n v="100"/>
  </r>
  <r>
    <d v="2025-07-09T00:00:00"/>
    <x v="2"/>
    <s v="TRF FROM TUNMISE JOHNSON//TRF TO_x000a_ILORIN TECH PARK LTD//Food and drink"/>
    <s v="Income"/>
    <x v="21"/>
    <n v="-8300"/>
  </r>
  <r>
    <d v="2025-07-10T00:00:00"/>
    <x v="2"/>
    <s v="NIP/FCMB/ADEBAYO IYABO Bank ILORIN TECH PARK LTD_x000a_SAFAU/AppEoDB Refreshments To Zenith"/>
    <s v="Income"/>
    <x v="21"/>
    <n v="-506700"/>
  </r>
  <r>
    <d v="2025-07-13T00:00:00"/>
    <x v="2"/>
    <s v="FGN ELECTRONIC MONEY TRANSFER_x000a_LEVY"/>
    <s v="Bank charges"/>
    <x v="1"/>
    <n v="50"/>
  </r>
  <r>
    <d v="2025-07-16T00:00:00"/>
    <x v="2"/>
    <s v="TRF FRM TUNMISE JOHNSON HOUSEHOLD FOUNDATION"/>
    <s v="Income"/>
    <x v="0"/>
    <n v="-500000"/>
  </r>
  <r>
    <d v="2025-07-16T00:00:00"/>
    <x v="2"/>
    <s v="NIP CR// BOA FOODS RESTAURANT LTD_x000a_- 2/ROLEZ/payment made for refreshment for event catering"/>
    <s v="Guest and entertainment"/>
    <x v="13"/>
    <n v="263150"/>
  </r>
  <r>
    <d v="2025-07-16T00:00:00"/>
    <x v="2"/>
    <s v="NIP CHARGE + VAT"/>
    <s v="Bank charges"/>
    <x v="1"/>
    <n v="53.75"/>
  </r>
  <r>
    <d v="2025-07-17T00:00:00"/>
    <x v="2"/>
    <s v="NIP CR// BOA FOODS RESTAURANT LTD_x000a_- 2/ROLEZ/refreshment and event catering"/>
    <s v="Guest and entertainment"/>
    <x v="13"/>
    <n v="65500"/>
  </r>
  <r>
    <d v="2025-07-17T00:00:00"/>
    <x v="2"/>
    <s v="NIP CHARGE + VAT"/>
    <s v="Bank charges"/>
    <x v="1"/>
    <n v="53.75"/>
  </r>
  <r>
    <d v="2025-07-18T00:00:00"/>
    <x v="2"/>
    <s v="CIP/CR//Transfer from SOLOMON_x000a_ILEMONA SAMUEL 100004250718065709137041570691"/>
    <s v="Income"/>
    <x v="11"/>
    <n v="-136000"/>
  </r>
  <r>
    <d v="2025-07-18T00:00:00"/>
    <x v="2"/>
    <s v="NIP CR//OKEY MAUREEN DANIEL/GTB_x000a_/PAYMENT FOR REFRESHMENT REIMBURSEMENT"/>
    <s v="Guest and entertainment"/>
    <x v="13"/>
    <n v="84600"/>
  </r>
  <r>
    <d v="2025-07-18T00:00:00"/>
    <x v="2"/>
    <s v="NIP CHARGE + VAT"/>
    <s v="Bank charges"/>
    <x v="1"/>
    <n v="53.75"/>
  </r>
  <r>
    <d v="2025-07-18T00:00:00"/>
    <x v="2"/>
    <s v="NIP/ROLEZ/NGUTOR MICHAEL AKPEM/Payment for REFRESHMENT BY 3SU MENTORS/AT68"/>
    <s v="Income"/>
    <x v="21"/>
    <n v="-1097000"/>
  </r>
  <r>
    <d v="2025-07-20T00:00:00"/>
    <x v="2"/>
    <s v="FGN ELECTRONIC MONEY TRANSFER_x000a_LEVY"/>
    <s v="Bank charges"/>
    <x v="1"/>
    <n v="150"/>
  </r>
  <r>
    <d v="2025-07-20T00:00:00"/>
    <x v="2"/>
    <s v="TRF FRM TUNMISE JOHNSON HOUSEHOLD FOUNDATION TO ILORIN _x000a_TECH PARK LTD"/>
    <s v="Income"/>
    <x v="11"/>
    <n v="-51000"/>
  </r>
  <r>
    <d v="2025-07-27T00:00:00"/>
    <x v="2"/>
    <s v="FGN ELECTRONIC MONEY TRANSFER LEVY"/>
    <s v="Bank charges"/>
    <x v="1"/>
    <n v="50"/>
  </r>
  <r>
    <d v="2025-07-30T00:00:00"/>
    <x v="2"/>
    <s v=":ETZ INFLOW 09FG250730171527404NEHDLJ:_x000a_completion for refreshments "/>
    <s v="Income"/>
    <x v="21"/>
    <n v="-34000"/>
  </r>
  <r>
    <d v="2025-07-31T00:00:00"/>
    <x v="2"/>
    <s v="Bank transactions in September"/>
    <s v="Bank balance"/>
    <x v="28"/>
    <n v="2276688.75"/>
  </r>
  <r>
    <d v="2025-07-31T00:00:00"/>
    <x v="2"/>
    <s v="ACCOUNT MAINTENANCE FEE"/>
    <s v="Bank charges"/>
    <x v="1"/>
    <n v="413.25"/>
  </r>
  <r>
    <d v="2025-07-31T00:00:00"/>
    <x v="2"/>
    <s v="VAT ON ACCOUNT MAINTENNACE FEE"/>
    <s v="Bank charges"/>
    <x v="1"/>
    <n v="30.990000000223517"/>
  </r>
  <r>
    <d v="2025-08-03T00:00:00"/>
    <x v="3"/>
    <s v="FGN ELECTRONIC MONEY TRANSFER_x000a_LEVY"/>
    <s v="Bank charges"/>
    <x v="1"/>
    <n v="50"/>
  </r>
  <r>
    <d v="2025-08-19T00:00:00"/>
    <x v="3"/>
    <s v="NIP CR// BOA FOODS RESTAURANT LTD_x000a_- 2/ROLEZ/TRF"/>
    <s v="Guest and entertainment"/>
    <x v="13"/>
    <n v="49800"/>
  </r>
  <r>
    <d v="2025-08-19T00:00:00"/>
    <x v="3"/>
    <s v="NIP CHARGE + VAT"/>
    <s v="Bank charges"/>
    <x v="1"/>
    <n v="26.879999999888241"/>
  </r>
  <r>
    <d v="2025-08-19T00:00:00"/>
    <x v="3"/>
    <s v="NIP CR// BOA FOODS RESTAURANT LTD_x000a_- 2/ROLEZ/TRF"/>
    <s v="Guest and entertainment"/>
    <x v="13"/>
    <n v="140000"/>
  </r>
  <r>
    <d v="2025-08-19T00:00:00"/>
    <x v="3"/>
    <s v="NIP CHARGE + VAT"/>
    <s v="Bank charges"/>
    <x v="1"/>
    <n v="53.75"/>
  </r>
  <r>
    <d v="2025-08-19T00:00:00"/>
    <x v="3"/>
    <s v=":ETZ INFLOW BOLATITO GANIYAT OLAGUNJU to 09FG250819202702574RJSV9Z:"/>
    <s v="Income"/>
    <x v="11"/>
    <n v="-85000"/>
  </r>
  <r>
    <d v="2025-08-22T00:00:00"/>
    <x v="3"/>
    <s v="NIP CR// BOA FOODS RESTAURANT LTD_x000a_- 2/ROLEZ/trf"/>
    <s v="Guest and entertainment"/>
    <x v="13"/>
    <n v="180000"/>
  </r>
  <r>
    <d v="2025-08-22T00:00:00"/>
    <x v="3"/>
    <s v="NIP CHARGE + VAT"/>
    <s v="Bank charges"/>
    <x v="1"/>
    <n v="53.75"/>
  </r>
  <r>
    <d v="2025-08-22T00:00:00"/>
    <x v="3"/>
    <s v="NIP CR// BOA FOODS RESTAURANT LTD_x000a_- 2/ROLEZ/trf"/>
    <s v="Guest and entertainment"/>
    <x v="13"/>
    <n v="4000"/>
  </r>
  <r>
    <d v="2025-08-22T00:00:00"/>
    <x v="3"/>
    <s v="NIP CHARGE + VAT"/>
    <s v="Bank charges"/>
    <x v="1"/>
    <n v="10.75"/>
  </r>
  <r>
    <d v="2025-08-22T00:00:00"/>
    <x v="3"/>
    <s v="NIP CR// BOA FOODS RESTAURANT LTD_x000a_- 2/ROLEZ/trf"/>
    <s v="Guest and entertainment"/>
    <x v="13"/>
    <n v="146500"/>
  </r>
  <r>
    <d v="2025-08-22T00:00:00"/>
    <x v="3"/>
    <s v="NIP CHARGE + VAT"/>
    <s v="Bank charges"/>
    <x v="1"/>
    <n v="53.75"/>
  </r>
  <r>
    <d v="2025-08-22T00:00:00"/>
    <x v="3"/>
    <s v="CIP/CR//Transfer from OLUWASEYI 100004250822145246139533323913_x000a_RACHAEL ROTIMI"/>
    <s v="Income"/>
    <x v="11"/>
    <n v="-11000"/>
  </r>
  <r>
    <d v="2025-08-24T00:00:00"/>
    <x v="3"/>
    <s v="FGN ELECTRONIC MONEY TRANSFER LEVY"/>
    <s v="Bank charges"/>
    <x v="1"/>
    <n v="50"/>
  </r>
  <r>
    <d v="2025-08-26T00:00:00"/>
    <x v="3"/>
    <s v="TRF FROM TUNMISE JOHNSON_x000a_HOUSEHOLD FOUNDATIO/1756149758657"/>
    <s v="Income"/>
    <x v="11"/>
    <n v="-54000"/>
  </r>
  <r>
    <d v="2025-08-27T00:00:00"/>
    <x v="3"/>
    <s v="NIP CR//JIMOH SULEIMAN _x000a_OLAWALE/FCMB /REFRESHMENT -BASE _x000a_ONCHAIN SUMMER WORKSHOP"/>
    <s v="Guest and entertainment"/>
    <x v="13"/>
    <n v="65000"/>
  </r>
  <r>
    <d v="2025-08-27T00:00:00"/>
    <x v="3"/>
    <s v="NIP CHARGE + VAT"/>
    <s v="Bank charges"/>
    <x v="1"/>
    <n v="53.75"/>
  </r>
  <r>
    <d v="2025-08-30T00:00:00"/>
    <x v="3"/>
    <s v="NIP/GTB/COCREATION HUB LIMITED/ER_x0002_06213 IHS Ilorin Meals for meet and greet 212086272 GAPS0003691237212086272S"/>
    <s v="Income"/>
    <x v="21"/>
    <n v="-168000"/>
  </r>
  <r>
    <d v="2025-08-31T00:00:00"/>
    <x v="3"/>
    <s v="FGN ELECTRONIC MONEY TRANSFER LEVY"/>
    <s v="Bank charges"/>
    <x v="1"/>
    <n v="100"/>
  </r>
  <r>
    <d v="2025-08-31T00:00:00"/>
    <x v="3"/>
    <s v="ACCOUNT MAINTENANCE FEE"/>
    <s v="Bank charges"/>
    <x v="1"/>
    <n v="585.29999999981374"/>
  </r>
  <r>
    <d v="2025-08-31T00:00:00"/>
    <x v="3"/>
    <s v="VAT ON ACCOUNT MAINTENNACE FEE"/>
    <s v="Bank charges"/>
    <x v="1"/>
    <n v="43.900000000139698"/>
  </r>
  <r>
    <d v="2025-08-31T00:00:00"/>
    <x v="3"/>
    <s v="Bank transactions in August"/>
    <s v="Bank balance"/>
    <x v="28"/>
    <n v="-268826.07000000007"/>
  </r>
  <r>
    <d v="2025-07-31T00:00:00"/>
    <x v="2"/>
    <m/>
    <m/>
    <x v="0"/>
    <n v="-2723750"/>
  </r>
  <r>
    <d v="2025-07-31T00:00:00"/>
    <x v="2"/>
    <m/>
    <m/>
    <x v="1"/>
    <n v="10157.5"/>
  </r>
  <r>
    <d v="2025-07-31T00:00:00"/>
    <x v="2"/>
    <m/>
    <m/>
    <x v="12"/>
    <n v="520000"/>
  </r>
  <r>
    <d v="2025-07-31T00:00:00"/>
    <x v="2"/>
    <m/>
    <m/>
    <x v="26"/>
    <n v="500000"/>
  </r>
  <r>
    <d v="2025-07-31T00:00:00"/>
    <x v="2"/>
    <s v="Bank transactions in July"/>
    <m/>
    <x v="29"/>
    <n v="1693592.5"/>
  </r>
  <r>
    <d v="2025-08-19T00:00:00"/>
    <x v="3"/>
    <s v="09FG2508192006139819TJWVE | BOLATITO GANIYAT OLAGUNJU | BOLATITO GANIYAT OLAGUNJU to ILORIN TECH PARK LTD Ref: 09FG2508192006139819TJWVE2"/>
    <m/>
    <x v="0"/>
    <n v="-250000"/>
  </r>
  <r>
    <d v="2025-08-26T00:00:00"/>
    <x v="3"/>
    <s v="BANKNIP From 000015250826062358000000205483 000015 PAYREF: SP33363963 SENDER: TUNMISE JOHNSON HOUSEHOLD FOUNDATIO REMARK: 1756149559014 ILORIN TECH PARK LTD Ref:_x000a_0000152508260623580000002054832"/>
    <m/>
    <x v="11"/>
    <n v="-40000"/>
  </r>
  <r>
    <d v="2025-08-27T00:00:00"/>
    <x v="3"/>
    <s v="BANKNIP From 000012250827114416629004483368_x000a_000012 PAYREF: 9286-2 SENDER: WEBFALA DIGITAL SKILLS FOR ALL INITIATI REMARK: IIH Facility rental_x000a_(pitch hall) for WIA ILORIN TECH PARK LTD Ref: 0000122508271144166290044833682"/>
    <m/>
    <x v="0"/>
    <n v="-444000"/>
  </r>
  <r>
    <d v="2025-08-31T00:00:00"/>
    <x v="3"/>
    <s v="Bank transactions in August"/>
    <s v="Bank balance"/>
    <x v="29"/>
    <n v="73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35" firstHeaderRow="1" firstDataRow="2" firstDataCol="1"/>
  <pivotFields count="6">
    <pivotField numFmtId="14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31">
        <item x="19"/>
        <item x="1"/>
        <item x="11"/>
        <item x="6"/>
        <item x="17"/>
        <item x="0"/>
        <item x="22"/>
        <item x="16"/>
        <item x="13"/>
        <item x="21"/>
        <item x="24"/>
        <item x="3"/>
        <item x="15"/>
        <item x="2"/>
        <item x="4"/>
        <item x="5"/>
        <item x="8"/>
        <item x="23"/>
        <item x="12"/>
        <item x="7"/>
        <item x="14"/>
        <item x="9"/>
        <item x="27"/>
        <item x="26"/>
        <item x="20"/>
        <item x="29"/>
        <item x="10"/>
        <item x="25"/>
        <item x="18"/>
        <item x="28"/>
        <item t="default"/>
      </items>
    </pivotField>
    <pivotField dataField="1" numFmtId="164" showAll="0"/>
  </pivotFields>
  <rowFields count="1"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ransactions" fld="5" baseField="0" baseItem="0"/>
  </dataFields>
  <formats count="7">
    <format dxfId="7">
      <pivotArea collapsedLevelsAreSubtotals="1" fieldPosition="0">
        <references count="1">
          <reference field="4" count="0"/>
        </references>
      </pivotArea>
    </format>
    <format dxfId="6">
      <pivotArea collapsedLevelsAreSubtotals="1" fieldPosition="0">
        <references count="1">
          <reference field="4" count="1">
            <x v="15"/>
          </reference>
        </references>
      </pivotArea>
    </format>
    <format dxfId="5">
      <pivotArea dataOnly="0" labelOnly="1" fieldPosition="0">
        <references count="1">
          <reference field="4" count="1">
            <x v="15"/>
          </reference>
        </references>
      </pivotArea>
    </format>
    <format dxfId="4">
      <pivotArea collapsedLevelsAreSubtotals="1" fieldPosition="0">
        <references count="1">
          <reference field="4" count="1">
            <x v="29"/>
          </reference>
        </references>
      </pivotArea>
    </format>
    <format dxfId="3">
      <pivotArea dataOnly="0" labelOnly="1" fieldPosition="0">
        <references count="1">
          <reference field="4" count="1">
            <x v="29"/>
          </reference>
        </references>
      </pivotArea>
    </format>
    <format dxfId="2">
      <pivotArea collapsedLevelsAreSubtotals="1" fieldPosition="0">
        <references count="1">
          <reference field="4" count="1">
            <x v="25"/>
          </reference>
        </references>
      </pivotArea>
    </format>
    <format dxfId="1">
      <pivotArea dataOnly="0" labelOnly="1" fieldPosition="0">
        <references count="1">
          <reference field="4" count="1">
            <x v="2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5"/>
  <sheetViews>
    <sheetView workbookViewId="0">
      <selection activeCell="E2" sqref="E2:E15"/>
    </sheetView>
  </sheetViews>
  <sheetFormatPr defaultRowHeight="13"/>
  <cols>
    <col min="1" max="1" width="9.296875" style="1"/>
    <col min="2" max="2" width="15.296875" style="7" bestFit="1" customWidth="1"/>
    <col min="3" max="3" width="130.5" customWidth="1"/>
    <col min="4" max="4" width="28.796875" bestFit="1" customWidth="1"/>
    <col min="5" max="5" width="15.19921875" style="2" bestFit="1" customWidth="1"/>
  </cols>
  <sheetData>
    <row r="1" spans="1:6">
      <c r="A1" s="1" t="s">
        <v>37</v>
      </c>
      <c r="B1" s="7" t="s">
        <v>38</v>
      </c>
      <c r="C1" t="s">
        <v>39</v>
      </c>
      <c r="D1" t="s">
        <v>0</v>
      </c>
      <c r="E1" s="2" t="s">
        <v>1</v>
      </c>
      <c r="F1" t="s">
        <v>709</v>
      </c>
    </row>
    <row r="2" spans="1:6">
      <c r="A2" s="1">
        <v>45798</v>
      </c>
      <c r="B2" s="7" t="s">
        <v>40</v>
      </c>
      <c r="C2" t="s">
        <v>41</v>
      </c>
      <c r="D2" t="s">
        <v>2</v>
      </c>
      <c r="E2" s="2">
        <v>-444000</v>
      </c>
      <c r="F2" t="s">
        <v>710</v>
      </c>
    </row>
    <row r="3" spans="1:6">
      <c r="A3" s="1">
        <v>45798</v>
      </c>
      <c r="B3" s="7" t="s">
        <v>40</v>
      </c>
      <c r="C3" t="s">
        <v>42</v>
      </c>
      <c r="D3" t="s">
        <v>3</v>
      </c>
      <c r="E3" s="2">
        <v>50</v>
      </c>
      <c r="F3" t="s">
        <v>710</v>
      </c>
    </row>
    <row r="4" spans="1:6">
      <c r="A4" s="1">
        <v>45807</v>
      </c>
      <c r="B4" s="7" t="s">
        <v>43</v>
      </c>
      <c r="C4" t="s">
        <v>44</v>
      </c>
      <c r="D4" t="s">
        <v>4</v>
      </c>
      <c r="E4" s="2">
        <v>40000</v>
      </c>
      <c r="F4" t="s">
        <v>710</v>
      </c>
    </row>
    <row r="5" spans="1:6">
      <c r="A5" s="1">
        <v>45807</v>
      </c>
      <c r="B5" s="7" t="s">
        <v>43</v>
      </c>
      <c r="C5" t="s">
        <v>44</v>
      </c>
      <c r="D5" t="s">
        <v>3</v>
      </c>
      <c r="E5" s="2">
        <v>25</v>
      </c>
      <c r="F5" t="s">
        <v>710</v>
      </c>
    </row>
    <row r="6" spans="1:6">
      <c r="A6" s="1">
        <v>45807</v>
      </c>
      <c r="B6" s="7" t="s">
        <v>43</v>
      </c>
      <c r="C6" t="s">
        <v>44</v>
      </c>
      <c r="D6" t="s">
        <v>3</v>
      </c>
      <c r="E6" s="2">
        <v>1.8800000000046566</v>
      </c>
      <c r="F6" t="s">
        <v>710</v>
      </c>
    </row>
    <row r="7" spans="1:6">
      <c r="A7" s="1">
        <v>45807</v>
      </c>
      <c r="B7" s="7" t="s">
        <v>43</v>
      </c>
      <c r="C7" t="s">
        <v>45</v>
      </c>
      <c r="D7" t="s">
        <v>5</v>
      </c>
      <c r="E7" s="2">
        <v>10750</v>
      </c>
      <c r="F7" t="s">
        <v>710</v>
      </c>
    </row>
    <row r="8" spans="1:6">
      <c r="A8" s="1">
        <v>45807</v>
      </c>
      <c r="B8" s="7" t="s">
        <v>43</v>
      </c>
      <c r="C8" t="s">
        <v>46</v>
      </c>
      <c r="D8" t="s">
        <v>6</v>
      </c>
      <c r="E8" s="2">
        <v>12000</v>
      </c>
      <c r="F8" t="s">
        <v>710</v>
      </c>
    </row>
    <row r="9" spans="1:6">
      <c r="A9" s="1">
        <v>45807</v>
      </c>
      <c r="B9" s="7" t="s">
        <v>43</v>
      </c>
      <c r="C9" t="s">
        <v>46</v>
      </c>
      <c r="D9" t="s">
        <v>3</v>
      </c>
      <c r="E9" s="2">
        <v>25</v>
      </c>
      <c r="F9" t="s">
        <v>710</v>
      </c>
    </row>
    <row r="10" spans="1:6">
      <c r="A10" s="1">
        <v>45807</v>
      </c>
      <c r="B10" s="7" t="s">
        <v>43</v>
      </c>
      <c r="C10" t="s">
        <v>46</v>
      </c>
      <c r="D10" t="s">
        <v>3</v>
      </c>
      <c r="E10" s="2">
        <v>1.8800000000046566</v>
      </c>
      <c r="F10" t="s">
        <v>710</v>
      </c>
    </row>
    <row r="11" spans="1:6">
      <c r="A11" s="1">
        <v>45807</v>
      </c>
      <c r="B11" s="7" t="s">
        <v>43</v>
      </c>
      <c r="C11" t="s">
        <v>47</v>
      </c>
      <c r="D11" t="s">
        <v>5</v>
      </c>
      <c r="E11" s="2">
        <v>15300</v>
      </c>
      <c r="F11" t="s">
        <v>710</v>
      </c>
    </row>
    <row r="12" spans="1:6">
      <c r="A12" s="1">
        <v>45807</v>
      </c>
      <c r="B12" s="7" t="s">
        <v>43</v>
      </c>
      <c r="C12" t="s">
        <v>48</v>
      </c>
      <c r="D12" t="s">
        <v>3</v>
      </c>
      <c r="E12" s="2">
        <v>25</v>
      </c>
      <c r="F12" t="s">
        <v>710</v>
      </c>
    </row>
    <row r="13" spans="1:6">
      <c r="A13" s="1">
        <v>45807</v>
      </c>
      <c r="B13" s="7" t="s">
        <v>43</v>
      </c>
      <c r="C13" t="s">
        <v>48</v>
      </c>
      <c r="D13" t="s">
        <v>3</v>
      </c>
      <c r="E13" s="2">
        <v>1.8800000000046566</v>
      </c>
      <c r="F13" t="s">
        <v>710</v>
      </c>
    </row>
    <row r="14" spans="1:6">
      <c r="A14" s="1">
        <v>45807</v>
      </c>
      <c r="B14" s="7" t="s">
        <v>43</v>
      </c>
      <c r="C14" t="s">
        <v>49</v>
      </c>
      <c r="D14" t="s">
        <v>3</v>
      </c>
      <c r="E14" s="2">
        <v>67.299999999988358</v>
      </c>
      <c r="F14" t="s">
        <v>710</v>
      </c>
    </row>
    <row r="15" spans="1:6">
      <c r="A15" s="1">
        <v>45807</v>
      </c>
      <c r="B15" s="7" t="s">
        <v>43</v>
      </c>
      <c r="C15" t="s">
        <v>50</v>
      </c>
      <c r="D15" t="s">
        <v>3</v>
      </c>
      <c r="E15" s="2">
        <v>5.0499999999883585</v>
      </c>
      <c r="F15" t="s">
        <v>710</v>
      </c>
    </row>
    <row r="16" spans="1:6" s="10" customFormat="1">
      <c r="A16" s="8">
        <v>45808</v>
      </c>
      <c r="B16" s="9" t="s">
        <v>712</v>
      </c>
      <c r="C16" s="10" t="s">
        <v>713</v>
      </c>
      <c r="D16" s="10" t="s">
        <v>714</v>
      </c>
      <c r="E16" s="11">
        <v>365747.01</v>
      </c>
      <c r="F16" s="10" t="s">
        <v>710</v>
      </c>
    </row>
    <row r="17" spans="1:6">
      <c r="A17" s="1">
        <v>45810</v>
      </c>
      <c r="B17" s="7" t="s">
        <v>43</v>
      </c>
      <c r="C17" t="s">
        <v>51</v>
      </c>
      <c r="D17" t="s">
        <v>4</v>
      </c>
      <c r="E17" s="2">
        <v>200000</v>
      </c>
      <c r="F17" t="s">
        <v>710</v>
      </c>
    </row>
    <row r="18" spans="1:6">
      <c r="A18" s="1">
        <v>45810</v>
      </c>
      <c r="B18" s="7" t="s">
        <v>43</v>
      </c>
      <c r="C18" t="s">
        <v>51</v>
      </c>
      <c r="D18" t="s">
        <v>3</v>
      </c>
      <c r="E18" s="2">
        <v>50</v>
      </c>
      <c r="F18" t="s">
        <v>710</v>
      </c>
    </row>
    <row r="19" spans="1:6">
      <c r="A19" s="1">
        <v>45810</v>
      </c>
      <c r="B19" s="7" t="s">
        <v>43</v>
      </c>
      <c r="C19" t="s">
        <v>51</v>
      </c>
      <c r="D19" t="s">
        <v>3</v>
      </c>
      <c r="E19" s="2">
        <v>3.75</v>
      </c>
      <c r="F19" t="s">
        <v>710</v>
      </c>
    </row>
    <row r="20" spans="1:6">
      <c r="A20" s="1">
        <v>45810</v>
      </c>
      <c r="B20" s="7" t="s">
        <v>52</v>
      </c>
      <c r="C20" t="s">
        <v>53</v>
      </c>
      <c r="D20" t="s">
        <v>7</v>
      </c>
      <c r="E20" s="2">
        <v>-44499369.340000004</v>
      </c>
      <c r="F20" t="s">
        <v>710</v>
      </c>
    </row>
    <row r="21" spans="1:6">
      <c r="A21" s="1">
        <v>45810</v>
      </c>
      <c r="B21" s="7" t="s">
        <v>52</v>
      </c>
      <c r="C21" t="s">
        <v>54</v>
      </c>
      <c r="D21" t="s">
        <v>8</v>
      </c>
      <c r="E21" s="2">
        <v>249491.56000000238</v>
      </c>
      <c r="F21" t="s">
        <v>710</v>
      </c>
    </row>
    <row r="22" spans="1:6">
      <c r="A22" s="1">
        <v>45810</v>
      </c>
      <c r="B22" s="7" t="s">
        <v>52</v>
      </c>
      <c r="C22" t="s">
        <v>54</v>
      </c>
      <c r="D22" t="s">
        <v>3</v>
      </c>
      <c r="E22" s="2">
        <v>50</v>
      </c>
      <c r="F22" t="s">
        <v>710</v>
      </c>
    </row>
    <row r="23" spans="1:6">
      <c r="A23" s="1">
        <v>45810</v>
      </c>
      <c r="B23" s="7" t="s">
        <v>52</v>
      </c>
      <c r="C23" t="s">
        <v>54</v>
      </c>
      <c r="D23" t="s">
        <v>3</v>
      </c>
      <c r="E23" s="2">
        <v>3.75</v>
      </c>
      <c r="F23" t="s">
        <v>710</v>
      </c>
    </row>
    <row r="24" spans="1:6">
      <c r="A24" s="1">
        <v>45810</v>
      </c>
      <c r="B24" s="7" t="s">
        <v>52</v>
      </c>
      <c r="C24" t="s">
        <v>55</v>
      </c>
      <c r="D24" t="s">
        <v>8</v>
      </c>
      <c r="E24" s="2">
        <v>35000</v>
      </c>
      <c r="F24" t="s">
        <v>710</v>
      </c>
    </row>
    <row r="25" spans="1:6">
      <c r="A25" s="1">
        <v>45810</v>
      </c>
      <c r="B25" s="7" t="s">
        <v>52</v>
      </c>
      <c r="C25" t="s">
        <v>55</v>
      </c>
      <c r="D25" t="s">
        <v>3</v>
      </c>
      <c r="E25" s="2">
        <v>25</v>
      </c>
      <c r="F25" t="s">
        <v>710</v>
      </c>
    </row>
    <row r="26" spans="1:6">
      <c r="A26" s="1">
        <v>45810</v>
      </c>
      <c r="B26" s="7" t="s">
        <v>52</v>
      </c>
      <c r="C26" t="s">
        <v>55</v>
      </c>
      <c r="D26" t="s">
        <v>3</v>
      </c>
      <c r="E26" s="2">
        <v>1.880000002682209</v>
      </c>
      <c r="F26" t="s">
        <v>710</v>
      </c>
    </row>
    <row r="27" spans="1:6">
      <c r="A27" s="1">
        <v>45810</v>
      </c>
      <c r="B27" s="7" t="s">
        <v>52</v>
      </c>
      <c r="C27" t="s">
        <v>56</v>
      </c>
      <c r="D27" t="s">
        <v>8</v>
      </c>
      <c r="E27" s="2">
        <v>284491.55999999493</v>
      </c>
      <c r="F27" t="s">
        <v>710</v>
      </c>
    </row>
    <row r="28" spans="1:6">
      <c r="A28" s="1">
        <v>45810</v>
      </c>
      <c r="B28" s="7" t="s">
        <v>52</v>
      </c>
      <c r="C28" t="s">
        <v>56</v>
      </c>
      <c r="D28" t="s">
        <v>3</v>
      </c>
      <c r="E28" s="2">
        <v>50</v>
      </c>
      <c r="F28" t="s">
        <v>710</v>
      </c>
    </row>
    <row r="29" spans="1:6">
      <c r="A29" s="1">
        <v>45810</v>
      </c>
      <c r="B29" s="7" t="s">
        <v>52</v>
      </c>
      <c r="C29" t="s">
        <v>56</v>
      </c>
      <c r="D29" t="s">
        <v>3</v>
      </c>
      <c r="E29" s="2">
        <v>3.75</v>
      </c>
      <c r="F29" t="s">
        <v>710</v>
      </c>
    </row>
    <row r="30" spans="1:6">
      <c r="A30" s="1">
        <v>45810</v>
      </c>
      <c r="B30" s="7" t="s">
        <v>52</v>
      </c>
      <c r="C30" t="s">
        <v>57</v>
      </c>
      <c r="D30" t="s">
        <v>8</v>
      </c>
      <c r="E30" s="2">
        <v>3570659.4400000051</v>
      </c>
      <c r="F30" t="s">
        <v>710</v>
      </c>
    </row>
    <row r="31" spans="1:6">
      <c r="A31" s="1">
        <v>45810</v>
      </c>
      <c r="B31" s="7" t="s">
        <v>52</v>
      </c>
      <c r="C31" t="s">
        <v>57</v>
      </c>
      <c r="D31" t="s">
        <v>3</v>
      </c>
      <c r="E31" s="2">
        <v>50</v>
      </c>
      <c r="F31" t="s">
        <v>710</v>
      </c>
    </row>
    <row r="32" spans="1:6">
      <c r="A32" s="1">
        <v>45810</v>
      </c>
      <c r="B32" s="7" t="s">
        <v>52</v>
      </c>
      <c r="C32" t="s">
        <v>57</v>
      </c>
      <c r="D32" t="s">
        <v>3</v>
      </c>
      <c r="E32" s="2">
        <v>3.75</v>
      </c>
      <c r="F32" t="s">
        <v>710</v>
      </c>
    </row>
    <row r="33" spans="1:6">
      <c r="A33" s="1">
        <v>45810</v>
      </c>
      <c r="B33" s="7" t="s">
        <v>52</v>
      </c>
      <c r="C33" t="s">
        <v>58</v>
      </c>
      <c r="D33" t="s">
        <v>8</v>
      </c>
      <c r="E33" s="2">
        <v>2070487.4699999988</v>
      </c>
      <c r="F33" t="s">
        <v>710</v>
      </c>
    </row>
    <row r="34" spans="1:6">
      <c r="A34" s="1">
        <v>45810</v>
      </c>
      <c r="B34" s="7" t="s">
        <v>52</v>
      </c>
      <c r="C34" t="s">
        <v>58</v>
      </c>
      <c r="D34" t="s">
        <v>3</v>
      </c>
      <c r="E34" s="2">
        <v>50</v>
      </c>
      <c r="F34" t="s">
        <v>710</v>
      </c>
    </row>
    <row r="35" spans="1:6">
      <c r="A35" s="1">
        <v>45810</v>
      </c>
      <c r="B35" s="7" t="s">
        <v>52</v>
      </c>
      <c r="C35" t="s">
        <v>58</v>
      </c>
      <c r="D35" t="s">
        <v>3</v>
      </c>
      <c r="E35" s="2">
        <v>3.75</v>
      </c>
      <c r="F35" t="s">
        <v>710</v>
      </c>
    </row>
    <row r="36" spans="1:6">
      <c r="A36" s="1">
        <v>45810</v>
      </c>
      <c r="B36" s="7" t="s">
        <v>52</v>
      </c>
      <c r="C36" t="s">
        <v>59</v>
      </c>
      <c r="D36" t="s">
        <v>8</v>
      </c>
      <c r="E36" s="2">
        <v>152194.91999999434</v>
      </c>
      <c r="F36" t="s">
        <v>710</v>
      </c>
    </row>
    <row r="37" spans="1:6">
      <c r="A37" s="1">
        <v>45810</v>
      </c>
      <c r="B37" s="7" t="s">
        <v>52</v>
      </c>
      <c r="C37" t="s">
        <v>59</v>
      </c>
      <c r="D37" t="s">
        <v>3</v>
      </c>
      <c r="E37" s="2">
        <v>50</v>
      </c>
      <c r="F37" t="s">
        <v>710</v>
      </c>
    </row>
    <row r="38" spans="1:6">
      <c r="A38" s="1">
        <v>45810</v>
      </c>
      <c r="B38" s="7" t="s">
        <v>52</v>
      </c>
      <c r="C38" t="s">
        <v>59</v>
      </c>
      <c r="D38" t="s">
        <v>3</v>
      </c>
      <c r="E38" s="2">
        <v>3.75</v>
      </c>
      <c r="F38" t="s">
        <v>710</v>
      </c>
    </row>
    <row r="39" spans="1:6">
      <c r="A39" s="1">
        <v>45810</v>
      </c>
      <c r="B39" s="7" t="s">
        <v>52</v>
      </c>
      <c r="C39" t="s">
        <v>60</v>
      </c>
      <c r="D39" t="s">
        <v>3</v>
      </c>
      <c r="E39" s="2">
        <v>50</v>
      </c>
      <c r="F39" t="s">
        <v>710</v>
      </c>
    </row>
    <row r="40" spans="1:6">
      <c r="A40" s="1">
        <v>45811</v>
      </c>
      <c r="B40" s="7" t="s">
        <v>61</v>
      </c>
      <c r="C40" t="s">
        <v>62</v>
      </c>
      <c r="D40" t="s">
        <v>8</v>
      </c>
      <c r="E40" s="2">
        <v>252957.21000000089</v>
      </c>
      <c r="F40" t="s">
        <v>710</v>
      </c>
    </row>
    <row r="41" spans="1:6">
      <c r="A41" s="1">
        <v>45811</v>
      </c>
      <c r="B41" s="7" t="s">
        <v>61</v>
      </c>
      <c r="C41" t="s">
        <v>62</v>
      </c>
      <c r="D41" t="s">
        <v>3</v>
      </c>
      <c r="E41" s="2">
        <v>50</v>
      </c>
      <c r="F41" t="s">
        <v>710</v>
      </c>
    </row>
    <row r="42" spans="1:6">
      <c r="A42" s="1">
        <v>45811</v>
      </c>
      <c r="B42" s="7" t="s">
        <v>61</v>
      </c>
      <c r="C42" t="s">
        <v>62</v>
      </c>
      <c r="D42" t="s">
        <v>3</v>
      </c>
      <c r="E42" s="2">
        <v>3.75</v>
      </c>
      <c r="F42" t="s">
        <v>710</v>
      </c>
    </row>
    <row r="43" spans="1:6">
      <c r="A43" s="1">
        <v>45811</v>
      </c>
      <c r="B43" s="7" t="s">
        <v>61</v>
      </c>
      <c r="C43" t="s">
        <v>63</v>
      </c>
      <c r="D43" t="s">
        <v>8</v>
      </c>
      <c r="E43" s="2">
        <v>156011.73000000417</v>
      </c>
      <c r="F43" t="s">
        <v>710</v>
      </c>
    </row>
    <row r="44" spans="1:6">
      <c r="A44" s="1">
        <v>45811</v>
      </c>
      <c r="B44" s="7" t="s">
        <v>61</v>
      </c>
      <c r="C44" t="s">
        <v>63</v>
      </c>
      <c r="D44" t="s">
        <v>3</v>
      </c>
      <c r="E44" s="2">
        <v>50</v>
      </c>
      <c r="F44" t="s">
        <v>710</v>
      </c>
    </row>
    <row r="45" spans="1:6">
      <c r="A45" s="1">
        <v>45811</v>
      </c>
      <c r="B45" s="7" t="s">
        <v>61</v>
      </c>
      <c r="C45" t="s">
        <v>63</v>
      </c>
      <c r="D45" t="s">
        <v>3</v>
      </c>
      <c r="E45" s="2">
        <v>3.75</v>
      </c>
      <c r="F45" t="s">
        <v>710</v>
      </c>
    </row>
    <row r="46" spans="1:6">
      <c r="A46" s="1">
        <v>45811</v>
      </c>
      <c r="B46" s="7" t="s">
        <v>61</v>
      </c>
      <c r="C46" t="s">
        <v>64</v>
      </c>
      <c r="D46" t="s">
        <v>8</v>
      </c>
      <c r="E46" s="2">
        <v>156011.72999999672</v>
      </c>
      <c r="F46" t="s">
        <v>710</v>
      </c>
    </row>
    <row r="47" spans="1:6">
      <c r="A47" s="1">
        <v>45811</v>
      </c>
      <c r="B47" s="7" t="s">
        <v>61</v>
      </c>
      <c r="C47" t="s">
        <v>64</v>
      </c>
      <c r="D47" t="s">
        <v>3</v>
      </c>
      <c r="E47" s="2">
        <v>50</v>
      </c>
      <c r="F47" t="s">
        <v>710</v>
      </c>
    </row>
    <row r="48" spans="1:6">
      <c r="A48" s="1">
        <v>45811</v>
      </c>
      <c r="B48" s="7" t="s">
        <v>61</v>
      </c>
      <c r="C48" t="s">
        <v>64</v>
      </c>
      <c r="D48" t="s">
        <v>3</v>
      </c>
      <c r="E48" s="2">
        <v>3.75</v>
      </c>
      <c r="F48" t="s">
        <v>710</v>
      </c>
    </row>
    <row r="49" spans="1:6">
      <c r="A49" s="1">
        <v>45811</v>
      </c>
      <c r="B49" s="7" t="s">
        <v>61</v>
      </c>
      <c r="C49" t="s">
        <v>65</v>
      </c>
      <c r="D49" t="s">
        <v>8</v>
      </c>
      <c r="E49" s="2">
        <v>156011.73000000417</v>
      </c>
      <c r="F49" t="s">
        <v>710</v>
      </c>
    </row>
    <row r="50" spans="1:6">
      <c r="A50" s="1">
        <v>45811</v>
      </c>
      <c r="B50" s="7" t="s">
        <v>61</v>
      </c>
      <c r="C50" t="s">
        <v>65</v>
      </c>
      <c r="D50" t="s">
        <v>3</v>
      </c>
      <c r="E50" s="2">
        <v>50</v>
      </c>
      <c r="F50" t="s">
        <v>710</v>
      </c>
    </row>
    <row r="51" spans="1:6">
      <c r="A51" s="1">
        <v>45811</v>
      </c>
      <c r="B51" s="7" t="s">
        <v>61</v>
      </c>
      <c r="C51" t="s">
        <v>65</v>
      </c>
      <c r="D51" t="s">
        <v>3</v>
      </c>
      <c r="E51" s="2">
        <v>3.75</v>
      </c>
      <c r="F51" t="s">
        <v>710</v>
      </c>
    </row>
    <row r="52" spans="1:6">
      <c r="A52" s="1">
        <v>45811</v>
      </c>
      <c r="B52" s="7" t="s">
        <v>61</v>
      </c>
      <c r="C52" t="s">
        <v>66</v>
      </c>
      <c r="D52" t="s">
        <v>7</v>
      </c>
      <c r="E52" s="2">
        <v>-6935800</v>
      </c>
      <c r="F52" t="s">
        <v>710</v>
      </c>
    </row>
    <row r="53" spans="1:6">
      <c r="A53" s="1">
        <v>45811</v>
      </c>
      <c r="B53" s="7" t="s">
        <v>61</v>
      </c>
      <c r="C53" t="s">
        <v>67</v>
      </c>
      <c r="D53" t="s">
        <v>7</v>
      </c>
      <c r="E53" s="2">
        <v>-94692772.219999999</v>
      </c>
      <c r="F53" t="s">
        <v>710</v>
      </c>
    </row>
    <row r="54" spans="1:6">
      <c r="A54" s="1">
        <v>45811</v>
      </c>
      <c r="B54" s="7" t="s">
        <v>61</v>
      </c>
      <c r="C54" t="s">
        <v>68</v>
      </c>
      <c r="D54" t="s">
        <v>9</v>
      </c>
      <c r="E54" s="2">
        <v>100000</v>
      </c>
      <c r="F54" t="s">
        <v>710</v>
      </c>
    </row>
    <row r="55" spans="1:6">
      <c r="A55" s="1">
        <v>45811</v>
      </c>
      <c r="B55" s="7" t="s">
        <v>61</v>
      </c>
      <c r="C55" t="s">
        <v>68</v>
      </c>
      <c r="D55" t="s">
        <v>3</v>
      </c>
      <c r="E55" s="2">
        <v>50</v>
      </c>
      <c r="F55" t="s">
        <v>710</v>
      </c>
    </row>
    <row r="56" spans="1:6">
      <c r="A56" s="1">
        <v>45811</v>
      </c>
      <c r="B56" s="7" t="s">
        <v>61</v>
      </c>
      <c r="C56" t="s">
        <v>68</v>
      </c>
      <c r="D56" t="s">
        <v>3</v>
      </c>
      <c r="E56" s="2">
        <v>3.75</v>
      </c>
      <c r="F56" t="s">
        <v>710</v>
      </c>
    </row>
    <row r="57" spans="1:6">
      <c r="A57" s="1">
        <v>45811</v>
      </c>
      <c r="B57" s="7" t="s">
        <v>61</v>
      </c>
      <c r="C57" t="s">
        <v>69</v>
      </c>
      <c r="D57" t="s">
        <v>4</v>
      </c>
      <c r="E57" s="2">
        <v>150000</v>
      </c>
      <c r="F57" t="s">
        <v>710</v>
      </c>
    </row>
    <row r="58" spans="1:6">
      <c r="A58" s="1">
        <v>45811</v>
      </c>
      <c r="B58" s="7" t="s">
        <v>61</v>
      </c>
      <c r="C58" t="s">
        <v>69</v>
      </c>
      <c r="D58" t="s">
        <v>3</v>
      </c>
      <c r="E58" s="2">
        <v>50</v>
      </c>
      <c r="F58" t="s">
        <v>710</v>
      </c>
    </row>
    <row r="59" spans="1:6">
      <c r="A59" s="1">
        <v>45811</v>
      </c>
      <c r="B59" s="7" t="s">
        <v>61</v>
      </c>
      <c r="C59" t="s">
        <v>69</v>
      </c>
      <c r="D59" t="s">
        <v>3</v>
      </c>
      <c r="E59" s="2">
        <v>3.75</v>
      </c>
      <c r="F59" t="s">
        <v>710</v>
      </c>
    </row>
    <row r="60" spans="1:6">
      <c r="A60" s="1">
        <v>45811</v>
      </c>
      <c r="B60" s="7" t="s">
        <v>61</v>
      </c>
      <c r="C60" t="s">
        <v>70</v>
      </c>
      <c r="D60" t="s">
        <v>6</v>
      </c>
      <c r="E60" s="2">
        <v>650000</v>
      </c>
      <c r="F60" t="s">
        <v>710</v>
      </c>
    </row>
    <row r="61" spans="1:6">
      <c r="A61" s="1">
        <v>45811</v>
      </c>
      <c r="B61" s="7" t="s">
        <v>61</v>
      </c>
      <c r="C61" t="s">
        <v>70</v>
      </c>
      <c r="D61" t="s">
        <v>3</v>
      </c>
      <c r="E61" s="2">
        <v>50</v>
      </c>
      <c r="F61" t="s">
        <v>710</v>
      </c>
    </row>
    <row r="62" spans="1:6">
      <c r="A62" s="1">
        <v>45811</v>
      </c>
      <c r="B62" s="7" t="s">
        <v>61</v>
      </c>
      <c r="C62" t="s">
        <v>70</v>
      </c>
      <c r="D62" t="s">
        <v>3</v>
      </c>
      <c r="E62" s="2">
        <v>3.75</v>
      </c>
      <c r="F62" t="s">
        <v>710</v>
      </c>
    </row>
    <row r="63" spans="1:6">
      <c r="A63" s="1">
        <v>45811</v>
      </c>
      <c r="B63" s="7" t="s">
        <v>61</v>
      </c>
      <c r="C63" t="s">
        <v>71</v>
      </c>
      <c r="D63" t="s">
        <v>3</v>
      </c>
      <c r="E63" s="2">
        <v>50</v>
      </c>
      <c r="F63" t="s">
        <v>710</v>
      </c>
    </row>
    <row r="64" spans="1:6">
      <c r="A64" s="1">
        <v>45811</v>
      </c>
      <c r="B64" s="7" t="s">
        <v>61</v>
      </c>
      <c r="C64" t="s">
        <v>72</v>
      </c>
      <c r="D64" t="s">
        <v>3</v>
      </c>
      <c r="E64" s="2">
        <v>50</v>
      </c>
      <c r="F64" t="s">
        <v>710</v>
      </c>
    </row>
    <row r="65" spans="1:6">
      <c r="A65" s="1">
        <v>45812</v>
      </c>
      <c r="B65" s="7" t="s">
        <v>61</v>
      </c>
      <c r="C65" t="s">
        <v>73</v>
      </c>
      <c r="D65" t="s">
        <v>8</v>
      </c>
      <c r="E65" s="2">
        <v>3570659.4300000072</v>
      </c>
      <c r="F65" t="s">
        <v>710</v>
      </c>
    </row>
    <row r="66" spans="1:6">
      <c r="A66" s="1">
        <v>45812</v>
      </c>
      <c r="B66" s="7" t="s">
        <v>61</v>
      </c>
      <c r="C66" t="s">
        <v>73</v>
      </c>
      <c r="D66" t="s">
        <v>3</v>
      </c>
      <c r="E66" s="2">
        <v>50</v>
      </c>
      <c r="F66" t="s">
        <v>710</v>
      </c>
    </row>
    <row r="67" spans="1:6">
      <c r="A67" s="1">
        <v>45812</v>
      </c>
      <c r="B67" s="7" t="s">
        <v>61</v>
      </c>
      <c r="C67" t="s">
        <v>73</v>
      </c>
      <c r="D67" t="s">
        <v>3</v>
      </c>
      <c r="E67" s="2">
        <v>3.75</v>
      </c>
      <c r="F67" t="s">
        <v>710</v>
      </c>
    </row>
    <row r="68" spans="1:6">
      <c r="A68" s="1">
        <v>45812</v>
      </c>
      <c r="B68" s="7" t="s">
        <v>61</v>
      </c>
      <c r="C68" t="s">
        <v>74</v>
      </c>
      <c r="D68" t="s">
        <v>8</v>
      </c>
      <c r="E68" s="2">
        <v>152194.91999998689</v>
      </c>
      <c r="F68" t="s">
        <v>710</v>
      </c>
    </row>
    <row r="69" spans="1:6">
      <c r="A69" s="1">
        <v>45812</v>
      </c>
      <c r="B69" s="7" t="s">
        <v>61</v>
      </c>
      <c r="C69" t="s">
        <v>74</v>
      </c>
      <c r="D69" t="s">
        <v>3</v>
      </c>
      <c r="E69" s="2">
        <v>50</v>
      </c>
      <c r="F69" t="s">
        <v>710</v>
      </c>
    </row>
    <row r="70" spans="1:6">
      <c r="A70" s="1">
        <v>45812</v>
      </c>
      <c r="B70" s="7" t="s">
        <v>61</v>
      </c>
      <c r="C70" t="s">
        <v>74</v>
      </c>
      <c r="D70" t="s">
        <v>3</v>
      </c>
      <c r="E70" s="2">
        <v>3.75</v>
      </c>
      <c r="F70" t="s">
        <v>710</v>
      </c>
    </row>
    <row r="71" spans="1:6">
      <c r="A71" s="1">
        <v>45812</v>
      </c>
      <c r="B71" s="7" t="s">
        <v>61</v>
      </c>
      <c r="C71" t="s">
        <v>75</v>
      </c>
      <c r="D71" t="s">
        <v>8</v>
      </c>
      <c r="E71" s="2">
        <v>3570659.4300000072</v>
      </c>
      <c r="F71" t="s">
        <v>710</v>
      </c>
    </row>
    <row r="72" spans="1:6">
      <c r="A72" s="1">
        <v>45812</v>
      </c>
      <c r="B72" s="7" t="s">
        <v>61</v>
      </c>
      <c r="C72" t="s">
        <v>75</v>
      </c>
      <c r="D72" t="s">
        <v>3</v>
      </c>
      <c r="E72" s="2">
        <v>50</v>
      </c>
      <c r="F72" t="s">
        <v>710</v>
      </c>
    </row>
    <row r="73" spans="1:6">
      <c r="A73" s="1">
        <v>45812</v>
      </c>
      <c r="B73" s="7" t="s">
        <v>61</v>
      </c>
      <c r="C73" t="s">
        <v>75</v>
      </c>
      <c r="D73" t="s">
        <v>3</v>
      </c>
      <c r="E73" s="2">
        <v>3.75</v>
      </c>
      <c r="F73" t="s">
        <v>710</v>
      </c>
    </row>
    <row r="74" spans="1:6">
      <c r="A74" s="1">
        <v>45812</v>
      </c>
      <c r="B74" s="7" t="s">
        <v>61</v>
      </c>
      <c r="C74" t="s">
        <v>76</v>
      </c>
      <c r="D74" t="s">
        <v>8</v>
      </c>
      <c r="E74" s="2">
        <v>152194.92000000179</v>
      </c>
      <c r="F74" t="s">
        <v>710</v>
      </c>
    </row>
    <row r="75" spans="1:6">
      <c r="A75" s="1">
        <v>45812</v>
      </c>
      <c r="B75" s="7" t="s">
        <v>61</v>
      </c>
      <c r="C75" t="s">
        <v>76</v>
      </c>
      <c r="D75" t="s">
        <v>3</v>
      </c>
      <c r="E75" s="2">
        <v>50</v>
      </c>
      <c r="F75" t="s">
        <v>710</v>
      </c>
    </row>
    <row r="76" spans="1:6">
      <c r="A76" s="1">
        <v>45812</v>
      </c>
      <c r="B76" s="7" t="s">
        <v>61</v>
      </c>
      <c r="C76" t="s">
        <v>76</v>
      </c>
      <c r="D76" t="s">
        <v>3</v>
      </c>
      <c r="E76" s="2">
        <v>3.75</v>
      </c>
      <c r="F76" t="s">
        <v>710</v>
      </c>
    </row>
    <row r="77" spans="1:6">
      <c r="A77" s="1">
        <v>45812</v>
      </c>
      <c r="B77" s="7" t="s">
        <v>77</v>
      </c>
      <c r="C77" t="s">
        <v>78</v>
      </c>
      <c r="D77" t="s">
        <v>10</v>
      </c>
      <c r="E77" s="2">
        <v>46440</v>
      </c>
      <c r="F77" t="s">
        <v>710</v>
      </c>
    </row>
    <row r="78" spans="1:6">
      <c r="A78" s="1">
        <v>45812</v>
      </c>
      <c r="B78" s="7" t="s">
        <v>77</v>
      </c>
      <c r="C78" t="s">
        <v>78</v>
      </c>
      <c r="D78" t="s">
        <v>3</v>
      </c>
      <c r="E78" s="2">
        <v>25</v>
      </c>
      <c r="F78" t="s">
        <v>710</v>
      </c>
    </row>
    <row r="79" spans="1:6">
      <c r="A79" s="1">
        <v>45812</v>
      </c>
      <c r="B79" s="7" t="s">
        <v>77</v>
      </c>
      <c r="C79" t="s">
        <v>78</v>
      </c>
      <c r="D79" t="s">
        <v>3</v>
      </c>
      <c r="E79" s="2">
        <v>1.8799999952316284</v>
      </c>
      <c r="F79" t="s">
        <v>710</v>
      </c>
    </row>
    <row r="80" spans="1:6">
      <c r="A80" s="1">
        <v>45812</v>
      </c>
      <c r="B80" s="7" t="s">
        <v>77</v>
      </c>
      <c r="C80" t="s">
        <v>79</v>
      </c>
      <c r="D80" t="s">
        <v>10</v>
      </c>
      <c r="E80" s="2">
        <v>49392.859999999404</v>
      </c>
      <c r="F80" t="s">
        <v>710</v>
      </c>
    </row>
    <row r="81" spans="1:6">
      <c r="A81" s="1">
        <v>45812</v>
      </c>
      <c r="B81" s="7" t="s">
        <v>77</v>
      </c>
      <c r="C81" t="s">
        <v>79</v>
      </c>
      <c r="D81" t="s">
        <v>3</v>
      </c>
      <c r="E81" s="2">
        <v>25</v>
      </c>
      <c r="F81" t="s">
        <v>710</v>
      </c>
    </row>
    <row r="82" spans="1:6">
      <c r="A82" s="1">
        <v>45812</v>
      </c>
      <c r="B82" s="7" t="s">
        <v>77</v>
      </c>
      <c r="C82" t="s">
        <v>79</v>
      </c>
      <c r="D82" t="s">
        <v>3</v>
      </c>
      <c r="E82" s="2">
        <v>1.8800000101327896</v>
      </c>
      <c r="F82" t="s">
        <v>710</v>
      </c>
    </row>
    <row r="83" spans="1:6">
      <c r="A83" s="1">
        <v>45813</v>
      </c>
      <c r="B83" s="7" t="s">
        <v>80</v>
      </c>
      <c r="C83" t="s">
        <v>81</v>
      </c>
      <c r="D83" t="s">
        <v>5</v>
      </c>
      <c r="E83" s="2">
        <v>10750</v>
      </c>
      <c r="F83" t="s">
        <v>710</v>
      </c>
    </row>
    <row r="84" spans="1:6">
      <c r="A84" s="1">
        <v>45813</v>
      </c>
      <c r="B84" s="7" t="s">
        <v>80</v>
      </c>
      <c r="C84" t="s">
        <v>82</v>
      </c>
      <c r="D84" t="s">
        <v>11</v>
      </c>
      <c r="E84" s="2">
        <v>725000</v>
      </c>
      <c r="F84" t="s">
        <v>710</v>
      </c>
    </row>
    <row r="85" spans="1:6">
      <c r="A85" s="1">
        <v>45813</v>
      </c>
      <c r="B85" s="7" t="s">
        <v>80</v>
      </c>
      <c r="C85" t="s">
        <v>82</v>
      </c>
      <c r="D85" t="s">
        <v>3</v>
      </c>
      <c r="E85" s="2">
        <v>50</v>
      </c>
      <c r="F85" t="s">
        <v>710</v>
      </c>
    </row>
    <row r="86" spans="1:6">
      <c r="A86" s="1">
        <v>45813</v>
      </c>
      <c r="B86" s="7" t="s">
        <v>80</v>
      </c>
      <c r="C86" t="s">
        <v>82</v>
      </c>
      <c r="D86" t="s">
        <v>3</v>
      </c>
      <c r="E86" s="2">
        <v>3.75</v>
      </c>
      <c r="F86" t="s">
        <v>710</v>
      </c>
    </row>
    <row r="87" spans="1:6">
      <c r="A87" s="1">
        <v>45818</v>
      </c>
      <c r="B87" s="7" t="s">
        <v>80</v>
      </c>
      <c r="C87" t="s">
        <v>83</v>
      </c>
      <c r="D87" t="s">
        <v>12</v>
      </c>
      <c r="E87" s="2">
        <v>-135300</v>
      </c>
      <c r="F87" t="s">
        <v>710</v>
      </c>
    </row>
    <row r="88" spans="1:6">
      <c r="A88" s="1">
        <v>45818</v>
      </c>
      <c r="B88" s="7" t="s">
        <v>84</v>
      </c>
      <c r="C88" t="s">
        <v>85</v>
      </c>
      <c r="D88" t="s">
        <v>4</v>
      </c>
      <c r="E88" s="2">
        <v>36000</v>
      </c>
      <c r="F88" t="s">
        <v>710</v>
      </c>
    </row>
    <row r="89" spans="1:6">
      <c r="A89" s="1">
        <v>45818</v>
      </c>
      <c r="B89" s="7" t="s">
        <v>84</v>
      </c>
      <c r="C89" t="s">
        <v>85</v>
      </c>
      <c r="D89" t="s">
        <v>3</v>
      </c>
      <c r="E89" s="2">
        <v>25</v>
      </c>
      <c r="F89" t="s">
        <v>710</v>
      </c>
    </row>
    <row r="90" spans="1:6">
      <c r="A90" s="1">
        <v>45818</v>
      </c>
      <c r="B90" s="7" t="s">
        <v>84</v>
      </c>
      <c r="C90" t="s">
        <v>85</v>
      </c>
      <c r="D90" t="s">
        <v>3</v>
      </c>
      <c r="E90" s="2">
        <v>1.8799999952316284</v>
      </c>
      <c r="F90" t="s">
        <v>710</v>
      </c>
    </row>
    <row r="91" spans="1:6">
      <c r="A91" s="1">
        <v>45818</v>
      </c>
      <c r="B91" s="7" t="s">
        <v>84</v>
      </c>
      <c r="C91" t="s">
        <v>86</v>
      </c>
      <c r="D91" t="s">
        <v>5</v>
      </c>
      <c r="E91" s="2">
        <v>25000</v>
      </c>
      <c r="F91" t="s">
        <v>710</v>
      </c>
    </row>
    <row r="92" spans="1:6">
      <c r="A92" s="1">
        <v>45818</v>
      </c>
      <c r="B92" s="7" t="s">
        <v>84</v>
      </c>
      <c r="C92" t="s">
        <v>86</v>
      </c>
      <c r="D92" t="s">
        <v>3</v>
      </c>
      <c r="E92" s="2">
        <v>25</v>
      </c>
      <c r="F92" t="s">
        <v>710</v>
      </c>
    </row>
    <row r="93" spans="1:6">
      <c r="A93" s="1">
        <v>45818</v>
      </c>
      <c r="B93" s="7" t="s">
        <v>84</v>
      </c>
      <c r="C93" t="s">
        <v>86</v>
      </c>
      <c r="D93" t="s">
        <v>3</v>
      </c>
      <c r="E93" s="2">
        <v>1.8799999952316284</v>
      </c>
      <c r="F93" t="s">
        <v>710</v>
      </c>
    </row>
    <row r="94" spans="1:6">
      <c r="A94" s="1">
        <v>45818</v>
      </c>
      <c r="B94" s="7" t="s">
        <v>84</v>
      </c>
      <c r="C94" t="s">
        <v>87</v>
      </c>
      <c r="D94" t="s">
        <v>13</v>
      </c>
      <c r="E94" s="2">
        <v>13000</v>
      </c>
      <c r="F94" t="s">
        <v>710</v>
      </c>
    </row>
    <row r="95" spans="1:6">
      <c r="A95" s="1">
        <v>45818</v>
      </c>
      <c r="B95" s="7" t="s">
        <v>84</v>
      </c>
      <c r="C95" t="s">
        <v>87</v>
      </c>
      <c r="D95" t="s">
        <v>3</v>
      </c>
      <c r="E95" s="2">
        <v>25</v>
      </c>
      <c r="F95" t="s">
        <v>710</v>
      </c>
    </row>
    <row r="96" spans="1:6">
      <c r="A96" s="1">
        <v>45818</v>
      </c>
      <c r="B96" s="7" t="s">
        <v>84</v>
      </c>
      <c r="C96" t="s">
        <v>87</v>
      </c>
      <c r="D96" t="s">
        <v>3</v>
      </c>
      <c r="E96" s="2">
        <v>1.8800000101327896</v>
      </c>
      <c r="F96" t="s">
        <v>710</v>
      </c>
    </row>
    <row r="97" spans="1:6">
      <c r="A97" s="1">
        <v>45818</v>
      </c>
      <c r="B97" s="7" t="s">
        <v>84</v>
      </c>
      <c r="C97" t="s">
        <v>88</v>
      </c>
      <c r="D97" t="s">
        <v>5</v>
      </c>
      <c r="E97" s="2">
        <v>25000</v>
      </c>
      <c r="F97" t="s">
        <v>710</v>
      </c>
    </row>
    <row r="98" spans="1:6">
      <c r="A98" s="1">
        <v>45818</v>
      </c>
      <c r="B98" s="7" t="s">
        <v>84</v>
      </c>
      <c r="C98" t="s">
        <v>88</v>
      </c>
      <c r="D98" t="s">
        <v>3</v>
      </c>
      <c r="E98" s="2">
        <v>25</v>
      </c>
      <c r="F98" t="s">
        <v>710</v>
      </c>
    </row>
    <row r="99" spans="1:6">
      <c r="A99" s="1">
        <v>45818</v>
      </c>
      <c r="B99" s="7" t="s">
        <v>84</v>
      </c>
      <c r="C99" t="s">
        <v>88</v>
      </c>
      <c r="D99" t="s">
        <v>3</v>
      </c>
      <c r="E99" s="2">
        <v>1.8799999952316284</v>
      </c>
      <c r="F99" t="s">
        <v>710</v>
      </c>
    </row>
    <row r="100" spans="1:6">
      <c r="A100" s="1">
        <v>45818</v>
      </c>
      <c r="B100" s="7" t="s">
        <v>84</v>
      </c>
      <c r="C100" t="s">
        <v>89</v>
      </c>
      <c r="D100" t="s">
        <v>11</v>
      </c>
      <c r="E100" s="2">
        <v>2969175.799999997</v>
      </c>
      <c r="F100" t="s">
        <v>710</v>
      </c>
    </row>
    <row r="101" spans="1:6">
      <c r="A101" s="1">
        <v>45818</v>
      </c>
      <c r="B101" s="7" t="s">
        <v>84</v>
      </c>
      <c r="C101" t="s">
        <v>89</v>
      </c>
      <c r="D101" t="s">
        <v>3</v>
      </c>
      <c r="E101" s="2">
        <v>50</v>
      </c>
      <c r="F101" t="s">
        <v>710</v>
      </c>
    </row>
    <row r="102" spans="1:6">
      <c r="A102" s="1">
        <v>45818</v>
      </c>
      <c r="B102" s="7" t="s">
        <v>84</v>
      </c>
      <c r="C102" t="s">
        <v>89</v>
      </c>
      <c r="D102" t="s">
        <v>3</v>
      </c>
      <c r="E102" s="2">
        <v>3.75</v>
      </c>
      <c r="F102" t="s">
        <v>710</v>
      </c>
    </row>
    <row r="103" spans="1:6">
      <c r="A103" s="1">
        <v>45818</v>
      </c>
      <c r="B103" s="7" t="s">
        <v>84</v>
      </c>
      <c r="C103" t="s">
        <v>90</v>
      </c>
      <c r="D103" t="s">
        <v>4</v>
      </c>
      <c r="E103" s="2">
        <v>22000</v>
      </c>
      <c r="F103" t="s">
        <v>710</v>
      </c>
    </row>
    <row r="104" spans="1:6">
      <c r="A104" s="1">
        <v>45818</v>
      </c>
      <c r="B104" s="7" t="s">
        <v>84</v>
      </c>
      <c r="C104" t="s">
        <v>90</v>
      </c>
      <c r="D104" t="s">
        <v>3</v>
      </c>
      <c r="E104" s="2">
        <v>25</v>
      </c>
      <c r="F104" t="s">
        <v>710</v>
      </c>
    </row>
    <row r="105" spans="1:6">
      <c r="A105" s="1">
        <v>45818</v>
      </c>
      <c r="B105" s="7" t="s">
        <v>84</v>
      </c>
      <c r="C105" t="s">
        <v>90</v>
      </c>
      <c r="D105" t="s">
        <v>3</v>
      </c>
      <c r="E105" s="2">
        <v>1.8800000101327896</v>
      </c>
      <c r="F105" t="s">
        <v>710</v>
      </c>
    </row>
    <row r="106" spans="1:6">
      <c r="A106" s="1">
        <v>45818</v>
      </c>
      <c r="B106" s="7" t="s">
        <v>84</v>
      </c>
      <c r="C106" t="s">
        <v>91</v>
      </c>
      <c r="D106" t="s">
        <v>14</v>
      </c>
      <c r="E106" s="2">
        <v>2230000</v>
      </c>
      <c r="F106" t="s">
        <v>710</v>
      </c>
    </row>
    <row r="107" spans="1:6">
      <c r="A107" s="1">
        <v>45818</v>
      </c>
      <c r="B107" s="7" t="s">
        <v>84</v>
      </c>
      <c r="C107" t="s">
        <v>91</v>
      </c>
      <c r="D107" t="s">
        <v>3</v>
      </c>
      <c r="E107" s="2">
        <v>50</v>
      </c>
      <c r="F107" t="s">
        <v>710</v>
      </c>
    </row>
    <row r="108" spans="1:6">
      <c r="A108" s="1">
        <v>45818</v>
      </c>
      <c r="B108" s="7" t="s">
        <v>84</v>
      </c>
      <c r="C108" t="s">
        <v>91</v>
      </c>
      <c r="D108" t="s">
        <v>3</v>
      </c>
      <c r="E108" s="2">
        <v>3.75</v>
      </c>
      <c r="F108" t="s">
        <v>710</v>
      </c>
    </row>
    <row r="109" spans="1:6">
      <c r="A109" s="1">
        <v>45818</v>
      </c>
      <c r="B109" s="7" t="s">
        <v>84</v>
      </c>
      <c r="C109" t="s">
        <v>92</v>
      </c>
      <c r="D109" t="s">
        <v>13</v>
      </c>
      <c r="E109" s="2">
        <v>1581325</v>
      </c>
      <c r="F109" t="s">
        <v>710</v>
      </c>
    </row>
    <row r="110" spans="1:6">
      <c r="A110" s="1">
        <v>45818</v>
      </c>
      <c r="B110" s="7" t="s">
        <v>84</v>
      </c>
      <c r="C110" t="s">
        <v>92</v>
      </c>
      <c r="D110" t="s">
        <v>3</v>
      </c>
      <c r="E110" s="2">
        <v>50</v>
      </c>
      <c r="F110" t="s">
        <v>710</v>
      </c>
    </row>
    <row r="111" spans="1:6">
      <c r="A111" s="1">
        <v>45818</v>
      </c>
      <c r="B111" s="7" t="s">
        <v>84</v>
      </c>
      <c r="C111" t="s">
        <v>92</v>
      </c>
      <c r="D111" t="s">
        <v>3</v>
      </c>
      <c r="E111" s="2">
        <v>3.75</v>
      </c>
      <c r="F111" t="s">
        <v>710</v>
      </c>
    </row>
    <row r="112" spans="1:6">
      <c r="A112" s="1">
        <v>45818</v>
      </c>
      <c r="B112" s="7" t="s">
        <v>84</v>
      </c>
      <c r="C112" t="s">
        <v>93</v>
      </c>
      <c r="D112" t="s">
        <v>3</v>
      </c>
      <c r="E112" s="2">
        <v>50</v>
      </c>
      <c r="F112" t="s">
        <v>710</v>
      </c>
    </row>
    <row r="113" spans="1:6">
      <c r="A113" s="1">
        <v>45819</v>
      </c>
      <c r="B113" s="7" t="s">
        <v>84</v>
      </c>
      <c r="C113" t="s">
        <v>94</v>
      </c>
      <c r="D113" t="s">
        <v>15</v>
      </c>
      <c r="E113" s="2">
        <v>120000</v>
      </c>
      <c r="F113" t="s">
        <v>710</v>
      </c>
    </row>
    <row r="114" spans="1:6">
      <c r="A114" s="1">
        <v>45819</v>
      </c>
      <c r="B114" s="7" t="s">
        <v>84</v>
      </c>
      <c r="C114" t="s">
        <v>94</v>
      </c>
      <c r="D114" t="s">
        <v>3</v>
      </c>
      <c r="E114" s="2">
        <v>50</v>
      </c>
      <c r="F114" t="s">
        <v>710</v>
      </c>
    </row>
    <row r="115" spans="1:6">
      <c r="A115" s="1">
        <v>45819</v>
      </c>
      <c r="B115" s="7" t="s">
        <v>84</v>
      </c>
      <c r="C115" t="s">
        <v>94</v>
      </c>
      <c r="D115" t="s">
        <v>3</v>
      </c>
      <c r="E115" s="2">
        <v>3.75</v>
      </c>
      <c r="F115" t="s">
        <v>710</v>
      </c>
    </row>
    <row r="116" spans="1:6">
      <c r="A116" s="1">
        <v>45819</v>
      </c>
      <c r="B116" s="7" t="s">
        <v>95</v>
      </c>
      <c r="C116" t="s">
        <v>96</v>
      </c>
      <c r="D116" t="s">
        <v>10</v>
      </c>
      <c r="E116" s="2">
        <v>715176</v>
      </c>
      <c r="F116" t="s">
        <v>710</v>
      </c>
    </row>
    <row r="117" spans="1:6">
      <c r="A117" s="1">
        <v>45819</v>
      </c>
      <c r="B117" s="7" t="s">
        <v>95</v>
      </c>
      <c r="C117" t="s">
        <v>96</v>
      </c>
      <c r="D117" t="s">
        <v>3</v>
      </c>
      <c r="E117" s="2">
        <v>50</v>
      </c>
      <c r="F117" t="s">
        <v>710</v>
      </c>
    </row>
    <row r="118" spans="1:6">
      <c r="A118" s="1">
        <v>45819</v>
      </c>
      <c r="B118" s="7" t="s">
        <v>95</v>
      </c>
      <c r="C118" t="s">
        <v>96</v>
      </c>
      <c r="D118" t="s">
        <v>3</v>
      </c>
      <c r="E118" s="2">
        <v>3.75</v>
      </c>
      <c r="F118" t="s">
        <v>710</v>
      </c>
    </row>
    <row r="119" spans="1:6">
      <c r="A119" s="1">
        <v>45821</v>
      </c>
      <c r="B119" s="7" t="s">
        <v>97</v>
      </c>
      <c r="C119" t="s">
        <v>98</v>
      </c>
      <c r="D119" t="s">
        <v>16</v>
      </c>
      <c r="E119" s="2">
        <v>475000</v>
      </c>
      <c r="F119" t="s">
        <v>710</v>
      </c>
    </row>
    <row r="120" spans="1:6">
      <c r="A120" s="1">
        <v>45821</v>
      </c>
      <c r="B120" s="7" t="s">
        <v>97</v>
      </c>
      <c r="C120" t="s">
        <v>98</v>
      </c>
      <c r="D120" t="s">
        <v>3</v>
      </c>
      <c r="E120" s="2">
        <v>50</v>
      </c>
      <c r="F120" t="s">
        <v>710</v>
      </c>
    </row>
    <row r="121" spans="1:6">
      <c r="A121" s="1">
        <v>45821</v>
      </c>
      <c r="B121" s="7" t="s">
        <v>97</v>
      </c>
      <c r="C121" t="s">
        <v>98</v>
      </c>
      <c r="D121" t="s">
        <v>3</v>
      </c>
      <c r="E121" s="2">
        <v>3.75</v>
      </c>
      <c r="F121" t="s">
        <v>710</v>
      </c>
    </row>
    <row r="122" spans="1:6">
      <c r="A122" s="1">
        <v>45824</v>
      </c>
      <c r="B122" s="7" t="s">
        <v>99</v>
      </c>
      <c r="C122" t="s">
        <v>100</v>
      </c>
      <c r="D122" t="s">
        <v>15</v>
      </c>
      <c r="E122" s="2">
        <v>153400</v>
      </c>
      <c r="F122" t="s">
        <v>710</v>
      </c>
    </row>
    <row r="123" spans="1:6">
      <c r="A123" s="1">
        <v>45824</v>
      </c>
      <c r="B123" s="7" t="s">
        <v>99</v>
      </c>
      <c r="C123" t="s">
        <v>100</v>
      </c>
      <c r="D123" t="s">
        <v>3</v>
      </c>
      <c r="E123" s="2">
        <v>50</v>
      </c>
      <c r="F123" t="s">
        <v>710</v>
      </c>
    </row>
    <row r="124" spans="1:6">
      <c r="A124" s="1">
        <v>45824</v>
      </c>
      <c r="B124" s="7" t="s">
        <v>99</v>
      </c>
      <c r="C124" t="s">
        <v>100</v>
      </c>
      <c r="D124" t="s">
        <v>3</v>
      </c>
      <c r="E124" s="2">
        <v>3.75</v>
      </c>
      <c r="F124" t="s">
        <v>710</v>
      </c>
    </row>
    <row r="125" spans="1:6">
      <c r="A125" s="1">
        <v>45824</v>
      </c>
      <c r="B125" s="7" t="s">
        <v>99</v>
      </c>
      <c r="C125" t="s">
        <v>101</v>
      </c>
      <c r="D125" t="s">
        <v>8</v>
      </c>
      <c r="E125" s="2">
        <v>72993.329999998212</v>
      </c>
      <c r="F125" t="s">
        <v>710</v>
      </c>
    </row>
    <row r="126" spans="1:6">
      <c r="A126" s="1">
        <v>45824</v>
      </c>
      <c r="B126" s="7" t="s">
        <v>99</v>
      </c>
      <c r="C126" t="s">
        <v>101</v>
      </c>
      <c r="D126" t="s">
        <v>3</v>
      </c>
      <c r="E126" s="2">
        <v>50</v>
      </c>
      <c r="F126" t="s">
        <v>710</v>
      </c>
    </row>
    <row r="127" spans="1:6">
      <c r="A127" s="1">
        <v>45824</v>
      </c>
      <c r="B127" s="7" t="s">
        <v>99</v>
      </c>
      <c r="C127" t="s">
        <v>101</v>
      </c>
      <c r="D127" t="s">
        <v>3</v>
      </c>
      <c r="E127" s="2">
        <v>3.75</v>
      </c>
      <c r="F127" t="s">
        <v>710</v>
      </c>
    </row>
    <row r="128" spans="1:6">
      <c r="A128" s="1">
        <v>45824</v>
      </c>
      <c r="B128" s="7" t="s">
        <v>99</v>
      </c>
      <c r="C128" t="s">
        <v>102</v>
      </c>
      <c r="D128" t="s">
        <v>17</v>
      </c>
      <c r="E128" s="2">
        <v>902000</v>
      </c>
      <c r="F128" t="s">
        <v>710</v>
      </c>
    </row>
    <row r="129" spans="1:6">
      <c r="A129" s="1">
        <v>45824</v>
      </c>
      <c r="B129" s="7" t="s">
        <v>99</v>
      </c>
      <c r="C129" t="s">
        <v>102</v>
      </c>
      <c r="D129" t="s">
        <v>3</v>
      </c>
      <c r="E129" s="2">
        <v>50</v>
      </c>
      <c r="F129" t="s">
        <v>710</v>
      </c>
    </row>
    <row r="130" spans="1:6">
      <c r="A130" s="1">
        <v>45824</v>
      </c>
      <c r="B130" s="7" t="s">
        <v>99</v>
      </c>
      <c r="C130" t="s">
        <v>102</v>
      </c>
      <c r="D130" t="s">
        <v>3</v>
      </c>
      <c r="E130" s="2">
        <v>3.75</v>
      </c>
      <c r="F130" t="s">
        <v>710</v>
      </c>
    </row>
    <row r="131" spans="1:6">
      <c r="A131" s="1">
        <v>45824</v>
      </c>
      <c r="B131" s="7" t="s">
        <v>99</v>
      </c>
      <c r="C131" t="s">
        <v>103</v>
      </c>
      <c r="D131" t="s">
        <v>4</v>
      </c>
      <c r="E131" s="2">
        <v>40000</v>
      </c>
      <c r="F131" t="s">
        <v>710</v>
      </c>
    </row>
    <row r="132" spans="1:6">
      <c r="A132" s="1">
        <v>45824</v>
      </c>
      <c r="B132" s="7" t="s">
        <v>99</v>
      </c>
      <c r="C132" t="s">
        <v>103</v>
      </c>
      <c r="D132" t="s">
        <v>3</v>
      </c>
      <c r="E132" s="2">
        <v>25</v>
      </c>
      <c r="F132" t="s">
        <v>710</v>
      </c>
    </row>
    <row r="133" spans="1:6">
      <c r="A133" s="1">
        <v>45824</v>
      </c>
      <c r="B133" s="7" t="s">
        <v>99</v>
      </c>
      <c r="C133" t="s">
        <v>103</v>
      </c>
      <c r="D133" t="s">
        <v>3</v>
      </c>
      <c r="E133" s="2">
        <v>1.8799999952316284</v>
      </c>
      <c r="F133" t="s">
        <v>710</v>
      </c>
    </row>
    <row r="134" spans="1:6">
      <c r="A134" s="1">
        <v>45824</v>
      </c>
      <c r="B134" s="7" t="s">
        <v>99</v>
      </c>
      <c r="C134" t="s">
        <v>104</v>
      </c>
      <c r="D134" t="s">
        <v>13</v>
      </c>
      <c r="E134" s="2">
        <v>14700</v>
      </c>
      <c r="F134" t="s">
        <v>710</v>
      </c>
    </row>
    <row r="135" spans="1:6">
      <c r="A135" s="1">
        <v>45824</v>
      </c>
      <c r="B135" s="7" t="s">
        <v>99</v>
      </c>
      <c r="C135" t="s">
        <v>104</v>
      </c>
      <c r="D135" t="s">
        <v>3</v>
      </c>
      <c r="E135" s="2">
        <v>25</v>
      </c>
      <c r="F135" t="s">
        <v>710</v>
      </c>
    </row>
    <row r="136" spans="1:6">
      <c r="A136" s="1">
        <v>45824</v>
      </c>
      <c r="B136" s="7" t="s">
        <v>99</v>
      </c>
      <c r="C136" t="s">
        <v>104</v>
      </c>
      <c r="D136" t="s">
        <v>3</v>
      </c>
      <c r="E136" s="2">
        <v>1.8799999952316284</v>
      </c>
      <c r="F136" t="s">
        <v>710</v>
      </c>
    </row>
    <row r="137" spans="1:6">
      <c r="A137" s="1">
        <v>45824</v>
      </c>
      <c r="B137" s="7" t="s">
        <v>99</v>
      </c>
      <c r="C137" t="s">
        <v>105</v>
      </c>
      <c r="D137" t="s">
        <v>13</v>
      </c>
      <c r="E137" s="2">
        <v>20000</v>
      </c>
      <c r="F137" t="s">
        <v>710</v>
      </c>
    </row>
    <row r="138" spans="1:6">
      <c r="A138" s="1">
        <v>45824</v>
      </c>
      <c r="B138" s="7" t="s">
        <v>99</v>
      </c>
      <c r="C138" t="s">
        <v>105</v>
      </c>
      <c r="D138" t="s">
        <v>3</v>
      </c>
      <c r="E138" s="2">
        <v>25</v>
      </c>
      <c r="F138" t="s">
        <v>710</v>
      </c>
    </row>
    <row r="139" spans="1:6">
      <c r="A139" s="1">
        <v>45824</v>
      </c>
      <c r="B139" s="7" t="s">
        <v>99</v>
      </c>
      <c r="C139" t="s">
        <v>105</v>
      </c>
      <c r="D139" t="s">
        <v>3</v>
      </c>
      <c r="E139" s="2">
        <v>1.8800000101327896</v>
      </c>
      <c r="F139" t="s">
        <v>710</v>
      </c>
    </row>
    <row r="140" spans="1:6">
      <c r="A140" s="1">
        <v>45825</v>
      </c>
      <c r="B140" s="7" t="s">
        <v>106</v>
      </c>
      <c r="C140" t="s">
        <v>107</v>
      </c>
      <c r="D140" t="s">
        <v>11</v>
      </c>
      <c r="E140" s="2">
        <v>100000</v>
      </c>
      <c r="F140" t="s">
        <v>710</v>
      </c>
    </row>
    <row r="141" spans="1:6">
      <c r="A141" s="1">
        <v>45825</v>
      </c>
      <c r="B141" s="7" t="s">
        <v>106</v>
      </c>
      <c r="C141" t="s">
        <v>107</v>
      </c>
      <c r="D141" t="s">
        <v>3</v>
      </c>
      <c r="E141" s="2">
        <v>50</v>
      </c>
      <c r="F141" t="s">
        <v>710</v>
      </c>
    </row>
    <row r="142" spans="1:6">
      <c r="A142" s="1">
        <v>45825</v>
      </c>
      <c r="B142" s="7" t="s">
        <v>106</v>
      </c>
      <c r="C142" t="s">
        <v>107</v>
      </c>
      <c r="D142" t="s">
        <v>3</v>
      </c>
      <c r="E142" s="2">
        <v>3.75</v>
      </c>
      <c r="F142" t="s">
        <v>710</v>
      </c>
    </row>
    <row r="143" spans="1:6">
      <c r="A143" s="1">
        <v>45825</v>
      </c>
      <c r="B143" s="7" t="s">
        <v>106</v>
      </c>
      <c r="C143" t="s">
        <v>18</v>
      </c>
      <c r="D143" t="s">
        <v>19</v>
      </c>
      <c r="E143" s="2">
        <v>162100</v>
      </c>
      <c r="F143" t="s">
        <v>710</v>
      </c>
    </row>
    <row r="144" spans="1:6">
      <c r="A144" s="1">
        <v>45825</v>
      </c>
      <c r="B144" s="7" t="s">
        <v>106</v>
      </c>
      <c r="C144" t="s">
        <v>18</v>
      </c>
      <c r="D144" t="s">
        <v>3</v>
      </c>
      <c r="E144" s="2">
        <v>50</v>
      </c>
      <c r="F144" t="s">
        <v>710</v>
      </c>
    </row>
    <row r="145" spans="1:6">
      <c r="A145" s="1">
        <v>45825</v>
      </c>
      <c r="B145" s="7" t="s">
        <v>106</v>
      </c>
      <c r="C145" t="s">
        <v>18</v>
      </c>
      <c r="D145" t="s">
        <v>3</v>
      </c>
      <c r="E145" s="2">
        <v>3.75</v>
      </c>
      <c r="F145" t="s">
        <v>710</v>
      </c>
    </row>
    <row r="146" spans="1:6">
      <c r="A146" s="1">
        <v>45825</v>
      </c>
      <c r="B146" s="7" t="s">
        <v>106</v>
      </c>
      <c r="C146" t="s">
        <v>108</v>
      </c>
      <c r="D146" t="s">
        <v>4</v>
      </c>
      <c r="E146" s="2">
        <v>164000</v>
      </c>
      <c r="F146" t="s">
        <v>710</v>
      </c>
    </row>
    <row r="147" spans="1:6">
      <c r="A147" s="1">
        <v>45825</v>
      </c>
      <c r="B147" s="7" t="s">
        <v>106</v>
      </c>
      <c r="C147" t="s">
        <v>108</v>
      </c>
      <c r="D147" t="s">
        <v>3</v>
      </c>
      <c r="E147" s="2">
        <v>50</v>
      </c>
      <c r="F147" t="s">
        <v>710</v>
      </c>
    </row>
    <row r="148" spans="1:6">
      <c r="A148" s="1">
        <v>45825</v>
      </c>
      <c r="B148" s="7" t="s">
        <v>106</v>
      </c>
      <c r="C148" t="s">
        <v>108</v>
      </c>
      <c r="D148" t="s">
        <v>3</v>
      </c>
      <c r="E148" s="2">
        <v>3.75</v>
      </c>
      <c r="F148" t="s">
        <v>710</v>
      </c>
    </row>
    <row r="149" spans="1:6">
      <c r="A149" s="1">
        <v>45826</v>
      </c>
      <c r="B149" s="7" t="s">
        <v>109</v>
      </c>
      <c r="C149" t="s">
        <v>110</v>
      </c>
      <c r="D149" t="s">
        <v>10</v>
      </c>
      <c r="E149" s="2">
        <v>198660</v>
      </c>
      <c r="F149" t="s">
        <v>710</v>
      </c>
    </row>
    <row r="150" spans="1:6">
      <c r="A150" s="1">
        <v>45826</v>
      </c>
      <c r="B150" s="7" t="s">
        <v>109</v>
      </c>
      <c r="C150" t="s">
        <v>110</v>
      </c>
      <c r="D150" t="s">
        <v>3</v>
      </c>
      <c r="E150" s="2">
        <v>50</v>
      </c>
      <c r="F150" t="s">
        <v>710</v>
      </c>
    </row>
    <row r="151" spans="1:6">
      <c r="A151" s="1">
        <v>45826</v>
      </c>
      <c r="B151" s="7" t="s">
        <v>109</v>
      </c>
      <c r="C151" t="s">
        <v>110</v>
      </c>
      <c r="D151" t="s">
        <v>3</v>
      </c>
      <c r="E151" s="2">
        <v>3.75</v>
      </c>
      <c r="F151" t="s">
        <v>710</v>
      </c>
    </row>
    <row r="152" spans="1:6">
      <c r="A152" s="1">
        <v>45826</v>
      </c>
      <c r="B152" s="7" t="s">
        <v>109</v>
      </c>
      <c r="C152" t="s">
        <v>111</v>
      </c>
      <c r="D152" t="s">
        <v>12</v>
      </c>
      <c r="E152" s="2">
        <v>-420000</v>
      </c>
      <c r="F152" t="s">
        <v>710</v>
      </c>
    </row>
    <row r="153" spans="1:6">
      <c r="A153" s="1">
        <v>45826</v>
      </c>
      <c r="B153" s="7" t="s">
        <v>109</v>
      </c>
      <c r="C153" t="s">
        <v>112</v>
      </c>
      <c r="D153" t="s">
        <v>3</v>
      </c>
      <c r="E153" s="2">
        <v>50</v>
      </c>
      <c r="F153" t="s">
        <v>710</v>
      </c>
    </row>
    <row r="154" spans="1:6">
      <c r="A154" s="1">
        <v>45827</v>
      </c>
      <c r="B154" s="7" t="s">
        <v>113</v>
      </c>
      <c r="C154" t="s">
        <v>114</v>
      </c>
      <c r="D154" t="s">
        <v>12</v>
      </c>
      <c r="E154" s="2">
        <v>-18000</v>
      </c>
      <c r="F154" t="s">
        <v>710</v>
      </c>
    </row>
    <row r="155" spans="1:6">
      <c r="A155" s="1">
        <v>45827</v>
      </c>
      <c r="B155" s="7" t="s">
        <v>113</v>
      </c>
      <c r="C155" t="s">
        <v>115</v>
      </c>
      <c r="D155" t="s">
        <v>11</v>
      </c>
      <c r="E155" s="2">
        <v>12000</v>
      </c>
      <c r="F155" t="s">
        <v>710</v>
      </c>
    </row>
    <row r="156" spans="1:6">
      <c r="A156" s="1">
        <v>45827</v>
      </c>
      <c r="B156" s="7" t="s">
        <v>113</v>
      </c>
      <c r="C156" t="s">
        <v>115</v>
      </c>
      <c r="D156" t="s">
        <v>3</v>
      </c>
      <c r="E156" s="2">
        <v>25</v>
      </c>
      <c r="F156" t="s">
        <v>710</v>
      </c>
    </row>
    <row r="157" spans="1:6">
      <c r="A157" s="1">
        <v>45827</v>
      </c>
      <c r="B157" s="7" t="s">
        <v>113</v>
      </c>
      <c r="C157" t="s">
        <v>115</v>
      </c>
      <c r="D157" t="s">
        <v>3</v>
      </c>
      <c r="E157" s="2">
        <v>1.8799999952316284</v>
      </c>
      <c r="F157" t="s">
        <v>710</v>
      </c>
    </row>
    <row r="158" spans="1:6">
      <c r="A158" s="1">
        <v>45827</v>
      </c>
      <c r="B158" s="7" t="s">
        <v>113</v>
      </c>
      <c r="C158" t="s">
        <v>116</v>
      </c>
      <c r="D158" t="s">
        <v>4</v>
      </c>
      <c r="E158" s="2">
        <v>304000</v>
      </c>
      <c r="F158" t="s">
        <v>710</v>
      </c>
    </row>
    <row r="159" spans="1:6">
      <c r="A159" s="1">
        <v>45827</v>
      </c>
      <c r="B159" s="7" t="s">
        <v>113</v>
      </c>
      <c r="C159" t="s">
        <v>116</v>
      </c>
      <c r="D159" t="s">
        <v>3</v>
      </c>
      <c r="E159" s="2">
        <v>50</v>
      </c>
      <c r="F159" t="s">
        <v>710</v>
      </c>
    </row>
    <row r="160" spans="1:6">
      <c r="A160" s="1">
        <v>45827</v>
      </c>
      <c r="B160" s="7" t="s">
        <v>113</v>
      </c>
      <c r="C160" t="s">
        <v>116</v>
      </c>
      <c r="D160" t="s">
        <v>3</v>
      </c>
      <c r="E160" s="2">
        <v>3.75</v>
      </c>
      <c r="F160" t="s">
        <v>710</v>
      </c>
    </row>
    <row r="161" spans="1:6">
      <c r="A161" s="1">
        <v>45827</v>
      </c>
      <c r="B161" s="7" t="s">
        <v>113</v>
      </c>
      <c r="C161" t="s">
        <v>117</v>
      </c>
      <c r="D161" t="s">
        <v>10</v>
      </c>
      <c r="E161" s="2">
        <v>9470.359999999404</v>
      </c>
      <c r="F161" t="s">
        <v>710</v>
      </c>
    </row>
    <row r="162" spans="1:6">
      <c r="A162" s="1">
        <v>45827</v>
      </c>
      <c r="B162" s="7" t="s">
        <v>113</v>
      </c>
      <c r="C162" t="s">
        <v>117</v>
      </c>
      <c r="D162" t="s">
        <v>3</v>
      </c>
      <c r="E162" s="2">
        <v>25</v>
      </c>
      <c r="F162" t="s">
        <v>710</v>
      </c>
    </row>
    <row r="163" spans="1:6">
      <c r="A163" s="1">
        <v>45827</v>
      </c>
      <c r="B163" s="7" t="s">
        <v>113</v>
      </c>
      <c r="C163" t="s">
        <v>117</v>
      </c>
      <c r="D163" t="s">
        <v>3</v>
      </c>
      <c r="E163" s="2">
        <v>1.8799999952316284</v>
      </c>
      <c r="F163" t="s">
        <v>710</v>
      </c>
    </row>
    <row r="164" spans="1:6">
      <c r="A164" s="1">
        <v>45827</v>
      </c>
      <c r="B164" s="7" t="s">
        <v>113</v>
      </c>
      <c r="C164" t="s">
        <v>118</v>
      </c>
      <c r="D164" t="s">
        <v>4</v>
      </c>
      <c r="E164" s="2">
        <v>150000</v>
      </c>
      <c r="F164" t="s">
        <v>710</v>
      </c>
    </row>
    <row r="165" spans="1:6">
      <c r="A165" s="1">
        <v>45827</v>
      </c>
      <c r="B165" s="7" t="s">
        <v>113</v>
      </c>
      <c r="C165" t="s">
        <v>118</v>
      </c>
      <c r="D165" t="s">
        <v>3</v>
      </c>
      <c r="E165" s="2">
        <v>50</v>
      </c>
      <c r="F165" t="s">
        <v>710</v>
      </c>
    </row>
    <row r="166" spans="1:6">
      <c r="A166" s="1">
        <v>45827</v>
      </c>
      <c r="B166" s="7" t="s">
        <v>113</v>
      </c>
      <c r="C166" t="s">
        <v>118</v>
      </c>
      <c r="D166" t="s">
        <v>3</v>
      </c>
      <c r="E166" s="2">
        <v>3.75</v>
      </c>
      <c r="F166" t="s">
        <v>710</v>
      </c>
    </row>
    <row r="167" spans="1:6">
      <c r="A167" s="1">
        <v>45827</v>
      </c>
      <c r="B167" s="7" t="s">
        <v>113</v>
      </c>
      <c r="C167" t="s">
        <v>119</v>
      </c>
      <c r="D167" t="s">
        <v>19</v>
      </c>
      <c r="E167" s="2">
        <v>720000</v>
      </c>
      <c r="F167" t="s">
        <v>710</v>
      </c>
    </row>
    <row r="168" spans="1:6">
      <c r="A168" s="1">
        <v>45827</v>
      </c>
      <c r="B168" s="7" t="s">
        <v>113</v>
      </c>
      <c r="C168" t="s">
        <v>119</v>
      </c>
      <c r="D168" t="s">
        <v>3</v>
      </c>
      <c r="E168" s="2">
        <v>50</v>
      </c>
      <c r="F168" t="s">
        <v>710</v>
      </c>
    </row>
    <row r="169" spans="1:6">
      <c r="A169" s="1">
        <v>45827</v>
      </c>
      <c r="B169" s="7" t="s">
        <v>113</v>
      </c>
      <c r="C169" t="s">
        <v>119</v>
      </c>
      <c r="D169" t="s">
        <v>3</v>
      </c>
      <c r="E169" s="2">
        <v>3.75</v>
      </c>
      <c r="F169" t="s">
        <v>710</v>
      </c>
    </row>
    <row r="170" spans="1:6">
      <c r="A170" s="1">
        <v>45827</v>
      </c>
      <c r="B170" s="7" t="s">
        <v>113</v>
      </c>
      <c r="C170" t="s">
        <v>120</v>
      </c>
      <c r="D170" t="s">
        <v>3</v>
      </c>
      <c r="E170" s="2">
        <v>50</v>
      </c>
      <c r="F170" t="s">
        <v>710</v>
      </c>
    </row>
    <row r="171" spans="1:6">
      <c r="A171" s="1">
        <v>45828</v>
      </c>
      <c r="B171" s="7" t="s">
        <v>121</v>
      </c>
      <c r="C171" t="s">
        <v>122</v>
      </c>
      <c r="D171" t="s">
        <v>19</v>
      </c>
      <c r="E171" s="2">
        <v>320161.25</v>
      </c>
      <c r="F171" t="s">
        <v>710</v>
      </c>
    </row>
    <row r="172" spans="1:6">
      <c r="A172" s="1">
        <v>45828</v>
      </c>
      <c r="B172" s="7" t="s">
        <v>121</v>
      </c>
      <c r="C172" t="s">
        <v>123</v>
      </c>
      <c r="D172" t="s">
        <v>12</v>
      </c>
      <c r="E172" s="2">
        <v>-48000</v>
      </c>
      <c r="F172" t="s">
        <v>710</v>
      </c>
    </row>
    <row r="173" spans="1:6">
      <c r="A173" s="1">
        <v>45828</v>
      </c>
      <c r="B173" s="7" t="s">
        <v>121</v>
      </c>
      <c r="C173" t="s">
        <v>124</v>
      </c>
      <c r="D173" t="s">
        <v>15</v>
      </c>
      <c r="E173" s="2">
        <v>48000</v>
      </c>
      <c r="F173" t="s">
        <v>710</v>
      </c>
    </row>
    <row r="174" spans="1:6">
      <c r="A174" s="1">
        <v>45828</v>
      </c>
      <c r="B174" s="7" t="s">
        <v>121</v>
      </c>
      <c r="C174" t="s">
        <v>125</v>
      </c>
      <c r="D174" t="s">
        <v>3</v>
      </c>
      <c r="E174" s="2">
        <v>25</v>
      </c>
      <c r="F174" t="s">
        <v>710</v>
      </c>
    </row>
    <row r="175" spans="1:6">
      <c r="A175" s="1">
        <v>45828</v>
      </c>
      <c r="B175" s="7" t="s">
        <v>121</v>
      </c>
      <c r="C175" t="s">
        <v>125</v>
      </c>
      <c r="D175" t="s">
        <v>3</v>
      </c>
      <c r="E175" s="2">
        <v>1.8800000101327896</v>
      </c>
      <c r="F175" t="s">
        <v>710</v>
      </c>
    </row>
    <row r="176" spans="1:6">
      <c r="A176" s="1">
        <v>45828</v>
      </c>
      <c r="B176" s="7" t="s">
        <v>121</v>
      </c>
      <c r="C176" t="s">
        <v>126</v>
      </c>
      <c r="D176" t="s">
        <v>3</v>
      </c>
      <c r="E176" s="2">
        <v>50</v>
      </c>
      <c r="F176" t="s">
        <v>710</v>
      </c>
    </row>
    <row r="177" spans="1:6">
      <c r="A177" s="1">
        <v>45831</v>
      </c>
      <c r="B177" s="7" t="s">
        <v>127</v>
      </c>
      <c r="C177" t="s">
        <v>128</v>
      </c>
      <c r="D177" t="s">
        <v>15</v>
      </c>
      <c r="E177" s="2">
        <v>142500</v>
      </c>
      <c r="F177" t="s">
        <v>710</v>
      </c>
    </row>
    <row r="178" spans="1:6">
      <c r="A178" s="1">
        <v>45831</v>
      </c>
      <c r="B178" s="7" t="s">
        <v>127</v>
      </c>
      <c r="C178" t="s">
        <v>128</v>
      </c>
      <c r="D178" t="s">
        <v>3</v>
      </c>
      <c r="E178" s="2">
        <v>50</v>
      </c>
      <c r="F178" t="s">
        <v>710</v>
      </c>
    </row>
    <row r="179" spans="1:6">
      <c r="A179" s="1">
        <v>45831</v>
      </c>
      <c r="B179" s="7" t="s">
        <v>127</v>
      </c>
      <c r="C179" t="s">
        <v>128</v>
      </c>
      <c r="D179" t="s">
        <v>3</v>
      </c>
      <c r="E179" s="2">
        <v>3.75</v>
      </c>
      <c r="F179" t="s">
        <v>710</v>
      </c>
    </row>
    <row r="180" spans="1:6">
      <c r="A180" s="1">
        <v>45831</v>
      </c>
      <c r="B180" s="7" t="s">
        <v>127</v>
      </c>
      <c r="C180" t="s">
        <v>129</v>
      </c>
      <c r="D180" t="s">
        <v>11</v>
      </c>
      <c r="E180" s="2">
        <v>30000</v>
      </c>
      <c r="F180" t="s">
        <v>710</v>
      </c>
    </row>
    <row r="181" spans="1:6">
      <c r="A181" s="1">
        <v>45831</v>
      </c>
      <c r="B181" s="7" t="s">
        <v>127</v>
      </c>
      <c r="C181" t="s">
        <v>129</v>
      </c>
      <c r="D181" t="s">
        <v>3</v>
      </c>
      <c r="E181" s="2">
        <v>25</v>
      </c>
      <c r="F181" t="s">
        <v>710</v>
      </c>
    </row>
    <row r="182" spans="1:6">
      <c r="A182" s="1">
        <v>45831</v>
      </c>
      <c r="B182" s="7" t="s">
        <v>127</v>
      </c>
      <c r="C182" t="s">
        <v>129</v>
      </c>
      <c r="D182" t="s">
        <v>3</v>
      </c>
      <c r="E182" s="2">
        <v>1.8799999952316284</v>
      </c>
      <c r="F182" t="s">
        <v>710</v>
      </c>
    </row>
    <row r="183" spans="1:6">
      <c r="A183" s="1">
        <v>45831</v>
      </c>
      <c r="B183" s="7" t="s">
        <v>127</v>
      </c>
      <c r="C183" t="s">
        <v>130</v>
      </c>
      <c r="D183" t="s">
        <v>4</v>
      </c>
      <c r="E183" s="2">
        <v>149000</v>
      </c>
      <c r="F183" t="s">
        <v>710</v>
      </c>
    </row>
    <row r="184" spans="1:6">
      <c r="A184" s="1">
        <v>45831</v>
      </c>
      <c r="B184" s="7" t="s">
        <v>127</v>
      </c>
      <c r="C184" t="s">
        <v>130</v>
      </c>
      <c r="D184" t="s">
        <v>3</v>
      </c>
      <c r="E184" s="2">
        <v>50</v>
      </c>
      <c r="F184" t="s">
        <v>710</v>
      </c>
    </row>
    <row r="185" spans="1:6">
      <c r="A185" s="1">
        <v>45831</v>
      </c>
      <c r="B185" s="7" t="s">
        <v>127</v>
      </c>
      <c r="C185" t="s">
        <v>130</v>
      </c>
      <c r="D185" t="s">
        <v>3</v>
      </c>
      <c r="E185" s="2">
        <v>3.75</v>
      </c>
      <c r="F185" t="s">
        <v>710</v>
      </c>
    </row>
    <row r="186" spans="1:6">
      <c r="A186" s="1">
        <v>45831</v>
      </c>
      <c r="B186" s="7" t="s">
        <v>127</v>
      </c>
      <c r="C186" t="s">
        <v>131</v>
      </c>
      <c r="D186" t="s">
        <v>4</v>
      </c>
      <c r="E186" s="2">
        <v>50000</v>
      </c>
      <c r="F186" t="s">
        <v>710</v>
      </c>
    </row>
    <row r="187" spans="1:6">
      <c r="A187" s="1">
        <v>45831</v>
      </c>
      <c r="B187" s="7" t="s">
        <v>127</v>
      </c>
      <c r="C187" t="s">
        <v>131</v>
      </c>
      <c r="D187" t="s">
        <v>3</v>
      </c>
      <c r="E187" s="2">
        <v>25</v>
      </c>
      <c r="F187" t="s">
        <v>710</v>
      </c>
    </row>
    <row r="188" spans="1:6">
      <c r="A188" s="1">
        <v>45831</v>
      </c>
      <c r="B188" s="7" t="s">
        <v>127</v>
      </c>
      <c r="C188" t="s">
        <v>131</v>
      </c>
      <c r="D188" t="s">
        <v>3</v>
      </c>
      <c r="E188" s="2">
        <v>1.8799999952316284</v>
      </c>
      <c r="F188" t="s">
        <v>710</v>
      </c>
    </row>
    <row r="189" spans="1:6">
      <c r="A189" s="1">
        <v>45831</v>
      </c>
      <c r="B189" s="7" t="s">
        <v>127</v>
      </c>
      <c r="C189" t="s">
        <v>132</v>
      </c>
      <c r="D189" t="s">
        <v>10</v>
      </c>
      <c r="E189" s="2">
        <v>99330</v>
      </c>
      <c r="F189" t="s">
        <v>710</v>
      </c>
    </row>
    <row r="190" spans="1:6">
      <c r="A190" s="1">
        <v>45831</v>
      </c>
      <c r="B190" s="7" t="s">
        <v>127</v>
      </c>
      <c r="C190" t="s">
        <v>132</v>
      </c>
      <c r="D190" t="s">
        <v>3</v>
      </c>
      <c r="E190" s="2">
        <v>50</v>
      </c>
      <c r="F190" t="s">
        <v>710</v>
      </c>
    </row>
    <row r="191" spans="1:6">
      <c r="A191" s="1">
        <v>45831</v>
      </c>
      <c r="B191" s="7" t="s">
        <v>127</v>
      </c>
      <c r="C191" t="s">
        <v>132</v>
      </c>
      <c r="D191" t="s">
        <v>3</v>
      </c>
      <c r="E191" s="2">
        <v>3.75</v>
      </c>
      <c r="F191" t="s">
        <v>710</v>
      </c>
    </row>
    <row r="192" spans="1:6">
      <c r="A192" s="1">
        <v>45831</v>
      </c>
      <c r="B192" s="7" t="s">
        <v>127</v>
      </c>
      <c r="C192" t="s">
        <v>133</v>
      </c>
      <c r="D192" t="s">
        <v>4</v>
      </c>
      <c r="E192" s="2">
        <v>10400</v>
      </c>
      <c r="F192" t="s">
        <v>710</v>
      </c>
    </row>
    <row r="193" spans="1:6">
      <c r="A193" s="1">
        <v>45831</v>
      </c>
      <c r="B193" s="7" t="s">
        <v>127</v>
      </c>
      <c r="C193" t="s">
        <v>133</v>
      </c>
      <c r="D193" t="s">
        <v>3</v>
      </c>
      <c r="E193" s="2">
        <v>25</v>
      </c>
      <c r="F193" t="s">
        <v>710</v>
      </c>
    </row>
    <row r="194" spans="1:6">
      <c r="A194" s="1">
        <v>45831</v>
      </c>
      <c r="B194" s="7" t="s">
        <v>127</v>
      </c>
      <c r="C194" t="s">
        <v>133</v>
      </c>
      <c r="D194" t="s">
        <v>3</v>
      </c>
      <c r="E194" s="2">
        <v>1.8800000101327896</v>
      </c>
      <c r="F194" t="s">
        <v>710</v>
      </c>
    </row>
    <row r="195" spans="1:6">
      <c r="A195" s="1">
        <v>45831</v>
      </c>
      <c r="B195" s="7" t="s">
        <v>127</v>
      </c>
      <c r="C195" t="s">
        <v>134</v>
      </c>
      <c r="D195" t="s">
        <v>20</v>
      </c>
      <c r="E195" s="2">
        <v>465000</v>
      </c>
      <c r="F195" t="s">
        <v>710</v>
      </c>
    </row>
    <row r="196" spans="1:6">
      <c r="A196" s="1">
        <v>45831</v>
      </c>
      <c r="B196" s="7" t="s">
        <v>127</v>
      </c>
      <c r="C196" t="s">
        <v>134</v>
      </c>
      <c r="D196" t="s">
        <v>3</v>
      </c>
      <c r="E196" s="2">
        <v>50</v>
      </c>
      <c r="F196" t="s">
        <v>710</v>
      </c>
    </row>
    <row r="197" spans="1:6">
      <c r="A197" s="1">
        <v>45831</v>
      </c>
      <c r="B197" s="7" t="s">
        <v>127</v>
      </c>
      <c r="C197" t="s">
        <v>134</v>
      </c>
      <c r="D197" t="s">
        <v>3</v>
      </c>
      <c r="E197" s="2">
        <v>3.75</v>
      </c>
      <c r="F197" t="s">
        <v>710</v>
      </c>
    </row>
    <row r="198" spans="1:6">
      <c r="A198" s="1">
        <v>45832</v>
      </c>
      <c r="B198" s="7" t="s">
        <v>135</v>
      </c>
      <c r="C198" t="s">
        <v>136</v>
      </c>
      <c r="D198" t="s">
        <v>15</v>
      </c>
      <c r="E198" s="2">
        <v>8000</v>
      </c>
      <c r="F198" t="s">
        <v>710</v>
      </c>
    </row>
    <row r="199" spans="1:6">
      <c r="A199" s="1">
        <v>45832</v>
      </c>
      <c r="B199" s="7" t="s">
        <v>135</v>
      </c>
      <c r="C199" t="s">
        <v>136</v>
      </c>
      <c r="D199" t="s">
        <v>3</v>
      </c>
      <c r="E199" s="2">
        <v>25</v>
      </c>
      <c r="F199" t="s">
        <v>710</v>
      </c>
    </row>
    <row r="200" spans="1:6">
      <c r="A200" s="1">
        <v>45832</v>
      </c>
      <c r="B200" s="7" t="s">
        <v>135</v>
      </c>
      <c r="C200" t="s">
        <v>136</v>
      </c>
      <c r="D200" t="s">
        <v>3</v>
      </c>
      <c r="E200" s="2">
        <v>1.8799999952316284</v>
      </c>
      <c r="F200" t="s">
        <v>710</v>
      </c>
    </row>
    <row r="201" spans="1:6">
      <c r="A201" s="1">
        <v>45832</v>
      </c>
      <c r="B201" s="7" t="s">
        <v>135</v>
      </c>
      <c r="C201" t="s">
        <v>137</v>
      </c>
      <c r="D201" t="s">
        <v>8</v>
      </c>
      <c r="E201" s="2">
        <v>39000</v>
      </c>
      <c r="F201" t="s">
        <v>710</v>
      </c>
    </row>
    <row r="202" spans="1:6">
      <c r="A202" s="1">
        <v>45832</v>
      </c>
      <c r="B202" s="7" t="s">
        <v>135</v>
      </c>
      <c r="C202" t="s">
        <v>137</v>
      </c>
      <c r="D202" t="s">
        <v>3</v>
      </c>
      <c r="E202" s="2">
        <v>25</v>
      </c>
      <c r="F202" t="s">
        <v>710</v>
      </c>
    </row>
    <row r="203" spans="1:6">
      <c r="A203" s="1">
        <v>45832</v>
      </c>
      <c r="B203" s="7" t="s">
        <v>135</v>
      </c>
      <c r="C203" t="s">
        <v>137</v>
      </c>
      <c r="D203" t="s">
        <v>3</v>
      </c>
      <c r="E203" s="2">
        <v>1.8799999952316284</v>
      </c>
      <c r="F203" t="s">
        <v>710</v>
      </c>
    </row>
    <row r="204" spans="1:6">
      <c r="A204" s="1">
        <v>45832</v>
      </c>
      <c r="B204" s="7" t="s">
        <v>135</v>
      </c>
      <c r="C204" t="s">
        <v>138</v>
      </c>
      <c r="D204" t="s">
        <v>15</v>
      </c>
      <c r="E204" s="2">
        <v>15200</v>
      </c>
      <c r="F204" t="s">
        <v>710</v>
      </c>
    </row>
    <row r="205" spans="1:6">
      <c r="A205" s="1">
        <v>45832</v>
      </c>
      <c r="B205" s="7" t="s">
        <v>135</v>
      </c>
      <c r="C205" t="s">
        <v>138</v>
      </c>
      <c r="D205" t="s">
        <v>3</v>
      </c>
      <c r="E205" s="2">
        <v>25</v>
      </c>
      <c r="F205" t="s">
        <v>710</v>
      </c>
    </row>
    <row r="206" spans="1:6">
      <c r="A206" s="1">
        <v>45832</v>
      </c>
      <c r="B206" s="7" t="s">
        <v>135</v>
      </c>
      <c r="C206" t="s">
        <v>138</v>
      </c>
      <c r="D206" t="s">
        <v>3</v>
      </c>
      <c r="E206" s="2">
        <v>1.8800000101327896</v>
      </c>
      <c r="F206" t="s">
        <v>710</v>
      </c>
    </row>
    <row r="207" spans="1:6">
      <c r="A207" s="1">
        <v>45832</v>
      </c>
      <c r="B207" s="7" t="s">
        <v>135</v>
      </c>
      <c r="C207" t="s">
        <v>139</v>
      </c>
      <c r="D207" t="s">
        <v>15</v>
      </c>
      <c r="E207" s="2">
        <v>18900</v>
      </c>
      <c r="F207" t="s">
        <v>710</v>
      </c>
    </row>
    <row r="208" spans="1:6">
      <c r="A208" s="1">
        <v>45832</v>
      </c>
      <c r="B208" s="7" t="s">
        <v>135</v>
      </c>
      <c r="C208" t="s">
        <v>139</v>
      </c>
      <c r="D208" t="s">
        <v>3</v>
      </c>
      <c r="E208" s="2">
        <v>25</v>
      </c>
      <c r="F208" t="s">
        <v>710</v>
      </c>
    </row>
    <row r="209" spans="1:6">
      <c r="A209" s="1">
        <v>45832</v>
      </c>
      <c r="B209" s="7" t="s">
        <v>135</v>
      </c>
      <c r="C209" t="s">
        <v>139</v>
      </c>
      <c r="D209" t="s">
        <v>3</v>
      </c>
      <c r="E209" s="2">
        <v>1.8799999952316284</v>
      </c>
      <c r="F209" t="s">
        <v>710</v>
      </c>
    </row>
    <row r="210" spans="1:6">
      <c r="A210" s="1">
        <v>45832</v>
      </c>
      <c r="B210" s="7" t="s">
        <v>135</v>
      </c>
      <c r="C210" t="s">
        <v>140</v>
      </c>
      <c r="D210" t="s">
        <v>26</v>
      </c>
      <c r="E210" s="2">
        <v>3600</v>
      </c>
      <c r="F210" t="s">
        <v>710</v>
      </c>
    </row>
    <row r="211" spans="1:6">
      <c r="A211" s="1">
        <v>45832</v>
      </c>
      <c r="B211" s="7" t="s">
        <v>135</v>
      </c>
      <c r="C211" t="s">
        <v>140</v>
      </c>
      <c r="D211" t="s">
        <v>3</v>
      </c>
      <c r="E211" s="2">
        <v>10</v>
      </c>
      <c r="F211" t="s">
        <v>710</v>
      </c>
    </row>
    <row r="212" spans="1:6">
      <c r="A212" s="1">
        <v>45832</v>
      </c>
      <c r="B212" s="7" t="s">
        <v>135</v>
      </c>
      <c r="C212" t="s">
        <v>140</v>
      </c>
      <c r="D212" t="s">
        <v>3</v>
      </c>
      <c r="E212" s="2">
        <v>0.75</v>
      </c>
      <c r="F212" t="s">
        <v>710</v>
      </c>
    </row>
    <row r="213" spans="1:6">
      <c r="A213" s="1">
        <v>45832</v>
      </c>
      <c r="B213" s="7" t="s">
        <v>135</v>
      </c>
      <c r="C213" t="s">
        <v>141</v>
      </c>
      <c r="D213" t="s">
        <v>13</v>
      </c>
      <c r="E213" s="2">
        <v>15000</v>
      </c>
      <c r="F213" t="s">
        <v>710</v>
      </c>
    </row>
    <row r="214" spans="1:6">
      <c r="A214" s="1">
        <v>45832</v>
      </c>
      <c r="B214" s="7" t="s">
        <v>135</v>
      </c>
      <c r="C214" t="s">
        <v>141</v>
      </c>
      <c r="D214" t="s">
        <v>3</v>
      </c>
      <c r="E214" s="2">
        <v>25</v>
      </c>
      <c r="F214" t="s">
        <v>710</v>
      </c>
    </row>
    <row r="215" spans="1:6">
      <c r="A215" s="1">
        <v>45832</v>
      </c>
      <c r="B215" s="7" t="s">
        <v>135</v>
      </c>
      <c r="C215" t="s">
        <v>141</v>
      </c>
      <c r="D215" t="s">
        <v>3</v>
      </c>
      <c r="E215" s="2">
        <v>1.8799999952316284</v>
      </c>
      <c r="F215" t="s">
        <v>710</v>
      </c>
    </row>
    <row r="216" spans="1:6">
      <c r="A216" s="1">
        <v>45832</v>
      </c>
      <c r="B216" s="7" t="s">
        <v>135</v>
      </c>
      <c r="C216" t="s">
        <v>142</v>
      </c>
      <c r="D216" t="s">
        <v>4</v>
      </c>
      <c r="E216" s="2">
        <v>13600</v>
      </c>
      <c r="F216" t="s">
        <v>710</v>
      </c>
    </row>
    <row r="217" spans="1:6">
      <c r="A217" s="1">
        <v>45832</v>
      </c>
      <c r="B217" s="7" t="s">
        <v>135</v>
      </c>
      <c r="C217" t="s">
        <v>142</v>
      </c>
      <c r="D217" t="s">
        <v>3</v>
      </c>
      <c r="E217" s="2">
        <v>25</v>
      </c>
      <c r="F217" t="s">
        <v>710</v>
      </c>
    </row>
    <row r="218" spans="1:6">
      <c r="A218" s="1">
        <v>45832</v>
      </c>
      <c r="B218" s="7" t="s">
        <v>135</v>
      </c>
      <c r="C218" t="s">
        <v>142</v>
      </c>
      <c r="D218" t="s">
        <v>3</v>
      </c>
      <c r="E218" s="2">
        <v>1.8799999952316284</v>
      </c>
      <c r="F218" t="s">
        <v>710</v>
      </c>
    </row>
    <row r="219" spans="1:6">
      <c r="A219" s="1">
        <v>45832</v>
      </c>
      <c r="B219" s="7" t="s">
        <v>135</v>
      </c>
      <c r="C219" t="s">
        <v>143</v>
      </c>
      <c r="D219" t="s">
        <v>13</v>
      </c>
      <c r="E219" s="2">
        <v>40000</v>
      </c>
      <c r="F219" t="s">
        <v>710</v>
      </c>
    </row>
    <row r="220" spans="1:6">
      <c r="A220" s="1">
        <v>45832</v>
      </c>
      <c r="B220" s="7" t="s">
        <v>135</v>
      </c>
      <c r="C220" t="s">
        <v>143</v>
      </c>
      <c r="D220" t="s">
        <v>3</v>
      </c>
      <c r="E220" s="2">
        <v>25</v>
      </c>
      <c r="F220" t="s">
        <v>710</v>
      </c>
    </row>
    <row r="221" spans="1:6">
      <c r="A221" s="1">
        <v>45832</v>
      </c>
      <c r="B221" s="7" t="s">
        <v>135</v>
      </c>
      <c r="C221" t="s">
        <v>143</v>
      </c>
      <c r="D221" t="s">
        <v>3</v>
      </c>
      <c r="E221" s="2">
        <v>1.8800000101327896</v>
      </c>
      <c r="F221" t="s">
        <v>710</v>
      </c>
    </row>
    <row r="222" spans="1:6">
      <c r="A222" s="1">
        <v>45832</v>
      </c>
      <c r="B222" s="7" t="s">
        <v>135</v>
      </c>
      <c r="C222" t="s">
        <v>144</v>
      </c>
      <c r="D222" t="s">
        <v>15</v>
      </c>
      <c r="E222" s="2">
        <v>5800</v>
      </c>
      <c r="F222" t="s">
        <v>710</v>
      </c>
    </row>
    <row r="223" spans="1:6">
      <c r="A223" s="1">
        <v>45832</v>
      </c>
      <c r="B223" s="7" t="s">
        <v>135</v>
      </c>
      <c r="C223" t="s">
        <v>144</v>
      </c>
      <c r="D223" t="s">
        <v>3</v>
      </c>
      <c r="E223" s="2">
        <v>25</v>
      </c>
      <c r="F223" t="s">
        <v>710</v>
      </c>
    </row>
    <row r="224" spans="1:6">
      <c r="A224" s="1">
        <v>45832</v>
      </c>
      <c r="B224" s="7" t="s">
        <v>135</v>
      </c>
      <c r="C224" t="s">
        <v>144</v>
      </c>
      <c r="D224" t="s">
        <v>3</v>
      </c>
      <c r="E224" s="2">
        <v>1.8799999952316284</v>
      </c>
      <c r="F224" t="s">
        <v>710</v>
      </c>
    </row>
    <row r="225" spans="1:6">
      <c r="A225" s="1">
        <v>45833</v>
      </c>
      <c r="B225" s="7" t="s">
        <v>145</v>
      </c>
      <c r="C225" t="s">
        <v>146</v>
      </c>
      <c r="D225" t="s">
        <v>21</v>
      </c>
      <c r="E225" s="2">
        <v>1770000</v>
      </c>
      <c r="F225" t="s">
        <v>710</v>
      </c>
    </row>
    <row r="226" spans="1:6">
      <c r="A226" s="1">
        <v>45833</v>
      </c>
      <c r="B226" s="7" t="s">
        <v>145</v>
      </c>
      <c r="C226" t="s">
        <v>146</v>
      </c>
      <c r="D226" t="s">
        <v>3</v>
      </c>
      <c r="E226" s="2">
        <v>50</v>
      </c>
      <c r="F226" t="s">
        <v>710</v>
      </c>
    </row>
    <row r="227" spans="1:6">
      <c r="A227" s="1">
        <v>45833</v>
      </c>
      <c r="B227" s="7" t="s">
        <v>145</v>
      </c>
      <c r="C227" t="s">
        <v>146</v>
      </c>
      <c r="D227" t="s">
        <v>3</v>
      </c>
      <c r="E227" s="2">
        <v>3.75</v>
      </c>
      <c r="F227" t="s">
        <v>710</v>
      </c>
    </row>
    <row r="228" spans="1:6">
      <c r="A228" s="1">
        <v>45833</v>
      </c>
      <c r="B228" s="7" t="s">
        <v>145</v>
      </c>
      <c r="C228" t="s">
        <v>147</v>
      </c>
      <c r="D228" t="s">
        <v>4</v>
      </c>
      <c r="E228" s="2">
        <v>169000</v>
      </c>
      <c r="F228" t="s">
        <v>710</v>
      </c>
    </row>
    <row r="229" spans="1:6">
      <c r="A229" s="1">
        <v>45833</v>
      </c>
      <c r="B229" s="7" t="s">
        <v>145</v>
      </c>
      <c r="C229" t="s">
        <v>147</v>
      </c>
      <c r="D229" t="s">
        <v>3</v>
      </c>
      <c r="E229" s="2">
        <v>50</v>
      </c>
      <c r="F229" t="s">
        <v>710</v>
      </c>
    </row>
    <row r="230" spans="1:6">
      <c r="A230" s="1">
        <v>45833</v>
      </c>
      <c r="B230" s="7" t="s">
        <v>145</v>
      </c>
      <c r="C230" t="s">
        <v>147</v>
      </c>
      <c r="D230" t="s">
        <v>3</v>
      </c>
      <c r="E230" s="2">
        <v>3.75</v>
      </c>
      <c r="F230" t="s">
        <v>710</v>
      </c>
    </row>
    <row r="231" spans="1:6">
      <c r="A231" s="1">
        <v>45833</v>
      </c>
      <c r="B231" s="7" t="s">
        <v>145</v>
      </c>
      <c r="C231" t="s">
        <v>148</v>
      </c>
      <c r="D231" t="s">
        <v>8</v>
      </c>
      <c r="E231" s="2">
        <v>3570659.4399999976</v>
      </c>
      <c r="F231" t="s">
        <v>710</v>
      </c>
    </row>
    <row r="232" spans="1:6">
      <c r="A232" s="1">
        <v>45833</v>
      </c>
      <c r="B232" s="7" t="s">
        <v>145</v>
      </c>
      <c r="C232" t="s">
        <v>148</v>
      </c>
      <c r="D232" t="s">
        <v>3</v>
      </c>
      <c r="E232" s="2">
        <v>50</v>
      </c>
      <c r="F232" t="s">
        <v>710</v>
      </c>
    </row>
    <row r="233" spans="1:6">
      <c r="A233" s="1">
        <v>45833</v>
      </c>
      <c r="B233" s="7" t="s">
        <v>145</v>
      </c>
      <c r="C233" t="s">
        <v>148</v>
      </c>
      <c r="D233" t="s">
        <v>3</v>
      </c>
      <c r="E233" s="2">
        <v>3.75</v>
      </c>
      <c r="F233" t="s">
        <v>710</v>
      </c>
    </row>
    <row r="234" spans="1:6">
      <c r="A234" s="1">
        <v>45833</v>
      </c>
      <c r="B234" s="7" t="s">
        <v>145</v>
      </c>
      <c r="C234" t="s">
        <v>149</v>
      </c>
      <c r="D234" t="s">
        <v>8</v>
      </c>
      <c r="E234" s="2">
        <v>2070487.4800000042</v>
      </c>
      <c r="F234" t="s">
        <v>710</v>
      </c>
    </row>
    <row r="235" spans="1:6">
      <c r="A235" s="1">
        <v>45833</v>
      </c>
      <c r="B235" s="7" t="s">
        <v>145</v>
      </c>
      <c r="C235" t="s">
        <v>149</v>
      </c>
      <c r="D235" t="s">
        <v>3</v>
      </c>
      <c r="E235" s="2">
        <v>50</v>
      </c>
      <c r="F235" t="s">
        <v>710</v>
      </c>
    </row>
    <row r="236" spans="1:6">
      <c r="A236" s="1">
        <v>45833</v>
      </c>
      <c r="B236" s="7" t="s">
        <v>145</v>
      </c>
      <c r="C236" t="s">
        <v>149</v>
      </c>
      <c r="D236" t="s">
        <v>3</v>
      </c>
      <c r="E236" s="2">
        <v>3.75</v>
      </c>
      <c r="F236" t="s">
        <v>710</v>
      </c>
    </row>
    <row r="237" spans="1:6">
      <c r="A237" s="1">
        <v>45833</v>
      </c>
      <c r="B237" s="7" t="s">
        <v>145</v>
      </c>
      <c r="C237" t="s">
        <v>150</v>
      </c>
      <c r="D237" t="s">
        <v>8</v>
      </c>
      <c r="E237" s="2">
        <v>476225</v>
      </c>
      <c r="F237" t="s">
        <v>710</v>
      </c>
    </row>
    <row r="238" spans="1:6">
      <c r="A238" s="1">
        <v>45833</v>
      </c>
      <c r="B238" s="7" t="s">
        <v>145</v>
      </c>
      <c r="C238" t="s">
        <v>150</v>
      </c>
      <c r="D238" t="s">
        <v>3</v>
      </c>
      <c r="E238" s="2">
        <v>50</v>
      </c>
      <c r="F238" t="s">
        <v>710</v>
      </c>
    </row>
    <row r="239" spans="1:6">
      <c r="A239" s="1">
        <v>45833</v>
      </c>
      <c r="B239" s="7" t="s">
        <v>145</v>
      </c>
      <c r="C239" t="s">
        <v>150</v>
      </c>
      <c r="D239" t="s">
        <v>3</v>
      </c>
      <c r="E239" s="2">
        <v>3.75</v>
      </c>
      <c r="F239" t="s">
        <v>710</v>
      </c>
    </row>
    <row r="240" spans="1:6">
      <c r="A240" s="1">
        <v>45833</v>
      </c>
      <c r="B240" s="7" t="s">
        <v>145</v>
      </c>
      <c r="C240" t="s">
        <v>151</v>
      </c>
      <c r="D240" t="s">
        <v>8</v>
      </c>
      <c r="E240" s="2">
        <v>284491.56999999285</v>
      </c>
      <c r="F240" t="s">
        <v>710</v>
      </c>
    </row>
    <row r="241" spans="1:6">
      <c r="A241" s="1">
        <v>45833</v>
      </c>
      <c r="B241" s="7" t="s">
        <v>145</v>
      </c>
      <c r="C241" t="s">
        <v>151</v>
      </c>
      <c r="D241" t="s">
        <v>3</v>
      </c>
      <c r="E241" s="2">
        <v>50</v>
      </c>
      <c r="F241" t="s">
        <v>710</v>
      </c>
    </row>
    <row r="242" spans="1:6">
      <c r="A242" s="1">
        <v>45833</v>
      </c>
      <c r="B242" s="7" t="s">
        <v>145</v>
      </c>
      <c r="C242" t="s">
        <v>151</v>
      </c>
      <c r="D242" t="s">
        <v>3</v>
      </c>
      <c r="E242" s="2">
        <v>3.75</v>
      </c>
      <c r="F242" t="s">
        <v>710</v>
      </c>
    </row>
    <row r="243" spans="1:6">
      <c r="A243" s="1">
        <v>45833</v>
      </c>
      <c r="B243" s="7" t="s">
        <v>145</v>
      </c>
      <c r="C243" t="s">
        <v>152</v>
      </c>
      <c r="D243" t="s">
        <v>8</v>
      </c>
      <c r="E243" s="2">
        <v>284491.57000000775</v>
      </c>
      <c r="F243" t="s">
        <v>710</v>
      </c>
    </row>
    <row r="244" spans="1:6">
      <c r="A244" s="1">
        <v>45833</v>
      </c>
      <c r="B244" s="7" t="s">
        <v>145</v>
      </c>
      <c r="C244" t="s">
        <v>152</v>
      </c>
      <c r="D244" t="s">
        <v>3</v>
      </c>
      <c r="E244" s="2">
        <v>50</v>
      </c>
      <c r="F244" t="s">
        <v>710</v>
      </c>
    </row>
    <row r="245" spans="1:6">
      <c r="A245" s="1">
        <v>45833</v>
      </c>
      <c r="B245" s="7" t="s">
        <v>145</v>
      </c>
      <c r="C245" t="s">
        <v>152</v>
      </c>
      <c r="D245" t="s">
        <v>3</v>
      </c>
      <c r="E245" s="2">
        <v>3.75</v>
      </c>
      <c r="F245" t="s">
        <v>710</v>
      </c>
    </row>
    <row r="246" spans="1:6">
      <c r="A246" s="1">
        <v>45833</v>
      </c>
      <c r="B246" s="7" t="s">
        <v>145</v>
      </c>
      <c r="C246" t="s">
        <v>153</v>
      </c>
      <c r="D246" t="s">
        <v>8</v>
      </c>
      <c r="E246" s="2">
        <v>284491.56999999285</v>
      </c>
      <c r="F246" t="s">
        <v>710</v>
      </c>
    </row>
    <row r="247" spans="1:6">
      <c r="A247" s="1">
        <v>45833</v>
      </c>
      <c r="B247" s="7" t="s">
        <v>145</v>
      </c>
      <c r="C247" t="s">
        <v>153</v>
      </c>
      <c r="D247" t="s">
        <v>3</v>
      </c>
      <c r="E247" s="2">
        <v>50</v>
      </c>
      <c r="F247" t="s">
        <v>710</v>
      </c>
    </row>
    <row r="248" spans="1:6">
      <c r="A248" s="1">
        <v>45833</v>
      </c>
      <c r="B248" s="7" t="s">
        <v>145</v>
      </c>
      <c r="C248" t="s">
        <v>153</v>
      </c>
      <c r="D248" t="s">
        <v>3</v>
      </c>
      <c r="E248" s="2">
        <v>3.75</v>
      </c>
      <c r="F248" t="s">
        <v>710</v>
      </c>
    </row>
    <row r="249" spans="1:6">
      <c r="A249" s="1">
        <v>45833</v>
      </c>
      <c r="B249" s="7" t="s">
        <v>145</v>
      </c>
      <c r="C249" t="s">
        <v>154</v>
      </c>
      <c r="D249" t="s">
        <v>8</v>
      </c>
      <c r="E249" s="2">
        <v>284491.57000000775</v>
      </c>
      <c r="F249" t="s">
        <v>710</v>
      </c>
    </row>
    <row r="250" spans="1:6">
      <c r="A250" s="1">
        <v>45833</v>
      </c>
      <c r="B250" s="7" t="s">
        <v>145</v>
      </c>
      <c r="C250" t="s">
        <v>154</v>
      </c>
      <c r="D250" t="s">
        <v>3</v>
      </c>
      <c r="E250" s="2">
        <v>50</v>
      </c>
      <c r="F250" t="s">
        <v>710</v>
      </c>
    </row>
    <row r="251" spans="1:6">
      <c r="A251" s="1">
        <v>45833</v>
      </c>
      <c r="B251" s="7" t="s">
        <v>145</v>
      </c>
      <c r="C251" t="s">
        <v>154</v>
      </c>
      <c r="D251" t="s">
        <v>3</v>
      </c>
      <c r="E251" s="2">
        <v>3.75</v>
      </c>
      <c r="F251" t="s">
        <v>710</v>
      </c>
    </row>
    <row r="252" spans="1:6">
      <c r="A252" s="1">
        <v>45833</v>
      </c>
      <c r="B252" s="7" t="s">
        <v>145</v>
      </c>
      <c r="C252" t="s">
        <v>155</v>
      </c>
      <c r="D252" t="s">
        <v>8</v>
      </c>
      <c r="E252" s="2">
        <v>284491.56999999285</v>
      </c>
      <c r="F252" t="s">
        <v>710</v>
      </c>
    </row>
    <row r="253" spans="1:6">
      <c r="A253" s="1">
        <v>45833</v>
      </c>
      <c r="B253" s="7" t="s">
        <v>145</v>
      </c>
      <c r="C253" t="s">
        <v>155</v>
      </c>
      <c r="D253" t="s">
        <v>3</v>
      </c>
      <c r="E253" s="2">
        <v>50</v>
      </c>
      <c r="F253" t="s">
        <v>710</v>
      </c>
    </row>
    <row r="254" spans="1:6">
      <c r="A254" s="1">
        <v>45833</v>
      </c>
      <c r="B254" s="7" t="s">
        <v>145</v>
      </c>
      <c r="C254" t="s">
        <v>155</v>
      </c>
      <c r="D254" t="s">
        <v>3</v>
      </c>
      <c r="E254" s="2">
        <v>3.75</v>
      </c>
      <c r="F254" t="s">
        <v>710</v>
      </c>
    </row>
    <row r="255" spans="1:6">
      <c r="A255" s="1">
        <v>45833</v>
      </c>
      <c r="B255" s="7" t="s">
        <v>145</v>
      </c>
      <c r="C255" t="s">
        <v>156</v>
      </c>
      <c r="D255" t="s">
        <v>8</v>
      </c>
      <c r="E255" s="2">
        <v>284491.57000000775</v>
      </c>
      <c r="F255" t="s">
        <v>710</v>
      </c>
    </row>
    <row r="256" spans="1:6">
      <c r="A256" s="1">
        <v>45833</v>
      </c>
      <c r="B256" s="7" t="s">
        <v>145</v>
      </c>
      <c r="C256" t="s">
        <v>156</v>
      </c>
      <c r="D256" t="s">
        <v>3</v>
      </c>
      <c r="E256" s="2">
        <v>50</v>
      </c>
      <c r="F256" t="s">
        <v>710</v>
      </c>
    </row>
    <row r="257" spans="1:6">
      <c r="A257" s="1">
        <v>45833</v>
      </c>
      <c r="B257" s="7" t="s">
        <v>145</v>
      </c>
      <c r="C257" t="s">
        <v>156</v>
      </c>
      <c r="D257" t="s">
        <v>3</v>
      </c>
      <c r="E257" s="2">
        <v>3.75</v>
      </c>
      <c r="F257" t="s">
        <v>710</v>
      </c>
    </row>
    <row r="258" spans="1:6">
      <c r="A258" s="1">
        <v>45833</v>
      </c>
      <c r="B258" s="7" t="s">
        <v>145</v>
      </c>
      <c r="C258" t="s">
        <v>157</v>
      </c>
      <c r="D258" t="s">
        <v>8</v>
      </c>
      <c r="E258" s="2">
        <v>284491.56999999285</v>
      </c>
      <c r="F258" t="s">
        <v>710</v>
      </c>
    </row>
    <row r="259" spans="1:6">
      <c r="A259" s="1">
        <v>45833</v>
      </c>
      <c r="B259" s="7" t="s">
        <v>145</v>
      </c>
      <c r="C259" t="s">
        <v>157</v>
      </c>
      <c r="D259" t="s">
        <v>3</v>
      </c>
      <c r="E259" s="2">
        <v>50</v>
      </c>
      <c r="F259" t="s">
        <v>710</v>
      </c>
    </row>
    <row r="260" spans="1:6">
      <c r="A260" s="1">
        <v>45833</v>
      </c>
      <c r="B260" s="7" t="s">
        <v>145</v>
      </c>
      <c r="C260" t="s">
        <v>157</v>
      </c>
      <c r="D260" t="s">
        <v>3</v>
      </c>
      <c r="E260" s="2">
        <v>3.75</v>
      </c>
      <c r="F260" t="s">
        <v>710</v>
      </c>
    </row>
    <row r="261" spans="1:6">
      <c r="A261" s="1">
        <v>45833</v>
      </c>
      <c r="B261" s="7" t="s">
        <v>145</v>
      </c>
      <c r="C261" t="s">
        <v>158</v>
      </c>
      <c r="D261" t="s">
        <v>8</v>
      </c>
      <c r="E261" s="2">
        <v>152226.67000000179</v>
      </c>
      <c r="F261" t="s">
        <v>710</v>
      </c>
    </row>
    <row r="262" spans="1:6">
      <c r="A262" s="1">
        <v>45833</v>
      </c>
      <c r="B262" s="7" t="s">
        <v>145</v>
      </c>
      <c r="C262" t="s">
        <v>158</v>
      </c>
      <c r="D262" t="s">
        <v>3</v>
      </c>
      <c r="E262" s="2">
        <v>50</v>
      </c>
      <c r="F262" t="s">
        <v>710</v>
      </c>
    </row>
    <row r="263" spans="1:6">
      <c r="A263" s="1">
        <v>45833</v>
      </c>
      <c r="B263" s="7" t="s">
        <v>145</v>
      </c>
      <c r="C263" t="s">
        <v>158</v>
      </c>
      <c r="D263" t="s">
        <v>3</v>
      </c>
      <c r="E263" s="2">
        <v>3.75</v>
      </c>
      <c r="F263" t="s">
        <v>710</v>
      </c>
    </row>
    <row r="264" spans="1:6">
      <c r="A264" s="1">
        <v>45833</v>
      </c>
      <c r="B264" s="7" t="s">
        <v>145</v>
      </c>
      <c r="C264" t="s">
        <v>159</v>
      </c>
      <c r="D264" t="s">
        <v>8</v>
      </c>
      <c r="E264" s="2">
        <v>284491.57000000775</v>
      </c>
      <c r="F264" t="s">
        <v>710</v>
      </c>
    </row>
    <row r="265" spans="1:6">
      <c r="A265" s="1">
        <v>45833</v>
      </c>
      <c r="B265" s="7" t="s">
        <v>145</v>
      </c>
      <c r="C265" t="s">
        <v>159</v>
      </c>
      <c r="D265" t="s">
        <v>3</v>
      </c>
      <c r="E265" s="2">
        <v>50</v>
      </c>
      <c r="F265" t="s">
        <v>710</v>
      </c>
    </row>
    <row r="266" spans="1:6">
      <c r="A266" s="1">
        <v>45833</v>
      </c>
      <c r="B266" s="7" t="s">
        <v>145</v>
      </c>
      <c r="C266" t="s">
        <v>159</v>
      </c>
      <c r="D266" t="s">
        <v>3</v>
      </c>
      <c r="E266" s="2">
        <v>3.75</v>
      </c>
      <c r="F266" t="s">
        <v>710</v>
      </c>
    </row>
    <row r="267" spans="1:6">
      <c r="A267" s="1">
        <v>45833</v>
      </c>
      <c r="B267" s="7" t="s">
        <v>145</v>
      </c>
      <c r="C267" t="s">
        <v>160</v>
      </c>
      <c r="D267" t="s">
        <v>8</v>
      </c>
      <c r="E267" s="2">
        <v>152194.92999999225</v>
      </c>
      <c r="F267" t="s">
        <v>710</v>
      </c>
    </row>
    <row r="268" spans="1:6">
      <c r="A268" s="1">
        <v>45833</v>
      </c>
      <c r="B268" s="7" t="s">
        <v>145</v>
      </c>
      <c r="C268" t="s">
        <v>160</v>
      </c>
      <c r="D268" t="s">
        <v>3</v>
      </c>
      <c r="E268" s="2">
        <v>50</v>
      </c>
      <c r="F268" t="s">
        <v>710</v>
      </c>
    </row>
    <row r="269" spans="1:6">
      <c r="A269" s="1">
        <v>45833</v>
      </c>
      <c r="B269" s="7" t="s">
        <v>145</v>
      </c>
      <c r="C269" t="s">
        <v>160</v>
      </c>
      <c r="D269" t="s">
        <v>3</v>
      </c>
      <c r="E269" s="2">
        <v>3.75</v>
      </c>
      <c r="F269" t="s">
        <v>710</v>
      </c>
    </row>
    <row r="270" spans="1:6">
      <c r="A270" s="1">
        <v>45833</v>
      </c>
      <c r="B270" s="7" t="s">
        <v>145</v>
      </c>
      <c r="C270" t="s">
        <v>161</v>
      </c>
      <c r="D270" t="s">
        <v>8</v>
      </c>
      <c r="E270" s="2">
        <v>284491.57000000775</v>
      </c>
      <c r="F270" t="s">
        <v>710</v>
      </c>
    </row>
    <row r="271" spans="1:6">
      <c r="A271" s="1">
        <v>45833</v>
      </c>
      <c r="B271" s="7" t="s">
        <v>145</v>
      </c>
      <c r="C271" t="s">
        <v>161</v>
      </c>
      <c r="D271" t="s">
        <v>3</v>
      </c>
      <c r="E271" s="2">
        <v>50</v>
      </c>
      <c r="F271" t="s">
        <v>710</v>
      </c>
    </row>
    <row r="272" spans="1:6">
      <c r="A272" s="1">
        <v>45833</v>
      </c>
      <c r="B272" s="7" t="s">
        <v>145</v>
      </c>
      <c r="C272" t="s">
        <v>161</v>
      </c>
      <c r="D272" t="s">
        <v>3</v>
      </c>
      <c r="E272" s="2">
        <v>3.75</v>
      </c>
      <c r="F272" t="s">
        <v>710</v>
      </c>
    </row>
    <row r="273" spans="1:6">
      <c r="A273" s="1">
        <v>45833</v>
      </c>
      <c r="B273" s="7" t="s">
        <v>145</v>
      </c>
      <c r="C273" t="s">
        <v>162</v>
      </c>
      <c r="D273" t="s">
        <v>8</v>
      </c>
      <c r="E273" s="2">
        <v>152194.92999999225</v>
      </c>
      <c r="F273" t="s">
        <v>710</v>
      </c>
    </row>
    <row r="274" spans="1:6">
      <c r="A274" s="1">
        <v>45833</v>
      </c>
      <c r="B274" s="7" t="s">
        <v>145</v>
      </c>
      <c r="C274" t="s">
        <v>162</v>
      </c>
      <c r="D274" t="s">
        <v>3</v>
      </c>
      <c r="E274" s="2">
        <v>50</v>
      </c>
      <c r="F274" t="s">
        <v>710</v>
      </c>
    </row>
    <row r="275" spans="1:6">
      <c r="A275" s="1">
        <v>45833</v>
      </c>
      <c r="B275" s="7" t="s">
        <v>145</v>
      </c>
      <c r="C275" t="s">
        <v>162</v>
      </c>
      <c r="D275" t="s">
        <v>3</v>
      </c>
      <c r="E275" s="2">
        <v>3.75</v>
      </c>
      <c r="F275" t="s">
        <v>710</v>
      </c>
    </row>
    <row r="276" spans="1:6">
      <c r="A276" s="1">
        <v>45833</v>
      </c>
      <c r="B276" s="7" t="s">
        <v>145</v>
      </c>
      <c r="C276" t="s">
        <v>163</v>
      </c>
      <c r="D276" t="s">
        <v>8</v>
      </c>
      <c r="E276" s="2">
        <v>152194.93000000715</v>
      </c>
      <c r="F276" t="s">
        <v>710</v>
      </c>
    </row>
    <row r="277" spans="1:6">
      <c r="A277" s="1">
        <v>45833</v>
      </c>
      <c r="B277" s="7" t="s">
        <v>145</v>
      </c>
      <c r="C277" t="s">
        <v>163</v>
      </c>
      <c r="D277" t="s">
        <v>3</v>
      </c>
      <c r="E277" s="2">
        <v>50</v>
      </c>
      <c r="F277" t="s">
        <v>710</v>
      </c>
    </row>
    <row r="278" spans="1:6">
      <c r="A278" s="1">
        <v>45833</v>
      </c>
      <c r="B278" s="7" t="s">
        <v>145</v>
      </c>
      <c r="C278" t="s">
        <v>163</v>
      </c>
      <c r="D278" t="s">
        <v>3</v>
      </c>
      <c r="E278" s="2">
        <v>3.75</v>
      </c>
      <c r="F278" t="s">
        <v>710</v>
      </c>
    </row>
    <row r="279" spans="1:6">
      <c r="A279" s="1">
        <v>45833</v>
      </c>
      <c r="B279" s="7" t="s">
        <v>145</v>
      </c>
      <c r="C279" t="s">
        <v>164</v>
      </c>
      <c r="D279" t="s">
        <v>8</v>
      </c>
      <c r="E279" s="2">
        <v>75000</v>
      </c>
      <c r="F279" t="s">
        <v>710</v>
      </c>
    </row>
    <row r="280" spans="1:6">
      <c r="A280" s="1">
        <v>45833</v>
      </c>
      <c r="B280" s="7" t="s">
        <v>145</v>
      </c>
      <c r="C280" t="s">
        <v>164</v>
      </c>
      <c r="D280" t="s">
        <v>3</v>
      </c>
      <c r="E280" s="2">
        <v>50</v>
      </c>
      <c r="F280" t="s">
        <v>710</v>
      </c>
    </row>
    <row r="281" spans="1:6">
      <c r="A281" s="1">
        <v>45833</v>
      </c>
      <c r="B281" s="7" t="s">
        <v>145</v>
      </c>
      <c r="C281" t="s">
        <v>164</v>
      </c>
      <c r="D281" t="s">
        <v>3</v>
      </c>
      <c r="E281" s="2">
        <v>3.75</v>
      </c>
      <c r="F281" t="s">
        <v>710</v>
      </c>
    </row>
    <row r="282" spans="1:6">
      <c r="A282" s="1">
        <v>45833</v>
      </c>
      <c r="B282" s="7" t="s">
        <v>145</v>
      </c>
      <c r="C282" t="s">
        <v>165</v>
      </c>
      <c r="D282" t="s">
        <v>8</v>
      </c>
      <c r="E282" s="2">
        <v>75000</v>
      </c>
      <c r="F282" t="s">
        <v>710</v>
      </c>
    </row>
    <row r="283" spans="1:6">
      <c r="A283" s="1">
        <v>45833</v>
      </c>
      <c r="B283" s="7" t="s">
        <v>145</v>
      </c>
      <c r="C283" t="s">
        <v>165</v>
      </c>
      <c r="D283" t="s">
        <v>3</v>
      </c>
      <c r="E283" s="2">
        <v>50</v>
      </c>
      <c r="F283" t="s">
        <v>710</v>
      </c>
    </row>
    <row r="284" spans="1:6">
      <c r="A284" s="1">
        <v>45833</v>
      </c>
      <c r="B284" s="7" t="s">
        <v>145</v>
      </c>
      <c r="C284" t="s">
        <v>165</v>
      </c>
      <c r="D284" t="s">
        <v>3</v>
      </c>
      <c r="E284" s="2">
        <v>3.75</v>
      </c>
      <c r="F284" t="s">
        <v>710</v>
      </c>
    </row>
    <row r="285" spans="1:6">
      <c r="A285" s="1">
        <v>45833</v>
      </c>
      <c r="B285" s="7" t="s">
        <v>145</v>
      </c>
      <c r="C285" t="s">
        <v>166</v>
      </c>
      <c r="D285" t="s">
        <v>8</v>
      </c>
      <c r="E285" s="2">
        <v>75000</v>
      </c>
      <c r="F285" t="s">
        <v>710</v>
      </c>
    </row>
    <row r="286" spans="1:6">
      <c r="A286" s="1">
        <v>45833</v>
      </c>
      <c r="B286" s="7" t="s">
        <v>145</v>
      </c>
      <c r="C286" t="s">
        <v>166</v>
      </c>
      <c r="D286" t="s">
        <v>3</v>
      </c>
      <c r="E286" s="2">
        <v>50</v>
      </c>
      <c r="F286" t="s">
        <v>710</v>
      </c>
    </row>
    <row r="287" spans="1:6">
      <c r="A287" s="1">
        <v>45833</v>
      </c>
      <c r="B287" s="7" t="s">
        <v>145</v>
      </c>
      <c r="C287" t="s">
        <v>166</v>
      </c>
      <c r="D287" t="s">
        <v>3</v>
      </c>
      <c r="E287" s="2">
        <v>3.75</v>
      </c>
      <c r="F287" t="s">
        <v>710</v>
      </c>
    </row>
    <row r="288" spans="1:6">
      <c r="A288" s="1">
        <v>45833</v>
      </c>
      <c r="B288" s="7" t="s">
        <v>145</v>
      </c>
      <c r="C288" t="s">
        <v>167</v>
      </c>
      <c r="D288" t="s">
        <v>8</v>
      </c>
      <c r="E288" s="2">
        <v>66000</v>
      </c>
      <c r="F288" t="s">
        <v>710</v>
      </c>
    </row>
    <row r="289" spans="1:6">
      <c r="A289" s="1">
        <v>45833</v>
      </c>
      <c r="B289" s="7" t="s">
        <v>145</v>
      </c>
      <c r="C289" t="s">
        <v>167</v>
      </c>
      <c r="D289" t="s">
        <v>3</v>
      </c>
      <c r="E289" s="2">
        <v>50</v>
      </c>
      <c r="F289" t="s">
        <v>710</v>
      </c>
    </row>
    <row r="290" spans="1:6">
      <c r="A290" s="1">
        <v>45833</v>
      </c>
      <c r="B290" s="7" t="s">
        <v>145</v>
      </c>
      <c r="C290" t="s">
        <v>167</v>
      </c>
      <c r="D290" t="s">
        <v>3</v>
      </c>
      <c r="E290" s="2">
        <v>3.75</v>
      </c>
      <c r="F290" t="s">
        <v>710</v>
      </c>
    </row>
    <row r="291" spans="1:6">
      <c r="A291" s="1">
        <v>45833</v>
      </c>
      <c r="B291" s="7" t="s">
        <v>145</v>
      </c>
      <c r="C291" t="s">
        <v>168</v>
      </c>
      <c r="D291" t="s">
        <v>8</v>
      </c>
      <c r="E291" s="2">
        <v>66000</v>
      </c>
      <c r="F291" t="s">
        <v>710</v>
      </c>
    </row>
    <row r="292" spans="1:6">
      <c r="A292" s="1">
        <v>45833</v>
      </c>
      <c r="B292" s="7" t="s">
        <v>145</v>
      </c>
      <c r="C292" t="s">
        <v>168</v>
      </c>
      <c r="D292" t="s">
        <v>3</v>
      </c>
      <c r="E292" s="2">
        <v>50</v>
      </c>
      <c r="F292" t="s">
        <v>710</v>
      </c>
    </row>
    <row r="293" spans="1:6">
      <c r="A293" s="1">
        <v>45833</v>
      </c>
      <c r="B293" s="7" t="s">
        <v>145</v>
      </c>
      <c r="C293" t="s">
        <v>168</v>
      </c>
      <c r="D293" t="s">
        <v>3</v>
      </c>
      <c r="E293" s="2">
        <v>3.75</v>
      </c>
      <c r="F293" t="s">
        <v>710</v>
      </c>
    </row>
    <row r="294" spans="1:6">
      <c r="A294" s="1">
        <v>45833</v>
      </c>
      <c r="B294" s="7" t="s">
        <v>145</v>
      </c>
      <c r="C294" t="s">
        <v>169</v>
      </c>
      <c r="D294" t="s">
        <v>8</v>
      </c>
      <c r="E294" s="2">
        <v>66000</v>
      </c>
      <c r="F294" t="s">
        <v>710</v>
      </c>
    </row>
    <row r="295" spans="1:6">
      <c r="A295" s="1">
        <v>45833</v>
      </c>
      <c r="B295" s="7" t="s">
        <v>145</v>
      </c>
      <c r="C295" t="s">
        <v>169</v>
      </c>
      <c r="D295" t="s">
        <v>3</v>
      </c>
      <c r="E295" s="2">
        <v>50</v>
      </c>
      <c r="F295" t="s">
        <v>710</v>
      </c>
    </row>
    <row r="296" spans="1:6">
      <c r="A296" s="1">
        <v>45833</v>
      </c>
      <c r="B296" s="7" t="s">
        <v>145</v>
      </c>
      <c r="C296" t="s">
        <v>169</v>
      </c>
      <c r="D296" t="s">
        <v>3</v>
      </c>
      <c r="E296" s="2">
        <v>3.75</v>
      </c>
      <c r="F296" t="s">
        <v>710</v>
      </c>
    </row>
    <row r="297" spans="1:6">
      <c r="A297" s="1">
        <v>45833</v>
      </c>
      <c r="B297" s="7" t="s">
        <v>145</v>
      </c>
      <c r="C297" t="s">
        <v>170</v>
      </c>
      <c r="D297" t="s">
        <v>8</v>
      </c>
      <c r="E297" s="2">
        <v>66000</v>
      </c>
      <c r="F297" t="s">
        <v>710</v>
      </c>
    </row>
    <row r="298" spans="1:6">
      <c r="A298" s="1">
        <v>45833</v>
      </c>
      <c r="B298" s="7" t="s">
        <v>145</v>
      </c>
      <c r="C298" t="s">
        <v>170</v>
      </c>
      <c r="D298" t="s">
        <v>3</v>
      </c>
      <c r="E298" s="2">
        <v>50</v>
      </c>
      <c r="F298" t="s">
        <v>710</v>
      </c>
    </row>
    <row r="299" spans="1:6">
      <c r="A299" s="1">
        <v>45833</v>
      </c>
      <c r="B299" s="7" t="s">
        <v>145</v>
      </c>
      <c r="C299" t="s">
        <v>170</v>
      </c>
      <c r="D299" t="s">
        <v>3</v>
      </c>
      <c r="E299" s="2">
        <v>3.75</v>
      </c>
      <c r="F299" t="s">
        <v>710</v>
      </c>
    </row>
    <row r="300" spans="1:6">
      <c r="A300" s="1">
        <v>45833</v>
      </c>
      <c r="B300" s="7" t="s">
        <v>145</v>
      </c>
      <c r="C300" t="s">
        <v>171</v>
      </c>
      <c r="D300" t="s">
        <v>8</v>
      </c>
      <c r="E300" s="2">
        <v>66000</v>
      </c>
      <c r="F300" t="s">
        <v>710</v>
      </c>
    </row>
    <row r="301" spans="1:6">
      <c r="A301" s="1">
        <v>45833</v>
      </c>
      <c r="B301" s="7" t="s">
        <v>145</v>
      </c>
      <c r="C301" t="s">
        <v>171</v>
      </c>
      <c r="D301" t="s">
        <v>3</v>
      </c>
      <c r="E301" s="2">
        <v>50</v>
      </c>
      <c r="F301" t="s">
        <v>710</v>
      </c>
    </row>
    <row r="302" spans="1:6">
      <c r="A302" s="1">
        <v>45833</v>
      </c>
      <c r="B302" s="7" t="s">
        <v>145</v>
      </c>
      <c r="C302" t="s">
        <v>171</v>
      </c>
      <c r="D302" t="s">
        <v>3</v>
      </c>
      <c r="E302" s="2">
        <v>3.75</v>
      </c>
      <c r="F302" t="s">
        <v>710</v>
      </c>
    </row>
    <row r="303" spans="1:6">
      <c r="A303" s="1">
        <v>45833</v>
      </c>
      <c r="B303" s="7" t="s">
        <v>145</v>
      </c>
      <c r="C303" t="s">
        <v>172</v>
      </c>
      <c r="D303" t="s">
        <v>8</v>
      </c>
      <c r="E303" s="2">
        <v>66000</v>
      </c>
      <c r="F303" t="s">
        <v>710</v>
      </c>
    </row>
    <row r="304" spans="1:6">
      <c r="A304" s="1">
        <v>45833</v>
      </c>
      <c r="B304" s="7" t="s">
        <v>145</v>
      </c>
      <c r="C304" t="s">
        <v>172</v>
      </c>
      <c r="D304" t="s">
        <v>3</v>
      </c>
      <c r="E304" s="2">
        <v>50</v>
      </c>
      <c r="F304" t="s">
        <v>710</v>
      </c>
    </row>
    <row r="305" spans="1:6">
      <c r="A305" s="1">
        <v>45833</v>
      </c>
      <c r="B305" s="7" t="s">
        <v>145</v>
      </c>
      <c r="C305" t="s">
        <v>172</v>
      </c>
      <c r="D305" t="s">
        <v>3</v>
      </c>
      <c r="E305" s="2">
        <v>3.75</v>
      </c>
      <c r="F305" t="s">
        <v>710</v>
      </c>
    </row>
    <row r="306" spans="1:6">
      <c r="A306" s="1">
        <v>45833</v>
      </c>
      <c r="B306" s="7" t="s">
        <v>145</v>
      </c>
      <c r="C306" t="s">
        <v>172</v>
      </c>
      <c r="D306" t="s">
        <v>8</v>
      </c>
      <c r="E306" s="2">
        <v>-66000</v>
      </c>
      <c r="F306" t="s">
        <v>710</v>
      </c>
    </row>
    <row r="307" spans="1:6">
      <c r="A307" s="1">
        <v>45833</v>
      </c>
      <c r="B307" s="7" t="s">
        <v>145</v>
      </c>
      <c r="C307" t="s">
        <v>172</v>
      </c>
      <c r="D307" t="s">
        <v>3</v>
      </c>
      <c r="E307" s="2">
        <v>-50</v>
      </c>
      <c r="F307" t="s">
        <v>710</v>
      </c>
    </row>
    <row r="308" spans="1:6">
      <c r="A308" s="1">
        <v>45833</v>
      </c>
      <c r="B308" s="7" t="s">
        <v>145</v>
      </c>
      <c r="C308" t="s">
        <v>172</v>
      </c>
      <c r="D308" t="s">
        <v>3</v>
      </c>
      <c r="E308" s="2">
        <v>-3.75</v>
      </c>
      <c r="F308" t="s">
        <v>710</v>
      </c>
    </row>
    <row r="309" spans="1:6">
      <c r="A309" s="1">
        <v>45835</v>
      </c>
      <c r="B309" s="7" t="s">
        <v>173</v>
      </c>
      <c r="C309" t="s">
        <v>174</v>
      </c>
      <c r="D309" t="s">
        <v>5</v>
      </c>
      <c r="E309" s="2">
        <v>20161.25</v>
      </c>
      <c r="F309" t="s">
        <v>710</v>
      </c>
    </row>
    <row r="310" spans="1:6">
      <c r="A310" s="1">
        <v>45835</v>
      </c>
      <c r="B310" s="7" t="s">
        <v>173</v>
      </c>
      <c r="C310" t="s">
        <v>174</v>
      </c>
      <c r="D310" t="s">
        <v>3</v>
      </c>
      <c r="E310" s="2">
        <v>25</v>
      </c>
      <c r="F310" t="s">
        <v>710</v>
      </c>
    </row>
    <row r="311" spans="1:6">
      <c r="A311" s="1">
        <v>45835</v>
      </c>
      <c r="B311" s="7" t="s">
        <v>173</v>
      </c>
      <c r="C311" t="s">
        <v>174</v>
      </c>
      <c r="D311" t="s">
        <v>3</v>
      </c>
      <c r="E311" s="2">
        <v>1.8799999952316284</v>
      </c>
      <c r="F311" t="s">
        <v>710</v>
      </c>
    </row>
    <row r="312" spans="1:6">
      <c r="A312" s="1">
        <v>45835</v>
      </c>
      <c r="B312" s="7" t="s">
        <v>173</v>
      </c>
      <c r="C312" t="s">
        <v>175</v>
      </c>
      <c r="D312" t="s">
        <v>4</v>
      </c>
      <c r="E312" s="2">
        <v>66000</v>
      </c>
      <c r="F312" t="s">
        <v>710</v>
      </c>
    </row>
    <row r="313" spans="1:6">
      <c r="A313" s="1">
        <v>45835</v>
      </c>
      <c r="B313" s="7" t="s">
        <v>173</v>
      </c>
      <c r="C313" t="s">
        <v>175</v>
      </c>
      <c r="D313" t="s">
        <v>3</v>
      </c>
      <c r="E313" s="2">
        <v>50</v>
      </c>
      <c r="F313" t="s">
        <v>710</v>
      </c>
    </row>
    <row r="314" spans="1:6">
      <c r="A314" s="1">
        <v>45835</v>
      </c>
      <c r="B314" s="7" t="s">
        <v>173</v>
      </c>
      <c r="C314" t="s">
        <v>175</v>
      </c>
      <c r="D314" t="s">
        <v>3</v>
      </c>
      <c r="E314" s="2">
        <v>3.75</v>
      </c>
      <c r="F314" t="s">
        <v>710</v>
      </c>
    </row>
    <row r="315" spans="1:6">
      <c r="A315" s="1">
        <v>45835</v>
      </c>
      <c r="B315" s="7" t="s">
        <v>173</v>
      </c>
      <c r="C315" t="s">
        <v>176</v>
      </c>
      <c r="D315" t="s">
        <v>4</v>
      </c>
      <c r="E315" s="2">
        <v>66000</v>
      </c>
      <c r="F315" t="s">
        <v>710</v>
      </c>
    </row>
    <row r="316" spans="1:6">
      <c r="A316" s="1">
        <v>45835</v>
      </c>
      <c r="B316" s="7" t="s">
        <v>173</v>
      </c>
      <c r="C316" t="s">
        <v>176</v>
      </c>
      <c r="D316" t="s">
        <v>3</v>
      </c>
      <c r="E316" s="2">
        <v>50</v>
      </c>
      <c r="F316" t="s">
        <v>710</v>
      </c>
    </row>
    <row r="317" spans="1:6">
      <c r="A317" s="1">
        <v>45835</v>
      </c>
      <c r="B317" s="7" t="s">
        <v>173</v>
      </c>
      <c r="C317" t="s">
        <v>176</v>
      </c>
      <c r="D317" t="s">
        <v>3</v>
      </c>
      <c r="E317" s="2">
        <v>3.75</v>
      </c>
      <c r="F317" t="s">
        <v>710</v>
      </c>
    </row>
    <row r="318" spans="1:6">
      <c r="A318" s="1">
        <v>45835</v>
      </c>
      <c r="B318" s="7" t="s">
        <v>173</v>
      </c>
      <c r="C318" t="s">
        <v>177</v>
      </c>
      <c r="D318" t="s">
        <v>22</v>
      </c>
      <c r="E318" s="2">
        <v>619300</v>
      </c>
      <c r="F318" t="s">
        <v>710</v>
      </c>
    </row>
    <row r="319" spans="1:6">
      <c r="A319" s="1">
        <v>45835</v>
      </c>
      <c r="B319" s="7" t="s">
        <v>173</v>
      </c>
      <c r="C319" t="s">
        <v>177</v>
      </c>
      <c r="D319" t="s">
        <v>3</v>
      </c>
      <c r="E319" s="2">
        <v>50</v>
      </c>
      <c r="F319" t="s">
        <v>710</v>
      </c>
    </row>
    <row r="320" spans="1:6">
      <c r="A320" s="1">
        <v>45835</v>
      </c>
      <c r="B320" s="7" t="s">
        <v>173</v>
      </c>
      <c r="C320" t="s">
        <v>177</v>
      </c>
      <c r="D320" t="s">
        <v>3</v>
      </c>
      <c r="E320" s="2">
        <v>3.75</v>
      </c>
      <c r="F320" t="s">
        <v>710</v>
      </c>
    </row>
    <row r="321" spans="1:6">
      <c r="A321" s="1">
        <v>45835</v>
      </c>
      <c r="B321" s="7" t="s">
        <v>173</v>
      </c>
      <c r="C321" t="s">
        <v>178</v>
      </c>
      <c r="D321" t="s">
        <v>15</v>
      </c>
      <c r="E321" s="2">
        <v>17000</v>
      </c>
      <c r="F321" t="s">
        <v>710</v>
      </c>
    </row>
    <row r="322" spans="1:6">
      <c r="A322" s="1">
        <v>45835</v>
      </c>
      <c r="B322" s="7" t="s">
        <v>173</v>
      </c>
      <c r="C322" t="s">
        <v>178</v>
      </c>
      <c r="D322" t="s">
        <v>3</v>
      </c>
      <c r="E322" s="2">
        <v>25</v>
      </c>
      <c r="F322" t="s">
        <v>710</v>
      </c>
    </row>
    <row r="323" spans="1:6">
      <c r="A323" s="1">
        <v>45835</v>
      </c>
      <c r="B323" s="7" t="s">
        <v>173</v>
      </c>
      <c r="C323" t="s">
        <v>178</v>
      </c>
      <c r="D323" t="s">
        <v>3</v>
      </c>
      <c r="E323" s="2">
        <v>1.8799999952316284</v>
      </c>
      <c r="F323" t="s">
        <v>710</v>
      </c>
    </row>
    <row r="324" spans="1:6">
      <c r="A324" s="1">
        <v>45835</v>
      </c>
      <c r="B324" s="7" t="s">
        <v>173</v>
      </c>
      <c r="C324" t="s">
        <v>179</v>
      </c>
      <c r="D324" t="s">
        <v>16</v>
      </c>
      <c r="E324" s="2">
        <v>250000</v>
      </c>
      <c r="F324" t="s">
        <v>710</v>
      </c>
    </row>
    <row r="325" spans="1:6">
      <c r="A325" s="1">
        <v>45835</v>
      </c>
      <c r="B325" s="7" t="s">
        <v>173</v>
      </c>
      <c r="C325" t="s">
        <v>179</v>
      </c>
      <c r="D325" t="s">
        <v>3</v>
      </c>
      <c r="E325" s="2">
        <v>50</v>
      </c>
      <c r="F325" t="s">
        <v>710</v>
      </c>
    </row>
    <row r="326" spans="1:6">
      <c r="A326" s="1">
        <v>45835</v>
      </c>
      <c r="B326" s="7" t="s">
        <v>173</v>
      </c>
      <c r="C326" t="s">
        <v>179</v>
      </c>
      <c r="D326" t="s">
        <v>3</v>
      </c>
      <c r="E326" s="2">
        <v>3.75</v>
      </c>
      <c r="F326" t="s">
        <v>710</v>
      </c>
    </row>
    <row r="327" spans="1:6">
      <c r="A327" s="1">
        <v>45835</v>
      </c>
      <c r="B327" s="7" t="s">
        <v>173</v>
      </c>
      <c r="C327" t="s">
        <v>180</v>
      </c>
      <c r="D327" t="s">
        <v>4</v>
      </c>
      <c r="E327" s="2">
        <v>32500</v>
      </c>
      <c r="F327" t="s">
        <v>710</v>
      </c>
    </row>
    <row r="328" spans="1:6">
      <c r="A328" s="1">
        <v>45835</v>
      </c>
      <c r="B328" s="7" t="s">
        <v>173</v>
      </c>
      <c r="C328" t="s">
        <v>180</v>
      </c>
      <c r="D328" t="s">
        <v>3</v>
      </c>
      <c r="E328" s="2">
        <v>25</v>
      </c>
      <c r="F328" t="s">
        <v>710</v>
      </c>
    </row>
    <row r="329" spans="1:6">
      <c r="A329" s="1">
        <v>45835</v>
      </c>
      <c r="B329" s="7" t="s">
        <v>173</v>
      </c>
      <c r="C329" t="s">
        <v>180</v>
      </c>
      <c r="D329" t="s">
        <v>3</v>
      </c>
      <c r="E329" s="2">
        <v>1.8800000101327896</v>
      </c>
      <c r="F329" t="s">
        <v>710</v>
      </c>
    </row>
    <row r="330" spans="1:6">
      <c r="A330" s="1">
        <v>45838</v>
      </c>
      <c r="B330" s="7" t="s">
        <v>181</v>
      </c>
      <c r="C330" t="s">
        <v>182</v>
      </c>
      <c r="D330" t="s">
        <v>13</v>
      </c>
      <c r="E330" s="2">
        <v>550000</v>
      </c>
      <c r="F330" t="s">
        <v>710</v>
      </c>
    </row>
    <row r="331" spans="1:6">
      <c r="A331" s="1">
        <v>45838</v>
      </c>
      <c r="B331" s="7" t="s">
        <v>181</v>
      </c>
      <c r="C331" t="s">
        <v>182</v>
      </c>
      <c r="D331" t="s">
        <v>3</v>
      </c>
      <c r="E331" s="2">
        <v>50</v>
      </c>
      <c r="F331" t="s">
        <v>710</v>
      </c>
    </row>
    <row r="332" spans="1:6">
      <c r="A332" s="1">
        <v>45838</v>
      </c>
      <c r="B332" s="7" t="s">
        <v>181</v>
      </c>
      <c r="C332" t="s">
        <v>182</v>
      </c>
      <c r="D332" t="s">
        <v>3</v>
      </c>
      <c r="E332" s="2">
        <v>3.75</v>
      </c>
      <c r="F332" t="s">
        <v>710</v>
      </c>
    </row>
    <row r="333" spans="1:6">
      <c r="A333" s="1">
        <v>45838</v>
      </c>
      <c r="B333" s="7" t="s">
        <v>181</v>
      </c>
      <c r="C333" t="s">
        <v>183</v>
      </c>
      <c r="D333" t="s">
        <v>13</v>
      </c>
      <c r="E333" s="2">
        <v>15000</v>
      </c>
      <c r="F333" t="s">
        <v>710</v>
      </c>
    </row>
    <row r="334" spans="1:6">
      <c r="A334" s="1">
        <v>45838</v>
      </c>
      <c r="B334" s="7" t="s">
        <v>181</v>
      </c>
      <c r="C334" t="s">
        <v>183</v>
      </c>
      <c r="D334" t="s">
        <v>3</v>
      </c>
      <c r="E334" s="2">
        <v>25</v>
      </c>
      <c r="F334" t="s">
        <v>710</v>
      </c>
    </row>
    <row r="335" spans="1:6">
      <c r="A335" s="1">
        <v>45838</v>
      </c>
      <c r="B335" s="7" t="s">
        <v>181</v>
      </c>
      <c r="C335" t="s">
        <v>183</v>
      </c>
      <c r="D335" t="s">
        <v>3</v>
      </c>
      <c r="E335" s="2">
        <v>1.8799999952316284</v>
      </c>
      <c r="F335" t="s">
        <v>710</v>
      </c>
    </row>
    <row r="336" spans="1:6">
      <c r="A336" s="1">
        <v>45838</v>
      </c>
      <c r="B336" s="7" t="s">
        <v>181</v>
      </c>
      <c r="C336" t="s">
        <v>184</v>
      </c>
      <c r="D336" t="s">
        <v>23</v>
      </c>
      <c r="E336" s="2">
        <v>370000</v>
      </c>
      <c r="F336" t="s">
        <v>710</v>
      </c>
    </row>
    <row r="337" spans="1:6">
      <c r="A337" s="1">
        <v>45838</v>
      </c>
      <c r="B337" s="7" t="s">
        <v>181</v>
      </c>
      <c r="C337" t="s">
        <v>184</v>
      </c>
      <c r="D337" t="s">
        <v>3</v>
      </c>
      <c r="E337" s="2">
        <v>50</v>
      </c>
      <c r="F337" t="s">
        <v>710</v>
      </c>
    </row>
    <row r="338" spans="1:6">
      <c r="A338" s="1">
        <v>45838</v>
      </c>
      <c r="B338" s="7" t="s">
        <v>181</v>
      </c>
      <c r="C338" t="s">
        <v>184</v>
      </c>
      <c r="D338" t="s">
        <v>3</v>
      </c>
      <c r="E338" s="2">
        <v>3.75</v>
      </c>
      <c r="F338" t="s">
        <v>710</v>
      </c>
    </row>
    <row r="339" spans="1:6">
      <c r="A339" s="1">
        <v>45838</v>
      </c>
      <c r="B339" s="7" t="s">
        <v>181</v>
      </c>
      <c r="C339" t="s">
        <v>185</v>
      </c>
      <c r="D339" t="s">
        <v>8</v>
      </c>
      <c r="E339" s="2">
        <v>119811.25</v>
      </c>
      <c r="F339" t="s">
        <v>710</v>
      </c>
    </row>
    <row r="340" spans="1:6">
      <c r="A340" s="1">
        <v>45838</v>
      </c>
      <c r="B340" s="7" t="s">
        <v>181</v>
      </c>
      <c r="C340" t="s">
        <v>185</v>
      </c>
      <c r="D340" t="s">
        <v>3</v>
      </c>
      <c r="E340" s="2">
        <v>50</v>
      </c>
      <c r="F340" t="s">
        <v>710</v>
      </c>
    </row>
    <row r="341" spans="1:6">
      <c r="A341" s="1">
        <v>45838</v>
      </c>
      <c r="B341" s="7" t="s">
        <v>181</v>
      </c>
      <c r="C341" t="s">
        <v>185</v>
      </c>
      <c r="D341" t="s">
        <v>3</v>
      </c>
      <c r="E341" s="2">
        <v>3.75</v>
      </c>
      <c r="F341" t="s">
        <v>710</v>
      </c>
    </row>
    <row r="342" spans="1:6">
      <c r="A342" s="1">
        <v>45838</v>
      </c>
      <c r="B342" s="7" t="s">
        <v>181</v>
      </c>
      <c r="C342" t="s">
        <v>186</v>
      </c>
      <c r="D342" t="s">
        <v>3</v>
      </c>
      <c r="E342" s="2">
        <v>200</v>
      </c>
      <c r="F342" t="s">
        <v>710</v>
      </c>
    </row>
    <row r="343" spans="1:6">
      <c r="A343" s="1">
        <v>45838</v>
      </c>
      <c r="B343" s="7" t="s">
        <v>181</v>
      </c>
      <c r="C343" t="s">
        <v>187</v>
      </c>
      <c r="D343" t="s">
        <v>3</v>
      </c>
      <c r="E343" s="2">
        <v>15</v>
      </c>
      <c r="F343" t="s">
        <v>710</v>
      </c>
    </row>
    <row r="344" spans="1:6">
      <c r="A344" s="1">
        <v>45838</v>
      </c>
      <c r="B344" s="7" t="s">
        <v>181</v>
      </c>
      <c r="C344" t="s">
        <v>188</v>
      </c>
      <c r="D344" t="s">
        <v>24</v>
      </c>
      <c r="E344" s="2">
        <v>100000</v>
      </c>
      <c r="F344" t="s">
        <v>710</v>
      </c>
    </row>
    <row r="345" spans="1:6">
      <c r="A345" s="1">
        <v>45838</v>
      </c>
      <c r="B345" s="7" t="s">
        <v>181</v>
      </c>
      <c r="C345" t="s">
        <v>188</v>
      </c>
      <c r="D345" t="s">
        <v>3</v>
      </c>
      <c r="E345" s="2">
        <v>50</v>
      </c>
      <c r="F345" t="s">
        <v>710</v>
      </c>
    </row>
    <row r="346" spans="1:6">
      <c r="A346" s="1">
        <v>45838</v>
      </c>
      <c r="B346" s="7" t="s">
        <v>181</v>
      </c>
      <c r="C346" t="s">
        <v>188</v>
      </c>
      <c r="D346" t="s">
        <v>3</v>
      </c>
      <c r="E346" s="2">
        <v>3.75</v>
      </c>
      <c r="F346" t="s">
        <v>710</v>
      </c>
    </row>
    <row r="347" spans="1:6">
      <c r="A347" s="1">
        <v>45838</v>
      </c>
      <c r="B347" s="7" t="s">
        <v>181</v>
      </c>
      <c r="C347" t="s">
        <v>25</v>
      </c>
      <c r="D347" t="s">
        <v>19</v>
      </c>
      <c r="E347" s="2">
        <v>1357550</v>
      </c>
      <c r="F347" t="s">
        <v>710</v>
      </c>
    </row>
    <row r="348" spans="1:6">
      <c r="A348" s="1">
        <v>45838</v>
      </c>
      <c r="B348" s="7" t="s">
        <v>181</v>
      </c>
      <c r="C348" t="s">
        <v>25</v>
      </c>
      <c r="D348" t="s">
        <v>3</v>
      </c>
      <c r="E348" s="2">
        <v>50</v>
      </c>
      <c r="F348" t="s">
        <v>710</v>
      </c>
    </row>
    <row r="349" spans="1:6">
      <c r="A349" s="1">
        <v>45838</v>
      </c>
      <c r="B349" s="7" t="s">
        <v>181</v>
      </c>
      <c r="C349" t="s">
        <v>25</v>
      </c>
      <c r="D349" t="s">
        <v>3</v>
      </c>
      <c r="E349" s="2">
        <v>3.75</v>
      </c>
      <c r="F349" t="s">
        <v>710</v>
      </c>
    </row>
    <row r="350" spans="1:6">
      <c r="A350" s="1">
        <v>45838</v>
      </c>
      <c r="B350" s="7" t="s">
        <v>181</v>
      </c>
      <c r="C350" t="s">
        <v>189</v>
      </c>
      <c r="D350" t="s">
        <v>26</v>
      </c>
      <c r="E350" s="2">
        <v>832000</v>
      </c>
      <c r="F350" t="s">
        <v>710</v>
      </c>
    </row>
    <row r="351" spans="1:6">
      <c r="A351" s="1">
        <v>45838</v>
      </c>
      <c r="B351" s="7" t="s">
        <v>181</v>
      </c>
      <c r="C351" t="s">
        <v>189</v>
      </c>
      <c r="D351" t="s">
        <v>3</v>
      </c>
      <c r="E351" s="2">
        <v>50</v>
      </c>
      <c r="F351" t="s">
        <v>710</v>
      </c>
    </row>
    <row r="352" spans="1:6">
      <c r="A352" s="1">
        <v>45838</v>
      </c>
      <c r="B352" s="7" t="s">
        <v>181</v>
      </c>
      <c r="C352" t="s">
        <v>189</v>
      </c>
      <c r="D352" t="s">
        <v>3</v>
      </c>
      <c r="E352" s="2">
        <v>3.75</v>
      </c>
      <c r="F352" t="s">
        <v>710</v>
      </c>
    </row>
    <row r="353" spans="1:7">
      <c r="A353" s="1">
        <v>45838</v>
      </c>
      <c r="B353" s="7" t="s">
        <v>181</v>
      </c>
      <c r="C353" t="s">
        <v>190</v>
      </c>
      <c r="D353" t="s">
        <v>3</v>
      </c>
      <c r="E353" s="2">
        <v>45154.25</v>
      </c>
      <c r="F353" t="s">
        <v>710</v>
      </c>
    </row>
    <row r="354" spans="1:7">
      <c r="A354" s="1">
        <v>45838</v>
      </c>
      <c r="B354" s="7" t="s">
        <v>181</v>
      </c>
      <c r="C354" t="s">
        <v>191</v>
      </c>
      <c r="D354" t="s">
        <v>3</v>
      </c>
      <c r="E354" s="2">
        <v>3386.6800000071526</v>
      </c>
      <c r="F354" t="s">
        <v>710</v>
      </c>
      <c r="G354" t="s">
        <v>716</v>
      </c>
    </row>
    <row r="355" spans="1:7">
      <c r="A355" s="8">
        <v>45838</v>
      </c>
      <c r="B355" s="9" t="s">
        <v>181</v>
      </c>
      <c r="C355" s="10" t="s">
        <v>715</v>
      </c>
      <c r="D355" s="10" t="s">
        <v>714</v>
      </c>
      <c r="E355" s="11">
        <f>-SUM(E17:E354)</f>
        <v>101330337.19999997</v>
      </c>
      <c r="F355" t="s">
        <v>710</v>
      </c>
      <c r="G355" t="s">
        <v>709</v>
      </c>
    </row>
    <row r="356" spans="1:7">
      <c r="A356" s="1">
        <v>45839</v>
      </c>
      <c r="B356" s="7" t="s">
        <v>192</v>
      </c>
      <c r="C356" t="s">
        <v>193</v>
      </c>
      <c r="D356" t="s">
        <v>6</v>
      </c>
      <c r="E356" s="2">
        <v>650000</v>
      </c>
      <c r="F356" t="s">
        <v>710</v>
      </c>
    </row>
    <row r="357" spans="1:7">
      <c r="A357" s="1">
        <v>45839</v>
      </c>
      <c r="B357" s="7" t="s">
        <v>192</v>
      </c>
      <c r="C357" t="s">
        <v>193</v>
      </c>
      <c r="D357" t="s">
        <v>3</v>
      </c>
      <c r="E357" s="2">
        <v>50</v>
      </c>
      <c r="F357" t="s">
        <v>710</v>
      </c>
    </row>
    <row r="358" spans="1:7">
      <c r="A358" s="1">
        <v>45839</v>
      </c>
      <c r="B358" s="7" t="s">
        <v>192</v>
      </c>
      <c r="C358" t="s">
        <v>193</v>
      </c>
      <c r="D358" t="s">
        <v>3</v>
      </c>
      <c r="E358" s="2">
        <v>3.75</v>
      </c>
      <c r="F358" t="s">
        <v>710</v>
      </c>
    </row>
    <row r="359" spans="1:7">
      <c r="A359" s="1">
        <v>45840</v>
      </c>
      <c r="B359" s="7" t="s">
        <v>194</v>
      </c>
      <c r="C359" t="s">
        <v>195</v>
      </c>
      <c r="D359" t="s">
        <v>15</v>
      </c>
      <c r="E359" s="2">
        <v>190200</v>
      </c>
      <c r="F359" t="s">
        <v>710</v>
      </c>
    </row>
    <row r="360" spans="1:7">
      <c r="A360" s="1">
        <v>45840</v>
      </c>
      <c r="B360" s="7" t="s">
        <v>194</v>
      </c>
      <c r="C360" t="s">
        <v>195</v>
      </c>
      <c r="D360" t="s">
        <v>3</v>
      </c>
      <c r="E360" s="2">
        <v>50</v>
      </c>
      <c r="F360" t="s">
        <v>710</v>
      </c>
    </row>
    <row r="361" spans="1:7">
      <c r="A361" s="1">
        <v>45840</v>
      </c>
      <c r="B361" s="7" t="s">
        <v>194</v>
      </c>
      <c r="C361" t="s">
        <v>195</v>
      </c>
      <c r="D361" t="s">
        <v>3</v>
      </c>
      <c r="E361" s="2">
        <v>3.75</v>
      </c>
      <c r="F361" t="s">
        <v>710</v>
      </c>
    </row>
    <row r="362" spans="1:7">
      <c r="A362" s="1">
        <v>45841</v>
      </c>
      <c r="B362" s="7" t="s">
        <v>196</v>
      </c>
      <c r="C362" t="s">
        <v>197</v>
      </c>
      <c r="D362" t="s">
        <v>15</v>
      </c>
      <c r="E362" s="2">
        <v>37500</v>
      </c>
      <c r="F362" t="s">
        <v>710</v>
      </c>
    </row>
    <row r="363" spans="1:7">
      <c r="A363" s="1">
        <v>45841</v>
      </c>
      <c r="B363" s="7" t="s">
        <v>196</v>
      </c>
      <c r="C363" t="s">
        <v>197</v>
      </c>
      <c r="D363" t="s">
        <v>3</v>
      </c>
      <c r="E363" s="2">
        <v>25</v>
      </c>
      <c r="F363" t="s">
        <v>710</v>
      </c>
    </row>
    <row r="364" spans="1:7">
      <c r="A364" s="1">
        <v>45841</v>
      </c>
      <c r="B364" s="7" t="s">
        <v>196</v>
      </c>
      <c r="C364" t="s">
        <v>197</v>
      </c>
      <c r="D364" t="s">
        <v>3</v>
      </c>
      <c r="E364" s="2">
        <v>1.8799999952316284</v>
      </c>
      <c r="F364" t="s">
        <v>710</v>
      </c>
    </row>
    <row r="365" spans="1:7">
      <c r="A365" s="1">
        <v>45841</v>
      </c>
      <c r="B365" s="7" t="s">
        <v>196</v>
      </c>
      <c r="C365" t="s">
        <v>198</v>
      </c>
      <c r="D365" t="s">
        <v>15</v>
      </c>
      <c r="E365" s="2">
        <v>100200</v>
      </c>
      <c r="F365" t="s">
        <v>710</v>
      </c>
    </row>
    <row r="366" spans="1:7">
      <c r="A366" s="1">
        <v>45841</v>
      </c>
      <c r="B366" s="7" t="s">
        <v>196</v>
      </c>
      <c r="C366" t="s">
        <v>198</v>
      </c>
      <c r="D366" t="s">
        <v>3</v>
      </c>
      <c r="E366" s="2">
        <v>50</v>
      </c>
      <c r="F366" t="s">
        <v>710</v>
      </c>
    </row>
    <row r="367" spans="1:7">
      <c r="A367" s="1">
        <v>45841</v>
      </c>
      <c r="B367" s="7" t="s">
        <v>196</v>
      </c>
      <c r="C367" t="s">
        <v>198</v>
      </c>
      <c r="D367" t="s">
        <v>3</v>
      </c>
      <c r="E367" s="2">
        <v>3.75</v>
      </c>
      <c r="F367" t="s">
        <v>710</v>
      </c>
    </row>
    <row r="368" spans="1:7">
      <c r="A368" s="1">
        <v>45841</v>
      </c>
      <c r="B368" s="7" t="s">
        <v>196</v>
      </c>
      <c r="C368" t="s">
        <v>199</v>
      </c>
      <c r="D368" t="s">
        <v>4</v>
      </c>
      <c r="E368" s="2">
        <v>23414</v>
      </c>
      <c r="F368" t="s">
        <v>710</v>
      </c>
    </row>
    <row r="369" spans="1:6">
      <c r="A369" s="1">
        <v>45841</v>
      </c>
      <c r="B369" s="7" t="s">
        <v>196</v>
      </c>
      <c r="C369" t="s">
        <v>199</v>
      </c>
      <c r="D369" t="s">
        <v>3</v>
      </c>
      <c r="E369" s="2">
        <v>25</v>
      </c>
      <c r="F369" t="s">
        <v>710</v>
      </c>
    </row>
    <row r="370" spans="1:6">
      <c r="A370" s="1">
        <v>45841</v>
      </c>
      <c r="B370" s="7" t="s">
        <v>196</v>
      </c>
      <c r="C370" t="s">
        <v>199</v>
      </c>
      <c r="D370" t="s">
        <v>3</v>
      </c>
      <c r="E370" s="2">
        <v>1.8799999952316284</v>
      </c>
      <c r="F370" t="s">
        <v>710</v>
      </c>
    </row>
    <row r="371" spans="1:6">
      <c r="A371" s="1">
        <v>45841</v>
      </c>
      <c r="B371" s="7" t="s">
        <v>196</v>
      </c>
      <c r="C371" t="s">
        <v>200</v>
      </c>
      <c r="D371" t="s">
        <v>26</v>
      </c>
      <c r="E371" s="2">
        <v>362000</v>
      </c>
      <c r="F371" t="s">
        <v>710</v>
      </c>
    </row>
    <row r="372" spans="1:6">
      <c r="A372" s="1">
        <v>45841</v>
      </c>
      <c r="B372" s="7" t="s">
        <v>196</v>
      </c>
      <c r="C372" t="s">
        <v>200</v>
      </c>
      <c r="D372" t="s">
        <v>3</v>
      </c>
      <c r="E372" s="2">
        <v>50</v>
      </c>
      <c r="F372" t="s">
        <v>710</v>
      </c>
    </row>
    <row r="373" spans="1:6">
      <c r="A373" s="1">
        <v>45841</v>
      </c>
      <c r="B373" s="7" t="s">
        <v>196</v>
      </c>
      <c r="C373" t="s">
        <v>200</v>
      </c>
      <c r="D373" t="s">
        <v>3</v>
      </c>
      <c r="E373" s="2">
        <v>3.75</v>
      </c>
      <c r="F373" t="s">
        <v>710</v>
      </c>
    </row>
    <row r="374" spans="1:6">
      <c r="A374" s="1">
        <v>45842</v>
      </c>
      <c r="B374" s="7" t="s">
        <v>201</v>
      </c>
      <c r="C374" t="s">
        <v>202</v>
      </c>
      <c r="D374" t="s">
        <v>15</v>
      </c>
      <c r="E374" s="2">
        <v>54350</v>
      </c>
      <c r="F374" t="s">
        <v>710</v>
      </c>
    </row>
    <row r="375" spans="1:6">
      <c r="A375" s="1">
        <v>45842</v>
      </c>
      <c r="B375" s="7" t="s">
        <v>201</v>
      </c>
      <c r="C375" t="s">
        <v>202</v>
      </c>
      <c r="D375" t="s">
        <v>3</v>
      </c>
      <c r="E375" s="2">
        <v>50</v>
      </c>
      <c r="F375" t="s">
        <v>710</v>
      </c>
    </row>
    <row r="376" spans="1:6">
      <c r="A376" s="1">
        <v>45842</v>
      </c>
      <c r="B376" s="7" t="s">
        <v>201</v>
      </c>
      <c r="C376" t="s">
        <v>202</v>
      </c>
      <c r="D376" t="s">
        <v>3</v>
      </c>
      <c r="E376" s="2">
        <v>3.75</v>
      </c>
      <c r="F376" t="s">
        <v>710</v>
      </c>
    </row>
    <row r="377" spans="1:6">
      <c r="A377" s="1">
        <v>45842</v>
      </c>
      <c r="B377" s="7" t="s">
        <v>201</v>
      </c>
      <c r="C377" t="s">
        <v>203</v>
      </c>
      <c r="D377" t="s">
        <v>15</v>
      </c>
      <c r="E377" s="2">
        <v>32500</v>
      </c>
      <c r="F377" t="s">
        <v>710</v>
      </c>
    </row>
    <row r="378" spans="1:6">
      <c r="A378" s="1">
        <v>45842</v>
      </c>
      <c r="B378" s="7" t="s">
        <v>201</v>
      </c>
      <c r="C378" t="s">
        <v>203</v>
      </c>
      <c r="D378" t="s">
        <v>3</v>
      </c>
      <c r="E378" s="2">
        <v>25</v>
      </c>
      <c r="F378" t="s">
        <v>710</v>
      </c>
    </row>
    <row r="379" spans="1:6">
      <c r="A379" s="1">
        <v>45842</v>
      </c>
      <c r="B379" s="7" t="s">
        <v>201</v>
      </c>
      <c r="C379" t="s">
        <v>203</v>
      </c>
      <c r="D379" t="s">
        <v>3</v>
      </c>
      <c r="E379" s="2">
        <v>1.8800000101327896</v>
      </c>
      <c r="F379" t="s">
        <v>710</v>
      </c>
    </row>
    <row r="380" spans="1:6">
      <c r="A380" s="1">
        <v>45842</v>
      </c>
      <c r="B380" s="7" t="s">
        <v>201</v>
      </c>
      <c r="C380" t="s">
        <v>204</v>
      </c>
      <c r="D380" t="s">
        <v>21</v>
      </c>
      <c r="E380" s="2">
        <v>1000000</v>
      </c>
      <c r="F380" t="s">
        <v>710</v>
      </c>
    </row>
    <row r="381" spans="1:6">
      <c r="A381" s="1">
        <v>45842</v>
      </c>
      <c r="B381" s="7" t="s">
        <v>201</v>
      </c>
      <c r="C381" t="s">
        <v>204</v>
      </c>
      <c r="D381" t="s">
        <v>3</v>
      </c>
      <c r="E381" s="2">
        <v>50</v>
      </c>
      <c r="F381" t="s">
        <v>710</v>
      </c>
    </row>
    <row r="382" spans="1:6">
      <c r="A382" s="1">
        <v>45842</v>
      </c>
      <c r="B382" s="7" t="s">
        <v>201</v>
      </c>
      <c r="C382" t="s">
        <v>204</v>
      </c>
      <c r="D382" t="s">
        <v>3</v>
      </c>
      <c r="E382" s="2">
        <v>3.75</v>
      </c>
      <c r="F382" t="s">
        <v>710</v>
      </c>
    </row>
    <row r="383" spans="1:6">
      <c r="A383" s="1">
        <v>45842</v>
      </c>
      <c r="B383" s="7" t="s">
        <v>201</v>
      </c>
      <c r="C383" t="s">
        <v>205</v>
      </c>
      <c r="D383" t="s">
        <v>15</v>
      </c>
      <c r="E383" s="2">
        <v>28000</v>
      </c>
      <c r="F383" t="s">
        <v>710</v>
      </c>
    </row>
    <row r="384" spans="1:6">
      <c r="A384" s="1">
        <v>45842</v>
      </c>
      <c r="B384" s="7" t="s">
        <v>201</v>
      </c>
      <c r="C384" t="s">
        <v>205</v>
      </c>
      <c r="D384" t="s">
        <v>3</v>
      </c>
      <c r="E384" s="2">
        <v>25</v>
      </c>
      <c r="F384" t="s">
        <v>710</v>
      </c>
    </row>
    <row r="385" spans="1:6">
      <c r="A385" s="1">
        <v>45842</v>
      </c>
      <c r="B385" s="7" t="s">
        <v>201</v>
      </c>
      <c r="C385" t="s">
        <v>205</v>
      </c>
      <c r="D385" t="s">
        <v>3</v>
      </c>
      <c r="E385" s="2">
        <v>1.8799999952316284</v>
      </c>
      <c r="F385" t="s">
        <v>710</v>
      </c>
    </row>
    <row r="386" spans="1:6">
      <c r="A386" s="1">
        <v>45842</v>
      </c>
      <c r="B386" s="7" t="s">
        <v>201</v>
      </c>
      <c r="C386" t="s">
        <v>206</v>
      </c>
      <c r="D386" t="s">
        <v>27</v>
      </c>
      <c r="E386" s="2">
        <v>2174811</v>
      </c>
      <c r="F386" t="s">
        <v>710</v>
      </c>
    </row>
    <row r="387" spans="1:6">
      <c r="A387" s="1">
        <v>45842</v>
      </c>
      <c r="B387" s="7" t="s">
        <v>201</v>
      </c>
      <c r="C387" t="s">
        <v>206</v>
      </c>
      <c r="D387" t="s">
        <v>3</v>
      </c>
      <c r="E387" s="2">
        <v>50</v>
      </c>
      <c r="F387" t="s">
        <v>710</v>
      </c>
    </row>
    <row r="388" spans="1:6">
      <c r="A388" s="1">
        <v>45842</v>
      </c>
      <c r="B388" s="7" t="s">
        <v>201</v>
      </c>
      <c r="C388" t="s">
        <v>206</v>
      </c>
      <c r="D388" t="s">
        <v>3</v>
      </c>
      <c r="E388" s="2">
        <v>3.75</v>
      </c>
      <c r="F388" t="s">
        <v>710</v>
      </c>
    </row>
    <row r="389" spans="1:6">
      <c r="A389" s="1">
        <v>45845</v>
      </c>
      <c r="B389" s="7" t="s">
        <v>207</v>
      </c>
      <c r="C389" t="s">
        <v>208</v>
      </c>
      <c r="D389" t="s">
        <v>15</v>
      </c>
      <c r="E389" s="2">
        <v>36000</v>
      </c>
      <c r="F389" t="s">
        <v>710</v>
      </c>
    </row>
    <row r="390" spans="1:6">
      <c r="A390" s="1">
        <v>45845</v>
      </c>
      <c r="B390" s="7" t="s">
        <v>207</v>
      </c>
      <c r="C390" t="s">
        <v>208</v>
      </c>
      <c r="D390" t="s">
        <v>3</v>
      </c>
      <c r="E390" s="2">
        <v>25</v>
      </c>
      <c r="F390" t="s">
        <v>710</v>
      </c>
    </row>
    <row r="391" spans="1:6">
      <c r="A391" s="1">
        <v>45845</v>
      </c>
      <c r="B391" s="7" t="s">
        <v>207</v>
      </c>
      <c r="C391" t="s">
        <v>208</v>
      </c>
      <c r="D391" t="s">
        <v>3</v>
      </c>
      <c r="E391" s="2">
        <v>1.8799999952316284</v>
      </c>
      <c r="F391" t="s">
        <v>710</v>
      </c>
    </row>
    <row r="392" spans="1:6">
      <c r="A392" s="1">
        <v>45845</v>
      </c>
      <c r="B392" s="7" t="s">
        <v>207</v>
      </c>
      <c r="C392" t="s">
        <v>209</v>
      </c>
      <c r="D392" t="s">
        <v>15</v>
      </c>
      <c r="E392" s="2">
        <v>103000</v>
      </c>
      <c r="F392" t="s">
        <v>710</v>
      </c>
    </row>
    <row r="393" spans="1:6">
      <c r="A393" s="1">
        <v>45845</v>
      </c>
      <c r="B393" s="7" t="s">
        <v>207</v>
      </c>
      <c r="C393" t="s">
        <v>209</v>
      </c>
      <c r="D393" t="s">
        <v>3</v>
      </c>
      <c r="E393" s="2">
        <v>50</v>
      </c>
      <c r="F393" t="s">
        <v>710</v>
      </c>
    </row>
    <row r="394" spans="1:6">
      <c r="A394" s="1">
        <v>45845</v>
      </c>
      <c r="B394" s="7" t="s">
        <v>207</v>
      </c>
      <c r="C394" t="s">
        <v>209</v>
      </c>
      <c r="D394" t="s">
        <v>3</v>
      </c>
      <c r="E394" s="2">
        <v>3.75</v>
      </c>
      <c r="F394" t="s">
        <v>710</v>
      </c>
    </row>
    <row r="395" spans="1:6">
      <c r="A395" s="1">
        <v>45845</v>
      </c>
      <c r="B395" s="7" t="s">
        <v>207</v>
      </c>
      <c r="C395" t="s">
        <v>210</v>
      </c>
      <c r="D395" t="s">
        <v>15</v>
      </c>
      <c r="E395" s="2">
        <v>16000</v>
      </c>
      <c r="F395" t="s">
        <v>710</v>
      </c>
    </row>
    <row r="396" spans="1:6">
      <c r="A396" s="1">
        <v>45845</v>
      </c>
      <c r="B396" s="7" t="s">
        <v>207</v>
      </c>
      <c r="C396" t="s">
        <v>210</v>
      </c>
      <c r="D396" t="s">
        <v>3</v>
      </c>
      <c r="E396" s="2">
        <v>25</v>
      </c>
      <c r="F396" t="s">
        <v>710</v>
      </c>
    </row>
    <row r="397" spans="1:6">
      <c r="A397" s="1">
        <v>45845</v>
      </c>
      <c r="B397" s="7" t="s">
        <v>207</v>
      </c>
      <c r="C397" t="s">
        <v>210</v>
      </c>
      <c r="D397" t="s">
        <v>3</v>
      </c>
      <c r="E397" s="2">
        <v>1.8799999952316284</v>
      </c>
      <c r="F397" t="s">
        <v>710</v>
      </c>
    </row>
    <row r="398" spans="1:6">
      <c r="A398" s="1">
        <v>45845</v>
      </c>
      <c r="B398" s="7" t="s">
        <v>207</v>
      </c>
      <c r="C398" t="s">
        <v>211</v>
      </c>
      <c r="D398" t="s">
        <v>4</v>
      </c>
      <c r="E398" s="2">
        <v>50000</v>
      </c>
      <c r="F398" t="s">
        <v>710</v>
      </c>
    </row>
    <row r="399" spans="1:6">
      <c r="A399" s="1">
        <v>45845</v>
      </c>
      <c r="B399" s="7" t="s">
        <v>207</v>
      </c>
      <c r="C399" t="s">
        <v>211</v>
      </c>
      <c r="D399" t="s">
        <v>3</v>
      </c>
      <c r="E399" s="2">
        <v>25</v>
      </c>
      <c r="F399" t="s">
        <v>710</v>
      </c>
    </row>
    <row r="400" spans="1:6">
      <c r="A400" s="1">
        <v>45845</v>
      </c>
      <c r="B400" s="7" t="s">
        <v>207</v>
      </c>
      <c r="C400" t="s">
        <v>211</v>
      </c>
      <c r="D400" t="s">
        <v>3</v>
      </c>
      <c r="E400" s="2">
        <v>1.8800000101327896</v>
      </c>
      <c r="F400" t="s">
        <v>710</v>
      </c>
    </row>
    <row r="401" spans="1:6">
      <c r="A401" s="1">
        <v>45847</v>
      </c>
      <c r="B401" s="7" t="s">
        <v>212</v>
      </c>
      <c r="C401" t="s">
        <v>213</v>
      </c>
      <c r="D401" t="s">
        <v>26</v>
      </c>
      <c r="E401" s="2">
        <v>20700</v>
      </c>
      <c r="F401" t="s">
        <v>710</v>
      </c>
    </row>
    <row r="402" spans="1:6">
      <c r="A402" s="1">
        <v>45847</v>
      </c>
      <c r="B402" s="7" t="s">
        <v>212</v>
      </c>
      <c r="C402" t="s">
        <v>213</v>
      </c>
      <c r="D402" t="s">
        <v>3</v>
      </c>
      <c r="E402" s="2">
        <v>25</v>
      </c>
      <c r="F402" t="s">
        <v>710</v>
      </c>
    </row>
    <row r="403" spans="1:6">
      <c r="A403" s="1">
        <v>45847</v>
      </c>
      <c r="B403" s="7" t="s">
        <v>212</v>
      </c>
      <c r="C403" t="s">
        <v>213</v>
      </c>
      <c r="D403" t="s">
        <v>3</v>
      </c>
      <c r="E403" s="2">
        <v>1.8799999952316284</v>
      </c>
      <c r="F403" t="s">
        <v>710</v>
      </c>
    </row>
    <row r="404" spans="1:6">
      <c r="A404" s="1">
        <v>45848</v>
      </c>
      <c r="B404" s="7" t="s">
        <v>214</v>
      </c>
      <c r="C404" t="s">
        <v>215</v>
      </c>
      <c r="D404" t="s">
        <v>4</v>
      </c>
      <c r="E404" s="2">
        <v>53750</v>
      </c>
      <c r="F404" t="s">
        <v>710</v>
      </c>
    </row>
    <row r="405" spans="1:6">
      <c r="A405" s="1">
        <v>45848</v>
      </c>
      <c r="B405" s="7" t="s">
        <v>214</v>
      </c>
      <c r="C405" t="s">
        <v>216</v>
      </c>
      <c r="D405" t="s">
        <v>3</v>
      </c>
      <c r="E405" s="2">
        <v>50</v>
      </c>
      <c r="F405" t="s">
        <v>710</v>
      </c>
    </row>
    <row r="406" spans="1:6">
      <c r="A406" s="1">
        <v>45848</v>
      </c>
      <c r="B406" s="7" t="s">
        <v>214</v>
      </c>
      <c r="C406" t="s">
        <v>217</v>
      </c>
      <c r="D406" t="s">
        <v>3</v>
      </c>
      <c r="E406" s="2">
        <v>3.75</v>
      </c>
      <c r="F406" t="s">
        <v>710</v>
      </c>
    </row>
    <row r="407" spans="1:6">
      <c r="A407" s="1">
        <v>45848</v>
      </c>
      <c r="B407" s="7" t="s">
        <v>214</v>
      </c>
      <c r="C407" t="s">
        <v>218</v>
      </c>
      <c r="D407" t="s">
        <v>5</v>
      </c>
      <c r="E407" s="2">
        <v>2687.5</v>
      </c>
      <c r="F407" t="s">
        <v>710</v>
      </c>
    </row>
    <row r="408" spans="1:6">
      <c r="A408" s="1">
        <v>45848</v>
      </c>
      <c r="B408" s="7" t="s">
        <v>214</v>
      </c>
      <c r="C408" t="s">
        <v>219</v>
      </c>
      <c r="D408" t="s">
        <v>5</v>
      </c>
      <c r="E408" s="2">
        <v>2687.5</v>
      </c>
      <c r="F408" t="s">
        <v>710</v>
      </c>
    </row>
    <row r="409" spans="1:6">
      <c r="A409" s="1">
        <v>45848</v>
      </c>
      <c r="B409" s="7" t="s">
        <v>214</v>
      </c>
      <c r="C409" t="s">
        <v>220</v>
      </c>
      <c r="D409" t="s">
        <v>5</v>
      </c>
      <c r="E409" s="2">
        <v>2687.5</v>
      </c>
      <c r="F409" t="s">
        <v>710</v>
      </c>
    </row>
    <row r="410" spans="1:6">
      <c r="A410" s="1">
        <v>45848</v>
      </c>
      <c r="B410" s="7" t="s">
        <v>214</v>
      </c>
      <c r="C410" t="s">
        <v>221</v>
      </c>
      <c r="D410" t="s">
        <v>19</v>
      </c>
      <c r="E410" s="2">
        <v>65000</v>
      </c>
      <c r="F410" t="s">
        <v>710</v>
      </c>
    </row>
    <row r="411" spans="1:6">
      <c r="A411" s="1">
        <v>45848</v>
      </c>
      <c r="B411" s="7" t="s">
        <v>214</v>
      </c>
      <c r="C411" t="s">
        <v>222</v>
      </c>
      <c r="D411" t="s">
        <v>3</v>
      </c>
      <c r="E411" s="2">
        <v>50</v>
      </c>
      <c r="F411" t="s">
        <v>710</v>
      </c>
    </row>
    <row r="412" spans="1:6">
      <c r="A412" s="1">
        <v>45848</v>
      </c>
      <c r="B412" s="7" t="s">
        <v>214</v>
      </c>
      <c r="C412" t="s">
        <v>223</v>
      </c>
      <c r="D412" t="s">
        <v>3</v>
      </c>
      <c r="E412" s="2">
        <v>3.75</v>
      </c>
      <c r="F412" t="s">
        <v>710</v>
      </c>
    </row>
    <row r="413" spans="1:6">
      <c r="A413" s="1">
        <v>45849</v>
      </c>
      <c r="B413" s="7" t="s">
        <v>224</v>
      </c>
      <c r="C413" t="s">
        <v>225</v>
      </c>
      <c r="D413" t="s">
        <v>19</v>
      </c>
      <c r="E413" s="2">
        <v>1250000</v>
      </c>
      <c r="F413" t="s">
        <v>710</v>
      </c>
    </row>
    <row r="414" spans="1:6">
      <c r="A414" s="1">
        <v>45849</v>
      </c>
      <c r="B414" s="7" t="s">
        <v>224</v>
      </c>
      <c r="C414" t="s">
        <v>226</v>
      </c>
      <c r="D414" t="s">
        <v>3</v>
      </c>
      <c r="E414" s="2">
        <v>50</v>
      </c>
      <c r="F414" t="s">
        <v>710</v>
      </c>
    </row>
    <row r="415" spans="1:6">
      <c r="A415" s="1">
        <v>45849</v>
      </c>
      <c r="B415" s="7" t="s">
        <v>224</v>
      </c>
      <c r="C415" t="s">
        <v>227</v>
      </c>
      <c r="D415" t="s">
        <v>3</v>
      </c>
      <c r="E415" s="2">
        <v>3.75</v>
      </c>
      <c r="F415" t="s">
        <v>710</v>
      </c>
    </row>
    <row r="416" spans="1:6">
      <c r="A416" s="1">
        <v>45855</v>
      </c>
      <c r="B416" s="7" t="s">
        <v>228</v>
      </c>
      <c r="C416" t="s">
        <v>229</v>
      </c>
      <c r="D416" t="s">
        <v>19</v>
      </c>
      <c r="E416" s="2">
        <v>240000</v>
      </c>
      <c r="F416" t="s">
        <v>710</v>
      </c>
    </row>
    <row r="417" spans="1:6">
      <c r="A417" s="1">
        <v>45855</v>
      </c>
      <c r="B417" s="7" t="s">
        <v>228</v>
      </c>
      <c r="C417" t="s">
        <v>230</v>
      </c>
      <c r="D417" t="s">
        <v>3</v>
      </c>
      <c r="E417" s="2">
        <v>50</v>
      </c>
      <c r="F417" t="s">
        <v>710</v>
      </c>
    </row>
    <row r="418" spans="1:6">
      <c r="A418" s="1">
        <v>45855</v>
      </c>
      <c r="B418" s="7" t="s">
        <v>228</v>
      </c>
      <c r="C418" t="s">
        <v>231</v>
      </c>
      <c r="D418" t="s">
        <v>3</v>
      </c>
      <c r="E418" s="2">
        <v>3.75</v>
      </c>
      <c r="F418" t="s">
        <v>710</v>
      </c>
    </row>
    <row r="419" spans="1:6">
      <c r="A419" s="1">
        <v>45855</v>
      </c>
      <c r="B419" s="7" t="s">
        <v>228</v>
      </c>
      <c r="C419" t="s">
        <v>232</v>
      </c>
      <c r="D419" t="s">
        <v>28</v>
      </c>
      <c r="E419" s="2">
        <v>420180</v>
      </c>
      <c r="F419" t="s">
        <v>710</v>
      </c>
    </row>
    <row r="420" spans="1:6">
      <c r="A420" s="1">
        <v>45855</v>
      </c>
      <c r="B420" s="7" t="s">
        <v>228</v>
      </c>
      <c r="C420" t="s">
        <v>233</v>
      </c>
      <c r="D420" t="s">
        <v>3</v>
      </c>
      <c r="E420" s="2">
        <v>50</v>
      </c>
      <c r="F420" t="s">
        <v>710</v>
      </c>
    </row>
    <row r="421" spans="1:6">
      <c r="A421" s="1">
        <v>45855</v>
      </c>
      <c r="B421" s="7" t="s">
        <v>228</v>
      </c>
      <c r="C421" t="s">
        <v>234</v>
      </c>
      <c r="D421" t="s">
        <v>3</v>
      </c>
      <c r="E421" s="2">
        <v>3.75</v>
      </c>
      <c r="F421" t="s">
        <v>710</v>
      </c>
    </row>
    <row r="422" spans="1:6">
      <c r="A422" s="1">
        <v>45855</v>
      </c>
      <c r="B422" s="7" t="s">
        <v>228</v>
      </c>
      <c r="C422" t="s">
        <v>235</v>
      </c>
      <c r="D422" t="s">
        <v>13</v>
      </c>
      <c r="E422" s="2">
        <v>785000</v>
      </c>
      <c r="F422" t="s">
        <v>710</v>
      </c>
    </row>
    <row r="423" spans="1:6">
      <c r="A423" s="1">
        <v>45855</v>
      </c>
      <c r="B423" s="7" t="s">
        <v>228</v>
      </c>
      <c r="C423" t="s">
        <v>236</v>
      </c>
      <c r="D423" t="s">
        <v>3</v>
      </c>
      <c r="E423" s="2">
        <v>50</v>
      </c>
      <c r="F423" t="s">
        <v>710</v>
      </c>
    </row>
    <row r="424" spans="1:6">
      <c r="A424" s="1">
        <v>45855</v>
      </c>
      <c r="B424" s="7" t="s">
        <v>228</v>
      </c>
      <c r="C424" t="s">
        <v>237</v>
      </c>
      <c r="D424" t="s">
        <v>3</v>
      </c>
      <c r="E424" s="2">
        <v>3.75</v>
      </c>
      <c r="F424" t="s">
        <v>710</v>
      </c>
    </row>
    <row r="425" spans="1:6">
      <c r="A425" s="1">
        <v>45856</v>
      </c>
      <c r="B425" s="7" t="s">
        <v>238</v>
      </c>
      <c r="C425" t="s">
        <v>239</v>
      </c>
      <c r="D425" t="s">
        <v>4</v>
      </c>
      <c r="E425" s="2">
        <v>260000</v>
      </c>
      <c r="F425" t="s">
        <v>710</v>
      </c>
    </row>
    <row r="426" spans="1:6">
      <c r="A426" s="1">
        <v>45856</v>
      </c>
      <c r="B426" s="7" t="s">
        <v>238</v>
      </c>
      <c r="C426" t="s">
        <v>240</v>
      </c>
      <c r="D426" t="s">
        <v>3</v>
      </c>
      <c r="E426" s="2">
        <v>50</v>
      </c>
      <c r="F426" t="s">
        <v>710</v>
      </c>
    </row>
    <row r="427" spans="1:6">
      <c r="A427" s="1">
        <v>45856</v>
      </c>
      <c r="B427" s="7" t="s">
        <v>238</v>
      </c>
      <c r="C427" t="s">
        <v>241</v>
      </c>
      <c r="D427" t="s">
        <v>3</v>
      </c>
      <c r="E427" s="2">
        <v>3.75</v>
      </c>
      <c r="F427" t="s">
        <v>710</v>
      </c>
    </row>
    <row r="428" spans="1:6">
      <c r="A428" s="1">
        <v>45856</v>
      </c>
      <c r="B428" s="7" t="s">
        <v>238</v>
      </c>
      <c r="C428" t="s">
        <v>242</v>
      </c>
      <c r="D428" t="s">
        <v>27</v>
      </c>
      <c r="E428" s="2">
        <v>31500</v>
      </c>
      <c r="F428" t="s">
        <v>710</v>
      </c>
    </row>
    <row r="429" spans="1:6">
      <c r="A429" s="1">
        <v>45856</v>
      </c>
      <c r="B429" s="7" t="s">
        <v>238</v>
      </c>
      <c r="C429" t="s">
        <v>242</v>
      </c>
      <c r="D429" t="s">
        <v>3</v>
      </c>
      <c r="E429" s="2">
        <v>25</v>
      </c>
      <c r="F429" t="s">
        <v>710</v>
      </c>
    </row>
    <row r="430" spans="1:6">
      <c r="A430" s="1">
        <v>45856</v>
      </c>
      <c r="B430" s="7" t="s">
        <v>238</v>
      </c>
      <c r="C430" t="s">
        <v>242</v>
      </c>
      <c r="D430" t="s">
        <v>3</v>
      </c>
      <c r="E430" s="2">
        <v>1.8799999952316284</v>
      </c>
      <c r="F430" t="s">
        <v>710</v>
      </c>
    </row>
    <row r="431" spans="1:6">
      <c r="A431" s="1">
        <v>45856</v>
      </c>
      <c r="B431" s="7" t="s">
        <v>238</v>
      </c>
      <c r="C431" t="s">
        <v>243</v>
      </c>
      <c r="D431" t="s">
        <v>27</v>
      </c>
      <c r="E431" s="2">
        <v>14540</v>
      </c>
      <c r="F431" t="s">
        <v>710</v>
      </c>
    </row>
    <row r="432" spans="1:6">
      <c r="A432" s="1">
        <v>45856</v>
      </c>
      <c r="B432" s="7" t="s">
        <v>238</v>
      </c>
      <c r="C432" t="s">
        <v>243</v>
      </c>
      <c r="D432" t="s">
        <v>3</v>
      </c>
      <c r="E432" s="2">
        <v>25</v>
      </c>
      <c r="F432" t="s">
        <v>710</v>
      </c>
    </row>
    <row r="433" spans="1:6">
      <c r="A433" s="1">
        <v>45856</v>
      </c>
      <c r="B433" s="7" t="s">
        <v>238</v>
      </c>
      <c r="C433" t="s">
        <v>243</v>
      </c>
      <c r="D433" t="s">
        <v>3</v>
      </c>
      <c r="E433" s="2">
        <v>1.8800000101327896</v>
      </c>
      <c r="F433" t="s">
        <v>710</v>
      </c>
    </row>
    <row r="434" spans="1:6">
      <c r="A434" s="1">
        <v>45856</v>
      </c>
      <c r="B434" s="7" t="s">
        <v>238</v>
      </c>
      <c r="C434" t="s">
        <v>244</v>
      </c>
      <c r="D434" t="s">
        <v>26</v>
      </c>
      <c r="E434" s="2">
        <v>263078</v>
      </c>
      <c r="F434" t="s">
        <v>710</v>
      </c>
    </row>
    <row r="435" spans="1:6">
      <c r="A435" s="1">
        <v>45856</v>
      </c>
      <c r="B435" s="7" t="s">
        <v>238</v>
      </c>
      <c r="C435" t="s">
        <v>244</v>
      </c>
      <c r="D435" t="s">
        <v>3</v>
      </c>
      <c r="E435" s="2">
        <v>50</v>
      </c>
      <c r="F435" t="s">
        <v>710</v>
      </c>
    </row>
    <row r="436" spans="1:6">
      <c r="A436" s="1">
        <v>45856</v>
      </c>
      <c r="B436" s="7" t="s">
        <v>238</v>
      </c>
      <c r="C436" t="s">
        <v>244</v>
      </c>
      <c r="D436" t="s">
        <v>3</v>
      </c>
      <c r="E436" s="2">
        <v>3.75</v>
      </c>
      <c r="F436" t="s">
        <v>710</v>
      </c>
    </row>
    <row r="437" spans="1:6">
      <c r="A437" s="1">
        <v>45856</v>
      </c>
      <c r="B437" s="7" t="s">
        <v>238</v>
      </c>
      <c r="C437" t="s">
        <v>245</v>
      </c>
      <c r="D437" t="s">
        <v>11</v>
      </c>
      <c r="E437" s="2">
        <v>57000</v>
      </c>
      <c r="F437" t="s">
        <v>710</v>
      </c>
    </row>
    <row r="438" spans="1:6">
      <c r="A438" s="1">
        <v>45856</v>
      </c>
      <c r="B438" s="7" t="s">
        <v>238</v>
      </c>
      <c r="C438" t="s">
        <v>245</v>
      </c>
      <c r="D438" t="s">
        <v>3</v>
      </c>
      <c r="E438" s="2">
        <v>50</v>
      </c>
      <c r="F438" t="s">
        <v>710</v>
      </c>
    </row>
    <row r="439" spans="1:6">
      <c r="A439" s="1">
        <v>45856</v>
      </c>
      <c r="B439" s="7" t="s">
        <v>238</v>
      </c>
      <c r="C439" t="s">
        <v>245</v>
      </c>
      <c r="D439" t="s">
        <v>3</v>
      </c>
      <c r="E439" s="2">
        <v>3.75</v>
      </c>
      <c r="F439" t="s">
        <v>710</v>
      </c>
    </row>
    <row r="440" spans="1:6">
      <c r="A440" s="1">
        <v>45859</v>
      </c>
      <c r="B440" s="7" t="s">
        <v>246</v>
      </c>
      <c r="C440" t="s">
        <v>247</v>
      </c>
      <c r="D440" t="s">
        <v>15</v>
      </c>
      <c r="E440" s="2">
        <v>250400</v>
      </c>
      <c r="F440" t="s">
        <v>710</v>
      </c>
    </row>
    <row r="441" spans="1:6">
      <c r="A441" s="1">
        <v>45859</v>
      </c>
      <c r="B441" s="7" t="s">
        <v>246</v>
      </c>
      <c r="C441" t="s">
        <v>247</v>
      </c>
      <c r="D441" t="s">
        <v>3</v>
      </c>
      <c r="E441" s="2">
        <v>50</v>
      </c>
      <c r="F441" t="s">
        <v>710</v>
      </c>
    </row>
    <row r="442" spans="1:6">
      <c r="A442" s="1">
        <v>45859</v>
      </c>
      <c r="B442" s="7" t="s">
        <v>246</v>
      </c>
      <c r="C442" t="s">
        <v>247</v>
      </c>
      <c r="D442" t="s">
        <v>3</v>
      </c>
      <c r="E442" s="2">
        <v>3.75</v>
      </c>
      <c r="F442" t="s">
        <v>710</v>
      </c>
    </row>
    <row r="443" spans="1:6">
      <c r="A443" s="1">
        <v>45859</v>
      </c>
      <c r="B443" s="7" t="s">
        <v>246</v>
      </c>
      <c r="C443" t="s">
        <v>248</v>
      </c>
      <c r="D443" t="s">
        <v>11</v>
      </c>
      <c r="E443" s="2">
        <v>30000</v>
      </c>
      <c r="F443" t="s">
        <v>710</v>
      </c>
    </row>
    <row r="444" spans="1:6">
      <c r="A444" s="1">
        <v>45859</v>
      </c>
      <c r="B444" s="7" t="s">
        <v>246</v>
      </c>
      <c r="C444" t="s">
        <v>248</v>
      </c>
      <c r="D444" t="s">
        <v>3</v>
      </c>
      <c r="E444" s="2">
        <v>25</v>
      </c>
      <c r="F444" t="s">
        <v>710</v>
      </c>
    </row>
    <row r="445" spans="1:6">
      <c r="A445" s="1">
        <v>45859</v>
      </c>
      <c r="B445" s="7" t="s">
        <v>246</v>
      </c>
      <c r="C445" t="s">
        <v>248</v>
      </c>
      <c r="D445" t="s">
        <v>3</v>
      </c>
      <c r="E445" s="2">
        <v>1.8799999952316284</v>
      </c>
      <c r="F445" t="s">
        <v>710</v>
      </c>
    </row>
    <row r="446" spans="1:6">
      <c r="A446" s="1">
        <v>45860</v>
      </c>
      <c r="B446" s="7" t="s">
        <v>249</v>
      </c>
      <c r="C446" t="s">
        <v>250</v>
      </c>
      <c r="D446" t="s">
        <v>13</v>
      </c>
      <c r="E446" s="2">
        <v>370000</v>
      </c>
      <c r="F446" t="s">
        <v>710</v>
      </c>
    </row>
    <row r="447" spans="1:6">
      <c r="A447" s="1">
        <v>45860</v>
      </c>
      <c r="B447" s="7" t="s">
        <v>249</v>
      </c>
      <c r="C447" t="s">
        <v>250</v>
      </c>
      <c r="D447" t="s">
        <v>3</v>
      </c>
      <c r="E447" s="2">
        <v>50</v>
      </c>
      <c r="F447" t="s">
        <v>710</v>
      </c>
    </row>
    <row r="448" spans="1:6">
      <c r="A448" s="1">
        <v>45860</v>
      </c>
      <c r="B448" s="7" t="s">
        <v>249</v>
      </c>
      <c r="C448" t="s">
        <v>250</v>
      </c>
      <c r="D448" t="s">
        <v>3</v>
      </c>
      <c r="E448" s="2">
        <v>3.75</v>
      </c>
      <c r="F448" t="s">
        <v>710</v>
      </c>
    </row>
    <row r="449" spans="1:6">
      <c r="A449" s="1">
        <v>45860</v>
      </c>
      <c r="B449" s="7" t="s">
        <v>249</v>
      </c>
      <c r="C449" t="s">
        <v>251</v>
      </c>
      <c r="D449" t="s">
        <v>29</v>
      </c>
      <c r="E449" s="2">
        <v>120000</v>
      </c>
      <c r="F449" t="s">
        <v>710</v>
      </c>
    </row>
    <row r="450" spans="1:6">
      <c r="A450" s="1">
        <v>45860</v>
      </c>
      <c r="B450" s="7" t="s">
        <v>249</v>
      </c>
      <c r="C450" t="s">
        <v>251</v>
      </c>
      <c r="D450" t="s">
        <v>3</v>
      </c>
      <c r="E450" s="2">
        <v>50</v>
      </c>
      <c r="F450" t="s">
        <v>710</v>
      </c>
    </row>
    <row r="451" spans="1:6">
      <c r="A451" s="1">
        <v>45860</v>
      </c>
      <c r="B451" s="7" t="s">
        <v>249</v>
      </c>
      <c r="C451" t="s">
        <v>251</v>
      </c>
      <c r="D451" t="s">
        <v>3</v>
      </c>
      <c r="E451" s="2">
        <v>3.75</v>
      </c>
      <c r="F451" t="s">
        <v>710</v>
      </c>
    </row>
    <row r="452" spans="1:6">
      <c r="A452" s="1">
        <v>45861</v>
      </c>
      <c r="B452" s="7" t="s">
        <v>252</v>
      </c>
      <c r="C452" t="s">
        <v>253</v>
      </c>
      <c r="D452" t="s">
        <v>4</v>
      </c>
      <c r="E452" s="2">
        <v>48000</v>
      </c>
      <c r="F452" t="s">
        <v>710</v>
      </c>
    </row>
    <row r="453" spans="1:6">
      <c r="A453" s="1">
        <v>45861</v>
      </c>
      <c r="B453" s="7" t="s">
        <v>252</v>
      </c>
      <c r="C453" t="s">
        <v>253</v>
      </c>
      <c r="D453" t="s">
        <v>3</v>
      </c>
      <c r="E453" s="2">
        <v>25</v>
      </c>
      <c r="F453" t="s">
        <v>710</v>
      </c>
    </row>
    <row r="454" spans="1:6">
      <c r="A454" s="1">
        <v>45861</v>
      </c>
      <c r="B454" s="7" t="s">
        <v>252</v>
      </c>
      <c r="C454" t="s">
        <v>253</v>
      </c>
      <c r="D454" t="s">
        <v>3</v>
      </c>
      <c r="E454" s="2">
        <v>1.8799999952316284</v>
      </c>
      <c r="F454" t="s">
        <v>710</v>
      </c>
    </row>
    <row r="455" spans="1:6">
      <c r="A455" s="1">
        <v>45861</v>
      </c>
      <c r="B455" s="7" t="s">
        <v>252</v>
      </c>
      <c r="C455" t="s">
        <v>254</v>
      </c>
      <c r="D455" t="s">
        <v>4</v>
      </c>
      <c r="E455" s="2">
        <v>90000</v>
      </c>
      <c r="F455" t="s">
        <v>710</v>
      </c>
    </row>
    <row r="456" spans="1:6">
      <c r="A456" s="1">
        <v>45861</v>
      </c>
      <c r="B456" s="7" t="s">
        <v>252</v>
      </c>
      <c r="C456" t="s">
        <v>254</v>
      </c>
      <c r="D456" t="s">
        <v>3</v>
      </c>
      <c r="E456" s="2">
        <v>50</v>
      </c>
      <c r="F456" t="s">
        <v>710</v>
      </c>
    </row>
    <row r="457" spans="1:6">
      <c r="A457" s="1">
        <v>45861</v>
      </c>
      <c r="B457" s="7" t="s">
        <v>252</v>
      </c>
      <c r="C457" t="s">
        <v>254</v>
      </c>
      <c r="D457" t="s">
        <v>3</v>
      </c>
      <c r="E457" s="2">
        <v>3.75</v>
      </c>
      <c r="F457" t="s">
        <v>710</v>
      </c>
    </row>
    <row r="458" spans="1:6">
      <c r="A458" s="1">
        <v>45861</v>
      </c>
      <c r="B458" s="7" t="s">
        <v>252</v>
      </c>
      <c r="C458" t="s">
        <v>255</v>
      </c>
      <c r="D458" t="s">
        <v>4</v>
      </c>
      <c r="E458" s="2">
        <v>40000</v>
      </c>
      <c r="F458" t="s">
        <v>710</v>
      </c>
    </row>
    <row r="459" spans="1:6">
      <c r="A459" s="1">
        <v>45861</v>
      </c>
      <c r="B459" s="7" t="s">
        <v>252</v>
      </c>
      <c r="C459" t="s">
        <v>255</v>
      </c>
      <c r="D459" t="s">
        <v>3</v>
      </c>
      <c r="E459" s="2">
        <v>25</v>
      </c>
      <c r="F459" t="s">
        <v>710</v>
      </c>
    </row>
    <row r="460" spans="1:6">
      <c r="A460" s="1">
        <v>45861</v>
      </c>
      <c r="B460" s="7" t="s">
        <v>252</v>
      </c>
      <c r="C460" t="s">
        <v>255</v>
      </c>
      <c r="D460" t="s">
        <v>3</v>
      </c>
      <c r="E460" s="2">
        <v>1.8800000101327896</v>
      </c>
      <c r="F460" t="s">
        <v>710</v>
      </c>
    </row>
    <row r="461" spans="1:6">
      <c r="A461" s="1">
        <v>45862</v>
      </c>
      <c r="B461" s="7" t="s">
        <v>256</v>
      </c>
      <c r="C461" t="s">
        <v>257</v>
      </c>
      <c r="D461" t="s">
        <v>15</v>
      </c>
      <c r="E461" s="2">
        <v>223400</v>
      </c>
      <c r="F461" t="s">
        <v>710</v>
      </c>
    </row>
    <row r="462" spans="1:6">
      <c r="A462" s="1">
        <v>45862</v>
      </c>
      <c r="B462" s="7" t="s">
        <v>256</v>
      </c>
      <c r="C462" t="s">
        <v>257</v>
      </c>
      <c r="D462" t="s">
        <v>3</v>
      </c>
      <c r="E462" s="2">
        <v>50</v>
      </c>
      <c r="F462" t="s">
        <v>710</v>
      </c>
    </row>
    <row r="463" spans="1:6">
      <c r="A463" s="1">
        <v>45862</v>
      </c>
      <c r="B463" s="7" t="s">
        <v>256</v>
      </c>
      <c r="C463" t="s">
        <v>257</v>
      </c>
      <c r="D463" t="s">
        <v>3</v>
      </c>
      <c r="E463" s="2">
        <v>3.75</v>
      </c>
      <c r="F463" t="s">
        <v>710</v>
      </c>
    </row>
    <row r="464" spans="1:6">
      <c r="A464" s="1">
        <v>45862</v>
      </c>
      <c r="B464" s="7" t="s">
        <v>256</v>
      </c>
      <c r="C464" t="s">
        <v>258</v>
      </c>
      <c r="D464" t="s">
        <v>15</v>
      </c>
      <c r="E464" s="2">
        <v>34938</v>
      </c>
      <c r="F464" t="s">
        <v>710</v>
      </c>
    </row>
    <row r="465" spans="1:6">
      <c r="A465" s="1">
        <v>45862</v>
      </c>
      <c r="B465" s="7" t="s">
        <v>256</v>
      </c>
      <c r="C465" t="s">
        <v>258</v>
      </c>
      <c r="D465" t="s">
        <v>3</v>
      </c>
      <c r="E465" s="2">
        <v>25</v>
      </c>
      <c r="F465" t="s">
        <v>710</v>
      </c>
    </row>
    <row r="466" spans="1:6">
      <c r="A466" s="1">
        <v>45862</v>
      </c>
      <c r="B466" s="7" t="s">
        <v>256</v>
      </c>
      <c r="C466" t="s">
        <v>258</v>
      </c>
      <c r="D466" t="s">
        <v>3</v>
      </c>
      <c r="E466" s="2">
        <v>1.8799999952316284</v>
      </c>
      <c r="F466" t="s">
        <v>710</v>
      </c>
    </row>
    <row r="467" spans="1:6">
      <c r="A467" s="1">
        <v>45862</v>
      </c>
      <c r="B467" s="7" t="s">
        <v>256</v>
      </c>
      <c r="C467" t="s">
        <v>259</v>
      </c>
      <c r="D467" t="s">
        <v>15</v>
      </c>
      <c r="E467" s="2">
        <v>10000</v>
      </c>
      <c r="F467" t="s">
        <v>710</v>
      </c>
    </row>
    <row r="468" spans="1:6">
      <c r="A468" s="1">
        <v>45862</v>
      </c>
      <c r="B468" s="7" t="s">
        <v>256</v>
      </c>
      <c r="C468" t="s">
        <v>259</v>
      </c>
      <c r="D468" t="s">
        <v>3</v>
      </c>
      <c r="E468" s="2">
        <v>25</v>
      </c>
      <c r="F468" t="s">
        <v>710</v>
      </c>
    </row>
    <row r="469" spans="1:6">
      <c r="A469" s="1">
        <v>45862</v>
      </c>
      <c r="B469" s="7" t="s">
        <v>256</v>
      </c>
      <c r="C469" t="s">
        <v>259</v>
      </c>
      <c r="D469" t="s">
        <v>3</v>
      </c>
      <c r="E469" s="2">
        <v>1.8799999952316284</v>
      </c>
      <c r="F469" t="s">
        <v>710</v>
      </c>
    </row>
    <row r="470" spans="1:6">
      <c r="A470" s="1">
        <v>45862</v>
      </c>
      <c r="B470" s="7" t="s">
        <v>256</v>
      </c>
      <c r="C470" t="s">
        <v>260</v>
      </c>
      <c r="D470" t="s">
        <v>15</v>
      </c>
      <c r="E470" s="2">
        <v>12138</v>
      </c>
      <c r="F470" t="s">
        <v>710</v>
      </c>
    </row>
    <row r="471" spans="1:6">
      <c r="A471" s="1">
        <v>45862</v>
      </c>
      <c r="B471" s="7" t="s">
        <v>256</v>
      </c>
      <c r="C471" t="s">
        <v>260</v>
      </c>
      <c r="D471" t="s">
        <v>3</v>
      </c>
      <c r="E471" s="2">
        <v>25</v>
      </c>
      <c r="F471" t="s">
        <v>710</v>
      </c>
    </row>
    <row r="472" spans="1:6">
      <c r="A472" s="1">
        <v>45862</v>
      </c>
      <c r="B472" s="7" t="s">
        <v>256</v>
      </c>
      <c r="C472" t="s">
        <v>260</v>
      </c>
      <c r="D472" t="s">
        <v>3</v>
      </c>
      <c r="E472" s="2">
        <v>1.8800000101327896</v>
      </c>
      <c r="F472" t="s">
        <v>710</v>
      </c>
    </row>
    <row r="473" spans="1:6">
      <c r="A473" s="1">
        <v>45862</v>
      </c>
      <c r="B473" s="7" t="s">
        <v>256</v>
      </c>
      <c r="C473" t="s">
        <v>261</v>
      </c>
      <c r="D473" t="s">
        <v>15</v>
      </c>
      <c r="E473" s="2">
        <v>25900</v>
      </c>
      <c r="F473" t="s">
        <v>710</v>
      </c>
    </row>
    <row r="474" spans="1:6">
      <c r="A474" s="1">
        <v>45862</v>
      </c>
      <c r="B474" s="7" t="s">
        <v>256</v>
      </c>
      <c r="C474" t="s">
        <v>261</v>
      </c>
      <c r="D474" t="s">
        <v>3</v>
      </c>
      <c r="E474" s="2">
        <v>25</v>
      </c>
      <c r="F474" t="s">
        <v>710</v>
      </c>
    </row>
    <row r="475" spans="1:6">
      <c r="A475" s="1">
        <v>45862</v>
      </c>
      <c r="B475" s="7" t="s">
        <v>256</v>
      </c>
      <c r="C475" t="s">
        <v>261</v>
      </c>
      <c r="D475" t="s">
        <v>3</v>
      </c>
      <c r="E475" s="2">
        <v>1.8799999952316284</v>
      </c>
      <c r="F475" t="s">
        <v>710</v>
      </c>
    </row>
    <row r="476" spans="1:6">
      <c r="A476" s="1">
        <v>45862</v>
      </c>
      <c r="B476" s="7" t="s">
        <v>256</v>
      </c>
      <c r="C476" t="s">
        <v>262</v>
      </c>
      <c r="D476" t="s">
        <v>15</v>
      </c>
      <c r="E476" s="2">
        <v>13200</v>
      </c>
      <c r="F476" t="s">
        <v>710</v>
      </c>
    </row>
    <row r="477" spans="1:6">
      <c r="A477" s="1">
        <v>45862</v>
      </c>
      <c r="B477" s="7" t="s">
        <v>256</v>
      </c>
      <c r="C477" t="s">
        <v>262</v>
      </c>
      <c r="D477" t="s">
        <v>3</v>
      </c>
      <c r="E477" s="2">
        <v>25</v>
      </c>
      <c r="F477" t="s">
        <v>710</v>
      </c>
    </row>
    <row r="478" spans="1:6">
      <c r="A478" s="1">
        <v>45862</v>
      </c>
      <c r="B478" s="7" t="s">
        <v>256</v>
      </c>
      <c r="C478" t="s">
        <v>262</v>
      </c>
      <c r="D478" t="s">
        <v>3</v>
      </c>
      <c r="E478" s="2">
        <v>1.8799999952316284</v>
      </c>
      <c r="F478" t="s">
        <v>710</v>
      </c>
    </row>
    <row r="479" spans="1:6">
      <c r="A479" s="1">
        <v>45863</v>
      </c>
      <c r="B479" s="7" t="s">
        <v>263</v>
      </c>
      <c r="C479" t="s">
        <v>264</v>
      </c>
      <c r="D479" t="s">
        <v>15</v>
      </c>
      <c r="E479" s="2">
        <v>250400</v>
      </c>
      <c r="F479" t="s">
        <v>710</v>
      </c>
    </row>
    <row r="480" spans="1:6">
      <c r="A480" s="1">
        <v>45863</v>
      </c>
      <c r="B480" s="7" t="s">
        <v>263</v>
      </c>
      <c r="C480" t="s">
        <v>264</v>
      </c>
      <c r="D480" t="s">
        <v>3</v>
      </c>
      <c r="E480" s="2">
        <v>50</v>
      </c>
      <c r="F480" t="s">
        <v>710</v>
      </c>
    </row>
    <row r="481" spans="1:6">
      <c r="A481" s="1">
        <v>45863</v>
      </c>
      <c r="B481" s="7" t="s">
        <v>263</v>
      </c>
      <c r="C481" t="s">
        <v>264</v>
      </c>
      <c r="D481" t="s">
        <v>3</v>
      </c>
      <c r="E481" s="2">
        <v>3.75</v>
      </c>
      <c r="F481" t="s">
        <v>710</v>
      </c>
    </row>
    <row r="482" spans="1:6">
      <c r="A482" s="1">
        <v>45863</v>
      </c>
      <c r="B482" s="7" t="s">
        <v>263</v>
      </c>
      <c r="C482" t="s">
        <v>265</v>
      </c>
      <c r="D482" t="s">
        <v>8</v>
      </c>
      <c r="E482" s="2">
        <v>3570659.4399999976</v>
      </c>
      <c r="F482" t="s">
        <v>710</v>
      </c>
    </row>
    <row r="483" spans="1:6">
      <c r="A483" s="1">
        <v>45863</v>
      </c>
      <c r="B483" s="7" t="s">
        <v>263</v>
      </c>
      <c r="C483" t="s">
        <v>266</v>
      </c>
      <c r="D483" t="s">
        <v>3</v>
      </c>
      <c r="E483" s="2">
        <v>50</v>
      </c>
      <c r="F483" t="s">
        <v>710</v>
      </c>
    </row>
    <row r="484" spans="1:6">
      <c r="A484" s="1">
        <v>45863</v>
      </c>
      <c r="B484" s="7" t="s">
        <v>263</v>
      </c>
      <c r="C484" t="s">
        <v>267</v>
      </c>
      <c r="D484" t="s">
        <v>3</v>
      </c>
      <c r="E484" s="2">
        <v>3.75</v>
      </c>
      <c r="F484" t="s">
        <v>710</v>
      </c>
    </row>
    <row r="485" spans="1:6">
      <c r="A485" s="1">
        <v>45863</v>
      </c>
      <c r="B485" s="7" t="s">
        <v>263</v>
      </c>
      <c r="C485" t="s">
        <v>268</v>
      </c>
      <c r="D485" t="s">
        <v>8</v>
      </c>
      <c r="E485" s="2">
        <v>2070487.4800000042</v>
      </c>
      <c r="F485" t="s">
        <v>710</v>
      </c>
    </row>
    <row r="486" spans="1:6">
      <c r="A486" s="1">
        <v>45863</v>
      </c>
      <c r="B486" s="7" t="s">
        <v>263</v>
      </c>
      <c r="C486" t="s">
        <v>269</v>
      </c>
      <c r="D486" t="s">
        <v>3</v>
      </c>
      <c r="E486" s="2">
        <v>50</v>
      </c>
      <c r="F486" t="s">
        <v>710</v>
      </c>
    </row>
    <row r="487" spans="1:6">
      <c r="A487" s="1">
        <v>45863</v>
      </c>
      <c r="B487" s="7" t="s">
        <v>263</v>
      </c>
      <c r="C487" t="s">
        <v>270</v>
      </c>
      <c r="D487" t="s">
        <v>3</v>
      </c>
      <c r="E487" s="2">
        <v>3.75</v>
      </c>
      <c r="F487" t="s">
        <v>710</v>
      </c>
    </row>
    <row r="488" spans="1:6">
      <c r="A488" s="1">
        <v>45863</v>
      </c>
      <c r="B488" s="7" t="s">
        <v>263</v>
      </c>
      <c r="C488" t="s">
        <v>271</v>
      </c>
      <c r="D488" t="s">
        <v>8</v>
      </c>
      <c r="E488" s="2">
        <v>476225</v>
      </c>
      <c r="F488" t="s">
        <v>710</v>
      </c>
    </row>
    <row r="489" spans="1:6">
      <c r="A489" s="1">
        <v>45863</v>
      </c>
      <c r="B489" s="7" t="s">
        <v>263</v>
      </c>
      <c r="C489" t="s">
        <v>272</v>
      </c>
      <c r="D489" t="s">
        <v>3</v>
      </c>
      <c r="E489" s="2">
        <v>50</v>
      </c>
      <c r="F489" t="s">
        <v>710</v>
      </c>
    </row>
    <row r="490" spans="1:6">
      <c r="A490" s="1">
        <v>45863</v>
      </c>
      <c r="B490" s="7" t="s">
        <v>263</v>
      </c>
      <c r="C490" t="s">
        <v>273</v>
      </c>
      <c r="D490" t="s">
        <v>3</v>
      </c>
      <c r="E490" s="2">
        <v>3.75</v>
      </c>
      <c r="F490" t="s">
        <v>710</v>
      </c>
    </row>
    <row r="491" spans="1:6">
      <c r="A491" s="1">
        <v>45863</v>
      </c>
      <c r="B491" s="7" t="s">
        <v>263</v>
      </c>
      <c r="C491" t="s">
        <v>274</v>
      </c>
      <c r="D491" t="s">
        <v>8</v>
      </c>
      <c r="E491" s="2">
        <v>284491.57000000775</v>
      </c>
      <c r="F491" t="s">
        <v>710</v>
      </c>
    </row>
    <row r="492" spans="1:6">
      <c r="A492" s="1">
        <v>45863</v>
      </c>
      <c r="B492" s="7" t="s">
        <v>263</v>
      </c>
      <c r="C492" t="s">
        <v>275</v>
      </c>
      <c r="D492" t="s">
        <v>3</v>
      </c>
      <c r="E492" s="2">
        <v>50</v>
      </c>
      <c r="F492" t="s">
        <v>710</v>
      </c>
    </row>
    <row r="493" spans="1:6">
      <c r="A493" s="1">
        <v>45863</v>
      </c>
      <c r="B493" s="7" t="s">
        <v>263</v>
      </c>
      <c r="C493" t="s">
        <v>276</v>
      </c>
      <c r="D493" t="s">
        <v>3</v>
      </c>
      <c r="E493" s="2">
        <v>3.75</v>
      </c>
      <c r="F493" t="s">
        <v>710</v>
      </c>
    </row>
    <row r="494" spans="1:6">
      <c r="A494" s="1">
        <v>45863</v>
      </c>
      <c r="B494" s="7" t="s">
        <v>263</v>
      </c>
      <c r="C494" t="s">
        <v>277</v>
      </c>
      <c r="D494" t="s">
        <v>8</v>
      </c>
      <c r="E494" s="2">
        <v>284491.56999999285</v>
      </c>
      <c r="F494" t="s">
        <v>710</v>
      </c>
    </row>
    <row r="495" spans="1:6">
      <c r="A495" s="1">
        <v>45863</v>
      </c>
      <c r="B495" s="7" t="s">
        <v>263</v>
      </c>
      <c r="C495" t="s">
        <v>278</v>
      </c>
      <c r="D495" t="s">
        <v>3</v>
      </c>
      <c r="E495" s="2">
        <v>50</v>
      </c>
      <c r="F495" t="s">
        <v>710</v>
      </c>
    </row>
    <row r="496" spans="1:6">
      <c r="A496" s="1">
        <v>45863</v>
      </c>
      <c r="B496" s="7" t="s">
        <v>263</v>
      </c>
      <c r="C496" t="s">
        <v>279</v>
      </c>
      <c r="D496" t="s">
        <v>3</v>
      </c>
      <c r="E496" s="2">
        <v>3.75</v>
      </c>
      <c r="F496" t="s">
        <v>710</v>
      </c>
    </row>
    <row r="497" spans="1:6">
      <c r="A497" s="1">
        <v>45863</v>
      </c>
      <c r="B497" s="7" t="s">
        <v>263</v>
      </c>
      <c r="C497" t="s">
        <v>280</v>
      </c>
      <c r="D497" t="s">
        <v>8</v>
      </c>
      <c r="E497" s="2">
        <v>284491.57000000775</v>
      </c>
      <c r="F497" t="s">
        <v>710</v>
      </c>
    </row>
    <row r="498" spans="1:6">
      <c r="A498" s="1">
        <v>45863</v>
      </c>
      <c r="B498" s="7" t="s">
        <v>263</v>
      </c>
      <c r="C498" t="s">
        <v>281</v>
      </c>
      <c r="D498" t="s">
        <v>3</v>
      </c>
      <c r="E498" s="2">
        <v>50</v>
      </c>
      <c r="F498" t="s">
        <v>710</v>
      </c>
    </row>
    <row r="499" spans="1:6">
      <c r="A499" s="1">
        <v>45863</v>
      </c>
      <c r="B499" s="7" t="s">
        <v>263</v>
      </c>
      <c r="C499" t="s">
        <v>282</v>
      </c>
      <c r="D499" t="s">
        <v>3</v>
      </c>
      <c r="E499" s="2">
        <v>3.75</v>
      </c>
      <c r="F499" t="s">
        <v>710</v>
      </c>
    </row>
    <row r="500" spans="1:6">
      <c r="A500" s="1">
        <v>45863</v>
      </c>
      <c r="B500" s="7" t="s">
        <v>263</v>
      </c>
      <c r="C500" t="s">
        <v>283</v>
      </c>
      <c r="D500" t="s">
        <v>8</v>
      </c>
      <c r="E500" s="2">
        <v>284491.56999999285</v>
      </c>
      <c r="F500" t="s">
        <v>710</v>
      </c>
    </row>
    <row r="501" spans="1:6">
      <c r="A501" s="1">
        <v>45863</v>
      </c>
      <c r="B501" s="7" t="s">
        <v>263</v>
      </c>
      <c r="C501" t="s">
        <v>284</v>
      </c>
      <c r="D501" t="s">
        <v>3</v>
      </c>
      <c r="E501" s="2">
        <v>50</v>
      </c>
      <c r="F501" t="s">
        <v>710</v>
      </c>
    </row>
    <row r="502" spans="1:6">
      <c r="A502" s="1">
        <v>45863</v>
      </c>
      <c r="B502" s="7" t="s">
        <v>263</v>
      </c>
      <c r="C502" t="s">
        <v>285</v>
      </c>
      <c r="D502" t="s">
        <v>3</v>
      </c>
      <c r="E502" s="2">
        <v>3.75</v>
      </c>
      <c r="F502" t="s">
        <v>710</v>
      </c>
    </row>
    <row r="503" spans="1:6">
      <c r="A503" s="1">
        <v>45863</v>
      </c>
      <c r="B503" s="7" t="s">
        <v>263</v>
      </c>
      <c r="C503" t="s">
        <v>286</v>
      </c>
      <c r="D503" t="s">
        <v>8</v>
      </c>
      <c r="E503" s="2">
        <v>284491.57000000775</v>
      </c>
      <c r="F503" t="s">
        <v>710</v>
      </c>
    </row>
    <row r="504" spans="1:6">
      <c r="A504" s="1">
        <v>45863</v>
      </c>
      <c r="B504" s="7" t="s">
        <v>263</v>
      </c>
      <c r="C504" t="s">
        <v>287</v>
      </c>
      <c r="D504" t="s">
        <v>3</v>
      </c>
      <c r="E504" s="2">
        <v>50</v>
      </c>
      <c r="F504" t="s">
        <v>710</v>
      </c>
    </row>
    <row r="505" spans="1:6">
      <c r="A505" s="1">
        <v>45863</v>
      </c>
      <c r="B505" s="7" t="s">
        <v>263</v>
      </c>
      <c r="C505" t="s">
        <v>288</v>
      </c>
      <c r="D505" t="s">
        <v>3</v>
      </c>
      <c r="E505" s="2">
        <v>3.75</v>
      </c>
      <c r="F505" t="s">
        <v>710</v>
      </c>
    </row>
    <row r="506" spans="1:6">
      <c r="A506" s="1">
        <v>45863</v>
      </c>
      <c r="B506" s="7" t="s">
        <v>263</v>
      </c>
      <c r="C506" t="s">
        <v>289</v>
      </c>
      <c r="D506" t="s">
        <v>8</v>
      </c>
      <c r="E506" s="2">
        <v>284491.56999999285</v>
      </c>
      <c r="F506" t="s">
        <v>710</v>
      </c>
    </row>
    <row r="507" spans="1:6">
      <c r="A507" s="1">
        <v>45863</v>
      </c>
      <c r="B507" s="7" t="s">
        <v>263</v>
      </c>
      <c r="C507" t="s">
        <v>290</v>
      </c>
      <c r="D507" t="s">
        <v>3</v>
      </c>
      <c r="E507" s="2">
        <v>50</v>
      </c>
      <c r="F507" t="s">
        <v>710</v>
      </c>
    </row>
    <row r="508" spans="1:6">
      <c r="A508" s="1">
        <v>45863</v>
      </c>
      <c r="B508" s="7" t="s">
        <v>263</v>
      </c>
      <c r="C508" t="s">
        <v>291</v>
      </c>
      <c r="D508" t="s">
        <v>3</v>
      </c>
      <c r="E508" s="2">
        <v>3.75</v>
      </c>
      <c r="F508" t="s">
        <v>710</v>
      </c>
    </row>
    <row r="509" spans="1:6">
      <c r="A509" s="1">
        <v>45863</v>
      </c>
      <c r="B509" s="7" t="s">
        <v>263</v>
      </c>
      <c r="C509" t="s">
        <v>292</v>
      </c>
      <c r="D509" t="s">
        <v>8</v>
      </c>
      <c r="E509" s="2">
        <v>284491.57000000775</v>
      </c>
      <c r="F509" t="s">
        <v>710</v>
      </c>
    </row>
    <row r="510" spans="1:6">
      <c r="A510" s="1">
        <v>45863</v>
      </c>
      <c r="B510" s="7" t="s">
        <v>263</v>
      </c>
      <c r="C510" t="s">
        <v>293</v>
      </c>
      <c r="D510" t="s">
        <v>3</v>
      </c>
      <c r="E510" s="2">
        <v>50</v>
      </c>
      <c r="F510" t="s">
        <v>710</v>
      </c>
    </row>
    <row r="511" spans="1:6">
      <c r="A511" s="1">
        <v>45863</v>
      </c>
      <c r="B511" s="7" t="s">
        <v>263</v>
      </c>
      <c r="C511" t="s">
        <v>294</v>
      </c>
      <c r="D511" t="s">
        <v>3</v>
      </c>
      <c r="E511" s="2">
        <v>3.75</v>
      </c>
      <c r="F511" t="s">
        <v>710</v>
      </c>
    </row>
    <row r="512" spans="1:6">
      <c r="A512" s="1">
        <v>45863</v>
      </c>
      <c r="B512" s="7" t="s">
        <v>263</v>
      </c>
      <c r="C512" t="s">
        <v>295</v>
      </c>
      <c r="D512" t="s">
        <v>8</v>
      </c>
      <c r="E512" s="2">
        <v>284491.56999999285</v>
      </c>
      <c r="F512" t="s">
        <v>710</v>
      </c>
    </row>
    <row r="513" spans="1:6">
      <c r="A513" s="1">
        <v>45863</v>
      </c>
      <c r="B513" s="7" t="s">
        <v>263</v>
      </c>
      <c r="C513" t="s">
        <v>296</v>
      </c>
      <c r="D513" t="s">
        <v>3</v>
      </c>
      <c r="E513" s="2">
        <v>50</v>
      </c>
      <c r="F513" t="s">
        <v>710</v>
      </c>
    </row>
    <row r="514" spans="1:6">
      <c r="A514" s="1">
        <v>45863</v>
      </c>
      <c r="B514" s="7" t="s">
        <v>263</v>
      </c>
      <c r="C514" t="s">
        <v>297</v>
      </c>
      <c r="D514" t="s">
        <v>3</v>
      </c>
      <c r="E514" s="2">
        <v>3.75</v>
      </c>
      <c r="F514" t="s">
        <v>710</v>
      </c>
    </row>
    <row r="515" spans="1:6">
      <c r="A515" s="1">
        <v>45863</v>
      </c>
      <c r="B515" s="7" t="s">
        <v>263</v>
      </c>
      <c r="C515" t="s">
        <v>298</v>
      </c>
      <c r="D515" t="s">
        <v>8</v>
      </c>
      <c r="E515" s="2">
        <v>284491.57000000775</v>
      </c>
      <c r="F515" t="s">
        <v>710</v>
      </c>
    </row>
    <row r="516" spans="1:6">
      <c r="A516" s="1">
        <v>45863</v>
      </c>
      <c r="B516" s="7" t="s">
        <v>263</v>
      </c>
      <c r="C516" t="s">
        <v>299</v>
      </c>
      <c r="D516" t="s">
        <v>3</v>
      </c>
      <c r="E516" s="2">
        <v>50</v>
      </c>
      <c r="F516" t="s">
        <v>710</v>
      </c>
    </row>
    <row r="517" spans="1:6">
      <c r="A517" s="1">
        <v>45863</v>
      </c>
      <c r="B517" s="7" t="s">
        <v>263</v>
      </c>
      <c r="C517" t="s">
        <v>300</v>
      </c>
      <c r="D517" t="s">
        <v>3</v>
      </c>
      <c r="E517" s="2">
        <v>3.75</v>
      </c>
      <c r="F517" t="s">
        <v>710</v>
      </c>
    </row>
    <row r="518" spans="1:6">
      <c r="A518" s="1">
        <v>45863</v>
      </c>
      <c r="B518" s="7" t="s">
        <v>263</v>
      </c>
      <c r="C518" t="s">
        <v>301</v>
      </c>
      <c r="D518" t="s">
        <v>8</v>
      </c>
      <c r="E518" s="2">
        <v>152194.92999999225</v>
      </c>
      <c r="F518" t="s">
        <v>710</v>
      </c>
    </row>
    <row r="519" spans="1:6">
      <c r="A519" s="1">
        <v>45863</v>
      </c>
      <c r="B519" s="7" t="s">
        <v>263</v>
      </c>
      <c r="C519" t="s">
        <v>302</v>
      </c>
      <c r="D519" t="s">
        <v>3</v>
      </c>
      <c r="E519" s="2">
        <v>50</v>
      </c>
      <c r="F519" t="s">
        <v>710</v>
      </c>
    </row>
    <row r="520" spans="1:6">
      <c r="A520" s="1">
        <v>45863</v>
      </c>
      <c r="B520" s="7" t="s">
        <v>263</v>
      </c>
      <c r="C520" t="s">
        <v>303</v>
      </c>
      <c r="D520" t="s">
        <v>3</v>
      </c>
      <c r="E520" s="2">
        <v>3.75</v>
      </c>
      <c r="F520" t="s">
        <v>710</v>
      </c>
    </row>
    <row r="521" spans="1:6">
      <c r="A521" s="1">
        <v>45863</v>
      </c>
      <c r="B521" s="7" t="s">
        <v>263</v>
      </c>
      <c r="C521" t="s">
        <v>304</v>
      </c>
      <c r="D521" t="s">
        <v>8</v>
      </c>
      <c r="E521" s="2">
        <v>284491.57000000775</v>
      </c>
      <c r="F521" t="s">
        <v>710</v>
      </c>
    </row>
    <row r="522" spans="1:6">
      <c r="A522" s="1">
        <v>45863</v>
      </c>
      <c r="B522" s="7" t="s">
        <v>263</v>
      </c>
      <c r="C522" t="s">
        <v>305</v>
      </c>
      <c r="D522" t="s">
        <v>3</v>
      </c>
      <c r="E522" s="2">
        <v>50</v>
      </c>
      <c r="F522" t="s">
        <v>710</v>
      </c>
    </row>
    <row r="523" spans="1:6">
      <c r="A523" s="1">
        <v>45863</v>
      </c>
      <c r="B523" s="7" t="s">
        <v>263</v>
      </c>
      <c r="C523" t="s">
        <v>306</v>
      </c>
      <c r="D523" t="s">
        <v>3</v>
      </c>
      <c r="E523" s="2">
        <v>3.75</v>
      </c>
      <c r="F523" t="s">
        <v>710</v>
      </c>
    </row>
    <row r="524" spans="1:6">
      <c r="A524" s="1">
        <v>45863</v>
      </c>
      <c r="B524" s="7" t="s">
        <v>263</v>
      </c>
      <c r="C524" t="s">
        <v>307</v>
      </c>
      <c r="D524" t="s">
        <v>8</v>
      </c>
      <c r="E524" s="2">
        <v>152194.92999999225</v>
      </c>
      <c r="F524" t="s">
        <v>710</v>
      </c>
    </row>
    <row r="525" spans="1:6">
      <c r="A525" s="1">
        <v>45863</v>
      </c>
      <c r="B525" s="7" t="s">
        <v>263</v>
      </c>
      <c r="C525" t="s">
        <v>308</v>
      </c>
      <c r="D525" t="s">
        <v>3</v>
      </c>
      <c r="E525" s="2">
        <v>50</v>
      </c>
      <c r="F525" t="s">
        <v>710</v>
      </c>
    </row>
    <row r="526" spans="1:6">
      <c r="A526" s="1">
        <v>45863</v>
      </c>
      <c r="B526" s="7" t="s">
        <v>263</v>
      </c>
      <c r="C526" t="s">
        <v>309</v>
      </c>
      <c r="D526" t="s">
        <v>3</v>
      </c>
      <c r="E526" s="2">
        <v>3.75</v>
      </c>
      <c r="F526" t="s">
        <v>710</v>
      </c>
    </row>
    <row r="527" spans="1:6">
      <c r="A527" s="1">
        <v>45863</v>
      </c>
      <c r="B527" s="7" t="s">
        <v>263</v>
      </c>
      <c r="C527" t="s">
        <v>310</v>
      </c>
      <c r="D527" t="s">
        <v>8</v>
      </c>
      <c r="E527" s="2">
        <v>75000</v>
      </c>
      <c r="F527" t="s">
        <v>710</v>
      </c>
    </row>
    <row r="528" spans="1:6">
      <c r="A528" s="1">
        <v>45863</v>
      </c>
      <c r="B528" s="7" t="s">
        <v>263</v>
      </c>
      <c r="C528" t="s">
        <v>311</v>
      </c>
      <c r="D528" t="s">
        <v>3</v>
      </c>
      <c r="E528" s="2">
        <v>50</v>
      </c>
      <c r="F528" t="s">
        <v>710</v>
      </c>
    </row>
    <row r="529" spans="1:6">
      <c r="A529" s="1">
        <v>45863</v>
      </c>
      <c r="B529" s="7" t="s">
        <v>263</v>
      </c>
      <c r="C529" t="s">
        <v>312</v>
      </c>
      <c r="D529" t="s">
        <v>3</v>
      </c>
      <c r="E529" s="2">
        <v>3.75</v>
      </c>
      <c r="F529" t="s">
        <v>710</v>
      </c>
    </row>
    <row r="530" spans="1:6">
      <c r="A530" s="1">
        <v>45863</v>
      </c>
      <c r="B530" s="7" t="s">
        <v>263</v>
      </c>
      <c r="C530" t="s">
        <v>313</v>
      </c>
      <c r="D530" t="s">
        <v>8</v>
      </c>
      <c r="E530" s="2">
        <v>75000</v>
      </c>
      <c r="F530" t="s">
        <v>710</v>
      </c>
    </row>
    <row r="531" spans="1:6">
      <c r="A531" s="1">
        <v>45863</v>
      </c>
      <c r="B531" s="7" t="s">
        <v>263</v>
      </c>
      <c r="C531" t="s">
        <v>314</v>
      </c>
      <c r="D531" t="s">
        <v>3</v>
      </c>
      <c r="E531" s="2">
        <v>50</v>
      </c>
      <c r="F531" t="s">
        <v>710</v>
      </c>
    </row>
    <row r="532" spans="1:6">
      <c r="A532" s="1">
        <v>45863</v>
      </c>
      <c r="B532" s="7" t="s">
        <v>263</v>
      </c>
      <c r="C532" t="s">
        <v>315</v>
      </c>
      <c r="D532" t="s">
        <v>3</v>
      </c>
      <c r="E532" s="2">
        <v>3.75</v>
      </c>
      <c r="F532" t="s">
        <v>710</v>
      </c>
    </row>
    <row r="533" spans="1:6">
      <c r="A533" s="1">
        <v>45863</v>
      </c>
      <c r="B533" s="7" t="s">
        <v>263</v>
      </c>
      <c r="C533" t="s">
        <v>316</v>
      </c>
      <c r="D533" t="s">
        <v>8</v>
      </c>
      <c r="E533" s="2">
        <v>75000</v>
      </c>
      <c r="F533" t="s">
        <v>710</v>
      </c>
    </row>
    <row r="534" spans="1:6">
      <c r="A534" s="1">
        <v>45863</v>
      </c>
      <c r="B534" s="7" t="s">
        <v>263</v>
      </c>
      <c r="C534" t="s">
        <v>317</v>
      </c>
      <c r="D534" t="s">
        <v>3</v>
      </c>
      <c r="E534" s="2">
        <v>50</v>
      </c>
      <c r="F534" t="s">
        <v>710</v>
      </c>
    </row>
    <row r="535" spans="1:6">
      <c r="A535" s="1">
        <v>45863</v>
      </c>
      <c r="B535" s="7" t="s">
        <v>263</v>
      </c>
      <c r="C535" t="s">
        <v>318</v>
      </c>
      <c r="D535" t="s">
        <v>3</v>
      </c>
      <c r="E535" s="2">
        <v>3.75</v>
      </c>
      <c r="F535" t="s">
        <v>710</v>
      </c>
    </row>
    <row r="536" spans="1:6">
      <c r="A536" s="1">
        <v>45863</v>
      </c>
      <c r="B536" s="7" t="s">
        <v>263</v>
      </c>
      <c r="C536" t="s">
        <v>319</v>
      </c>
      <c r="D536" t="s">
        <v>8</v>
      </c>
      <c r="E536" s="2">
        <v>66000</v>
      </c>
      <c r="F536" t="s">
        <v>710</v>
      </c>
    </row>
    <row r="537" spans="1:6">
      <c r="A537" s="1">
        <v>45863</v>
      </c>
      <c r="B537" s="7" t="s">
        <v>263</v>
      </c>
      <c r="C537" t="s">
        <v>320</v>
      </c>
      <c r="D537" t="s">
        <v>3</v>
      </c>
      <c r="E537" s="2">
        <v>50</v>
      </c>
      <c r="F537" t="s">
        <v>710</v>
      </c>
    </row>
    <row r="538" spans="1:6">
      <c r="A538" s="1">
        <v>45863</v>
      </c>
      <c r="B538" s="7" t="s">
        <v>263</v>
      </c>
      <c r="C538" t="s">
        <v>321</v>
      </c>
      <c r="D538" t="s">
        <v>3</v>
      </c>
      <c r="E538" s="2">
        <v>3.75</v>
      </c>
      <c r="F538" t="s">
        <v>710</v>
      </c>
    </row>
    <row r="539" spans="1:6">
      <c r="A539" s="1">
        <v>45863</v>
      </c>
      <c r="B539" s="7" t="s">
        <v>263</v>
      </c>
      <c r="C539" t="s">
        <v>322</v>
      </c>
      <c r="D539" t="s">
        <v>8</v>
      </c>
      <c r="E539" s="2">
        <v>66000</v>
      </c>
      <c r="F539" t="s">
        <v>710</v>
      </c>
    </row>
    <row r="540" spans="1:6">
      <c r="A540" s="1">
        <v>45863</v>
      </c>
      <c r="B540" s="7" t="s">
        <v>263</v>
      </c>
      <c r="C540" t="s">
        <v>323</v>
      </c>
      <c r="D540" t="s">
        <v>3</v>
      </c>
      <c r="E540" s="2">
        <v>50</v>
      </c>
      <c r="F540" t="s">
        <v>710</v>
      </c>
    </row>
    <row r="541" spans="1:6">
      <c r="A541" s="1">
        <v>45863</v>
      </c>
      <c r="B541" s="7" t="s">
        <v>263</v>
      </c>
      <c r="C541" t="s">
        <v>324</v>
      </c>
      <c r="D541" t="s">
        <v>3</v>
      </c>
      <c r="E541" s="2">
        <v>3.75</v>
      </c>
      <c r="F541" t="s">
        <v>710</v>
      </c>
    </row>
    <row r="542" spans="1:6">
      <c r="A542" s="1">
        <v>45863</v>
      </c>
      <c r="B542" s="7" t="s">
        <v>263</v>
      </c>
      <c r="C542" t="s">
        <v>325</v>
      </c>
      <c r="D542" t="s">
        <v>8</v>
      </c>
      <c r="E542" s="2">
        <v>66000</v>
      </c>
      <c r="F542" t="s">
        <v>710</v>
      </c>
    </row>
    <row r="543" spans="1:6">
      <c r="A543" s="1">
        <v>45863</v>
      </c>
      <c r="B543" s="7" t="s">
        <v>263</v>
      </c>
      <c r="C543" t="s">
        <v>326</v>
      </c>
      <c r="D543" t="s">
        <v>3</v>
      </c>
      <c r="E543" s="2">
        <v>50</v>
      </c>
      <c r="F543" t="s">
        <v>710</v>
      </c>
    </row>
    <row r="544" spans="1:6">
      <c r="A544" s="1">
        <v>45863</v>
      </c>
      <c r="B544" s="7" t="s">
        <v>263</v>
      </c>
      <c r="C544" t="s">
        <v>327</v>
      </c>
      <c r="D544" t="s">
        <v>3</v>
      </c>
      <c r="E544" s="2">
        <v>3.75</v>
      </c>
      <c r="F544" t="s">
        <v>710</v>
      </c>
    </row>
    <row r="545" spans="1:6">
      <c r="A545" s="1">
        <v>45863</v>
      </c>
      <c r="B545" s="7" t="s">
        <v>263</v>
      </c>
      <c r="C545" t="s">
        <v>328</v>
      </c>
      <c r="D545" t="s">
        <v>8</v>
      </c>
      <c r="E545" s="2">
        <v>66000</v>
      </c>
      <c r="F545" t="s">
        <v>710</v>
      </c>
    </row>
    <row r="546" spans="1:6">
      <c r="A546" s="1">
        <v>45863</v>
      </c>
      <c r="B546" s="7" t="s">
        <v>263</v>
      </c>
      <c r="C546" t="s">
        <v>329</v>
      </c>
      <c r="D546" t="s">
        <v>3</v>
      </c>
      <c r="E546" s="2">
        <v>50</v>
      </c>
      <c r="F546" t="s">
        <v>710</v>
      </c>
    </row>
    <row r="547" spans="1:6">
      <c r="A547" s="1">
        <v>45863</v>
      </c>
      <c r="B547" s="7" t="s">
        <v>263</v>
      </c>
      <c r="C547" t="s">
        <v>330</v>
      </c>
      <c r="D547" t="s">
        <v>3</v>
      </c>
      <c r="E547" s="2">
        <v>3.75</v>
      </c>
      <c r="F547" t="s">
        <v>710</v>
      </c>
    </row>
    <row r="548" spans="1:6">
      <c r="A548" s="1">
        <v>45863</v>
      </c>
      <c r="B548" s="7" t="s">
        <v>263</v>
      </c>
      <c r="C548" t="s">
        <v>331</v>
      </c>
      <c r="D548" t="s">
        <v>8</v>
      </c>
      <c r="E548" s="2">
        <v>66000</v>
      </c>
      <c r="F548" t="s">
        <v>710</v>
      </c>
    </row>
    <row r="549" spans="1:6">
      <c r="A549" s="1">
        <v>45863</v>
      </c>
      <c r="B549" s="7" t="s">
        <v>263</v>
      </c>
      <c r="C549" t="s">
        <v>332</v>
      </c>
      <c r="D549" t="s">
        <v>3</v>
      </c>
      <c r="E549" s="2">
        <v>50</v>
      </c>
      <c r="F549" t="s">
        <v>710</v>
      </c>
    </row>
    <row r="550" spans="1:6">
      <c r="A550" s="1">
        <v>45863</v>
      </c>
      <c r="B550" s="7" t="s">
        <v>263</v>
      </c>
      <c r="C550" t="s">
        <v>333</v>
      </c>
      <c r="D550" t="s">
        <v>3</v>
      </c>
      <c r="E550" s="2">
        <v>3.75</v>
      </c>
      <c r="F550" t="s">
        <v>710</v>
      </c>
    </row>
    <row r="551" spans="1:6">
      <c r="A551" s="1">
        <v>45863</v>
      </c>
      <c r="B551" s="7" t="s">
        <v>263</v>
      </c>
      <c r="C551" t="s">
        <v>334</v>
      </c>
      <c r="D551" t="s">
        <v>8</v>
      </c>
      <c r="E551" s="2">
        <v>66000</v>
      </c>
      <c r="F551" t="s">
        <v>710</v>
      </c>
    </row>
    <row r="552" spans="1:6">
      <c r="A552" s="1">
        <v>45863</v>
      </c>
      <c r="B552" s="7" t="s">
        <v>263</v>
      </c>
      <c r="C552" t="s">
        <v>335</v>
      </c>
      <c r="D552" t="s">
        <v>3</v>
      </c>
      <c r="E552" s="2">
        <v>50</v>
      </c>
      <c r="F552" t="s">
        <v>710</v>
      </c>
    </row>
    <row r="553" spans="1:6">
      <c r="A553" s="1">
        <v>45863</v>
      </c>
      <c r="B553" s="7" t="s">
        <v>263</v>
      </c>
      <c r="C553" t="s">
        <v>336</v>
      </c>
      <c r="D553" t="s">
        <v>3</v>
      </c>
      <c r="E553" s="2">
        <v>3.75</v>
      </c>
      <c r="F553" t="s">
        <v>710</v>
      </c>
    </row>
    <row r="554" spans="1:6">
      <c r="A554" s="1">
        <v>45863</v>
      </c>
      <c r="B554" s="7" t="s">
        <v>263</v>
      </c>
      <c r="C554" t="s">
        <v>337</v>
      </c>
      <c r="D554" t="s">
        <v>8</v>
      </c>
      <c r="E554" s="2">
        <v>66000</v>
      </c>
      <c r="F554" t="s">
        <v>710</v>
      </c>
    </row>
    <row r="555" spans="1:6">
      <c r="A555" s="1">
        <v>45863</v>
      </c>
      <c r="B555" s="7" t="s">
        <v>263</v>
      </c>
      <c r="C555" t="s">
        <v>338</v>
      </c>
      <c r="D555" t="s">
        <v>3</v>
      </c>
      <c r="E555" s="2">
        <v>50</v>
      </c>
      <c r="F555" t="s">
        <v>710</v>
      </c>
    </row>
    <row r="556" spans="1:6">
      <c r="A556" s="1">
        <v>45863</v>
      </c>
      <c r="B556" s="7" t="s">
        <v>263</v>
      </c>
      <c r="C556" t="s">
        <v>339</v>
      </c>
      <c r="D556" t="s">
        <v>3</v>
      </c>
      <c r="E556" s="2">
        <v>3.75</v>
      </c>
      <c r="F556" t="s">
        <v>710</v>
      </c>
    </row>
    <row r="557" spans="1:6">
      <c r="A557" s="1">
        <v>45863</v>
      </c>
      <c r="B557" s="7" t="s">
        <v>263</v>
      </c>
      <c r="C557" t="s">
        <v>340</v>
      </c>
      <c r="D557" t="s">
        <v>8</v>
      </c>
      <c r="E557" s="2">
        <v>152194.93000000715</v>
      </c>
      <c r="F557" t="s">
        <v>710</v>
      </c>
    </row>
    <row r="558" spans="1:6">
      <c r="A558" s="1">
        <v>45863</v>
      </c>
      <c r="B558" s="7" t="s">
        <v>263</v>
      </c>
      <c r="C558" t="s">
        <v>341</v>
      </c>
      <c r="D558" t="s">
        <v>3</v>
      </c>
      <c r="E558" s="2">
        <v>50</v>
      </c>
      <c r="F558" t="s">
        <v>710</v>
      </c>
    </row>
    <row r="559" spans="1:6">
      <c r="A559" s="1">
        <v>45863</v>
      </c>
      <c r="B559" s="7" t="s">
        <v>263</v>
      </c>
      <c r="C559" t="s">
        <v>342</v>
      </c>
      <c r="D559" t="s">
        <v>3</v>
      </c>
      <c r="E559" s="2">
        <v>3.75</v>
      </c>
      <c r="F559" t="s">
        <v>710</v>
      </c>
    </row>
    <row r="560" spans="1:6">
      <c r="A560" s="1">
        <v>45866</v>
      </c>
      <c r="B560" s="7" t="s">
        <v>343</v>
      </c>
      <c r="C560" t="s">
        <v>344</v>
      </c>
      <c r="D560" t="s">
        <v>4</v>
      </c>
      <c r="E560" s="2">
        <v>150000</v>
      </c>
      <c r="F560" t="s">
        <v>710</v>
      </c>
    </row>
    <row r="561" spans="1:6">
      <c r="A561" s="1">
        <v>45866</v>
      </c>
      <c r="B561" s="7" t="s">
        <v>343</v>
      </c>
      <c r="C561" t="s">
        <v>344</v>
      </c>
      <c r="D561" t="s">
        <v>3</v>
      </c>
      <c r="E561" s="2">
        <v>50</v>
      </c>
      <c r="F561" t="s">
        <v>710</v>
      </c>
    </row>
    <row r="562" spans="1:6">
      <c r="A562" s="1">
        <v>45866</v>
      </c>
      <c r="B562" s="7" t="s">
        <v>343</v>
      </c>
      <c r="C562" t="s">
        <v>344</v>
      </c>
      <c r="D562" t="s">
        <v>3</v>
      </c>
      <c r="E562" s="2">
        <v>3.75</v>
      </c>
      <c r="F562" t="s">
        <v>710</v>
      </c>
    </row>
    <row r="563" spans="1:6">
      <c r="A563" s="1">
        <v>45867</v>
      </c>
      <c r="B563" s="7" t="s">
        <v>345</v>
      </c>
      <c r="C563" t="s">
        <v>346</v>
      </c>
      <c r="D563" t="s">
        <v>26</v>
      </c>
      <c r="E563" s="2">
        <v>302000</v>
      </c>
      <c r="F563" t="s">
        <v>710</v>
      </c>
    </row>
    <row r="564" spans="1:6">
      <c r="A564" s="1">
        <v>45867</v>
      </c>
      <c r="B564" s="7" t="s">
        <v>345</v>
      </c>
      <c r="C564" t="s">
        <v>346</v>
      </c>
      <c r="D564" t="s">
        <v>3</v>
      </c>
      <c r="E564" s="2">
        <v>50</v>
      </c>
      <c r="F564" t="s">
        <v>710</v>
      </c>
    </row>
    <row r="565" spans="1:6">
      <c r="A565" s="1">
        <v>45867</v>
      </c>
      <c r="B565" s="7" t="s">
        <v>345</v>
      </c>
      <c r="C565" t="s">
        <v>346</v>
      </c>
      <c r="D565" t="s">
        <v>3</v>
      </c>
      <c r="E565" s="2">
        <v>3.75</v>
      </c>
      <c r="F565" t="s">
        <v>710</v>
      </c>
    </row>
    <row r="566" spans="1:6">
      <c r="A566" s="1">
        <v>45867</v>
      </c>
      <c r="B566" s="7" t="s">
        <v>345</v>
      </c>
      <c r="C566" t="s">
        <v>347</v>
      </c>
      <c r="D566" t="s">
        <v>5</v>
      </c>
      <c r="E566" s="2">
        <v>44000</v>
      </c>
      <c r="F566" t="s">
        <v>710</v>
      </c>
    </row>
    <row r="567" spans="1:6">
      <c r="A567" s="1">
        <v>45867</v>
      </c>
      <c r="B567" s="7" t="s">
        <v>345</v>
      </c>
      <c r="C567" t="s">
        <v>348</v>
      </c>
      <c r="D567" t="s">
        <v>3</v>
      </c>
      <c r="E567" s="2">
        <v>25</v>
      </c>
      <c r="F567" t="s">
        <v>710</v>
      </c>
    </row>
    <row r="568" spans="1:6">
      <c r="A568" s="1">
        <v>45867</v>
      </c>
      <c r="B568" s="7" t="s">
        <v>345</v>
      </c>
      <c r="C568" t="s">
        <v>349</v>
      </c>
      <c r="D568" t="s">
        <v>3</v>
      </c>
      <c r="E568" s="2">
        <v>1.8799999952316284</v>
      </c>
      <c r="F568" t="s">
        <v>710</v>
      </c>
    </row>
    <row r="569" spans="1:6">
      <c r="A569" s="1">
        <v>45867</v>
      </c>
      <c r="B569" s="7" t="s">
        <v>345</v>
      </c>
      <c r="C569" t="s">
        <v>350</v>
      </c>
      <c r="D569" t="s">
        <v>30</v>
      </c>
      <c r="E569" s="2">
        <v>380000</v>
      </c>
      <c r="F569" t="s">
        <v>710</v>
      </c>
    </row>
    <row r="570" spans="1:6">
      <c r="A570" s="1">
        <v>45867</v>
      </c>
      <c r="B570" s="7" t="s">
        <v>345</v>
      </c>
      <c r="C570" t="s">
        <v>351</v>
      </c>
      <c r="D570" t="s">
        <v>3</v>
      </c>
      <c r="E570" s="2">
        <v>50</v>
      </c>
      <c r="F570" t="s">
        <v>710</v>
      </c>
    </row>
    <row r="571" spans="1:6">
      <c r="A571" s="1">
        <v>45867</v>
      </c>
      <c r="B571" s="7" t="s">
        <v>345</v>
      </c>
      <c r="C571" t="s">
        <v>352</v>
      </c>
      <c r="D571" t="s">
        <v>3</v>
      </c>
      <c r="E571" s="2">
        <v>3.75</v>
      </c>
      <c r="F571" t="s">
        <v>710</v>
      </c>
    </row>
    <row r="572" spans="1:6">
      <c r="A572" s="1">
        <v>45867</v>
      </c>
      <c r="B572" s="7" t="s">
        <v>345</v>
      </c>
      <c r="C572" t="s">
        <v>353</v>
      </c>
      <c r="D572" t="s">
        <v>30</v>
      </c>
      <c r="E572" s="2">
        <v>-380000</v>
      </c>
      <c r="F572" t="s">
        <v>710</v>
      </c>
    </row>
    <row r="573" spans="1:6">
      <c r="A573" s="1">
        <v>45867</v>
      </c>
      <c r="B573" s="7" t="s">
        <v>345</v>
      </c>
      <c r="C573" t="s">
        <v>354</v>
      </c>
      <c r="D573" t="s">
        <v>30</v>
      </c>
      <c r="E573" s="2">
        <v>120000</v>
      </c>
      <c r="F573" t="s">
        <v>710</v>
      </c>
    </row>
    <row r="574" spans="1:6">
      <c r="A574" s="1">
        <v>45867</v>
      </c>
      <c r="B574" s="7" t="s">
        <v>345</v>
      </c>
      <c r="C574" t="s">
        <v>354</v>
      </c>
      <c r="D574" t="s">
        <v>3</v>
      </c>
      <c r="E574" s="2">
        <v>50</v>
      </c>
      <c r="F574" t="s">
        <v>710</v>
      </c>
    </row>
    <row r="575" spans="1:6">
      <c r="A575" s="1">
        <v>45867</v>
      </c>
      <c r="B575" s="7" t="s">
        <v>345</v>
      </c>
      <c r="C575" t="s">
        <v>354</v>
      </c>
      <c r="D575" t="s">
        <v>3</v>
      </c>
      <c r="E575" s="2">
        <v>3.75</v>
      </c>
      <c r="F575" t="s">
        <v>710</v>
      </c>
    </row>
    <row r="576" spans="1:6">
      <c r="A576" s="1">
        <v>45867</v>
      </c>
      <c r="B576" s="7" t="s">
        <v>345</v>
      </c>
      <c r="C576" t="s">
        <v>355</v>
      </c>
      <c r="D576" t="s">
        <v>3</v>
      </c>
      <c r="E576" s="2">
        <v>50</v>
      </c>
      <c r="F576" t="s">
        <v>710</v>
      </c>
    </row>
    <row r="577" spans="1:6">
      <c r="A577" s="1">
        <v>45868</v>
      </c>
      <c r="B577" s="7" t="s">
        <v>356</v>
      </c>
      <c r="C577" t="s">
        <v>357</v>
      </c>
      <c r="D577" t="s">
        <v>15</v>
      </c>
      <c r="E577" s="2">
        <v>32000</v>
      </c>
      <c r="F577" t="s">
        <v>710</v>
      </c>
    </row>
    <row r="578" spans="1:6">
      <c r="A578" s="1">
        <v>45868</v>
      </c>
      <c r="B578" s="7" t="s">
        <v>356</v>
      </c>
      <c r="C578" t="s">
        <v>357</v>
      </c>
      <c r="D578" t="s">
        <v>3</v>
      </c>
      <c r="E578" s="2">
        <v>25</v>
      </c>
      <c r="F578" t="s">
        <v>710</v>
      </c>
    </row>
    <row r="579" spans="1:6">
      <c r="A579" s="1">
        <v>45868</v>
      </c>
      <c r="B579" s="7" t="s">
        <v>356</v>
      </c>
      <c r="C579" t="s">
        <v>357</v>
      </c>
      <c r="D579" t="s">
        <v>3</v>
      </c>
      <c r="E579" s="2">
        <v>1.8799999952316284</v>
      </c>
      <c r="F579" t="s">
        <v>710</v>
      </c>
    </row>
    <row r="580" spans="1:6">
      <c r="A580" s="1">
        <v>45868</v>
      </c>
      <c r="B580" s="7" t="s">
        <v>356</v>
      </c>
      <c r="C580" t="s">
        <v>358</v>
      </c>
      <c r="D580" t="s">
        <v>15</v>
      </c>
      <c r="E580" s="2">
        <v>136400</v>
      </c>
      <c r="F580" t="s">
        <v>710</v>
      </c>
    </row>
    <row r="581" spans="1:6">
      <c r="A581" s="1">
        <v>45868</v>
      </c>
      <c r="B581" s="7" t="s">
        <v>356</v>
      </c>
      <c r="C581" t="s">
        <v>358</v>
      </c>
      <c r="D581" t="s">
        <v>3</v>
      </c>
      <c r="E581" s="2">
        <v>50</v>
      </c>
      <c r="F581" t="s">
        <v>710</v>
      </c>
    </row>
    <row r="582" spans="1:6">
      <c r="A582" s="1">
        <v>45868</v>
      </c>
      <c r="B582" s="7" t="s">
        <v>356</v>
      </c>
      <c r="C582" t="s">
        <v>358</v>
      </c>
      <c r="D582" t="s">
        <v>3</v>
      </c>
      <c r="E582" s="2">
        <v>3.75</v>
      </c>
      <c r="F582" t="s">
        <v>710</v>
      </c>
    </row>
    <row r="583" spans="1:6">
      <c r="A583" s="1">
        <v>45868</v>
      </c>
      <c r="B583" s="7" t="s">
        <v>356</v>
      </c>
      <c r="C583" t="s">
        <v>359</v>
      </c>
      <c r="D583" t="s">
        <v>15</v>
      </c>
      <c r="E583" s="2">
        <v>13300</v>
      </c>
      <c r="F583" t="s">
        <v>710</v>
      </c>
    </row>
    <row r="584" spans="1:6">
      <c r="A584" s="1">
        <v>45868</v>
      </c>
      <c r="B584" s="7" t="s">
        <v>356</v>
      </c>
      <c r="C584" t="s">
        <v>359</v>
      </c>
      <c r="D584" t="s">
        <v>3</v>
      </c>
      <c r="E584" s="2">
        <v>25</v>
      </c>
      <c r="F584" t="s">
        <v>710</v>
      </c>
    </row>
    <row r="585" spans="1:6">
      <c r="A585" s="1">
        <v>45868</v>
      </c>
      <c r="B585" s="7" t="s">
        <v>356</v>
      </c>
      <c r="C585" t="s">
        <v>359</v>
      </c>
      <c r="D585" t="s">
        <v>3</v>
      </c>
      <c r="E585" s="2">
        <v>1.8800000101327896</v>
      </c>
      <c r="F585" t="s">
        <v>710</v>
      </c>
    </row>
    <row r="586" spans="1:6">
      <c r="A586" s="1">
        <v>45868</v>
      </c>
      <c r="B586" s="7" t="s">
        <v>356</v>
      </c>
      <c r="C586" t="s">
        <v>360</v>
      </c>
      <c r="D586" t="s">
        <v>15</v>
      </c>
      <c r="E586" s="2">
        <v>136400</v>
      </c>
      <c r="F586" t="s">
        <v>710</v>
      </c>
    </row>
    <row r="587" spans="1:6">
      <c r="A587" s="1">
        <v>45868</v>
      </c>
      <c r="B587" s="7" t="s">
        <v>356</v>
      </c>
      <c r="C587" t="s">
        <v>360</v>
      </c>
      <c r="D587" t="s">
        <v>3</v>
      </c>
      <c r="E587" s="2">
        <v>50</v>
      </c>
      <c r="F587" t="s">
        <v>710</v>
      </c>
    </row>
    <row r="588" spans="1:6">
      <c r="A588" s="1">
        <v>45868</v>
      </c>
      <c r="B588" s="7" t="s">
        <v>356</v>
      </c>
      <c r="C588" t="s">
        <v>360</v>
      </c>
      <c r="D588" t="s">
        <v>3</v>
      </c>
      <c r="E588" s="2">
        <v>3.75</v>
      </c>
      <c r="F588" t="s">
        <v>710</v>
      </c>
    </row>
    <row r="589" spans="1:6">
      <c r="A589" s="1">
        <v>45868</v>
      </c>
      <c r="B589" s="7" t="s">
        <v>356</v>
      </c>
      <c r="C589" t="s">
        <v>361</v>
      </c>
      <c r="D589" t="s">
        <v>15</v>
      </c>
      <c r="E589" s="2">
        <v>20000</v>
      </c>
      <c r="F589" t="s">
        <v>710</v>
      </c>
    </row>
    <row r="590" spans="1:6">
      <c r="A590" s="1">
        <v>45868</v>
      </c>
      <c r="B590" s="7" t="s">
        <v>356</v>
      </c>
      <c r="C590" t="s">
        <v>361</v>
      </c>
      <c r="D590" t="s">
        <v>3</v>
      </c>
      <c r="E590" s="2">
        <v>25</v>
      </c>
      <c r="F590" t="s">
        <v>710</v>
      </c>
    </row>
    <row r="591" spans="1:6">
      <c r="A591" s="1">
        <v>45868</v>
      </c>
      <c r="B591" s="7" t="s">
        <v>356</v>
      </c>
      <c r="C591" t="s">
        <v>361</v>
      </c>
      <c r="D591" t="s">
        <v>3</v>
      </c>
      <c r="E591" s="2">
        <v>1.8799999952316284</v>
      </c>
      <c r="F591" t="s">
        <v>710</v>
      </c>
    </row>
    <row r="592" spans="1:6">
      <c r="A592" s="1">
        <v>45869</v>
      </c>
      <c r="B592" s="7" t="s">
        <v>362</v>
      </c>
      <c r="C592" t="s">
        <v>363</v>
      </c>
      <c r="D592" t="s">
        <v>4</v>
      </c>
      <c r="E592" s="2">
        <v>40000</v>
      </c>
      <c r="F592" t="s">
        <v>710</v>
      </c>
    </row>
    <row r="593" spans="1:6">
      <c r="A593" s="1">
        <v>45869</v>
      </c>
      <c r="B593" s="7" t="s">
        <v>362</v>
      </c>
      <c r="C593" t="s">
        <v>363</v>
      </c>
      <c r="D593" t="s">
        <v>3</v>
      </c>
      <c r="E593" s="2">
        <v>25</v>
      </c>
      <c r="F593" t="s">
        <v>710</v>
      </c>
    </row>
    <row r="594" spans="1:6">
      <c r="A594" s="1">
        <v>45869</v>
      </c>
      <c r="B594" s="7" t="s">
        <v>362</v>
      </c>
      <c r="C594" t="s">
        <v>363</v>
      </c>
      <c r="D594" t="s">
        <v>3</v>
      </c>
      <c r="E594" s="2">
        <v>1.8799999952316284</v>
      </c>
      <c r="F594" t="s">
        <v>710</v>
      </c>
    </row>
    <row r="595" spans="1:6">
      <c r="A595" s="1">
        <v>45869</v>
      </c>
      <c r="B595" s="7" t="s">
        <v>362</v>
      </c>
      <c r="C595" t="s">
        <v>364</v>
      </c>
      <c r="D595" t="s">
        <v>22</v>
      </c>
      <c r="E595" s="2">
        <v>950000</v>
      </c>
      <c r="F595" t="s">
        <v>710</v>
      </c>
    </row>
    <row r="596" spans="1:6">
      <c r="A596" s="1">
        <v>45869</v>
      </c>
      <c r="B596" s="7" t="s">
        <v>362</v>
      </c>
      <c r="C596" t="s">
        <v>365</v>
      </c>
      <c r="D596" t="s">
        <v>3</v>
      </c>
      <c r="E596" s="2">
        <v>50</v>
      </c>
      <c r="F596" t="s">
        <v>710</v>
      </c>
    </row>
    <row r="597" spans="1:6">
      <c r="A597" s="1">
        <v>45869</v>
      </c>
      <c r="B597" s="7" t="s">
        <v>362</v>
      </c>
      <c r="C597" t="s">
        <v>366</v>
      </c>
      <c r="D597" t="s">
        <v>3</v>
      </c>
      <c r="E597" s="2">
        <v>3.75</v>
      </c>
      <c r="F597" t="s">
        <v>710</v>
      </c>
    </row>
    <row r="598" spans="1:6">
      <c r="A598" s="1">
        <v>45869</v>
      </c>
      <c r="B598" s="7" t="s">
        <v>362</v>
      </c>
      <c r="C598" t="s">
        <v>367</v>
      </c>
      <c r="D598" t="s">
        <v>3</v>
      </c>
      <c r="E598" s="2">
        <v>1670.1000000089407</v>
      </c>
      <c r="F598" t="s">
        <v>710</v>
      </c>
    </row>
    <row r="599" spans="1:6">
      <c r="A599" s="1">
        <v>45869</v>
      </c>
      <c r="B599" s="7" t="s">
        <v>362</v>
      </c>
      <c r="C599" t="s">
        <v>368</v>
      </c>
      <c r="D599" t="s">
        <v>3</v>
      </c>
      <c r="E599" s="2">
        <v>22267.04999999702</v>
      </c>
      <c r="F599" t="s">
        <v>710</v>
      </c>
    </row>
    <row r="600" spans="1:6">
      <c r="A600" s="1">
        <v>45870</v>
      </c>
      <c r="B600" s="7" t="s">
        <v>362</v>
      </c>
      <c r="C600" t="s">
        <v>369</v>
      </c>
      <c r="D600" t="s">
        <v>10</v>
      </c>
      <c r="E600" s="2">
        <v>230942.25</v>
      </c>
      <c r="F600" t="s">
        <v>710</v>
      </c>
    </row>
    <row r="601" spans="1:6">
      <c r="A601" s="1">
        <v>45870</v>
      </c>
      <c r="B601" s="7" t="s">
        <v>362</v>
      </c>
      <c r="C601" t="s">
        <v>369</v>
      </c>
      <c r="D601" t="s">
        <v>3</v>
      </c>
      <c r="E601" s="2">
        <v>50</v>
      </c>
      <c r="F601" t="s">
        <v>710</v>
      </c>
    </row>
    <row r="602" spans="1:6">
      <c r="A602" s="1">
        <v>45870</v>
      </c>
      <c r="B602" s="7" t="s">
        <v>362</v>
      </c>
      <c r="C602" t="s">
        <v>369</v>
      </c>
      <c r="D602" t="s">
        <v>3</v>
      </c>
      <c r="E602" s="2">
        <v>3.75</v>
      </c>
      <c r="F602" t="s">
        <v>710</v>
      </c>
    </row>
    <row r="603" spans="1:6" s="10" customFormat="1">
      <c r="A603" s="8">
        <v>45869</v>
      </c>
      <c r="B603" s="9" t="s">
        <v>362</v>
      </c>
      <c r="C603" s="10" t="s">
        <v>717</v>
      </c>
      <c r="D603" s="10" t="s">
        <v>714</v>
      </c>
      <c r="E603" s="11">
        <v>-22153745.299999997</v>
      </c>
      <c r="F603" s="10" t="s">
        <v>710</v>
      </c>
    </row>
    <row r="604" spans="1:6">
      <c r="A604" s="1">
        <v>45870</v>
      </c>
      <c r="B604" s="7" t="s">
        <v>370</v>
      </c>
      <c r="C604" t="s">
        <v>371</v>
      </c>
      <c r="D604" t="s">
        <v>13</v>
      </c>
      <c r="E604" s="2">
        <v>170000</v>
      </c>
      <c r="F604" t="s">
        <v>710</v>
      </c>
    </row>
    <row r="605" spans="1:6">
      <c r="A605" s="1">
        <v>45870</v>
      </c>
      <c r="B605" s="7" t="s">
        <v>370</v>
      </c>
      <c r="C605" t="s">
        <v>371</v>
      </c>
      <c r="D605" t="s">
        <v>3</v>
      </c>
      <c r="E605" s="2">
        <v>50</v>
      </c>
      <c r="F605" t="s">
        <v>710</v>
      </c>
    </row>
    <row r="606" spans="1:6">
      <c r="A606" s="1">
        <v>45870</v>
      </c>
      <c r="B606" s="7" t="s">
        <v>370</v>
      </c>
      <c r="C606" t="s">
        <v>371</v>
      </c>
      <c r="D606" t="s">
        <v>3</v>
      </c>
      <c r="E606" s="2">
        <v>3.75</v>
      </c>
      <c r="F606" t="s">
        <v>710</v>
      </c>
    </row>
    <row r="607" spans="1:6">
      <c r="A607" s="1">
        <v>45870</v>
      </c>
      <c r="B607" s="7" t="s">
        <v>370</v>
      </c>
      <c r="C607" t="s">
        <v>372</v>
      </c>
      <c r="D607" t="s">
        <v>3</v>
      </c>
      <c r="E607" s="2">
        <v>230.93999999761581</v>
      </c>
      <c r="F607" t="s">
        <v>710</v>
      </c>
    </row>
    <row r="608" spans="1:6">
      <c r="A608" s="1">
        <v>45870</v>
      </c>
      <c r="B608" s="7" t="s">
        <v>370</v>
      </c>
      <c r="C608" t="s">
        <v>373</v>
      </c>
      <c r="D608" t="s">
        <v>3</v>
      </c>
      <c r="E608" s="2">
        <v>17.319999992847443</v>
      </c>
      <c r="F608" t="s">
        <v>710</v>
      </c>
    </row>
    <row r="609" spans="1:6">
      <c r="A609" s="1">
        <v>45870</v>
      </c>
      <c r="B609" s="7" t="s">
        <v>370</v>
      </c>
      <c r="C609" t="s">
        <v>374</v>
      </c>
      <c r="D609" t="s">
        <v>6</v>
      </c>
      <c r="E609" s="2">
        <v>1300000</v>
      </c>
      <c r="F609" t="s">
        <v>710</v>
      </c>
    </row>
    <row r="610" spans="1:6">
      <c r="A610" s="1">
        <v>45870</v>
      </c>
      <c r="B610" s="7" t="s">
        <v>370</v>
      </c>
      <c r="C610" t="s">
        <v>375</v>
      </c>
      <c r="D610" t="s">
        <v>3</v>
      </c>
      <c r="E610" s="2">
        <v>50</v>
      </c>
      <c r="F610" t="s">
        <v>710</v>
      </c>
    </row>
    <row r="611" spans="1:6">
      <c r="A611" s="1">
        <v>45870</v>
      </c>
      <c r="B611" s="7" t="s">
        <v>370</v>
      </c>
      <c r="C611" t="s">
        <v>376</v>
      </c>
      <c r="D611" t="s">
        <v>3</v>
      </c>
      <c r="E611" s="2">
        <v>3.75</v>
      </c>
      <c r="F611" t="s">
        <v>710</v>
      </c>
    </row>
    <row r="612" spans="1:6">
      <c r="A612" s="1">
        <v>45870</v>
      </c>
      <c r="B612" s="7" t="s">
        <v>370</v>
      </c>
      <c r="C612" t="s">
        <v>377</v>
      </c>
      <c r="D612" t="s">
        <v>19</v>
      </c>
      <c r="E612" s="2">
        <v>36116.760000005364</v>
      </c>
      <c r="F612" t="s">
        <v>710</v>
      </c>
    </row>
    <row r="613" spans="1:6">
      <c r="A613" s="1">
        <v>45870</v>
      </c>
      <c r="B613" s="7" t="s">
        <v>370</v>
      </c>
      <c r="C613" t="s">
        <v>377</v>
      </c>
      <c r="D613" t="s">
        <v>3</v>
      </c>
      <c r="E613" s="2">
        <v>25</v>
      </c>
      <c r="F613" t="s">
        <v>710</v>
      </c>
    </row>
    <row r="614" spans="1:6">
      <c r="A614" s="1">
        <v>45870</v>
      </c>
      <c r="B614" s="7" t="s">
        <v>370</v>
      </c>
      <c r="C614" t="s">
        <v>377</v>
      </c>
      <c r="D614" t="s">
        <v>3</v>
      </c>
      <c r="E614" s="2">
        <v>1.8799999952316284</v>
      </c>
      <c r="F614" t="s">
        <v>710</v>
      </c>
    </row>
    <row r="615" spans="1:6">
      <c r="A615" s="1">
        <v>45870</v>
      </c>
      <c r="B615" s="7" t="s">
        <v>370</v>
      </c>
      <c r="C615" t="s">
        <v>378</v>
      </c>
      <c r="D615" t="s">
        <v>26</v>
      </c>
      <c r="E615" s="2">
        <v>-20700</v>
      </c>
      <c r="F615" t="s">
        <v>710</v>
      </c>
    </row>
    <row r="616" spans="1:6">
      <c r="A616" s="1">
        <v>45870</v>
      </c>
      <c r="B616" s="7" t="s">
        <v>370</v>
      </c>
      <c r="C616" t="s">
        <v>379</v>
      </c>
      <c r="D616" t="s">
        <v>3</v>
      </c>
      <c r="E616" s="2">
        <v>50</v>
      </c>
      <c r="F616" t="s">
        <v>710</v>
      </c>
    </row>
    <row r="617" spans="1:6">
      <c r="A617" s="1">
        <v>45873</v>
      </c>
      <c r="B617" s="7" t="s">
        <v>380</v>
      </c>
      <c r="C617" t="s">
        <v>381</v>
      </c>
      <c r="D617" t="s">
        <v>15</v>
      </c>
      <c r="E617" s="2">
        <v>146000</v>
      </c>
      <c r="F617" t="s">
        <v>710</v>
      </c>
    </row>
    <row r="618" spans="1:6">
      <c r="A618" s="1">
        <v>45873</v>
      </c>
      <c r="B618" s="7" t="s">
        <v>380</v>
      </c>
      <c r="C618" t="s">
        <v>381</v>
      </c>
      <c r="D618" t="s">
        <v>3</v>
      </c>
      <c r="E618" s="2">
        <v>50</v>
      </c>
      <c r="F618" t="s">
        <v>710</v>
      </c>
    </row>
    <row r="619" spans="1:6">
      <c r="A619" s="1">
        <v>45873</v>
      </c>
      <c r="B619" s="7" t="s">
        <v>380</v>
      </c>
      <c r="C619" t="s">
        <v>381</v>
      </c>
      <c r="D619" t="s">
        <v>3</v>
      </c>
      <c r="E619" s="2">
        <v>3.75</v>
      </c>
      <c r="F619" t="s">
        <v>710</v>
      </c>
    </row>
    <row r="620" spans="1:6">
      <c r="A620" s="1">
        <v>45873</v>
      </c>
      <c r="B620" s="7" t="s">
        <v>380</v>
      </c>
      <c r="C620" t="s">
        <v>382</v>
      </c>
      <c r="D620" t="s">
        <v>15</v>
      </c>
      <c r="E620" s="2">
        <v>25000</v>
      </c>
      <c r="F620" t="s">
        <v>710</v>
      </c>
    </row>
    <row r="621" spans="1:6">
      <c r="A621" s="1">
        <v>45873</v>
      </c>
      <c r="B621" s="7" t="s">
        <v>380</v>
      </c>
      <c r="C621" t="s">
        <v>382</v>
      </c>
      <c r="D621" t="s">
        <v>3</v>
      </c>
      <c r="E621" s="2">
        <v>25</v>
      </c>
      <c r="F621" t="s">
        <v>710</v>
      </c>
    </row>
    <row r="622" spans="1:6">
      <c r="A622" s="1">
        <v>45873</v>
      </c>
      <c r="B622" s="7" t="s">
        <v>380</v>
      </c>
      <c r="C622" t="s">
        <v>382</v>
      </c>
      <c r="D622" t="s">
        <v>3</v>
      </c>
      <c r="E622" s="2">
        <v>1.8800000101327896</v>
      </c>
      <c r="F622" t="s">
        <v>710</v>
      </c>
    </row>
    <row r="623" spans="1:6">
      <c r="A623" s="1">
        <v>45873</v>
      </c>
      <c r="B623" s="7" t="s">
        <v>380</v>
      </c>
      <c r="C623" t="s">
        <v>383</v>
      </c>
      <c r="D623" t="s">
        <v>19</v>
      </c>
      <c r="E623" s="2">
        <v>4791366</v>
      </c>
      <c r="F623" t="s">
        <v>710</v>
      </c>
    </row>
    <row r="624" spans="1:6">
      <c r="A624" s="1">
        <v>45873</v>
      </c>
      <c r="B624" s="7" t="s">
        <v>380</v>
      </c>
      <c r="C624" t="s">
        <v>384</v>
      </c>
      <c r="D624" t="s">
        <v>3</v>
      </c>
      <c r="E624" s="2">
        <v>50</v>
      </c>
      <c r="F624" t="s">
        <v>710</v>
      </c>
    </row>
    <row r="625" spans="1:6">
      <c r="A625" s="1">
        <v>45873</v>
      </c>
      <c r="B625" s="7" t="s">
        <v>380</v>
      </c>
      <c r="C625" t="s">
        <v>385</v>
      </c>
      <c r="D625" t="s">
        <v>3</v>
      </c>
      <c r="E625" s="2">
        <v>3.75</v>
      </c>
      <c r="F625" t="s">
        <v>710</v>
      </c>
    </row>
    <row r="626" spans="1:6">
      <c r="A626" s="1">
        <v>45873</v>
      </c>
      <c r="B626" s="7" t="s">
        <v>380</v>
      </c>
      <c r="C626" t="s">
        <v>383</v>
      </c>
      <c r="D626" t="s">
        <v>19</v>
      </c>
      <c r="E626" s="2">
        <v>-4791366</v>
      </c>
      <c r="F626" t="s">
        <v>710</v>
      </c>
    </row>
    <row r="627" spans="1:6">
      <c r="A627" s="1">
        <v>45873</v>
      </c>
      <c r="B627" s="7" t="s">
        <v>380</v>
      </c>
      <c r="C627" t="s">
        <v>384</v>
      </c>
      <c r="D627" t="s">
        <v>3</v>
      </c>
      <c r="E627" s="2">
        <v>-50</v>
      </c>
      <c r="F627" t="s">
        <v>710</v>
      </c>
    </row>
    <row r="628" spans="1:6">
      <c r="A628" s="1">
        <v>45873</v>
      </c>
      <c r="B628" s="7" t="s">
        <v>380</v>
      </c>
      <c r="C628" t="s">
        <v>385</v>
      </c>
      <c r="D628" t="s">
        <v>3</v>
      </c>
      <c r="E628" s="2">
        <v>-3.75</v>
      </c>
      <c r="F628" t="s">
        <v>710</v>
      </c>
    </row>
    <row r="629" spans="1:6">
      <c r="A629" s="1">
        <v>45873</v>
      </c>
      <c r="B629" s="7" t="s">
        <v>380</v>
      </c>
      <c r="C629" t="s">
        <v>386</v>
      </c>
      <c r="D629" t="s">
        <v>19</v>
      </c>
      <c r="E629" s="2">
        <v>4791366</v>
      </c>
      <c r="F629" t="s">
        <v>710</v>
      </c>
    </row>
    <row r="630" spans="1:6">
      <c r="A630" s="1">
        <v>45873</v>
      </c>
      <c r="B630" s="7" t="s">
        <v>380</v>
      </c>
      <c r="C630" t="s">
        <v>387</v>
      </c>
      <c r="D630" t="s">
        <v>3</v>
      </c>
      <c r="E630" s="2">
        <v>50</v>
      </c>
      <c r="F630" t="s">
        <v>710</v>
      </c>
    </row>
    <row r="631" spans="1:6">
      <c r="A631" s="1">
        <v>45873</v>
      </c>
      <c r="B631" s="7" t="s">
        <v>380</v>
      </c>
      <c r="C631" t="s">
        <v>388</v>
      </c>
      <c r="D631" t="s">
        <v>3</v>
      </c>
      <c r="E631" s="2">
        <v>3.75</v>
      </c>
      <c r="F631" t="s">
        <v>710</v>
      </c>
    </row>
    <row r="632" spans="1:6">
      <c r="A632" s="1">
        <v>45873</v>
      </c>
      <c r="B632" s="7" t="s">
        <v>380</v>
      </c>
      <c r="C632" t="s">
        <v>389</v>
      </c>
      <c r="D632" t="s">
        <v>31</v>
      </c>
      <c r="E632" s="2">
        <v>100000</v>
      </c>
      <c r="F632" t="s">
        <v>710</v>
      </c>
    </row>
    <row r="633" spans="1:6">
      <c r="A633" s="1">
        <v>45873</v>
      </c>
      <c r="B633" s="7" t="s">
        <v>380</v>
      </c>
      <c r="C633" t="s">
        <v>389</v>
      </c>
      <c r="D633" t="s">
        <v>3</v>
      </c>
      <c r="E633" s="2">
        <v>50</v>
      </c>
      <c r="F633" t="s">
        <v>710</v>
      </c>
    </row>
    <row r="634" spans="1:6">
      <c r="A634" s="1">
        <v>45873</v>
      </c>
      <c r="B634" s="7" t="s">
        <v>380</v>
      </c>
      <c r="C634" t="s">
        <v>389</v>
      </c>
      <c r="D634" t="s">
        <v>3</v>
      </c>
      <c r="E634" s="2">
        <v>3.75</v>
      </c>
      <c r="F634" t="s">
        <v>710</v>
      </c>
    </row>
    <row r="635" spans="1:6">
      <c r="A635" s="1">
        <v>45873</v>
      </c>
      <c r="B635" s="7" t="s">
        <v>380</v>
      </c>
      <c r="C635" t="s">
        <v>390</v>
      </c>
      <c r="D635" t="s">
        <v>8</v>
      </c>
      <c r="E635" s="2">
        <v>15750</v>
      </c>
      <c r="F635" t="s">
        <v>710</v>
      </c>
    </row>
    <row r="636" spans="1:6">
      <c r="A636" s="1">
        <v>45873</v>
      </c>
      <c r="B636" s="7" t="s">
        <v>380</v>
      </c>
      <c r="C636" t="s">
        <v>390</v>
      </c>
      <c r="D636" t="s">
        <v>3</v>
      </c>
      <c r="E636" s="2">
        <v>25</v>
      </c>
      <c r="F636" t="s">
        <v>710</v>
      </c>
    </row>
    <row r="637" spans="1:6">
      <c r="A637" s="1">
        <v>45873</v>
      </c>
      <c r="B637" s="7" t="s">
        <v>380</v>
      </c>
      <c r="C637" t="s">
        <v>390</v>
      </c>
      <c r="D637" t="s">
        <v>3</v>
      </c>
      <c r="E637" s="2">
        <v>1.8799999952316284</v>
      </c>
      <c r="F637" t="s">
        <v>710</v>
      </c>
    </row>
    <row r="638" spans="1:6">
      <c r="A638" s="1">
        <v>45873</v>
      </c>
      <c r="B638" s="7" t="s">
        <v>380</v>
      </c>
      <c r="C638" t="s">
        <v>391</v>
      </c>
      <c r="D638" t="s">
        <v>31</v>
      </c>
      <c r="E638" s="2">
        <v>80000</v>
      </c>
      <c r="F638" t="s">
        <v>710</v>
      </c>
    </row>
    <row r="639" spans="1:6">
      <c r="A639" s="1">
        <v>45873</v>
      </c>
      <c r="B639" s="7" t="s">
        <v>380</v>
      </c>
      <c r="C639" t="s">
        <v>391</v>
      </c>
      <c r="D639" t="s">
        <v>3</v>
      </c>
      <c r="E639" s="2">
        <v>50</v>
      </c>
      <c r="F639" t="s">
        <v>710</v>
      </c>
    </row>
    <row r="640" spans="1:6">
      <c r="A640" s="1">
        <v>45873</v>
      </c>
      <c r="B640" s="7" t="s">
        <v>380</v>
      </c>
      <c r="C640" t="s">
        <v>391</v>
      </c>
      <c r="D640" t="s">
        <v>3</v>
      </c>
      <c r="E640" s="2">
        <v>3.75</v>
      </c>
      <c r="F640" t="s">
        <v>710</v>
      </c>
    </row>
    <row r="641" spans="1:6">
      <c r="A641" s="1">
        <v>45873</v>
      </c>
      <c r="B641" s="7" t="s">
        <v>380</v>
      </c>
      <c r="C641" t="s">
        <v>392</v>
      </c>
      <c r="D641" t="s">
        <v>708</v>
      </c>
      <c r="E641" s="2">
        <v>240000</v>
      </c>
      <c r="F641" t="s">
        <v>710</v>
      </c>
    </row>
    <row r="642" spans="1:6">
      <c r="A642" s="1">
        <v>45873</v>
      </c>
      <c r="B642" s="7" t="s">
        <v>380</v>
      </c>
      <c r="C642" t="s">
        <v>392</v>
      </c>
      <c r="D642" t="s">
        <v>3</v>
      </c>
      <c r="E642" s="2">
        <v>50</v>
      </c>
      <c r="F642" t="s">
        <v>710</v>
      </c>
    </row>
    <row r="643" spans="1:6">
      <c r="A643" s="1">
        <v>45873</v>
      </c>
      <c r="B643" s="7" t="s">
        <v>380</v>
      </c>
      <c r="C643" t="s">
        <v>392</v>
      </c>
      <c r="D643" t="s">
        <v>3</v>
      </c>
      <c r="E643" s="2">
        <v>3.75</v>
      </c>
      <c r="F643" t="s">
        <v>710</v>
      </c>
    </row>
    <row r="644" spans="1:6">
      <c r="A644" s="1">
        <v>45874</v>
      </c>
      <c r="B644" s="7" t="s">
        <v>393</v>
      </c>
      <c r="C644" t="s">
        <v>394</v>
      </c>
      <c r="D644" t="s">
        <v>32</v>
      </c>
      <c r="E644" s="2">
        <v>2218342</v>
      </c>
      <c r="F644" t="s">
        <v>710</v>
      </c>
    </row>
    <row r="645" spans="1:6">
      <c r="A645" s="1">
        <v>45874</v>
      </c>
      <c r="B645" s="7" t="s">
        <v>393</v>
      </c>
      <c r="C645" t="s">
        <v>395</v>
      </c>
      <c r="D645" t="s">
        <v>3</v>
      </c>
      <c r="E645" s="2">
        <v>50</v>
      </c>
      <c r="F645" t="s">
        <v>710</v>
      </c>
    </row>
    <row r="646" spans="1:6">
      <c r="A646" s="1">
        <v>45874</v>
      </c>
      <c r="B646" s="7" t="s">
        <v>393</v>
      </c>
      <c r="C646" t="s">
        <v>396</v>
      </c>
      <c r="D646" t="s">
        <v>3</v>
      </c>
      <c r="E646" s="2">
        <v>3.75</v>
      </c>
      <c r="F646" t="s">
        <v>710</v>
      </c>
    </row>
    <row r="647" spans="1:6">
      <c r="A647" s="1">
        <v>45874</v>
      </c>
      <c r="B647" s="7" t="s">
        <v>393</v>
      </c>
      <c r="C647" t="s">
        <v>397</v>
      </c>
      <c r="D647" t="s">
        <v>29</v>
      </c>
      <c r="E647" s="2">
        <v>75600</v>
      </c>
      <c r="F647" t="s">
        <v>710</v>
      </c>
    </row>
    <row r="648" spans="1:6">
      <c r="A648" s="1">
        <v>45874</v>
      </c>
      <c r="B648" s="7" t="s">
        <v>393</v>
      </c>
      <c r="C648" t="s">
        <v>397</v>
      </c>
      <c r="D648" t="s">
        <v>3</v>
      </c>
      <c r="E648" s="2">
        <v>50</v>
      </c>
      <c r="F648" t="s">
        <v>710</v>
      </c>
    </row>
    <row r="649" spans="1:6">
      <c r="A649" s="1">
        <v>45874</v>
      </c>
      <c r="B649" s="7" t="s">
        <v>393</v>
      </c>
      <c r="C649" t="s">
        <v>397</v>
      </c>
      <c r="D649" t="s">
        <v>3</v>
      </c>
      <c r="E649" s="2">
        <v>3.75</v>
      </c>
      <c r="F649" t="s">
        <v>710</v>
      </c>
    </row>
    <row r="650" spans="1:6">
      <c r="A650" s="1">
        <v>45875</v>
      </c>
      <c r="B650" s="7" t="s">
        <v>398</v>
      </c>
      <c r="C650" t="s">
        <v>399</v>
      </c>
      <c r="D650" t="s">
        <v>8</v>
      </c>
      <c r="E650" s="2">
        <v>121281.25</v>
      </c>
      <c r="F650" t="s">
        <v>710</v>
      </c>
    </row>
    <row r="651" spans="1:6">
      <c r="A651" s="1">
        <v>45875</v>
      </c>
      <c r="B651" s="7" t="s">
        <v>398</v>
      </c>
      <c r="C651" t="s">
        <v>399</v>
      </c>
      <c r="D651" t="s">
        <v>3</v>
      </c>
      <c r="E651" s="2">
        <v>50</v>
      </c>
      <c r="F651" t="s">
        <v>710</v>
      </c>
    </row>
    <row r="652" spans="1:6">
      <c r="A652" s="1">
        <v>45875</v>
      </c>
      <c r="B652" s="7" t="s">
        <v>398</v>
      </c>
      <c r="C652" t="s">
        <v>399</v>
      </c>
      <c r="D652" t="s">
        <v>3</v>
      </c>
      <c r="E652" s="2">
        <v>3.75</v>
      </c>
      <c r="F652" t="s">
        <v>710</v>
      </c>
    </row>
    <row r="653" spans="1:6">
      <c r="A653" s="1">
        <v>45875</v>
      </c>
      <c r="B653" s="7" t="s">
        <v>398</v>
      </c>
      <c r="C653" t="s">
        <v>400</v>
      </c>
      <c r="D653" t="s">
        <v>19</v>
      </c>
      <c r="E653" s="2">
        <v>-729742</v>
      </c>
      <c r="F653" t="s">
        <v>710</v>
      </c>
    </row>
    <row r="654" spans="1:6">
      <c r="A654" s="1">
        <v>45876</v>
      </c>
      <c r="B654" s="7" t="s">
        <v>398</v>
      </c>
      <c r="C654" t="s">
        <v>401</v>
      </c>
      <c r="D654" t="s">
        <v>26</v>
      </c>
      <c r="E654" s="2">
        <v>322000</v>
      </c>
      <c r="F654" t="s">
        <v>710</v>
      </c>
    </row>
    <row r="655" spans="1:6">
      <c r="A655" s="1">
        <v>45876</v>
      </c>
      <c r="B655" s="7" t="s">
        <v>398</v>
      </c>
      <c r="C655" t="s">
        <v>401</v>
      </c>
      <c r="D655" t="s">
        <v>3</v>
      </c>
      <c r="E655" s="2">
        <v>50</v>
      </c>
      <c r="F655" t="s">
        <v>710</v>
      </c>
    </row>
    <row r="656" spans="1:6">
      <c r="A656" s="1">
        <v>45876</v>
      </c>
      <c r="B656" s="7" t="s">
        <v>398</v>
      </c>
      <c r="C656" t="s">
        <v>401</v>
      </c>
      <c r="D656" t="s">
        <v>3</v>
      </c>
      <c r="E656" s="2">
        <v>3.75</v>
      </c>
      <c r="F656" t="s">
        <v>710</v>
      </c>
    </row>
    <row r="657" spans="1:6">
      <c r="A657" s="1">
        <v>45876</v>
      </c>
      <c r="B657" s="7" t="s">
        <v>402</v>
      </c>
      <c r="C657" t="s">
        <v>403</v>
      </c>
      <c r="D657" t="s">
        <v>19</v>
      </c>
      <c r="E657" s="2">
        <v>1085847.8400000036</v>
      </c>
      <c r="F657" t="s">
        <v>710</v>
      </c>
    </row>
    <row r="658" spans="1:6">
      <c r="A658" s="1">
        <v>45876</v>
      </c>
      <c r="B658" s="7" t="s">
        <v>402</v>
      </c>
      <c r="C658" t="s">
        <v>404</v>
      </c>
      <c r="D658" t="s">
        <v>3</v>
      </c>
      <c r="E658" s="2">
        <v>50</v>
      </c>
      <c r="F658" t="s">
        <v>710</v>
      </c>
    </row>
    <row r="659" spans="1:6">
      <c r="A659" s="1">
        <v>45876</v>
      </c>
      <c r="B659" s="7" t="s">
        <v>402</v>
      </c>
      <c r="C659" t="s">
        <v>405</v>
      </c>
      <c r="D659" t="s">
        <v>3</v>
      </c>
      <c r="E659" s="2">
        <v>3.75</v>
      </c>
      <c r="F659" t="s">
        <v>710</v>
      </c>
    </row>
    <row r="660" spans="1:6">
      <c r="A660" s="1">
        <v>45876</v>
      </c>
      <c r="B660" s="7" t="s">
        <v>402</v>
      </c>
      <c r="C660" t="s">
        <v>406</v>
      </c>
      <c r="D660" t="s">
        <v>3</v>
      </c>
      <c r="E660" s="2">
        <v>50</v>
      </c>
      <c r="F660" t="s">
        <v>710</v>
      </c>
    </row>
    <row r="661" spans="1:6">
      <c r="A661" s="1">
        <v>45880</v>
      </c>
      <c r="B661" s="7" t="s">
        <v>407</v>
      </c>
      <c r="C661" t="s">
        <v>408</v>
      </c>
      <c r="D661" t="s">
        <v>26</v>
      </c>
      <c r="E661" s="2">
        <v>217000</v>
      </c>
      <c r="F661" t="s">
        <v>710</v>
      </c>
    </row>
    <row r="662" spans="1:6">
      <c r="A662" s="1">
        <v>45880</v>
      </c>
      <c r="B662" s="7" t="s">
        <v>407</v>
      </c>
      <c r="C662" t="s">
        <v>408</v>
      </c>
      <c r="D662" t="s">
        <v>3</v>
      </c>
      <c r="E662" s="2">
        <v>50</v>
      </c>
      <c r="F662" t="s">
        <v>710</v>
      </c>
    </row>
    <row r="663" spans="1:6">
      <c r="A663" s="1">
        <v>45880</v>
      </c>
      <c r="B663" s="7" t="s">
        <v>407</v>
      </c>
      <c r="C663" t="s">
        <v>408</v>
      </c>
      <c r="D663" t="s">
        <v>3</v>
      </c>
      <c r="E663" s="2">
        <v>3.75</v>
      </c>
      <c r="F663" t="s">
        <v>710</v>
      </c>
    </row>
    <row r="664" spans="1:6">
      <c r="A664" s="1">
        <v>45880</v>
      </c>
      <c r="B664" s="7" t="s">
        <v>407</v>
      </c>
      <c r="C664" t="s">
        <v>409</v>
      </c>
      <c r="D664" t="s">
        <v>26</v>
      </c>
      <c r="E664" s="2">
        <v>203000</v>
      </c>
      <c r="F664" t="s">
        <v>710</v>
      </c>
    </row>
    <row r="665" spans="1:6">
      <c r="A665" s="1">
        <v>45880</v>
      </c>
      <c r="B665" s="7" t="s">
        <v>407</v>
      </c>
      <c r="C665" t="s">
        <v>409</v>
      </c>
      <c r="D665" t="s">
        <v>3</v>
      </c>
      <c r="E665" s="2">
        <v>50</v>
      </c>
      <c r="F665" t="s">
        <v>710</v>
      </c>
    </row>
    <row r="666" spans="1:6">
      <c r="A666" s="1">
        <v>45880</v>
      </c>
      <c r="B666" s="7" t="s">
        <v>407</v>
      </c>
      <c r="C666" t="s">
        <v>409</v>
      </c>
      <c r="D666" t="s">
        <v>3</v>
      </c>
      <c r="E666" s="2">
        <v>3.75</v>
      </c>
      <c r="F666" t="s">
        <v>710</v>
      </c>
    </row>
    <row r="667" spans="1:6">
      <c r="A667" s="1">
        <v>45882</v>
      </c>
      <c r="B667" s="7" t="s">
        <v>410</v>
      </c>
      <c r="C667" t="s">
        <v>411</v>
      </c>
      <c r="D667" t="s">
        <v>29</v>
      </c>
      <c r="E667" s="2">
        <v>20000</v>
      </c>
      <c r="F667" t="s">
        <v>710</v>
      </c>
    </row>
    <row r="668" spans="1:6">
      <c r="A668" s="1">
        <v>45882</v>
      </c>
      <c r="B668" s="7" t="s">
        <v>410</v>
      </c>
      <c r="C668" t="s">
        <v>411</v>
      </c>
      <c r="D668" t="s">
        <v>3</v>
      </c>
      <c r="E668" s="2">
        <v>25</v>
      </c>
      <c r="F668" t="s">
        <v>710</v>
      </c>
    </row>
    <row r="669" spans="1:6">
      <c r="A669" s="1">
        <v>45882</v>
      </c>
      <c r="B669" s="7" t="s">
        <v>410</v>
      </c>
      <c r="C669" t="s">
        <v>411</v>
      </c>
      <c r="D669" t="s">
        <v>3</v>
      </c>
      <c r="E669" s="2">
        <v>1.8799999952316284</v>
      </c>
      <c r="F669" t="s">
        <v>710</v>
      </c>
    </row>
    <row r="670" spans="1:6">
      <c r="A670" s="1">
        <v>45882</v>
      </c>
      <c r="B670" s="7" t="s">
        <v>412</v>
      </c>
      <c r="C670" t="s">
        <v>413</v>
      </c>
      <c r="D670" t="s">
        <v>29</v>
      </c>
      <c r="E670" s="2">
        <v>110000</v>
      </c>
      <c r="F670" t="s">
        <v>710</v>
      </c>
    </row>
    <row r="671" spans="1:6">
      <c r="A671" s="1">
        <v>45882</v>
      </c>
      <c r="B671" s="7" t="s">
        <v>412</v>
      </c>
      <c r="C671" t="s">
        <v>413</v>
      </c>
      <c r="D671" t="s">
        <v>3</v>
      </c>
      <c r="E671" s="2">
        <v>50</v>
      </c>
      <c r="F671" t="s">
        <v>710</v>
      </c>
    </row>
    <row r="672" spans="1:6">
      <c r="A672" s="1">
        <v>45882</v>
      </c>
      <c r="B672" s="7" t="s">
        <v>412</v>
      </c>
      <c r="C672" t="s">
        <v>413</v>
      </c>
      <c r="D672" t="s">
        <v>3</v>
      </c>
      <c r="E672" s="2">
        <v>3.75</v>
      </c>
      <c r="F672" t="s">
        <v>710</v>
      </c>
    </row>
    <row r="673" spans="1:6">
      <c r="A673" s="1">
        <v>45883</v>
      </c>
      <c r="B673" s="7" t="s">
        <v>414</v>
      </c>
      <c r="C673" t="s">
        <v>415</v>
      </c>
      <c r="D673" t="s">
        <v>708</v>
      </c>
      <c r="E673" s="2">
        <v>320000</v>
      </c>
      <c r="F673" t="s">
        <v>710</v>
      </c>
    </row>
    <row r="674" spans="1:6">
      <c r="A674" s="1">
        <v>45883</v>
      </c>
      <c r="B674" s="7" t="s">
        <v>414</v>
      </c>
      <c r="C674" t="s">
        <v>415</v>
      </c>
      <c r="D674" t="s">
        <v>3</v>
      </c>
      <c r="E674" s="2">
        <v>50</v>
      </c>
      <c r="F674" t="s">
        <v>710</v>
      </c>
    </row>
    <row r="675" spans="1:6">
      <c r="A675" s="1">
        <v>45883</v>
      </c>
      <c r="B675" s="7" t="s">
        <v>414</v>
      </c>
      <c r="C675" t="s">
        <v>415</v>
      </c>
      <c r="D675" t="s">
        <v>3</v>
      </c>
      <c r="E675" s="2">
        <v>3.75</v>
      </c>
      <c r="F675" t="s">
        <v>710</v>
      </c>
    </row>
    <row r="676" spans="1:6">
      <c r="A676" s="1">
        <v>45884</v>
      </c>
      <c r="B676" s="7" t="s">
        <v>416</v>
      </c>
      <c r="C676" t="s">
        <v>417</v>
      </c>
      <c r="D676" t="s">
        <v>4</v>
      </c>
      <c r="E676" s="2">
        <v>32000</v>
      </c>
      <c r="F676" t="s">
        <v>710</v>
      </c>
    </row>
    <row r="677" spans="1:6">
      <c r="A677" s="1">
        <v>45884</v>
      </c>
      <c r="B677" s="7" t="s">
        <v>416</v>
      </c>
      <c r="C677" t="s">
        <v>417</v>
      </c>
      <c r="D677" t="s">
        <v>3</v>
      </c>
      <c r="E677" s="2">
        <v>25</v>
      </c>
      <c r="F677" t="s">
        <v>710</v>
      </c>
    </row>
    <row r="678" spans="1:6">
      <c r="A678" s="1">
        <v>45884</v>
      </c>
      <c r="B678" s="7" t="s">
        <v>416</v>
      </c>
      <c r="C678" t="s">
        <v>417</v>
      </c>
      <c r="D678" t="s">
        <v>3</v>
      </c>
      <c r="E678" s="2">
        <v>1.8799999952316284</v>
      </c>
      <c r="F678" t="s">
        <v>710</v>
      </c>
    </row>
    <row r="679" spans="1:6">
      <c r="A679" s="1">
        <v>45888</v>
      </c>
      <c r="B679" s="7" t="s">
        <v>418</v>
      </c>
      <c r="C679" t="s">
        <v>419</v>
      </c>
      <c r="D679" t="s">
        <v>4</v>
      </c>
      <c r="E679" s="2">
        <v>295000</v>
      </c>
      <c r="F679" t="s">
        <v>710</v>
      </c>
    </row>
    <row r="680" spans="1:6">
      <c r="A680" s="1">
        <v>45888</v>
      </c>
      <c r="B680" s="7" t="s">
        <v>418</v>
      </c>
      <c r="C680" t="s">
        <v>419</v>
      </c>
      <c r="D680" t="s">
        <v>3</v>
      </c>
      <c r="E680" s="2">
        <v>50</v>
      </c>
      <c r="F680" t="s">
        <v>710</v>
      </c>
    </row>
    <row r="681" spans="1:6">
      <c r="A681" s="1">
        <v>45888</v>
      </c>
      <c r="B681" s="7" t="s">
        <v>418</v>
      </c>
      <c r="C681" t="s">
        <v>419</v>
      </c>
      <c r="D681" t="s">
        <v>3</v>
      </c>
      <c r="E681" s="2">
        <v>3.75</v>
      </c>
      <c r="F681" t="s">
        <v>710</v>
      </c>
    </row>
    <row r="682" spans="1:6">
      <c r="A682" s="1">
        <v>45888</v>
      </c>
      <c r="B682" s="7" t="s">
        <v>418</v>
      </c>
      <c r="C682" t="s">
        <v>420</v>
      </c>
      <c r="D682" t="s">
        <v>29</v>
      </c>
      <c r="E682" s="2">
        <v>34500</v>
      </c>
      <c r="F682" t="s">
        <v>710</v>
      </c>
    </row>
    <row r="683" spans="1:6">
      <c r="A683" s="1">
        <v>45888</v>
      </c>
      <c r="B683" s="7" t="s">
        <v>418</v>
      </c>
      <c r="C683" t="s">
        <v>420</v>
      </c>
      <c r="D683" t="s">
        <v>3</v>
      </c>
      <c r="E683" s="2">
        <v>25</v>
      </c>
      <c r="F683" t="s">
        <v>710</v>
      </c>
    </row>
    <row r="684" spans="1:6">
      <c r="A684" s="1">
        <v>45888</v>
      </c>
      <c r="B684" s="7" t="s">
        <v>418</v>
      </c>
      <c r="C684" t="s">
        <v>420</v>
      </c>
      <c r="D684" t="s">
        <v>3</v>
      </c>
      <c r="E684" s="2">
        <v>1.8800000101327896</v>
      </c>
      <c r="F684" t="s">
        <v>710</v>
      </c>
    </row>
    <row r="685" spans="1:6">
      <c r="A685" s="1">
        <v>45888</v>
      </c>
      <c r="B685" s="7" t="s">
        <v>418</v>
      </c>
      <c r="C685" t="s">
        <v>421</v>
      </c>
      <c r="D685" t="s">
        <v>13</v>
      </c>
      <c r="E685" s="2">
        <v>400000</v>
      </c>
      <c r="F685" t="s">
        <v>710</v>
      </c>
    </row>
    <row r="686" spans="1:6">
      <c r="A686" s="1">
        <v>45888</v>
      </c>
      <c r="B686" s="7" t="s">
        <v>418</v>
      </c>
      <c r="C686" t="s">
        <v>422</v>
      </c>
      <c r="D686" t="s">
        <v>3</v>
      </c>
      <c r="E686" s="2">
        <v>50</v>
      </c>
      <c r="F686" t="s">
        <v>710</v>
      </c>
    </row>
    <row r="687" spans="1:6">
      <c r="A687" s="1">
        <v>45888</v>
      </c>
      <c r="B687" s="7" t="s">
        <v>418</v>
      </c>
      <c r="C687" t="s">
        <v>423</v>
      </c>
      <c r="D687" t="s">
        <v>3</v>
      </c>
      <c r="E687" s="2">
        <v>3.75</v>
      </c>
      <c r="F687" t="s">
        <v>710</v>
      </c>
    </row>
    <row r="688" spans="1:6">
      <c r="A688" s="1">
        <v>45888</v>
      </c>
      <c r="B688" s="7" t="s">
        <v>418</v>
      </c>
      <c r="C688" t="s">
        <v>424</v>
      </c>
      <c r="D688" t="s">
        <v>4</v>
      </c>
      <c r="E688" s="2">
        <v>27000</v>
      </c>
      <c r="F688" t="s">
        <v>710</v>
      </c>
    </row>
    <row r="689" spans="1:6">
      <c r="A689" s="1">
        <v>45888</v>
      </c>
      <c r="B689" s="7" t="s">
        <v>418</v>
      </c>
      <c r="C689" t="s">
        <v>424</v>
      </c>
      <c r="D689" t="s">
        <v>3</v>
      </c>
      <c r="E689" s="2">
        <v>25</v>
      </c>
      <c r="F689" t="s">
        <v>710</v>
      </c>
    </row>
    <row r="690" spans="1:6">
      <c r="A690" s="1">
        <v>45888</v>
      </c>
      <c r="B690" s="7" t="s">
        <v>418</v>
      </c>
      <c r="C690" t="s">
        <v>424</v>
      </c>
      <c r="D690" t="s">
        <v>3</v>
      </c>
      <c r="E690" s="2">
        <v>1.8799999952316284</v>
      </c>
      <c r="F690" t="s">
        <v>710</v>
      </c>
    </row>
    <row r="691" spans="1:6">
      <c r="A691" s="1">
        <v>45888</v>
      </c>
      <c r="B691" s="7" t="s">
        <v>418</v>
      </c>
      <c r="C691" t="s">
        <v>425</v>
      </c>
      <c r="D691" t="s">
        <v>10</v>
      </c>
      <c r="E691" s="2">
        <v>5394</v>
      </c>
      <c r="F691" t="s">
        <v>710</v>
      </c>
    </row>
    <row r="692" spans="1:6">
      <c r="A692" s="1">
        <v>45888</v>
      </c>
      <c r="B692" s="7" t="s">
        <v>418</v>
      </c>
      <c r="C692" t="s">
        <v>425</v>
      </c>
      <c r="D692" t="s">
        <v>3</v>
      </c>
      <c r="E692" s="2">
        <v>25</v>
      </c>
      <c r="F692" t="s">
        <v>710</v>
      </c>
    </row>
    <row r="693" spans="1:6">
      <c r="A693" s="1">
        <v>45888</v>
      </c>
      <c r="B693" s="7" t="s">
        <v>418</v>
      </c>
      <c r="C693" t="s">
        <v>425</v>
      </c>
      <c r="D693" t="s">
        <v>3</v>
      </c>
      <c r="E693" s="2">
        <v>1.8799999952316284</v>
      </c>
      <c r="F693" t="s">
        <v>710</v>
      </c>
    </row>
    <row r="694" spans="1:6">
      <c r="A694" s="1">
        <v>45894</v>
      </c>
      <c r="B694" s="7" t="s">
        <v>426</v>
      </c>
      <c r="C694" t="s">
        <v>427</v>
      </c>
      <c r="D694" t="s">
        <v>15</v>
      </c>
      <c r="E694" s="2">
        <v>25000</v>
      </c>
      <c r="F694" t="s">
        <v>710</v>
      </c>
    </row>
    <row r="695" spans="1:6">
      <c r="A695" s="1">
        <v>45894</v>
      </c>
      <c r="B695" s="7" t="s">
        <v>426</v>
      </c>
      <c r="C695" t="s">
        <v>427</v>
      </c>
      <c r="D695" t="s">
        <v>3</v>
      </c>
      <c r="E695" s="2">
        <v>25</v>
      </c>
      <c r="F695" t="s">
        <v>710</v>
      </c>
    </row>
    <row r="696" spans="1:6">
      <c r="A696" s="1">
        <v>45894</v>
      </c>
      <c r="B696" s="7" t="s">
        <v>426</v>
      </c>
      <c r="C696" t="s">
        <v>427</v>
      </c>
      <c r="D696" t="s">
        <v>3</v>
      </c>
      <c r="E696" s="2">
        <v>1.8800000101327896</v>
      </c>
      <c r="F696" t="s">
        <v>710</v>
      </c>
    </row>
    <row r="697" spans="1:6">
      <c r="A697" s="1">
        <v>45894</v>
      </c>
      <c r="B697" s="7" t="s">
        <v>426</v>
      </c>
      <c r="C697" t="s">
        <v>428</v>
      </c>
      <c r="D697" t="s">
        <v>19</v>
      </c>
      <c r="E697" s="2">
        <v>-450000</v>
      </c>
      <c r="F697" t="s">
        <v>710</v>
      </c>
    </row>
    <row r="698" spans="1:6">
      <c r="A698" s="1">
        <v>45894</v>
      </c>
      <c r="B698" s="7" t="s">
        <v>426</v>
      </c>
      <c r="C698" t="s">
        <v>429</v>
      </c>
      <c r="D698" t="s">
        <v>4</v>
      </c>
      <c r="E698" s="2">
        <v>140000</v>
      </c>
      <c r="F698" t="s">
        <v>710</v>
      </c>
    </row>
    <row r="699" spans="1:6">
      <c r="A699" s="1">
        <v>45894</v>
      </c>
      <c r="B699" s="7" t="s">
        <v>426</v>
      </c>
      <c r="C699" t="s">
        <v>429</v>
      </c>
      <c r="D699" t="s">
        <v>3</v>
      </c>
      <c r="E699" s="2">
        <v>50</v>
      </c>
      <c r="F699" t="s">
        <v>710</v>
      </c>
    </row>
    <row r="700" spans="1:6">
      <c r="A700" s="1">
        <v>45894</v>
      </c>
      <c r="B700" s="7" t="s">
        <v>426</v>
      </c>
      <c r="C700" t="s">
        <v>429</v>
      </c>
      <c r="D700" t="s">
        <v>3</v>
      </c>
      <c r="E700" s="2">
        <v>3.75</v>
      </c>
      <c r="F700" t="s">
        <v>710</v>
      </c>
    </row>
    <row r="701" spans="1:6">
      <c r="A701" s="1">
        <v>45894</v>
      </c>
      <c r="B701" s="7" t="s">
        <v>426</v>
      </c>
      <c r="C701" t="s">
        <v>430</v>
      </c>
      <c r="D701" t="s">
        <v>33</v>
      </c>
      <c r="E701" s="2">
        <v>20000</v>
      </c>
      <c r="F701" t="s">
        <v>710</v>
      </c>
    </row>
    <row r="702" spans="1:6">
      <c r="A702" s="1">
        <v>45894</v>
      </c>
      <c r="B702" s="7" t="s">
        <v>426</v>
      </c>
      <c r="C702" t="s">
        <v>431</v>
      </c>
      <c r="D702" t="s">
        <v>3</v>
      </c>
      <c r="E702" s="2">
        <v>25</v>
      </c>
      <c r="F702" t="s">
        <v>710</v>
      </c>
    </row>
    <row r="703" spans="1:6">
      <c r="A703" s="1">
        <v>45894</v>
      </c>
      <c r="B703" s="7" t="s">
        <v>426</v>
      </c>
      <c r="C703" t="s">
        <v>432</v>
      </c>
      <c r="D703" t="s">
        <v>3</v>
      </c>
      <c r="E703" s="2">
        <v>1.8799999952316284</v>
      </c>
      <c r="F703" t="s">
        <v>710</v>
      </c>
    </row>
    <row r="704" spans="1:6">
      <c r="A704" s="1">
        <v>45894</v>
      </c>
      <c r="B704" s="7" t="s">
        <v>426</v>
      </c>
      <c r="C704" t="s">
        <v>433</v>
      </c>
      <c r="D704" t="s">
        <v>33</v>
      </c>
      <c r="E704" s="2">
        <v>20000</v>
      </c>
      <c r="F704" t="s">
        <v>710</v>
      </c>
    </row>
    <row r="705" spans="1:6">
      <c r="A705" s="1">
        <v>45894</v>
      </c>
      <c r="B705" s="7" t="s">
        <v>426</v>
      </c>
      <c r="C705" t="s">
        <v>434</v>
      </c>
      <c r="D705" t="s">
        <v>3</v>
      </c>
      <c r="E705" s="2">
        <v>25</v>
      </c>
      <c r="F705" t="s">
        <v>710</v>
      </c>
    </row>
    <row r="706" spans="1:6">
      <c r="A706" s="1">
        <v>45894</v>
      </c>
      <c r="B706" s="7" t="s">
        <v>426</v>
      </c>
      <c r="C706" t="s">
        <v>435</v>
      </c>
      <c r="D706" t="s">
        <v>3</v>
      </c>
      <c r="E706" s="2">
        <v>1.8799999952316284</v>
      </c>
      <c r="F706" t="s">
        <v>710</v>
      </c>
    </row>
    <row r="707" spans="1:6">
      <c r="A707" s="1">
        <v>45894</v>
      </c>
      <c r="B707" s="7" t="s">
        <v>426</v>
      </c>
      <c r="C707" t="s">
        <v>436</v>
      </c>
      <c r="D707" t="s">
        <v>33</v>
      </c>
      <c r="E707" s="2">
        <v>35000</v>
      </c>
      <c r="F707" t="s">
        <v>710</v>
      </c>
    </row>
    <row r="708" spans="1:6">
      <c r="A708" s="1">
        <v>45894</v>
      </c>
      <c r="B708" s="7" t="s">
        <v>426</v>
      </c>
      <c r="C708" t="s">
        <v>437</v>
      </c>
      <c r="D708" t="s">
        <v>3</v>
      </c>
      <c r="E708" s="2">
        <v>25</v>
      </c>
      <c r="F708" t="s">
        <v>710</v>
      </c>
    </row>
    <row r="709" spans="1:6">
      <c r="A709" s="1">
        <v>45894</v>
      </c>
      <c r="B709" s="7" t="s">
        <v>426</v>
      </c>
      <c r="C709" t="s">
        <v>438</v>
      </c>
      <c r="D709" t="s">
        <v>3</v>
      </c>
      <c r="E709" s="2">
        <v>1.8800000101327896</v>
      </c>
      <c r="F709" t="s">
        <v>710</v>
      </c>
    </row>
    <row r="710" spans="1:6">
      <c r="A710" s="1">
        <v>45894</v>
      </c>
      <c r="B710" s="7" t="s">
        <v>426</v>
      </c>
      <c r="C710" t="s">
        <v>439</v>
      </c>
      <c r="D710" t="s">
        <v>8</v>
      </c>
      <c r="E710" s="2">
        <v>283172.19999998808</v>
      </c>
      <c r="F710" t="s">
        <v>710</v>
      </c>
    </row>
    <row r="711" spans="1:6">
      <c r="A711" s="1">
        <v>45894</v>
      </c>
      <c r="B711" s="7" t="s">
        <v>426</v>
      </c>
      <c r="C711" t="s">
        <v>440</v>
      </c>
      <c r="D711" t="s">
        <v>3</v>
      </c>
      <c r="E711" s="2">
        <v>50</v>
      </c>
      <c r="F711" t="s">
        <v>710</v>
      </c>
    </row>
    <row r="712" spans="1:6">
      <c r="A712" s="1">
        <v>45894</v>
      </c>
      <c r="B712" s="7" t="s">
        <v>426</v>
      </c>
      <c r="C712" t="s">
        <v>441</v>
      </c>
      <c r="D712" t="s">
        <v>3</v>
      </c>
      <c r="E712" s="2">
        <v>3.75</v>
      </c>
      <c r="F712" t="s">
        <v>710</v>
      </c>
    </row>
    <row r="713" spans="1:6">
      <c r="A713" s="1">
        <v>45894</v>
      </c>
      <c r="B713" s="7" t="s">
        <v>426</v>
      </c>
      <c r="C713" t="s">
        <v>442</v>
      </c>
      <c r="D713" t="s">
        <v>8</v>
      </c>
      <c r="E713" s="2">
        <v>283172.20000000298</v>
      </c>
      <c r="F713" t="s">
        <v>710</v>
      </c>
    </row>
    <row r="714" spans="1:6">
      <c r="A714" s="1">
        <v>45894</v>
      </c>
      <c r="B714" s="7" t="s">
        <v>426</v>
      </c>
      <c r="C714" t="s">
        <v>443</v>
      </c>
      <c r="D714" t="s">
        <v>3</v>
      </c>
      <c r="E714" s="2">
        <v>50</v>
      </c>
      <c r="F714" t="s">
        <v>710</v>
      </c>
    </row>
    <row r="715" spans="1:6">
      <c r="A715" s="1">
        <v>45894</v>
      </c>
      <c r="B715" s="7" t="s">
        <v>426</v>
      </c>
      <c r="C715" t="s">
        <v>444</v>
      </c>
      <c r="D715" t="s">
        <v>3</v>
      </c>
      <c r="E715" s="2">
        <v>3.75</v>
      </c>
      <c r="F715" t="s">
        <v>710</v>
      </c>
    </row>
    <row r="716" spans="1:6">
      <c r="A716" s="1">
        <v>45894</v>
      </c>
      <c r="B716" s="7" t="s">
        <v>426</v>
      </c>
      <c r="C716" t="s">
        <v>445</v>
      </c>
      <c r="D716" t="s">
        <v>8</v>
      </c>
      <c r="E716" s="2">
        <v>283172.20000000298</v>
      </c>
      <c r="F716" t="s">
        <v>710</v>
      </c>
    </row>
    <row r="717" spans="1:6">
      <c r="A717" s="1">
        <v>45894</v>
      </c>
      <c r="B717" s="7" t="s">
        <v>426</v>
      </c>
      <c r="C717" t="s">
        <v>446</v>
      </c>
      <c r="D717" t="s">
        <v>3</v>
      </c>
      <c r="E717" s="2">
        <v>50</v>
      </c>
      <c r="F717" t="s">
        <v>710</v>
      </c>
    </row>
    <row r="718" spans="1:6">
      <c r="A718" s="1">
        <v>45894</v>
      </c>
      <c r="B718" s="7" t="s">
        <v>426</v>
      </c>
      <c r="C718" t="s">
        <v>447</v>
      </c>
      <c r="D718" t="s">
        <v>3</v>
      </c>
      <c r="E718" s="2">
        <v>3.75</v>
      </c>
      <c r="F718" t="s">
        <v>710</v>
      </c>
    </row>
    <row r="719" spans="1:6">
      <c r="A719" s="1">
        <v>45894</v>
      </c>
      <c r="B719" s="7" t="s">
        <v>426</v>
      </c>
      <c r="C719" t="s">
        <v>448</v>
      </c>
      <c r="D719" t="s">
        <v>8</v>
      </c>
      <c r="E719" s="2">
        <v>52835</v>
      </c>
      <c r="F719" t="s">
        <v>710</v>
      </c>
    </row>
    <row r="720" spans="1:6">
      <c r="A720" s="1">
        <v>45894</v>
      </c>
      <c r="B720" s="7" t="s">
        <v>426</v>
      </c>
      <c r="C720" t="s">
        <v>449</v>
      </c>
      <c r="D720" t="s">
        <v>3</v>
      </c>
      <c r="E720" s="2">
        <v>50</v>
      </c>
      <c r="F720" t="s">
        <v>710</v>
      </c>
    </row>
    <row r="721" spans="1:6">
      <c r="A721" s="1">
        <v>45894</v>
      </c>
      <c r="B721" s="7" t="s">
        <v>426</v>
      </c>
      <c r="C721" t="s">
        <v>450</v>
      </c>
      <c r="D721" t="s">
        <v>3</v>
      </c>
      <c r="E721" s="2">
        <v>3.75</v>
      </c>
      <c r="F721" t="s">
        <v>710</v>
      </c>
    </row>
    <row r="722" spans="1:6">
      <c r="A722" s="1">
        <v>45894</v>
      </c>
      <c r="B722" s="7" t="s">
        <v>426</v>
      </c>
      <c r="C722" t="s">
        <v>451</v>
      </c>
      <c r="D722" t="s">
        <v>8</v>
      </c>
      <c r="E722" s="2">
        <v>283172.20000000298</v>
      </c>
      <c r="F722" t="s">
        <v>710</v>
      </c>
    </row>
    <row r="723" spans="1:6">
      <c r="A723" s="1">
        <v>45894</v>
      </c>
      <c r="B723" s="7" t="s">
        <v>426</v>
      </c>
      <c r="C723" t="s">
        <v>452</v>
      </c>
      <c r="D723" t="s">
        <v>3</v>
      </c>
      <c r="E723" s="2">
        <v>50</v>
      </c>
      <c r="F723" t="s">
        <v>710</v>
      </c>
    </row>
    <row r="724" spans="1:6">
      <c r="A724" s="1">
        <v>45894</v>
      </c>
      <c r="B724" s="7" t="s">
        <v>426</v>
      </c>
      <c r="C724" t="s">
        <v>453</v>
      </c>
      <c r="D724" t="s">
        <v>3</v>
      </c>
      <c r="E724" s="2">
        <v>3.75</v>
      </c>
      <c r="F724" t="s">
        <v>710</v>
      </c>
    </row>
    <row r="725" spans="1:6">
      <c r="A725" s="1">
        <v>45894</v>
      </c>
      <c r="B725" s="7" t="s">
        <v>426</v>
      </c>
      <c r="C725" t="s">
        <v>454</v>
      </c>
      <c r="D725" t="s">
        <v>8</v>
      </c>
      <c r="E725" s="2">
        <v>486614.59999999404</v>
      </c>
      <c r="F725" t="s">
        <v>710</v>
      </c>
    </row>
    <row r="726" spans="1:6">
      <c r="A726" s="1">
        <v>45894</v>
      </c>
      <c r="B726" s="7" t="s">
        <v>426</v>
      </c>
      <c r="C726" t="s">
        <v>455</v>
      </c>
      <c r="D726" t="s">
        <v>3</v>
      </c>
      <c r="E726" s="2">
        <v>50</v>
      </c>
      <c r="F726" t="s">
        <v>710</v>
      </c>
    </row>
    <row r="727" spans="1:6">
      <c r="A727" s="1">
        <v>45894</v>
      </c>
      <c r="B727" s="7" t="s">
        <v>426</v>
      </c>
      <c r="C727" t="s">
        <v>456</v>
      </c>
      <c r="D727" t="s">
        <v>3</v>
      </c>
      <c r="E727" s="2">
        <v>3.75</v>
      </c>
      <c r="F727" t="s">
        <v>710</v>
      </c>
    </row>
    <row r="728" spans="1:6">
      <c r="A728" s="1">
        <v>45894</v>
      </c>
      <c r="B728" s="7" t="s">
        <v>426</v>
      </c>
      <c r="C728" t="s">
        <v>457</v>
      </c>
      <c r="D728" t="s">
        <v>8</v>
      </c>
      <c r="E728" s="2">
        <v>52835</v>
      </c>
      <c r="F728" t="s">
        <v>710</v>
      </c>
    </row>
    <row r="729" spans="1:6">
      <c r="A729" s="1">
        <v>45894</v>
      </c>
      <c r="B729" s="7" t="s">
        <v>426</v>
      </c>
      <c r="C729" t="s">
        <v>458</v>
      </c>
      <c r="D729" t="s">
        <v>3</v>
      </c>
      <c r="E729" s="2">
        <v>50</v>
      </c>
      <c r="F729" t="s">
        <v>710</v>
      </c>
    </row>
    <row r="730" spans="1:6">
      <c r="A730" s="1">
        <v>45894</v>
      </c>
      <c r="B730" s="7" t="s">
        <v>426</v>
      </c>
      <c r="C730" t="s">
        <v>459</v>
      </c>
      <c r="D730" t="s">
        <v>3</v>
      </c>
      <c r="E730" s="2">
        <v>3.75</v>
      </c>
      <c r="F730" t="s">
        <v>710</v>
      </c>
    </row>
    <row r="731" spans="1:6">
      <c r="A731" s="1">
        <v>45894</v>
      </c>
      <c r="B731" s="7" t="s">
        <v>426</v>
      </c>
      <c r="C731" t="s">
        <v>460</v>
      </c>
      <c r="D731" t="s">
        <v>8</v>
      </c>
      <c r="E731" s="2">
        <v>283172.20000000298</v>
      </c>
      <c r="F731" t="s">
        <v>710</v>
      </c>
    </row>
    <row r="732" spans="1:6">
      <c r="A732" s="1">
        <v>45894</v>
      </c>
      <c r="B732" s="7" t="s">
        <v>426</v>
      </c>
      <c r="C732" t="s">
        <v>461</v>
      </c>
      <c r="D732" t="s">
        <v>3</v>
      </c>
      <c r="E732" s="2">
        <v>50</v>
      </c>
      <c r="F732" t="s">
        <v>710</v>
      </c>
    </row>
    <row r="733" spans="1:6">
      <c r="A733" s="1">
        <v>45894</v>
      </c>
      <c r="B733" s="7" t="s">
        <v>426</v>
      </c>
      <c r="C733" t="s">
        <v>462</v>
      </c>
      <c r="D733" t="s">
        <v>3</v>
      </c>
      <c r="E733" s="2">
        <v>3.75</v>
      </c>
      <c r="F733" t="s">
        <v>710</v>
      </c>
    </row>
    <row r="734" spans="1:6">
      <c r="A734" s="1">
        <v>45894</v>
      </c>
      <c r="B734" s="7" t="s">
        <v>426</v>
      </c>
      <c r="C734" t="s">
        <v>463</v>
      </c>
      <c r="D734" t="s">
        <v>8</v>
      </c>
      <c r="E734" s="2">
        <v>283172.20000000298</v>
      </c>
      <c r="F734" t="s">
        <v>710</v>
      </c>
    </row>
    <row r="735" spans="1:6">
      <c r="A735" s="1">
        <v>45894</v>
      </c>
      <c r="B735" s="7" t="s">
        <v>426</v>
      </c>
      <c r="C735" t="s">
        <v>464</v>
      </c>
      <c r="D735" t="s">
        <v>3</v>
      </c>
      <c r="E735" s="2">
        <v>50</v>
      </c>
      <c r="F735" t="s">
        <v>710</v>
      </c>
    </row>
    <row r="736" spans="1:6">
      <c r="A736" s="1">
        <v>45894</v>
      </c>
      <c r="B736" s="7" t="s">
        <v>426</v>
      </c>
      <c r="C736" t="s">
        <v>465</v>
      </c>
      <c r="D736" t="s">
        <v>3</v>
      </c>
      <c r="E736" s="2">
        <v>3.75</v>
      </c>
      <c r="F736" t="s">
        <v>710</v>
      </c>
    </row>
    <row r="737" spans="1:6">
      <c r="A737" s="1">
        <v>45894</v>
      </c>
      <c r="B737" s="7" t="s">
        <v>426</v>
      </c>
      <c r="C737" t="s">
        <v>466</v>
      </c>
      <c r="D737" t="s">
        <v>8</v>
      </c>
      <c r="E737" s="2">
        <v>283172.19999999553</v>
      </c>
      <c r="F737" t="s">
        <v>710</v>
      </c>
    </row>
    <row r="738" spans="1:6">
      <c r="A738" s="1">
        <v>45894</v>
      </c>
      <c r="B738" s="7" t="s">
        <v>426</v>
      </c>
      <c r="C738" t="s">
        <v>467</v>
      </c>
      <c r="D738" t="s">
        <v>3</v>
      </c>
      <c r="E738" s="2">
        <v>50</v>
      </c>
      <c r="F738" t="s">
        <v>710</v>
      </c>
    </row>
    <row r="739" spans="1:6">
      <c r="A739" s="1">
        <v>45894</v>
      </c>
      <c r="B739" s="7" t="s">
        <v>426</v>
      </c>
      <c r="C739" t="s">
        <v>468</v>
      </c>
      <c r="D739" t="s">
        <v>3</v>
      </c>
      <c r="E739" s="2">
        <v>3.75</v>
      </c>
      <c r="F739" t="s">
        <v>710</v>
      </c>
    </row>
    <row r="740" spans="1:6">
      <c r="A740" s="1">
        <v>45894</v>
      </c>
      <c r="B740" s="7" t="s">
        <v>426</v>
      </c>
      <c r="C740" t="s">
        <v>469</v>
      </c>
      <c r="D740" t="s">
        <v>8</v>
      </c>
      <c r="E740" s="2">
        <v>4019028.3599999994</v>
      </c>
      <c r="F740" t="s">
        <v>710</v>
      </c>
    </row>
    <row r="741" spans="1:6">
      <c r="A741" s="1">
        <v>45894</v>
      </c>
      <c r="B741" s="7" t="s">
        <v>426</v>
      </c>
      <c r="C741" t="s">
        <v>470</v>
      </c>
      <c r="D741" t="s">
        <v>3</v>
      </c>
      <c r="E741" s="2">
        <v>50</v>
      </c>
      <c r="F741" t="s">
        <v>710</v>
      </c>
    </row>
    <row r="742" spans="1:6">
      <c r="A742" s="1">
        <v>45894</v>
      </c>
      <c r="B742" s="7" t="s">
        <v>426</v>
      </c>
      <c r="C742" t="s">
        <v>471</v>
      </c>
      <c r="D742" t="s">
        <v>3</v>
      </c>
      <c r="E742" s="2">
        <v>3.75</v>
      </c>
      <c r="F742" t="s">
        <v>710</v>
      </c>
    </row>
    <row r="743" spans="1:6">
      <c r="A743" s="1">
        <v>45894</v>
      </c>
      <c r="B743" s="7" t="s">
        <v>426</v>
      </c>
      <c r="C743" t="s">
        <v>472</v>
      </c>
      <c r="D743" t="s">
        <v>8</v>
      </c>
      <c r="E743" s="2">
        <v>283172.20000000298</v>
      </c>
      <c r="F743" t="s">
        <v>710</v>
      </c>
    </row>
    <row r="744" spans="1:6">
      <c r="A744" s="1">
        <v>45894</v>
      </c>
      <c r="B744" s="7" t="s">
        <v>426</v>
      </c>
      <c r="C744" t="s">
        <v>473</v>
      </c>
      <c r="D744" t="s">
        <v>3</v>
      </c>
      <c r="E744" s="2">
        <v>50</v>
      </c>
      <c r="F744" t="s">
        <v>710</v>
      </c>
    </row>
    <row r="745" spans="1:6">
      <c r="A745" s="1">
        <v>45894</v>
      </c>
      <c r="B745" s="7" t="s">
        <v>426</v>
      </c>
      <c r="C745" t="s">
        <v>474</v>
      </c>
      <c r="D745" t="s">
        <v>3</v>
      </c>
      <c r="E745" s="2">
        <v>3.75</v>
      </c>
      <c r="F745" t="s">
        <v>710</v>
      </c>
    </row>
    <row r="746" spans="1:6">
      <c r="A746" s="1">
        <v>45894</v>
      </c>
      <c r="B746" s="7" t="s">
        <v>426</v>
      </c>
      <c r="C746" t="s">
        <v>475</v>
      </c>
      <c r="D746" t="s">
        <v>8</v>
      </c>
      <c r="E746" s="2">
        <v>52835</v>
      </c>
      <c r="F746" t="s">
        <v>710</v>
      </c>
    </row>
    <row r="747" spans="1:6">
      <c r="A747" s="1">
        <v>45894</v>
      </c>
      <c r="B747" s="7" t="s">
        <v>426</v>
      </c>
      <c r="C747" t="s">
        <v>476</v>
      </c>
      <c r="D747" t="s">
        <v>3</v>
      </c>
      <c r="E747" s="2">
        <v>50</v>
      </c>
      <c r="F747" t="s">
        <v>710</v>
      </c>
    </row>
    <row r="748" spans="1:6">
      <c r="A748" s="1">
        <v>45894</v>
      </c>
      <c r="B748" s="7" t="s">
        <v>426</v>
      </c>
      <c r="C748" t="s">
        <v>477</v>
      </c>
      <c r="D748" t="s">
        <v>3</v>
      </c>
      <c r="E748" s="2">
        <v>3.75</v>
      </c>
      <c r="F748" t="s">
        <v>710</v>
      </c>
    </row>
    <row r="749" spans="1:6">
      <c r="A749" s="1">
        <v>45894</v>
      </c>
      <c r="B749" s="7" t="s">
        <v>426</v>
      </c>
      <c r="C749" t="s">
        <v>478</v>
      </c>
      <c r="D749" t="s">
        <v>8</v>
      </c>
      <c r="E749" s="2">
        <v>2295519.5600000024</v>
      </c>
      <c r="F749" t="s">
        <v>710</v>
      </c>
    </row>
    <row r="750" spans="1:6">
      <c r="A750" s="1">
        <v>45894</v>
      </c>
      <c r="B750" s="7" t="s">
        <v>426</v>
      </c>
      <c r="C750" t="s">
        <v>479</v>
      </c>
      <c r="D750" t="s">
        <v>3</v>
      </c>
      <c r="E750" s="2">
        <v>50</v>
      </c>
      <c r="F750" t="s">
        <v>710</v>
      </c>
    </row>
    <row r="751" spans="1:6">
      <c r="A751" s="1">
        <v>45894</v>
      </c>
      <c r="B751" s="7" t="s">
        <v>426</v>
      </c>
      <c r="C751" t="s">
        <v>480</v>
      </c>
      <c r="D751" t="s">
        <v>3</v>
      </c>
      <c r="E751" s="2">
        <v>3.75</v>
      </c>
      <c r="F751" t="s">
        <v>710</v>
      </c>
    </row>
    <row r="752" spans="1:6">
      <c r="A752" s="1">
        <v>45894</v>
      </c>
      <c r="B752" s="7" t="s">
        <v>426</v>
      </c>
      <c r="C752" t="s">
        <v>481</v>
      </c>
      <c r="D752" t="s">
        <v>8</v>
      </c>
      <c r="E752" s="2">
        <v>71025</v>
      </c>
      <c r="F752" t="s">
        <v>710</v>
      </c>
    </row>
    <row r="753" spans="1:6">
      <c r="A753" s="1">
        <v>45894</v>
      </c>
      <c r="B753" s="7" t="s">
        <v>426</v>
      </c>
      <c r="C753" t="s">
        <v>482</v>
      </c>
      <c r="D753" t="s">
        <v>3</v>
      </c>
      <c r="E753" s="2">
        <v>50</v>
      </c>
      <c r="F753" t="s">
        <v>710</v>
      </c>
    </row>
    <row r="754" spans="1:6">
      <c r="A754" s="1">
        <v>45894</v>
      </c>
      <c r="B754" s="7" t="s">
        <v>426</v>
      </c>
      <c r="C754" t="s">
        <v>483</v>
      </c>
      <c r="D754" t="s">
        <v>3</v>
      </c>
      <c r="E754" s="2">
        <v>3.75</v>
      </c>
      <c r="F754" t="s">
        <v>710</v>
      </c>
    </row>
    <row r="755" spans="1:6">
      <c r="A755" s="1">
        <v>45894</v>
      </c>
      <c r="B755" s="7" t="s">
        <v>426</v>
      </c>
      <c r="C755" t="s">
        <v>484</v>
      </c>
      <c r="D755" t="s">
        <v>8</v>
      </c>
      <c r="E755" s="2">
        <v>283172.19999999553</v>
      </c>
      <c r="F755" t="s">
        <v>710</v>
      </c>
    </row>
    <row r="756" spans="1:6">
      <c r="A756" s="1">
        <v>45894</v>
      </c>
      <c r="B756" s="7" t="s">
        <v>426</v>
      </c>
      <c r="C756" t="s">
        <v>485</v>
      </c>
      <c r="D756" t="s">
        <v>3</v>
      </c>
      <c r="E756" s="2">
        <v>50</v>
      </c>
      <c r="F756" t="s">
        <v>710</v>
      </c>
    </row>
    <row r="757" spans="1:6">
      <c r="A757" s="1">
        <v>45894</v>
      </c>
      <c r="B757" s="7" t="s">
        <v>426</v>
      </c>
      <c r="C757" t="s">
        <v>486</v>
      </c>
      <c r="D757" t="s">
        <v>3</v>
      </c>
      <c r="E757" s="2">
        <v>3.75</v>
      </c>
      <c r="F757" t="s">
        <v>710</v>
      </c>
    </row>
    <row r="758" spans="1:6">
      <c r="A758" s="1">
        <v>45894</v>
      </c>
      <c r="B758" s="7" t="s">
        <v>426</v>
      </c>
      <c r="C758" t="s">
        <v>487</v>
      </c>
      <c r="D758" t="s">
        <v>33</v>
      </c>
      <c r="E758" s="2">
        <v>35000</v>
      </c>
      <c r="F758" t="s">
        <v>710</v>
      </c>
    </row>
    <row r="759" spans="1:6">
      <c r="A759" s="1">
        <v>45894</v>
      </c>
      <c r="B759" s="7" t="s">
        <v>426</v>
      </c>
      <c r="C759" t="s">
        <v>488</v>
      </c>
      <c r="D759" t="s">
        <v>3</v>
      </c>
      <c r="E759" s="2">
        <v>25</v>
      </c>
      <c r="F759" t="s">
        <v>710</v>
      </c>
    </row>
    <row r="760" spans="1:6">
      <c r="A760" s="1">
        <v>45894</v>
      </c>
      <c r="B760" s="7" t="s">
        <v>426</v>
      </c>
      <c r="C760" t="s">
        <v>489</v>
      </c>
      <c r="D760" t="s">
        <v>3</v>
      </c>
      <c r="E760" s="2">
        <v>1.880000002682209</v>
      </c>
      <c r="F760" t="s">
        <v>710</v>
      </c>
    </row>
    <row r="761" spans="1:6">
      <c r="A761" s="1">
        <v>45894</v>
      </c>
      <c r="B761" s="7" t="s">
        <v>426</v>
      </c>
      <c r="C761" t="s">
        <v>490</v>
      </c>
      <c r="D761" t="s">
        <v>33</v>
      </c>
      <c r="E761" s="2">
        <v>20000</v>
      </c>
      <c r="F761" t="s">
        <v>710</v>
      </c>
    </row>
    <row r="762" spans="1:6">
      <c r="A762" s="1">
        <v>45894</v>
      </c>
      <c r="B762" s="7" t="s">
        <v>426</v>
      </c>
      <c r="C762" t="s">
        <v>491</v>
      </c>
      <c r="D762" t="s">
        <v>3</v>
      </c>
      <c r="E762" s="2">
        <v>25</v>
      </c>
      <c r="F762" t="s">
        <v>710</v>
      </c>
    </row>
    <row r="763" spans="1:6">
      <c r="A763" s="1">
        <v>45894</v>
      </c>
      <c r="B763" s="7" t="s">
        <v>426</v>
      </c>
      <c r="C763" t="s">
        <v>492</v>
      </c>
      <c r="D763" t="s">
        <v>3</v>
      </c>
      <c r="E763" s="2">
        <v>1.880000002682209</v>
      </c>
      <c r="F763" t="s">
        <v>710</v>
      </c>
    </row>
    <row r="764" spans="1:6">
      <c r="A764" s="1">
        <v>45894</v>
      </c>
      <c r="B764" s="7" t="s">
        <v>426</v>
      </c>
      <c r="C764" t="s">
        <v>493</v>
      </c>
      <c r="D764" t="s">
        <v>33</v>
      </c>
      <c r="E764" s="2">
        <v>20000</v>
      </c>
      <c r="F764" t="s">
        <v>710</v>
      </c>
    </row>
    <row r="765" spans="1:6">
      <c r="A765" s="1">
        <v>45894</v>
      </c>
      <c r="B765" s="7" t="s">
        <v>426</v>
      </c>
      <c r="C765" t="s">
        <v>494</v>
      </c>
      <c r="D765" t="s">
        <v>3</v>
      </c>
      <c r="E765" s="2">
        <v>25</v>
      </c>
      <c r="F765" t="s">
        <v>710</v>
      </c>
    </row>
    <row r="766" spans="1:6">
      <c r="A766" s="1">
        <v>45894</v>
      </c>
      <c r="B766" s="7" t="s">
        <v>426</v>
      </c>
      <c r="C766" t="s">
        <v>495</v>
      </c>
      <c r="D766" t="s">
        <v>3</v>
      </c>
      <c r="E766" s="2">
        <v>1.8799999952316284</v>
      </c>
      <c r="F766" t="s">
        <v>710</v>
      </c>
    </row>
    <row r="767" spans="1:6">
      <c r="A767" s="1">
        <v>45894</v>
      </c>
      <c r="B767" s="7" t="s">
        <v>426</v>
      </c>
      <c r="C767" t="s">
        <v>496</v>
      </c>
      <c r="D767" t="s">
        <v>33</v>
      </c>
      <c r="E767" s="2">
        <v>27500</v>
      </c>
      <c r="F767" t="s">
        <v>710</v>
      </c>
    </row>
    <row r="768" spans="1:6">
      <c r="A768" s="1">
        <v>45894</v>
      </c>
      <c r="B768" s="7" t="s">
        <v>426</v>
      </c>
      <c r="C768" t="s">
        <v>497</v>
      </c>
      <c r="D768" t="s">
        <v>3</v>
      </c>
      <c r="E768" s="2">
        <v>25</v>
      </c>
      <c r="F768" t="s">
        <v>710</v>
      </c>
    </row>
    <row r="769" spans="1:6">
      <c r="A769" s="1">
        <v>45894</v>
      </c>
      <c r="B769" s="7" t="s">
        <v>426</v>
      </c>
      <c r="C769" t="s">
        <v>498</v>
      </c>
      <c r="D769" t="s">
        <v>3</v>
      </c>
      <c r="E769" s="2">
        <v>1.880000002682209</v>
      </c>
      <c r="F769" t="s">
        <v>710</v>
      </c>
    </row>
    <row r="770" spans="1:6">
      <c r="A770" s="1">
        <v>45894</v>
      </c>
      <c r="B770" s="7" t="s">
        <v>426</v>
      </c>
      <c r="C770" t="s">
        <v>499</v>
      </c>
      <c r="D770" t="s">
        <v>33</v>
      </c>
      <c r="E770" s="2">
        <v>35000</v>
      </c>
      <c r="F770" t="s">
        <v>710</v>
      </c>
    </row>
    <row r="771" spans="1:6">
      <c r="A771" s="1">
        <v>45894</v>
      </c>
      <c r="B771" s="7" t="s">
        <v>426</v>
      </c>
      <c r="C771" t="s">
        <v>500</v>
      </c>
      <c r="D771" t="s">
        <v>3</v>
      </c>
      <c r="E771" s="2">
        <v>25</v>
      </c>
      <c r="F771" t="s">
        <v>710</v>
      </c>
    </row>
    <row r="772" spans="1:6">
      <c r="A772" s="1">
        <v>45894</v>
      </c>
      <c r="B772" s="7" t="s">
        <v>426</v>
      </c>
      <c r="C772" t="s">
        <v>501</v>
      </c>
      <c r="D772" t="s">
        <v>3</v>
      </c>
      <c r="E772" s="2">
        <v>1.8799999952316284</v>
      </c>
      <c r="F772" t="s">
        <v>710</v>
      </c>
    </row>
    <row r="773" spans="1:6">
      <c r="A773" s="1">
        <v>45894</v>
      </c>
      <c r="B773" s="7" t="s">
        <v>426</v>
      </c>
      <c r="C773" t="s">
        <v>502</v>
      </c>
      <c r="D773" t="s">
        <v>33</v>
      </c>
      <c r="E773" s="2">
        <v>35000</v>
      </c>
      <c r="F773" t="s">
        <v>710</v>
      </c>
    </row>
    <row r="774" spans="1:6">
      <c r="A774" s="1">
        <v>45894</v>
      </c>
      <c r="B774" s="7" t="s">
        <v>426</v>
      </c>
      <c r="C774" t="s">
        <v>503</v>
      </c>
      <c r="D774" t="s">
        <v>3</v>
      </c>
      <c r="E774" s="2">
        <v>25</v>
      </c>
      <c r="F774" t="s">
        <v>710</v>
      </c>
    </row>
    <row r="775" spans="1:6">
      <c r="A775" s="1">
        <v>45894</v>
      </c>
      <c r="B775" s="7" t="s">
        <v>426</v>
      </c>
      <c r="C775" t="s">
        <v>504</v>
      </c>
      <c r="D775" t="s">
        <v>3</v>
      </c>
      <c r="E775" s="2">
        <v>1.880000002682209</v>
      </c>
      <c r="F775" t="s">
        <v>710</v>
      </c>
    </row>
    <row r="776" spans="1:6">
      <c r="A776" s="1">
        <v>45894</v>
      </c>
      <c r="B776" s="7" t="s">
        <v>426</v>
      </c>
      <c r="C776" t="s">
        <v>505</v>
      </c>
      <c r="D776" t="s">
        <v>33</v>
      </c>
      <c r="E776" s="2">
        <v>20000</v>
      </c>
      <c r="F776" t="s">
        <v>710</v>
      </c>
    </row>
    <row r="777" spans="1:6">
      <c r="A777" s="1">
        <v>45894</v>
      </c>
      <c r="B777" s="7" t="s">
        <v>426</v>
      </c>
      <c r="C777" t="s">
        <v>506</v>
      </c>
      <c r="D777" t="s">
        <v>3</v>
      </c>
      <c r="E777" s="2">
        <v>25</v>
      </c>
      <c r="F777" t="s">
        <v>710</v>
      </c>
    </row>
    <row r="778" spans="1:6">
      <c r="A778" s="1">
        <v>45894</v>
      </c>
      <c r="B778" s="7" t="s">
        <v>426</v>
      </c>
      <c r="C778" t="s">
        <v>507</v>
      </c>
      <c r="D778" t="s">
        <v>3</v>
      </c>
      <c r="E778" s="2">
        <v>1.880000002682209</v>
      </c>
      <c r="F778" t="s">
        <v>710</v>
      </c>
    </row>
    <row r="779" spans="1:6">
      <c r="A779" s="1">
        <v>45894</v>
      </c>
      <c r="B779" s="7" t="s">
        <v>426</v>
      </c>
      <c r="C779" t="s">
        <v>508</v>
      </c>
      <c r="D779" t="s">
        <v>33</v>
      </c>
      <c r="E779" s="2">
        <v>20000</v>
      </c>
      <c r="F779" t="s">
        <v>710</v>
      </c>
    </row>
    <row r="780" spans="1:6">
      <c r="A780" s="1">
        <v>45894</v>
      </c>
      <c r="B780" s="7" t="s">
        <v>426</v>
      </c>
      <c r="C780" t="s">
        <v>509</v>
      </c>
      <c r="D780" t="s">
        <v>3</v>
      </c>
      <c r="E780" s="2">
        <v>25</v>
      </c>
      <c r="F780" t="s">
        <v>710</v>
      </c>
    </row>
    <row r="781" spans="1:6">
      <c r="A781" s="1">
        <v>45894</v>
      </c>
      <c r="B781" s="7" t="s">
        <v>426</v>
      </c>
      <c r="C781" t="s">
        <v>510</v>
      </c>
      <c r="D781" t="s">
        <v>3</v>
      </c>
      <c r="E781" s="2">
        <v>1.8799999952316284</v>
      </c>
      <c r="F781" t="s">
        <v>710</v>
      </c>
    </row>
    <row r="782" spans="1:6">
      <c r="A782" s="1">
        <v>45894</v>
      </c>
      <c r="B782" s="7" t="s">
        <v>426</v>
      </c>
      <c r="C782" t="s">
        <v>511</v>
      </c>
      <c r="D782" t="s">
        <v>33</v>
      </c>
      <c r="E782" s="2">
        <v>20000</v>
      </c>
      <c r="F782" t="s">
        <v>710</v>
      </c>
    </row>
    <row r="783" spans="1:6">
      <c r="A783" s="1">
        <v>45894</v>
      </c>
      <c r="B783" s="7" t="s">
        <v>426</v>
      </c>
      <c r="C783" t="s">
        <v>512</v>
      </c>
      <c r="D783" t="s">
        <v>3</v>
      </c>
      <c r="E783" s="2">
        <v>25</v>
      </c>
      <c r="F783" t="s">
        <v>710</v>
      </c>
    </row>
    <row r="784" spans="1:6">
      <c r="A784" s="1">
        <v>45894</v>
      </c>
      <c r="B784" s="7" t="s">
        <v>426</v>
      </c>
      <c r="C784" t="s">
        <v>513</v>
      </c>
      <c r="D784" t="s">
        <v>3</v>
      </c>
      <c r="E784" s="2">
        <v>1.880000002682209</v>
      </c>
      <c r="F784" t="s">
        <v>710</v>
      </c>
    </row>
    <row r="785" spans="1:6">
      <c r="A785" s="1">
        <v>45894</v>
      </c>
      <c r="B785" s="7" t="s">
        <v>426</v>
      </c>
      <c r="C785" t="s">
        <v>514</v>
      </c>
      <c r="D785" t="s">
        <v>33</v>
      </c>
      <c r="E785" s="2">
        <v>35000</v>
      </c>
      <c r="F785" t="s">
        <v>710</v>
      </c>
    </row>
    <row r="786" spans="1:6">
      <c r="A786" s="1">
        <v>45894</v>
      </c>
      <c r="B786" s="7" t="s">
        <v>426</v>
      </c>
      <c r="C786" t="s">
        <v>515</v>
      </c>
      <c r="D786" t="s">
        <v>3</v>
      </c>
      <c r="E786" s="2">
        <v>25</v>
      </c>
      <c r="F786" t="s">
        <v>710</v>
      </c>
    </row>
    <row r="787" spans="1:6">
      <c r="A787" s="1">
        <v>45894</v>
      </c>
      <c r="B787" s="7" t="s">
        <v>426</v>
      </c>
      <c r="C787" t="s">
        <v>516</v>
      </c>
      <c r="D787" t="s">
        <v>3</v>
      </c>
      <c r="E787" s="2">
        <v>1.880000002682209</v>
      </c>
      <c r="F787" t="s">
        <v>710</v>
      </c>
    </row>
    <row r="788" spans="1:6">
      <c r="A788" s="1">
        <v>45894</v>
      </c>
      <c r="B788" s="7" t="s">
        <v>426</v>
      </c>
      <c r="C788" t="s">
        <v>517</v>
      </c>
      <c r="D788" t="s">
        <v>33</v>
      </c>
      <c r="E788" s="2">
        <v>35000</v>
      </c>
      <c r="F788" t="s">
        <v>710</v>
      </c>
    </row>
    <row r="789" spans="1:6">
      <c r="A789" s="1">
        <v>45894</v>
      </c>
      <c r="B789" s="7" t="s">
        <v>426</v>
      </c>
      <c r="C789" t="s">
        <v>518</v>
      </c>
      <c r="D789" t="s">
        <v>3</v>
      </c>
      <c r="E789" s="2">
        <v>25</v>
      </c>
      <c r="F789" t="s">
        <v>710</v>
      </c>
    </row>
    <row r="790" spans="1:6">
      <c r="A790" s="1">
        <v>45894</v>
      </c>
      <c r="B790" s="7" t="s">
        <v>426</v>
      </c>
      <c r="C790" t="s">
        <v>519</v>
      </c>
      <c r="D790" t="s">
        <v>3</v>
      </c>
      <c r="E790" s="2">
        <v>1.8799999952316284</v>
      </c>
      <c r="F790" t="s">
        <v>710</v>
      </c>
    </row>
    <row r="791" spans="1:6">
      <c r="A791" s="1">
        <v>45894</v>
      </c>
      <c r="B791" s="7" t="s">
        <v>426</v>
      </c>
      <c r="C791" t="s">
        <v>520</v>
      </c>
      <c r="D791" t="s">
        <v>33</v>
      </c>
      <c r="E791" s="2">
        <v>20000</v>
      </c>
      <c r="F791" t="s">
        <v>710</v>
      </c>
    </row>
    <row r="792" spans="1:6">
      <c r="A792" s="1">
        <v>45894</v>
      </c>
      <c r="B792" s="7" t="s">
        <v>426</v>
      </c>
      <c r="C792" t="s">
        <v>521</v>
      </c>
      <c r="D792" t="s">
        <v>3</v>
      </c>
      <c r="E792" s="2">
        <v>25</v>
      </c>
      <c r="F792" t="s">
        <v>710</v>
      </c>
    </row>
    <row r="793" spans="1:6">
      <c r="A793" s="1">
        <v>45894</v>
      </c>
      <c r="B793" s="7" t="s">
        <v>426</v>
      </c>
      <c r="C793" t="s">
        <v>522</v>
      </c>
      <c r="D793" t="s">
        <v>3</v>
      </c>
      <c r="E793" s="2">
        <v>1.880000002682209</v>
      </c>
      <c r="F793" t="s">
        <v>710</v>
      </c>
    </row>
    <row r="794" spans="1:6">
      <c r="A794" s="1">
        <v>45894</v>
      </c>
      <c r="B794" s="7" t="s">
        <v>426</v>
      </c>
      <c r="C794" t="s">
        <v>523</v>
      </c>
      <c r="D794" t="s">
        <v>33</v>
      </c>
      <c r="E794" s="2">
        <v>35000</v>
      </c>
      <c r="F794" t="s">
        <v>710</v>
      </c>
    </row>
    <row r="795" spans="1:6">
      <c r="A795" s="1">
        <v>45894</v>
      </c>
      <c r="B795" s="7" t="s">
        <v>426</v>
      </c>
      <c r="C795" t="s">
        <v>524</v>
      </c>
      <c r="D795" t="s">
        <v>3</v>
      </c>
      <c r="E795" s="2">
        <v>25</v>
      </c>
      <c r="F795" t="s">
        <v>710</v>
      </c>
    </row>
    <row r="796" spans="1:6">
      <c r="A796" s="1">
        <v>45894</v>
      </c>
      <c r="B796" s="7" t="s">
        <v>426</v>
      </c>
      <c r="C796" t="s">
        <v>525</v>
      </c>
      <c r="D796" t="s">
        <v>3</v>
      </c>
      <c r="E796" s="2">
        <v>1.880000002682209</v>
      </c>
      <c r="F796" t="s">
        <v>710</v>
      </c>
    </row>
    <row r="797" spans="1:6">
      <c r="A797" s="1">
        <v>45894</v>
      </c>
      <c r="B797" s="7" t="s">
        <v>426</v>
      </c>
      <c r="C797" t="s">
        <v>526</v>
      </c>
      <c r="D797" t="s">
        <v>33</v>
      </c>
      <c r="E797" s="2">
        <v>35000</v>
      </c>
      <c r="F797" t="s">
        <v>710</v>
      </c>
    </row>
    <row r="798" spans="1:6">
      <c r="A798" s="1">
        <v>45894</v>
      </c>
      <c r="B798" s="7" t="s">
        <v>426</v>
      </c>
      <c r="C798" t="s">
        <v>527</v>
      </c>
      <c r="D798" t="s">
        <v>3</v>
      </c>
      <c r="E798" s="2">
        <v>25</v>
      </c>
      <c r="F798" t="s">
        <v>710</v>
      </c>
    </row>
    <row r="799" spans="1:6">
      <c r="A799" s="1">
        <v>45894</v>
      </c>
      <c r="B799" s="7" t="s">
        <v>426</v>
      </c>
      <c r="C799" t="s">
        <v>528</v>
      </c>
      <c r="D799" t="s">
        <v>3</v>
      </c>
      <c r="E799" s="2">
        <v>1.8799999952316284</v>
      </c>
      <c r="F799" t="s">
        <v>710</v>
      </c>
    </row>
    <row r="800" spans="1:6">
      <c r="A800" s="1">
        <v>45894</v>
      </c>
      <c r="B800" s="7" t="s">
        <v>426</v>
      </c>
      <c r="C800" t="s">
        <v>529</v>
      </c>
      <c r="D800" t="s">
        <v>33</v>
      </c>
      <c r="E800" s="2">
        <v>27500</v>
      </c>
      <c r="F800" t="s">
        <v>710</v>
      </c>
    </row>
    <row r="801" spans="1:6">
      <c r="A801" s="1">
        <v>45894</v>
      </c>
      <c r="B801" s="7" t="s">
        <v>426</v>
      </c>
      <c r="C801" t="s">
        <v>530</v>
      </c>
      <c r="D801" t="s">
        <v>3</v>
      </c>
      <c r="E801" s="2">
        <v>25</v>
      </c>
      <c r="F801" t="s">
        <v>710</v>
      </c>
    </row>
    <row r="802" spans="1:6">
      <c r="A802" s="1">
        <v>45894</v>
      </c>
      <c r="B802" s="7" t="s">
        <v>426</v>
      </c>
      <c r="C802" t="s">
        <v>531</v>
      </c>
      <c r="D802" t="s">
        <v>3</v>
      </c>
      <c r="E802" s="2">
        <v>1.880000002682209</v>
      </c>
      <c r="F802" t="s">
        <v>710</v>
      </c>
    </row>
    <row r="803" spans="1:6">
      <c r="A803" s="1">
        <v>45894</v>
      </c>
      <c r="B803" s="7" t="s">
        <v>426</v>
      </c>
      <c r="C803" t="s">
        <v>532</v>
      </c>
      <c r="D803" t="s">
        <v>33</v>
      </c>
      <c r="E803" s="2">
        <v>35000</v>
      </c>
      <c r="F803" t="s">
        <v>710</v>
      </c>
    </row>
    <row r="804" spans="1:6">
      <c r="A804" s="1">
        <v>45894</v>
      </c>
      <c r="B804" s="7" t="s">
        <v>426</v>
      </c>
      <c r="C804" t="s">
        <v>533</v>
      </c>
      <c r="D804" t="s">
        <v>3</v>
      </c>
      <c r="E804" s="2">
        <v>25</v>
      </c>
      <c r="F804" t="s">
        <v>710</v>
      </c>
    </row>
    <row r="805" spans="1:6">
      <c r="A805" s="1">
        <v>45894</v>
      </c>
      <c r="B805" s="7" t="s">
        <v>426</v>
      </c>
      <c r="C805" t="s">
        <v>534</v>
      </c>
      <c r="D805" t="s">
        <v>3</v>
      </c>
      <c r="E805" s="2">
        <v>1.8799999952316284</v>
      </c>
      <c r="F805" t="s">
        <v>710</v>
      </c>
    </row>
    <row r="806" spans="1:6">
      <c r="A806" s="1">
        <v>45894</v>
      </c>
      <c r="B806" s="7" t="s">
        <v>426</v>
      </c>
      <c r="C806" t="s">
        <v>535</v>
      </c>
      <c r="D806" t="s">
        <v>33</v>
      </c>
      <c r="E806" s="2">
        <v>70000</v>
      </c>
      <c r="F806" t="s">
        <v>710</v>
      </c>
    </row>
    <row r="807" spans="1:6">
      <c r="A807" s="1">
        <v>45894</v>
      </c>
      <c r="B807" s="7" t="s">
        <v>426</v>
      </c>
      <c r="C807" t="s">
        <v>536</v>
      </c>
      <c r="D807" t="s">
        <v>3</v>
      </c>
      <c r="E807" s="2">
        <v>50</v>
      </c>
      <c r="F807" t="s">
        <v>710</v>
      </c>
    </row>
    <row r="808" spans="1:6">
      <c r="A808" s="1">
        <v>45894</v>
      </c>
      <c r="B808" s="7" t="s">
        <v>426</v>
      </c>
      <c r="C808" t="s">
        <v>537</v>
      </c>
      <c r="D808" t="s">
        <v>3</v>
      </c>
      <c r="E808" s="2">
        <v>3.75</v>
      </c>
      <c r="F808" t="s">
        <v>710</v>
      </c>
    </row>
    <row r="809" spans="1:6">
      <c r="A809" s="1">
        <v>45894</v>
      </c>
      <c r="B809" s="7" t="s">
        <v>426</v>
      </c>
      <c r="C809" t="s">
        <v>538</v>
      </c>
      <c r="D809" t="s">
        <v>33</v>
      </c>
      <c r="E809" s="2">
        <v>35000</v>
      </c>
      <c r="F809" t="s">
        <v>710</v>
      </c>
    </row>
    <row r="810" spans="1:6">
      <c r="A810" s="1">
        <v>45894</v>
      </c>
      <c r="B810" s="7" t="s">
        <v>426</v>
      </c>
      <c r="C810" t="s">
        <v>539</v>
      </c>
      <c r="D810" t="s">
        <v>3</v>
      </c>
      <c r="E810" s="2">
        <v>25</v>
      </c>
      <c r="F810" t="s">
        <v>710</v>
      </c>
    </row>
    <row r="811" spans="1:6">
      <c r="A811" s="1">
        <v>45894</v>
      </c>
      <c r="B811" s="7" t="s">
        <v>426</v>
      </c>
      <c r="C811" t="s">
        <v>540</v>
      </c>
      <c r="D811" t="s">
        <v>3</v>
      </c>
      <c r="E811" s="2">
        <v>1.880000002682209</v>
      </c>
      <c r="F811" t="s">
        <v>710</v>
      </c>
    </row>
    <row r="812" spans="1:6">
      <c r="A812" s="1">
        <v>45894</v>
      </c>
      <c r="B812" s="7" t="s">
        <v>426</v>
      </c>
      <c r="C812" t="s">
        <v>541</v>
      </c>
      <c r="D812" t="s">
        <v>33</v>
      </c>
      <c r="E812" s="2">
        <v>20000</v>
      </c>
      <c r="F812" t="s">
        <v>710</v>
      </c>
    </row>
    <row r="813" spans="1:6">
      <c r="A813" s="1">
        <v>45894</v>
      </c>
      <c r="B813" s="7" t="s">
        <v>426</v>
      </c>
      <c r="C813" t="s">
        <v>542</v>
      </c>
      <c r="D813" t="s">
        <v>3</v>
      </c>
      <c r="E813" s="2">
        <v>25</v>
      </c>
      <c r="F813" t="s">
        <v>710</v>
      </c>
    </row>
    <row r="814" spans="1:6">
      <c r="A814" s="1">
        <v>45894</v>
      </c>
      <c r="B814" s="7" t="s">
        <v>426</v>
      </c>
      <c r="C814" t="s">
        <v>543</v>
      </c>
      <c r="D814" t="s">
        <v>3</v>
      </c>
      <c r="E814" s="2">
        <v>1.880000002682209</v>
      </c>
      <c r="F814" t="s">
        <v>710</v>
      </c>
    </row>
    <row r="815" spans="1:6">
      <c r="A815" s="1">
        <v>45894</v>
      </c>
      <c r="B815" s="7" t="s">
        <v>426</v>
      </c>
      <c r="C815" t="s">
        <v>544</v>
      </c>
      <c r="D815" t="s">
        <v>33</v>
      </c>
      <c r="E815" s="2">
        <v>70000</v>
      </c>
      <c r="F815" t="s">
        <v>710</v>
      </c>
    </row>
    <row r="816" spans="1:6">
      <c r="A816" s="1">
        <v>45894</v>
      </c>
      <c r="B816" s="7" t="s">
        <v>426</v>
      </c>
      <c r="C816" t="s">
        <v>545</v>
      </c>
      <c r="D816" t="s">
        <v>3</v>
      </c>
      <c r="E816" s="2">
        <v>50</v>
      </c>
      <c r="F816" t="s">
        <v>710</v>
      </c>
    </row>
    <row r="817" spans="1:6">
      <c r="A817" s="1">
        <v>45894</v>
      </c>
      <c r="B817" s="7" t="s">
        <v>426</v>
      </c>
      <c r="C817" t="s">
        <v>546</v>
      </c>
      <c r="D817" t="s">
        <v>3</v>
      </c>
      <c r="E817" s="2">
        <v>3.75</v>
      </c>
      <c r="F817" t="s">
        <v>710</v>
      </c>
    </row>
    <row r="818" spans="1:6">
      <c r="A818" s="1">
        <v>45894</v>
      </c>
      <c r="B818" s="7" t="s">
        <v>426</v>
      </c>
      <c r="C818" t="s">
        <v>547</v>
      </c>
      <c r="D818" t="s">
        <v>33</v>
      </c>
      <c r="E818" s="2">
        <v>20000</v>
      </c>
      <c r="F818" t="s">
        <v>710</v>
      </c>
    </row>
    <row r="819" spans="1:6">
      <c r="A819" s="1">
        <v>45894</v>
      </c>
      <c r="B819" s="7" t="s">
        <v>426</v>
      </c>
      <c r="C819" t="s">
        <v>548</v>
      </c>
      <c r="D819" t="s">
        <v>3</v>
      </c>
      <c r="E819" s="2">
        <v>25</v>
      </c>
      <c r="F819" t="s">
        <v>710</v>
      </c>
    </row>
    <row r="820" spans="1:6">
      <c r="A820" s="1">
        <v>45894</v>
      </c>
      <c r="B820" s="7" t="s">
        <v>426</v>
      </c>
      <c r="C820" t="s">
        <v>549</v>
      </c>
      <c r="D820" t="s">
        <v>33</v>
      </c>
      <c r="E820" s="2">
        <v>20000</v>
      </c>
      <c r="F820" t="s">
        <v>710</v>
      </c>
    </row>
    <row r="821" spans="1:6">
      <c r="A821" s="1">
        <v>45894</v>
      </c>
      <c r="B821" s="7" t="s">
        <v>426</v>
      </c>
      <c r="C821" t="s">
        <v>550</v>
      </c>
      <c r="D821" t="s">
        <v>3</v>
      </c>
      <c r="E821" s="2">
        <v>1.8799999952316284</v>
      </c>
      <c r="F821" t="s">
        <v>710</v>
      </c>
    </row>
    <row r="822" spans="1:6">
      <c r="A822" s="1">
        <v>45894</v>
      </c>
      <c r="B822" s="7" t="s">
        <v>426</v>
      </c>
      <c r="C822" t="s">
        <v>551</v>
      </c>
      <c r="D822" t="s">
        <v>3</v>
      </c>
      <c r="E822" s="2">
        <v>25</v>
      </c>
      <c r="F822" t="s">
        <v>710</v>
      </c>
    </row>
    <row r="823" spans="1:6">
      <c r="A823" s="1">
        <v>45894</v>
      </c>
      <c r="B823" s="7" t="s">
        <v>426</v>
      </c>
      <c r="C823" t="s">
        <v>552</v>
      </c>
      <c r="D823" t="s">
        <v>3</v>
      </c>
      <c r="E823" s="2">
        <v>1.880000002682209</v>
      </c>
      <c r="F823" t="s">
        <v>710</v>
      </c>
    </row>
    <row r="824" spans="1:6">
      <c r="A824" s="1">
        <v>45894</v>
      </c>
      <c r="B824" s="7" t="s">
        <v>426</v>
      </c>
      <c r="C824" t="s">
        <v>553</v>
      </c>
      <c r="D824" t="s">
        <v>33</v>
      </c>
      <c r="E824" s="2">
        <v>27500</v>
      </c>
      <c r="F824" t="s">
        <v>710</v>
      </c>
    </row>
    <row r="825" spans="1:6">
      <c r="A825" s="1">
        <v>45894</v>
      </c>
      <c r="B825" s="7" t="s">
        <v>426</v>
      </c>
      <c r="C825" t="s">
        <v>554</v>
      </c>
      <c r="D825" t="s">
        <v>3</v>
      </c>
      <c r="E825" s="2">
        <v>25</v>
      </c>
      <c r="F825" t="s">
        <v>710</v>
      </c>
    </row>
    <row r="826" spans="1:6">
      <c r="A826" s="1">
        <v>45894</v>
      </c>
      <c r="B826" s="7" t="s">
        <v>426</v>
      </c>
      <c r="C826" t="s">
        <v>555</v>
      </c>
      <c r="D826" t="s">
        <v>3</v>
      </c>
      <c r="E826" s="2">
        <v>1.880000002682209</v>
      </c>
      <c r="F826" t="s">
        <v>710</v>
      </c>
    </row>
    <row r="827" spans="1:6">
      <c r="A827" s="1">
        <v>45894</v>
      </c>
      <c r="B827" s="7" t="s">
        <v>426</v>
      </c>
      <c r="C827" t="s">
        <v>556</v>
      </c>
      <c r="D827" t="s">
        <v>3</v>
      </c>
      <c r="E827" s="2">
        <v>50</v>
      </c>
      <c r="F827" t="s">
        <v>710</v>
      </c>
    </row>
    <row r="828" spans="1:6">
      <c r="A828" s="1">
        <v>45895</v>
      </c>
      <c r="B828" s="7" t="s">
        <v>557</v>
      </c>
      <c r="C828" t="s">
        <v>558</v>
      </c>
      <c r="D828" t="s">
        <v>33</v>
      </c>
      <c r="E828" s="2">
        <v>27500</v>
      </c>
      <c r="F828" t="s">
        <v>710</v>
      </c>
    </row>
    <row r="829" spans="1:6">
      <c r="A829" s="1">
        <v>45895</v>
      </c>
      <c r="B829" s="7" t="s">
        <v>557</v>
      </c>
      <c r="C829" t="s">
        <v>559</v>
      </c>
      <c r="D829" t="s">
        <v>3</v>
      </c>
      <c r="E829" s="2">
        <v>25</v>
      </c>
      <c r="F829" t="s">
        <v>710</v>
      </c>
    </row>
    <row r="830" spans="1:6">
      <c r="A830" s="1">
        <v>45895</v>
      </c>
      <c r="B830" s="7" t="s">
        <v>557</v>
      </c>
      <c r="C830" t="s">
        <v>560</v>
      </c>
      <c r="D830" t="s">
        <v>3</v>
      </c>
      <c r="E830" s="2">
        <v>1.8799999952316284</v>
      </c>
      <c r="F830" t="s">
        <v>710</v>
      </c>
    </row>
    <row r="831" spans="1:6">
      <c r="A831" s="1">
        <v>45895</v>
      </c>
      <c r="B831" s="7" t="s">
        <v>557</v>
      </c>
      <c r="C831" t="s">
        <v>561</v>
      </c>
      <c r="D831" t="s">
        <v>26</v>
      </c>
      <c r="E831" s="2">
        <v>100000</v>
      </c>
      <c r="F831" t="s">
        <v>710</v>
      </c>
    </row>
    <row r="832" spans="1:6">
      <c r="A832" s="1">
        <v>45895</v>
      </c>
      <c r="B832" s="7" t="s">
        <v>557</v>
      </c>
      <c r="C832" t="s">
        <v>561</v>
      </c>
      <c r="D832" t="s">
        <v>3</v>
      </c>
      <c r="E832" s="2">
        <v>50</v>
      </c>
      <c r="F832" t="s">
        <v>710</v>
      </c>
    </row>
    <row r="833" spans="1:6">
      <c r="A833" s="1">
        <v>45895</v>
      </c>
      <c r="B833" s="7" t="s">
        <v>557</v>
      </c>
      <c r="C833" t="s">
        <v>561</v>
      </c>
      <c r="D833" t="s">
        <v>3</v>
      </c>
      <c r="E833" s="2">
        <v>3.75</v>
      </c>
      <c r="F833" t="s">
        <v>710</v>
      </c>
    </row>
    <row r="834" spans="1:6">
      <c r="A834" s="1">
        <v>45895</v>
      </c>
      <c r="B834" s="7" t="s">
        <v>557</v>
      </c>
      <c r="C834" t="s">
        <v>562</v>
      </c>
      <c r="D834" t="s">
        <v>8</v>
      </c>
      <c r="E834" s="2">
        <v>44432.330000005662</v>
      </c>
      <c r="F834" t="s">
        <v>710</v>
      </c>
    </row>
    <row r="835" spans="1:6">
      <c r="A835" s="1">
        <v>45895</v>
      </c>
      <c r="B835" s="7" t="s">
        <v>557</v>
      </c>
      <c r="C835" t="s">
        <v>563</v>
      </c>
      <c r="D835" t="s">
        <v>3</v>
      </c>
      <c r="E835" s="2">
        <v>25</v>
      </c>
      <c r="F835" t="s">
        <v>710</v>
      </c>
    </row>
    <row r="836" spans="1:6">
      <c r="A836" s="1">
        <v>45895</v>
      </c>
      <c r="B836" s="7" t="s">
        <v>557</v>
      </c>
      <c r="C836" t="s">
        <v>564</v>
      </c>
      <c r="D836" t="s">
        <v>3</v>
      </c>
      <c r="E836" s="2">
        <v>1.8799999952316284</v>
      </c>
      <c r="F836" t="s">
        <v>710</v>
      </c>
    </row>
    <row r="837" spans="1:6">
      <c r="A837" s="1">
        <v>45895</v>
      </c>
      <c r="B837" s="7" t="s">
        <v>557</v>
      </c>
      <c r="C837" t="s">
        <v>565</v>
      </c>
      <c r="D837" t="s">
        <v>8</v>
      </c>
      <c r="E837" s="2">
        <v>44432.329999998212</v>
      </c>
      <c r="F837" t="s">
        <v>710</v>
      </c>
    </row>
    <row r="838" spans="1:6">
      <c r="A838" s="1">
        <v>45895</v>
      </c>
      <c r="B838" s="7" t="s">
        <v>557</v>
      </c>
      <c r="C838" t="s">
        <v>566</v>
      </c>
      <c r="D838" t="s">
        <v>3</v>
      </c>
      <c r="E838" s="2">
        <v>25</v>
      </c>
      <c r="F838" t="s">
        <v>710</v>
      </c>
    </row>
    <row r="839" spans="1:6">
      <c r="A839" s="1">
        <v>45895</v>
      </c>
      <c r="B839" s="7" t="s">
        <v>557</v>
      </c>
      <c r="C839" t="s">
        <v>567</v>
      </c>
      <c r="D839" t="s">
        <v>3</v>
      </c>
      <c r="E839" s="2">
        <v>1.880000002682209</v>
      </c>
      <c r="F839" t="s">
        <v>710</v>
      </c>
    </row>
    <row r="840" spans="1:6">
      <c r="A840" s="1">
        <v>45895</v>
      </c>
      <c r="B840" s="7" t="s">
        <v>557</v>
      </c>
      <c r="C840" t="s">
        <v>568</v>
      </c>
      <c r="D840" t="s">
        <v>8</v>
      </c>
      <c r="E840" s="2">
        <v>283172.20000000298</v>
      </c>
      <c r="F840" t="s">
        <v>710</v>
      </c>
    </row>
    <row r="841" spans="1:6">
      <c r="A841" s="1">
        <v>45895</v>
      </c>
      <c r="B841" s="7" t="s">
        <v>557</v>
      </c>
      <c r="C841" t="s">
        <v>569</v>
      </c>
      <c r="D841" t="s">
        <v>3</v>
      </c>
      <c r="E841" s="2">
        <v>50</v>
      </c>
      <c r="F841" t="s">
        <v>710</v>
      </c>
    </row>
    <row r="842" spans="1:6">
      <c r="A842" s="1">
        <v>45895</v>
      </c>
      <c r="B842" s="7" t="s">
        <v>557</v>
      </c>
      <c r="C842" t="s">
        <v>570</v>
      </c>
      <c r="D842" t="s">
        <v>3</v>
      </c>
      <c r="E842" s="2">
        <v>3.75</v>
      </c>
      <c r="F842" t="s">
        <v>710</v>
      </c>
    </row>
    <row r="843" spans="1:6">
      <c r="A843" s="1">
        <v>45895</v>
      </c>
      <c r="B843" s="7" t="s">
        <v>557</v>
      </c>
      <c r="C843" t="s">
        <v>571</v>
      </c>
      <c r="D843" t="s">
        <v>8</v>
      </c>
      <c r="E843" s="2">
        <v>140171.66999999434</v>
      </c>
      <c r="F843" t="s">
        <v>710</v>
      </c>
    </row>
    <row r="844" spans="1:6">
      <c r="A844" s="1">
        <v>45895</v>
      </c>
      <c r="B844" s="7" t="s">
        <v>557</v>
      </c>
      <c r="C844" t="s">
        <v>572</v>
      </c>
      <c r="D844" t="s">
        <v>3</v>
      </c>
      <c r="E844" s="2">
        <v>50</v>
      </c>
      <c r="F844" t="s">
        <v>710</v>
      </c>
    </row>
    <row r="845" spans="1:6">
      <c r="A845" s="1">
        <v>45895</v>
      </c>
      <c r="B845" s="7" t="s">
        <v>557</v>
      </c>
      <c r="C845" t="s">
        <v>573</v>
      </c>
      <c r="D845" t="s">
        <v>3</v>
      </c>
      <c r="E845" s="2">
        <v>3.75</v>
      </c>
      <c r="F845" t="s">
        <v>710</v>
      </c>
    </row>
    <row r="846" spans="1:6">
      <c r="A846" s="1">
        <v>45895</v>
      </c>
      <c r="B846" s="7" t="s">
        <v>557</v>
      </c>
      <c r="C846" t="s">
        <v>574</v>
      </c>
      <c r="D846" t="s">
        <v>8</v>
      </c>
      <c r="E846" s="2">
        <v>283172.20000000298</v>
      </c>
      <c r="F846" t="s">
        <v>710</v>
      </c>
    </row>
    <row r="847" spans="1:6">
      <c r="A847" s="1">
        <v>45895</v>
      </c>
      <c r="B847" s="7" t="s">
        <v>557</v>
      </c>
      <c r="C847" t="s">
        <v>575</v>
      </c>
      <c r="D847" t="s">
        <v>3</v>
      </c>
      <c r="E847" s="2">
        <v>50</v>
      </c>
      <c r="F847" t="s">
        <v>710</v>
      </c>
    </row>
    <row r="848" spans="1:6">
      <c r="A848" s="1">
        <v>45895</v>
      </c>
      <c r="B848" s="7" t="s">
        <v>557</v>
      </c>
      <c r="C848" t="s">
        <v>576</v>
      </c>
      <c r="D848" t="s">
        <v>3</v>
      </c>
      <c r="E848" s="2">
        <v>3.75</v>
      </c>
      <c r="F848" t="s">
        <v>710</v>
      </c>
    </row>
    <row r="849" spans="1:6">
      <c r="A849" s="1">
        <v>45895</v>
      </c>
      <c r="B849" s="7" t="s">
        <v>557</v>
      </c>
      <c r="C849" t="s">
        <v>577</v>
      </c>
      <c r="D849" t="s">
        <v>8</v>
      </c>
      <c r="E849" s="2">
        <v>283172.20000000298</v>
      </c>
      <c r="F849" t="s">
        <v>710</v>
      </c>
    </row>
    <row r="850" spans="1:6">
      <c r="A850" s="1">
        <v>45895</v>
      </c>
      <c r="B850" s="7" t="s">
        <v>557</v>
      </c>
      <c r="C850" t="s">
        <v>578</v>
      </c>
      <c r="D850" t="s">
        <v>3</v>
      </c>
      <c r="E850" s="2">
        <v>50</v>
      </c>
      <c r="F850" t="s">
        <v>710</v>
      </c>
    </row>
    <row r="851" spans="1:6">
      <c r="A851" s="1">
        <v>45895</v>
      </c>
      <c r="B851" s="7" t="s">
        <v>557</v>
      </c>
      <c r="C851" t="s">
        <v>579</v>
      </c>
      <c r="D851" t="s">
        <v>3</v>
      </c>
      <c r="E851" s="2">
        <v>3.75</v>
      </c>
      <c r="F851" t="s">
        <v>710</v>
      </c>
    </row>
    <row r="852" spans="1:6">
      <c r="A852" s="1">
        <v>45895</v>
      </c>
      <c r="B852" s="7" t="s">
        <v>557</v>
      </c>
      <c r="C852" t="s">
        <v>580</v>
      </c>
      <c r="D852" t="s">
        <v>8</v>
      </c>
      <c r="E852" s="2">
        <v>44432.329999998212</v>
      </c>
      <c r="F852" t="s">
        <v>710</v>
      </c>
    </row>
    <row r="853" spans="1:6">
      <c r="A853" s="1">
        <v>45895</v>
      </c>
      <c r="B853" s="7" t="s">
        <v>557</v>
      </c>
      <c r="C853" t="s">
        <v>581</v>
      </c>
      <c r="D853" t="s">
        <v>3</v>
      </c>
      <c r="E853" s="2">
        <v>25</v>
      </c>
      <c r="F853" t="s">
        <v>710</v>
      </c>
    </row>
    <row r="854" spans="1:6">
      <c r="A854" s="1">
        <v>45895</v>
      </c>
      <c r="B854" s="7" t="s">
        <v>557</v>
      </c>
      <c r="C854" t="s">
        <v>582</v>
      </c>
      <c r="D854" t="s">
        <v>3</v>
      </c>
      <c r="E854" s="2">
        <v>1.880000002682209</v>
      </c>
      <c r="F854" t="s">
        <v>710</v>
      </c>
    </row>
    <row r="855" spans="1:6">
      <c r="A855" s="1">
        <v>45895</v>
      </c>
      <c r="B855" s="7" t="s">
        <v>557</v>
      </c>
      <c r="C855" t="s">
        <v>583</v>
      </c>
      <c r="D855" t="s">
        <v>8</v>
      </c>
      <c r="E855" s="2">
        <v>44432.329999998212</v>
      </c>
      <c r="F855" t="s">
        <v>710</v>
      </c>
    </row>
    <row r="856" spans="1:6">
      <c r="A856" s="1">
        <v>45895</v>
      </c>
      <c r="B856" s="7" t="s">
        <v>557</v>
      </c>
      <c r="C856" t="s">
        <v>584</v>
      </c>
      <c r="D856" t="s">
        <v>3</v>
      </c>
      <c r="E856" s="2">
        <v>25</v>
      </c>
      <c r="F856" t="s">
        <v>710</v>
      </c>
    </row>
    <row r="857" spans="1:6">
      <c r="A857" s="1">
        <v>45895</v>
      </c>
      <c r="B857" s="7" t="s">
        <v>557</v>
      </c>
      <c r="C857" t="s">
        <v>585</v>
      </c>
      <c r="D857" t="s">
        <v>3</v>
      </c>
      <c r="E857" s="2">
        <v>1.8799999952316284</v>
      </c>
      <c r="F857" t="s">
        <v>710</v>
      </c>
    </row>
    <row r="858" spans="1:6">
      <c r="A858" s="1">
        <v>45895</v>
      </c>
      <c r="B858" s="7" t="s">
        <v>557</v>
      </c>
      <c r="C858" t="s">
        <v>586</v>
      </c>
      <c r="D858" t="s">
        <v>8</v>
      </c>
      <c r="E858" s="2">
        <v>52835</v>
      </c>
      <c r="F858" t="s">
        <v>710</v>
      </c>
    </row>
    <row r="859" spans="1:6">
      <c r="A859" s="1">
        <v>45895</v>
      </c>
      <c r="B859" s="7" t="s">
        <v>557</v>
      </c>
      <c r="C859" t="s">
        <v>587</v>
      </c>
      <c r="D859" t="s">
        <v>3</v>
      </c>
      <c r="E859" s="2">
        <v>50</v>
      </c>
      <c r="F859" t="s">
        <v>710</v>
      </c>
    </row>
    <row r="860" spans="1:6">
      <c r="A860" s="1">
        <v>45895</v>
      </c>
      <c r="B860" s="7" t="s">
        <v>557</v>
      </c>
      <c r="C860" t="s">
        <v>588</v>
      </c>
      <c r="D860" t="s">
        <v>3</v>
      </c>
      <c r="E860" s="2">
        <v>3.75</v>
      </c>
      <c r="F860" t="s">
        <v>710</v>
      </c>
    </row>
    <row r="861" spans="1:6">
      <c r="A861" s="1">
        <v>45895</v>
      </c>
      <c r="B861" s="7" t="s">
        <v>557</v>
      </c>
      <c r="C861" t="s">
        <v>589</v>
      </c>
      <c r="D861" t="s">
        <v>8</v>
      </c>
      <c r="E861" s="2">
        <v>283172.20000000298</v>
      </c>
      <c r="F861" t="s">
        <v>710</v>
      </c>
    </row>
    <row r="862" spans="1:6">
      <c r="A862" s="1">
        <v>45895</v>
      </c>
      <c r="B862" s="7" t="s">
        <v>557</v>
      </c>
      <c r="C862" t="s">
        <v>590</v>
      </c>
      <c r="D862" t="s">
        <v>3</v>
      </c>
      <c r="E862" s="2">
        <v>50</v>
      </c>
      <c r="F862" t="s">
        <v>710</v>
      </c>
    </row>
    <row r="863" spans="1:6">
      <c r="A863" s="1">
        <v>45895</v>
      </c>
      <c r="B863" s="7" t="s">
        <v>557</v>
      </c>
      <c r="C863" t="s">
        <v>591</v>
      </c>
      <c r="D863" t="s">
        <v>3</v>
      </c>
      <c r="E863" s="2">
        <v>3.75</v>
      </c>
      <c r="F863" t="s">
        <v>710</v>
      </c>
    </row>
    <row r="864" spans="1:6">
      <c r="A864" s="1">
        <v>45895</v>
      </c>
      <c r="B864" s="7" t="s">
        <v>557</v>
      </c>
      <c r="C864" t="s">
        <v>592</v>
      </c>
      <c r="D864" t="s">
        <v>8</v>
      </c>
      <c r="E864" s="2">
        <v>486614.60000000149</v>
      </c>
      <c r="F864" t="s">
        <v>710</v>
      </c>
    </row>
    <row r="865" spans="1:6">
      <c r="A865" s="1">
        <v>45895</v>
      </c>
      <c r="B865" s="7" t="s">
        <v>557</v>
      </c>
      <c r="C865" t="s">
        <v>593</v>
      </c>
      <c r="D865" t="s">
        <v>3</v>
      </c>
      <c r="E865" s="2">
        <v>50</v>
      </c>
      <c r="F865" t="s">
        <v>710</v>
      </c>
    </row>
    <row r="866" spans="1:6">
      <c r="A866" s="1">
        <v>45895</v>
      </c>
      <c r="B866" s="7" t="s">
        <v>557</v>
      </c>
      <c r="C866" t="s">
        <v>594</v>
      </c>
      <c r="D866" t="s">
        <v>3</v>
      </c>
      <c r="E866" s="2">
        <v>3.75</v>
      </c>
      <c r="F866" t="s">
        <v>710</v>
      </c>
    </row>
    <row r="867" spans="1:6">
      <c r="A867" s="1">
        <v>45895</v>
      </c>
      <c r="B867" s="7" t="s">
        <v>557</v>
      </c>
      <c r="C867" t="s">
        <v>595</v>
      </c>
      <c r="D867" t="s">
        <v>8</v>
      </c>
      <c r="E867" s="2">
        <v>52835</v>
      </c>
      <c r="F867" t="s">
        <v>710</v>
      </c>
    </row>
    <row r="868" spans="1:6">
      <c r="A868" s="1">
        <v>45895</v>
      </c>
      <c r="B868" s="7" t="s">
        <v>557</v>
      </c>
      <c r="C868" t="s">
        <v>596</v>
      </c>
      <c r="D868" t="s">
        <v>3</v>
      </c>
      <c r="E868" s="2">
        <v>50</v>
      </c>
      <c r="F868" t="s">
        <v>710</v>
      </c>
    </row>
    <row r="869" spans="1:6">
      <c r="A869" s="1">
        <v>45895</v>
      </c>
      <c r="B869" s="7" t="s">
        <v>557</v>
      </c>
      <c r="C869" t="s">
        <v>597</v>
      </c>
      <c r="D869" t="s">
        <v>3</v>
      </c>
      <c r="E869" s="2">
        <v>3.75</v>
      </c>
      <c r="F869" t="s">
        <v>710</v>
      </c>
    </row>
    <row r="870" spans="1:6">
      <c r="A870" s="1">
        <v>45895</v>
      </c>
      <c r="B870" s="7" t="s">
        <v>557</v>
      </c>
      <c r="C870" t="s">
        <v>598</v>
      </c>
      <c r="D870" t="s">
        <v>8</v>
      </c>
      <c r="E870" s="2">
        <v>283172.19999999553</v>
      </c>
      <c r="F870" t="s">
        <v>710</v>
      </c>
    </row>
    <row r="871" spans="1:6">
      <c r="A871" s="1">
        <v>45895</v>
      </c>
      <c r="B871" s="7" t="s">
        <v>557</v>
      </c>
      <c r="C871" t="s">
        <v>599</v>
      </c>
      <c r="D871" t="s">
        <v>3</v>
      </c>
      <c r="E871" s="2">
        <v>50</v>
      </c>
      <c r="F871" t="s">
        <v>710</v>
      </c>
    </row>
    <row r="872" spans="1:6">
      <c r="A872" s="1">
        <v>45895</v>
      </c>
      <c r="B872" s="7" t="s">
        <v>557</v>
      </c>
      <c r="C872" t="s">
        <v>600</v>
      </c>
      <c r="D872" t="s">
        <v>3</v>
      </c>
      <c r="E872" s="2">
        <v>3.75</v>
      </c>
      <c r="F872" t="s">
        <v>710</v>
      </c>
    </row>
    <row r="873" spans="1:6">
      <c r="A873" s="1">
        <v>45895</v>
      </c>
      <c r="B873" s="7" t="s">
        <v>557</v>
      </c>
      <c r="C873" t="s">
        <v>601</v>
      </c>
      <c r="D873" t="s">
        <v>8</v>
      </c>
      <c r="E873" s="2">
        <v>283172.20000000298</v>
      </c>
      <c r="F873" t="s">
        <v>710</v>
      </c>
    </row>
    <row r="874" spans="1:6">
      <c r="A874" s="1">
        <v>45895</v>
      </c>
      <c r="B874" s="7" t="s">
        <v>557</v>
      </c>
      <c r="C874" t="s">
        <v>602</v>
      </c>
      <c r="D874" t="s">
        <v>3</v>
      </c>
      <c r="E874" s="2">
        <v>50</v>
      </c>
      <c r="F874" t="s">
        <v>710</v>
      </c>
    </row>
    <row r="875" spans="1:6">
      <c r="A875" s="1">
        <v>45895</v>
      </c>
      <c r="B875" s="7" t="s">
        <v>557</v>
      </c>
      <c r="C875" t="s">
        <v>603</v>
      </c>
      <c r="D875" t="s">
        <v>3</v>
      </c>
      <c r="E875" s="2">
        <v>3.75</v>
      </c>
      <c r="F875" t="s">
        <v>710</v>
      </c>
    </row>
    <row r="876" spans="1:6">
      <c r="A876" s="1">
        <v>45895</v>
      </c>
      <c r="B876" s="7" t="s">
        <v>557</v>
      </c>
      <c r="C876" t="s">
        <v>604</v>
      </c>
      <c r="D876" t="s">
        <v>8</v>
      </c>
      <c r="E876" s="2">
        <v>140171.67000000179</v>
      </c>
      <c r="F876" t="s">
        <v>710</v>
      </c>
    </row>
    <row r="877" spans="1:6">
      <c r="A877" s="1">
        <v>45895</v>
      </c>
      <c r="B877" s="7" t="s">
        <v>557</v>
      </c>
      <c r="C877" t="s">
        <v>605</v>
      </c>
      <c r="D877" t="s">
        <v>3</v>
      </c>
      <c r="E877" s="2">
        <v>50</v>
      </c>
      <c r="F877" t="s">
        <v>710</v>
      </c>
    </row>
    <row r="878" spans="1:6">
      <c r="A878" s="1">
        <v>45895</v>
      </c>
      <c r="B878" s="7" t="s">
        <v>557</v>
      </c>
      <c r="C878" t="s">
        <v>606</v>
      </c>
      <c r="D878" t="s">
        <v>3</v>
      </c>
      <c r="E878" s="2">
        <v>3.75</v>
      </c>
      <c r="F878" t="s">
        <v>710</v>
      </c>
    </row>
    <row r="879" spans="1:6">
      <c r="A879" s="1">
        <v>45895</v>
      </c>
      <c r="B879" s="7" t="s">
        <v>557</v>
      </c>
      <c r="C879" t="s">
        <v>607</v>
      </c>
      <c r="D879" t="s">
        <v>8</v>
      </c>
      <c r="E879" s="2">
        <v>283172.19999999553</v>
      </c>
      <c r="F879" t="s">
        <v>710</v>
      </c>
    </row>
    <row r="880" spans="1:6">
      <c r="A880" s="1">
        <v>45895</v>
      </c>
      <c r="B880" s="7" t="s">
        <v>557</v>
      </c>
      <c r="C880" t="s">
        <v>608</v>
      </c>
      <c r="D880" t="s">
        <v>3</v>
      </c>
      <c r="E880" s="2">
        <v>50</v>
      </c>
      <c r="F880" t="s">
        <v>710</v>
      </c>
    </row>
    <row r="881" spans="1:6">
      <c r="A881" s="1">
        <v>45895</v>
      </c>
      <c r="B881" s="7" t="s">
        <v>557</v>
      </c>
      <c r="C881" t="s">
        <v>609</v>
      </c>
      <c r="D881" t="s">
        <v>3</v>
      </c>
      <c r="E881" s="2">
        <v>3.75</v>
      </c>
      <c r="F881" t="s">
        <v>710</v>
      </c>
    </row>
    <row r="882" spans="1:6">
      <c r="A882" s="1">
        <v>45895</v>
      </c>
      <c r="B882" s="7" t="s">
        <v>557</v>
      </c>
      <c r="C882" t="s">
        <v>610</v>
      </c>
      <c r="D882" t="s">
        <v>8</v>
      </c>
      <c r="E882" s="2">
        <v>4019028.3599999994</v>
      </c>
      <c r="F882" t="s">
        <v>710</v>
      </c>
    </row>
    <row r="883" spans="1:6">
      <c r="A883" s="1">
        <v>45895</v>
      </c>
      <c r="B883" s="7" t="s">
        <v>557</v>
      </c>
      <c r="C883" t="s">
        <v>611</v>
      </c>
      <c r="D883" t="s">
        <v>3</v>
      </c>
      <c r="E883" s="2">
        <v>50</v>
      </c>
      <c r="F883" t="s">
        <v>710</v>
      </c>
    </row>
    <row r="884" spans="1:6">
      <c r="A884" s="1">
        <v>45895</v>
      </c>
      <c r="B884" s="7" t="s">
        <v>557</v>
      </c>
      <c r="C884" t="s">
        <v>612</v>
      </c>
      <c r="D884" t="s">
        <v>3</v>
      </c>
      <c r="E884" s="2">
        <v>3.75</v>
      </c>
      <c r="F884" t="s">
        <v>710</v>
      </c>
    </row>
    <row r="885" spans="1:6">
      <c r="A885" s="1">
        <v>45895</v>
      </c>
      <c r="B885" s="7" t="s">
        <v>557</v>
      </c>
      <c r="C885" t="s">
        <v>613</v>
      </c>
      <c r="D885" t="s">
        <v>8</v>
      </c>
      <c r="E885" s="2">
        <v>283172.20000000298</v>
      </c>
      <c r="F885" t="s">
        <v>710</v>
      </c>
    </row>
    <row r="886" spans="1:6">
      <c r="A886" s="1">
        <v>45895</v>
      </c>
      <c r="B886" s="7" t="s">
        <v>557</v>
      </c>
      <c r="C886" t="s">
        <v>614</v>
      </c>
      <c r="D886" t="s">
        <v>3</v>
      </c>
      <c r="E886" s="2">
        <v>50</v>
      </c>
      <c r="F886" t="s">
        <v>710</v>
      </c>
    </row>
    <row r="887" spans="1:6">
      <c r="A887" s="1">
        <v>45895</v>
      </c>
      <c r="B887" s="7" t="s">
        <v>557</v>
      </c>
      <c r="C887" t="s">
        <v>615</v>
      </c>
      <c r="D887" t="s">
        <v>3</v>
      </c>
      <c r="E887" s="2">
        <v>3.75</v>
      </c>
      <c r="F887" t="s">
        <v>710</v>
      </c>
    </row>
    <row r="888" spans="1:6">
      <c r="A888" s="1">
        <v>45895</v>
      </c>
      <c r="B888" s="7" t="s">
        <v>557</v>
      </c>
      <c r="C888" t="s">
        <v>616</v>
      </c>
      <c r="D888" t="s">
        <v>8</v>
      </c>
      <c r="E888" s="2">
        <v>52835</v>
      </c>
      <c r="F888" t="s">
        <v>710</v>
      </c>
    </row>
    <row r="889" spans="1:6">
      <c r="A889" s="1">
        <v>45895</v>
      </c>
      <c r="B889" s="7" t="s">
        <v>557</v>
      </c>
      <c r="C889" t="s">
        <v>617</v>
      </c>
      <c r="D889" t="s">
        <v>3</v>
      </c>
      <c r="E889" s="2">
        <v>50</v>
      </c>
      <c r="F889" t="s">
        <v>710</v>
      </c>
    </row>
    <row r="890" spans="1:6">
      <c r="A890" s="1">
        <v>45895</v>
      </c>
      <c r="B890" s="7" t="s">
        <v>557</v>
      </c>
      <c r="C890" t="s">
        <v>618</v>
      </c>
      <c r="D890" t="s">
        <v>3</v>
      </c>
      <c r="E890" s="2">
        <v>3.75</v>
      </c>
      <c r="F890" t="s">
        <v>710</v>
      </c>
    </row>
    <row r="891" spans="1:6">
      <c r="A891" s="1">
        <v>45895</v>
      </c>
      <c r="B891" s="7" t="s">
        <v>557</v>
      </c>
      <c r="C891" t="s">
        <v>619</v>
      </c>
      <c r="D891" t="s">
        <v>8</v>
      </c>
      <c r="E891" s="2">
        <v>2295519.5600000024</v>
      </c>
      <c r="F891" t="s">
        <v>710</v>
      </c>
    </row>
    <row r="892" spans="1:6">
      <c r="A892" s="1">
        <v>45895</v>
      </c>
      <c r="B892" s="7" t="s">
        <v>557</v>
      </c>
      <c r="C892" t="s">
        <v>620</v>
      </c>
      <c r="D892" t="s">
        <v>3</v>
      </c>
      <c r="E892" s="2">
        <v>50</v>
      </c>
      <c r="F892" t="s">
        <v>710</v>
      </c>
    </row>
    <row r="893" spans="1:6">
      <c r="A893" s="1">
        <v>45895</v>
      </c>
      <c r="B893" s="7" t="s">
        <v>557</v>
      </c>
      <c r="C893" t="s">
        <v>621</v>
      </c>
      <c r="D893" t="s">
        <v>3</v>
      </c>
      <c r="E893" s="2">
        <v>3.75</v>
      </c>
      <c r="F893" t="s">
        <v>710</v>
      </c>
    </row>
    <row r="894" spans="1:6">
      <c r="A894" s="1">
        <v>45895</v>
      </c>
      <c r="B894" s="7" t="s">
        <v>557</v>
      </c>
      <c r="C894" t="s">
        <v>622</v>
      </c>
      <c r="D894" t="s">
        <v>8</v>
      </c>
      <c r="E894" s="2">
        <v>44432.329999998212</v>
      </c>
      <c r="F894" t="s">
        <v>710</v>
      </c>
    </row>
    <row r="895" spans="1:6">
      <c r="A895" s="1">
        <v>45895</v>
      </c>
      <c r="B895" s="7" t="s">
        <v>557</v>
      </c>
      <c r="C895" t="s">
        <v>623</v>
      </c>
      <c r="D895" t="s">
        <v>3</v>
      </c>
      <c r="E895" s="2">
        <v>25</v>
      </c>
      <c r="F895" t="s">
        <v>710</v>
      </c>
    </row>
    <row r="896" spans="1:6">
      <c r="A896" s="1">
        <v>45895</v>
      </c>
      <c r="B896" s="7" t="s">
        <v>557</v>
      </c>
      <c r="C896" t="s">
        <v>624</v>
      </c>
      <c r="D896" t="s">
        <v>3</v>
      </c>
      <c r="E896" s="2">
        <v>1.880000002682209</v>
      </c>
      <c r="F896" t="s">
        <v>710</v>
      </c>
    </row>
    <row r="897" spans="1:6">
      <c r="A897" s="1">
        <v>45895</v>
      </c>
      <c r="B897" s="7" t="s">
        <v>557</v>
      </c>
      <c r="C897" t="s">
        <v>625</v>
      </c>
      <c r="D897" t="s">
        <v>19</v>
      </c>
      <c r="E897" s="2">
        <v>44432.329999998212</v>
      </c>
      <c r="F897" t="s">
        <v>710</v>
      </c>
    </row>
    <row r="898" spans="1:6">
      <c r="A898" s="1">
        <v>45895</v>
      </c>
      <c r="B898" s="7" t="s">
        <v>557</v>
      </c>
      <c r="C898" t="s">
        <v>626</v>
      </c>
      <c r="D898" t="s">
        <v>3</v>
      </c>
      <c r="E898" s="2">
        <v>25</v>
      </c>
      <c r="F898" t="s">
        <v>710</v>
      </c>
    </row>
    <row r="899" spans="1:6">
      <c r="A899" s="1">
        <v>45895</v>
      </c>
      <c r="B899" s="7" t="s">
        <v>557</v>
      </c>
      <c r="C899" t="s">
        <v>627</v>
      </c>
      <c r="D899" t="s">
        <v>3</v>
      </c>
      <c r="E899" s="2">
        <v>1.8799999952316284</v>
      </c>
      <c r="F899" t="s">
        <v>710</v>
      </c>
    </row>
    <row r="900" spans="1:6">
      <c r="A900" s="1">
        <v>45895</v>
      </c>
      <c r="B900" s="7" t="s">
        <v>557</v>
      </c>
      <c r="C900" t="s">
        <v>628</v>
      </c>
      <c r="D900" t="s">
        <v>8</v>
      </c>
      <c r="E900" s="2">
        <v>140171.67000000179</v>
      </c>
      <c r="F900" t="s">
        <v>710</v>
      </c>
    </row>
    <row r="901" spans="1:6">
      <c r="A901" s="1">
        <v>45895</v>
      </c>
      <c r="B901" s="7" t="s">
        <v>557</v>
      </c>
      <c r="C901" t="s">
        <v>629</v>
      </c>
      <c r="D901" t="s">
        <v>3</v>
      </c>
      <c r="E901" s="2">
        <v>50</v>
      </c>
      <c r="F901" t="s">
        <v>710</v>
      </c>
    </row>
    <row r="902" spans="1:6">
      <c r="A902" s="1">
        <v>45895</v>
      </c>
      <c r="B902" s="7" t="s">
        <v>557</v>
      </c>
      <c r="C902" t="s">
        <v>630</v>
      </c>
      <c r="D902" t="s">
        <v>3</v>
      </c>
      <c r="E902" s="2">
        <v>3.75</v>
      </c>
      <c r="F902" t="s">
        <v>710</v>
      </c>
    </row>
    <row r="903" spans="1:6">
      <c r="A903" s="1">
        <v>45895</v>
      </c>
      <c r="B903" s="7" t="s">
        <v>557</v>
      </c>
      <c r="C903" t="s">
        <v>631</v>
      </c>
      <c r="D903" t="s">
        <v>8</v>
      </c>
      <c r="E903" s="2">
        <v>44432.329999998212</v>
      </c>
      <c r="F903" t="s">
        <v>710</v>
      </c>
    </row>
    <row r="904" spans="1:6">
      <c r="A904" s="1">
        <v>45895</v>
      </c>
      <c r="B904" s="7" t="s">
        <v>557</v>
      </c>
      <c r="C904" t="s">
        <v>632</v>
      </c>
      <c r="D904" t="s">
        <v>3</v>
      </c>
      <c r="E904" s="2">
        <v>25</v>
      </c>
      <c r="F904" t="s">
        <v>710</v>
      </c>
    </row>
    <row r="905" spans="1:6">
      <c r="A905" s="1">
        <v>45895</v>
      </c>
      <c r="B905" s="7" t="s">
        <v>557</v>
      </c>
      <c r="C905" t="s">
        <v>633</v>
      </c>
      <c r="D905" t="s">
        <v>3</v>
      </c>
      <c r="E905" s="2">
        <v>1.880000002682209</v>
      </c>
      <c r="F905" t="s">
        <v>710</v>
      </c>
    </row>
    <row r="906" spans="1:6">
      <c r="A906" s="1">
        <v>45895</v>
      </c>
      <c r="B906" s="7" t="s">
        <v>557</v>
      </c>
      <c r="C906" t="s">
        <v>634</v>
      </c>
      <c r="D906" t="s">
        <v>8</v>
      </c>
      <c r="E906" s="2">
        <v>283172.20000000298</v>
      </c>
      <c r="F906" t="s">
        <v>710</v>
      </c>
    </row>
    <row r="907" spans="1:6">
      <c r="A907" s="1">
        <v>45895</v>
      </c>
      <c r="B907" s="7" t="s">
        <v>557</v>
      </c>
      <c r="C907" t="s">
        <v>635</v>
      </c>
      <c r="D907" t="s">
        <v>3</v>
      </c>
      <c r="E907" s="2">
        <v>50</v>
      </c>
      <c r="F907" t="s">
        <v>710</v>
      </c>
    </row>
    <row r="908" spans="1:6">
      <c r="A908" s="1">
        <v>45895</v>
      </c>
      <c r="B908" s="7" t="s">
        <v>557</v>
      </c>
      <c r="C908" t="s">
        <v>636</v>
      </c>
      <c r="D908" t="s">
        <v>3</v>
      </c>
      <c r="E908" s="2">
        <v>3.75</v>
      </c>
      <c r="F908" t="s">
        <v>710</v>
      </c>
    </row>
    <row r="909" spans="1:6">
      <c r="A909" s="1">
        <v>45895</v>
      </c>
      <c r="B909" s="7" t="s">
        <v>557</v>
      </c>
      <c r="C909" t="s">
        <v>637</v>
      </c>
      <c r="D909" t="s">
        <v>13</v>
      </c>
      <c r="E909" s="2">
        <v>150000</v>
      </c>
      <c r="F909" t="s">
        <v>710</v>
      </c>
    </row>
    <row r="910" spans="1:6">
      <c r="A910" s="1">
        <v>45895</v>
      </c>
      <c r="B910" s="7" t="s">
        <v>557</v>
      </c>
      <c r="C910" t="s">
        <v>637</v>
      </c>
      <c r="D910" t="s">
        <v>3</v>
      </c>
      <c r="E910" s="2">
        <v>50</v>
      </c>
      <c r="F910" t="s">
        <v>710</v>
      </c>
    </row>
    <row r="911" spans="1:6">
      <c r="A911" s="1">
        <v>45895</v>
      </c>
      <c r="B911" s="7" t="s">
        <v>557</v>
      </c>
      <c r="C911" t="s">
        <v>637</v>
      </c>
      <c r="D911" t="s">
        <v>3</v>
      </c>
      <c r="E911" s="2">
        <v>3.75</v>
      </c>
      <c r="F911" t="s">
        <v>710</v>
      </c>
    </row>
    <row r="912" spans="1:6">
      <c r="A912" s="1">
        <v>45895</v>
      </c>
      <c r="B912" s="7" t="s">
        <v>557</v>
      </c>
      <c r="C912" t="s">
        <v>638</v>
      </c>
      <c r="D912" t="s">
        <v>33</v>
      </c>
      <c r="E912" s="2">
        <v>-9579242.3200000003</v>
      </c>
      <c r="F912" t="s">
        <v>710</v>
      </c>
    </row>
    <row r="913" spans="1:6">
      <c r="A913" s="1">
        <v>45895</v>
      </c>
      <c r="B913" s="7" t="s">
        <v>557</v>
      </c>
      <c r="C913" t="s">
        <v>639</v>
      </c>
      <c r="D913" t="s">
        <v>33</v>
      </c>
      <c r="E913" s="2">
        <v>-47500</v>
      </c>
      <c r="F913" t="s">
        <v>710</v>
      </c>
    </row>
    <row r="914" spans="1:6">
      <c r="A914" s="1">
        <v>45895</v>
      </c>
      <c r="B914" s="7" t="s">
        <v>557</v>
      </c>
      <c r="C914" t="s">
        <v>640</v>
      </c>
      <c r="D914" t="s">
        <v>26</v>
      </c>
      <c r="E914" s="2">
        <v>120000</v>
      </c>
      <c r="F914" t="s">
        <v>710</v>
      </c>
    </row>
    <row r="915" spans="1:6">
      <c r="A915" s="1">
        <v>45895</v>
      </c>
      <c r="B915" s="7" t="s">
        <v>557</v>
      </c>
      <c r="C915" t="s">
        <v>640</v>
      </c>
      <c r="D915" t="s">
        <v>3</v>
      </c>
      <c r="E915" s="2">
        <v>50</v>
      </c>
      <c r="F915" t="s">
        <v>710</v>
      </c>
    </row>
    <row r="916" spans="1:6">
      <c r="A916" s="1">
        <v>45895</v>
      </c>
      <c r="B916" s="7" t="s">
        <v>557</v>
      </c>
      <c r="C916" t="s">
        <v>640</v>
      </c>
      <c r="D916" t="s">
        <v>3</v>
      </c>
      <c r="E916" s="2">
        <v>3.75</v>
      </c>
      <c r="F916" t="s">
        <v>710</v>
      </c>
    </row>
    <row r="917" spans="1:6">
      <c r="A917" s="1">
        <v>45895</v>
      </c>
      <c r="B917" s="7" t="s">
        <v>557</v>
      </c>
      <c r="C917" t="s">
        <v>641</v>
      </c>
      <c r="D917" t="s">
        <v>8</v>
      </c>
      <c r="E917" s="2">
        <v>71025</v>
      </c>
      <c r="F917" t="s">
        <v>710</v>
      </c>
    </row>
    <row r="918" spans="1:6">
      <c r="A918" s="1">
        <v>45895</v>
      </c>
      <c r="B918" s="7" t="s">
        <v>557</v>
      </c>
      <c r="C918" t="s">
        <v>641</v>
      </c>
      <c r="D918" t="s">
        <v>3</v>
      </c>
      <c r="E918" s="2">
        <v>50</v>
      </c>
      <c r="F918" t="s">
        <v>710</v>
      </c>
    </row>
    <row r="919" spans="1:6">
      <c r="A919" s="1">
        <v>45895</v>
      </c>
      <c r="B919" s="7" t="s">
        <v>557</v>
      </c>
      <c r="C919" t="s">
        <v>641</v>
      </c>
      <c r="D919" t="s">
        <v>3</v>
      </c>
      <c r="E919" s="2">
        <v>3.75</v>
      </c>
      <c r="F919" t="s">
        <v>710</v>
      </c>
    </row>
    <row r="920" spans="1:6">
      <c r="A920" s="1">
        <v>45896</v>
      </c>
      <c r="B920" s="7" t="s">
        <v>642</v>
      </c>
      <c r="C920" t="s">
        <v>643</v>
      </c>
      <c r="D920" t="s">
        <v>11</v>
      </c>
      <c r="E920" s="2">
        <v>30000</v>
      </c>
      <c r="F920" t="s">
        <v>710</v>
      </c>
    </row>
    <row r="921" spans="1:6">
      <c r="A921" s="1">
        <v>45896</v>
      </c>
      <c r="B921" s="7" t="s">
        <v>642</v>
      </c>
      <c r="C921" t="s">
        <v>643</v>
      </c>
      <c r="D921" t="s">
        <v>3</v>
      </c>
      <c r="E921" s="2">
        <v>25</v>
      </c>
      <c r="F921" t="s">
        <v>710</v>
      </c>
    </row>
    <row r="922" spans="1:6">
      <c r="A922" s="1">
        <v>45896</v>
      </c>
      <c r="B922" s="7" t="s">
        <v>642</v>
      </c>
      <c r="C922" t="s">
        <v>643</v>
      </c>
      <c r="D922" t="s">
        <v>3</v>
      </c>
      <c r="E922" s="2">
        <v>1.8799999952316284</v>
      </c>
      <c r="F922" t="s">
        <v>710</v>
      </c>
    </row>
    <row r="923" spans="1:6">
      <c r="A923" s="1">
        <v>45896</v>
      </c>
      <c r="B923" s="7" t="s">
        <v>642</v>
      </c>
      <c r="C923" t="s">
        <v>644</v>
      </c>
      <c r="D923" t="s">
        <v>4</v>
      </c>
      <c r="E923" s="2">
        <v>167500</v>
      </c>
      <c r="F923" t="s">
        <v>710</v>
      </c>
    </row>
    <row r="924" spans="1:6">
      <c r="A924" s="1">
        <v>45896</v>
      </c>
      <c r="B924" s="7" t="s">
        <v>642</v>
      </c>
      <c r="C924" t="s">
        <v>644</v>
      </c>
      <c r="D924" t="s">
        <v>3</v>
      </c>
      <c r="E924" s="2">
        <v>50</v>
      </c>
      <c r="F924" t="s">
        <v>710</v>
      </c>
    </row>
    <row r="925" spans="1:6">
      <c r="A925" s="1">
        <v>45896</v>
      </c>
      <c r="B925" s="7" t="s">
        <v>642</v>
      </c>
      <c r="C925" t="s">
        <v>644</v>
      </c>
      <c r="D925" t="s">
        <v>3</v>
      </c>
      <c r="E925" s="2">
        <v>3.75</v>
      </c>
      <c r="F925" t="s">
        <v>710</v>
      </c>
    </row>
    <row r="926" spans="1:6">
      <c r="A926" s="1">
        <v>45896</v>
      </c>
      <c r="B926" s="7" t="s">
        <v>642</v>
      </c>
      <c r="C926" t="s">
        <v>645</v>
      </c>
      <c r="D926" t="s">
        <v>4</v>
      </c>
      <c r="E926" s="2">
        <v>32000</v>
      </c>
      <c r="F926" t="s">
        <v>710</v>
      </c>
    </row>
    <row r="927" spans="1:6">
      <c r="A927" s="1">
        <v>45896</v>
      </c>
      <c r="B927" s="7" t="s">
        <v>642</v>
      </c>
      <c r="C927" t="s">
        <v>645</v>
      </c>
      <c r="D927" t="s">
        <v>3</v>
      </c>
      <c r="E927" s="2">
        <v>25</v>
      </c>
      <c r="F927" t="s">
        <v>710</v>
      </c>
    </row>
    <row r="928" spans="1:6">
      <c r="A928" s="1">
        <v>45896</v>
      </c>
      <c r="B928" s="7" t="s">
        <v>642</v>
      </c>
      <c r="C928" t="s">
        <v>645</v>
      </c>
      <c r="D928" t="s">
        <v>3</v>
      </c>
      <c r="E928" s="2">
        <v>1.880000002682209</v>
      </c>
      <c r="F928" t="s">
        <v>710</v>
      </c>
    </row>
    <row r="929" spans="1:6">
      <c r="A929" s="1">
        <v>45896</v>
      </c>
      <c r="B929" s="7" t="s">
        <v>642</v>
      </c>
      <c r="C929" t="s">
        <v>646</v>
      </c>
      <c r="D929" t="s">
        <v>26</v>
      </c>
      <c r="E929" s="2">
        <v>202000</v>
      </c>
      <c r="F929" t="s">
        <v>710</v>
      </c>
    </row>
    <row r="930" spans="1:6">
      <c r="A930" s="1">
        <v>45896</v>
      </c>
      <c r="B930" s="7" t="s">
        <v>642</v>
      </c>
      <c r="C930" t="s">
        <v>646</v>
      </c>
      <c r="D930" t="s">
        <v>3</v>
      </c>
      <c r="E930" s="2">
        <v>50</v>
      </c>
      <c r="F930" t="s">
        <v>710</v>
      </c>
    </row>
    <row r="931" spans="1:6">
      <c r="A931" s="1">
        <v>45896</v>
      </c>
      <c r="B931" s="7" t="s">
        <v>642</v>
      </c>
      <c r="C931" t="s">
        <v>646</v>
      </c>
      <c r="D931" t="s">
        <v>3</v>
      </c>
      <c r="E931" s="2">
        <v>3.75</v>
      </c>
      <c r="F931" t="s">
        <v>710</v>
      </c>
    </row>
    <row r="932" spans="1:6">
      <c r="A932" s="1">
        <v>45896</v>
      </c>
      <c r="B932" s="7" t="s">
        <v>642</v>
      </c>
      <c r="C932" t="s">
        <v>647</v>
      </c>
      <c r="D932" t="s">
        <v>15</v>
      </c>
      <c r="E932" s="2">
        <v>63500</v>
      </c>
      <c r="F932" t="s">
        <v>710</v>
      </c>
    </row>
    <row r="933" spans="1:6">
      <c r="A933" s="1">
        <v>45896</v>
      </c>
      <c r="B933" s="7" t="s">
        <v>642</v>
      </c>
      <c r="C933" t="s">
        <v>647</v>
      </c>
      <c r="D933" t="s">
        <v>3</v>
      </c>
      <c r="E933" s="2">
        <v>50</v>
      </c>
      <c r="F933" t="s">
        <v>710</v>
      </c>
    </row>
    <row r="934" spans="1:6">
      <c r="A934" s="1">
        <v>45896</v>
      </c>
      <c r="B934" s="7" t="s">
        <v>642</v>
      </c>
      <c r="C934" t="s">
        <v>647</v>
      </c>
      <c r="D934" t="s">
        <v>3</v>
      </c>
      <c r="E934" s="2">
        <v>3.75</v>
      </c>
      <c r="F934" t="s">
        <v>710</v>
      </c>
    </row>
    <row r="935" spans="1:6">
      <c r="A935" s="1">
        <v>45898</v>
      </c>
      <c r="B935" s="7" t="s">
        <v>648</v>
      </c>
      <c r="C935" t="s">
        <v>649</v>
      </c>
      <c r="D935" t="s">
        <v>15</v>
      </c>
      <c r="E935" s="2">
        <v>70500</v>
      </c>
      <c r="F935" t="s">
        <v>710</v>
      </c>
    </row>
    <row r="936" spans="1:6">
      <c r="A936" s="1">
        <v>45898</v>
      </c>
      <c r="B936" s="7" t="s">
        <v>648</v>
      </c>
      <c r="C936" t="s">
        <v>649</v>
      </c>
      <c r="D936" t="s">
        <v>3</v>
      </c>
      <c r="E936" s="2">
        <v>50</v>
      </c>
      <c r="F936" t="s">
        <v>710</v>
      </c>
    </row>
    <row r="937" spans="1:6">
      <c r="A937" s="1">
        <v>45898</v>
      </c>
      <c r="B937" s="7" t="s">
        <v>648</v>
      </c>
      <c r="C937" t="s">
        <v>649</v>
      </c>
      <c r="D937" t="s">
        <v>3</v>
      </c>
      <c r="E937" s="2">
        <v>3.75</v>
      </c>
      <c r="F937" t="s">
        <v>710</v>
      </c>
    </row>
    <row r="938" spans="1:6">
      <c r="A938" s="1">
        <v>45898</v>
      </c>
      <c r="B938" s="7" t="s">
        <v>648</v>
      </c>
      <c r="C938" t="s">
        <v>650</v>
      </c>
      <c r="D938" t="s">
        <v>3</v>
      </c>
      <c r="E938" s="2">
        <v>2565.2100000008941</v>
      </c>
      <c r="F938" t="s">
        <v>710</v>
      </c>
    </row>
    <row r="939" spans="1:6">
      <c r="A939" s="1">
        <v>45898</v>
      </c>
      <c r="B939" s="7" t="s">
        <v>648</v>
      </c>
      <c r="C939" t="s">
        <v>651</v>
      </c>
      <c r="D939" t="s">
        <v>34</v>
      </c>
      <c r="E939" s="2">
        <v>34201.70000000298</v>
      </c>
      <c r="F939" t="s">
        <v>710</v>
      </c>
    </row>
    <row r="940" spans="1:6" s="10" customFormat="1">
      <c r="A940" s="8">
        <v>45900</v>
      </c>
      <c r="B940" s="9" t="s">
        <v>648</v>
      </c>
      <c r="C940" s="10" t="s">
        <v>718</v>
      </c>
      <c r="D940" s="10" t="s">
        <v>714</v>
      </c>
      <c r="E940" s="11">
        <v>-23416246.75</v>
      </c>
      <c r="F940" s="10" t="s">
        <v>710</v>
      </c>
    </row>
    <row r="941" spans="1:6">
      <c r="A941" s="1">
        <v>45901</v>
      </c>
      <c r="B941" s="7" t="s">
        <v>652</v>
      </c>
      <c r="C941" t="s">
        <v>653</v>
      </c>
      <c r="D941" t="s">
        <v>4</v>
      </c>
      <c r="E941" s="2">
        <v>108000</v>
      </c>
      <c r="F941" t="s">
        <v>710</v>
      </c>
    </row>
    <row r="942" spans="1:6">
      <c r="A942" s="1">
        <v>45901</v>
      </c>
      <c r="B942" s="7" t="s">
        <v>652</v>
      </c>
      <c r="C942" t="s">
        <v>653</v>
      </c>
      <c r="D942" t="s">
        <v>3</v>
      </c>
      <c r="E942" s="2">
        <v>50</v>
      </c>
      <c r="F942" t="s">
        <v>710</v>
      </c>
    </row>
    <row r="943" spans="1:6">
      <c r="A943" s="1">
        <v>45901</v>
      </c>
      <c r="B943" s="7" t="s">
        <v>652</v>
      </c>
      <c r="C943" t="s">
        <v>653</v>
      </c>
      <c r="D943" t="s">
        <v>3</v>
      </c>
      <c r="E943" s="2">
        <v>3.75</v>
      </c>
      <c r="F943" t="s">
        <v>710</v>
      </c>
    </row>
    <row r="944" spans="1:6">
      <c r="A944" s="1">
        <v>45901</v>
      </c>
      <c r="B944" s="7" t="s">
        <v>652</v>
      </c>
      <c r="C944" t="s">
        <v>654</v>
      </c>
      <c r="D944" t="s">
        <v>5</v>
      </c>
      <c r="E944" s="2">
        <v>40000</v>
      </c>
      <c r="F944" t="s">
        <v>710</v>
      </c>
    </row>
    <row r="945" spans="1:6">
      <c r="A945" s="1">
        <v>45901</v>
      </c>
      <c r="B945" s="7" t="s">
        <v>652</v>
      </c>
      <c r="C945" t="s">
        <v>654</v>
      </c>
      <c r="D945" t="s">
        <v>3</v>
      </c>
      <c r="E945" s="2">
        <v>25</v>
      </c>
      <c r="F945" t="s">
        <v>710</v>
      </c>
    </row>
    <row r="946" spans="1:6">
      <c r="A946" s="1">
        <v>45901</v>
      </c>
      <c r="B946" s="7" t="s">
        <v>652</v>
      </c>
      <c r="C946" t="s">
        <v>654</v>
      </c>
      <c r="D946" t="s">
        <v>3</v>
      </c>
      <c r="E946" s="2">
        <v>1.8799999952316284</v>
      </c>
      <c r="F946" t="s">
        <v>710</v>
      </c>
    </row>
    <row r="947" spans="1:6">
      <c r="A947" s="1">
        <v>45901</v>
      </c>
      <c r="B947" s="7" t="s">
        <v>652</v>
      </c>
      <c r="C947" t="s">
        <v>655</v>
      </c>
      <c r="D947" t="s">
        <v>26</v>
      </c>
      <c r="E947" s="2">
        <v>242000</v>
      </c>
      <c r="F947" t="s">
        <v>710</v>
      </c>
    </row>
    <row r="948" spans="1:6">
      <c r="A948" s="1">
        <v>45901</v>
      </c>
      <c r="B948" s="7" t="s">
        <v>652</v>
      </c>
      <c r="C948" t="s">
        <v>655</v>
      </c>
      <c r="D948" t="s">
        <v>3</v>
      </c>
      <c r="E948" s="2">
        <v>50</v>
      </c>
      <c r="F948" t="s">
        <v>710</v>
      </c>
    </row>
    <row r="949" spans="1:6">
      <c r="A949" s="1">
        <v>45901</v>
      </c>
      <c r="B949" s="7" t="s">
        <v>652</v>
      </c>
      <c r="C949" t="s">
        <v>655</v>
      </c>
      <c r="D949" t="s">
        <v>3</v>
      </c>
      <c r="E949" s="2">
        <v>3.75</v>
      </c>
      <c r="F949" t="s">
        <v>710</v>
      </c>
    </row>
    <row r="950" spans="1:6">
      <c r="A950" s="1">
        <v>45902</v>
      </c>
      <c r="B950" s="7" t="s">
        <v>656</v>
      </c>
      <c r="C950" t="s">
        <v>657</v>
      </c>
      <c r="D950" t="s">
        <v>16</v>
      </c>
      <c r="E950" s="2">
        <v>950000</v>
      </c>
      <c r="F950" t="s">
        <v>710</v>
      </c>
    </row>
    <row r="951" spans="1:6">
      <c r="A951" s="1">
        <v>45902</v>
      </c>
      <c r="B951" s="7" t="s">
        <v>656</v>
      </c>
      <c r="C951" t="s">
        <v>658</v>
      </c>
      <c r="D951" t="s">
        <v>3</v>
      </c>
      <c r="E951" s="2">
        <v>50</v>
      </c>
      <c r="F951" t="s">
        <v>710</v>
      </c>
    </row>
    <row r="952" spans="1:6">
      <c r="A952" s="1">
        <v>45902</v>
      </c>
      <c r="B952" s="7" t="s">
        <v>656</v>
      </c>
      <c r="C952" t="s">
        <v>659</v>
      </c>
      <c r="D952" t="s">
        <v>3</v>
      </c>
      <c r="E952" s="2">
        <v>3.75</v>
      </c>
      <c r="F952" t="s">
        <v>710</v>
      </c>
    </row>
    <row r="953" spans="1:6">
      <c r="A953" s="1">
        <v>45902</v>
      </c>
      <c r="B953" s="7" t="s">
        <v>656</v>
      </c>
      <c r="C953" t="s">
        <v>660</v>
      </c>
      <c r="D953" t="s">
        <v>30</v>
      </c>
      <c r="E953" s="2">
        <v>470000</v>
      </c>
      <c r="F953" t="s">
        <v>710</v>
      </c>
    </row>
    <row r="954" spans="1:6">
      <c r="A954" s="1">
        <v>45902</v>
      </c>
      <c r="B954" s="7" t="s">
        <v>656</v>
      </c>
      <c r="C954" t="s">
        <v>661</v>
      </c>
      <c r="D954" t="s">
        <v>3</v>
      </c>
      <c r="E954" s="2">
        <v>50</v>
      </c>
      <c r="F954" t="s">
        <v>710</v>
      </c>
    </row>
    <row r="955" spans="1:6">
      <c r="A955" s="1">
        <v>45902</v>
      </c>
      <c r="B955" s="7" t="s">
        <v>656</v>
      </c>
      <c r="C955" t="s">
        <v>662</v>
      </c>
      <c r="D955" t="s">
        <v>3</v>
      </c>
      <c r="E955" s="2">
        <v>3.75</v>
      </c>
      <c r="F955" t="s">
        <v>710</v>
      </c>
    </row>
    <row r="956" spans="1:6">
      <c r="A956" s="1">
        <v>45902</v>
      </c>
      <c r="B956" s="7" t="s">
        <v>656</v>
      </c>
      <c r="C956" t="s">
        <v>663</v>
      </c>
      <c r="D956" t="s">
        <v>8</v>
      </c>
      <c r="E956" s="2">
        <v>2035800</v>
      </c>
      <c r="F956" t="s">
        <v>710</v>
      </c>
    </row>
    <row r="957" spans="1:6">
      <c r="A957" s="1">
        <v>45902</v>
      </c>
      <c r="B957" s="7" t="s">
        <v>656</v>
      </c>
      <c r="C957" t="s">
        <v>664</v>
      </c>
      <c r="D957" t="s">
        <v>3</v>
      </c>
      <c r="E957" s="2">
        <v>50</v>
      </c>
      <c r="F957" t="s">
        <v>710</v>
      </c>
    </row>
    <row r="958" spans="1:6">
      <c r="A958" s="1">
        <v>45902</v>
      </c>
      <c r="B958" s="7" t="s">
        <v>656</v>
      </c>
      <c r="C958" t="s">
        <v>665</v>
      </c>
      <c r="D958" t="s">
        <v>3</v>
      </c>
      <c r="E958" s="2">
        <v>3.75</v>
      </c>
      <c r="F958" t="s">
        <v>710</v>
      </c>
    </row>
    <row r="959" spans="1:6">
      <c r="A959" s="1">
        <v>45902</v>
      </c>
      <c r="B959" s="7" t="s">
        <v>656</v>
      </c>
      <c r="C959" t="s">
        <v>666</v>
      </c>
      <c r="D959" t="s">
        <v>8</v>
      </c>
      <c r="E959" s="2">
        <v>2092500</v>
      </c>
      <c r="F959" t="s">
        <v>710</v>
      </c>
    </row>
    <row r="960" spans="1:6">
      <c r="A960" s="1">
        <v>45902</v>
      </c>
      <c r="B960" s="7" t="s">
        <v>656</v>
      </c>
      <c r="C960" t="s">
        <v>667</v>
      </c>
      <c r="D960" t="s">
        <v>3</v>
      </c>
      <c r="E960" s="2">
        <v>50</v>
      </c>
      <c r="F960" t="s">
        <v>710</v>
      </c>
    </row>
    <row r="961" spans="1:6">
      <c r="A961" s="1">
        <v>45902</v>
      </c>
      <c r="B961" s="7" t="s">
        <v>656</v>
      </c>
      <c r="C961" t="s">
        <v>668</v>
      </c>
      <c r="D961" t="s">
        <v>3</v>
      </c>
      <c r="E961" s="2">
        <v>3.75</v>
      </c>
      <c r="F961" t="s">
        <v>710</v>
      </c>
    </row>
    <row r="962" spans="1:6">
      <c r="A962" s="1">
        <v>45902</v>
      </c>
      <c r="B962" s="7" t="s">
        <v>656</v>
      </c>
      <c r="C962" t="s">
        <v>669</v>
      </c>
      <c r="D962" t="s">
        <v>8</v>
      </c>
      <c r="E962" s="2">
        <v>2066040</v>
      </c>
      <c r="F962" t="s">
        <v>710</v>
      </c>
    </row>
    <row r="963" spans="1:6">
      <c r="A963" s="1">
        <v>45902</v>
      </c>
      <c r="B963" s="7" t="s">
        <v>656</v>
      </c>
      <c r="C963" t="s">
        <v>670</v>
      </c>
      <c r="D963" t="s">
        <v>3</v>
      </c>
      <c r="E963" s="2">
        <v>50</v>
      </c>
      <c r="F963" t="s">
        <v>710</v>
      </c>
    </row>
    <row r="964" spans="1:6">
      <c r="A964" s="1">
        <v>45902</v>
      </c>
      <c r="B964" s="7" t="s">
        <v>656</v>
      </c>
      <c r="C964" t="s">
        <v>671</v>
      </c>
      <c r="D964" t="s">
        <v>3</v>
      </c>
      <c r="E964" s="2">
        <v>3.75</v>
      </c>
      <c r="F964" t="s">
        <v>710</v>
      </c>
    </row>
    <row r="965" spans="1:6">
      <c r="A965" s="1">
        <v>45902</v>
      </c>
      <c r="B965" s="7" t="s">
        <v>656</v>
      </c>
      <c r="C965" t="s">
        <v>672</v>
      </c>
      <c r="D965" t="s">
        <v>8</v>
      </c>
      <c r="E965" s="2">
        <v>1633064.4800000042</v>
      </c>
      <c r="F965" t="s">
        <v>710</v>
      </c>
    </row>
    <row r="966" spans="1:6">
      <c r="A966" s="1">
        <v>45902</v>
      </c>
      <c r="B966" s="7" t="s">
        <v>656</v>
      </c>
      <c r="C966" t="s">
        <v>673</v>
      </c>
      <c r="D966" t="s">
        <v>3</v>
      </c>
      <c r="E966" s="2">
        <v>50</v>
      </c>
      <c r="F966" t="s">
        <v>710</v>
      </c>
    </row>
    <row r="967" spans="1:6">
      <c r="A967" s="1">
        <v>45902</v>
      </c>
      <c r="B967" s="7" t="s">
        <v>656</v>
      </c>
      <c r="C967" t="s">
        <v>674</v>
      </c>
      <c r="D967" t="s">
        <v>3</v>
      </c>
      <c r="E967" s="2">
        <v>3.75</v>
      </c>
      <c r="F967" t="s">
        <v>710</v>
      </c>
    </row>
    <row r="968" spans="1:6">
      <c r="A968" s="1">
        <v>45902</v>
      </c>
      <c r="B968" s="7" t="s">
        <v>656</v>
      </c>
      <c r="C968" t="s">
        <v>675</v>
      </c>
      <c r="D968" t="s">
        <v>13</v>
      </c>
      <c r="E968" s="2">
        <v>400000</v>
      </c>
      <c r="F968" t="s">
        <v>710</v>
      </c>
    </row>
    <row r="969" spans="1:6">
      <c r="A969" s="1">
        <v>45902</v>
      </c>
      <c r="B969" s="7" t="s">
        <v>656</v>
      </c>
      <c r="C969" t="s">
        <v>676</v>
      </c>
      <c r="D969" t="s">
        <v>3</v>
      </c>
      <c r="E969" s="2">
        <v>50</v>
      </c>
      <c r="F969" t="s">
        <v>710</v>
      </c>
    </row>
    <row r="970" spans="1:6">
      <c r="A970" s="1">
        <v>45902</v>
      </c>
      <c r="B970" s="7" t="s">
        <v>656</v>
      </c>
      <c r="C970" t="s">
        <v>677</v>
      </c>
      <c r="D970" t="s">
        <v>3</v>
      </c>
      <c r="E970" s="2">
        <v>3.75</v>
      </c>
      <c r="F970" t="s">
        <v>710</v>
      </c>
    </row>
    <row r="971" spans="1:6">
      <c r="A971" s="1">
        <v>45902</v>
      </c>
      <c r="B971" s="7" t="s">
        <v>656</v>
      </c>
      <c r="C971" t="s">
        <v>678</v>
      </c>
      <c r="D971" t="s">
        <v>28</v>
      </c>
      <c r="E971" s="2">
        <v>300000</v>
      </c>
      <c r="F971" t="s">
        <v>710</v>
      </c>
    </row>
    <row r="972" spans="1:6">
      <c r="A972" s="1">
        <v>45902</v>
      </c>
      <c r="B972" s="7" t="s">
        <v>656</v>
      </c>
      <c r="C972" t="s">
        <v>678</v>
      </c>
      <c r="D972" t="s">
        <v>3</v>
      </c>
      <c r="E972" s="2">
        <v>50</v>
      </c>
      <c r="F972" t="s">
        <v>710</v>
      </c>
    </row>
    <row r="973" spans="1:6">
      <c r="A973" s="1">
        <v>45902</v>
      </c>
      <c r="B973" s="7" t="s">
        <v>656</v>
      </c>
      <c r="C973" t="s">
        <v>678</v>
      </c>
      <c r="D973" t="s">
        <v>3</v>
      </c>
      <c r="E973" s="2">
        <v>3.75</v>
      </c>
      <c r="F973" t="s">
        <v>710</v>
      </c>
    </row>
    <row r="974" spans="1:6">
      <c r="A974" s="1">
        <v>45902</v>
      </c>
      <c r="B974" s="7" t="s">
        <v>656</v>
      </c>
      <c r="C974" t="s">
        <v>679</v>
      </c>
      <c r="D974" t="s">
        <v>35</v>
      </c>
      <c r="E974" s="2">
        <v>883800</v>
      </c>
      <c r="F974" t="s">
        <v>710</v>
      </c>
    </row>
    <row r="975" spans="1:6">
      <c r="A975" s="1">
        <v>45902</v>
      </c>
      <c r="B975" s="7" t="s">
        <v>656</v>
      </c>
      <c r="C975" t="s">
        <v>680</v>
      </c>
      <c r="D975" t="s">
        <v>3</v>
      </c>
      <c r="E975" s="2">
        <v>50</v>
      </c>
      <c r="F975" t="s">
        <v>710</v>
      </c>
    </row>
    <row r="976" spans="1:6">
      <c r="A976" s="1">
        <v>45902</v>
      </c>
      <c r="B976" s="7" t="s">
        <v>656</v>
      </c>
      <c r="C976" t="s">
        <v>681</v>
      </c>
      <c r="D976" t="s">
        <v>3</v>
      </c>
      <c r="E976" s="2">
        <v>3.75</v>
      </c>
      <c r="F976" t="s">
        <v>710</v>
      </c>
    </row>
    <row r="977" spans="1:6">
      <c r="A977" s="1">
        <v>45902</v>
      </c>
      <c r="B977" s="7" t="s">
        <v>656</v>
      </c>
      <c r="C977" t="s">
        <v>682</v>
      </c>
      <c r="D977" t="s">
        <v>35</v>
      </c>
      <c r="E977" s="2">
        <v>883800</v>
      </c>
      <c r="F977" t="s">
        <v>710</v>
      </c>
    </row>
    <row r="978" spans="1:6">
      <c r="A978" s="1">
        <v>45902</v>
      </c>
      <c r="B978" s="7" t="s">
        <v>656</v>
      </c>
      <c r="C978" t="s">
        <v>683</v>
      </c>
      <c r="D978" t="s">
        <v>3</v>
      </c>
      <c r="E978" s="2">
        <v>50</v>
      </c>
      <c r="F978" t="s">
        <v>710</v>
      </c>
    </row>
    <row r="979" spans="1:6">
      <c r="A979" s="1">
        <v>45902</v>
      </c>
      <c r="B979" s="7" t="s">
        <v>656</v>
      </c>
      <c r="C979" t="s">
        <v>684</v>
      </c>
      <c r="D979" t="s">
        <v>3</v>
      </c>
      <c r="E979" s="2">
        <v>3.75</v>
      </c>
      <c r="F979" t="s">
        <v>710</v>
      </c>
    </row>
    <row r="980" spans="1:6">
      <c r="A980" s="1">
        <v>45903</v>
      </c>
      <c r="B980" s="7" t="s">
        <v>685</v>
      </c>
      <c r="C980" t="s">
        <v>686</v>
      </c>
      <c r="D980" t="s">
        <v>19</v>
      </c>
      <c r="E980" s="2">
        <v>450000</v>
      </c>
      <c r="F980" t="s">
        <v>710</v>
      </c>
    </row>
    <row r="981" spans="1:6">
      <c r="A981" s="1">
        <v>45903</v>
      </c>
      <c r="B981" s="7" t="s">
        <v>685</v>
      </c>
      <c r="C981" t="s">
        <v>687</v>
      </c>
      <c r="D981" t="s">
        <v>3</v>
      </c>
      <c r="E981" s="2">
        <v>50</v>
      </c>
      <c r="F981" t="s">
        <v>710</v>
      </c>
    </row>
    <row r="982" spans="1:6">
      <c r="A982" s="1">
        <v>45903</v>
      </c>
      <c r="B982" s="7" t="s">
        <v>685</v>
      </c>
      <c r="C982" t="s">
        <v>688</v>
      </c>
      <c r="D982" t="s">
        <v>3</v>
      </c>
      <c r="E982" s="2">
        <v>3.75</v>
      </c>
      <c r="F982" t="s">
        <v>710</v>
      </c>
    </row>
    <row r="983" spans="1:6">
      <c r="A983" s="1">
        <v>45903</v>
      </c>
      <c r="B983" s="7" t="s">
        <v>685</v>
      </c>
      <c r="C983" t="s">
        <v>689</v>
      </c>
      <c r="D983" t="s">
        <v>13</v>
      </c>
      <c r="E983" s="2">
        <v>27610</v>
      </c>
      <c r="F983" t="s">
        <v>710</v>
      </c>
    </row>
    <row r="984" spans="1:6">
      <c r="A984" s="1">
        <v>45903</v>
      </c>
      <c r="B984" s="7" t="s">
        <v>685</v>
      </c>
      <c r="C984" t="s">
        <v>689</v>
      </c>
      <c r="D984" t="s">
        <v>3</v>
      </c>
      <c r="E984" s="2">
        <v>25</v>
      </c>
      <c r="F984" t="s">
        <v>710</v>
      </c>
    </row>
    <row r="985" spans="1:6">
      <c r="A985" s="1">
        <v>45903</v>
      </c>
      <c r="B985" s="7" t="s">
        <v>685</v>
      </c>
      <c r="C985" t="s">
        <v>689</v>
      </c>
      <c r="D985" t="s">
        <v>3</v>
      </c>
      <c r="E985" s="2">
        <v>1.8799999952316284</v>
      </c>
      <c r="F985" t="s">
        <v>710</v>
      </c>
    </row>
    <row r="986" spans="1:6">
      <c r="A986" s="1">
        <v>45903</v>
      </c>
      <c r="B986" s="7" t="s">
        <v>685</v>
      </c>
      <c r="C986" t="s">
        <v>690</v>
      </c>
      <c r="D986" t="s">
        <v>15</v>
      </c>
      <c r="E986" s="2">
        <v>54000</v>
      </c>
      <c r="F986" t="s">
        <v>710</v>
      </c>
    </row>
    <row r="987" spans="1:6">
      <c r="A987" s="1">
        <v>45903</v>
      </c>
      <c r="B987" s="7" t="s">
        <v>685</v>
      </c>
      <c r="C987" t="s">
        <v>690</v>
      </c>
      <c r="D987" t="s">
        <v>3</v>
      </c>
      <c r="E987" s="2">
        <v>50</v>
      </c>
      <c r="F987" t="s">
        <v>710</v>
      </c>
    </row>
    <row r="988" spans="1:6">
      <c r="A988" s="1">
        <v>45903</v>
      </c>
      <c r="B988" s="7" t="s">
        <v>685</v>
      </c>
      <c r="C988" t="s">
        <v>690</v>
      </c>
      <c r="D988" t="s">
        <v>3</v>
      </c>
      <c r="E988" s="2">
        <v>3.75</v>
      </c>
      <c r="F988" t="s">
        <v>710</v>
      </c>
    </row>
    <row r="989" spans="1:6">
      <c r="A989" s="1">
        <v>45903</v>
      </c>
      <c r="B989" s="7" t="s">
        <v>685</v>
      </c>
      <c r="C989" t="s">
        <v>691</v>
      </c>
      <c r="D989" t="s">
        <v>15</v>
      </c>
      <c r="E989" s="2">
        <v>28000</v>
      </c>
      <c r="F989" t="s">
        <v>710</v>
      </c>
    </row>
    <row r="990" spans="1:6">
      <c r="A990" s="1">
        <v>45903</v>
      </c>
      <c r="B990" s="7" t="s">
        <v>685</v>
      </c>
      <c r="C990" t="s">
        <v>691</v>
      </c>
      <c r="D990" t="s">
        <v>3</v>
      </c>
      <c r="E990" s="2">
        <v>25</v>
      </c>
      <c r="F990" t="s">
        <v>710</v>
      </c>
    </row>
    <row r="991" spans="1:6">
      <c r="A991" s="1">
        <v>45903</v>
      </c>
      <c r="B991" s="7" t="s">
        <v>685</v>
      </c>
      <c r="C991" t="s">
        <v>691</v>
      </c>
      <c r="D991" t="s">
        <v>3</v>
      </c>
      <c r="E991" s="2">
        <v>1.880000002682209</v>
      </c>
      <c r="F991" t="s">
        <v>710</v>
      </c>
    </row>
    <row r="992" spans="1:6">
      <c r="A992" s="1">
        <v>45903</v>
      </c>
      <c r="B992" s="7" t="s">
        <v>685</v>
      </c>
      <c r="C992" t="s">
        <v>692</v>
      </c>
      <c r="D992" t="s">
        <v>33</v>
      </c>
      <c r="E992" s="2">
        <v>20000</v>
      </c>
      <c r="F992" t="s">
        <v>710</v>
      </c>
    </row>
    <row r="993" spans="1:6">
      <c r="A993" s="1">
        <v>45903</v>
      </c>
      <c r="B993" s="7" t="s">
        <v>685</v>
      </c>
      <c r="C993" t="s">
        <v>692</v>
      </c>
      <c r="D993" t="s">
        <v>3</v>
      </c>
      <c r="E993" s="2">
        <v>25</v>
      </c>
      <c r="F993" t="s">
        <v>710</v>
      </c>
    </row>
    <row r="994" spans="1:6">
      <c r="A994" s="1">
        <v>45903</v>
      </c>
      <c r="B994" s="7" t="s">
        <v>685</v>
      </c>
      <c r="C994" t="s">
        <v>692</v>
      </c>
      <c r="D994" t="s">
        <v>3</v>
      </c>
      <c r="E994" s="2">
        <v>1.880000002682209</v>
      </c>
      <c r="F994" t="s">
        <v>710</v>
      </c>
    </row>
    <row r="995" spans="1:6">
      <c r="A995" s="1">
        <v>45903</v>
      </c>
      <c r="B995" s="7" t="s">
        <v>685</v>
      </c>
      <c r="C995" t="s">
        <v>693</v>
      </c>
      <c r="D995" t="s">
        <v>6</v>
      </c>
      <c r="E995" s="2">
        <v>1300000</v>
      </c>
      <c r="F995" t="s">
        <v>710</v>
      </c>
    </row>
    <row r="996" spans="1:6">
      <c r="A996" s="1">
        <v>45903</v>
      </c>
      <c r="B996" s="7" t="s">
        <v>685</v>
      </c>
      <c r="C996" t="s">
        <v>694</v>
      </c>
      <c r="D996" t="s">
        <v>3</v>
      </c>
      <c r="E996" s="2">
        <v>50</v>
      </c>
      <c r="F996" t="s">
        <v>710</v>
      </c>
    </row>
    <row r="997" spans="1:6">
      <c r="A997" s="1">
        <v>45903</v>
      </c>
      <c r="B997" s="7" t="s">
        <v>685</v>
      </c>
      <c r="C997" t="s">
        <v>695</v>
      </c>
      <c r="D997" t="s">
        <v>3</v>
      </c>
      <c r="E997" s="2">
        <v>3.75</v>
      </c>
      <c r="F997" t="s">
        <v>710</v>
      </c>
    </row>
    <row r="998" spans="1:6">
      <c r="A998" s="1">
        <v>45903</v>
      </c>
      <c r="B998" s="7" t="s">
        <v>685</v>
      </c>
      <c r="C998" t="s">
        <v>696</v>
      </c>
      <c r="D998" t="s">
        <v>8</v>
      </c>
      <c r="E998" s="2">
        <v>1317857.0199999958</v>
      </c>
      <c r="F998" t="s">
        <v>710</v>
      </c>
    </row>
    <row r="999" spans="1:6">
      <c r="A999" s="1">
        <v>45903</v>
      </c>
      <c r="B999" s="7" t="s">
        <v>685</v>
      </c>
      <c r="C999" t="s">
        <v>697</v>
      </c>
      <c r="D999" t="s">
        <v>4</v>
      </c>
      <c r="E999" s="2">
        <v>150000</v>
      </c>
      <c r="F999" t="s">
        <v>710</v>
      </c>
    </row>
    <row r="1000" spans="1:6">
      <c r="A1000" s="1">
        <v>45903</v>
      </c>
      <c r="B1000" s="7" t="s">
        <v>685</v>
      </c>
      <c r="C1000" t="s">
        <v>697</v>
      </c>
      <c r="D1000" t="s">
        <v>3</v>
      </c>
      <c r="E1000" s="2">
        <v>50</v>
      </c>
      <c r="F1000" t="s">
        <v>710</v>
      </c>
    </row>
    <row r="1001" spans="1:6">
      <c r="A1001" s="1">
        <v>45903</v>
      </c>
      <c r="B1001" s="7" t="s">
        <v>685</v>
      </c>
      <c r="C1001" t="s">
        <v>697</v>
      </c>
      <c r="D1001" t="s">
        <v>3</v>
      </c>
      <c r="E1001" s="2">
        <v>3.75</v>
      </c>
      <c r="F1001" t="s">
        <v>710</v>
      </c>
    </row>
    <row r="1002" spans="1:6">
      <c r="A1002" s="1">
        <v>45904</v>
      </c>
      <c r="B1002" s="7" t="s">
        <v>698</v>
      </c>
      <c r="C1002" t="s">
        <v>699</v>
      </c>
      <c r="D1002" t="s">
        <v>15</v>
      </c>
      <c r="E1002" s="2">
        <v>180000</v>
      </c>
      <c r="F1002" t="s">
        <v>710</v>
      </c>
    </row>
    <row r="1003" spans="1:6">
      <c r="A1003" s="1">
        <v>45904</v>
      </c>
      <c r="B1003" s="7" t="s">
        <v>698</v>
      </c>
      <c r="C1003" t="s">
        <v>699</v>
      </c>
      <c r="D1003" t="s">
        <v>3</v>
      </c>
      <c r="E1003" s="2">
        <v>50</v>
      </c>
      <c r="F1003" t="s">
        <v>710</v>
      </c>
    </row>
    <row r="1004" spans="1:6">
      <c r="A1004" s="1">
        <v>45904</v>
      </c>
      <c r="B1004" s="7" t="s">
        <v>698</v>
      </c>
      <c r="C1004" t="s">
        <v>699</v>
      </c>
      <c r="D1004" t="s">
        <v>3</v>
      </c>
      <c r="E1004" s="2">
        <v>3.75</v>
      </c>
      <c r="F1004" t="s">
        <v>710</v>
      </c>
    </row>
    <row r="1005" spans="1:6">
      <c r="A1005" s="1">
        <v>45905</v>
      </c>
      <c r="B1005" s="7" t="s">
        <v>698</v>
      </c>
      <c r="C1005" t="s">
        <v>700</v>
      </c>
      <c r="D1005" t="s">
        <v>26</v>
      </c>
      <c r="E1005" s="2">
        <v>200000</v>
      </c>
      <c r="F1005" t="s">
        <v>710</v>
      </c>
    </row>
    <row r="1006" spans="1:6">
      <c r="A1006" s="1">
        <v>45905</v>
      </c>
      <c r="B1006" s="7" t="s">
        <v>698</v>
      </c>
      <c r="C1006" t="s">
        <v>700</v>
      </c>
      <c r="D1006" t="s">
        <v>3</v>
      </c>
      <c r="E1006" s="2">
        <v>50</v>
      </c>
      <c r="F1006" t="s">
        <v>710</v>
      </c>
    </row>
    <row r="1007" spans="1:6">
      <c r="A1007" s="1">
        <v>45905</v>
      </c>
      <c r="B1007" s="7" t="s">
        <v>698</v>
      </c>
      <c r="C1007" t="s">
        <v>700</v>
      </c>
      <c r="D1007" t="s">
        <v>3</v>
      </c>
      <c r="E1007" s="2">
        <v>3.75</v>
      </c>
      <c r="F1007" t="s">
        <v>710</v>
      </c>
    </row>
    <row r="1008" spans="1:6">
      <c r="A1008" s="1">
        <v>45908</v>
      </c>
      <c r="B1008" s="7" t="s">
        <v>701</v>
      </c>
      <c r="C1008" t="s">
        <v>702</v>
      </c>
      <c r="D1008" t="s">
        <v>15</v>
      </c>
      <c r="E1008" s="2">
        <v>50000</v>
      </c>
      <c r="F1008" t="s">
        <v>710</v>
      </c>
    </row>
    <row r="1009" spans="1:6">
      <c r="A1009" s="1">
        <v>45908</v>
      </c>
      <c r="B1009" s="7" t="s">
        <v>701</v>
      </c>
      <c r="C1009" t="s">
        <v>702</v>
      </c>
      <c r="D1009" t="s">
        <v>3</v>
      </c>
      <c r="E1009" s="2">
        <v>25</v>
      </c>
      <c r="F1009" t="s">
        <v>710</v>
      </c>
    </row>
    <row r="1010" spans="1:6">
      <c r="A1010" s="1">
        <v>45908</v>
      </c>
      <c r="B1010" s="7" t="s">
        <v>701</v>
      </c>
      <c r="C1010" t="s">
        <v>702</v>
      </c>
      <c r="D1010" t="s">
        <v>3</v>
      </c>
      <c r="E1010" s="2">
        <v>1.880000002682209</v>
      </c>
      <c r="F1010" t="s">
        <v>710</v>
      </c>
    </row>
    <row r="1011" spans="1:6">
      <c r="A1011" s="1">
        <v>45908</v>
      </c>
      <c r="B1011" s="7" t="s">
        <v>701</v>
      </c>
      <c r="C1011" t="s">
        <v>703</v>
      </c>
      <c r="D1011" t="s">
        <v>26</v>
      </c>
      <c r="E1011" s="2">
        <v>200000</v>
      </c>
      <c r="F1011" t="s">
        <v>710</v>
      </c>
    </row>
    <row r="1012" spans="1:6">
      <c r="A1012" s="1">
        <v>45908</v>
      </c>
      <c r="B1012" s="7" t="s">
        <v>701</v>
      </c>
      <c r="C1012" t="s">
        <v>703</v>
      </c>
      <c r="D1012" t="s">
        <v>3</v>
      </c>
      <c r="E1012" s="2">
        <v>50</v>
      </c>
      <c r="F1012" t="s">
        <v>710</v>
      </c>
    </row>
    <row r="1013" spans="1:6">
      <c r="A1013" s="1">
        <v>45908</v>
      </c>
      <c r="B1013" s="7" t="s">
        <v>701</v>
      </c>
      <c r="C1013" t="s">
        <v>703</v>
      </c>
      <c r="D1013" t="s">
        <v>3</v>
      </c>
      <c r="E1013" s="2">
        <v>3.75</v>
      </c>
      <c r="F1013" t="s">
        <v>710</v>
      </c>
    </row>
    <row r="1014" spans="1:6">
      <c r="A1014" s="1">
        <v>45908</v>
      </c>
      <c r="B1014" s="7" t="s">
        <v>701</v>
      </c>
      <c r="C1014" t="s">
        <v>704</v>
      </c>
      <c r="D1014" t="s">
        <v>28</v>
      </c>
      <c r="E1014" s="2">
        <v>220000</v>
      </c>
      <c r="F1014" t="s">
        <v>710</v>
      </c>
    </row>
    <row r="1015" spans="1:6">
      <c r="A1015" s="1">
        <v>45908</v>
      </c>
      <c r="B1015" s="7" t="s">
        <v>701</v>
      </c>
      <c r="C1015" t="s">
        <v>704</v>
      </c>
      <c r="D1015" t="s">
        <v>3</v>
      </c>
      <c r="E1015" s="2">
        <v>50</v>
      </c>
      <c r="F1015" t="s">
        <v>710</v>
      </c>
    </row>
    <row r="1016" spans="1:6">
      <c r="A1016" s="1">
        <v>45908</v>
      </c>
      <c r="B1016" s="7" t="s">
        <v>701</v>
      </c>
      <c r="C1016" t="s">
        <v>704</v>
      </c>
      <c r="D1016" t="s">
        <v>3</v>
      </c>
      <c r="E1016" s="2">
        <v>3.75</v>
      </c>
      <c r="F1016" t="s">
        <v>710</v>
      </c>
    </row>
    <row r="1017" spans="1:6">
      <c r="A1017" s="1">
        <v>45908</v>
      </c>
      <c r="B1017" s="7" t="s">
        <v>701</v>
      </c>
      <c r="C1017" t="s">
        <v>705</v>
      </c>
      <c r="D1017" t="s">
        <v>36</v>
      </c>
      <c r="E1017" s="2">
        <v>78846.75</v>
      </c>
      <c r="F1017" t="s">
        <v>710</v>
      </c>
    </row>
    <row r="1018" spans="1:6">
      <c r="A1018" s="1">
        <v>45908</v>
      </c>
      <c r="B1018" s="7" t="s">
        <v>701</v>
      </c>
      <c r="C1018" t="s">
        <v>705</v>
      </c>
      <c r="D1018" t="s">
        <v>3</v>
      </c>
      <c r="E1018" s="2">
        <v>50</v>
      </c>
      <c r="F1018" t="s">
        <v>710</v>
      </c>
    </row>
    <row r="1019" spans="1:6">
      <c r="A1019" s="1">
        <v>45908</v>
      </c>
      <c r="B1019" s="7" t="s">
        <v>701</v>
      </c>
      <c r="C1019" t="s">
        <v>705</v>
      </c>
      <c r="D1019" t="s">
        <v>3</v>
      </c>
      <c r="E1019" s="2">
        <v>3.75</v>
      </c>
      <c r="F1019" t="s">
        <v>710</v>
      </c>
    </row>
    <row r="1020" spans="1:6">
      <c r="A1020" s="1">
        <v>45908</v>
      </c>
      <c r="B1020" s="7" t="s">
        <v>701</v>
      </c>
      <c r="C1020" t="s">
        <v>706</v>
      </c>
      <c r="D1020" t="s">
        <v>36</v>
      </c>
      <c r="E1020" s="2">
        <v>23414</v>
      </c>
      <c r="F1020" t="s">
        <v>710</v>
      </c>
    </row>
    <row r="1021" spans="1:6">
      <c r="A1021" s="1">
        <v>45908</v>
      </c>
      <c r="B1021" s="7" t="s">
        <v>701</v>
      </c>
      <c r="C1021" t="s">
        <v>706</v>
      </c>
      <c r="D1021" t="s">
        <v>3</v>
      </c>
      <c r="E1021" s="2">
        <v>25</v>
      </c>
      <c r="F1021" t="s">
        <v>710</v>
      </c>
    </row>
    <row r="1022" spans="1:6">
      <c r="A1022" s="1">
        <v>45908</v>
      </c>
      <c r="B1022" s="7" t="s">
        <v>701</v>
      </c>
      <c r="C1022" t="s">
        <v>706</v>
      </c>
      <c r="D1022" t="s">
        <v>3</v>
      </c>
      <c r="E1022" s="2">
        <v>1.8799999952316284</v>
      </c>
      <c r="F1022" t="s">
        <v>710</v>
      </c>
    </row>
    <row r="1023" spans="1:6">
      <c r="A1023" s="1">
        <v>45908</v>
      </c>
      <c r="B1023" s="7" t="s">
        <v>701</v>
      </c>
      <c r="C1023" t="s">
        <v>707</v>
      </c>
      <c r="D1023" t="s">
        <v>28</v>
      </c>
      <c r="E1023" s="2">
        <v>320000</v>
      </c>
      <c r="F1023" t="s">
        <v>710</v>
      </c>
    </row>
    <row r="1024" spans="1:6">
      <c r="A1024" s="1">
        <v>45908</v>
      </c>
      <c r="B1024" s="7" t="s">
        <v>701</v>
      </c>
      <c r="C1024" t="s">
        <v>707</v>
      </c>
      <c r="D1024" t="s">
        <v>3</v>
      </c>
      <c r="E1024" s="2">
        <v>50</v>
      </c>
      <c r="F1024" t="s">
        <v>710</v>
      </c>
    </row>
    <row r="1025" spans="1:6">
      <c r="A1025" s="1">
        <v>45908</v>
      </c>
      <c r="B1025" s="7" t="s">
        <v>701</v>
      </c>
      <c r="C1025" t="s">
        <v>707</v>
      </c>
      <c r="D1025" t="s">
        <v>3</v>
      </c>
      <c r="E1025" s="2">
        <v>3.75</v>
      </c>
      <c r="F1025" t="s">
        <v>710</v>
      </c>
    </row>
  </sheetData>
  <autoFilter ref="A1:E10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5:F17"/>
  <sheetViews>
    <sheetView showGridLines="0" view="pageBreakPreview" zoomScale="96" zoomScaleNormal="100" zoomScaleSheetLayoutView="96" workbookViewId="0">
      <selection activeCell="E11" sqref="E11"/>
    </sheetView>
  </sheetViews>
  <sheetFormatPr defaultRowHeight="13"/>
  <cols>
    <col min="1" max="3" width="10.5" customWidth="1"/>
  </cols>
  <sheetData>
    <row r="15" spans="6:6" ht="17.5">
      <c r="F15" s="74" t="s">
        <v>1097</v>
      </c>
    </row>
    <row r="16" spans="6:6" ht="17.5">
      <c r="F16" s="74" t="s">
        <v>1098</v>
      </c>
    </row>
    <row r="17" spans="6:6" ht="17.5">
      <c r="F17" s="74" t="s">
        <v>1369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showGridLines="0" view="pageBreakPreview" zoomScale="90" zoomScaleNormal="100" zoomScaleSheetLayoutView="90" workbookViewId="0">
      <selection activeCell="B24" sqref="B24"/>
    </sheetView>
  </sheetViews>
  <sheetFormatPr defaultColWidth="9.296875" defaultRowHeight="14.5"/>
  <cols>
    <col min="1" max="1" width="3.5" style="30" customWidth="1"/>
    <col min="2" max="2" width="47.5" style="30" customWidth="1"/>
    <col min="3" max="3" width="8.69921875" style="30" customWidth="1"/>
    <col min="4" max="4" width="15.5" style="30" customWidth="1"/>
    <col min="5" max="5" width="18.19921875" style="30" hidden="1" customWidth="1"/>
    <col min="6" max="16384" width="9.296875" style="30"/>
  </cols>
  <sheetData>
    <row r="2" spans="2:5">
      <c r="B2" s="29" t="s">
        <v>1007</v>
      </c>
      <c r="C2" s="29"/>
    </row>
    <row r="3" spans="2:5">
      <c r="B3" s="29" t="s">
        <v>1374</v>
      </c>
      <c r="C3" s="29"/>
    </row>
    <row r="4" spans="2:5" ht="15" thickBot="1">
      <c r="B4" s="31" t="s">
        <v>1370</v>
      </c>
      <c r="C4" s="31"/>
      <c r="D4" s="32"/>
      <c r="E4" s="32"/>
    </row>
    <row r="5" spans="2:5">
      <c r="B5" s="29"/>
      <c r="C5" s="29"/>
    </row>
    <row r="6" spans="2:5">
      <c r="D6" s="33">
        <v>45900</v>
      </c>
      <c r="E6" s="33" t="s">
        <v>1008</v>
      </c>
    </row>
    <row r="7" spans="2:5">
      <c r="C7" s="29" t="s">
        <v>1083</v>
      </c>
      <c r="D7" s="33" t="s">
        <v>1375</v>
      </c>
      <c r="E7" s="33" t="s">
        <v>1009</v>
      </c>
    </row>
    <row r="8" spans="2:5">
      <c r="B8" s="30" t="s">
        <v>12</v>
      </c>
      <c r="C8" s="56">
        <f>Notes!A6</f>
        <v>1</v>
      </c>
      <c r="D8" s="34">
        <f>Notes!D11</f>
        <v>156653.44156000001</v>
      </c>
      <c r="E8" s="35"/>
    </row>
    <row r="9" spans="2:5">
      <c r="B9" s="30" t="s">
        <v>940</v>
      </c>
      <c r="C9" s="56"/>
      <c r="D9" s="49">
        <v>0</v>
      </c>
      <c r="E9" s="36"/>
    </row>
    <row r="10" spans="2:5">
      <c r="B10" s="29" t="s">
        <v>1081</v>
      </c>
      <c r="C10" s="57"/>
      <c r="D10" s="71">
        <f>SUM(D8:D9)</f>
        <v>156653.44156000001</v>
      </c>
      <c r="E10" s="37">
        <f>SUM(E8:E9)</f>
        <v>0</v>
      </c>
    </row>
    <row r="11" spans="2:5">
      <c r="B11" s="30" t="s">
        <v>1006</v>
      </c>
      <c r="C11" s="56">
        <f>Notes!A14</f>
        <v>2</v>
      </c>
      <c r="D11" s="34">
        <f>-Notes!D31</f>
        <v>-121690.24507000005</v>
      </c>
      <c r="E11" s="36"/>
    </row>
    <row r="12" spans="2:5">
      <c r="B12" s="30" t="s">
        <v>1010</v>
      </c>
      <c r="C12" s="56">
        <f>Notes!A33</f>
        <v>3</v>
      </c>
      <c r="D12" s="34">
        <f>Notes!D37</f>
        <v>0</v>
      </c>
      <c r="E12" s="36"/>
    </row>
    <row r="13" spans="2:5">
      <c r="B13" s="29" t="s">
        <v>1080</v>
      </c>
      <c r="C13" s="29"/>
      <c r="D13" s="71">
        <f>SUM(D10:D12)</f>
        <v>34963.196489999958</v>
      </c>
      <c r="E13" s="37">
        <f>SUM(E10:E12)</f>
        <v>0</v>
      </c>
    </row>
    <row r="14" spans="2:5">
      <c r="B14" s="30" t="s">
        <v>1011</v>
      </c>
      <c r="D14" s="105">
        <v>0</v>
      </c>
      <c r="E14" s="36"/>
    </row>
    <row r="15" spans="2:5">
      <c r="B15" s="30" t="s">
        <v>1012</v>
      </c>
      <c r="D15" s="105">
        <v>0</v>
      </c>
      <c r="E15" s="36"/>
    </row>
    <row r="16" spans="2:5">
      <c r="B16" s="29" t="s">
        <v>1079</v>
      </c>
      <c r="C16" s="29"/>
      <c r="D16" s="71">
        <f>SUM(D13:D15)</f>
        <v>34963.196489999958</v>
      </c>
      <c r="E16" s="37">
        <f>SUM(E13:E15)</f>
        <v>0</v>
      </c>
    </row>
    <row r="17" spans="2:5">
      <c r="B17" s="30" t="s">
        <v>1013</v>
      </c>
      <c r="D17" s="105">
        <v>0</v>
      </c>
      <c r="E17" s="36"/>
    </row>
    <row r="18" spans="2:5" ht="15" thickBot="1">
      <c r="B18" s="29" t="s">
        <v>1078</v>
      </c>
      <c r="C18" s="29"/>
      <c r="D18" s="70">
        <f>SUM(D16:D17)</f>
        <v>34963.196489999958</v>
      </c>
      <c r="E18" s="38">
        <f>SUM(E16:E17)</f>
        <v>0</v>
      </c>
    </row>
    <row r="19" spans="2:5" ht="15" thickTop="1">
      <c r="D19" s="36"/>
      <c r="E19" s="3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6"/>
  <sheetViews>
    <sheetView showGridLines="0" view="pageBreakPreview" topLeftCell="A15" zoomScale="90" zoomScaleNormal="100" zoomScaleSheetLayoutView="90" workbookViewId="0">
      <selection activeCell="B2" sqref="B2:D45"/>
    </sheetView>
  </sheetViews>
  <sheetFormatPr defaultColWidth="9.296875" defaultRowHeight="14.5"/>
  <cols>
    <col min="1" max="1" width="4" style="30" customWidth="1"/>
    <col min="2" max="2" width="42.296875" style="30" customWidth="1"/>
    <col min="3" max="3" width="9.69921875" style="56" customWidth="1"/>
    <col min="4" max="4" width="17" style="30" customWidth="1"/>
    <col min="5" max="5" width="18.296875" style="30" hidden="1" customWidth="1"/>
    <col min="6" max="16384" width="9.296875" style="30"/>
  </cols>
  <sheetData>
    <row r="2" spans="2:5">
      <c r="B2" s="29" t="s">
        <v>1007</v>
      </c>
      <c r="C2" s="57"/>
    </row>
    <row r="3" spans="2:5">
      <c r="B3" s="29" t="s">
        <v>1373</v>
      </c>
      <c r="C3" s="57"/>
    </row>
    <row r="4" spans="2:5" ht="15" thickBot="1">
      <c r="B4" s="31" t="str">
        <f>SCI!B4</f>
        <v>For the 6month period ended 31 August 2025</v>
      </c>
      <c r="C4" s="63"/>
      <c r="D4" s="32"/>
      <c r="E4" s="32"/>
    </row>
    <row r="5" spans="2:5">
      <c r="B5" s="29"/>
      <c r="C5" s="57"/>
    </row>
    <row r="6" spans="2:5">
      <c r="D6" s="33">
        <f>SCI!D6</f>
        <v>45900</v>
      </c>
      <c r="E6" s="33" t="s">
        <v>1008</v>
      </c>
    </row>
    <row r="7" spans="2:5">
      <c r="C7" s="57" t="s">
        <v>1083</v>
      </c>
      <c r="D7" s="33" t="s">
        <v>1375</v>
      </c>
      <c r="E7" s="33" t="s">
        <v>1009</v>
      </c>
    </row>
    <row r="8" spans="2:5">
      <c r="B8" s="29" t="s">
        <v>1014</v>
      </c>
      <c r="C8" s="57"/>
    </row>
    <row r="9" spans="2:5">
      <c r="B9" s="29" t="s">
        <v>1015</v>
      </c>
      <c r="C9" s="57"/>
    </row>
    <row r="10" spans="2:5">
      <c r="B10" s="30" t="s">
        <v>1016</v>
      </c>
      <c r="C10" s="56">
        <f>Notes!A40</f>
        <v>4</v>
      </c>
      <c r="D10" s="53">
        <f>Notes!D55</f>
        <v>1367</v>
      </c>
      <c r="E10" s="53"/>
    </row>
    <row r="11" spans="2:5" hidden="1">
      <c r="B11" s="30" t="s">
        <v>1017</v>
      </c>
      <c r="D11" s="53"/>
      <c r="E11" s="53"/>
    </row>
    <row r="12" spans="2:5" hidden="1">
      <c r="B12" s="30" t="s">
        <v>1018</v>
      </c>
      <c r="D12" s="53"/>
      <c r="E12" s="53"/>
    </row>
    <row r="13" spans="2:5">
      <c r="D13" s="72">
        <f>SUM(D10:D12)</f>
        <v>1367</v>
      </c>
      <c r="E13" s="54">
        <f>SUM(E10:E12)</f>
        <v>0</v>
      </c>
    </row>
    <row r="14" spans="2:5">
      <c r="D14" s="53"/>
      <c r="E14" s="53"/>
    </row>
    <row r="15" spans="2:5">
      <c r="B15" s="29" t="s">
        <v>1019</v>
      </c>
      <c r="C15" s="57"/>
      <c r="D15" s="53"/>
      <c r="E15" s="53"/>
    </row>
    <row r="16" spans="2:5">
      <c r="B16" s="30" t="s">
        <v>1021</v>
      </c>
      <c r="C16" s="56">
        <f>Notes!A59</f>
        <v>5</v>
      </c>
      <c r="D16" s="53">
        <f>Notes!D65</f>
        <v>0</v>
      </c>
      <c r="E16" s="53"/>
    </row>
    <row r="17" spans="2:5" hidden="1">
      <c r="B17" s="30" t="s">
        <v>1020</v>
      </c>
      <c r="C17" s="56">
        <f>Notes!A67</f>
        <v>6</v>
      </c>
      <c r="D17" s="53">
        <f>Notes!D72</f>
        <v>0</v>
      </c>
      <c r="E17" s="53"/>
    </row>
    <row r="18" spans="2:5">
      <c r="B18" s="30" t="s">
        <v>1022</v>
      </c>
      <c r="C18" s="56">
        <f>Notes!A74</f>
        <v>7</v>
      </c>
      <c r="D18" s="53">
        <f>Notes!D78</f>
        <v>95219.759689999977</v>
      </c>
      <c r="E18" s="53"/>
    </row>
    <row r="19" spans="2:5">
      <c r="D19" s="72">
        <f>SUM(D16:D18)</f>
        <v>95219.759689999977</v>
      </c>
      <c r="E19" s="54">
        <f>SUM(E16:E18)</f>
        <v>0</v>
      </c>
    </row>
    <row r="20" spans="2:5">
      <c r="D20" s="53"/>
      <c r="E20" s="53"/>
    </row>
    <row r="21" spans="2:5" ht="15" thickBot="1">
      <c r="B21" s="29" t="s">
        <v>1023</v>
      </c>
      <c r="C21" s="57"/>
      <c r="D21" s="73">
        <f>D19+D13</f>
        <v>96586.759689999977</v>
      </c>
      <c r="E21" s="55">
        <f>E19+E13</f>
        <v>0</v>
      </c>
    </row>
    <row r="22" spans="2:5">
      <c r="D22" s="53"/>
      <c r="E22" s="53"/>
    </row>
    <row r="23" spans="2:5">
      <c r="B23" s="29" t="s">
        <v>1024</v>
      </c>
      <c r="C23" s="57"/>
      <c r="D23" s="53"/>
      <c r="E23" s="53"/>
    </row>
    <row r="24" spans="2:5">
      <c r="B24" s="29" t="s">
        <v>1025</v>
      </c>
      <c r="C24" s="57"/>
      <c r="D24" s="53"/>
      <c r="E24" s="53"/>
    </row>
    <row r="25" spans="2:5">
      <c r="B25" s="30" t="s">
        <v>1026</v>
      </c>
      <c r="C25" s="56">
        <f>Notes!A80</f>
        <v>8</v>
      </c>
      <c r="D25" s="53">
        <f>Notes!D86</f>
        <v>-780</v>
      </c>
      <c r="E25" s="53"/>
    </row>
    <row r="26" spans="2:5" hidden="1">
      <c r="B26" s="30" t="s">
        <v>1027</v>
      </c>
      <c r="D26" s="53"/>
      <c r="E26" s="53"/>
    </row>
    <row r="27" spans="2:5" hidden="1">
      <c r="B27" s="30" t="s">
        <v>1028</v>
      </c>
      <c r="D27" s="53"/>
      <c r="E27" s="53"/>
    </row>
    <row r="28" spans="2:5" hidden="1">
      <c r="B28" s="30" t="s">
        <v>1029</v>
      </c>
      <c r="D28" s="53"/>
      <c r="E28" s="53"/>
    </row>
    <row r="29" spans="2:5">
      <c r="D29" s="72">
        <f>SUM(D25:D28)</f>
        <v>-780</v>
      </c>
      <c r="E29" s="54">
        <f>SUM(E25:E28)</f>
        <v>0</v>
      </c>
    </row>
    <row r="30" spans="2:5" hidden="1">
      <c r="D30" s="53"/>
      <c r="E30" s="53"/>
    </row>
    <row r="31" spans="2:5" hidden="1">
      <c r="B31" s="29" t="s">
        <v>1030</v>
      </c>
      <c r="C31" s="57"/>
      <c r="D31" s="53"/>
      <c r="E31" s="53"/>
    </row>
    <row r="32" spans="2:5" hidden="1">
      <c r="B32" s="30" t="s">
        <v>1027</v>
      </c>
      <c r="D32" s="53"/>
      <c r="E32" s="53"/>
    </row>
    <row r="33" spans="2:5" hidden="1">
      <c r="B33" s="30" t="s">
        <v>1028</v>
      </c>
      <c r="D33" s="53"/>
      <c r="E33" s="53"/>
    </row>
    <row r="34" spans="2:5" hidden="1">
      <c r="D34" s="54">
        <f>SUM(D32:D33)</f>
        <v>0</v>
      </c>
      <c r="E34" s="54">
        <f>SUM(E32:E33)</f>
        <v>0</v>
      </c>
    </row>
    <row r="35" spans="2:5">
      <c r="D35" s="53"/>
      <c r="E35" s="53"/>
    </row>
    <row r="36" spans="2:5" ht="15" thickBot="1">
      <c r="B36" s="29" t="s">
        <v>1031</v>
      </c>
      <c r="C36" s="57"/>
      <c r="D36" s="73">
        <f>D34+D29</f>
        <v>-780</v>
      </c>
      <c r="E36" s="55">
        <f>E34+E29</f>
        <v>0</v>
      </c>
    </row>
    <row r="37" spans="2:5">
      <c r="D37" s="53"/>
      <c r="E37" s="53"/>
    </row>
    <row r="38" spans="2:5" ht="15" thickBot="1">
      <c r="B38" s="29" t="s">
        <v>1032</v>
      </c>
      <c r="C38" s="57"/>
      <c r="D38" s="73">
        <f>D21-D36</f>
        <v>97366.759689999977</v>
      </c>
      <c r="E38" s="55">
        <f>E21-E36</f>
        <v>0</v>
      </c>
    </row>
    <row r="39" spans="2:5">
      <c r="D39" s="53"/>
      <c r="E39" s="53"/>
    </row>
    <row r="40" spans="2:5">
      <c r="B40" s="29" t="s">
        <v>1033</v>
      </c>
      <c r="C40" s="57"/>
      <c r="D40" s="53"/>
      <c r="E40" s="53"/>
    </row>
    <row r="41" spans="2:5">
      <c r="B41" s="30" t="s">
        <v>1034</v>
      </c>
      <c r="C41" s="56">
        <f>Notes!A88</f>
        <v>9</v>
      </c>
      <c r="D41" s="53">
        <f>Notes!C93</f>
        <v>34963.196489999958</v>
      </c>
      <c r="E41" s="53"/>
    </row>
    <row r="42" spans="2:5" hidden="1">
      <c r="B42" s="30" t="s">
        <v>1000</v>
      </c>
      <c r="D42" s="53">
        <v>0</v>
      </c>
      <c r="E42" s="53"/>
    </row>
    <row r="43" spans="2:5">
      <c r="B43" s="30" t="s">
        <v>1035</v>
      </c>
      <c r="D43" s="72">
        <f>SUM(D41:D42)</f>
        <v>34963.196489999958</v>
      </c>
      <c r="E43" s="54">
        <f>SUM(E41:E42)</f>
        <v>0</v>
      </c>
    </row>
    <row r="44" spans="2:5">
      <c r="D44" s="53"/>
      <c r="E44" s="53"/>
    </row>
    <row r="45" spans="2:5" ht="15" thickBot="1">
      <c r="B45" s="29" t="s">
        <v>1036</v>
      </c>
      <c r="C45" s="57"/>
      <c r="D45" s="73">
        <f>D43+D36</f>
        <v>34183.196489999958</v>
      </c>
      <c r="E45" s="55">
        <f>E43+E36</f>
        <v>0</v>
      </c>
    </row>
    <row r="46" spans="2:5">
      <c r="B46" s="60" t="s">
        <v>1088</v>
      </c>
      <c r="C46" s="64"/>
      <c r="D46" s="61">
        <f>D45-D21</f>
        <v>-62403.563200000019</v>
      </c>
    </row>
  </sheetData>
  <pageMargins left="0.7" right="0.7" top="0.75" bottom="0.75" header="0.3" footer="0.3"/>
  <pageSetup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5"/>
  <sheetViews>
    <sheetView showGridLines="0" view="pageBreakPreview" topLeftCell="A11" zoomScale="90" zoomScaleNormal="100" zoomScaleSheetLayoutView="90" workbookViewId="0">
      <selection activeCell="K32" sqref="K32"/>
    </sheetView>
  </sheetViews>
  <sheetFormatPr defaultColWidth="9.296875" defaultRowHeight="14.5"/>
  <cols>
    <col min="1" max="1" width="5.796875" style="30" customWidth="1"/>
    <col min="2" max="2" width="54.69921875" style="30" customWidth="1"/>
    <col min="3" max="3" width="17.796875" style="30" customWidth="1"/>
    <col min="4" max="4" width="19.69921875" style="30" hidden="1" customWidth="1"/>
    <col min="5" max="16384" width="9.296875" style="30"/>
  </cols>
  <sheetData>
    <row r="2" spans="2:4">
      <c r="B2" s="29" t="s">
        <v>1007</v>
      </c>
    </row>
    <row r="3" spans="2:4">
      <c r="B3" s="29" t="s">
        <v>1372</v>
      </c>
    </row>
    <row r="4" spans="2:4" ht="15" thickBot="1">
      <c r="B4" s="31" t="str">
        <f>SFP!B4</f>
        <v>For the 6month period ended 31 August 2025</v>
      </c>
      <c r="C4" s="32"/>
      <c r="D4" s="32"/>
    </row>
    <row r="5" spans="2:4">
      <c r="B5" s="29"/>
    </row>
    <row r="6" spans="2:4">
      <c r="C6" s="33">
        <f>SFP!D6</f>
        <v>45900</v>
      </c>
      <c r="D6" s="33" t="s">
        <v>1008</v>
      </c>
    </row>
    <row r="7" spans="2:4">
      <c r="B7" s="29" t="s">
        <v>1037</v>
      </c>
      <c r="C7" s="33" t="s">
        <v>1375</v>
      </c>
      <c r="D7" s="33" t="s">
        <v>1009</v>
      </c>
    </row>
    <row r="8" spans="2:4">
      <c r="B8" s="30" t="s">
        <v>1078</v>
      </c>
      <c r="C8" s="53">
        <f>SCI!D18</f>
        <v>34963.196489999958</v>
      </c>
      <c r="D8" s="33"/>
    </row>
    <row r="9" spans="2:4">
      <c r="C9" s="33"/>
      <c r="D9" s="33"/>
    </row>
    <row r="10" spans="2:4">
      <c r="B10" s="29" t="s">
        <v>1090</v>
      </c>
      <c r="C10" s="33"/>
      <c r="D10" s="33"/>
    </row>
    <row r="11" spans="2:4">
      <c r="B11" s="30" t="s">
        <v>1091</v>
      </c>
      <c r="C11" s="67">
        <f>Notes!D50</f>
        <v>0</v>
      </c>
      <c r="D11" s="33"/>
    </row>
    <row r="12" spans="2:4" hidden="1">
      <c r="B12" s="30" t="s">
        <v>1046</v>
      </c>
      <c r="C12" s="67">
        <f>-Notes!D35</f>
        <v>0</v>
      </c>
      <c r="D12" s="33"/>
    </row>
    <row r="13" spans="2:4">
      <c r="C13" s="68">
        <f>SUM(C8:C11)</f>
        <v>34963.196489999958</v>
      </c>
      <c r="D13" s="65"/>
    </row>
    <row r="14" spans="2:4">
      <c r="B14" s="29" t="s">
        <v>1092</v>
      </c>
      <c r="C14" s="33"/>
      <c r="D14" s="33"/>
    </row>
    <row r="15" spans="2:4">
      <c r="B15" s="30" t="s">
        <v>1093</v>
      </c>
      <c r="C15" s="53">
        <f>SFP!E16-SFP!D16</f>
        <v>0</v>
      </c>
      <c r="D15" s="33"/>
    </row>
    <row r="16" spans="2:4">
      <c r="B16" s="30" t="s">
        <v>1094</v>
      </c>
      <c r="C16" s="66">
        <f>SFP!D25-SFP!E25</f>
        <v>-780</v>
      </c>
      <c r="D16" s="33"/>
    </row>
    <row r="17" spans="2:4" hidden="1">
      <c r="B17" s="30" t="s">
        <v>1095</v>
      </c>
      <c r="C17" s="66">
        <f>SFP!E17-SFP!D17</f>
        <v>0</v>
      </c>
      <c r="D17" s="33"/>
    </row>
    <row r="18" spans="2:4">
      <c r="C18" s="54">
        <f>SUM(C15:C17)</f>
        <v>-780</v>
      </c>
      <c r="D18" s="54">
        <f>SUM(D15:D16)</f>
        <v>0</v>
      </c>
    </row>
    <row r="20" spans="2:4">
      <c r="B20" s="30" t="s">
        <v>1038</v>
      </c>
      <c r="C20" s="58">
        <f>C18+C13</f>
        <v>34183.196489999958</v>
      </c>
    </row>
    <row r="21" spans="2:4" hidden="1">
      <c r="B21" s="30" t="s">
        <v>1039</v>
      </c>
    </row>
    <row r="22" spans="2:4" ht="15" thickBot="1">
      <c r="B22" s="29" t="s">
        <v>1040</v>
      </c>
      <c r="C22" s="50">
        <f>SUM(C20:C21)</f>
        <v>34183.196489999958</v>
      </c>
      <c r="D22" s="39"/>
    </row>
    <row r="23" spans="2:4" ht="15" thickTop="1"/>
    <row r="24" spans="2:4">
      <c r="B24" s="29" t="s">
        <v>1041</v>
      </c>
    </row>
    <row r="25" spans="2:4">
      <c r="B25" s="30" t="s">
        <v>1042</v>
      </c>
      <c r="C25" s="46">
        <f>-Notes!C44</f>
        <v>-1367</v>
      </c>
    </row>
    <row r="26" spans="2:4" hidden="1">
      <c r="B26" s="30" t="s">
        <v>1043</v>
      </c>
    </row>
    <row r="27" spans="2:4" hidden="1">
      <c r="B27" s="30" t="s">
        <v>1044</v>
      </c>
    </row>
    <row r="28" spans="2:4" hidden="1">
      <c r="B28" s="30" t="s">
        <v>1045</v>
      </c>
    </row>
    <row r="29" spans="2:4" hidden="1">
      <c r="B29" s="30" t="s">
        <v>1046</v>
      </c>
      <c r="C29" s="44">
        <f>Notes!D35</f>
        <v>0</v>
      </c>
    </row>
    <row r="30" spans="2:4" hidden="1">
      <c r="B30" s="30" t="s">
        <v>1047</v>
      </c>
    </row>
    <row r="31" spans="2:4" ht="15" thickBot="1">
      <c r="B31" s="29" t="s">
        <v>1048</v>
      </c>
      <c r="C31" s="51">
        <f>SUM(C25:C30)</f>
        <v>-1367</v>
      </c>
      <c r="D31" s="39"/>
    </row>
    <row r="32" spans="2:4" ht="15" thickTop="1"/>
    <row r="33" spans="2:4">
      <c r="B33" s="29" t="s">
        <v>1049</v>
      </c>
    </row>
    <row r="34" spans="2:4" hidden="1">
      <c r="B34" s="30" t="s">
        <v>1050</v>
      </c>
      <c r="C34" s="44">
        <v>0</v>
      </c>
    </row>
    <row r="35" spans="2:4" hidden="1">
      <c r="B35" s="30" t="s">
        <v>1051</v>
      </c>
      <c r="C35" s="44">
        <v>0</v>
      </c>
    </row>
    <row r="36" spans="2:4" hidden="1">
      <c r="B36" s="30" t="s">
        <v>1052</v>
      </c>
      <c r="C36" s="44">
        <v>0</v>
      </c>
    </row>
    <row r="37" spans="2:4" hidden="1">
      <c r="B37" s="30" t="s">
        <v>1053</v>
      </c>
      <c r="C37" s="44">
        <v>0</v>
      </c>
    </row>
    <row r="38" spans="2:4" hidden="1">
      <c r="B38" s="30" t="s">
        <v>1054</v>
      </c>
      <c r="C38" s="44">
        <v>0</v>
      </c>
    </row>
    <row r="39" spans="2:4" hidden="1">
      <c r="B39" s="30" t="s">
        <v>1055</v>
      </c>
      <c r="C39" s="44">
        <v>0</v>
      </c>
    </row>
    <row r="40" spans="2:4" ht="15" thickBot="1">
      <c r="B40" s="29" t="s">
        <v>1056</v>
      </c>
      <c r="C40" s="79">
        <f>SUM(C34:C39)</f>
        <v>0</v>
      </c>
      <c r="D40" s="39"/>
    </row>
    <row r="41" spans="2:4" ht="15" thickTop="1"/>
    <row r="42" spans="2:4">
      <c r="B42" s="30" t="s">
        <v>1057</v>
      </c>
      <c r="C42" s="58">
        <f>C40+C31+C22</f>
        <v>32816.196489999958</v>
      </c>
    </row>
    <row r="43" spans="2:4">
      <c r="B43" s="30" t="s">
        <v>1058</v>
      </c>
      <c r="C43" s="44">
        <v>0</v>
      </c>
    </row>
    <row r="44" spans="2:4" ht="15" thickBot="1">
      <c r="B44" s="29" t="s">
        <v>1059</v>
      </c>
      <c r="C44" s="51">
        <f>SUM(C42:C43)</f>
        <v>32816.196489999958</v>
      </c>
      <c r="D44" s="39"/>
    </row>
    <row r="45" spans="2:4" ht="15" thickTop="1">
      <c r="B45" s="60" t="s">
        <v>1088</v>
      </c>
      <c r="C45" s="69">
        <f>C44-SFP!D18</f>
        <v>-62403.563200000019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4"/>
  <sheetViews>
    <sheetView showGridLines="0" view="pageBreakPreview" topLeftCell="A4" zoomScale="90" zoomScaleNormal="100" zoomScaleSheetLayoutView="90" workbookViewId="0">
      <selection activeCell="K19" sqref="K19"/>
    </sheetView>
  </sheetViews>
  <sheetFormatPr defaultColWidth="9.296875" defaultRowHeight="14.5"/>
  <cols>
    <col min="1" max="1" width="7.296875" style="30" customWidth="1"/>
    <col min="2" max="2" width="53.296875" style="30" customWidth="1"/>
    <col min="3" max="3" width="15.796875" style="30" customWidth="1"/>
    <col min="4" max="4" width="17.69921875" style="30" customWidth="1"/>
    <col min="5" max="5" width="17.19921875" style="30" hidden="1" customWidth="1"/>
    <col min="6" max="16384" width="9.296875" style="30"/>
  </cols>
  <sheetData>
    <row r="2" spans="1:5">
      <c r="B2" s="29" t="s">
        <v>1007</v>
      </c>
      <c r="C2" s="29"/>
    </row>
    <row r="3" spans="1:5">
      <c r="B3" s="29" t="s">
        <v>1371</v>
      </c>
      <c r="C3" s="29"/>
    </row>
    <row r="4" spans="1:5" ht="15" thickBot="1">
      <c r="B4" s="31" t="str">
        <f>SCF!B4</f>
        <v>For the 6month period ended 31 August 2025</v>
      </c>
      <c r="C4" s="31"/>
      <c r="D4" s="32"/>
      <c r="E4" s="32"/>
    </row>
    <row r="5" spans="1:5">
      <c r="B5" s="29"/>
      <c r="C5" s="29"/>
    </row>
    <row r="6" spans="1:5">
      <c r="A6" s="29">
        <v>1</v>
      </c>
      <c r="B6" s="29" t="s">
        <v>12</v>
      </c>
      <c r="C6" s="29"/>
      <c r="D6" s="33">
        <f>SCF!C6</f>
        <v>45900</v>
      </c>
      <c r="E6" s="33" t="s">
        <v>1008</v>
      </c>
    </row>
    <row r="7" spans="1:5">
      <c r="D7" s="33" t="str">
        <f>SCF!C7</f>
        <v>₦’000</v>
      </c>
      <c r="E7" s="33" t="s">
        <v>1009</v>
      </c>
    </row>
    <row r="8" spans="1:5">
      <c r="B8" s="93" t="s">
        <v>1355</v>
      </c>
      <c r="D8" s="46">
        <f>-SUMIF('Trial Balance'!E:E,B8,'Trial Balance'!C:C)/1000</f>
        <v>146127.94156000001</v>
      </c>
    </row>
    <row r="9" spans="1:5">
      <c r="B9" s="30" t="s">
        <v>2</v>
      </c>
      <c r="D9" s="46">
        <f>-SUMIF('Trial Balance'!E:E,B9,'Trial Balance'!C:C)/1000</f>
        <v>10525.5</v>
      </c>
    </row>
    <row r="10" spans="1:5">
      <c r="B10" s="30" t="s">
        <v>1074</v>
      </c>
      <c r="D10" s="46">
        <f>-SUMIF('Trial Balance'!E:E,B10,'Trial Balance'!C:C)/1000</f>
        <v>0</v>
      </c>
    </row>
    <row r="11" spans="1:5" ht="15" thickBot="1">
      <c r="D11" s="50">
        <f>SUM(D8:D10)</f>
        <v>156653.44156000001</v>
      </c>
      <c r="E11" s="40">
        <f>SUM(E8:E10)</f>
        <v>0</v>
      </c>
    </row>
    <row r="12" spans="1:5" ht="15" thickTop="1"/>
    <row r="14" spans="1:5">
      <c r="A14" s="29">
        <f>A6+1</f>
        <v>2</v>
      </c>
      <c r="B14" s="29" t="s">
        <v>1006</v>
      </c>
      <c r="C14" s="29"/>
      <c r="D14" s="33">
        <f>D6</f>
        <v>45900</v>
      </c>
      <c r="E14" s="33" t="s">
        <v>1008</v>
      </c>
    </row>
    <row r="15" spans="1:5">
      <c r="D15" s="33" t="str">
        <f>D7</f>
        <v>₦’000</v>
      </c>
      <c r="E15" s="33" t="s">
        <v>1009</v>
      </c>
    </row>
    <row r="16" spans="1:5">
      <c r="B16" s="30" t="s">
        <v>1075</v>
      </c>
      <c r="D16" s="46">
        <f>SUMIF('Trial Balance'!E:E,B16,'Trial Balance'!C:C)/1000</f>
        <v>58552.326660000042</v>
      </c>
    </row>
    <row r="17" spans="2:5">
      <c r="B17" s="30" t="s">
        <v>800</v>
      </c>
      <c r="D17" s="46">
        <f>SUMIF('Trial Balance'!E:E,B17,'Trial Balance'!C:C)/1000</f>
        <v>8458.0249999999996</v>
      </c>
    </row>
    <row r="18" spans="2:5">
      <c r="B18" s="30" t="s">
        <v>1356</v>
      </c>
      <c r="D18" s="46">
        <f>SUMIF('Trial Balance'!E:E,B18,'Trial Balance'!C:C)/1000</f>
        <v>3000.0912499999999</v>
      </c>
    </row>
    <row r="19" spans="2:5">
      <c r="B19" s="30" t="s">
        <v>979</v>
      </c>
      <c r="D19" s="46">
        <f>SUMIF('Trial Balance'!E:E,B19,'Trial Balance'!C:C)/1000</f>
        <v>6035.4579999999996</v>
      </c>
    </row>
    <row r="20" spans="2:5">
      <c r="B20" s="30" t="s">
        <v>980</v>
      </c>
      <c r="D20" s="46">
        <f>SUMIF('Trial Balance'!E:E,B20,'Trial Balance'!C:C)/1000</f>
        <v>7442.5598400000035</v>
      </c>
    </row>
    <row r="21" spans="2:5">
      <c r="B21" s="30" t="s">
        <v>1076</v>
      </c>
      <c r="D21" s="46">
        <f>SUMIF('Trial Balance'!E:E,B21,'Trial Balance'!C:C)/1000</f>
        <v>6292</v>
      </c>
    </row>
    <row r="22" spans="2:5">
      <c r="B22" s="30" t="s">
        <v>955</v>
      </c>
      <c r="D22" s="46">
        <f>SUMIF('Trial Balance'!E:E,B22,'Trial Balance'!C:C)/1000</f>
        <v>6354.1757999999973</v>
      </c>
    </row>
    <row r="23" spans="2:5">
      <c r="B23" s="30" t="s">
        <v>874</v>
      </c>
      <c r="D23" s="46">
        <f>SUMIF('Trial Balance'!E:E,B23,'Trial Balance'!C:C)/1000</f>
        <v>6573.9247500000001</v>
      </c>
    </row>
    <row r="24" spans="2:5">
      <c r="B24" s="30" t="s">
        <v>871</v>
      </c>
      <c r="D24" s="46">
        <f>SUMIF('Trial Balance'!E:E,B24,'Trial Balance'!C:C)/1000</f>
        <v>4020</v>
      </c>
    </row>
    <row r="25" spans="2:5">
      <c r="B25" s="30" t="s">
        <v>865</v>
      </c>
      <c r="D25" s="46">
        <f>SUMIF('Trial Balance'!E:E,B25,'Trial Balance'!C:C)/1000</f>
        <v>236.41481999998689</v>
      </c>
    </row>
    <row r="26" spans="2:5">
      <c r="B26" s="30" t="s">
        <v>977</v>
      </c>
      <c r="D26" s="46">
        <f>SUMIF('Trial Balance'!E:E,B26,'Trial Balance'!C:C)/1000</f>
        <v>4412.3</v>
      </c>
    </row>
    <row r="27" spans="2:5">
      <c r="B27" s="30" t="s">
        <v>963</v>
      </c>
      <c r="D27" s="46">
        <f>SUMIF('Trial Balance'!E:E,B27,'Trial Balance'!C:C)/1000</f>
        <v>507.71</v>
      </c>
    </row>
    <row r="28" spans="2:5">
      <c r="B28" s="30" t="s">
        <v>958</v>
      </c>
      <c r="D28" s="46">
        <f>SUMIF('Trial Balance'!E:E,B28,'Trial Balance'!C:C)/1000</f>
        <v>1596.3881899999988</v>
      </c>
    </row>
    <row r="29" spans="2:5">
      <c r="B29" s="30" t="s">
        <v>1077</v>
      </c>
      <c r="D29" s="46">
        <f>SUMIF('Trial Balance'!E:E,B29,'Trial Balance'!C:C)/1000</f>
        <v>5759.3542500000003</v>
      </c>
    </row>
    <row r="30" spans="2:5">
      <c r="B30" s="30" t="s">
        <v>5</v>
      </c>
      <c r="D30" s="46">
        <f>SUMIF('Trial Balance'!E:E,B30,'Trial Balance'!C:C)/1000</f>
        <v>2449.5165100000054</v>
      </c>
    </row>
    <row r="31" spans="2:5" ht="15" thickBot="1">
      <c r="D31" s="51">
        <f>SUM(D16:D30)</f>
        <v>121690.24507000005</v>
      </c>
      <c r="E31" s="39"/>
    </row>
    <row r="32" spans="2:5" ht="15" thickTop="1">
      <c r="E32" s="58"/>
    </row>
    <row r="33" spans="1:5">
      <c r="A33" s="29">
        <f>A14+1</f>
        <v>3</v>
      </c>
      <c r="B33" s="29" t="s">
        <v>1010</v>
      </c>
      <c r="C33" s="29"/>
      <c r="D33" s="33">
        <f>D14</f>
        <v>45900</v>
      </c>
      <c r="E33" s="33" t="s">
        <v>1008</v>
      </c>
    </row>
    <row r="34" spans="1:5">
      <c r="D34" s="33" t="str">
        <f>D15</f>
        <v>₦’000</v>
      </c>
      <c r="E34" s="33" t="s">
        <v>1009</v>
      </c>
    </row>
    <row r="35" spans="1:5">
      <c r="B35" s="30" t="s">
        <v>880</v>
      </c>
      <c r="D35" s="46">
        <f>SUMIF('Trial Balance'!E:E,B35,'Trial Balance'!C:C)/1000</f>
        <v>0</v>
      </c>
    </row>
    <row r="37" spans="1:5" ht="15" thickBot="1">
      <c r="D37" s="48">
        <f>SUM(D35:D36)</f>
        <v>0</v>
      </c>
      <c r="E37" s="39"/>
    </row>
    <row r="38" spans="1:5" ht="15" thickTop="1"/>
    <row r="40" spans="1:5">
      <c r="A40" s="29">
        <f>A33+1</f>
        <v>4</v>
      </c>
      <c r="B40" s="29" t="s">
        <v>1016</v>
      </c>
      <c r="C40" s="29"/>
    </row>
    <row r="41" spans="1:5" ht="29">
      <c r="C41" s="100" t="s">
        <v>1082</v>
      </c>
      <c r="D41" s="101" t="s">
        <v>1061</v>
      </c>
    </row>
    <row r="42" spans="1:5">
      <c r="B42" s="29" t="s">
        <v>1060</v>
      </c>
      <c r="C42" s="102" t="str">
        <f>D34</f>
        <v>₦’000</v>
      </c>
      <c r="D42" s="103" t="str">
        <f>C42</f>
        <v>₦’000</v>
      </c>
    </row>
    <row r="43" spans="1:5">
      <c r="B43" s="30" t="s">
        <v>1062</v>
      </c>
      <c r="C43" s="46">
        <v>0</v>
      </c>
      <c r="D43" s="46">
        <f>SUM(C43)</f>
        <v>0</v>
      </c>
    </row>
    <row r="44" spans="1:5">
      <c r="B44" s="30" t="s">
        <v>1063</v>
      </c>
      <c r="C44" s="46">
        <f>'Trial Balance'!C51/1000</f>
        <v>1367</v>
      </c>
      <c r="D44" s="46">
        <f>SUM(C44)</f>
        <v>1367</v>
      </c>
    </row>
    <row r="45" spans="1:5">
      <c r="B45" s="30" t="s">
        <v>1064</v>
      </c>
      <c r="C45" s="46"/>
      <c r="D45" s="46"/>
    </row>
    <row r="46" spans="1:5" ht="15" thickBot="1">
      <c r="B46" s="30" t="s">
        <v>1065</v>
      </c>
      <c r="C46" s="51">
        <f>SUM(C44:C45)</f>
        <v>1367</v>
      </c>
      <c r="D46" s="51">
        <f>SUM(D44:D45)</f>
        <v>1367</v>
      </c>
    </row>
    <row r="47" spans="1:5" ht="15" thickTop="1">
      <c r="C47" s="41"/>
      <c r="D47" s="41"/>
    </row>
    <row r="48" spans="1:5">
      <c r="B48" s="29" t="s">
        <v>1066</v>
      </c>
      <c r="C48" s="41"/>
      <c r="D48" s="41"/>
    </row>
    <row r="49" spans="1:5">
      <c r="B49" s="30" t="s">
        <v>1062</v>
      </c>
      <c r="C49" s="41">
        <v>0</v>
      </c>
      <c r="D49" s="46">
        <f t="shared" ref="D49:D50" si="0">SUM(C49)</f>
        <v>0</v>
      </c>
    </row>
    <row r="50" spans="1:5">
      <c r="B50" s="30" t="s">
        <v>1067</v>
      </c>
      <c r="C50" s="41">
        <f>'Trial Balance'!C52/1000</f>
        <v>0</v>
      </c>
      <c r="D50" s="46">
        <f t="shared" si="0"/>
        <v>0</v>
      </c>
    </row>
    <row r="51" spans="1:5">
      <c r="B51" s="30" t="s">
        <v>1064</v>
      </c>
      <c r="C51" s="41"/>
      <c r="D51" s="41"/>
    </row>
    <row r="52" spans="1:5" ht="15" thickBot="1">
      <c r="B52" s="30" t="s">
        <v>1065</v>
      </c>
      <c r="C52" s="51">
        <f>SUM(C50:C51)</f>
        <v>0</v>
      </c>
      <c r="D52" s="51">
        <f>SUM(D50:D51)</f>
        <v>0</v>
      </c>
    </row>
    <row r="53" spans="1:5" ht="15" thickTop="1">
      <c r="C53" s="41"/>
      <c r="D53" s="41"/>
    </row>
    <row r="54" spans="1:5">
      <c r="B54" s="29" t="s">
        <v>1068</v>
      </c>
      <c r="C54" s="41"/>
      <c r="D54" s="41"/>
    </row>
    <row r="55" spans="1:5" ht="15" thickBot="1">
      <c r="B55" s="42" t="s">
        <v>1069</v>
      </c>
      <c r="C55" s="52">
        <f>C46-C52</f>
        <v>1367</v>
      </c>
      <c r="D55" s="52">
        <f>D46-D52</f>
        <v>1367</v>
      </c>
    </row>
    <row r="56" spans="1:5" ht="15.5" hidden="1" thickTop="1" thickBot="1">
      <c r="B56" s="42" t="s">
        <v>1070</v>
      </c>
      <c r="C56" s="43">
        <f>C43-C49</f>
        <v>0</v>
      </c>
      <c r="D56" s="43">
        <f>D43-D49</f>
        <v>0</v>
      </c>
    </row>
    <row r="57" spans="1:5" ht="15" thickTop="1"/>
    <row r="59" spans="1:5">
      <c r="A59" s="29">
        <f>A40+1</f>
        <v>5</v>
      </c>
      <c r="B59" s="29" t="s">
        <v>1021</v>
      </c>
      <c r="C59" s="29"/>
      <c r="D59" s="33">
        <f>D33</f>
        <v>45900</v>
      </c>
      <c r="E59" s="33" t="s">
        <v>1008</v>
      </c>
    </row>
    <row r="60" spans="1:5">
      <c r="D60" s="33" t="str">
        <f>D34</f>
        <v>₦’000</v>
      </c>
      <c r="E60" s="33" t="s">
        <v>1009</v>
      </c>
    </row>
    <row r="61" spans="1:5">
      <c r="B61" s="30" t="s">
        <v>1085</v>
      </c>
      <c r="D61" s="46">
        <f>SUMIF('Trial Balance'!E:E,B61,'Trial Balance'!C:C)/1000</f>
        <v>0</v>
      </c>
    </row>
    <row r="62" spans="1:5">
      <c r="B62" s="30" t="s">
        <v>1086</v>
      </c>
      <c r="D62" s="46">
        <f>SUMIF('Trial Balance'!E:E,B62,'Trial Balance'!C:C)/1000</f>
        <v>0</v>
      </c>
    </row>
    <row r="63" spans="1:5">
      <c r="B63" s="30" t="s">
        <v>1084</v>
      </c>
      <c r="D63" s="46">
        <f>SUMIF('Trial Balance'!E:E,B63,'Trial Balance'!C:C)/1000</f>
        <v>0</v>
      </c>
    </row>
    <row r="65" spans="1:5" ht="15" thickBot="1">
      <c r="D65" s="48">
        <f>SUM(D61:D64)</f>
        <v>0</v>
      </c>
      <c r="E65" s="39"/>
    </row>
    <row r="66" spans="1:5" ht="15" thickTop="1"/>
    <row r="67" spans="1:5">
      <c r="A67" s="29">
        <f>A59+1</f>
        <v>6</v>
      </c>
      <c r="B67" s="29" t="s">
        <v>1020</v>
      </c>
      <c r="C67" s="29"/>
      <c r="D67" s="33">
        <f>D59</f>
        <v>45900</v>
      </c>
      <c r="E67" s="33" t="s">
        <v>1008</v>
      </c>
    </row>
    <row r="68" spans="1:5">
      <c r="D68" s="33" t="str">
        <f>D60</f>
        <v>₦’000</v>
      </c>
      <c r="E68" s="33" t="s">
        <v>1009</v>
      </c>
    </row>
    <row r="69" spans="1:5">
      <c r="B69" s="30" t="s">
        <v>1087</v>
      </c>
      <c r="D69" s="44">
        <v>0</v>
      </c>
    </row>
    <row r="70" spans="1:5">
      <c r="B70" s="30" t="s">
        <v>1063</v>
      </c>
    </row>
    <row r="71" spans="1:5">
      <c r="B71" s="30" t="s">
        <v>1089</v>
      </c>
    </row>
    <row r="72" spans="1:5" ht="15" thickBot="1">
      <c r="D72" s="45">
        <f>SUM(D69:D71)</f>
        <v>0</v>
      </c>
      <c r="E72" s="39"/>
    </row>
    <row r="73" spans="1:5" ht="15" thickTop="1">
      <c r="D73" s="62"/>
    </row>
    <row r="74" spans="1:5">
      <c r="A74" s="29">
        <f>A67+1</f>
        <v>7</v>
      </c>
      <c r="B74" s="29" t="s">
        <v>1022</v>
      </c>
      <c r="C74" s="29"/>
      <c r="D74" s="33">
        <f>D67</f>
        <v>45900</v>
      </c>
      <c r="E74" s="33" t="s">
        <v>1008</v>
      </c>
    </row>
    <row r="75" spans="1:5">
      <c r="D75" s="33" t="str">
        <f>D68</f>
        <v>₦’000</v>
      </c>
      <c r="E75" s="33" t="s">
        <v>1009</v>
      </c>
    </row>
    <row r="76" spans="1:5">
      <c r="B76" s="30" t="s">
        <v>709</v>
      </c>
      <c r="D76" s="46">
        <f>SUMIF('Trial Balance'!E:E,B76,'Trial Balance'!C:C)/1000</f>
        <v>95219.759689999977</v>
      </c>
    </row>
    <row r="77" spans="1:5">
      <c r="B77" s="30" t="s">
        <v>916</v>
      </c>
      <c r="D77" s="46">
        <f>SUMIF('Trial Balance'!E:E,B77,'Trial Balance'!C:C)/1000</f>
        <v>0</v>
      </c>
    </row>
    <row r="78" spans="1:5" ht="15" thickBot="1">
      <c r="D78" s="47">
        <f>SUM(D76:D77)</f>
        <v>95219.759689999977</v>
      </c>
      <c r="E78" s="39"/>
    </row>
    <row r="79" spans="1:5" ht="15" thickTop="1"/>
    <row r="80" spans="1:5">
      <c r="A80" s="29">
        <f>A74+1</f>
        <v>8</v>
      </c>
      <c r="B80" s="29" t="s">
        <v>1026</v>
      </c>
      <c r="C80" s="29"/>
      <c r="D80" s="33">
        <f>D74</f>
        <v>45900</v>
      </c>
      <c r="E80" s="33" t="s">
        <v>1008</v>
      </c>
    </row>
    <row r="81" spans="1:5">
      <c r="D81" s="33" t="str">
        <f>D75</f>
        <v>₦’000</v>
      </c>
      <c r="E81" s="33" t="s">
        <v>1009</v>
      </c>
    </row>
    <row r="82" spans="1:5">
      <c r="B82" s="30" t="s">
        <v>903</v>
      </c>
      <c r="D82" s="46">
        <f>-SUMIF('Trial Balance'!E:E,B82,'Trial Balance'!C:C)/1000</f>
        <v>-780</v>
      </c>
    </row>
    <row r="83" spans="1:5">
      <c r="B83" s="30" t="s">
        <v>901</v>
      </c>
      <c r="D83" s="46">
        <f>-SUMIF('Trial Balance'!E:E,B83,'Trial Balance'!C:C)/1000</f>
        <v>0</v>
      </c>
    </row>
    <row r="84" spans="1:5">
      <c r="B84" s="30" t="s">
        <v>883</v>
      </c>
      <c r="D84" s="46">
        <f>-SUMIF('Trial Balance'!E:E,B84,'Trial Balance'!C:C)/1000</f>
        <v>0</v>
      </c>
    </row>
    <row r="85" spans="1:5">
      <c r="B85" s="30" t="s">
        <v>1073</v>
      </c>
      <c r="D85" s="46">
        <f>-SUMIF('Trial Balance'!E:E,B85,'Trial Balance'!C:C)/1000</f>
        <v>0</v>
      </c>
    </row>
    <row r="86" spans="1:5" ht="15" thickBot="1">
      <c r="D86" s="48">
        <f>SUM(D82:D85)</f>
        <v>-780</v>
      </c>
      <c r="E86" s="39"/>
    </row>
    <row r="87" spans="1:5" ht="15" thickTop="1"/>
    <row r="88" spans="1:5" ht="29">
      <c r="A88" s="29">
        <f>A80+1</f>
        <v>9</v>
      </c>
      <c r="B88" s="29" t="s">
        <v>943</v>
      </c>
      <c r="C88" s="59" t="s">
        <v>1096</v>
      </c>
      <c r="D88" s="33" t="s">
        <v>1061</v>
      </c>
    </row>
    <row r="89" spans="1:5">
      <c r="C89" s="33" t="str">
        <f>D81</f>
        <v>₦’000</v>
      </c>
      <c r="D89" s="33" t="str">
        <f>C89</f>
        <v>₦’000</v>
      </c>
    </row>
    <row r="90" spans="1:5">
      <c r="B90" s="30" t="s">
        <v>1087</v>
      </c>
      <c r="C90" s="46"/>
      <c r="D90" s="46">
        <f>SUM(C90:C90)</f>
        <v>0</v>
      </c>
    </row>
    <row r="91" spans="1:5">
      <c r="B91" s="93" t="s">
        <v>1376</v>
      </c>
      <c r="C91" s="46">
        <f>SCI!D18</f>
        <v>34963.196489999958</v>
      </c>
      <c r="D91" s="46">
        <f>SUM(C91:C91)</f>
        <v>34963.196489999958</v>
      </c>
    </row>
    <row r="92" spans="1:5">
      <c r="B92" s="30" t="s">
        <v>1000</v>
      </c>
      <c r="C92" s="46">
        <f>-SUMIF('Trial Balance'!E:E,B92,'Trial Balance'!C:C)/1000</f>
        <v>0</v>
      </c>
      <c r="D92" s="46"/>
    </row>
    <row r="93" spans="1:5" ht="15" thickBot="1">
      <c r="C93" s="48">
        <f>SUM(C90:C92)</f>
        <v>34963.196489999958</v>
      </c>
      <c r="D93" s="47">
        <f>SUM(D90:D92)</f>
        <v>34963.196489999958</v>
      </c>
    </row>
    <row r="94" spans="1:5" ht="15" thickTop="1"/>
  </sheetData>
  <conditionalFormatting sqref="B16:B30">
    <cfRule type="duplicateValues" dxfId="0" priority="1"/>
  </conditionalFormatting>
  <pageMargins left="0.7" right="0.7" top="0.75" bottom="0.75" header="0.3" footer="0.3"/>
  <pageSetup scale="80" orientation="portrait" r:id="rId1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J19" sqref="J19"/>
    </sheetView>
  </sheetViews>
  <sheetFormatPr defaultRowHeight="1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showGridLines="0" workbookViewId="0">
      <pane ySplit="2" topLeftCell="A3" activePane="bottomLeft" state="frozen"/>
      <selection pane="bottomLeft" activeCell="B5" sqref="B5"/>
    </sheetView>
  </sheetViews>
  <sheetFormatPr defaultRowHeight="13"/>
  <cols>
    <col min="1" max="1" width="17.296875" customWidth="1"/>
    <col min="2" max="2" width="36.19921875" customWidth="1"/>
    <col min="3" max="3" width="19" customWidth="1"/>
    <col min="4" max="5" width="29.69921875" customWidth="1"/>
    <col min="6" max="6" width="30.796875" customWidth="1"/>
  </cols>
  <sheetData>
    <row r="1" spans="1:6">
      <c r="C1" s="2">
        <f>SUBTOTAL(9,C3:C78)</f>
        <v>62403563.200000018</v>
      </c>
    </row>
    <row r="2" spans="1:6" ht="11.25" customHeight="1">
      <c r="A2" s="15" t="s">
        <v>937</v>
      </c>
      <c r="B2" s="15" t="s">
        <v>938</v>
      </c>
      <c r="C2" s="15" t="s">
        <v>991</v>
      </c>
      <c r="D2" s="15" t="s">
        <v>936</v>
      </c>
      <c r="E2" s="15" t="s">
        <v>0</v>
      </c>
      <c r="F2" s="15" t="s">
        <v>942</v>
      </c>
    </row>
    <row r="3" spans="1:6">
      <c r="B3" s="13" t="s">
        <v>1355</v>
      </c>
      <c r="C3" s="2">
        <f>SUMIF(GL_Transactions!E:E,'Trial Balance'!B3,GL_Transactions!F:F)</f>
        <v>-146127941.56</v>
      </c>
      <c r="D3" t="str">
        <f>VLOOKUP(B3,'Chart of Accounts'!B:F,4,0)</f>
        <v>Income</v>
      </c>
      <c r="E3" s="28" t="s">
        <v>1355</v>
      </c>
      <c r="F3" t="str">
        <f>VLOOKUP(B3,'Chart of Accounts'!B:F,5,0)</f>
        <v>Income</v>
      </c>
    </row>
    <row r="4" spans="1:6">
      <c r="B4" s="13" t="s">
        <v>2</v>
      </c>
      <c r="C4" s="2">
        <f>SUMIF(GL_Transactions!E:E,'Trial Balance'!B4,GL_Transactions!F:F)</f>
        <v>-8392950</v>
      </c>
      <c r="D4" t="str">
        <f>VLOOKUP(B4,'Chart of Accounts'!B:F,4,0)</f>
        <v>Income</v>
      </c>
      <c r="E4" t="s">
        <v>2</v>
      </c>
      <c r="F4" t="str">
        <f>VLOOKUP(B4,'Chart of Accounts'!B:F,5,0)</f>
        <v>Income</v>
      </c>
    </row>
    <row r="5" spans="1:6">
      <c r="B5" s="13" t="s">
        <v>1357</v>
      </c>
      <c r="C5" s="2">
        <f>SUMIF(GL_Transactions!E:E,'Trial Balance'!B5,GL_Transactions!F:F)</f>
        <v>-2132550</v>
      </c>
      <c r="D5" t="str">
        <f>VLOOKUP(B5,'Chart of Accounts'!B:F,4,0)</f>
        <v>Income</v>
      </c>
      <c r="E5" t="s">
        <v>2</v>
      </c>
      <c r="F5" t="str">
        <f>VLOOKUP(B5,'Chart of Accounts'!B:F,5,0)</f>
        <v>Income</v>
      </c>
    </row>
    <row r="6" spans="1:6">
      <c r="B6" s="13" t="s">
        <v>868</v>
      </c>
      <c r="C6" s="2">
        <f>SUMIF(GL_Transactions!E:E,'Trial Balance'!B6,GL_Transactions!F:F)</f>
        <v>0</v>
      </c>
      <c r="D6" t="str">
        <f>VLOOKUP(B6,'Chart of Accounts'!B:F,4,0)</f>
        <v>Income</v>
      </c>
      <c r="E6" t="s">
        <v>2</v>
      </c>
      <c r="F6" t="str">
        <f>VLOOKUP(B6,'Chart of Accounts'!B:F,5,0)</f>
        <v>Income</v>
      </c>
    </row>
    <row r="7" spans="1:6">
      <c r="B7" s="13" t="s">
        <v>927</v>
      </c>
      <c r="C7" s="2">
        <f>SUMIF(GL_Transactions!E:E,'Trial Balance'!B7,GL_Transactions!F:F)</f>
        <v>0</v>
      </c>
      <c r="D7" t="str">
        <f>VLOOKUP(B7,'Chart of Accounts'!B:F,4,0)</f>
        <v>Income</v>
      </c>
      <c r="E7" s="28" t="s">
        <v>1074</v>
      </c>
      <c r="F7" t="str">
        <f>VLOOKUP(B7,'Chart of Accounts'!B:F,5,0)</f>
        <v>Income</v>
      </c>
    </row>
    <row r="8" spans="1:6">
      <c r="B8" s="13" t="s">
        <v>889</v>
      </c>
      <c r="C8" s="2">
        <f>SUMIF(GL_Transactions!E:E,'Trial Balance'!B8,GL_Transactions!F:F)</f>
        <v>0</v>
      </c>
      <c r="D8" t="str">
        <f>VLOOKUP(B8,'Chart of Accounts'!B:F,4,0)</f>
        <v>Income</v>
      </c>
      <c r="E8" s="28" t="s">
        <v>1074</v>
      </c>
      <c r="F8" t="str">
        <f>VLOOKUP(B8,'Chart of Accounts'!B:F,5,0)</f>
        <v>Income</v>
      </c>
    </row>
    <row r="9" spans="1:6">
      <c r="B9" s="13" t="s">
        <v>886</v>
      </c>
      <c r="C9" s="2">
        <f>SUMIF(GL_Transactions!E:E,'Trial Balance'!B9,GL_Transactions!F:F)</f>
        <v>0</v>
      </c>
      <c r="D9" t="str">
        <f>VLOOKUP(B9,'Chart of Accounts'!B:F,4,0)</f>
        <v>Income</v>
      </c>
      <c r="E9" s="28" t="s">
        <v>1074</v>
      </c>
      <c r="F9" t="str">
        <f>VLOOKUP(B9,'Chart of Accounts'!B:F,5,0)</f>
        <v>Income</v>
      </c>
    </row>
    <row r="10" spans="1:6">
      <c r="B10" s="13" t="s">
        <v>880</v>
      </c>
      <c r="C10" s="2">
        <f>SUMIF(GL_Transactions!E:E,'Trial Balance'!B10,GL_Transactions!F:F)</f>
        <v>0</v>
      </c>
      <c r="D10" t="str">
        <f>VLOOKUP(B10,'Chart of Accounts'!B:F,4,0)</f>
        <v>Income</v>
      </c>
      <c r="E10" s="28" t="s">
        <v>880</v>
      </c>
      <c r="F10" t="s">
        <v>1071</v>
      </c>
    </row>
    <row r="11" spans="1:6">
      <c r="B11" s="13" t="s">
        <v>877</v>
      </c>
      <c r="C11" s="2">
        <f>SUMIF(GL_Transactions!E:E,'Trial Balance'!B11,GL_Transactions!F:F)</f>
        <v>0</v>
      </c>
      <c r="D11" t="str">
        <f>VLOOKUP(B11,'Chart of Accounts'!B:F,4,0)</f>
        <v>Income</v>
      </c>
      <c r="E11" s="28" t="s">
        <v>1074</v>
      </c>
      <c r="F11" t="str">
        <f>VLOOKUP(B11,'Chart of Accounts'!B:F,5,0)</f>
        <v>Income</v>
      </c>
    </row>
    <row r="12" spans="1:6">
      <c r="B12" s="13" t="s">
        <v>837</v>
      </c>
      <c r="C12" s="2">
        <f>SUMIF(GL_Transactions!E:E,'Trial Balance'!B12,GL_Transactions!F:F)</f>
        <v>0</v>
      </c>
      <c r="D12" t="str">
        <f>VLOOKUP(B12,'Chart of Accounts'!B:F,4,0)</f>
        <v>Income</v>
      </c>
      <c r="E12" s="28" t="s">
        <v>1074</v>
      </c>
      <c r="F12" t="str">
        <f>VLOOKUP(B12,'Chart of Accounts'!B:F,5,0)</f>
        <v>Income</v>
      </c>
    </row>
    <row r="13" spans="1:6">
      <c r="B13" s="13" t="s">
        <v>787</v>
      </c>
      <c r="C13" s="2">
        <f>SUMIF(GL_Transactions!E:E,'Trial Balance'!B13,GL_Transactions!F:F)</f>
        <v>0</v>
      </c>
      <c r="D13" t="str">
        <f>VLOOKUP(B13,'Chart of Accounts'!B:F,4,0)</f>
        <v>Cost Of Goods Sold</v>
      </c>
      <c r="E13" s="28" t="s">
        <v>1072</v>
      </c>
      <c r="F13" t="str">
        <f>VLOOKUP(B13,'Chart of Accounts'!B:F,5,0)</f>
        <v>Cost of sales</v>
      </c>
    </row>
    <row r="14" spans="1:6">
      <c r="B14" s="13" t="s">
        <v>1356</v>
      </c>
      <c r="C14" s="2">
        <f>SUMIF(GL_Transactions!E:E,'Trial Balance'!B14,GL_Transactions!F:F)</f>
        <v>3000091.25</v>
      </c>
      <c r="D14" t="str">
        <f>VLOOKUP(B14,'Chart of Accounts'!B:F,4,0)</f>
        <v>Expense</v>
      </c>
      <c r="E14" s="28" t="s">
        <v>1356</v>
      </c>
      <c r="F14" t="s">
        <v>1006</v>
      </c>
    </row>
    <row r="15" spans="1:6">
      <c r="B15" s="13" t="s">
        <v>924</v>
      </c>
      <c r="C15" s="2">
        <f>SUMIF(GL_Transactions!E:E,'Trial Balance'!B15,GL_Transactions!F:F)</f>
        <v>0</v>
      </c>
      <c r="D15" t="str">
        <f>VLOOKUP(B15,'Chart of Accounts'!B:F,4,0)</f>
        <v>Expense</v>
      </c>
      <c r="E15" t="s">
        <v>5</v>
      </c>
      <c r="F15" t="str">
        <f>VLOOKUP(B15,'Chart of Accounts'!B:F,5,0)</f>
        <v>Administrative expenses</v>
      </c>
    </row>
    <row r="16" spans="1:6">
      <c r="B16" s="13" t="s">
        <v>874</v>
      </c>
      <c r="C16" s="2">
        <f>SUMIF(GL_Transactions!E:E,'Trial Balance'!B16,GL_Transactions!F:F)</f>
        <v>6573924.75</v>
      </c>
      <c r="D16" t="str">
        <f>VLOOKUP(B16,'Chart of Accounts'!B:F,4,0)</f>
        <v>Expense</v>
      </c>
      <c r="E16" t="s">
        <v>874</v>
      </c>
      <c r="F16" t="str">
        <f>VLOOKUP(B16,'Chart of Accounts'!B:F,5,0)</f>
        <v>Administrative expenses</v>
      </c>
    </row>
    <row r="17" spans="2:6">
      <c r="B17" s="13" t="s">
        <v>871</v>
      </c>
      <c r="C17" s="2">
        <f>SUMIF(GL_Transactions!E:E,'Trial Balance'!B17,GL_Transactions!F:F)</f>
        <v>4020000</v>
      </c>
      <c r="D17" t="str">
        <f>VLOOKUP(B17,'Chart of Accounts'!B:F,4,0)</f>
        <v>Expense</v>
      </c>
      <c r="E17" t="s">
        <v>871</v>
      </c>
      <c r="F17" t="str">
        <f>VLOOKUP(B17,'Chart of Accounts'!B:F,5,0)</f>
        <v>Administrative expenses</v>
      </c>
    </row>
    <row r="18" spans="2:6">
      <c r="B18" s="13" t="s">
        <v>865</v>
      </c>
      <c r="C18" s="2">
        <f>SUMIF(GL_Transactions!E:E,'Trial Balance'!B18,GL_Transactions!F:F)</f>
        <v>236414.81999998688</v>
      </c>
      <c r="D18" t="str">
        <f>VLOOKUP(B18,'Chart of Accounts'!B:F,4,0)</f>
        <v>Expense</v>
      </c>
      <c r="E18" t="s">
        <v>865</v>
      </c>
      <c r="F18" t="str">
        <f>VLOOKUP(B18,'Chart of Accounts'!B:F,5,0)</f>
        <v>Administrative expenses</v>
      </c>
    </row>
    <row r="19" spans="2:6">
      <c r="B19" s="13" t="s">
        <v>862</v>
      </c>
      <c r="C19" s="2">
        <f>SUMIF(GL_Transactions!E:E,'Trial Balance'!B19,GL_Transactions!F:F)</f>
        <v>0</v>
      </c>
      <c r="D19" t="str">
        <f>VLOOKUP(B19,'Chart of Accounts'!B:F,4,0)</f>
        <v>Expense</v>
      </c>
      <c r="E19" t="s">
        <v>5</v>
      </c>
      <c r="F19" t="str">
        <f>VLOOKUP(B19,'Chart of Accounts'!B:F,5,0)</f>
        <v>Administrative expenses</v>
      </c>
    </row>
    <row r="20" spans="2:6">
      <c r="B20" s="13" t="s">
        <v>955</v>
      </c>
      <c r="C20" s="2">
        <f>SUMIF(GL_Transactions!E:E,'Trial Balance'!B20,GL_Transactions!F:F)</f>
        <v>6354175.799999997</v>
      </c>
      <c r="D20" t="str">
        <f>VLOOKUP(B20,'Chart of Accounts'!B:F,4,0)</f>
        <v>Expense</v>
      </c>
      <c r="E20" t="s">
        <v>955</v>
      </c>
      <c r="F20" t="str">
        <f>VLOOKUP(B20,'Chart of Accounts'!B:F,5,0)</f>
        <v>Administrative expenses</v>
      </c>
    </row>
    <row r="21" spans="2:6">
      <c r="B21" s="13" t="s">
        <v>958</v>
      </c>
      <c r="C21" s="2">
        <f>SUMIF(GL_Transactions!E:E,'Trial Balance'!B21,GL_Transactions!F:F)</f>
        <v>1596388.1899999988</v>
      </c>
      <c r="D21" t="str">
        <f>VLOOKUP(B21,'Chart of Accounts'!B:F,4,0)</f>
        <v>Expense</v>
      </c>
      <c r="E21" t="s">
        <v>958</v>
      </c>
      <c r="F21" t="str">
        <f>VLOOKUP(B21,'Chart of Accounts'!B:F,5,0)</f>
        <v>Administrative expenses</v>
      </c>
    </row>
    <row r="22" spans="2:6">
      <c r="B22" s="13" t="s">
        <v>859</v>
      </c>
      <c r="C22" s="2">
        <f>SUMIF(GL_Transactions!E:E,'Trial Balance'!B22,GL_Transactions!F:F)</f>
        <v>0</v>
      </c>
      <c r="D22" t="str">
        <f>VLOOKUP(B22,'Chart of Accounts'!B:F,4,0)</f>
        <v>Other Expense</v>
      </c>
      <c r="E22" t="s">
        <v>5</v>
      </c>
      <c r="F22" t="str">
        <f>VLOOKUP(B22,'Chart of Accounts'!B:F,5,0)</f>
        <v>Administrative expenses</v>
      </c>
    </row>
    <row r="23" spans="2:6">
      <c r="B23" s="13" t="s">
        <v>855</v>
      </c>
      <c r="C23" s="2">
        <f>SUMIF(GL_Transactions!E:E,'Trial Balance'!B23,GL_Transactions!F:F)</f>
        <v>0</v>
      </c>
      <c r="D23" t="str">
        <f>VLOOKUP(B23,'Chart of Accounts'!B:F,4,0)</f>
        <v>Expense</v>
      </c>
      <c r="E23" t="s">
        <v>5</v>
      </c>
      <c r="F23" t="str">
        <f>VLOOKUP(B23,'Chart of Accounts'!B:F,5,0)</f>
        <v>Administrative expenses</v>
      </c>
    </row>
    <row r="24" spans="2:6">
      <c r="B24" s="13" t="s">
        <v>852</v>
      </c>
      <c r="C24" s="2">
        <f>SUMIF(GL_Transactions!E:E,'Trial Balance'!B24,GL_Transactions!F:F)</f>
        <v>0</v>
      </c>
      <c r="D24" t="str">
        <f>VLOOKUP(B24,'Chart of Accounts'!B:F,4,0)</f>
        <v>Expense</v>
      </c>
      <c r="E24" t="s">
        <v>5</v>
      </c>
      <c r="F24" t="str">
        <f>VLOOKUP(B24,'Chart of Accounts'!B:F,5,0)</f>
        <v>Administrative expenses</v>
      </c>
    </row>
    <row r="25" spans="2:6">
      <c r="B25" s="13" t="s">
        <v>849</v>
      </c>
      <c r="C25" s="2">
        <f>SUMIF(GL_Transactions!E:E,'Trial Balance'!B25,GL_Transactions!F:F)</f>
        <v>0</v>
      </c>
      <c r="D25" t="str">
        <f>VLOOKUP(B25,'Chart of Accounts'!B:F,4,0)</f>
        <v>Expense</v>
      </c>
      <c r="E25" t="s">
        <v>5</v>
      </c>
      <c r="F25" t="str">
        <f>VLOOKUP(B25,'Chart of Accounts'!B:F,5,0)</f>
        <v>Administrative expenses</v>
      </c>
    </row>
    <row r="26" spans="2:6">
      <c r="B26" s="13" t="s">
        <v>846</v>
      </c>
      <c r="C26" s="2">
        <f>SUMIF(GL_Transactions!E:E,'Trial Balance'!B26,GL_Transactions!F:F)</f>
        <v>621116.76000000536</v>
      </c>
      <c r="D26" t="str">
        <f>VLOOKUP(B26,'Chart of Accounts'!B:F,4,0)</f>
        <v>Expense</v>
      </c>
      <c r="E26" t="s">
        <v>5</v>
      </c>
      <c r="F26" t="str">
        <f>VLOOKUP(B26,'Chart of Accounts'!B:F,5,0)</f>
        <v>Administrative expenses</v>
      </c>
    </row>
    <row r="27" spans="2:6">
      <c r="B27" s="13" t="s">
        <v>843</v>
      </c>
      <c r="C27" s="2">
        <f>SUMIF(GL_Transactions!E:E,'Trial Balance'!B27,GL_Transactions!F:F)</f>
        <v>0</v>
      </c>
      <c r="D27" t="str">
        <f>VLOOKUP(B27,'Chart of Accounts'!B:F,4,0)</f>
        <v>Expense</v>
      </c>
      <c r="E27" t="s">
        <v>5</v>
      </c>
      <c r="F27" t="str">
        <f>VLOOKUP(B27,'Chart of Accounts'!B:F,5,0)</f>
        <v>Administrative expenses</v>
      </c>
    </row>
    <row r="28" spans="2:6">
      <c r="B28" s="13" t="s">
        <v>840</v>
      </c>
      <c r="C28" s="2">
        <f>SUMIF(GL_Transactions!E:E,'Trial Balance'!B28,GL_Transactions!F:F)</f>
        <v>6292000</v>
      </c>
      <c r="D28" t="str">
        <f>VLOOKUP(B28,'Chart of Accounts'!B:F,4,0)</f>
        <v>Expense</v>
      </c>
      <c r="E28" s="28" t="s">
        <v>1076</v>
      </c>
      <c r="F28" t="str">
        <f>VLOOKUP(B28,'Chart of Accounts'!B:F,5,0)</f>
        <v>Administrative expenses</v>
      </c>
    </row>
    <row r="29" spans="2:6">
      <c r="B29" s="13" t="s">
        <v>834</v>
      </c>
      <c r="C29" s="2">
        <f>SUMIF(GL_Transactions!E:E,'Trial Balance'!B29,GL_Transactions!F:F)</f>
        <v>0</v>
      </c>
      <c r="D29" t="str">
        <f>VLOOKUP(B29,'Chart of Accounts'!B:F,4,0)</f>
        <v>Expense</v>
      </c>
      <c r="E29" t="s">
        <v>5</v>
      </c>
      <c r="F29" t="str">
        <f>VLOOKUP(B29,'Chart of Accounts'!B:F,5,0)</f>
        <v>Administrative expenses</v>
      </c>
    </row>
    <row r="30" spans="2:6">
      <c r="B30" s="13" t="s">
        <v>831</v>
      </c>
      <c r="C30" s="2">
        <f>SUMIF(GL_Transactions!E:E,'Trial Balance'!B30,GL_Transactions!F:F)</f>
        <v>0</v>
      </c>
      <c r="D30" t="str">
        <f>VLOOKUP(B30,'Chart of Accounts'!B:F,4,0)</f>
        <v>Expense</v>
      </c>
      <c r="E30" t="s">
        <v>5</v>
      </c>
      <c r="F30" t="str">
        <f>VLOOKUP(B30,'Chart of Accounts'!B:F,5,0)</f>
        <v>Administrative expenses</v>
      </c>
    </row>
    <row r="31" spans="2:6">
      <c r="B31" s="13" t="s">
        <v>963</v>
      </c>
      <c r="C31" s="2">
        <f>SUMIF(GL_Transactions!E:E,'Trial Balance'!B31,GL_Transactions!F:F)</f>
        <v>507710</v>
      </c>
      <c r="D31" t="str">
        <f>VLOOKUP(B31,'Chart of Accounts'!B:F,4,0)</f>
        <v>Expense</v>
      </c>
      <c r="E31" s="28" t="s">
        <v>963</v>
      </c>
      <c r="F31" t="str">
        <f>VLOOKUP(B31,'Chart of Accounts'!B:F,5,0)</f>
        <v>Administrative expenses</v>
      </c>
    </row>
    <row r="32" spans="2:6">
      <c r="B32" s="13" t="s">
        <v>966</v>
      </c>
      <c r="C32" s="2">
        <f>SUMIF(GL_Transactions!E:E,'Trial Balance'!B32,GL_Transactions!F:F)</f>
        <v>320161.25</v>
      </c>
      <c r="D32" t="str">
        <f>VLOOKUP(B32,'Chart of Accounts'!B:F,4,0)</f>
        <v>Expense</v>
      </c>
      <c r="E32" t="s">
        <v>1077</v>
      </c>
      <c r="F32" t="str">
        <f>VLOOKUP(B32,'Chart of Accounts'!B:F,5,0)</f>
        <v>Administrative expenses</v>
      </c>
    </row>
    <row r="33" spans="2:6">
      <c r="B33" s="13" t="s">
        <v>977</v>
      </c>
      <c r="C33" s="2">
        <f>SUMIF(GL_Transactions!E:E,'Trial Balance'!B33,GL_Transactions!F:F)</f>
        <v>4412300</v>
      </c>
      <c r="D33" t="str">
        <f>VLOOKUP(B33,'Chart of Accounts'!B:F,4,0)</f>
        <v>Expense</v>
      </c>
      <c r="E33" t="s">
        <v>977</v>
      </c>
      <c r="F33" t="str">
        <f>VLOOKUP(B33,'Chart of Accounts'!B:F,5,0)</f>
        <v>Administrative expenses</v>
      </c>
    </row>
    <row r="34" spans="2:6">
      <c r="B34" s="13" t="s">
        <v>979</v>
      </c>
      <c r="C34" s="2">
        <f>SUMIF(GL_Transactions!E:E,'Trial Balance'!B34,GL_Transactions!F:F)</f>
        <v>6035458</v>
      </c>
      <c r="D34" t="str">
        <f>VLOOKUP(B34,'Chart of Accounts'!B:F,4,0)</f>
        <v>Expense</v>
      </c>
      <c r="E34" t="s">
        <v>979</v>
      </c>
      <c r="F34" t="str">
        <f>VLOOKUP(B34,'Chart of Accounts'!B:F,5,0)</f>
        <v>Administrative expenses</v>
      </c>
    </row>
    <row r="35" spans="2:6">
      <c r="B35" s="13" t="s">
        <v>980</v>
      </c>
      <c r="C35" s="2">
        <f>SUMIF(GL_Transactions!E:E,'Trial Balance'!B35,GL_Transactions!F:F)</f>
        <v>7442559.8400000036</v>
      </c>
      <c r="D35" t="str">
        <f>VLOOKUP(B35,'Chart of Accounts'!B:F,4,0)</f>
        <v>Expense</v>
      </c>
      <c r="E35" t="s">
        <v>980</v>
      </c>
      <c r="F35" t="str">
        <f>VLOOKUP(B35,'Chart of Accounts'!B:F,5,0)</f>
        <v>Administrative expenses</v>
      </c>
    </row>
    <row r="36" spans="2:6">
      <c r="B36" s="13" t="s">
        <v>32</v>
      </c>
      <c r="C36" s="2">
        <f>SUMIF(GL_Transactions!E:E,'Trial Balance'!B36,GL_Transactions!F:F)</f>
        <v>2718342</v>
      </c>
      <c r="D36" t="str">
        <f>VLOOKUP(B36,'Chart of Accounts'!B:F,4,0)</f>
        <v>Expense</v>
      </c>
      <c r="E36" t="s">
        <v>1077</v>
      </c>
      <c r="F36" t="str">
        <f>VLOOKUP(B36,'Chart of Accounts'!B:F,5,0)</f>
        <v>Administrative expenses</v>
      </c>
    </row>
    <row r="37" spans="2:6">
      <c r="B37" s="13" t="s">
        <v>27</v>
      </c>
      <c r="C37" s="2">
        <f>SUMIF(GL_Transactions!E:E,'Trial Balance'!B37,GL_Transactions!F:F)</f>
        <v>2720851</v>
      </c>
      <c r="D37" t="str">
        <f>VLOOKUP(B37,'Chart of Accounts'!B:F,4,0)</f>
        <v>Expense</v>
      </c>
      <c r="E37" t="s">
        <v>1077</v>
      </c>
      <c r="F37" t="str">
        <f>VLOOKUP(B37,'Chart of Accounts'!B:F,5,0)</f>
        <v>Administrative expenses</v>
      </c>
    </row>
    <row r="38" spans="2:6">
      <c r="B38" s="13" t="s">
        <v>985</v>
      </c>
      <c r="C38" s="2">
        <f>SUMIF(GL_Transactions!E:E,'Trial Balance'!B38,GL_Transactions!F:F)</f>
        <v>-7596742.3200000003</v>
      </c>
      <c r="D38" t="str">
        <f>VLOOKUP(B38,'Chart of Accounts'!B:F,4,0)</f>
        <v>Expense</v>
      </c>
      <c r="E38" t="s">
        <v>1075</v>
      </c>
      <c r="F38" t="str">
        <f>VLOOKUP(B38,'Chart of Accounts'!B:F,5,0)</f>
        <v>Administrative expenses</v>
      </c>
    </row>
    <row r="39" spans="2:6">
      <c r="B39" s="13" t="s">
        <v>987</v>
      </c>
      <c r="C39" s="2">
        <f>SUMIF(GL_Transactions!E:E,'Trial Balance'!B39,GL_Transactions!F:F)</f>
        <v>1600000</v>
      </c>
      <c r="D39" t="str">
        <f>VLOOKUP(B39,'Chart of Accounts'!B:F,4,0)</f>
        <v>Expense</v>
      </c>
      <c r="E39" t="s">
        <v>5</v>
      </c>
      <c r="F39" t="str">
        <f>VLOOKUP(B39,'Chart of Accounts'!B:F,5,0)</f>
        <v>Administrative expenses</v>
      </c>
    </row>
    <row r="40" spans="2:6">
      <c r="B40" s="13" t="s">
        <v>822</v>
      </c>
      <c r="C40" s="2">
        <f>SUMIF(GL_Transactions!E:E,'Trial Balance'!B40,GL_Transactions!F:F)</f>
        <v>0</v>
      </c>
      <c r="D40" t="str">
        <f>VLOOKUP(B40,'Chart of Accounts'!B:F,4,0)</f>
        <v>Expense</v>
      </c>
      <c r="E40" t="s">
        <v>5</v>
      </c>
      <c r="F40" t="str">
        <f>VLOOKUP(B40,'Chart of Accounts'!B:F,5,0)</f>
        <v>Administrative expenses</v>
      </c>
    </row>
    <row r="41" spans="2:6">
      <c r="B41" s="13" t="s">
        <v>815</v>
      </c>
      <c r="C41" s="2">
        <f>SUMIF(GL_Transactions!E:E,'Trial Balance'!B41,GL_Transactions!F:F)</f>
        <v>66149068.980000041</v>
      </c>
      <c r="D41" t="str">
        <f>VLOOKUP(B41,'Chart of Accounts'!B:F,4,0)</f>
        <v>Expense</v>
      </c>
      <c r="E41" s="28" t="s">
        <v>1075</v>
      </c>
      <c r="F41" t="str">
        <f>VLOOKUP(B41,'Chart of Accounts'!B:F,5,0)</f>
        <v>Administrative expenses</v>
      </c>
    </row>
    <row r="42" spans="2:6">
      <c r="B42" s="13" t="s">
        <v>812</v>
      </c>
      <c r="C42" s="2">
        <f>SUMIF(GL_Transactions!E:E,'Trial Balance'!B42,GL_Transactions!F:F)</f>
        <v>0</v>
      </c>
      <c r="D42" t="str">
        <f>VLOOKUP(B42,'Chart of Accounts'!B:F,4,0)</f>
        <v>Expense</v>
      </c>
      <c r="E42" t="s">
        <v>5</v>
      </c>
      <c r="F42" t="str">
        <f>VLOOKUP(B42,'Chart of Accounts'!B:F,5,0)</f>
        <v>Administrative expenses</v>
      </c>
    </row>
    <row r="43" spans="2:6">
      <c r="B43" s="13" t="s">
        <v>809</v>
      </c>
      <c r="C43" s="2">
        <f>SUMIF(GL_Transactions!E:E,'Trial Balance'!B43,GL_Transactions!F:F)</f>
        <v>714776</v>
      </c>
      <c r="D43" t="str">
        <f>VLOOKUP(B43,'Chart of Accounts'!B:F,4,0)</f>
        <v>Expense</v>
      </c>
      <c r="E43" t="s">
        <v>5</v>
      </c>
      <c r="F43" t="str">
        <f>VLOOKUP(B43,'Chart of Accounts'!B:F,5,0)</f>
        <v>Administrative expenses</v>
      </c>
    </row>
    <row r="44" spans="2:6">
      <c r="B44" s="13" t="s">
        <v>806</v>
      </c>
      <c r="C44" s="2">
        <f>SUMIF(GL_Transactions!E:E,'Trial Balance'!B44,GL_Transactions!F:F)</f>
        <v>0</v>
      </c>
      <c r="D44" t="str">
        <f>VLOOKUP(B44,'Chart of Accounts'!B:F,4,0)</f>
        <v>Expense</v>
      </c>
      <c r="E44" t="s">
        <v>5</v>
      </c>
      <c r="F44" t="str">
        <f>VLOOKUP(B44,'Chart of Accounts'!B:F,5,0)</f>
        <v>Administrative expenses</v>
      </c>
    </row>
    <row r="45" spans="2:6">
      <c r="B45" s="13" t="s">
        <v>803</v>
      </c>
      <c r="C45" s="2">
        <f>SUMIF(GL_Transactions!E:E,'Trial Balance'!B45,GL_Transactions!F:F)</f>
        <v>0</v>
      </c>
      <c r="D45" t="str">
        <f>VLOOKUP(B45,'Chart of Accounts'!B:F,4,0)</f>
        <v>Expense</v>
      </c>
      <c r="E45" t="s">
        <v>5</v>
      </c>
      <c r="F45" t="str">
        <f>VLOOKUP(B45,'Chart of Accounts'!B:F,5,0)</f>
        <v>Administrative expenses</v>
      </c>
    </row>
    <row r="46" spans="2:6">
      <c r="B46" s="13" t="s">
        <v>800</v>
      </c>
      <c r="C46" s="2">
        <f>SUMIF(GL_Transactions!E:E,'Trial Balance'!B46,GL_Transactions!F:F)</f>
        <v>8458025</v>
      </c>
      <c r="D46" t="str">
        <f>VLOOKUP(B46,'Chart of Accounts'!B:F,4,0)</f>
        <v>Expense</v>
      </c>
      <c r="E46" t="s">
        <v>800</v>
      </c>
      <c r="F46" t="str">
        <f>VLOOKUP(B46,'Chart of Accounts'!B:F,5,0)</f>
        <v>Administrative expenses</v>
      </c>
    </row>
    <row r="47" spans="2:6">
      <c r="B47" s="13" t="s">
        <v>5</v>
      </c>
      <c r="C47" s="2">
        <f>SUMIF(GL_Transactions!E:E,'Trial Balance'!B47,GL_Transactions!F:F)</f>
        <v>255623.75</v>
      </c>
      <c r="D47" t="str">
        <f>VLOOKUP(B47,'Chart of Accounts'!B:F,4,0)</f>
        <v>Expense</v>
      </c>
      <c r="E47" t="s">
        <v>5</v>
      </c>
      <c r="F47" t="str">
        <f>VLOOKUP(B47,'Chart of Accounts'!B:F,5,0)</f>
        <v>Administrative expenses</v>
      </c>
    </row>
    <row r="48" spans="2:6">
      <c r="B48" s="13" t="s">
        <v>779</v>
      </c>
      <c r="C48" s="2">
        <f>SUMIF(GL_Transactions!E:E,'Trial Balance'!B48,GL_Transactions!F:F)</f>
        <v>0</v>
      </c>
      <c r="D48" t="str">
        <f>VLOOKUP(B48,'Chart of Accounts'!B:F,4,0)</f>
        <v>Expense</v>
      </c>
      <c r="E48" t="s">
        <v>5</v>
      </c>
      <c r="F48" t="str">
        <f>VLOOKUP(B48,'Chart of Accounts'!B:F,5,0)</f>
        <v>Administrative expenses</v>
      </c>
    </row>
    <row r="49" spans="2:6">
      <c r="B49" s="13" t="s">
        <v>772</v>
      </c>
      <c r="C49" s="2">
        <f>SUMIF(GL_Transactions!E:E,'Trial Balance'!B49,GL_Transactions!F:F)</f>
        <v>0</v>
      </c>
      <c r="D49" t="str">
        <f>VLOOKUP(B49,'Chart of Accounts'!B:F,4,0)</f>
        <v>Expense</v>
      </c>
      <c r="E49" t="s">
        <v>5</v>
      </c>
      <c r="F49" t="str">
        <f>VLOOKUP(B49,'Chart of Accounts'!B:F,5,0)</f>
        <v>Administrative expenses</v>
      </c>
    </row>
    <row r="50" spans="2:6">
      <c r="B50" s="13" t="s">
        <v>769</v>
      </c>
      <c r="C50" s="2">
        <f>SUMIF(GL_Transactions!E:E,'Trial Balance'!B50,GL_Transactions!F:F)</f>
        <v>0</v>
      </c>
      <c r="D50" t="str">
        <f>VLOOKUP(B50,'Chart of Accounts'!B:F,4,0)</f>
        <v>Expense</v>
      </c>
      <c r="E50" t="s">
        <v>5</v>
      </c>
      <c r="F50" t="str">
        <f>VLOOKUP(B50,'Chart of Accounts'!B:F,5,0)</f>
        <v>Administrative expenses</v>
      </c>
    </row>
    <row r="51" spans="2:6">
      <c r="B51" s="13" t="s">
        <v>911</v>
      </c>
      <c r="C51" s="2">
        <f>SUMIF(GL_Transactions!E:E,'Trial Balance'!B51,GL_Transactions!F:F)</f>
        <v>1367000</v>
      </c>
      <c r="D51" t="str">
        <f>VLOOKUP(B51,'Chart of Accounts'!B:F,4,0)</f>
        <v>Fixed Asset</v>
      </c>
      <c r="E51" t="s">
        <v>1016</v>
      </c>
      <c r="F51" t="str">
        <f>VLOOKUP(B51,'Chart of Accounts'!B:F,5,0)</f>
        <v>Non-current asset</v>
      </c>
    </row>
    <row r="52" spans="2:6">
      <c r="B52" s="13" t="s">
        <v>997</v>
      </c>
      <c r="C52" s="2">
        <f>SUMIF(GL_Transactions!E:E,'Trial Balance'!B52,GL_Transactions!F:F)</f>
        <v>0</v>
      </c>
      <c r="D52" t="str">
        <f>VLOOKUP(B52,'Chart of Accounts'!B:F,4,0)</f>
        <v>Fixed Asset</v>
      </c>
      <c r="E52" t="s">
        <v>1016</v>
      </c>
      <c r="F52" t="str">
        <f>VLOOKUP(B52,'Chart of Accounts'!B:F,5,0)</f>
        <v>Non-current asset</v>
      </c>
    </row>
    <row r="53" spans="2:6">
      <c r="B53" s="13" t="s">
        <v>766</v>
      </c>
      <c r="C53" s="2">
        <f>SUMIF(GL_Transactions!E:E,'Trial Balance'!B53,GL_Transactions!F:F)</f>
        <v>0</v>
      </c>
      <c r="D53" t="str">
        <f>VLOOKUP(B53,'Chart of Accounts'!B:F,4,0)</f>
        <v>Bank</v>
      </c>
      <c r="E53" t="s">
        <v>709</v>
      </c>
      <c r="F53" t="str">
        <f>VLOOKUP(B53,'Chart of Accounts'!B:F,5,0)</f>
        <v>Current Asset</v>
      </c>
    </row>
    <row r="54" spans="2:6">
      <c r="B54" s="13" t="s">
        <v>949</v>
      </c>
      <c r="C54" s="2">
        <f>SUMIF(GL_Transactions!E:E,'Trial Balance'!B54,GL_Transactions!F:F)</f>
        <v>-3995191.71</v>
      </c>
      <c r="D54" t="str">
        <f>VLOOKUP(B54,'Chart of Accounts'!B:F,4,0)</f>
        <v>Bank</v>
      </c>
      <c r="E54" t="s">
        <v>709</v>
      </c>
      <c r="F54" t="str">
        <f>VLOOKUP(B54,'Chart of Accounts'!B:F,5,0)</f>
        <v>Current Asset</v>
      </c>
    </row>
    <row r="55" spans="2:6">
      <c r="B55" s="13" t="s">
        <v>950</v>
      </c>
      <c r="C55" s="2">
        <f>SUMIF(GL_Transactions!E:E,'Trial Balance'!B55,GL_Transactions!F:F)</f>
        <v>93959768.899999976</v>
      </c>
      <c r="D55" t="str">
        <f>VLOOKUP(B55,'Chart of Accounts'!B:F,4,0)</f>
        <v>Bank</v>
      </c>
      <c r="E55" t="s">
        <v>709</v>
      </c>
      <c r="F55" t="str">
        <f>VLOOKUP(B55,'Chart of Accounts'!B:F,5,0)</f>
        <v>Current Asset</v>
      </c>
    </row>
    <row r="56" spans="2:6">
      <c r="B56" s="13" t="s">
        <v>951</v>
      </c>
      <c r="C56" s="2">
        <f>SUMIF(GL_Transactions!E:E,'Trial Balance'!B56,GL_Transactions!F:F)</f>
        <v>5255182.5</v>
      </c>
      <c r="D56" t="str">
        <f>VLOOKUP(B56,'Chart of Accounts'!B:F,4,0)</f>
        <v>Bank</v>
      </c>
      <c r="E56" t="s">
        <v>709</v>
      </c>
      <c r="F56" t="str">
        <f>VLOOKUP(B56,'Chart of Accounts'!B:F,5,0)</f>
        <v>Current Asset</v>
      </c>
    </row>
    <row r="57" spans="2:6">
      <c r="B57" s="13" t="s">
        <v>921</v>
      </c>
      <c r="C57" s="2">
        <f>SUMIF(GL_Transactions!E:E,'Trial Balance'!B57,GL_Transactions!F:F)</f>
        <v>0</v>
      </c>
      <c r="D57" t="str">
        <f>VLOOKUP(B57,'Chart of Accounts'!B:F,4,0)</f>
        <v>Cash</v>
      </c>
      <c r="E57" t="s">
        <v>916</v>
      </c>
      <c r="F57" t="str">
        <f>VLOOKUP(B57,'Chart of Accounts'!B:F,5,0)</f>
        <v>Current Asset</v>
      </c>
    </row>
    <row r="58" spans="2:6">
      <c r="B58" s="13" t="s">
        <v>918</v>
      </c>
      <c r="C58" s="2">
        <f>SUMIF(GL_Transactions!E:E,'Trial Balance'!B58,GL_Transactions!F:F)</f>
        <v>0</v>
      </c>
      <c r="D58" t="str">
        <f>VLOOKUP(B58,'Chart of Accounts'!B:F,4,0)</f>
        <v>Cash</v>
      </c>
      <c r="E58" t="s">
        <v>916</v>
      </c>
      <c r="F58" t="str">
        <f>VLOOKUP(B58,'Chart of Accounts'!B:F,5,0)</f>
        <v>Current Asset</v>
      </c>
    </row>
    <row r="59" spans="2:6">
      <c r="B59" s="13" t="s">
        <v>913</v>
      </c>
      <c r="C59" s="2">
        <f>SUMIF(GL_Transactions!E:E,'Trial Balance'!B59,GL_Transactions!F:F)</f>
        <v>0</v>
      </c>
      <c r="D59" t="str">
        <f>VLOOKUP(B59,'Chart of Accounts'!B:F,4,0)</f>
        <v>Accounts Receivable</v>
      </c>
      <c r="E59" s="28" t="s">
        <v>1085</v>
      </c>
      <c r="F59" t="str">
        <f>VLOOKUP(B59,'Chart of Accounts'!B:F,5,0)</f>
        <v>Current Asset</v>
      </c>
    </row>
    <row r="60" spans="2:6">
      <c r="B60" s="13" t="s">
        <v>791</v>
      </c>
      <c r="C60" s="2">
        <f>SUMIF(GL_Transactions!E:E,'Trial Balance'!B60,GL_Transactions!F:F)</f>
        <v>0</v>
      </c>
      <c r="D60" t="str">
        <f>VLOOKUP(B60,'Chart of Accounts'!B:F,4,0)</f>
        <v>Stock</v>
      </c>
      <c r="E60" s="28" t="s">
        <v>1020</v>
      </c>
      <c r="F60" t="str">
        <f>VLOOKUP(B60,'Chart of Accounts'!B:F,5,0)</f>
        <v>Current Asset</v>
      </c>
    </row>
    <row r="61" spans="2:6">
      <c r="B61" s="13" t="s">
        <v>907</v>
      </c>
      <c r="C61" s="2">
        <f>SUMIF(GL_Transactions!E:E,'Trial Balance'!B61,GL_Transactions!F:F)</f>
        <v>0</v>
      </c>
      <c r="D61" t="str">
        <f>VLOOKUP(B61,'Chart of Accounts'!B:F,4,0)</f>
        <v>Other Current Asset</v>
      </c>
      <c r="E61" s="28" t="s">
        <v>1086</v>
      </c>
      <c r="F61" t="str">
        <f>VLOOKUP(B61,'Chart of Accounts'!B:F,5,0)</f>
        <v>Current Asset</v>
      </c>
    </row>
    <row r="62" spans="2:6">
      <c r="B62" s="13" t="s">
        <v>825</v>
      </c>
      <c r="C62" s="2">
        <f>SUMIF(GL_Transactions!E:E,'Trial Balance'!B62,GL_Transactions!F:F)</f>
        <v>0</v>
      </c>
      <c r="D62" t="str">
        <f>VLOOKUP(B62,'Chart of Accounts'!B:F,4,0)</f>
        <v>Other Current Asset</v>
      </c>
      <c r="E62" s="28" t="s">
        <v>1086</v>
      </c>
      <c r="F62" t="str">
        <f>VLOOKUP(B62,'Chart of Accounts'!B:F,5,0)</f>
        <v>Current Asset</v>
      </c>
    </row>
    <row r="63" spans="2:6">
      <c r="B63" s="13" t="s">
        <v>776</v>
      </c>
      <c r="C63" s="2">
        <f>SUMIF(GL_Transactions!E:E,'Trial Balance'!B63,GL_Transactions!F:F)</f>
        <v>0</v>
      </c>
      <c r="D63" t="str">
        <f>VLOOKUP(B63,'Chart of Accounts'!B:F,4,0)</f>
        <v>Other Current Asset</v>
      </c>
      <c r="E63" s="28" t="s">
        <v>1084</v>
      </c>
      <c r="F63" t="str">
        <f>VLOOKUP(B63,'Chart of Accounts'!B:F,5,0)</f>
        <v>Current Asset</v>
      </c>
    </row>
    <row r="64" spans="2:6">
      <c r="B64" s="13" t="s">
        <v>903</v>
      </c>
      <c r="C64" s="2">
        <f>SUMIF(GL_Transactions!E:E,'Trial Balance'!B64,GL_Transactions!F:F)</f>
        <v>0</v>
      </c>
      <c r="D64" t="str">
        <f>VLOOKUP(B64,'Chart of Accounts'!B:F,4,0)</f>
        <v>Accounts Payable</v>
      </c>
      <c r="E64" t="s">
        <v>903</v>
      </c>
      <c r="F64" t="str">
        <f>VLOOKUP(B64,'Chart of Accounts'!B:F,5,0)</f>
        <v>Current Liabilities</v>
      </c>
    </row>
    <row r="65" spans="2:6">
      <c r="B65" s="13" t="s">
        <v>989</v>
      </c>
      <c r="C65" s="2">
        <f>SUMIF(GL_Transactions!E:E,'Trial Balance'!B65,GL_Transactions!F:F)</f>
        <v>780000</v>
      </c>
      <c r="D65" t="str">
        <f>VLOOKUP(B65,'Chart of Accounts'!B:F,4,0)</f>
        <v>Accounts Payable</v>
      </c>
      <c r="E65" t="s">
        <v>903</v>
      </c>
      <c r="F65" t="str">
        <f>VLOOKUP(B65,'Chart of Accounts'!B:F,5,0)</f>
        <v>Current Liabilities</v>
      </c>
    </row>
    <row r="66" spans="2:6">
      <c r="B66" s="13" t="s">
        <v>901</v>
      </c>
      <c r="C66" s="2">
        <f>SUMIF(GL_Transactions!E:E,'Trial Balance'!B66,GL_Transactions!F:F)</f>
        <v>0</v>
      </c>
      <c r="D66" t="str">
        <f>VLOOKUP(B66,'Chart of Accounts'!B:F,4,0)</f>
        <v>Other Current Liability</v>
      </c>
      <c r="E66" s="28" t="s">
        <v>901</v>
      </c>
      <c r="F66" t="str">
        <f>VLOOKUP(B66,'Chart of Accounts'!B:F,5,0)</f>
        <v>Current Liabilities</v>
      </c>
    </row>
    <row r="67" spans="2:6">
      <c r="B67" s="13" t="s">
        <v>883</v>
      </c>
      <c r="C67" s="2">
        <f>SUMIF(GL_Transactions!E:E,'Trial Balance'!B67,GL_Transactions!F:F)</f>
        <v>0</v>
      </c>
      <c r="D67" t="str">
        <f>VLOOKUP(B67,'Chart of Accounts'!B:F,4,0)</f>
        <v>Other Current Liability</v>
      </c>
      <c r="E67" s="28" t="s">
        <v>883</v>
      </c>
      <c r="F67" t="str">
        <f>VLOOKUP(B67,'Chart of Accounts'!B:F,5,0)</f>
        <v>Current Liabilities</v>
      </c>
    </row>
    <row r="68" spans="2:6">
      <c r="B68" s="13" t="s">
        <v>797</v>
      </c>
      <c r="C68" s="2">
        <f>SUMIF(GL_Transactions!E:E,'Trial Balance'!B68,GL_Transactions!F:F)</f>
        <v>0</v>
      </c>
      <c r="D68" t="str">
        <f>VLOOKUP(B68,'Chart of Accounts'!B:F,4,0)</f>
        <v>Other Liability</v>
      </c>
      <c r="E68" s="28" t="s">
        <v>1073</v>
      </c>
      <c r="F68" t="str">
        <f>VLOOKUP(B68,'Chart of Accounts'!B:F,5,0)</f>
        <v>Current Liabilities</v>
      </c>
    </row>
    <row r="69" spans="2:6">
      <c r="B69" s="13" t="s">
        <v>828</v>
      </c>
      <c r="C69" s="2">
        <f>SUMIF(GL_Transactions!E:E,'Trial Balance'!B69,GL_Transactions!F:F)</f>
        <v>0</v>
      </c>
      <c r="D69" t="str">
        <f>VLOOKUP(B69,'Chart of Accounts'!B:F,4,0)</f>
        <v>Other Current Liability</v>
      </c>
      <c r="E69" s="28" t="s">
        <v>1073</v>
      </c>
      <c r="F69" t="str">
        <f>VLOOKUP(B69,'Chart of Accounts'!B:F,5,0)</f>
        <v>Current Liabilities</v>
      </c>
    </row>
    <row r="70" spans="2:6">
      <c r="B70" s="13" t="s">
        <v>819</v>
      </c>
      <c r="C70" s="2">
        <f>SUMIF(GL_Transactions!E:E,'Trial Balance'!B70,GL_Transactions!F:F)</f>
        <v>0</v>
      </c>
      <c r="D70" t="str">
        <f>VLOOKUP(B70,'Chart of Accounts'!B:F,4,0)</f>
        <v>Other Current Liability</v>
      </c>
      <c r="E70" s="28" t="s">
        <v>1073</v>
      </c>
      <c r="F70" t="str">
        <f>VLOOKUP(B70,'Chart of Accounts'!B:F,5,0)</f>
        <v>Current Liabilities</v>
      </c>
    </row>
    <row r="71" spans="2:6">
      <c r="B71" s="13" t="s">
        <v>998</v>
      </c>
      <c r="C71" s="2">
        <f>SUMIF(GL_Transactions!E:E,'Trial Balance'!B71,GL_Transactions!F:F)</f>
        <v>0</v>
      </c>
      <c r="D71" t="str">
        <f>VLOOKUP(B71,'Chart of Accounts'!B:F,4,0)</f>
        <v xml:space="preserve">Surplus/Deficit </v>
      </c>
      <c r="E71" t="s">
        <v>998</v>
      </c>
      <c r="F71" t="str">
        <f>VLOOKUP(B71,'Chart of Accounts'!B:F,5,0)</f>
        <v>Accumulated funds</v>
      </c>
    </row>
    <row r="72" spans="2:6">
      <c r="B72" s="13" t="s">
        <v>943</v>
      </c>
      <c r="C72" s="2">
        <f>SUMIF(GL_Transactions!E:E,'Trial Balance'!B72,GL_Transactions!F:F)</f>
        <v>0</v>
      </c>
      <c r="D72" t="str">
        <f>VLOOKUP(B72,'Chart of Accounts'!B:F,4,0)</f>
        <v>Accumulated funds</v>
      </c>
      <c r="E72" t="s">
        <v>943</v>
      </c>
      <c r="F72" t="str">
        <f>VLOOKUP(B72,'Chart of Accounts'!B:F,5,0)</f>
        <v>Accumulated funds</v>
      </c>
    </row>
    <row r="73" spans="2:6">
      <c r="B73" s="13" t="s">
        <v>1000</v>
      </c>
      <c r="C73" s="2">
        <f>SUMIF(GL_Transactions!E:E,'Trial Balance'!B73,GL_Transactions!F:F)</f>
        <v>0</v>
      </c>
      <c r="D73" t="str">
        <f>VLOOKUP(B73,'Chart of Accounts'!B:F,4,0)</f>
        <v>Reserves</v>
      </c>
      <c r="E73" t="s">
        <v>1000</v>
      </c>
      <c r="F73" t="str">
        <f>VLOOKUP(B73,'Chart of Accounts'!B:F,5,0)</f>
        <v>Accumulated funds</v>
      </c>
    </row>
    <row r="74" spans="2:6">
      <c r="B74" s="13" t="s">
        <v>898</v>
      </c>
      <c r="C74" s="2">
        <f>SUMIF(GL_Transactions!E:E,'Trial Balance'!B74,GL_Transactions!F:F)</f>
        <v>0</v>
      </c>
      <c r="D74" t="str">
        <f>VLOOKUP(B74,'Chart of Accounts'!B:F,4,0)</f>
        <v>Equity</v>
      </c>
      <c r="E74" s="28" t="s">
        <v>1074</v>
      </c>
      <c r="F74" t="str">
        <f>VLOOKUP(B74,'Chart of Accounts'!B:F,5,0)</f>
        <v>Accumulated funds</v>
      </c>
    </row>
    <row r="75" spans="2:6">
      <c r="B75" s="13" t="s">
        <v>895</v>
      </c>
      <c r="C75" s="2">
        <f>SUMIF(GL_Transactions!E:E,'Trial Balance'!B75,GL_Transactions!F:F)</f>
        <v>0</v>
      </c>
      <c r="D75" t="str">
        <f>VLOOKUP(B75,'Chart of Accounts'!B:F,4,0)</f>
        <v>Equity</v>
      </c>
      <c r="E75" s="28" t="s">
        <v>1074</v>
      </c>
      <c r="F75" t="str">
        <f>VLOOKUP(B75,'Chart of Accounts'!B:F,5,0)</f>
        <v>Accumulated funds</v>
      </c>
    </row>
    <row r="76" spans="2:6">
      <c r="B76" s="13" t="s">
        <v>892</v>
      </c>
      <c r="C76" s="2">
        <f>SUMIF(GL_Transactions!E:E,'Trial Balance'!B76,GL_Transactions!F:F)</f>
        <v>0</v>
      </c>
      <c r="D76" t="str">
        <f>VLOOKUP(B76,'Chart of Accounts'!B:F,4,0)</f>
        <v>Equity</v>
      </c>
      <c r="E76" s="28" t="s">
        <v>1074</v>
      </c>
      <c r="F76" t="str">
        <f>VLOOKUP(B76,'Chart of Accounts'!B:F,5,0)</f>
        <v>Accumulated funds</v>
      </c>
    </row>
    <row r="77" spans="2:6">
      <c r="B77" s="13" t="s">
        <v>783</v>
      </c>
      <c r="C77" s="2">
        <f>SUMIF(GL_Transactions!E:E,'Trial Balance'!B77,GL_Transactions!F:F)</f>
        <v>0</v>
      </c>
      <c r="D77" t="str">
        <f>VLOOKUP(B77,'Chart of Accounts'!B:F,4,0)</f>
        <v>Equity</v>
      </c>
      <c r="E77" s="28" t="s">
        <v>1074</v>
      </c>
      <c r="F77" t="str">
        <f>VLOOKUP(B77,'Chart of Accounts'!B:F,5,0)</f>
        <v>Accumulated funds</v>
      </c>
    </row>
    <row r="78" spans="2:6">
      <c r="B78" s="13" t="s">
        <v>994</v>
      </c>
      <c r="C78" s="2">
        <f>SUMIF(GL_Transactions!E:E,'Trial Balance'!B78,GL_Transactions!F:F)</f>
        <v>-742000</v>
      </c>
      <c r="D78" t="str">
        <f>VLOOKUP(B78,'Chart of Accounts'!B:F,4,0)</f>
        <v>Expense</v>
      </c>
      <c r="E78" t="s">
        <v>5</v>
      </c>
      <c r="F78" t="str">
        <f>VLOOKUP(B78,'Chart of Accounts'!B:F,5,0)</f>
        <v>Administrative expenses</v>
      </c>
    </row>
    <row r="80" spans="2:6">
      <c r="B80" s="23" t="s">
        <v>992</v>
      </c>
      <c r="C80" s="24">
        <f>SUM(C3:C79)</f>
        <v>62403563.200000018</v>
      </c>
    </row>
  </sheetData>
  <autoFilter ref="A2:F78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1"/>
  <sheetViews>
    <sheetView tabSelected="1" workbookViewId="0">
      <pane xSplit="3" ySplit="14" topLeftCell="D1441" activePane="bottomRight" state="frozen"/>
      <selection pane="topRight" activeCell="D1" sqref="D1"/>
      <selection pane="bottomLeft" activeCell="A15" sqref="A15"/>
      <selection pane="bottomRight" activeCell="F1453" sqref="F1453"/>
    </sheetView>
  </sheetViews>
  <sheetFormatPr defaultRowHeight="13"/>
  <cols>
    <col min="1" max="1" width="12.8984375" style="1" bestFit="1" customWidth="1"/>
    <col min="2" max="2" width="11.796875" customWidth="1"/>
    <col min="3" max="3" width="79.5" customWidth="1"/>
    <col min="4" max="4" width="23" customWidth="1"/>
    <col min="5" max="5" width="25.296875" bestFit="1" customWidth="1"/>
    <col min="6" max="6" width="14.796875" style="2" bestFit="1" customWidth="1"/>
    <col min="7" max="7" width="11.296875" customWidth="1"/>
    <col min="8" max="8" width="56.19921875" customWidth="1"/>
  </cols>
  <sheetData>
    <row r="1" spans="1:8" s="21" customFormat="1">
      <c r="A1" s="19" t="s">
        <v>37</v>
      </c>
      <c r="B1" s="21" t="s">
        <v>1103</v>
      </c>
      <c r="C1" s="21" t="s">
        <v>39</v>
      </c>
      <c r="D1" s="21" t="s">
        <v>0</v>
      </c>
      <c r="E1" s="106" t="s">
        <v>947</v>
      </c>
      <c r="F1" s="22" t="s">
        <v>1</v>
      </c>
      <c r="G1" s="21" t="s">
        <v>709</v>
      </c>
      <c r="H1" s="20" t="s">
        <v>749</v>
      </c>
    </row>
    <row r="2" spans="1:8">
      <c r="A2" s="1">
        <v>45798</v>
      </c>
      <c r="B2" s="78">
        <v>45808</v>
      </c>
      <c r="C2" t="s">
        <v>41</v>
      </c>
      <c r="D2" t="s">
        <v>2</v>
      </c>
      <c r="E2" t="s">
        <v>2</v>
      </c>
      <c r="F2" s="2">
        <v>-444000</v>
      </c>
      <c r="G2" t="s">
        <v>710</v>
      </c>
      <c r="H2" t="s">
        <v>1323</v>
      </c>
    </row>
    <row r="3" spans="1:8">
      <c r="A3" s="1">
        <v>45798</v>
      </c>
      <c r="B3" s="78">
        <v>45808</v>
      </c>
      <c r="C3" t="s">
        <v>42</v>
      </c>
      <c r="D3" t="s">
        <v>3</v>
      </c>
      <c r="E3" t="s">
        <v>865</v>
      </c>
      <c r="F3" s="2">
        <v>50</v>
      </c>
      <c r="G3" t="s">
        <v>710</v>
      </c>
    </row>
    <row r="4" spans="1:8">
      <c r="A4" s="1">
        <v>45807</v>
      </c>
      <c r="B4" s="78">
        <v>45808</v>
      </c>
      <c r="C4" t="s">
        <v>44</v>
      </c>
      <c r="D4" t="s">
        <v>4</v>
      </c>
      <c r="E4" t="s">
        <v>874</v>
      </c>
      <c r="F4" s="2">
        <v>40000</v>
      </c>
      <c r="G4" t="s">
        <v>710</v>
      </c>
    </row>
    <row r="5" spans="1:8">
      <c r="A5" s="1">
        <v>45807</v>
      </c>
      <c r="B5" s="78">
        <v>45808</v>
      </c>
      <c r="C5" t="s">
        <v>44</v>
      </c>
      <c r="D5" t="s">
        <v>3</v>
      </c>
      <c r="E5" t="s">
        <v>865</v>
      </c>
      <c r="F5" s="2">
        <v>25</v>
      </c>
      <c r="G5" t="s">
        <v>710</v>
      </c>
    </row>
    <row r="6" spans="1:8">
      <c r="A6" s="1">
        <v>45807</v>
      </c>
      <c r="B6" s="78">
        <v>45808</v>
      </c>
      <c r="C6" t="s">
        <v>44</v>
      </c>
      <c r="D6" t="s">
        <v>3</v>
      </c>
      <c r="E6" t="s">
        <v>865</v>
      </c>
      <c r="F6" s="2">
        <v>1.8800000000046566</v>
      </c>
      <c r="G6" t="s">
        <v>710</v>
      </c>
    </row>
    <row r="7" spans="1:8">
      <c r="A7" s="1">
        <v>45807</v>
      </c>
      <c r="B7" s="78">
        <v>45808</v>
      </c>
      <c r="C7" t="s">
        <v>45</v>
      </c>
      <c r="D7" t="s">
        <v>3</v>
      </c>
      <c r="E7" t="s">
        <v>865</v>
      </c>
      <c r="F7" s="2">
        <v>10750</v>
      </c>
      <c r="G7" t="s">
        <v>710</v>
      </c>
    </row>
    <row r="8" spans="1:8">
      <c r="A8" s="1">
        <v>45807</v>
      </c>
      <c r="B8" s="78">
        <v>45808</v>
      </c>
      <c r="C8" t="s">
        <v>46</v>
      </c>
      <c r="D8" t="s">
        <v>6</v>
      </c>
      <c r="E8" t="s">
        <v>840</v>
      </c>
      <c r="F8" s="2">
        <v>12000</v>
      </c>
      <c r="G8" t="s">
        <v>710</v>
      </c>
    </row>
    <row r="9" spans="1:8">
      <c r="A9" s="1">
        <v>45807</v>
      </c>
      <c r="B9" s="78">
        <v>45808</v>
      </c>
      <c r="C9" t="s">
        <v>46</v>
      </c>
      <c r="D9" t="s">
        <v>3</v>
      </c>
      <c r="E9" t="s">
        <v>865</v>
      </c>
      <c r="F9" s="2">
        <v>25</v>
      </c>
      <c r="G9" t="s">
        <v>710</v>
      </c>
    </row>
    <row r="10" spans="1:8">
      <c r="A10" s="1">
        <v>45807</v>
      </c>
      <c r="B10" s="78">
        <v>45808</v>
      </c>
      <c r="C10" t="s">
        <v>46</v>
      </c>
      <c r="D10" t="s">
        <v>3</v>
      </c>
      <c r="E10" t="s">
        <v>865</v>
      </c>
      <c r="F10" s="2">
        <v>1.8800000000046566</v>
      </c>
      <c r="G10" t="s">
        <v>710</v>
      </c>
    </row>
    <row r="11" spans="1:8">
      <c r="A11" s="1">
        <v>45807</v>
      </c>
      <c r="B11" s="78">
        <v>45808</v>
      </c>
      <c r="C11" t="s">
        <v>47</v>
      </c>
      <c r="D11" t="s">
        <v>5</v>
      </c>
      <c r="E11" t="s">
        <v>5</v>
      </c>
      <c r="F11" s="2">
        <v>15300</v>
      </c>
      <c r="G11" t="s">
        <v>710</v>
      </c>
    </row>
    <row r="12" spans="1:8">
      <c r="A12" s="1">
        <v>45807</v>
      </c>
      <c r="B12" s="78">
        <v>45808</v>
      </c>
      <c r="C12" t="s">
        <v>48</v>
      </c>
      <c r="D12" t="s">
        <v>3</v>
      </c>
      <c r="E12" t="s">
        <v>865</v>
      </c>
      <c r="F12" s="2">
        <v>25</v>
      </c>
      <c r="G12" t="s">
        <v>710</v>
      </c>
    </row>
    <row r="13" spans="1:8">
      <c r="A13" s="1">
        <v>45807</v>
      </c>
      <c r="B13" s="78">
        <v>45808</v>
      </c>
      <c r="C13" t="s">
        <v>48</v>
      </c>
      <c r="D13" t="s">
        <v>3</v>
      </c>
      <c r="E13" t="s">
        <v>865</v>
      </c>
      <c r="F13" s="2">
        <v>1.8800000000046566</v>
      </c>
      <c r="G13" t="s">
        <v>710</v>
      </c>
    </row>
    <row r="14" spans="1:8">
      <c r="A14" s="1">
        <v>45807</v>
      </c>
      <c r="B14" s="78">
        <v>45808</v>
      </c>
      <c r="C14" t="s">
        <v>49</v>
      </c>
      <c r="D14" t="s">
        <v>3</v>
      </c>
      <c r="E14" t="s">
        <v>865</v>
      </c>
      <c r="F14" s="2">
        <v>67.299999999988358</v>
      </c>
      <c r="G14" t="s">
        <v>710</v>
      </c>
    </row>
    <row r="15" spans="1:8">
      <c r="A15" s="1">
        <v>45807</v>
      </c>
      <c r="B15" s="78">
        <v>45808</v>
      </c>
      <c r="C15" t="s">
        <v>50</v>
      </c>
      <c r="D15" t="s">
        <v>3</v>
      </c>
      <c r="E15" t="s">
        <v>865</v>
      </c>
      <c r="F15" s="2">
        <v>5.0499999999883585</v>
      </c>
      <c r="G15" t="s">
        <v>710</v>
      </c>
    </row>
    <row r="16" spans="1:8" s="5" customFormat="1">
      <c r="A16" s="4">
        <v>45808</v>
      </c>
      <c r="B16" s="78">
        <v>45808</v>
      </c>
      <c r="C16" s="5" t="s">
        <v>713</v>
      </c>
      <c r="D16" s="5" t="s">
        <v>714</v>
      </c>
      <c r="E16" s="5" t="s">
        <v>950</v>
      </c>
      <c r="F16" s="6">
        <v>365747.01</v>
      </c>
      <c r="G16" s="5" t="s">
        <v>710</v>
      </c>
    </row>
    <row r="17" spans="1:8">
      <c r="A17" s="1">
        <v>45810</v>
      </c>
      <c r="B17" s="78">
        <v>45838</v>
      </c>
      <c r="C17" t="s">
        <v>51</v>
      </c>
      <c r="D17" t="s">
        <v>4</v>
      </c>
      <c r="E17" t="s">
        <v>874</v>
      </c>
      <c r="F17" s="2">
        <v>200000</v>
      </c>
      <c r="G17" t="s">
        <v>710</v>
      </c>
    </row>
    <row r="18" spans="1:8">
      <c r="A18" s="1">
        <v>45810</v>
      </c>
      <c r="B18" s="78">
        <v>45838</v>
      </c>
      <c r="C18" t="s">
        <v>51</v>
      </c>
      <c r="D18" t="s">
        <v>3</v>
      </c>
      <c r="E18" t="s">
        <v>865</v>
      </c>
      <c r="F18" s="2">
        <v>50</v>
      </c>
      <c r="G18" t="s">
        <v>710</v>
      </c>
    </row>
    <row r="19" spans="1:8">
      <c r="A19" s="1">
        <v>45810</v>
      </c>
      <c r="B19" s="78">
        <v>45838</v>
      </c>
      <c r="C19" t="s">
        <v>51</v>
      </c>
      <c r="D19" t="s">
        <v>3</v>
      </c>
      <c r="E19" t="s">
        <v>865</v>
      </c>
      <c r="F19" s="2">
        <v>3.75</v>
      </c>
      <c r="G19" t="s">
        <v>710</v>
      </c>
    </row>
    <row r="20" spans="1:8">
      <c r="A20" s="1">
        <v>45810</v>
      </c>
      <c r="B20" s="78">
        <v>45838</v>
      </c>
      <c r="C20" t="s">
        <v>53</v>
      </c>
      <c r="D20" t="s">
        <v>7</v>
      </c>
      <c r="E20" s="28" t="s">
        <v>1355</v>
      </c>
      <c r="F20" s="2">
        <v>-44499369.340000004</v>
      </c>
      <c r="G20" t="s">
        <v>710</v>
      </c>
      <c r="H20" s="28" t="s">
        <v>1329</v>
      </c>
    </row>
    <row r="21" spans="1:8">
      <c r="A21" s="1">
        <v>45810</v>
      </c>
      <c r="B21" s="78">
        <v>45838</v>
      </c>
      <c r="C21" t="s">
        <v>54</v>
      </c>
      <c r="D21" t="s">
        <v>8</v>
      </c>
      <c r="E21" t="s">
        <v>815</v>
      </c>
      <c r="F21" s="2">
        <v>249491.56000000238</v>
      </c>
      <c r="G21" t="s">
        <v>710</v>
      </c>
    </row>
    <row r="22" spans="1:8">
      <c r="A22" s="1">
        <v>45810</v>
      </c>
      <c r="B22" s="78">
        <v>45838</v>
      </c>
      <c r="C22" t="s">
        <v>54</v>
      </c>
      <c r="D22" t="s">
        <v>3</v>
      </c>
      <c r="E22" t="s">
        <v>865</v>
      </c>
      <c r="F22" s="2">
        <v>50</v>
      </c>
      <c r="G22" t="s">
        <v>710</v>
      </c>
    </row>
    <row r="23" spans="1:8">
      <c r="A23" s="1">
        <v>45810</v>
      </c>
      <c r="B23" s="78">
        <v>45838</v>
      </c>
      <c r="C23" t="s">
        <v>54</v>
      </c>
      <c r="D23" t="s">
        <v>3</v>
      </c>
      <c r="E23" t="s">
        <v>865</v>
      </c>
      <c r="F23" s="2">
        <v>3.75</v>
      </c>
      <c r="G23" t="s">
        <v>710</v>
      </c>
    </row>
    <row r="24" spans="1:8">
      <c r="A24" s="1">
        <v>45810</v>
      </c>
      <c r="B24" s="78">
        <v>45838</v>
      </c>
      <c r="C24" t="s">
        <v>55</v>
      </c>
      <c r="D24" t="s">
        <v>8</v>
      </c>
      <c r="E24" t="s">
        <v>815</v>
      </c>
      <c r="F24" s="2">
        <v>35000</v>
      </c>
      <c r="G24" t="s">
        <v>710</v>
      </c>
    </row>
    <row r="25" spans="1:8">
      <c r="A25" s="1">
        <v>45810</v>
      </c>
      <c r="B25" s="78">
        <v>45838</v>
      </c>
      <c r="C25" t="s">
        <v>55</v>
      </c>
      <c r="D25" t="s">
        <v>3</v>
      </c>
      <c r="E25" t="s">
        <v>865</v>
      </c>
      <c r="F25" s="2">
        <v>25</v>
      </c>
      <c r="G25" t="s">
        <v>710</v>
      </c>
    </row>
    <row r="26" spans="1:8">
      <c r="A26" s="1">
        <v>45810</v>
      </c>
      <c r="B26" s="78">
        <v>45838</v>
      </c>
      <c r="C26" t="s">
        <v>55</v>
      </c>
      <c r="D26" t="s">
        <v>3</v>
      </c>
      <c r="E26" t="s">
        <v>865</v>
      </c>
      <c r="F26" s="2">
        <v>1.880000002682209</v>
      </c>
      <c r="G26" t="s">
        <v>710</v>
      </c>
    </row>
    <row r="27" spans="1:8">
      <c r="A27" s="1">
        <v>45810</v>
      </c>
      <c r="B27" s="78">
        <v>45838</v>
      </c>
      <c r="C27" t="s">
        <v>56</v>
      </c>
      <c r="D27" t="s">
        <v>8</v>
      </c>
      <c r="E27" t="s">
        <v>815</v>
      </c>
      <c r="F27" s="2">
        <v>284491.55999999493</v>
      </c>
      <c r="G27" t="s">
        <v>710</v>
      </c>
    </row>
    <row r="28" spans="1:8">
      <c r="A28" s="1">
        <v>45810</v>
      </c>
      <c r="B28" s="78">
        <v>45838</v>
      </c>
      <c r="C28" t="s">
        <v>56</v>
      </c>
      <c r="D28" t="s">
        <v>3</v>
      </c>
      <c r="E28" t="s">
        <v>865</v>
      </c>
      <c r="F28" s="2">
        <v>50</v>
      </c>
      <c r="G28" t="s">
        <v>710</v>
      </c>
    </row>
    <row r="29" spans="1:8">
      <c r="A29" s="1">
        <v>45810</v>
      </c>
      <c r="B29" s="78">
        <v>45838</v>
      </c>
      <c r="C29" t="s">
        <v>56</v>
      </c>
      <c r="D29" t="s">
        <v>3</v>
      </c>
      <c r="E29" t="s">
        <v>865</v>
      </c>
      <c r="F29" s="2">
        <v>3.75</v>
      </c>
      <c r="G29" t="s">
        <v>710</v>
      </c>
    </row>
    <row r="30" spans="1:8">
      <c r="A30" s="1">
        <v>45810</v>
      </c>
      <c r="B30" s="78">
        <v>45838</v>
      </c>
      <c r="C30" t="s">
        <v>57</v>
      </c>
      <c r="D30" t="s">
        <v>8</v>
      </c>
      <c r="E30" t="s">
        <v>815</v>
      </c>
      <c r="F30" s="2">
        <v>3570659.4400000051</v>
      </c>
      <c r="G30" t="s">
        <v>710</v>
      </c>
    </row>
    <row r="31" spans="1:8">
      <c r="A31" s="1">
        <v>45810</v>
      </c>
      <c r="B31" s="78">
        <v>45838</v>
      </c>
      <c r="C31" t="s">
        <v>57</v>
      </c>
      <c r="D31" t="s">
        <v>3</v>
      </c>
      <c r="E31" t="s">
        <v>865</v>
      </c>
      <c r="F31" s="2">
        <v>50</v>
      </c>
      <c r="G31" t="s">
        <v>710</v>
      </c>
    </row>
    <row r="32" spans="1:8">
      <c r="A32" s="1">
        <v>45810</v>
      </c>
      <c r="B32" s="78">
        <v>45838</v>
      </c>
      <c r="C32" t="s">
        <v>57</v>
      </c>
      <c r="D32" t="s">
        <v>3</v>
      </c>
      <c r="E32" t="s">
        <v>865</v>
      </c>
      <c r="F32" s="2">
        <v>3.75</v>
      </c>
      <c r="G32" t="s">
        <v>710</v>
      </c>
    </row>
    <row r="33" spans="1:7">
      <c r="A33" s="1">
        <v>45810</v>
      </c>
      <c r="B33" s="78">
        <v>45838</v>
      </c>
      <c r="C33" t="s">
        <v>58</v>
      </c>
      <c r="D33" t="s">
        <v>8</v>
      </c>
      <c r="E33" t="s">
        <v>815</v>
      </c>
      <c r="F33" s="2">
        <v>2070487.4699999988</v>
      </c>
      <c r="G33" t="s">
        <v>710</v>
      </c>
    </row>
    <row r="34" spans="1:7">
      <c r="A34" s="1">
        <v>45810</v>
      </c>
      <c r="B34" s="78">
        <v>45838</v>
      </c>
      <c r="C34" t="s">
        <v>58</v>
      </c>
      <c r="D34" t="s">
        <v>3</v>
      </c>
      <c r="E34" t="s">
        <v>865</v>
      </c>
      <c r="F34" s="2">
        <v>50</v>
      </c>
      <c r="G34" t="s">
        <v>710</v>
      </c>
    </row>
    <row r="35" spans="1:7">
      <c r="A35" s="1">
        <v>45810</v>
      </c>
      <c r="B35" s="78">
        <v>45838</v>
      </c>
      <c r="C35" t="s">
        <v>58</v>
      </c>
      <c r="D35" t="s">
        <v>3</v>
      </c>
      <c r="E35" t="s">
        <v>865</v>
      </c>
      <c r="F35" s="2">
        <v>3.75</v>
      </c>
      <c r="G35" t="s">
        <v>710</v>
      </c>
    </row>
    <row r="36" spans="1:7">
      <c r="A36" s="1">
        <v>45810</v>
      </c>
      <c r="B36" s="78">
        <v>45838</v>
      </c>
      <c r="C36" t="s">
        <v>59</v>
      </c>
      <c r="D36" t="s">
        <v>8</v>
      </c>
      <c r="E36" t="s">
        <v>815</v>
      </c>
      <c r="F36" s="2">
        <v>152194.91999999434</v>
      </c>
      <c r="G36" t="s">
        <v>710</v>
      </c>
    </row>
    <row r="37" spans="1:7">
      <c r="A37" s="1">
        <v>45810</v>
      </c>
      <c r="B37" s="78">
        <v>45838</v>
      </c>
      <c r="C37" t="s">
        <v>59</v>
      </c>
      <c r="D37" t="s">
        <v>3</v>
      </c>
      <c r="E37" t="s">
        <v>865</v>
      </c>
      <c r="F37" s="2">
        <v>50</v>
      </c>
      <c r="G37" t="s">
        <v>710</v>
      </c>
    </row>
    <row r="38" spans="1:7">
      <c r="A38" s="1">
        <v>45810</v>
      </c>
      <c r="B38" s="78">
        <v>45838</v>
      </c>
      <c r="C38" t="s">
        <v>59</v>
      </c>
      <c r="D38" t="s">
        <v>3</v>
      </c>
      <c r="E38" t="s">
        <v>865</v>
      </c>
      <c r="F38" s="2">
        <v>3.75</v>
      </c>
      <c r="G38" t="s">
        <v>710</v>
      </c>
    </row>
    <row r="39" spans="1:7">
      <c r="A39" s="1">
        <v>45810</v>
      </c>
      <c r="B39" s="78">
        <v>45838</v>
      </c>
      <c r="C39" t="s">
        <v>60</v>
      </c>
      <c r="D39" t="s">
        <v>3</v>
      </c>
      <c r="E39" t="s">
        <v>865</v>
      </c>
      <c r="F39" s="2">
        <v>50</v>
      </c>
      <c r="G39" t="s">
        <v>710</v>
      </c>
    </row>
    <row r="40" spans="1:7">
      <c r="A40" s="1">
        <v>45811</v>
      </c>
      <c r="B40" s="78">
        <v>45838</v>
      </c>
      <c r="C40" t="s">
        <v>62</v>
      </c>
      <c r="D40" t="s">
        <v>8</v>
      </c>
      <c r="E40" t="s">
        <v>815</v>
      </c>
      <c r="F40" s="2">
        <v>252957.21000000089</v>
      </c>
      <c r="G40" t="s">
        <v>710</v>
      </c>
    </row>
    <row r="41" spans="1:7">
      <c r="A41" s="1">
        <v>45811</v>
      </c>
      <c r="B41" s="78">
        <v>45838</v>
      </c>
      <c r="C41" t="s">
        <v>62</v>
      </c>
      <c r="D41" t="s">
        <v>3</v>
      </c>
      <c r="E41" t="s">
        <v>865</v>
      </c>
      <c r="F41" s="2">
        <v>50</v>
      </c>
      <c r="G41" t="s">
        <v>710</v>
      </c>
    </row>
    <row r="42" spans="1:7">
      <c r="A42" s="1">
        <v>45811</v>
      </c>
      <c r="B42" s="78">
        <v>45838</v>
      </c>
      <c r="C42" t="s">
        <v>62</v>
      </c>
      <c r="D42" t="s">
        <v>3</v>
      </c>
      <c r="E42" t="s">
        <v>865</v>
      </c>
      <c r="F42" s="2">
        <v>3.75</v>
      </c>
      <c r="G42" t="s">
        <v>710</v>
      </c>
    </row>
    <row r="43" spans="1:7">
      <c r="A43" s="1">
        <v>45811</v>
      </c>
      <c r="B43" s="78">
        <v>45838</v>
      </c>
      <c r="C43" t="s">
        <v>63</v>
      </c>
      <c r="D43" t="s">
        <v>8</v>
      </c>
      <c r="E43" t="s">
        <v>815</v>
      </c>
      <c r="F43" s="2">
        <v>156011.73000000417</v>
      </c>
      <c r="G43" t="s">
        <v>710</v>
      </c>
    </row>
    <row r="44" spans="1:7">
      <c r="A44" s="1">
        <v>45811</v>
      </c>
      <c r="B44" s="78">
        <v>45838</v>
      </c>
      <c r="C44" t="s">
        <v>63</v>
      </c>
      <c r="D44" t="s">
        <v>3</v>
      </c>
      <c r="E44" t="s">
        <v>865</v>
      </c>
      <c r="F44" s="2">
        <v>50</v>
      </c>
      <c r="G44" t="s">
        <v>710</v>
      </c>
    </row>
    <row r="45" spans="1:7">
      <c r="A45" s="1">
        <v>45811</v>
      </c>
      <c r="B45" s="78">
        <v>45838</v>
      </c>
      <c r="C45" t="s">
        <v>63</v>
      </c>
      <c r="D45" t="s">
        <v>3</v>
      </c>
      <c r="E45" t="s">
        <v>865</v>
      </c>
      <c r="F45" s="2">
        <v>3.75</v>
      </c>
      <c r="G45" t="s">
        <v>710</v>
      </c>
    </row>
    <row r="46" spans="1:7">
      <c r="A46" s="1">
        <v>45811</v>
      </c>
      <c r="B46" s="78">
        <v>45838</v>
      </c>
      <c r="C46" t="s">
        <v>64</v>
      </c>
      <c r="D46" t="s">
        <v>8</v>
      </c>
      <c r="E46" t="s">
        <v>815</v>
      </c>
      <c r="F46" s="2">
        <v>156011.72999999672</v>
      </c>
      <c r="G46" t="s">
        <v>710</v>
      </c>
    </row>
    <row r="47" spans="1:7">
      <c r="A47" s="1">
        <v>45811</v>
      </c>
      <c r="B47" s="78">
        <v>45838</v>
      </c>
      <c r="C47" t="s">
        <v>64</v>
      </c>
      <c r="D47" t="s">
        <v>3</v>
      </c>
      <c r="E47" t="s">
        <v>865</v>
      </c>
      <c r="F47" s="2">
        <v>50</v>
      </c>
      <c r="G47" t="s">
        <v>710</v>
      </c>
    </row>
    <row r="48" spans="1:7">
      <c r="A48" s="1">
        <v>45811</v>
      </c>
      <c r="B48" s="78">
        <v>45838</v>
      </c>
      <c r="C48" t="s">
        <v>64</v>
      </c>
      <c r="D48" t="s">
        <v>3</v>
      </c>
      <c r="E48" t="s">
        <v>865</v>
      </c>
      <c r="F48" s="2">
        <v>3.75</v>
      </c>
      <c r="G48" t="s">
        <v>710</v>
      </c>
    </row>
    <row r="49" spans="1:8">
      <c r="A49" s="1">
        <v>45811</v>
      </c>
      <c r="B49" s="78">
        <v>45838</v>
      </c>
      <c r="C49" t="s">
        <v>65</v>
      </c>
      <c r="D49" t="s">
        <v>8</v>
      </c>
      <c r="E49" t="s">
        <v>815</v>
      </c>
      <c r="F49" s="2">
        <v>156011.73000000417</v>
      </c>
      <c r="G49" t="s">
        <v>710</v>
      </c>
    </row>
    <row r="50" spans="1:8">
      <c r="A50" s="1">
        <v>45811</v>
      </c>
      <c r="B50" s="78">
        <v>45838</v>
      </c>
      <c r="C50" t="s">
        <v>65</v>
      </c>
      <c r="D50" t="s">
        <v>3</v>
      </c>
      <c r="E50" t="s">
        <v>865</v>
      </c>
      <c r="F50" s="2">
        <v>50</v>
      </c>
      <c r="G50" t="s">
        <v>710</v>
      </c>
    </row>
    <row r="51" spans="1:8">
      <c r="A51" s="1">
        <v>45811</v>
      </c>
      <c r="B51" s="78">
        <v>45838</v>
      </c>
      <c r="C51" t="s">
        <v>65</v>
      </c>
      <c r="D51" t="s">
        <v>3</v>
      </c>
      <c r="E51" t="s">
        <v>865</v>
      </c>
      <c r="F51" s="2">
        <v>3.75</v>
      </c>
      <c r="G51" t="s">
        <v>710</v>
      </c>
    </row>
    <row r="52" spans="1:8">
      <c r="A52" s="1">
        <v>45811</v>
      </c>
      <c r="B52" s="78">
        <v>45838</v>
      </c>
      <c r="C52" t="s">
        <v>66</v>
      </c>
      <c r="D52" t="s">
        <v>7</v>
      </c>
      <c r="E52" s="28" t="s">
        <v>1355</v>
      </c>
      <c r="F52" s="2">
        <v>-6935800</v>
      </c>
      <c r="G52" t="s">
        <v>710</v>
      </c>
      <c r="H52" s="28" t="s">
        <v>1326</v>
      </c>
    </row>
    <row r="53" spans="1:8">
      <c r="A53" s="1">
        <v>45811</v>
      </c>
      <c r="B53" s="78">
        <v>45838</v>
      </c>
      <c r="C53" t="s">
        <v>67</v>
      </c>
      <c r="D53" t="s">
        <v>7</v>
      </c>
      <c r="E53" s="28" t="s">
        <v>1355</v>
      </c>
      <c r="F53" s="2">
        <v>-94692772.219999999</v>
      </c>
      <c r="G53" t="s">
        <v>710</v>
      </c>
      <c r="H53" s="28" t="s">
        <v>1331</v>
      </c>
    </row>
    <row r="54" spans="1:8">
      <c r="A54" s="1">
        <v>45811</v>
      </c>
      <c r="B54" s="78">
        <v>45838</v>
      </c>
      <c r="C54" t="s">
        <v>68</v>
      </c>
      <c r="D54" t="s">
        <v>9</v>
      </c>
      <c r="E54" t="s">
        <v>989</v>
      </c>
      <c r="F54" s="2">
        <v>100000</v>
      </c>
      <c r="G54" t="s">
        <v>710</v>
      </c>
      <c r="H54" t="s">
        <v>1323</v>
      </c>
    </row>
    <row r="55" spans="1:8">
      <c r="A55" s="1">
        <v>45811</v>
      </c>
      <c r="B55" s="78">
        <v>45838</v>
      </c>
      <c r="C55" t="s">
        <v>68</v>
      </c>
      <c r="D55" t="s">
        <v>3</v>
      </c>
      <c r="E55" t="s">
        <v>865</v>
      </c>
      <c r="F55" s="2">
        <v>50</v>
      </c>
      <c r="G55" t="s">
        <v>710</v>
      </c>
    </row>
    <row r="56" spans="1:8">
      <c r="A56" s="1">
        <v>45811</v>
      </c>
      <c r="B56" s="78">
        <v>45838</v>
      </c>
      <c r="C56" t="s">
        <v>68</v>
      </c>
      <c r="D56" t="s">
        <v>3</v>
      </c>
      <c r="E56" t="s">
        <v>865</v>
      </c>
      <c r="F56" s="2">
        <v>3.75</v>
      </c>
      <c r="G56" t="s">
        <v>710</v>
      </c>
    </row>
    <row r="57" spans="1:8">
      <c r="A57" s="1">
        <v>45811</v>
      </c>
      <c r="B57" s="78">
        <v>45838</v>
      </c>
      <c r="C57" t="s">
        <v>69</v>
      </c>
      <c r="D57" t="s">
        <v>4</v>
      </c>
      <c r="E57" t="s">
        <v>874</v>
      </c>
      <c r="F57" s="2">
        <v>150000</v>
      </c>
      <c r="G57" t="s">
        <v>710</v>
      </c>
    </row>
    <row r="58" spans="1:8">
      <c r="A58" s="1">
        <v>45811</v>
      </c>
      <c r="B58" s="78">
        <v>45838</v>
      </c>
      <c r="C58" t="s">
        <v>69</v>
      </c>
      <c r="D58" t="s">
        <v>3</v>
      </c>
      <c r="E58" t="s">
        <v>865</v>
      </c>
      <c r="F58" s="2">
        <v>50</v>
      </c>
      <c r="G58" t="s">
        <v>710</v>
      </c>
    </row>
    <row r="59" spans="1:8">
      <c r="A59" s="1">
        <v>45811</v>
      </c>
      <c r="B59" s="78">
        <v>45838</v>
      </c>
      <c r="C59" t="s">
        <v>69</v>
      </c>
      <c r="D59" t="s">
        <v>3</v>
      </c>
      <c r="E59" t="s">
        <v>865</v>
      </c>
      <c r="F59" s="2">
        <v>3.75</v>
      </c>
      <c r="G59" t="s">
        <v>710</v>
      </c>
    </row>
    <row r="60" spans="1:8">
      <c r="A60" s="1">
        <v>45811</v>
      </c>
      <c r="B60" s="78">
        <v>45838</v>
      </c>
      <c r="C60" t="s">
        <v>70</v>
      </c>
      <c r="D60" t="s">
        <v>6</v>
      </c>
      <c r="E60" t="s">
        <v>840</v>
      </c>
      <c r="F60" s="2">
        <v>650000</v>
      </c>
      <c r="G60" t="s">
        <v>710</v>
      </c>
    </row>
    <row r="61" spans="1:8">
      <c r="A61" s="1">
        <v>45811</v>
      </c>
      <c r="B61" s="78">
        <v>45838</v>
      </c>
      <c r="C61" t="s">
        <v>70</v>
      </c>
      <c r="D61" t="s">
        <v>3</v>
      </c>
      <c r="E61" t="s">
        <v>865</v>
      </c>
      <c r="F61" s="2">
        <v>50</v>
      </c>
      <c r="G61" t="s">
        <v>710</v>
      </c>
    </row>
    <row r="62" spans="1:8">
      <c r="A62" s="1">
        <v>45811</v>
      </c>
      <c r="B62" s="78">
        <v>45838</v>
      </c>
      <c r="C62" t="s">
        <v>70</v>
      </c>
      <c r="D62" t="s">
        <v>3</v>
      </c>
      <c r="E62" t="s">
        <v>865</v>
      </c>
      <c r="F62" s="2">
        <v>3.75</v>
      </c>
      <c r="G62" t="s">
        <v>710</v>
      </c>
    </row>
    <row r="63" spans="1:8">
      <c r="A63" s="1">
        <v>45811</v>
      </c>
      <c r="B63" s="78">
        <v>45838</v>
      </c>
      <c r="C63" t="s">
        <v>71</v>
      </c>
      <c r="D63" t="s">
        <v>3</v>
      </c>
      <c r="E63" t="s">
        <v>865</v>
      </c>
      <c r="F63" s="2">
        <v>50</v>
      </c>
      <c r="G63" t="s">
        <v>710</v>
      </c>
    </row>
    <row r="64" spans="1:8">
      <c r="A64" s="1">
        <v>45811</v>
      </c>
      <c r="B64" s="78">
        <v>45838</v>
      </c>
      <c r="C64" t="s">
        <v>72</v>
      </c>
      <c r="D64" t="s">
        <v>3</v>
      </c>
      <c r="E64" t="s">
        <v>865</v>
      </c>
      <c r="F64" s="2">
        <v>50</v>
      </c>
      <c r="G64" t="s">
        <v>710</v>
      </c>
    </row>
    <row r="65" spans="1:7">
      <c r="A65" s="1">
        <v>45812</v>
      </c>
      <c r="B65" s="78">
        <v>45838</v>
      </c>
      <c r="C65" t="s">
        <v>73</v>
      </c>
      <c r="D65" t="s">
        <v>8</v>
      </c>
      <c r="E65" t="s">
        <v>815</v>
      </c>
      <c r="F65" s="2">
        <v>3570659.4300000072</v>
      </c>
      <c r="G65" t="s">
        <v>710</v>
      </c>
    </row>
    <row r="66" spans="1:7">
      <c r="A66" s="1">
        <v>45812</v>
      </c>
      <c r="B66" s="78">
        <v>45838</v>
      </c>
      <c r="C66" t="s">
        <v>73</v>
      </c>
      <c r="D66" t="s">
        <v>3</v>
      </c>
      <c r="E66" t="s">
        <v>865</v>
      </c>
      <c r="F66" s="2">
        <v>50</v>
      </c>
      <c r="G66" t="s">
        <v>710</v>
      </c>
    </row>
    <row r="67" spans="1:7">
      <c r="A67" s="1">
        <v>45812</v>
      </c>
      <c r="B67" s="78">
        <v>45838</v>
      </c>
      <c r="C67" t="s">
        <v>73</v>
      </c>
      <c r="D67" t="s">
        <v>3</v>
      </c>
      <c r="E67" t="s">
        <v>865</v>
      </c>
      <c r="F67" s="2">
        <v>3.75</v>
      </c>
      <c r="G67" t="s">
        <v>710</v>
      </c>
    </row>
    <row r="68" spans="1:7">
      <c r="A68" s="1">
        <v>45812</v>
      </c>
      <c r="B68" s="78">
        <v>45838</v>
      </c>
      <c r="C68" t="s">
        <v>74</v>
      </c>
      <c r="D68" t="s">
        <v>8</v>
      </c>
      <c r="E68" t="s">
        <v>815</v>
      </c>
      <c r="F68" s="2">
        <v>152194.91999998689</v>
      </c>
      <c r="G68" t="s">
        <v>710</v>
      </c>
    </row>
    <row r="69" spans="1:7">
      <c r="A69" s="1">
        <v>45812</v>
      </c>
      <c r="B69" s="78">
        <v>45838</v>
      </c>
      <c r="C69" t="s">
        <v>74</v>
      </c>
      <c r="D69" t="s">
        <v>3</v>
      </c>
      <c r="E69" t="s">
        <v>865</v>
      </c>
      <c r="F69" s="2">
        <v>50</v>
      </c>
      <c r="G69" t="s">
        <v>710</v>
      </c>
    </row>
    <row r="70" spans="1:7">
      <c r="A70" s="1">
        <v>45812</v>
      </c>
      <c r="B70" s="78">
        <v>45838</v>
      </c>
      <c r="C70" t="s">
        <v>74</v>
      </c>
      <c r="D70" t="s">
        <v>3</v>
      </c>
      <c r="E70" t="s">
        <v>865</v>
      </c>
      <c r="F70" s="2">
        <v>3.75</v>
      </c>
      <c r="G70" t="s">
        <v>710</v>
      </c>
    </row>
    <row r="71" spans="1:7">
      <c r="A71" s="1">
        <v>45812</v>
      </c>
      <c r="B71" s="78">
        <v>45838</v>
      </c>
      <c r="C71" t="s">
        <v>75</v>
      </c>
      <c r="D71" t="s">
        <v>8</v>
      </c>
      <c r="E71" t="s">
        <v>815</v>
      </c>
      <c r="F71" s="2">
        <v>3570659.4300000072</v>
      </c>
      <c r="G71" t="s">
        <v>710</v>
      </c>
    </row>
    <row r="72" spans="1:7">
      <c r="A72" s="1">
        <v>45812</v>
      </c>
      <c r="B72" s="78">
        <v>45838</v>
      </c>
      <c r="C72" t="s">
        <v>75</v>
      </c>
      <c r="D72" t="s">
        <v>3</v>
      </c>
      <c r="E72" t="s">
        <v>865</v>
      </c>
      <c r="F72" s="2">
        <v>50</v>
      </c>
      <c r="G72" t="s">
        <v>710</v>
      </c>
    </row>
    <row r="73" spans="1:7">
      <c r="A73" s="1">
        <v>45812</v>
      </c>
      <c r="B73" s="78">
        <v>45838</v>
      </c>
      <c r="C73" t="s">
        <v>75</v>
      </c>
      <c r="D73" t="s">
        <v>3</v>
      </c>
      <c r="E73" t="s">
        <v>865</v>
      </c>
      <c r="F73" s="2">
        <v>3.75</v>
      </c>
      <c r="G73" t="s">
        <v>710</v>
      </c>
    </row>
    <row r="74" spans="1:7">
      <c r="A74" s="1">
        <v>45812</v>
      </c>
      <c r="B74" s="78">
        <v>45838</v>
      </c>
      <c r="C74" t="s">
        <v>76</v>
      </c>
      <c r="D74" t="s">
        <v>8</v>
      </c>
      <c r="E74" t="s">
        <v>815</v>
      </c>
      <c r="F74" s="2">
        <v>152194.92000000179</v>
      </c>
      <c r="G74" t="s">
        <v>710</v>
      </c>
    </row>
    <row r="75" spans="1:7">
      <c r="A75" s="1">
        <v>45812</v>
      </c>
      <c r="B75" s="78">
        <v>45838</v>
      </c>
      <c r="C75" t="s">
        <v>76</v>
      </c>
      <c r="D75" t="s">
        <v>3</v>
      </c>
      <c r="E75" t="s">
        <v>865</v>
      </c>
      <c r="F75" s="2">
        <v>50</v>
      </c>
      <c r="G75" t="s">
        <v>710</v>
      </c>
    </row>
    <row r="76" spans="1:7">
      <c r="A76" s="1">
        <v>45812</v>
      </c>
      <c r="B76" s="78">
        <v>45838</v>
      </c>
      <c r="C76" t="s">
        <v>76</v>
      </c>
      <c r="D76" t="s">
        <v>3</v>
      </c>
      <c r="E76" t="s">
        <v>865</v>
      </c>
      <c r="F76" s="2">
        <v>3.75</v>
      </c>
      <c r="G76" t="s">
        <v>710</v>
      </c>
    </row>
    <row r="77" spans="1:7">
      <c r="A77" s="1">
        <v>45812</v>
      </c>
      <c r="B77" s="78">
        <v>45838</v>
      </c>
      <c r="C77" t="s">
        <v>78</v>
      </c>
      <c r="D77" t="s">
        <v>10</v>
      </c>
      <c r="E77" t="s">
        <v>958</v>
      </c>
      <c r="F77" s="2">
        <v>46440</v>
      </c>
      <c r="G77" t="s">
        <v>710</v>
      </c>
    </row>
    <row r="78" spans="1:7">
      <c r="A78" s="1">
        <v>45812</v>
      </c>
      <c r="B78" s="78">
        <v>45838</v>
      </c>
      <c r="C78" t="s">
        <v>78</v>
      </c>
      <c r="D78" t="s">
        <v>3</v>
      </c>
      <c r="E78" t="s">
        <v>865</v>
      </c>
      <c r="F78" s="2">
        <v>25</v>
      </c>
      <c r="G78" t="s">
        <v>710</v>
      </c>
    </row>
    <row r="79" spans="1:7">
      <c r="A79" s="1">
        <v>45812</v>
      </c>
      <c r="B79" s="78">
        <v>45838</v>
      </c>
      <c r="C79" t="s">
        <v>78</v>
      </c>
      <c r="D79" t="s">
        <v>3</v>
      </c>
      <c r="E79" t="s">
        <v>865</v>
      </c>
      <c r="F79" s="2">
        <v>1.8799999952316284</v>
      </c>
      <c r="G79" t="s">
        <v>710</v>
      </c>
    </row>
    <row r="80" spans="1:7">
      <c r="A80" s="1">
        <v>45812</v>
      </c>
      <c r="B80" s="78">
        <v>45838</v>
      </c>
      <c r="C80" t="s">
        <v>79</v>
      </c>
      <c r="D80" t="s">
        <v>10</v>
      </c>
      <c r="E80" t="s">
        <v>958</v>
      </c>
      <c r="F80" s="2">
        <v>49392.859999999404</v>
      </c>
      <c r="G80" t="s">
        <v>710</v>
      </c>
    </row>
    <row r="81" spans="1:8">
      <c r="A81" s="1">
        <v>45812</v>
      </c>
      <c r="B81" s="78">
        <v>45838</v>
      </c>
      <c r="C81" t="s">
        <v>79</v>
      </c>
      <c r="D81" t="s">
        <v>3</v>
      </c>
      <c r="E81" t="s">
        <v>865</v>
      </c>
      <c r="F81" s="2">
        <v>25</v>
      </c>
      <c r="G81" t="s">
        <v>710</v>
      </c>
    </row>
    <row r="82" spans="1:8">
      <c r="A82" s="1">
        <v>45812</v>
      </c>
      <c r="B82" s="78">
        <v>45838</v>
      </c>
      <c r="C82" t="s">
        <v>79</v>
      </c>
      <c r="D82" t="s">
        <v>3</v>
      </c>
      <c r="E82" t="s">
        <v>865</v>
      </c>
      <c r="F82" s="2">
        <v>1.8800000101327896</v>
      </c>
      <c r="G82" t="s">
        <v>710</v>
      </c>
    </row>
    <row r="83" spans="1:8">
      <c r="A83" s="1">
        <v>45813</v>
      </c>
      <c r="B83" s="78">
        <v>45838</v>
      </c>
      <c r="C83" t="s">
        <v>81</v>
      </c>
      <c r="D83" t="s">
        <v>3</v>
      </c>
      <c r="E83" t="s">
        <v>865</v>
      </c>
      <c r="F83" s="2">
        <v>10750</v>
      </c>
      <c r="G83" t="s">
        <v>710</v>
      </c>
    </row>
    <row r="84" spans="1:8">
      <c r="A84" s="1">
        <v>45813</v>
      </c>
      <c r="B84" s="78">
        <v>45838</v>
      </c>
      <c r="C84" t="s">
        <v>82</v>
      </c>
      <c r="D84" t="s">
        <v>11</v>
      </c>
      <c r="E84" t="s">
        <v>955</v>
      </c>
      <c r="F84" s="2">
        <v>725000</v>
      </c>
      <c r="G84" t="s">
        <v>710</v>
      </c>
    </row>
    <row r="85" spans="1:8">
      <c r="A85" s="1">
        <v>45813</v>
      </c>
      <c r="B85" s="78">
        <v>45838</v>
      </c>
      <c r="C85" t="s">
        <v>82</v>
      </c>
      <c r="D85" t="s">
        <v>3</v>
      </c>
      <c r="E85" t="s">
        <v>865</v>
      </c>
      <c r="F85" s="2">
        <v>50</v>
      </c>
      <c r="G85" t="s">
        <v>710</v>
      </c>
    </row>
    <row r="86" spans="1:8">
      <c r="A86" s="1">
        <v>45813</v>
      </c>
      <c r="B86" s="78">
        <v>45838</v>
      </c>
      <c r="C86" t="s">
        <v>82</v>
      </c>
      <c r="D86" t="s">
        <v>3</v>
      </c>
      <c r="E86" t="s">
        <v>865</v>
      </c>
      <c r="F86" s="2">
        <v>3.75</v>
      </c>
      <c r="G86" t="s">
        <v>710</v>
      </c>
    </row>
    <row r="87" spans="1:8">
      <c r="A87" s="1">
        <v>45818</v>
      </c>
      <c r="B87" s="78">
        <v>45838</v>
      </c>
      <c r="C87" t="s">
        <v>83</v>
      </c>
      <c r="D87" t="s">
        <v>12</v>
      </c>
      <c r="E87" s="26" t="s">
        <v>1357</v>
      </c>
      <c r="F87" s="2">
        <v>-135300</v>
      </c>
      <c r="G87" t="s">
        <v>710</v>
      </c>
      <c r="H87" t="s">
        <v>1318</v>
      </c>
    </row>
    <row r="88" spans="1:8">
      <c r="A88" s="1">
        <v>45818</v>
      </c>
      <c r="B88" s="78">
        <v>45838</v>
      </c>
      <c r="C88" t="s">
        <v>85</v>
      </c>
      <c r="D88" t="s">
        <v>4</v>
      </c>
      <c r="E88" t="s">
        <v>874</v>
      </c>
      <c r="F88" s="2">
        <v>36000</v>
      </c>
      <c r="G88" t="s">
        <v>710</v>
      </c>
    </row>
    <row r="89" spans="1:8">
      <c r="A89" s="1">
        <v>45818</v>
      </c>
      <c r="B89" s="78">
        <v>45838</v>
      </c>
      <c r="C89" t="s">
        <v>85</v>
      </c>
      <c r="D89" t="s">
        <v>3</v>
      </c>
      <c r="E89" t="s">
        <v>865</v>
      </c>
      <c r="F89" s="2">
        <v>25</v>
      </c>
      <c r="G89" t="s">
        <v>710</v>
      </c>
    </row>
    <row r="90" spans="1:8">
      <c r="A90" s="1">
        <v>45818</v>
      </c>
      <c r="B90" s="78">
        <v>45838</v>
      </c>
      <c r="C90" t="s">
        <v>85</v>
      </c>
      <c r="D90" t="s">
        <v>3</v>
      </c>
      <c r="E90" t="s">
        <v>865</v>
      </c>
      <c r="F90" s="2">
        <v>1.8799999952316284</v>
      </c>
      <c r="G90" t="s">
        <v>710</v>
      </c>
    </row>
    <row r="91" spans="1:8">
      <c r="A91" s="1">
        <v>45818</v>
      </c>
      <c r="B91" s="78">
        <v>45838</v>
      </c>
      <c r="C91" t="s">
        <v>86</v>
      </c>
      <c r="D91" t="s">
        <v>5</v>
      </c>
      <c r="E91" t="s">
        <v>5</v>
      </c>
      <c r="F91" s="2">
        <v>25000</v>
      </c>
      <c r="G91" t="s">
        <v>710</v>
      </c>
    </row>
    <row r="92" spans="1:8">
      <c r="A92" s="1">
        <v>45818</v>
      </c>
      <c r="B92" s="78">
        <v>45838</v>
      </c>
      <c r="C92" t="s">
        <v>86</v>
      </c>
      <c r="D92" t="s">
        <v>3</v>
      </c>
      <c r="E92" t="s">
        <v>865</v>
      </c>
      <c r="F92" s="2">
        <v>25</v>
      </c>
      <c r="G92" t="s">
        <v>710</v>
      </c>
    </row>
    <row r="93" spans="1:8">
      <c r="A93" s="1">
        <v>45818</v>
      </c>
      <c r="B93" s="78">
        <v>45838</v>
      </c>
      <c r="C93" t="s">
        <v>86</v>
      </c>
      <c r="D93" t="s">
        <v>3</v>
      </c>
      <c r="E93" t="s">
        <v>865</v>
      </c>
      <c r="F93" s="2">
        <v>1.8799999952316284</v>
      </c>
      <c r="G93" t="s">
        <v>710</v>
      </c>
    </row>
    <row r="94" spans="1:8">
      <c r="A94" s="1">
        <v>45818</v>
      </c>
      <c r="B94" s="78">
        <v>45838</v>
      </c>
      <c r="C94" t="s">
        <v>87</v>
      </c>
      <c r="D94" t="s">
        <v>13</v>
      </c>
      <c r="E94" t="s">
        <v>800</v>
      </c>
      <c r="F94" s="2">
        <v>13000</v>
      </c>
      <c r="G94" t="s">
        <v>710</v>
      </c>
    </row>
    <row r="95" spans="1:8">
      <c r="A95" s="1">
        <v>45818</v>
      </c>
      <c r="B95" s="78">
        <v>45838</v>
      </c>
      <c r="C95" t="s">
        <v>87</v>
      </c>
      <c r="D95" t="s">
        <v>3</v>
      </c>
      <c r="E95" t="s">
        <v>865</v>
      </c>
      <c r="F95" s="2">
        <v>25</v>
      </c>
      <c r="G95" t="s">
        <v>710</v>
      </c>
    </row>
    <row r="96" spans="1:8">
      <c r="A96" s="1">
        <v>45818</v>
      </c>
      <c r="B96" s="78">
        <v>45838</v>
      </c>
      <c r="C96" t="s">
        <v>87</v>
      </c>
      <c r="D96" t="s">
        <v>3</v>
      </c>
      <c r="E96" t="s">
        <v>865</v>
      </c>
      <c r="F96" s="2">
        <v>1.8800000101327896</v>
      </c>
      <c r="G96" t="s">
        <v>710</v>
      </c>
    </row>
    <row r="97" spans="1:7">
      <c r="A97" s="1">
        <v>45818</v>
      </c>
      <c r="B97" s="78">
        <v>45838</v>
      </c>
      <c r="C97" t="s">
        <v>88</v>
      </c>
      <c r="D97" t="s">
        <v>5</v>
      </c>
      <c r="E97" t="s">
        <v>5</v>
      </c>
      <c r="F97" s="2">
        <v>25000</v>
      </c>
      <c r="G97" t="s">
        <v>710</v>
      </c>
    </row>
    <row r="98" spans="1:7">
      <c r="A98" s="1">
        <v>45818</v>
      </c>
      <c r="B98" s="78">
        <v>45838</v>
      </c>
      <c r="C98" t="s">
        <v>88</v>
      </c>
      <c r="D98" t="s">
        <v>3</v>
      </c>
      <c r="E98" t="s">
        <v>865</v>
      </c>
      <c r="F98" s="2">
        <v>25</v>
      </c>
      <c r="G98" t="s">
        <v>710</v>
      </c>
    </row>
    <row r="99" spans="1:7">
      <c r="A99" s="1">
        <v>45818</v>
      </c>
      <c r="B99" s="78">
        <v>45838</v>
      </c>
      <c r="C99" t="s">
        <v>88</v>
      </c>
      <c r="D99" t="s">
        <v>3</v>
      </c>
      <c r="E99" t="s">
        <v>865</v>
      </c>
      <c r="F99" s="2">
        <v>1.8799999952316284</v>
      </c>
      <c r="G99" t="s">
        <v>710</v>
      </c>
    </row>
    <row r="100" spans="1:7">
      <c r="A100" s="1">
        <v>45818</v>
      </c>
      <c r="B100" s="78">
        <v>45838</v>
      </c>
      <c r="C100" t="s">
        <v>89</v>
      </c>
      <c r="D100" t="s">
        <v>11</v>
      </c>
      <c r="E100" t="s">
        <v>955</v>
      </c>
      <c r="F100" s="2">
        <v>2969175.799999997</v>
      </c>
      <c r="G100" t="s">
        <v>710</v>
      </c>
    </row>
    <row r="101" spans="1:7">
      <c r="A101" s="1">
        <v>45818</v>
      </c>
      <c r="B101" s="78">
        <v>45838</v>
      </c>
      <c r="C101" t="s">
        <v>89</v>
      </c>
      <c r="D101" t="s">
        <v>3</v>
      </c>
      <c r="E101" t="s">
        <v>865</v>
      </c>
      <c r="F101" s="2">
        <v>50</v>
      </c>
      <c r="G101" t="s">
        <v>710</v>
      </c>
    </row>
    <row r="102" spans="1:7">
      <c r="A102" s="1">
        <v>45818</v>
      </c>
      <c r="B102" s="78">
        <v>45838</v>
      </c>
      <c r="C102" t="s">
        <v>89</v>
      </c>
      <c r="D102" t="s">
        <v>3</v>
      </c>
      <c r="E102" t="s">
        <v>865</v>
      </c>
      <c r="F102" s="2">
        <v>3.75</v>
      </c>
      <c r="G102" t="s">
        <v>710</v>
      </c>
    </row>
    <row r="103" spans="1:7">
      <c r="A103" s="1">
        <v>45818</v>
      </c>
      <c r="B103" s="78">
        <v>45838</v>
      </c>
      <c r="C103" t="s">
        <v>90</v>
      </c>
      <c r="D103" t="s">
        <v>4</v>
      </c>
      <c r="E103" t="s">
        <v>874</v>
      </c>
      <c r="F103" s="2">
        <v>22000</v>
      </c>
      <c r="G103" t="s">
        <v>710</v>
      </c>
    </row>
    <row r="104" spans="1:7">
      <c r="A104" s="1">
        <v>45818</v>
      </c>
      <c r="B104" s="78">
        <v>45838</v>
      </c>
      <c r="C104" t="s">
        <v>90</v>
      </c>
      <c r="D104" t="s">
        <v>3</v>
      </c>
      <c r="E104" t="s">
        <v>865</v>
      </c>
      <c r="F104" s="2">
        <v>25</v>
      </c>
      <c r="G104" t="s">
        <v>710</v>
      </c>
    </row>
    <row r="105" spans="1:7">
      <c r="A105" s="1">
        <v>45818</v>
      </c>
      <c r="B105" s="78">
        <v>45838</v>
      </c>
      <c r="C105" t="s">
        <v>90</v>
      </c>
      <c r="D105" t="s">
        <v>3</v>
      </c>
      <c r="E105" t="s">
        <v>865</v>
      </c>
      <c r="F105" s="2">
        <v>1.8800000101327896</v>
      </c>
      <c r="G105" t="s">
        <v>710</v>
      </c>
    </row>
    <row r="106" spans="1:7">
      <c r="A106" s="1">
        <v>45818</v>
      </c>
      <c r="B106" s="78">
        <v>45838</v>
      </c>
      <c r="C106" t="s">
        <v>91</v>
      </c>
      <c r="D106" t="s">
        <v>14</v>
      </c>
      <c r="E106" t="s">
        <v>955</v>
      </c>
      <c r="F106" s="2">
        <v>2230000</v>
      </c>
      <c r="G106" t="s">
        <v>710</v>
      </c>
    </row>
    <row r="107" spans="1:7">
      <c r="A107" s="1">
        <v>45818</v>
      </c>
      <c r="B107" s="78">
        <v>45838</v>
      </c>
      <c r="C107" t="s">
        <v>91</v>
      </c>
      <c r="D107" t="s">
        <v>3</v>
      </c>
      <c r="E107" t="s">
        <v>865</v>
      </c>
      <c r="F107" s="2">
        <v>50</v>
      </c>
      <c r="G107" t="s">
        <v>710</v>
      </c>
    </row>
    <row r="108" spans="1:7">
      <c r="A108" s="1">
        <v>45818</v>
      </c>
      <c r="B108" s="78">
        <v>45838</v>
      </c>
      <c r="C108" t="s">
        <v>91</v>
      </c>
      <c r="D108" t="s">
        <v>3</v>
      </c>
      <c r="E108" t="s">
        <v>865</v>
      </c>
      <c r="F108" s="2">
        <v>3.75</v>
      </c>
      <c r="G108" t="s">
        <v>710</v>
      </c>
    </row>
    <row r="109" spans="1:7">
      <c r="A109" s="1">
        <v>45818</v>
      </c>
      <c r="B109" s="78">
        <v>45838</v>
      </c>
      <c r="C109" t="s">
        <v>92</v>
      </c>
      <c r="D109" t="s">
        <v>13</v>
      </c>
      <c r="E109" t="s">
        <v>800</v>
      </c>
      <c r="F109" s="2">
        <v>1581325</v>
      </c>
      <c r="G109" t="s">
        <v>710</v>
      </c>
    </row>
    <row r="110" spans="1:7">
      <c r="A110" s="1">
        <v>45818</v>
      </c>
      <c r="B110" s="78">
        <v>45838</v>
      </c>
      <c r="C110" t="s">
        <v>92</v>
      </c>
      <c r="D110" t="s">
        <v>3</v>
      </c>
      <c r="E110" t="s">
        <v>865</v>
      </c>
      <c r="F110" s="2">
        <v>50</v>
      </c>
      <c r="G110" t="s">
        <v>710</v>
      </c>
    </row>
    <row r="111" spans="1:7">
      <c r="A111" s="1">
        <v>45818</v>
      </c>
      <c r="B111" s="78">
        <v>45838</v>
      </c>
      <c r="C111" t="s">
        <v>92</v>
      </c>
      <c r="D111" t="s">
        <v>3</v>
      </c>
      <c r="E111" t="s">
        <v>865</v>
      </c>
      <c r="F111" s="2">
        <v>3.75</v>
      </c>
      <c r="G111" t="s">
        <v>710</v>
      </c>
    </row>
    <row r="112" spans="1:7">
      <c r="A112" s="1">
        <v>45818</v>
      </c>
      <c r="B112" s="78">
        <v>45838</v>
      </c>
      <c r="C112" t="s">
        <v>93</v>
      </c>
      <c r="D112" t="s">
        <v>3</v>
      </c>
      <c r="E112" t="s">
        <v>865</v>
      </c>
      <c r="F112" s="2">
        <v>50</v>
      </c>
      <c r="G112" t="s">
        <v>710</v>
      </c>
    </row>
    <row r="113" spans="1:7">
      <c r="A113" s="1">
        <v>45819</v>
      </c>
      <c r="B113" s="78">
        <v>45838</v>
      </c>
      <c r="C113" t="s">
        <v>94</v>
      </c>
      <c r="D113" t="s">
        <v>15</v>
      </c>
      <c r="E113" t="s">
        <v>1356</v>
      </c>
      <c r="F113" s="2">
        <v>120000</v>
      </c>
      <c r="G113" t="s">
        <v>710</v>
      </c>
    </row>
    <row r="114" spans="1:7">
      <c r="A114" s="1">
        <v>45819</v>
      </c>
      <c r="B114" s="78">
        <v>45838</v>
      </c>
      <c r="C114" t="s">
        <v>94</v>
      </c>
      <c r="D114" t="s">
        <v>3</v>
      </c>
      <c r="E114" t="s">
        <v>865</v>
      </c>
      <c r="F114" s="2">
        <v>50</v>
      </c>
      <c r="G114" t="s">
        <v>710</v>
      </c>
    </row>
    <row r="115" spans="1:7">
      <c r="A115" s="1">
        <v>45819</v>
      </c>
      <c r="B115" s="78">
        <v>45838</v>
      </c>
      <c r="C115" t="s">
        <v>94</v>
      </c>
      <c r="D115" t="s">
        <v>3</v>
      </c>
      <c r="E115" t="s">
        <v>865</v>
      </c>
      <c r="F115" s="2">
        <v>3.75</v>
      </c>
      <c r="G115" t="s">
        <v>710</v>
      </c>
    </row>
    <row r="116" spans="1:7">
      <c r="A116" s="1">
        <v>45819</v>
      </c>
      <c r="B116" s="78">
        <v>45838</v>
      </c>
      <c r="C116" t="s">
        <v>96</v>
      </c>
      <c r="D116" t="s">
        <v>10</v>
      </c>
      <c r="E116" t="s">
        <v>958</v>
      </c>
      <c r="F116" s="2">
        <v>715176</v>
      </c>
      <c r="G116" t="s">
        <v>710</v>
      </c>
    </row>
    <row r="117" spans="1:7">
      <c r="A117" s="1">
        <v>45819</v>
      </c>
      <c r="B117" s="78">
        <v>45838</v>
      </c>
      <c r="C117" t="s">
        <v>96</v>
      </c>
      <c r="D117" t="s">
        <v>3</v>
      </c>
      <c r="E117" t="s">
        <v>865</v>
      </c>
      <c r="F117" s="2">
        <v>50</v>
      </c>
      <c r="G117" t="s">
        <v>710</v>
      </c>
    </row>
    <row r="118" spans="1:7">
      <c r="A118" s="1">
        <v>45819</v>
      </c>
      <c r="B118" s="78">
        <v>45838</v>
      </c>
      <c r="C118" t="s">
        <v>96</v>
      </c>
      <c r="D118" t="s">
        <v>3</v>
      </c>
      <c r="E118" t="s">
        <v>865</v>
      </c>
      <c r="F118" s="2">
        <v>3.75</v>
      </c>
      <c r="G118" t="s">
        <v>710</v>
      </c>
    </row>
    <row r="119" spans="1:7">
      <c r="A119" s="1">
        <v>45821</v>
      </c>
      <c r="B119" s="78">
        <v>45838</v>
      </c>
      <c r="C119" t="s">
        <v>98</v>
      </c>
      <c r="D119" t="s">
        <v>16</v>
      </c>
      <c r="E119" t="s">
        <v>977</v>
      </c>
      <c r="F119" s="2">
        <v>475000</v>
      </c>
      <c r="G119" t="s">
        <v>710</v>
      </c>
    </row>
    <row r="120" spans="1:7">
      <c r="A120" s="1">
        <v>45821</v>
      </c>
      <c r="B120" s="78">
        <v>45838</v>
      </c>
      <c r="C120" t="s">
        <v>98</v>
      </c>
      <c r="D120" t="s">
        <v>3</v>
      </c>
      <c r="E120" t="s">
        <v>865</v>
      </c>
      <c r="F120" s="2">
        <v>50</v>
      </c>
      <c r="G120" t="s">
        <v>710</v>
      </c>
    </row>
    <row r="121" spans="1:7">
      <c r="A121" s="1">
        <v>45821</v>
      </c>
      <c r="B121" s="78">
        <v>45838</v>
      </c>
      <c r="C121" t="s">
        <v>98</v>
      </c>
      <c r="D121" t="s">
        <v>3</v>
      </c>
      <c r="E121" t="s">
        <v>865</v>
      </c>
      <c r="F121" s="2">
        <v>3.75</v>
      </c>
      <c r="G121" t="s">
        <v>710</v>
      </c>
    </row>
    <row r="122" spans="1:7">
      <c r="A122" s="1">
        <v>45824</v>
      </c>
      <c r="B122" s="78">
        <v>45838</v>
      </c>
      <c r="C122" t="s">
        <v>100</v>
      </c>
      <c r="D122" t="s">
        <v>15</v>
      </c>
      <c r="E122" t="s">
        <v>809</v>
      </c>
      <c r="F122" s="2">
        <v>153400</v>
      </c>
      <c r="G122" t="s">
        <v>710</v>
      </c>
    </row>
    <row r="123" spans="1:7">
      <c r="A123" s="1">
        <v>45824</v>
      </c>
      <c r="B123" s="78">
        <v>45838</v>
      </c>
      <c r="C123" t="s">
        <v>100</v>
      </c>
      <c r="D123" t="s">
        <v>3</v>
      </c>
      <c r="E123" t="s">
        <v>865</v>
      </c>
      <c r="F123" s="2">
        <v>50</v>
      </c>
      <c r="G123" t="s">
        <v>710</v>
      </c>
    </row>
    <row r="124" spans="1:7">
      <c r="A124" s="1">
        <v>45824</v>
      </c>
      <c r="B124" s="78">
        <v>45838</v>
      </c>
      <c r="C124" t="s">
        <v>100</v>
      </c>
      <c r="D124" t="s">
        <v>3</v>
      </c>
      <c r="E124" t="s">
        <v>865</v>
      </c>
      <c r="F124" s="2">
        <v>3.75</v>
      </c>
      <c r="G124" t="s">
        <v>710</v>
      </c>
    </row>
    <row r="125" spans="1:7">
      <c r="A125" s="1">
        <v>45824</v>
      </c>
      <c r="B125" s="78">
        <v>45838</v>
      </c>
      <c r="C125" t="s">
        <v>101</v>
      </c>
      <c r="D125" t="s">
        <v>8</v>
      </c>
      <c r="E125" t="s">
        <v>815</v>
      </c>
      <c r="F125" s="2">
        <v>72993.329999998212</v>
      </c>
      <c r="G125" t="s">
        <v>710</v>
      </c>
    </row>
    <row r="126" spans="1:7">
      <c r="A126" s="1">
        <v>45824</v>
      </c>
      <c r="B126" s="78">
        <v>45838</v>
      </c>
      <c r="C126" t="s">
        <v>101</v>
      </c>
      <c r="D126" t="s">
        <v>3</v>
      </c>
      <c r="E126" t="s">
        <v>865</v>
      </c>
      <c r="F126" s="2">
        <v>50</v>
      </c>
      <c r="G126" t="s">
        <v>710</v>
      </c>
    </row>
    <row r="127" spans="1:7">
      <c r="A127" s="1">
        <v>45824</v>
      </c>
      <c r="B127" s="78">
        <v>45838</v>
      </c>
      <c r="C127" t="s">
        <v>101</v>
      </c>
      <c r="D127" t="s">
        <v>3</v>
      </c>
      <c r="E127" t="s">
        <v>865</v>
      </c>
      <c r="F127" s="2">
        <v>3.75</v>
      </c>
      <c r="G127" t="s">
        <v>710</v>
      </c>
    </row>
    <row r="128" spans="1:7">
      <c r="A128" s="1">
        <v>45824</v>
      </c>
      <c r="B128" s="78">
        <v>45838</v>
      </c>
      <c r="C128" t="s">
        <v>102</v>
      </c>
      <c r="D128" t="s">
        <v>17</v>
      </c>
      <c r="E128" t="s">
        <v>911</v>
      </c>
      <c r="F128" s="2">
        <v>902000</v>
      </c>
      <c r="G128" t="s">
        <v>710</v>
      </c>
    </row>
    <row r="129" spans="1:8">
      <c r="A129" s="1">
        <v>45824</v>
      </c>
      <c r="B129" s="78">
        <v>45838</v>
      </c>
      <c r="C129" t="s">
        <v>102</v>
      </c>
      <c r="D129" t="s">
        <v>3</v>
      </c>
      <c r="E129" t="s">
        <v>865</v>
      </c>
      <c r="F129" s="2">
        <v>50</v>
      </c>
      <c r="G129" t="s">
        <v>710</v>
      </c>
    </row>
    <row r="130" spans="1:8">
      <c r="A130" s="1">
        <v>45824</v>
      </c>
      <c r="B130" s="78">
        <v>45838</v>
      </c>
      <c r="C130" t="s">
        <v>102</v>
      </c>
      <c r="D130" t="s">
        <v>3</v>
      </c>
      <c r="E130" t="s">
        <v>865</v>
      </c>
      <c r="F130" s="2">
        <v>3.75</v>
      </c>
      <c r="G130" t="s">
        <v>710</v>
      </c>
    </row>
    <row r="131" spans="1:8">
      <c r="A131" s="1">
        <v>45824</v>
      </c>
      <c r="B131" s="78">
        <v>45838</v>
      </c>
      <c r="C131" t="s">
        <v>103</v>
      </c>
      <c r="D131" t="s">
        <v>4</v>
      </c>
      <c r="E131" t="s">
        <v>874</v>
      </c>
      <c r="F131" s="2">
        <v>40000</v>
      </c>
      <c r="G131" t="s">
        <v>710</v>
      </c>
    </row>
    <row r="132" spans="1:8">
      <c r="A132" s="1">
        <v>45824</v>
      </c>
      <c r="B132" s="78">
        <v>45838</v>
      </c>
      <c r="C132" t="s">
        <v>103</v>
      </c>
      <c r="D132" t="s">
        <v>3</v>
      </c>
      <c r="E132" t="s">
        <v>865</v>
      </c>
      <c r="F132" s="2">
        <v>25</v>
      </c>
      <c r="G132" t="s">
        <v>710</v>
      </c>
    </row>
    <row r="133" spans="1:8">
      <c r="A133" s="1">
        <v>45824</v>
      </c>
      <c r="B133" s="78">
        <v>45838</v>
      </c>
      <c r="C133" t="s">
        <v>103</v>
      </c>
      <c r="D133" t="s">
        <v>3</v>
      </c>
      <c r="E133" t="s">
        <v>865</v>
      </c>
      <c r="F133" s="2">
        <v>1.8799999952316284</v>
      </c>
      <c r="G133" t="s">
        <v>710</v>
      </c>
    </row>
    <row r="134" spans="1:8">
      <c r="A134" s="1">
        <v>45824</v>
      </c>
      <c r="B134" s="78">
        <v>45838</v>
      </c>
      <c r="C134" t="s">
        <v>104</v>
      </c>
      <c r="D134" t="s">
        <v>13</v>
      </c>
      <c r="E134" t="s">
        <v>800</v>
      </c>
      <c r="F134" s="2">
        <v>14700</v>
      </c>
      <c r="G134" t="s">
        <v>710</v>
      </c>
    </row>
    <row r="135" spans="1:8">
      <c r="A135" s="1">
        <v>45824</v>
      </c>
      <c r="B135" s="78">
        <v>45838</v>
      </c>
      <c r="C135" t="s">
        <v>104</v>
      </c>
      <c r="D135" t="s">
        <v>3</v>
      </c>
      <c r="E135" t="s">
        <v>865</v>
      </c>
      <c r="F135" s="2">
        <v>25</v>
      </c>
      <c r="G135" t="s">
        <v>710</v>
      </c>
    </row>
    <row r="136" spans="1:8">
      <c r="A136" s="1">
        <v>45824</v>
      </c>
      <c r="B136" s="78">
        <v>45838</v>
      </c>
      <c r="C136" t="s">
        <v>104</v>
      </c>
      <c r="D136" t="s">
        <v>3</v>
      </c>
      <c r="E136" t="s">
        <v>865</v>
      </c>
      <c r="F136" s="2">
        <v>1.8799999952316284</v>
      </c>
      <c r="G136" t="s">
        <v>710</v>
      </c>
    </row>
    <row r="137" spans="1:8">
      <c r="A137" s="1">
        <v>45824</v>
      </c>
      <c r="B137" s="78">
        <v>45838</v>
      </c>
      <c r="C137" t="s">
        <v>105</v>
      </c>
      <c r="D137" t="s">
        <v>13</v>
      </c>
      <c r="E137" t="s">
        <v>800</v>
      </c>
      <c r="F137" s="2">
        <v>20000</v>
      </c>
      <c r="G137" t="s">
        <v>710</v>
      </c>
    </row>
    <row r="138" spans="1:8">
      <c r="A138" s="1">
        <v>45824</v>
      </c>
      <c r="B138" s="78">
        <v>45838</v>
      </c>
      <c r="C138" t="s">
        <v>105</v>
      </c>
      <c r="D138" t="s">
        <v>3</v>
      </c>
      <c r="E138" t="s">
        <v>865</v>
      </c>
      <c r="F138" s="2">
        <v>25</v>
      </c>
      <c r="G138" t="s">
        <v>710</v>
      </c>
    </row>
    <row r="139" spans="1:8">
      <c r="A139" s="1">
        <v>45824</v>
      </c>
      <c r="B139" s="78">
        <v>45838</v>
      </c>
      <c r="C139" t="s">
        <v>105</v>
      </c>
      <c r="D139" t="s">
        <v>3</v>
      </c>
      <c r="E139" t="s">
        <v>865</v>
      </c>
      <c r="F139" s="2">
        <v>1.8800000101327896</v>
      </c>
      <c r="G139" t="s">
        <v>710</v>
      </c>
    </row>
    <row r="140" spans="1:8">
      <c r="A140" s="1">
        <v>45825</v>
      </c>
      <c r="B140" s="78">
        <v>45838</v>
      </c>
      <c r="C140" t="s">
        <v>107</v>
      </c>
      <c r="D140" t="s">
        <v>11</v>
      </c>
      <c r="E140" t="s">
        <v>955</v>
      </c>
      <c r="F140" s="2">
        <v>100000</v>
      </c>
      <c r="G140" t="s">
        <v>710</v>
      </c>
    </row>
    <row r="141" spans="1:8">
      <c r="A141" s="1">
        <v>45825</v>
      </c>
      <c r="B141" s="78">
        <v>45838</v>
      </c>
      <c r="C141" t="s">
        <v>107</v>
      </c>
      <c r="D141" t="s">
        <v>3</v>
      </c>
      <c r="E141" t="s">
        <v>865</v>
      </c>
      <c r="F141" s="2">
        <v>50</v>
      </c>
      <c r="G141" t="s">
        <v>710</v>
      </c>
    </row>
    <row r="142" spans="1:8">
      <c r="A142" s="1">
        <v>45825</v>
      </c>
      <c r="B142" s="78">
        <v>45838</v>
      </c>
      <c r="C142" t="s">
        <v>107</v>
      </c>
      <c r="D142" t="s">
        <v>3</v>
      </c>
      <c r="E142" t="s">
        <v>865</v>
      </c>
      <c r="F142" s="2">
        <v>3.75</v>
      </c>
      <c r="G142" t="s">
        <v>710</v>
      </c>
    </row>
    <row r="143" spans="1:8">
      <c r="A143" s="1">
        <v>45825</v>
      </c>
      <c r="B143" s="78">
        <v>45838</v>
      </c>
      <c r="C143" t="s">
        <v>18</v>
      </c>
      <c r="D143" t="s">
        <v>19</v>
      </c>
      <c r="E143" t="s">
        <v>5</v>
      </c>
      <c r="F143" s="2">
        <v>162100</v>
      </c>
      <c r="G143" t="s">
        <v>710</v>
      </c>
      <c r="H143" t="s">
        <v>746</v>
      </c>
    </row>
    <row r="144" spans="1:8">
      <c r="A144" s="1">
        <v>45825</v>
      </c>
      <c r="B144" s="78">
        <v>45838</v>
      </c>
      <c r="C144" t="s">
        <v>18</v>
      </c>
      <c r="D144" t="s">
        <v>3</v>
      </c>
      <c r="E144" t="s">
        <v>865</v>
      </c>
      <c r="F144" s="2">
        <v>50</v>
      </c>
      <c r="G144" t="s">
        <v>710</v>
      </c>
    </row>
    <row r="145" spans="1:8">
      <c r="A145" s="1">
        <v>45825</v>
      </c>
      <c r="B145" s="78">
        <v>45838</v>
      </c>
      <c r="C145" t="s">
        <v>18</v>
      </c>
      <c r="D145" t="s">
        <v>3</v>
      </c>
      <c r="E145" t="s">
        <v>865</v>
      </c>
      <c r="F145" s="2">
        <v>3.75</v>
      </c>
      <c r="G145" t="s">
        <v>710</v>
      </c>
    </row>
    <row r="146" spans="1:8">
      <c r="A146" s="1">
        <v>45825</v>
      </c>
      <c r="B146" s="78">
        <v>45838</v>
      </c>
      <c r="C146" t="s">
        <v>108</v>
      </c>
      <c r="D146" t="s">
        <v>4</v>
      </c>
      <c r="E146" t="s">
        <v>874</v>
      </c>
      <c r="F146" s="2">
        <v>164000</v>
      </c>
      <c r="G146" t="s">
        <v>710</v>
      </c>
    </row>
    <row r="147" spans="1:8">
      <c r="A147" s="1">
        <v>45825</v>
      </c>
      <c r="B147" s="78">
        <v>45838</v>
      </c>
      <c r="C147" t="s">
        <v>108</v>
      </c>
      <c r="D147" t="s">
        <v>3</v>
      </c>
      <c r="E147" t="s">
        <v>865</v>
      </c>
      <c r="F147" s="2">
        <v>50</v>
      </c>
      <c r="G147" t="s">
        <v>710</v>
      </c>
    </row>
    <row r="148" spans="1:8">
      <c r="A148" s="1">
        <v>45825</v>
      </c>
      <c r="B148" s="78">
        <v>45838</v>
      </c>
      <c r="C148" t="s">
        <v>108</v>
      </c>
      <c r="D148" t="s">
        <v>3</v>
      </c>
      <c r="E148" t="s">
        <v>865</v>
      </c>
      <c r="F148" s="2">
        <v>3.75</v>
      </c>
      <c r="G148" t="s">
        <v>710</v>
      </c>
    </row>
    <row r="149" spans="1:8">
      <c r="A149" s="1">
        <v>45826</v>
      </c>
      <c r="B149" s="78">
        <v>45838</v>
      </c>
      <c r="C149" t="s">
        <v>110</v>
      </c>
      <c r="D149" t="s">
        <v>10</v>
      </c>
      <c r="E149" t="s">
        <v>958</v>
      </c>
      <c r="F149" s="2">
        <v>198660</v>
      </c>
      <c r="G149" t="s">
        <v>710</v>
      </c>
    </row>
    <row r="150" spans="1:8">
      <c r="A150" s="1">
        <v>45826</v>
      </c>
      <c r="B150" s="78">
        <v>45838</v>
      </c>
      <c r="C150" t="s">
        <v>110</v>
      </c>
      <c r="D150" t="s">
        <v>3</v>
      </c>
      <c r="E150" t="s">
        <v>865</v>
      </c>
      <c r="F150" s="2">
        <v>50</v>
      </c>
      <c r="G150" t="s">
        <v>710</v>
      </c>
    </row>
    <row r="151" spans="1:8">
      <c r="A151" s="1">
        <v>45826</v>
      </c>
      <c r="B151" s="78">
        <v>45838</v>
      </c>
      <c r="C151" t="s">
        <v>110</v>
      </c>
      <c r="D151" t="s">
        <v>3</v>
      </c>
      <c r="E151" t="s">
        <v>865</v>
      </c>
      <c r="F151" s="2">
        <v>3.75</v>
      </c>
      <c r="G151" t="s">
        <v>710</v>
      </c>
    </row>
    <row r="152" spans="1:8">
      <c r="A152" s="1">
        <v>45826</v>
      </c>
      <c r="B152" s="78">
        <v>45838</v>
      </c>
      <c r="C152" t="s">
        <v>111</v>
      </c>
      <c r="D152" t="s">
        <v>12</v>
      </c>
      <c r="E152" s="26" t="s">
        <v>2</v>
      </c>
      <c r="F152" s="2">
        <v>-420000</v>
      </c>
      <c r="G152" t="s">
        <v>710</v>
      </c>
      <c r="H152" t="s">
        <v>1312</v>
      </c>
    </row>
    <row r="153" spans="1:8">
      <c r="A153" s="1">
        <v>45826</v>
      </c>
      <c r="B153" s="78">
        <v>45838</v>
      </c>
      <c r="C153" t="s">
        <v>112</v>
      </c>
      <c r="D153" t="s">
        <v>3</v>
      </c>
      <c r="E153" t="s">
        <v>865</v>
      </c>
      <c r="F153" s="2">
        <v>50</v>
      </c>
      <c r="G153" t="s">
        <v>710</v>
      </c>
    </row>
    <row r="154" spans="1:8">
      <c r="A154" s="1">
        <v>45827</v>
      </c>
      <c r="B154" s="78">
        <v>45838</v>
      </c>
      <c r="C154" t="s">
        <v>114</v>
      </c>
      <c r="D154" t="s">
        <v>12</v>
      </c>
      <c r="E154" s="26" t="s">
        <v>1357</v>
      </c>
      <c r="F154" s="2">
        <v>-18000</v>
      </c>
      <c r="G154" t="s">
        <v>710</v>
      </c>
      <c r="H154" t="s">
        <v>1306</v>
      </c>
    </row>
    <row r="155" spans="1:8">
      <c r="A155" s="1">
        <v>45827</v>
      </c>
      <c r="B155" s="78">
        <v>45838</v>
      </c>
      <c r="C155" t="s">
        <v>115</v>
      </c>
      <c r="D155" t="s">
        <v>11</v>
      </c>
      <c r="E155" t="s">
        <v>955</v>
      </c>
      <c r="F155" s="2">
        <v>12000</v>
      </c>
      <c r="G155" t="s">
        <v>710</v>
      </c>
    </row>
    <row r="156" spans="1:8">
      <c r="A156" s="1">
        <v>45827</v>
      </c>
      <c r="B156" s="78">
        <v>45838</v>
      </c>
      <c r="C156" t="s">
        <v>115</v>
      </c>
      <c r="D156" t="s">
        <v>3</v>
      </c>
      <c r="E156" t="s">
        <v>865</v>
      </c>
      <c r="F156" s="2">
        <v>25</v>
      </c>
      <c r="G156" t="s">
        <v>710</v>
      </c>
    </row>
    <row r="157" spans="1:8">
      <c r="A157" s="1">
        <v>45827</v>
      </c>
      <c r="B157" s="78">
        <v>45838</v>
      </c>
      <c r="C157" t="s">
        <v>115</v>
      </c>
      <c r="D157" t="s">
        <v>3</v>
      </c>
      <c r="E157" t="s">
        <v>865</v>
      </c>
      <c r="F157" s="2">
        <v>1.8799999952316284</v>
      </c>
      <c r="G157" t="s">
        <v>710</v>
      </c>
    </row>
    <row r="158" spans="1:8">
      <c r="A158" s="1">
        <v>45827</v>
      </c>
      <c r="B158" s="78">
        <v>45838</v>
      </c>
      <c r="C158" t="s">
        <v>116</v>
      </c>
      <c r="D158" t="s">
        <v>4</v>
      </c>
      <c r="E158" t="s">
        <v>874</v>
      </c>
      <c r="F158" s="2">
        <v>304000</v>
      </c>
      <c r="G158" t="s">
        <v>710</v>
      </c>
    </row>
    <row r="159" spans="1:8">
      <c r="A159" s="1">
        <v>45827</v>
      </c>
      <c r="B159" s="78">
        <v>45838</v>
      </c>
      <c r="C159" t="s">
        <v>116</v>
      </c>
      <c r="D159" t="s">
        <v>3</v>
      </c>
      <c r="E159" t="s">
        <v>865</v>
      </c>
      <c r="F159" s="2">
        <v>50</v>
      </c>
      <c r="G159" t="s">
        <v>710</v>
      </c>
    </row>
    <row r="160" spans="1:8">
      <c r="A160" s="1">
        <v>45827</v>
      </c>
      <c r="B160" s="78">
        <v>45838</v>
      </c>
      <c r="C160" t="s">
        <v>116</v>
      </c>
      <c r="D160" t="s">
        <v>3</v>
      </c>
      <c r="E160" t="s">
        <v>865</v>
      </c>
      <c r="F160" s="2">
        <v>3.75</v>
      </c>
      <c r="G160" t="s">
        <v>710</v>
      </c>
    </row>
    <row r="161" spans="1:8">
      <c r="A161" s="1">
        <v>45827</v>
      </c>
      <c r="B161" s="78">
        <v>45838</v>
      </c>
      <c r="C161" t="s">
        <v>117</v>
      </c>
      <c r="D161" t="s">
        <v>10</v>
      </c>
      <c r="E161" t="s">
        <v>958</v>
      </c>
      <c r="F161" s="2">
        <v>9470.359999999404</v>
      </c>
      <c r="G161" t="s">
        <v>710</v>
      </c>
    </row>
    <row r="162" spans="1:8">
      <c r="A162" s="1">
        <v>45827</v>
      </c>
      <c r="B162" s="78">
        <v>45838</v>
      </c>
      <c r="C162" t="s">
        <v>117</v>
      </c>
      <c r="D162" t="s">
        <v>3</v>
      </c>
      <c r="E162" t="s">
        <v>865</v>
      </c>
      <c r="F162" s="2">
        <v>25</v>
      </c>
      <c r="G162" t="s">
        <v>710</v>
      </c>
    </row>
    <row r="163" spans="1:8">
      <c r="A163" s="1">
        <v>45827</v>
      </c>
      <c r="B163" s="78">
        <v>45838</v>
      </c>
      <c r="C163" t="s">
        <v>117</v>
      </c>
      <c r="D163" t="s">
        <v>3</v>
      </c>
      <c r="E163" t="s">
        <v>865</v>
      </c>
      <c r="F163" s="2">
        <v>1.8799999952316284</v>
      </c>
      <c r="G163" t="s">
        <v>710</v>
      </c>
    </row>
    <row r="164" spans="1:8">
      <c r="A164" s="1">
        <v>45827</v>
      </c>
      <c r="B164" s="78">
        <v>45838</v>
      </c>
      <c r="C164" t="s">
        <v>118</v>
      </c>
      <c r="D164" t="s">
        <v>4</v>
      </c>
      <c r="E164" t="s">
        <v>874</v>
      </c>
      <c r="F164" s="2">
        <v>150000</v>
      </c>
      <c r="G164" t="s">
        <v>710</v>
      </c>
    </row>
    <row r="165" spans="1:8">
      <c r="A165" s="1">
        <v>45827</v>
      </c>
      <c r="B165" s="78">
        <v>45838</v>
      </c>
      <c r="C165" t="s">
        <v>118</v>
      </c>
      <c r="D165" t="s">
        <v>3</v>
      </c>
      <c r="E165" t="s">
        <v>865</v>
      </c>
      <c r="F165" s="2">
        <v>50</v>
      </c>
      <c r="G165" t="s">
        <v>710</v>
      </c>
    </row>
    <row r="166" spans="1:8">
      <c r="A166" s="1">
        <v>45827</v>
      </c>
      <c r="B166" s="78">
        <v>45838</v>
      </c>
      <c r="C166" t="s">
        <v>118</v>
      </c>
      <c r="D166" t="s">
        <v>3</v>
      </c>
      <c r="E166" t="s">
        <v>865</v>
      </c>
      <c r="F166" s="2">
        <v>3.75</v>
      </c>
      <c r="G166" t="s">
        <v>710</v>
      </c>
    </row>
    <row r="167" spans="1:8">
      <c r="A167" s="1">
        <v>45827</v>
      </c>
      <c r="B167" s="78">
        <v>45838</v>
      </c>
      <c r="C167" t="s">
        <v>119</v>
      </c>
      <c r="D167" t="s">
        <v>19</v>
      </c>
      <c r="E167" t="s">
        <v>800</v>
      </c>
      <c r="F167" s="2">
        <v>720000</v>
      </c>
      <c r="G167" t="s">
        <v>710</v>
      </c>
      <c r="H167" t="s">
        <v>745</v>
      </c>
    </row>
    <row r="168" spans="1:8">
      <c r="A168" s="1">
        <v>45827</v>
      </c>
      <c r="B168" s="78">
        <v>45838</v>
      </c>
      <c r="C168" t="s">
        <v>119</v>
      </c>
      <c r="D168" t="s">
        <v>3</v>
      </c>
      <c r="E168" t="s">
        <v>865</v>
      </c>
      <c r="F168" s="2">
        <v>50</v>
      </c>
      <c r="G168" t="s">
        <v>710</v>
      </c>
    </row>
    <row r="169" spans="1:8">
      <c r="A169" s="1">
        <v>45827</v>
      </c>
      <c r="B169" s="78">
        <v>45838</v>
      </c>
      <c r="C169" t="s">
        <v>119</v>
      </c>
      <c r="D169" t="s">
        <v>3</v>
      </c>
      <c r="E169" t="s">
        <v>865</v>
      </c>
      <c r="F169" s="2">
        <v>3.75</v>
      </c>
      <c r="G169" t="s">
        <v>710</v>
      </c>
    </row>
    <row r="170" spans="1:8">
      <c r="A170" s="1">
        <v>45827</v>
      </c>
      <c r="B170" s="78">
        <v>45838</v>
      </c>
      <c r="C170" t="s">
        <v>120</v>
      </c>
      <c r="D170" t="s">
        <v>3</v>
      </c>
      <c r="E170" t="s">
        <v>865</v>
      </c>
      <c r="F170" s="2">
        <v>50</v>
      </c>
      <c r="G170" t="s">
        <v>710</v>
      </c>
    </row>
    <row r="171" spans="1:8">
      <c r="A171" s="1">
        <v>45828</v>
      </c>
      <c r="B171" s="78">
        <v>45838</v>
      </c>
      <c r="C171" t="s">
        <v>122</v>
      </c>
      <c r="D171" t="s">
        <v>19</v>
      </c>
      <c r="E171" t="s">
        <v>966</v>
      </c>
      <c r="F171" s="2">
        <v>320161.25</v>
      </c>
      <c r="G171" t="s">
        <v>710</v>
      </c>
      <c r="H171" t="s">
        <v>747</v>
      </c>
    </row>
    <row r="172" spans="1:8">
      <c r="A172" s="1">
        <v>45828</v>
      </c>
      <c r="B172" s="78">
        <v>45838</v>
      </c>
      <c r="C172" t="s">
        <v>123</v>
      </c>
      <c r="D172" t="s">
        <v>12</v>
      </c>
      <c r="E172" s="26" t="s">
        <v>1357</v>
      </c>
      <c r="F172" s="2">
        <v>-48000</v>
      </c>
      <c r="G172" t="s">
        <v>710</v>
      </c>
      <c r="H172" t="s">
        <v>1315</v>
      </c>
    </row>
    <row r="173" spans="1:8">
      <c r="A173" s="1">
        <v>45828</v>
      </c>
      <c r="B173" s="78">
        <v>45838</v>
      </c>
      <c r="C173" t="s">
        <v>124</v>
      </c>
      <c r="D173" t="s">
        <v>15</v>
      </c>
      <c r="E173" t="s">
        <v>1356</v>
      </c>
      <c r="F173" s="2">
        <v>48000</v>
      </c>
      <c r="G173" t="s">
        <v>710</v>
      </c>
    </row>
    <row r="174" spans="1:8">
      <c r="A174" s="1">
        <v>45828</v>
      </c>
      <c r="B174" s="78">
        <v>45838</v>
      </c>
      <c r="C174" t="s">
        <v>125</v>
      </c>
      <c r="D174" t="s">
        <v>3</v>
      </c>
      <c r="E174" t="s">
        <v>865</v>
      </c>
      <c r="F174" s="2">
        <v>25</v>
      </c>
      <c r="G174" t="s">
        <v>710</v>
      </c>
    </row>
    <row r="175" spans="1:8">
      <c r="A175" s="1">
        <v>45828</v>
      </c>
      <c r="B175" s="78">
        <v>45838</v>
      </c>
      <c r="C175" t="s">
        <v>125</v>
      </c>
      <c r="D175" t="s">
        <v>3</v>
      </c>
      <c r="E175" t="s">
        <v>865</v>
      </c>
      <c r="F175" s="2">
        <v>1.8800000101327896</v>
      </c>
      <c r="G175" t="s">
        <v>710</v>
      </c>
    </row>
    <row r="176" spans="1:8">
      <c r="A176" s="1">
        <v>45828</v>
      </c>
      <c r="B176" s="78">
        <v>45838</v>
      </c>
      <c r="C176" t="s">
        <v>126</v>
      </c>
      <c r="D176" t="s">
        <v>3</v>
      </c>
      <c r="E176" t="s">
        <v>865</v>
      </c>
      <c r="F176" s="2">
        <v>50</v>
      </c>
      <c r="G176" t="s">
        <v>710</v>
      </c>
    </row>
    <row r="177" spans="1:7">
      <c r="A177" s="1">
        <v>45831</v>
      </c>
      <c r="B177" s="78">
        <v>45838</v>
      </c>
      <c r="C177" t="s">
        <v>128</v>
      </c>
      <c r="D177" t="s">
        <v>15</v>
      </c>
      <c r="E177" t="s">
        <v>1356</v>
      </c>
      <c r="F177" s="2">
        <v>142500</v>
      </c>
      <c r="G177" t="s">
        <v>710</v>
      </c>
    </row>
    <row r="178" spans="1:7">
      <c r="A178" s="1">
        <v>45831</v>
      </c>
      <c r="B178" s="78">
        <v>45838</v>
      </c>
      <c r="C178" t="s">
        <v>128</v>
      </c>
      <c r="D178" t="s">
        <v>3</v>
      </c>
      <c r="E178" t="s">
        <v>865</v>
      </c>
      <c r="F178" s="2">
        <v>50</v>
      </c>
      <c r="G178" t="s">
        <v>710</v>
      </c>
    </row>
    <row r="179" spans="1:7">
      <c r="A179" s="1">
        <v>45831</v>
      </c>
      <c r="B179" s="78">
        <v>45838</v>
      </c>
      <c r="C179" t="s">
        <v>128</v>
      </c>
      <c r="D179" t="s">
        <v>3</v>
      </c>
      <c r="E179" t="s">
        <v>865</v>
      </c>
      <c r="F179" s="2">
        <v>3.75</v>
      </c>
      <c r="G179" t="s">
        <v>710</v>
      </c>
    </row>
    <row r="180" spans="1:7">
      <c r="A180" s="1">
        <v>45831</v>
      </c>
      <c r="B180" s="78">
        <v>45838</v>
      </c>
      <c r="C180" t="s">
        <v>129</v>
      </c>
      <c r="D180" t="s">
        <v>11</v>
      </c>
      <c r="E180" t="s">
        <v>955</v>
      </c>
      <c r="F180" s="2">
        <v>30000</v>
      </c>
      <c r="G180" t="s">
        <v>710</v>
      </c>
    </row>
    <row r="181" spans="1:7">
      <c r="A181" s="1">
        <v>45831</v>
      </c>
      <c r="B181" s="78">
        <v>45838</v>
      </c>
      <c r="C181" t="s">
        <v>129</v>
      </c>
      <c r="D181" t="s">
        <v>3</v>
      </c>
      <c r="E181" t="s">
        <v>865</v>
      </c>
      <c r="F181" s="2">
        <v>25</v>
      </c>
      <c r="G181" t="s">
        <v>710</v>
      </c>
    </row>
    <row r="182" spans="1:7">
      <c r="A182" s="1">
        <v>45831</v>
      </c>
      <c r="B182" s="78">
        <v>45838</v>
      </c>
      <c r="C182" t="s">
        <v>129</v>
      </c>
      <c r="D182" t="s">
        <v>3</v>
      </c>
      <c r="E182" t="s">
        <v>865</v>
      </c>
      <c r="F182" s="2">
        <v>1.8799999952316284</v>
      </c>
      <c r="G182" t="s">
        <v>710</v>
      </c>
    </row>
    <row r="183" spans="1:7">
      <c r="A183" s="1">
        <v>45831</v>
      </c>
      <c r="B183" s="78">
        <v>45838</v>
      </c>
      <c r="C183" t="s">
        <v>130</v>
      </c>
      <c r="D183" t="s">
        <v>4</v>
      </c>
      <c r="E183" t="s">
        <v>874</v>
      </c>
      <c r="F183" s="2">
        <v>149000</v>
      </c>
      <c r="G183" t="s">
        <v>710</v>
      </c>
    </row>
    <row r="184" spans="1:7">
      <c r="A184" s="1">
        <v>45831</v>
      </c>
      <c r="B184" s="78">
        <v>45838</v>
      </c>
      <c r="C184" t="s">
        <v>130</v>
      </c>
      <c r="D184" t="s">
        <v>3</v>
      </c>
      <c r="E184" t="s">
        <v>865</v>
      </c>
      <c r="F184" s="2">
        <v>50</v>
      </c>
      <c r="G184" t="s">
        <v>710</v>
      </c>
    </row>
    <row r="185" spans="1:7">
      <c r="A185" s="1">
        <v>45831</v>
      </c>
      <c r="B185" s="78">
        <v>45838</v>
      </c>
      <c r="C185" t="s">
        <v>130</v>
      </c>
      <c r="D185" t="s">
        <v>3</v>
      </c>
      <c r="E185" t="s">
        <v>865</v>
      </c>
      <c r="F185" s="2">
        <v>3.75</v>
      </c>
      <c r="G185" t="s">
        <v>710</v>
      </c>
    </row>
    <row r="186" spans="1:7">
      <c r="A186" s="1">
        <v>45831</v>
      </c>
      <c r="B186" s="78">
        <v>45838</v>
      </c>
      <c r="C186" t="s">
        <v>131</v>
      </c>
      <c r="D186" t="s">
        <v>4</v>
      </c>
      <c r="E186" t="s">
        <v>874</v>
      </c>
      <c r="F186" s="2">
        <v>50000</v>
      </c>
      <c r="G186" t="s">
        <v>710</v>
      </c>
    </row>
    <row r="187" spans="1:7">
      <c r="A187" s="1">
        <v>45831</v>
      </c>
      <c r="B187" s="78">
        <v>45838</v>
      </c>
      <c r="C187" t="s">
        <v>131</v>
      </c>
      <c r="D187" t="s">
        <v>3</v>
      </c>
      <c r="E187" t="s">
        <v>865</v>
      </c>
      <c r="F187" s="2">
        <v>25</v>
      </c>
      <c r="G187" t="s">
        <v>710</v>
      </c>
    </row>
    <row r="188" spans="1:7">
      <c r="A188" s="1">
        <v>45831</v>
      </c>
      <c r="B188" s="78">
        <v>45838</v>
      </c>
      <c r="C188" t="s">
        <v>131</v>
      </c>
      <c r="D188" t="s">
        <v>3</v>
      </c>
      <c r="E188" t="s">
        <v>865</v>
      </c>
      <c r="F188" s="2">
        <v>1.8799999952316284</v>
      </c>
      <c r="G188" t="s">
        <v>710</v>
      </c>
    </row>
    <row r="189" spans="1:7">
      <c r="A189" s="1">
        <v>45831</v>
      </c>
      <c r="B189" s="78">
        <v>45838</v>
      </c>
      <c r="C189" t="s">
        <v>132</v>
      </c>
      <c r="D189" t="s">
        <v>10</v>
      </c>
      <c r="E189" t="s">
        <v>958</v>
      </c>
      <c r="F189" s="2">
        <v>99330</v>
      </c>
      <c r="G189" t="s">
        <v>710</v>
      </c>
    </row>
    <row r="190" spans="1:7">
      <c r="A190" s="1">
        <v>45831</v>
      </c>
      <c r="B190" s="78">
        <v>45838</v>
      </c>
      <c r="C190" t="s">
        <v>132</v>
      </c>
      <c r="D190" t="s">
        <v>3</v>
      </c>
      <c r="E190" t="s">
        <v>865</v>
      </c>
      <c r="F190" s="2">
        <v>50</v>
      </c>
      <c r="G190" t="s">
        <v>710</v>
      </c>
    </row>
    <row r="191" spans="1:7">
      <c r="A191" s="1">
        <v>45831</v>
      </c>
      <c r="B191" s="78">
        <v>45838</v>
      </c>
      <c r="C191" t="s">
        <v>132</v>
      </c>
      <c r="D191" t="s">
        <v>3</v>
      </c>
      <c r="E191" t="s">
        <v>865</v>
      </c>
      <c r="F191" s="2">
        <v>3.75</v>
      </c>
      <c r="G191" t="s">
        <v>710</v>
      </c>
    </row>
    <row r="192" spans="1:7">
      <c r="A192" s="1">
        <v>45831</v>
      </c>
      <c r="B192" s="78">
        <v>45838</v>
      </c>
      <c r="C192" t="s">
        <v>133</v>
      </c>
      <c r="D192" t="s">
        <v>4</v>
      </c>
      <c r="E192" t="s">
        <v>874</v>
      </c>
      <c r="F192" s="2">
        <v>10400</v>
      </c>
      <c r="G192" t="s">
        <v>710</v>
      </c>
    </row>
    <row r="193" spans="1:7">
      <c r="A193" s="1">
        <v>45831</v>
      </c>
      <c r="B193" s="78">
        <v>45838</v>
      </c>
      <c r="C193" t="s">
        <v>133</v>
      </c>
      <c r="D193" t="s">
        <v>3</v>
      </c>
      <c r="E193" t="s">
        <v>865</v>
      </c>
      <c r="F193" s="2">
        <v>25</v>
      </c>
      <c r="G193" t="s">
        <v>710</v>
      </c>
    </row>
    <row r="194" spans="1:7">
      <c r="A194" s="1">
        <v>45831</v>
      </c>
      <c r="B194" s="78">
        <v>45838</v>
      </c>
      <c r="C194" t="s">
        <v>133</v>
      </c>
      <c r="D194" t="s">
        <v>3</v>
      </c>
      <c r="E194" t="s">
        <v>865</v>
      </c>
      <c r="F194" s="2">
        <v>1.8800000101327896</v>
      </c>
      <c r="G194" t="s">
        <v>710</v>
      </c>
    </row>
    <row r="195" spans="1:7">
      <c r="A195" s="1">
        <v>45831</v>
      </c>
      <c r="B195" s="78">
        <v>45838</v>
      </c>
      <c r="C195" t="s">
        <v>134</v>
      </c>
      <c r="D195" t="s">
        <v>20</v>
      </c>
      <c r="E195" t="s">
        <v>911</v>
      </c>
      <c r="F195" s="2">
        <v>465000</v>
      </c>
      <c r="G195" t="s">
        <v>710</v>
      </c>
    </row>
    <row r="196" spans="1:7">
      <c r="A196" s="1">
        <v>45831</v>
      </c>
      <c r="B196" s="78">
        <v>45838</v>
      </c>
      <c r="C196" t="s">
        <v>134</v>
      </c>
      <c r="D196" t="s">
        <v>3</v>
      </c>
      <c r="E196" t="s">
        <v>865</v>
      </c>
      <c r="F196" s="2">
        <v>50</v>
      </c>
      <c r="G196" t="s">
        <v>710</v>
      </c>
    </row>
    <row r="197" spans="1:7">
      <c r="A197" s="1">
        <v>45831</v>
      </c>
      <c r="B197" s="78">
        <v>45838</v>
      </c>
      <c r="C197" t="s">
        <v>134</v>
      </c>
      <c r="D197" t="s">
        <v>3</v>
      </c>
      <c r="E197" t="s">
        <v>865</v>
      </c>
      <c r="F197" s="2">
        <v>3.75</v>
      </c>
      <c r="G197" t="s">
        <v>710</v>
      </c>
    </row>
    <row r="198" spans="1:7">
      <c r="A198" s="1">
        <v>45832</v>
      </c>
      <c r="B198" s="78">
        <v>45838</v>
      </c>
      <c r="C198" t="s">
        <v>136</v>
      </c>
      <c r="D198" t="s">
        <v>15</v>
      </c>
      <c r="E198" t="s">
        <v>1356</v>
      </c>
      <c r="F198" s="2">
        <v>8000</v>
      </c>
      <c r="G198" t="s">
        <v>710</v>
      </c>
    </row>
    <row r="199" spans="1:7">
      <c r="A199" s="1">
        <v>45832</v>
      </c>
      <c r="B199" s="78">
        <v>45838</v>
      </c>
      <c r="C199" t="s">
        <v>136</v>
      </c>
      <c r="D199" t="s">
        <v>3</v>
      </c>
      <c r="E199" t="s">
        <v>865</v>
      </c>
      <c r="F199" s="2">
        <v>25</v>
      </c>
      <c r="G199" t="s">
        <v>710</v>
      </c>
    </row>
    <row r="200" spans="1:7">
      <c r="A200" s="1">
        <v>45832</v>
      </c>
      <c r="B200" s="78">
        <v>45838</v>
      </c>
      <c r="C200" t="s">
        <v>136</v>
      </c>
      <c r="D200" t="s">
        <v>3</v>
      </c>
      <c r="E200" t="s">
        <v>865</v>
      </c>
      <c r="F200" s="2">
        <v>1.8799999952316284</v>
      </c>
      <c r="G200" t="s">
        <v>710</v>
      </c>
    </row>
    <row r="201" spans="1:7">
      <c r="A201" s="1">
        <v>45832</v>
      </c>
      <c r="B201" s="78">
        <v>45838</v>
      </c>
      <c r="C201" t="s">
        <v>137</v>
      </c>
      <c r="D201" t="s">
        <v>8</v>
      </c>
      <c r="E201" t="s">
        <v>815</v>
      </c>
      <c r="F201" s="2">
        <v>39000</v>
      </c>
      <c r="G201" t="s">
        <v>710</v>
      </c>
    </row>
    <row r="202" spans="1:7">
      <c r="A202" s="1">
        <v>45832</v>
      </c>
      <c r="B202" s="78">
        <v>45838</v>
      </c>
      <c r="C202" t="s">
        <v>137</v>
      </c>
      <c r="D202" t="s">
        <v>3</v>
      </c>
      <c r="E202" t="s">
        <v>865</v>
      </c>
      <c r="F202" s="2">
        <v>25</v>
      </c>
      <c r="G202" t="s">
        <v>710</v>
      </c>
    </row>
    <row r="203" spans="1:7">
      <c r="A203" s="1">
        <v>45832</v>
      </c>
      <c r="B203" s="78">
        <v>45838</v>
      </c>
      <c r="C203" t="s">
        <v>137</v>
      </c>
      <c r="D203" t="s">
        <v>3</v>
      </c>
      <c r="E203" t="s">
        <v>865</v>
      </c>
      <c r="F203" s="2">
        <v>1.8799999952316284</v>
      </c>
      <c r="G203" t="s">
        <v>710</v>
      </c>
    </row>
    <row r="204" spans="1:7">
      <c r="A204" s="1">
        <v>45832</v>
      </c>
      <c r="B204" s="78">
        <v>45838</v>
      </c>
      <c r="C204" t="s">
        <v>138</v>
      </c>
      <c r="D204" t="s">
        <v>15</v>
      </c>
      <c r="E204" t="s">
        <v>809</v>
      </c>
      <c r="F204" s="2">
        <v>15200</v>
      </c>
      <c r="G204" t="s">
        <v>710</v>
      </c>
    </row>
    <row r="205" spans="1:7">
      <c r="A205" s="1">
        <v>45832</v>
      </c>
      <c r="B205" s="78">
        <v>45838</v>
      </c>
      <c r="C205" t="s">
        <v>138</v>
      </c>
      <c r="D205" t="s">
        <v>3</v>
      </c>
      <c r="E205" t="s">
        <v>865</v>
      </c>
      <c r="F205" s="2">
        <v>25</v>
      </c>
      <c r="G205" t="s">
        <v>710</v>
      </c>
    </row>
    <row r="206" spans="1:7">
      <c r="A206" s="1">
        <v>45832</v>
      </c>
      <c r="B206" s="78">
        <v>45838</v>
      </c>
      <c r="C206" t="s">
        <v>138</v>
      </c>
      <c r="D206" t="s">
        <v>3</v>
      </c>
      <c r="E206" t="s">
        <v>865</v>
      </c>
      <c r="F206" s="2">
        <v>1.8800000101327896</v>
      </c>
      <c r="G206" t="s">
        <v>710</v>
      </c>
    </row>
    <row r="207" spans="1:7">
      <c r="A207" s="1">
        <v>45832</v>
      </c>
      <c r="B207" s="78">
        <v>45838</v>
      </c>
      <c r="C207" t="s">
        <v>139</v>
      </c>
      <c r="D207" t="s">
        <v>15</v>
      </c>
      <c r="E207" t="s">
        <v>1356</v>
      </c>
      <c r="F207" s="2">
        <v>18900</v>
      </c>
      <c r="G207" t="s">
        <v>710</v>
      </c>
    </row>
    <row r="208" spans="1:7">
      <c r="A208" s="1">
        <v>45832</v>
      </c>
      <c r="B208" s="78">
        <v>45838</v>
      </c>
      <c r="C208" t="s">
        <v>139</v>
      </c>
      <c r="D208" t="s">
        <v>3</v>
      </c>
      <c r="E208" t="s">
        <v>865</v>
      </c>
      <c r="F208" s="2">
        <v>25</v>
      </c>
      <c r="G208" t="s">
        <v>710</v>
      </c>
    </row>
    <row r="209" spans="1:7">
      <c r="A209" s="1">
        <v>45832</v>
      </c>
      <c r="B209" s="78">
        <v>45838</v>
      </c>
      <c r="C209" t="s">
        <v>139</v>
      </c>
      <c r="D209" t="s">
        <v>3</v>
      </c>
      <c r="E209" t="s">
        <v>865</v>
      </c>
      <c r="F209" s="2">
        <v>1.8799999952316284</v>
      </c>
      <c r="G209" t="s">
        <v>710</v>
      </c>
    </row>
    <row r="210" spans="1:7">
      <c r="A210" s="1">
        <v>45832</v>
      </c>
      <c r="B210" s="78">
        <v>45838</v>
      </c>
      <c r="C210" t="s">
        <v>140</v>
      </c>
      <c r="D210" t="s">
        <v>26</v>
      </c>
      <c r="E210" t="s">
        <v>979</v>
      </c>
      <c r="F210" s="2">
        <v>3600</v>
      </c>
      <c r="G210" t="s">
        <v>710</v>
      </c>
    </row>
    <row r="211" spans="1:7">
      <c r="A211" s="1">
        <v>45832</v>
      </c>
      <c r="B211" s="78">
        <v>45838</v>
      </c>
      <c r="C211" t="s">
        <v>140</v>
      </c>
      <c r="D211" t="s">
        <v>3</v>
      </c>
      <c r="E211" t="s">
        <v>865</v>
      </c>
      <c r="F211" s="2">
        <v>10</v>
      </c>
      <c r="G211" t="s">
        <v>710</v>
      </c>
    </row>
    <row r="212" spans="1:7">
      <c r="A212" s="1">
        <v>45832</v>
      </c>
      <c r="B212" s="78">
        <v>45838</v>
      </c>
      <c r="C212" t="s">
        <v>140</v>
      </c>
      <c r="D212" t="s">
        <v>3</v>
      </c>
      <c r="E212" t="s">
        <v>865</v>
      </c>
      <c r="F212" s="2">
        <v>0.75</v>
      </c>
      <c r="G212" t="s">
        <v>710</v>
      </c>
    </row>
    <row r="213" spans="1:7">
      <c r="A213" s="1">
        <v>45832</v>
      </c>
      <c r="B213" s="78">
        <v>45838</v>
      </c>
      <c r="C213" t="s">
        <v>141</v>
      </c>
      <c r="D213" t="s">
        <v>13</v>
      </c>
      <c r="E213" t="s">
        <v>800</v>
      </c>
      <c r="F213" s="2">
        <v>15000</v>
      </c>
      <c r="G213" t="s">
        <v>710</v>
      </c>
    </row>
    <row r="214" spans="1:7">
      <c r="A214" s="1">
        <v>45832</v>
      </c>
      <c r="B214" s="78">
        <v>45838</v>
      </c>
      <c r="C214" t="s">
        <v>141</v>
      </c>
      <c r="D214" t="s">
        <v>3</v>
      </c>
      <c r="E214" t="s">
        <v>865</v>
      </c>
      <c r="F214" s="2">
        <v>25</v>
      </c>
      <c r="G214" t="s">
        <v>710</v>
      </c>
    </row>
    <row r="215" spans="1:7">
      <c r="A215" s="1">
        <v>45832</v>
      </c>
      <c r="B215" s="78">
        <v>45838</v>
      </c>
      <c r="C215" t="s">
        <v>141</v>
      </c>
      <c r="D215" t="s">
        <v>3</v>
      </c>
      <c r="E215" t="s">
        <v>865</v>
      </c>
      <c r="F215" s="2">
        <v>1.8799999952316284</v>
      </c>
      <c r="G215" t="s">
        <v>710</v>
      </c>
    </row>
    <row r="216" spans="1:7">
      <c r="A216" s="1">
        <v>45832</v>
      </c>
      <c r="B216" s="78">
        <v>45838</v>
      </c>
      <c r="C216" t="s">
        <v>142</v>
      </c>
      <c r="D216" t="s">
        <v>4</v>
      </c>
      <c r="E216" t="s">
        <v>874</v>
      </c>
      <c r="F216" s="2">
        <v>13600</v>
      </c>
      <c r="G216" t="s">
        <v>710</v>
      </c>
    </row>
    <row r="217" spans="1:7">
      <c r="A217" s="1">
        <v>45832</v>
      </c>
      <c r="B217" s="78">
        <v>45838</v>
      </c>
      <c r="C217" t="s">
        <v>142</v>
      </c>
      <c r="D217" t="s">
        <v>3</v>
      </c>
      <c r="E217" t="s">
        <v>865</v>
      </c>
      <c r="F217" s="2">
        <v>25</v>
      </c>
      <c r="G217" t="s">
        <v>710</v>
      </c>
    </row>
    <row r="218" spans="1:7">
      <c r="A218" s="1">
        <v>45832</v>
      </c>
      <c r="B218" s="78">
        <v>45838</v>
      </c>
      <c r="C218" t="s">
        <v>142</v>
      </c>
      <c r="D218" t="s">
        <v>3</v>
      </c>
      <c r="E218" t="s">
        <v>865</v>
      </c>
      <c r="F218" s="2">
        <v>1.8799999952316284</v>
      </c>
      <c r="G218" t="s">
        <v>710</v>
      </c>
    </row>
    <row r="219" spans="1:7">
      <c r="A219" s="1">
        <v>45832</v>
      </c>
      <c r="B219" s="78">
        <v>45838</v>
      </c>
      <c r="C219" t="s">
        <v>143</v>
      </c>
      <c r="D219" t="s">
        <v>13</v>
      </c>
      <c r="E219" t="s">
        <v>800</v>
      </c>
      <c r="F219" s="2">
        <v>40000</v>
      </c>
      <c r="G219" t="s">
        <v>710</v>
      </c>
    </row>
    <row r="220" spans="1:7">
      <c r="A220" s="1">
        <v>45832</v>
      </c>
      <c r="B220" s="78">
        <v>45838</v>
      </c>
      <c r="C220" t="s">
        <v>143</v>
      </c>
      <c r="D220" t="s">
        <v>3</v>
      </c>
      <c r="E220" t="s">
        <v>865</v>
      </c>
      <c r="F220" s="2">
        <v>25</v>
      </c>
      <c r="G220" t="s">
        <v>710</v>
      </c>
    </row>
    <row r="221" spans="1:7">
      <c r="A221" s="1">
        <v>45832</v>
      </c>
      <c r="B221" s="78">
        <v>45838</v>
      </c>
      <c r="C221" t="s">
        <v>143</v>
      </c>
      <c r="D221" t="s">
        <v>3</v>
      </c>
      <c r="E221" t="s">
        <v>865</v>
      </c>
      <c r="F221" s="2">
        <v>1.8800000101327896</v>
      </c>
      <c r="G221" t="s">
        <v>710</v>
      </c>
    </row>
    <row r="222" spans="1:7">
      <c r="A222" s="1">
        <v>45832</v>
      </c>
      <c r="B222" s="78">
        <v>45838</v>
      </c>
      <c r="C222" t="s">
        <v>144</v>
      </c>
      <c r="D222" t="s">
        <v>15</v>
      </c>
      <c r="E222" t="s">
        <v>809</v>
      </c>
      <c r="F222" s="2">
        <v>5800</v>
      </c>
      <c r="G222" t="s">
        <v>710</v>
      </c>
    </row>
    <row r="223" spans="1:7">
      <c r="A223" s="1">
        <v>45832</v>
      </c>
      <c r="B223" s="78">
        <v>45838</v>
      </c>
      <c r="C223" t="s">
        <v>144</v>
      </c>
      <c r="D223" t="s">
        <v>3</v>
      </c>
      <c r="E223" t="s">
        <v>865</v>
      </c>
      <c r="F223" s="2">
        <v>25</v>
      </c>
      <c r="G223" t="s">
        <v>710</v>
      </c>
    </row>
    <row r="224" spans="1:7">
      <c r="A224" s="1">
        <v>45832</v>
      </c>
      <c r="B224" s="78">
        <v>45838</v>
      </c>
      <c r="C224" t="s">
        <v>144</v>
      </c>
      <c r="D224" t="s">
        <v>3</v>
      </c>
      <c r="E224" t="s">
        <v>865</v>
      </c>
      <c r="F224" s="2">
        <v>1.8799999952316284</v>
      </c>
      <c r="G224" t="s">
        <v>710</v>
      </c>
    </row>
    <row r="225" spans="1:7">
      <c r="A225" s="1">
        <v>45833</v>
      </c>
      <c r="B225" s="78">
        <v>45838</v>
      </c>
      <c r="C225" t="s">
        <v>146</v>
      </c>
      <c r="D225" t="s">
        <v>21</v>
      </c>
      <c r="E225" t="s">
        <v>871</v>
      </c>
      <c r="F225" s="2">
        <v>1770000</v>
      </c>
      <c r="G225" t="s">
        <v>710</v>
      </c>
    </row>
    <row r="226" spans="1:7">
      <c r="A226" s="1">
        <v>45833</v>
      </c>
      <c r="B226" s="78">
        <v>45838</v>
      </c>
      <c r="C226" t="s">
        <v>146</v>
      </c>
      <c r="D226" t="s">
        <v>3</v>
      </c>
      <c r="E226" t="s">
        <v>865</v>
      </c>
      <c r="F226" s="2">
        <v>50</v>
      </c>
      <c r="G226" t="s">
        <v>710</v>
      </c>
    </row>
    <row r="227" spans="1:7">
      <c r="A227" s="1">
        <v>45833</v>
      </c>
      <c r="B227" s="78">
        <v>45838</v>
      </c>
      <c r="C227" t="s">
        <v>146</v>
      </c>
      <c r="D227" t="s">
        <v>3</v>
      </c>
      <c r="E227" t="s">
        <v>865</v>
      </c>
      <c r="F227" s="2">
        <v>3.75</v>
      </c>
      <c r="G227" t="s">
        <v>710</v>
      </c>
    </row>
    <row r="228" spans="1:7">
      <c r="A228" s="1">
        <v>45833</v>
      </c>
      <c r="B228" s="78">
        <v>45838</v>
      </c>
      <c r="C228" t="s">
        <v>147</v>
      </c>
      <c r="D228" t="s">
        <v>4</v>
      </c>
      <c r="E228" t="s">
        <v>874</v>
      </c>
      <c r="F228" s="2">
        <v>169000</v>
      </c>
      <c r="G228" t="s">
        <v>710</v>
      </c>
    </row>
    <row r="229" spans="1:7">
      <c r="A229" s="1">
        <v>45833</v>
      </c>
      <c r="B229" s="78">
        <v>45838</v>
      </c>
      <c r="C229" t="s">
        <v>147</v>
      </c>
      <c r="D229" t="s">
        <v>3</v>
      </c>
      <c r="E229" t="s">
        <v>865</v>
      </c>
      <c r="F229" s="2">
        <v>50</v>
      </c>
      <c r="G229" t="s">
        <v>710</v>
      </c>
    </row>
    <row r="230" spans="1:7">
      <c r="A230" s="1">
        <v>45833</v>
      </c>
      <c r="B230" s="78">
        <v>45838</v>
      </c>
      <c r="C230" t="s">
        <v>147</v>
      </c>
      <c r="D230" t="s">
        <v>3</v>
      </c>
      <c r="E230" t="s">
        <v>865</v>
      </c>
      <c r="F230" s="2">
        <v>3.75</v>
      </c>
      <c r="G230" t="s">
        <v>710</v>
      </c>
    </row>
    <row r="231" spans="1:7">
      <c r="A231" s="1">
        <v>45833</v>
      </c>
      <c r="B231" s="78">
        <v>45838</v>
      </c>
      <c r="C231" t="s">
        <v>148</v>
      </c>
      <c r="D231" t="s">
        <v>8</v>
      </c>
      <c r="E231" t="s">
        <v>815</v>
      </c>
      <c r="F231" s="2">
        <v>3570659.4399999976</v>
      </c>
      <c r="G231" t="s">
        <v>710</v>
      </c>
    </row>
    <row r="232" spans="1:7">
      <c r="A232" s="1">
        <v>45833</v>
      </c>
      <c r="B232" s="78">
        <v>45838</v>
      </c>
      <c r="C232" t="s">
        <v>148</v>
      </c>
      <c r="D232" t="s">
        <v>3</v>
      </c>
      <c r="E232" t="s">
        <v>865</v>
      </c>
      <c r="F232" s="2">
        <v>50</v>
      </c>
      <c r="G232" t="s">
        <v>710</v>
      </c>
    </row>
    <row r="233" spans="1:7">
      <c r="A233" s="1">
        <v>45833</v>
      </c>
      <c r="B233" s="78">
        <v>45838</v>
      </c>
      <c r="C233" t="s">
        <v>148</v>
      </c>
      <c r="D233" t="s">
        <v>3</v>
      </c>
      <c r="E233" t="s">
        <v>865</v>
      </c>
      <c r="F233" s="2">
        <v>3.75</v>
      </c>
      <c r="G233" t="s">
        <v>710</v>
      </c>
    </row>
    <row r="234" spans="1:7">
      <c r="A234" s="1">
        <v>45833</v>
      </c>
      <c r="B234" s="78">
        <v>45838</v>
      </c>
      <c r="C234" t="s">
        <v>149</v>
      </c>
      <c r="D234" t="s">
        <v>8</v>
      </c>
      <c r="E234" t="s">
        <v>815</v>
      </c>
      <c r="F234" s="2">
        <v>2070487.4800000042</v>
      </c>
      <c r="G234" t="s">
        <v>710</v>
      </c>
    </row>
    <row r="235" spans="1:7">
      <c r="A235" s="1">
        <v>45833</v>
      </c>
      <c r="B235" s="78">
        <v>45838</v>
      </c>
      <c r="C235" t="s">
        <v>149</v>
      </c>
      <c r="D235" t="s">
        <v>3</v>
      </c>
      <c r="E235" t="s">
        <v>865</v>
      </c>
      <c r="F235" s="2">
        <v>50</v>
      </c>
      <c r="G235" t="s">
        <v>710</v>
      </c>
    </row>
    <row r="236" spans="1:7">
      <c r="A236" s="1">
        <v>45833</v>
      </c>
      <c r="B236" s="78">
        <v>45838</v>
      </c>
      <c r="C236" t="s">
        <v>149</v>
      </c>
      <c r="D236" t="s">
        <v>3</v>
      </c>
      <c r="E236" t="s">
        <v>865</v>
      </c>
      <c r="F236" s="2">
        <v>3.75</v>
      </c>
      <c r="G236" t="s">
        <v>710</v>
      </c>
    </row>
    <row r="237" spans="1:7">
      <c r="A237" s="1">
        <v>45833</v>
      </c>
      <c r="B237" s="78">
        <v>45838</v>
      </c>
      <c r="C237" t="s">
        <v>150</v>
      </c>
      <c r="D237" t="s">
        <v>8</v>
      </c>
      <c r="E237" t="s">
        <v>815</v>
      </c>
      <c r="F237" s="2">
        <v>476225</v>
      </c>
      <c r="G237" t="s">
        <v>710</v>
      </c>
    </row>
    <row r="238" spans="1:7">
      <c r="A238" s="1">
        <v>45833</v>
      </c>
      <c r="B238" s="78">
        <v>45838</v>
      </c>
      <c r="C238" t="s">
        <v>150</v>
      </c>
      <c r="D238" t="s">
        <v>3</v>
      </c>
      <c r="E238" t="s">
        <v>865</v>
      </c>
      <c r="F238" s="2">
        <v>50</v>
      </c>
      <c r="G238" t="s">
        <v>710</v>
      </c>
    </row>
    <row r="239" spans="1:7">
      <c r="A239" s="1">
        <v>45833</v>
      </c>
      <c r="B239" s="78">
        <v>45838</v>
      </c>
      <c r="C239" t="s">
        <v>150</v>
      </c>
      <c r="D239" t="s">
        <v>3</v>
      </c>
      <c r="E239" t="s">
        <v>865</v>
      </c>
      <c r="F239" s="2">
        <v>3.75</v>
      </c>
      <c r="G239" t="s">
        <v>710</v>
      </c>
    </row>
    <row r="240" spans="1:7">
      <c r="A240" s="1">
        <v>45833</v>
      </c>
      <c r="B240" s="78">
        <v>45838</v>
      </c>
      <c r="C240" t="s">
        <v>151</v>
      </c>
      <c r="D240" t="s">
        <v>8</v>
      </c>
      <c r="E240" t="s">
        <v>815</v>
      </c>
      <c r="F240" s="2">
        <v>284491.56999999285</v>
      </c>
      <c r="G240" t="s">
        <v>710</v>
      </c>
    </row>
    <row r="241" spans="1:7">
      <c r="A241" s="1">
        <v>45833</v>
      </c>
      <c r="B241" s="78">
        <v>45838</v>
      </c>
      <c r="C241" t="s">
        <v>151</v>
      </c>
      <c r="D241" t="s">
        <v>3</v>
      </c>
      <c r="E241" t="s">
        <v>865</v>
      </c>
      <c r="F241" s="2">
        <v>50</v>
      </c>
      <c r="G241" t="s">
        <v>710</v>
      </c>
    </row>
    <row r="242" spans="1:7">
      <c r="A242" s="1">
        <v>45833</v>
      </c>
      <c r="B242" s="78">
        <v>45838</v>
      </c>
      <c r="C242" t="s">
        <v>151</v>
      </c>
      <c r="D242" t="s">
        <v>3</v>
      </c>
      <c r="E242" t="s">
        <v>865</v>
      </c>
      <c r="F242" s="2">
        <v>3.75</v>
      </c>
      <c r="G242" t="s">
        <v>710</v>
      </c>
    </row>
    <row r="243" spans="1:7">
      <c r="A243" s="1">
        <v>45833</v>
      </c>
      <c r="B243" s="78">
        <v>45838</v>
      </c>
      <c r="C243" t="s">
        <v>152</v>
      </c>
      <c r="D243" t="s">
        <v>8</v>
      </c>
      <c r="E243" t="s">
        <v>815</v>
      </c>
      <c r="F243" s="2">
        <v>284491.57000000775</v>
      </c>
      <c r="G243" t="s">
        <v>710</v>
      </c>
    </row>
    <row r="244" spans="1:7">
      <c r="A244" s="1">
        <v>45833</v>
      </c>
      <c r="B244" s="78">
        <v>45838</v>
      </c>
      <c r="C244" t="s">
        <v>152</v>
      </c>
      <c r="D244" t="s">
        <v>3</v>
      </c>
      <c r="E244" t="s">
        <v>865</v>
      </c>
      <c r="F244" s="2">
        <v>50</v>
      </c>
      <c r="G244" t="s">
        <v>710</v>
      </c>
    </row>
    <row r="245" spans="1:7">
      <c r="A245" s="1">
        <v>45833</v>
      </c>
      <c r="B245" s="78">
        <v>45838</v>
      </c>
      <c r="C245" t="s">
        <v>152</v>
      </c>
      <c r="D245" t="s">
        <v>3</v>
      </c>
      <c r="E245" t="s">
        <v>865</v>
      </c>
      <c r="F245" s="2">
        <v>3.75</v>
      </c>
      <c r="G245" t="s">
        <v>710</v>
      </c>
    </row>
    <row r="246" spans="1:7">
      <c r="A246" s="1">
        <v>45833</v>
      </c>
      <c r="B246" s="78">
        <v>45838</v>
      </c>
      <c r="C246" t="s">
        <v>153</v>
      </c>
      <c r="D246" t="s">
        <v>8</v>
      </c>
      <c r="E246" t="s">
        <v>815</v>
      </c>
      <c r="F246" s="2">
        <v>284491.56999999285</v>
      </c>
      <c r="G246" t="s">
        <v>710</v>
      </c>
    </row>
    <row r="247" spans="1:7">
      <c r="A247" s="1">
        <v>45833</v>
      </c>
      <c r="B247" s="78">
        <v>45838</v>
      </c>
      <c r="C247" t="s">
        <v>153</v>
      </c>
      <c r="D247" t="s">
        <v>3</v>
      </c>
      <c r="E247" t="s">
        <v>865</v>
      </c>
      <c r="F247" s="2">
        <v>50</v>
      </c>
      <c r="G247" t="s">
        <v>710</v>
      </c>
    </row>
    <row r="248" spans="1:7">
      <c r="A248" s="1">
        <v>45833</v>
      </c>
      <c r="B248" s="78">
        <v>45838</v>
      </c>
      <c r="C248" t="s">
        <v>153</v>
      </c>
      <c r="D248" t="s">
        <v>3</v>
      </c>
      <c r="E248" t="s">
        <v>865</v>
      </c>
      <c r="F248" s="2">
        <v>3.75</v>
      </c>
      <c r="G248" t="s">
        <v>710</v>
      </c>
    </row>
    <row r="249" spans="1:7">
      <c r="A249" s="1">
        <v>45833</v>
      </c>
      <c r="B249" s="78">
        <v>45838</v>
      </c>
      <c r="C249" t="s">
        <v>154</v>
      </c>
      <c r="D249" t="s">
        <v>8</v>
      </c>
      <c r="E249" t="s">
        <v>815</v>
      </c>
      <c r="F249" s="2">
        <v>284491.57000000775</v>
      </c>
      <c r="G249" t="s">
        <v>710</v>
      </c>
    </row>
    <row r="250" spans="1:7">
      <c r="A250" s="1">
        <v>45833</v>
      </c>
      <c r="B250" s="78">
        <v>45838</v>
      </c>
      <c r="C250" t="s">
        <v>154</v>
      </c>
      <c r="D250" t="s">
        <v>3</v>
      </c>
      <c r="E250" t="s">
        <v>865</v>
      </c>
      <c r="F250" s="2">
        <v>50</v>
      </c>
      <c r="G250" t="s">
        <v>710</v>
      </c>
    </row>
    <row r="251" spans="1:7">
      <c r="A251" s="1">
        <v>45833</v>
      </c>
      <c r="B251" s="78">
        <v>45838</v>
      </c>
      <c r="C251" t="s">
        <v>154</v>
      </c>
      <c r="D251" t="s">
        <v>3</v>
      </c>
      <c r="E251" t="s">
        <v>865</v>
      </c>
      <c r="F251" s="2">
        <v>3.75</v>
      </c>
      <c r="G251" t="s">
        <v>710</v>
      </c>
    </row>
    <row r="252" spans="1:7">
      <c r="A252" s="1">
        <v>45833</v>
      </c>
      <c r="B252" s="78">
        <v>45838</v>
      </c>
      <c r="C252" t="s">
        <v>155</v>
      </c>
      <c r="D252" t="s">
        <v>8</v>
      </c>
      <c r="E252" t="s">
        <v>815</v>
      </c>
      <c r="F252" s="2">
        <v>284491.56999999285</v>
      </c>
      <c r="G252" t="s">
        <v>710</v>
      </c>
    </row>
    <row r="253" spans="1:7">
      <c r="A253" s="1">
        <v>45833</v>
      </c>
      <c r="B253" s="78">
        <v>45838</v>
      </c>
      <c r="C253" t="s">
        <v>155</v>
      </c>
      <c r="D253" t="s">
        <v>3</v>
      </c>
      <c r="E253" t="s">
        <v>865</v>
      </c>
      <c r="F253" s="2">
        <v>50</v>
      </c>
      <c r="G253" t="s">
        <v>710</v>
      </c>
    </row>
    <row r="254" spans="1:7">
      <c r="A254" s="1">
        <v>45833</v>
      </c>
      <c r="B254" s="78">
        <v>45838</v>
      </c>
      <c r="C254" t="s">
        <v>155</v>
      </c>
      <c r="D254" t="s">
        <v>3</v>
      </c>
      <c r="E254" t="s">
        <v>865</v>
      </c>
      <c r="F254" s="2">
        <v>3.75</v>
      </c>
      <c r="G254" t="s">
        <v>710</v>
      </c>
    </row>
    <row r="255" spans="1:7">
      <c r="A255" s="1">
        <v>45833</v>
      </c>
      <c r="B255" s="78">
        <v>45838</v>
      </c>
      <c r="C255" t="s">
        <v>156</v>
      </c>
      <c r="D255" t="s">
        <v>8</v>
      </c>
      <c r="E255" t="s">
        <v>815</v>
      </c>
      <c r="F255" s="2">
        <v>284491.57000000775</v>
      </c>
      <c r="G255" t="s">
        <v>710</v>
      </c>
    </row>
    <row r="256" spans="1:7">
      <c r="A256" s="1">
        <v>45833</v>
      </c>
      <c r="B256" s="78">
        <v>45838</v>
      </c>
      <c r="C256" t="s">
        <v>156</v>
      </c>
      <c r="D256" t="s">
        <v>3</v>
      </c>
      <c r="E256" t="s">
        <v>865</v>
      </c>
      <c r="F256" s="2">
        <v>50</v>
      </c>
      <c r="G256" t="s">
        <v>710</v>
      </c>
    </row>
    <row r="257" spans="1:7">
      <c r="A257" s="1">
        <v>45833</v>
      </c>
      <c r="B257" s="78">
        <v>45838</v>
      </c>
      <c r="C257" t="s">
        <v>156</v>
      </c>
      <c r="D257" t="s">
        <v>3</v>
      </c>
      <c r="E257" t="s">
        <v>865</v>
      </c>
      <c r="F257" s="2">
        <v>3.75</v>
      </c>
      <c r="G257" t="s">
        <v>710</v>
      </c>
    </row>
    <row r="258" spans="1:7">
      <c r="A258" s="1">
        <v>45833</v>
      </c>
      <c r="B258" s="78">
        <v>45838</v>
      </c>
      <c r="C258" t="s">
        <v>157</v>
      </c>
      <c r="D258" t="s">
        <v>8</v>
      </c>
      <c r="E258" t="s">
        <v>815</v>
      </c>
      <c r="F258" s="2">
        <v>284491.56999999285</v>
      </c>
      <c r="G258" t="s">
        <v>710</v>
      </c>
    </row>
    <row r="259" spans="1:7">
      <c r="A259" s="1">
        <v>45833</v>
      </c>
      <c r="B259" s="78">
        <v>45838</v>
      </c>
      <c r="C259" t="s">
        <v>157</v>
      </c>
      <c r="D259" t="s">
        <v>3</v>
      </c>
      <c r="E259" t="s">
        <v>865</v>
      </c>
      <c r="F259" s="2">
        <v>50</v>
      </c>
      <c r="G259" t="s">
        <v>710</v>
      </c>
    </row>
    <row r="260" spans="1:7">
      <c r="A260" s="1">
        <v>45833</v>
      </c>
      <c r="B260" s="78">
        <v>45838</v>
      </c>
      <c r="C260" t="s">
        <v>157</v>
      </c>
      <c r="D260" t="s">
        <v>3</v>
      </c>
      <c r="E260" t="s">
        <v>865</v>
      </c>
      <c r="F260" s="2">
        <v>3.75</v>
      </c>
      <c r="G260" t="s">
        <v>710</v>
      </c>
    </row>
    <row r="261" spans="1:7">
      <c r="A261" s="1">
        <v>45833</v>
      </c>
      <c r="B261" s="78">
        <v>45838</v>
      </c>
      <c r="C261" t="s">
        <v>158</v>
      </c>
      <c r="D261" t="s">
        <v>8</v>
      </c>
      <c r="E261" t="s">
        <v>815</v>
      </c>
      <c r="F261" s="2">
        <v>152226.67000000179</v>
      </c>
      <c r="G261" t="s">
        <v>710</v>
      </c>
    </row>
    <row r="262" spans="1:7">
      <c r="A262" s="1">
        <v>45833</v>
      </c>
      <c r="B262" s="78">
        <v>45838</v>
      </c>
      <c r="C262" t="s">
        <v>158</v>
      </c>
      <c r="D262" t="s">
        <v>3</v>
      </c>
      <c r="E262" t="s">
        <v>865</v>
      </c>
      <c r="F262" s="2">
        <v>50</v>
      </c>
      <c r="G262" t="s">
        <v>710</v>
      </c>
    </row>
    <row r="263" spans="1:7">
      <c r="A263" s="1">
        <v>45833</v>
      </c>
      <c r="B263" s="78">
        <v>45838</v>
      </c>
      <c r="C263" t="s">
        <v>158</v>
      </c>
      <c r="D263" t="s">
        <v>3</v>
      </c>
      <c r="E263" t="s">
        <v>865</v>
      </c>
      <c r="F263" s="2">
        <v>3.75</v>
      </c>
      <c r="G263" t="s">
        <v>710</v>
      </c>
    </row>
    <row r="264" spans="1:7">
      <c r="A264" s="1">
        <v>45833</v>
      </c>
      <c r="B264" s="78">
        <v>45838</v>
      </c>
      <c r="C264" t="s">
        <v>159</v>
      </c>
      <c r="D264" t="s">
        <v>8</v>
      </c>
      <c r="E264" t="s">
        <v>815</v>
      </c>
      <c r="F264" s="2">
        <v>284491.57000000775</v>
      </c>
      <c r="G264" t="s">
        <v>710</v>
      </c>
    </row>
    <row r="265" spans="1:7">
      <c r="A265" s="1">
        <v>45833</v>
      </c>
      <c r="B265" s="78">
        <v>45838</v>
      </c>
      <c r="C265" t="s">
        <v>159</v>
      </c>
      <c r="D265" t="s">
        <v>3</v>
      </c>
      <c r="E265" t="s">
        <v>865</v>
      </c>
      <c r="F265" s="2">
        <v>50</v>
      </c>
      <c r="G265" t="s">
        <v>710</v>
      </c>
    </row>
    <row r="266" spans="1:7">
      <c r="A266" s="1">
        <v>45833</v>
      </c>
      <c r="B266" s="78">
        <v>45838</v>
      </c>
      <c r="C266" t="s">
        <v>159</v>
      </c>
      <c r="D266" t="s">
        <v>3</v>
      </c>
      <c r="E266" t="s">
        <v>865</v>
      </c>
      <c r="F266" s="2">
        <v>3.75</v>
      </c>
      <c r="G266" t="s">
        <v>710</v>
      </c>
    </row>
    <row r="267" spans="1:7">
      <c r="A267" s="1">
        <v>45833</v>
      </c>
      <c r="B267" s="78">
        <v>45838</v>
      </c>
      <c r="C267" t="s">
        <v>160</v>
      </c>
      <c r="D267" t="s">
        <v>8</v>
      </c>
      <c r="E267" t="s">
        <v>815</v>
      </c>
      <c r="F267" s="2">
        <v>152194.92999999225</v>
      </c>
      <c r="G267" t="s">
        <v>710</v>
      </c>
    </row>
    <row r="268" spans="1:7">
      <c r="A268" s="1">
        <v>45833</v>
      </c>
      <c r="B268" s="78">
        <v>45838</v>
      </c>
      <c r="C268" t="s">
        <v>160</v>
      </c>
      <c r="D268" t="s">
        <v>3</v>
      </c>
      <c r="E268" t="s">
        <v>865</v>
      </c>
      <c r="F268" s="2">
        <v>50</v>
      </c>
      <c r="G268" t="s">
        <v>710</v>
      </c>
    </row>
    <row r="269" spans="1:7">
      <c r="A269" s="1">
        <v>45833</v>
      </c>
      <c r="B269" s="78">
        <v>45838</v>
      </c>
      <c r="C269" t="s">
        <v>160</v>
      </c>
      <c r="D269" t="s">
        <v>3</v>
      </c>
      <c r="E269" t="s">
        <v>865</v>
      </c>
      <c r="F269" s="2">
        <v>3.75</v>
      </c>
      <c r="G269" t="s">
        <v>710</v>
      </c>
    </row>
    <row r="270" spans="1:7">
      <c r="A270" s="1">
        <v>45833</v>
      </c>
      <c r="B270" s="78">
        <v>45838</v>
      </c>
      <c r="C270" t="s">
        <v>161</v>
      </c>
      <c r="D270" t="s">
        <v>8</v>
      </c>
      <c r="E270" t="s">
        <v>815</v>
      </c>
      <c r="F270" s="2">
        <v>284491.57000000775</v>
      </c>
      <c r="G270" t="s">
        <v>710</v>
      </c>
    </row>
    <row r="271" spans="1:7">
      <c r="A271" s="1">
        <v>45833</v>
      </c>
      <c r="B271" s="78">
        <v>45838</v>
      </c>
      <c r="C271" t="s">
        <v>161</v>
      </c>
      <c r="D271" t="s">
        <v>3</v>
      </c>
      <c r="E271" t="s">
        <v>865</v>
      </c>
      <c r="F271" s="2">
        <v>50</v>
      </c>
      <c r="G271" t="s">
        <v>710</v>
      </c>
    </row>
    <row r="272" spans="1:7">
      <c r="A272" s="1">
        <v>45833</v>
      </c>
      <c r="B272" s="78">
        <v>45838</v>
      </c>
      <c r="C272" t="s">
        <v>161</v>
      </c>
      <c r="D272" t="s">
        <v>3</v>
      </c>
      <c r="E272" t="s">
        <v>865</v>
      </c>
      <c r="F272" s="2">
        <v>3.75</v>
      </c>
      <c r="G272" t="s">
        <v>710</v>
      </c>
    </row>
    <row r="273" spans="1:7">
      <c r="A273" s="1">
        <v>45833</v>
      </c>
      <c r="B273" s="78">
        <v>45838</v>
      </c>
      <c r="C273" t="s">
        <v>162</v>
      </c>
      <c r="D273" t="s">
        <v>8</v>
      </c>
      <c r="E273" t="s">
        <v>815</v>
      </c>
      <c r="F273" s="2">
        <v>152194.92999999225</v>
      </c>
      <c r="G273" t="s">
        <v>710</v>
      </c>
    </row>
    <row r="274" spans="1:7">
      <c r="A274" s="1">
        <v>45833</v>
      </c>
      <c r="B274" s="78">
        <v>45838</v>
      </c>
      <c r="C274" t="s">
        <v>162</v>
      </c>
      <c r="D274" t="s">
        <v>3</v>
      </c>
      <c r="E274" t="s">
        <v>865</v>
      </c>
      <c r="F274" s="2">
        <v>50</v>
      </c>
      <c r="G274" t="s">
        <v>710</v>
      </c>
    </row>
    <row r="275" spans="1:7">
      <c r="A275" s="1">
        <v>45833</v>
      </c>
      <c r="B275" s="78">
        <v>45838</v>
      </c>
      <c r="C275" t="s">
        <v>162</v>
      </c>
      <c r="D275" t="s">
        <v>3</v>
      </c>
      <c r="E275" t="s">
        <v>865</v>
      </c>
      <c r="F275" s="2">
        <v>3.75</v>
      </c>
      <c r="G275" t="s">
        <v>710</v>
      </c>
    </row>
    <row r="276" spans="1:7">
      <c r="A276" s="1">
        <v>45833</v>
      </c>
      <c r="B276" s="78">
        <v>45838</v>
      </c>
      <c r="C276" t="s">
        <v>163</v>
      </c>
      <c r="D276" t="s">
        <v>8</v>
      </c>
      <c r="E276" t="s">
        <v>815</v>
      </c>
      <c r="F276" s="2">
        <v>152194.93000000715</v>
      </c>
      <c r="G276" t="s">
        <v>710</v>
      </c>
    </row>
    <row r="277" spans="1:7">
      <c r="A277" s="1">
        <v>45833</v>
      </c>
      <c r="B277" s="78">
        <v>45838</v>
      </c>
      <c r="C277" t="s">
        <v>163</v>
      </c>
      <c r="D277" t="s">
        <v>3</v>
      </c>
      <c r="E277" t="s">
        <v>865</v>
      </c>
      <c r="F277" s="2">
        <v>50</v>
      </c>
      <c r="G277" t="s">
        <v>710</v>
      </c>
    </row>
    <row r="278" spans="1:7">
      <c r="A278" s="1">
        <v>45833</v>
      </c>
      <c r="B278" s="78">
        <v>45838</v>
      </c>
      <c r="C278" t="s">
        <v>163</v>
      </c>
      <c r="D278" t="s">
        <v>3</v>
      </c>
      <c r="E278" t="s">
        <v>865</v>
      </c>
      <c r="F278" s="2">
        <v>3.75</v>
      </c>
      <c r="G278" t="s">
        <v>710</v>
      </c>
    </row>
    <row r="279" spans="1:7">
      <c r="A279" s="1">
        <v>45833</v>
      </c>
      <c r="B279" s="78">
        <v>45838</v>
      </c>
      <c r="C279" t="s">
        <v>164</v>
      </c>
      <c r="D279" t="s">
        <v>8</v>
      </c>
      <c r="E279" t="s">
        <v>815</v>
      </c>
      <c r="F279" s="2">
        <v>75000</v>
      </c>
      <c r="G279" t="s">
        <v>710</v>
      </c>
    </row>
    <row r="280" spans="1:7">
      <c r="A280" s="1">
        <v>45833</v>
      </c>
      <c r="B280" s="78">
        <v>45838</v>
      </c>
      <c r="C280" t="s">
        <v>164</v>
      </c>
      <c r="D280" t="s">
        <v>3</v>
      </c>
      <c r="E280" t="s">
        <v>865</v>
      </c>
      <c r="F280" s="2">
        <v>50</v>
      </c>
      <c r="G280" t="s">
        <v>710</v>
      </c>
    </row>
    <row r="281" spans="1:7">
      <c r="A281" s="1">
        <v>45833</v>
      </c>
      <c r="B281" s="78">
        <v>45838</v>
      </c>
      <c r="C281" t="s">
        <v>164</v>
      </c>
      <c r="D281" t="s">
        <v>3</v>
      </c>
      <c r="E281" t="s">
        <v>865</v>
      </c>
      <c r="F281" s="2">
        <v>3.75</v>
      </c>
      <c r="G281" t="s">
        <v>710</v>
      </c>
    </row>
    <row r="282" spans="1:7">
      <c r="A282" s="1">
        <v>45833</v>
      </c>
      <c r="B282" s="78">
        <v>45838</v>
      </c>
      <c r="C282" t="s">
        <v>165</v>
      </c>
      <c r="D282" t="s">
        <v>8</v>
      </c>
      <c r="E282" t="s">
        <v>815</v>
      </c>
      <c r="F282" s="2">
        <v>75000</v>
      </c>
      <c r="G282" t="s">
        <v>710</v>
      </c>
    </row>
    <row r="283" spans="1:7">
      <c r="A283" s="1">
        <v>45833</v>
      </c>
      <c r="B283" s="78">
        <v>45838</v>
      </c>
      <c r="C283" t="s">
        <v>165</v>
      </c>
      <c r="D283" t="s">
        <v>3</v>
      </c>
      <c r="E283" t="s">
        <v>865</v>
      </c>
      <c r="F283" s="2">
        <v>50</v>
      </c>
      <c r="G283" t="s">
        <v>710</v>
      </c>
    </row>
    <row r="284" spans="1:7">
      <c r="A284" s="1">
        <v>45833</v>
      </c>
      <c r="B284" s="78">
        <v>45838</v>
      </c>
      <c r="C284" t="s">
        <v>165</v>
      </c>
      <c r="D284" t="s">
        <v>3</v>
      </c>
      <c r="E284" t="s">
        <v>865</v>
      </c>
      <c r="F284" s="2">
        <v>3.75</v>
      </c>
      <c r="G284" t="s">
        <v>710</v>
      </c>
    </row>
    <row r="285" spans="1:7">
      <c r="A285" s="1">
        <v>45833</v>
      </c>
      <c r="B285" s="78">
        <v>45838</v>
      </c>
      <c r="C285" t="s">
        <v>166</v>
      </c>
      <c r="D285" t="s">
        <v>8</v>
      </c>
      <c r="E285" t="s">
        <v>815</v>
      </c>
      <c r="F285" s="2">
        <v>75000</v>
      </c>
      <c r="G285" t="s">
        <v>710</v>
      </c>
    </row>
    <row r="286" spans="1:7">
      <c r="A286" s="1">
        <v>45833</v>
      </c>
      <c r="B286" s="78">
        <v>45838</v>
      </c>
      <c r="C286" t="s">
        <v>166</v>
      </c>
      <c r="D286" t="s">
        <v>3</v>
      </c>
      <c r="E286" t="s">
        <v>865</v>
      </c>
      <c r="F286" s="2">
        <v>50</v>
      </c>
      <c r="G286" t="s">
        <v>710</v>
      </c>
    </row>
    <row r="287" spans="1:7">
      <c r="A287" s="1">
        <v>45833</v>
      </c>
      <c r="B287" s="78">
        <v>45838</v>
      </c>
      <c r="C287" t="s">
        <v>166</v>
      </c>
      <c r="D287" t="s">
        <v>3</v>
      </c>
      <c r="E287" t="s">
        <v>865</v>
      </c>
      <c r="F287" s="2">
        <v>3.75</v>
      </c>
      <c r="G287" t="s">
        <v>710</v>
      </c>
    </row>
    <row r="288" spans="1:7">
      <c r="A288" s="1">
        <v>45833</v>
      </c>
      <c r="B288" s="78">
        <v>45838</v>
      </c>
      <c r="C288" t="s">
        <v>167</v>
      </c>
      <c r="D288" t="s">
        <v>8</v>
      </c>
      <c r="E288" t="s">
        <v>815</v>
      </c>
      <c r="F288" s="2">
        <v>66000</v>
      </c>
      <c r="G288" t="s">
        <v>710</v>
      </c>
    </row>
    <row r="289" spans="1:7">
      <c r="A289" s="1">
        <v>45833</v>
      </c>
      <c r="B289" s="78">
        <v>45838</v>
      </c>
      <c r="C289" t="s">
        <v>167</v>
      </c>
      <c r="D289" t="s">
        <v>3</v>
      </c>
      <c r="E289" t="s">
        <v>865</v>
      </c>
      <c r="F289" s="2">
        <v>50</v>
      </c>
      <c r="G289" t="s">
        <v>710</v>
      </c>
    </row>
    <row r="290" spans="1:7">
      <c r="A290" s="1">
        <v>45833</v>
      </c>
      <c r="B290" s="78">
        <v>45838</v>
      </c>
      <c r="C290" t="s">
        <v>167</v>
      </c>
      <c r="D290" t="s">
        <v>3</v>
      </c>
      <c r="E290" t="s">
        <v>865</v>
      </c>
      <c r="F290" s="2">
        <v>3.75</v>
      </c>
      <c r="G290" t="s">
        <v>710</v>
      </c>
    </row>
    <row r="291" spans="1:7">
      <c r="A291" s="1">
        <v>45833</v>
      </c>
      <c r="B291" s="78">
        <v>45838</v>
      </c>
      <c r="C291" t="s">
        <v>168</v>
      </c>
      <c r="D291" t="s">
        <v>8</v>
      </c>
      <c r="E291" t="s">
        <v>815</v>
      </c>
      <c r="F291" s="2">
        <v>66000</v>
      </c>
      <c r="G291" t="s">
        <v>710</v>
      </c>
    </row>
    <row r="292" spans="1:7">
      <c r="A292" s="1">
        <v>45833</v>
      </c>
      <c r="B292" s="78">
        <v>45838</v>
      </c>
      <c r="C292" t="s">
        <v>168</v>
      </c>
      <c r="D292" t="s">
        <v>3</v>
      </c>
      <c r="E292" t="s">
        <v>865</v>
      </c>
      <c r="F292" s="2">
        <v>50</v>
      </c>
      <c r="G292" t="s">
        <v>710</v>
      </c>
    </row>
    <row r="293" spans="1:7">
      <c r="A293" s="1">
        <v>45833</v>
      </c>
      <c r="B293" s="78">
        <v>45838</v>
      </c>
      <c r="C293" t="s">
        <v>168</v>
      </c>
      <c r="D293" t="s">
        <v>3</v>
      </c>
      <c r="E293" t="s">
        <v>865</v>
      </c>
      <c r="F293" s="2">
        <v>3.75</v>
      </c>
      <c r="G293" t="s">
        <v>710</v>
      </c>
    </row>
    <row r="294" spans="1:7">
      <c r="A294" s="1">
        <v>45833</v>
      </c>
      <c r="B294" s="78">
        <v>45838</v>
      </c>
      <c r="C294" t="s">
        <v>169</v>
      </c>
      <c r="D294" t="s">
        <v>8</v>
      </c>
      <c r="E294" t="s">
        <v>815</v>
      </c>
      <c r="F294" s="2">
        <v>66000</v>
      </c>
      <c r="G294" t="s">
        <v>710</v>
      </c>
    </row>
    <row r="295" spans="1:7">
      <c r="A295" s="1">
        <v>45833</v>
      </c>
      <c r="B295" s="78">
        <v>45838</v>
      </c>
      <c r="C295" t="s">
        <v>169</v>
      </c>
      <c r="D295" t="s">
        <v>3</v>
      </c>
      <c r="E295" t="s">
        <v>865</v>
      </c>
      <c r="F295" s="2">
        <v>50</v>
      </c>
      <c r="G295" t="s">
        <v>710</v>
      </c>
    </row>
    <row r="296" spans="1:7">
      <c r="A296" s="1">
        <v>45833</v>
      </c>
      <c r="B296" s="78">
        <v>45838</v>
      </c>
      <c r="C296" t="s">
        <v>169</v>
      </c>
      <c r="D296" t="s">
        <v>3</v>
      </c>
      <c r="E296" t="s">
        <v>865</v>
      </c>
      <c r="F296" s="2">
        <v>3.75</v>
      </c>
      <c r="G296" t="s">
        <v>710</v>
      </c>
    </row>
    <row r="297" spans="1:7">
      <c r="A297" s="1">
        <v>45833</v>
      </c>
      <c r="B297" s="78">
        <v>45838</v>
      </c>
      <c r="C297" t="s">
        <v>170</v>
      </c>
      <c r="D297" t="s">
        <v>8</v>
      </c>
      <c r="E297" t="s">
        <v>815</v>
      </c>
      <c r="F297" s="2">
        <v>66000</v>
      </c>
      <c r="G297" t="s">
        <v>710</v>
      </c>
    </row>
    <row r="298" spans="1:7">
      <c r="A298" s="1">
        <v>45833</v>
      </c>
      <c r="B298" s="78">
        <v>45838</v>
      </c>
      <c r="C298" t="s">
        <v>170</v>
      </c>
      <c r="D298" t="s">
        <v>3</v>
      </c>
      <c r="E298" t="s">
        <v>865</v>
      </c>
      <c r="F298" s="2">
        <v>50</v>
      </c>
      <c r="G298" t="s">
        <v>710</v>
      </c>
    </row>
    <row r="299" spans="1:7">
      <c r="A299" s="1">
        <v>45833</v>
      </c>
      <c r="B299" s="78">
        <v>45838</v>
      </c>
      <c r="C299" t="s">
        <v>170</v>
      </c>
      <c r="D299" t="s">
        <v>3</v>
      </c>
      <c r="E299" t="s">
        <v>865</v>
      </c>
      <c r="F299" s="2">
        <v>3.75</v>
      </c>
      <c r="G299" t="s">
        <v>710</v>
      </c>
    </row>
    <row r="300" spans="1:7">
      <c r="A300" s="1">
        <v>45833</v>
      </c>
      <c r="B300" s="78">
        <v>45838</v>
      </c>
      <c r="C300" t="s">
        <v>171</v>
      </c>
      <c r="D300" t="s">
        <v>8</v>
      </c>
      <c r="E300" t="s">
        <v>815</v>
      </c>
      <c r="F300" s="2">
        <v>66000</v>
      </c>
      <c r="G300" t="s">
        <v>710</v>
      </c>
    </row>
    <row r="301" spans="1:7">
      <c r="A301" s="1">
        <v>45833</v>
      </c>
      <c r="B301" s="78">
        <v>45838</v>
      </c>
      <c r="C301" t="s">
        <v>171</v>
      </c>
      <c r="D301" t="s">
        <v>3</v>
      </c>
      <c r="E301" t="s">
        <v>865</v>
      </c>
      <c r="F301" s="2">
        <v>50</v>
      </c>
      <c r="G301" t="s">
        <v>710</v>
      </c>
    </row>
    <row r="302" spans="1:7">
      <c r="A302" s="1">
        <v>45833</v>
      </c>
      <c r="B302" s="78">
        <v>45838</v>
      </c>
      <c r="C302" t="s">
        <v>171</v>
      </c>
      <c r="D302" t="s">
        <v>3</v>
      </c>
      <c r="E302" t="s">
        <v>865</v>
      </c>
      <c r="F302" s="2">
        <v>3.75</v>
      </c>
      <c r="G302" t="s">
        <v>710</v>
      </c>
    </row>
    <row r="303" spans="1:7">
      <c r="A303" s="1">
        <v>45833</v>
      </c>
      <c r="B303" s="78">
        <v>45838</v>
      </c>
      <c r="C303" t="s">
        <v>172</v>
      </c>
      <c r="D303" t="s">
        <v>8</v>
      </c>
      <c r="E303" t="s">
        <v>815</v>
      </c>
      <c r="F303" s="2">
        <v>66000</v>
      </c>
      <c r="G303" t="s">
        <v>710</v>
      </c>
    </row>
    <row r="304" spans="1:7">
      <c r="A304" s="1">
        <v>45833</v>
      </c>
      <c r="B304" s="78">
        <v>45838</v>
      </c>
      <c r="C304" t="s">
        <v>172</v>
      </c>
      <c r="D304" t="s">
        <v>3</v>
      </c>
      <c r="E304" t="s">
        <v>865</v>
      </c>
      <c r="F304" s="2">
        <v>50</v>
      </c>
      <c r="G304" t="s">
        <v>710</v>
      </c>
    </row>
    <row r="305" spans="1:7">
      <c r="A305" s="1">
        <v>45833</v>
      </c>
      <c r="B305" s="78">
        <v>45838</v>
      </c>
      <c r="C305" t="s">
        <v>172</v>
      </c>
      <c r="D305" t="s">
        <v>3</v>
      </c>
      <c r="E305" t="s">
        <v>865</v>
      </c>
      <c r="F305" s="2">
        <v>3.75</v>
      </c>
      <c r="G305" t="s">
        <v>710</v>
      </c>
    </row>
    <row r="306" spans="1:7">
      <c r="A306" s="1">
        <v>45833</v>
      </c>
      <c r="B306" s="78">
        <v>45838</v>
      </c>
      <c r="C306" t="s">
        <v>172</v>
      </c>
      <c r="D306" t="s">
        <v>8</v>
      </c>
      <c r="E306" t="s">
        <v>815</v>
      </c>
      <c r="F306" s="2">
        <v>-66000</v>
      </c>
      <c r="G306" t="s">
        <v>710</v>
      </c>
    </row>
    <row r="307" spans="1:7">
      <c r="A307" s="1">
        <v>45833</v>
      </c>
      <c r="B307" s="78">
        <v>45838</v>
      </c>
      <c r="C307" t="s">
        <v>172</v>
      </c>
      <c r="D307" t="s">
        <v>3</v>
      </c>
      <c r="E307" t="s">
        <v>865</v>
      </c>
      <c r="F307" s="2">
        <v>-50</v>
      </c>
      <c r="G307" t="s">
        <v>710</v>
      </c>
    </row>
    <row r="308" spans="1:7">
      <c r="A308" s="1">
        <v>45833</v>
      </c>
      <c r="B308" s="78">
        <v>45838</v>
      </c>
      <c r="C308" t="s">
        <v>172</v>
      </c>
      <c r="D308" t="s">
        <v>3</v>
      </c>
      <c r="E308" t="s">
        <v>865</v>
      </c>
      <c r="F308" s="2">
        <v>-3.75</v>
      </c>
      <c r="G308" t="s">
        <v>710</v>
      </c>
    </row>
    <row r="309" spans="1:7">
      <c r="A309" s="1">
        <v>45835</v>
      </c>
      <c r="B309" s="78">
        <v>45838</v>
      </c>
      <c r="C309" t="s">
        <v>174</v>
      </c>
      <c r="D309" t="s">
        <v>5</v>
      </c>
      <c r="E309" t="s">
        <v>5</v>
      </c>
      <c r="F309" s="2">
        <v>20161.25</v>
      </c>
      <c r="G309" t="s">
        <v>710</v>
      </c>
    </row>
    <row r="310" spans="1:7">
      <c r="A310" s="1">
        <v>45835</v>
      </c>
      <c r="B310" s="78">
        <v>45838</v>
      </c>
      <c r="C310" t="s">
        <v>174</v>
      </c>
      <c r="D310" t="s">
        <v>3</v>
      </c>
      <c r="E310" t="s">
        <v>865</v>
      </c>
      <c r="F310" s="2">
        <v>25</v>
      </c>
      <c r="G310" t="s">
        <v>710</v>
      </c>
    </row>
    <row r="311" spans="1:7">
      <c r="A311" s="1">
        <v>45835</v>
      </c>
      <c r="B311" s="78">
        <v>45838</v>
      </c>
      <c r="C311" t="s">
        <v>174</v>
      </c>
      <c r="D311" t="s">
        <v>3</v>
      </c>
      <c r="E311" t="s">
        <v>865</v>
      </c>
      <c r="F311" s="2">
        <v>1.8799999952316284</v>
      </c>
      <c r="G311" t="s">
        <v>710</v>
      </c>
    </row>
    <row r="312" spans="1:7">
      <c r="A312" s="1">
        <v>45835</v>
      </c>
      <c r="B312" s="78">
        <v>45838</v>
      </c>
      <c r="C312" t="s">
        <v>175</v>
      </c>
      <c r="D312" t="s">
        <v>4</v>
      </c>
      <c r="E312" t="s">
        <v>874</v>
      </c>
      <c r="F312" s="2">
        <v>66000</v>
      </c>
      <c r="G312" t="s">
        <v>710</v>
      </c>
    </row>
    <row r="313" spans="1:7">
      <c r="A313" s="1">
        <v>45835</v>
      </c>
      <c r="B313" s="78">
        <v>45838</v>
      </c>
      <c r="C313" t="s">
        <v>175</v>
      </c>
      <c r="D313" t="s">
        <v>3</v>
      </c>
      <c r="E313" t="s">
        <v>865</v>
      </c>
      <c r="F313" s="2">
        <v>50</v>
      </c>
      <c r="G313" t="s">
        <v>710</v>
      </c>
    </row>
    <row r="314" spans="1:7">
      <c r="A314" s="1">
        <v>45835</v>
      </c>
      <c r="B314" s="78">
        <v>45838</v>
      </c>
      <c r="C314" t="s">
        <v>175</v>
      </c>
      <c r="D314" t="s">
        <v>3</v>
      </c>
      <c r="E314" t="s">
        <v>865</v>
      </c>
      <c r="F314" s="2">
        <v>3.75</v>
      </c>
      <c r="G314" t="s">
        <v>710</v>
      </c>
    </row>
    <row r="315" spans="1:7">
      <c r="A315" s="1">
        <v>45835</v>
      </c>
      <c r="B315" s="78">
        <v>45838</v>
      </c>
      <c r="C315" t="s">
        <v>176</v>
      </c>
      <c r="D315" t="s">
        <v>4</v>
      </c>
      <c r="E315" t="s">
        <v>874</v>
      </c>
      <c r="F315" s="2">
        <v>66000</v>
      </c>
      <c r="G315" t="s">
        <v>710</v>
      </c>
    </row>
    <row r="316" spans="1:7">
      <c r="A316" s="1">
        <v>45835</v>
      </c>
      <c r="B316" s="78">
        <v>45838</v>
      </c>
      <c r="C316" t="s">
        <v>176</v>
      </c>
      <c r="D316" t="s">
        <v>3</v>
      </c>
      <c r="E316" t="s">
        <v>865</v>
      </c>
      <c r="F316" s="2">
        <v>50</v>
      </c>
      <c r="G316" t="s">
        <v>710</v>
      </c>
    </row>
    <row r="317" spans="1:7">
      <c r="A317" s="1">
        <v>45835</v>
      </c>
      <c r="B317" s="78">
        <v>45838</v>
      </c>
      <c r="C317" t="s">
        <v>176</v>
      </c>
      <c r="D317" t="s">
        <v>3</v>
      </c>
      <c r="E317" t="s">
        <v>865</v>
      </c>
      <c r="F317" s="2">
        <v>3.75</v>
      </c>
      <c r="G317" t="s">
        <v>710</v>
      </c>
    </row>
    <row r="318" spans="1:7">
      <c r="A318" s="1">
        <v>45835</v>
      </c>
      <c r="B318" s="78">
        <v>45838</v>
      </c>
      <c r="C318" t="s">
        <v>177</v>
      </c>
      <c r="D318" t="s">
        <v>22</v>
      </c>
      <c r="E318" t="s">
        <v>977</v>
      </c>
      <c r="F318" s="2">
        <v>619300</v>
      </c>
      <c r="G318" t="s">
        <v>710</v>
      </c>
    </row>
    <row r="319" spans="1:7">
      <c r="A319" s="1">
        <v>45835</v>
      </c>
      <c r="B319" s="78">
        <v>45838</v>
      </c>
      <c r="C319" t="s">
        <v>177</v>
      </c>
      <c r="D319" t="s">
        <v>3</v>
      </c>
      <c r="E319" t="s">
        <v>865</v>
      </c>
      <c r="F319" s="2">
        <v>50</v>
      </c>
      <c r="G319" t="s">
        <v>710</v>
      </c>
    </row>
    <row r="320" spans="1:7">
      <c r="A320" s="1">
        <v>45835</v>
      </c>
      <c r="B320" s="78">
        <v>45838</v>
      </c>
      <c r="C320" t="s">
        <v>177</v>
      </c>
      <c r="D320" t="s">
        <v>3</v>
      </c>
      <c r="E320" t="s">
        <v>865</v>
      </c>
      <c r="F320" s="2">
        <v>3.75</v>
      </c>
      <c r="G320" t="s">
        <v>710</v>
      </c>
    </row>
    <row r="321" spans="1:7">
      <c r="A321" s="1">
        <v>45835</v>
      </c>
      <c r="B321" s="78">
        <v>45838</v>
      </c>
      <c r="C321" t="s">
        <v>178</v>
      </c>
      <c r="D321" t="s">
        <v>15</v>
      </c>
      <c r="E321" t="s">
        <v>1356</v>
      </c>
      <c r="F321" s="2">
        <v>17000</v>
      </c>
      <c r="G321" t="s">
        <v>710</v>
      </c>
    </row>
    <row r="322" spans="1:7">
      <c r="A322" s="1">
        <v>45835</v>
      </c>
      <c r="B322" s="78">
        <v>45838</v>
      </c>
      <c r="C322" t="s">
        <v>178</v>
      </c>
      <c r="D322" t="s">
        <v>3</v>
      </c>
      <c r="E322" t="s">
        <v>865</v>
      </c>
      <c r="F322" s="2">
        <v>25</v>
      </c>
      <c r="G322" t="s">
        <v>710</v>
      </c>
    </row>
    <row r="323" spans="1:7">
      <c r="A323" s="1">
        <v>45835</v>
      </c>
      <c r="B323" s="78">
        <v>45838</v>
      </c>
      <c r="C323" t="s">
        <v>178</v>
      </c>
      <c r="D323" t="s">
        <v>3</v>
      </c>
      <c r="E323" t="s">
        <v>865</v>
      </c>
      <c r="F323" s="2">
        <v>1.8799999952316284</v>
      </c>
      <c r="G323" t="s">
        <v>710</v>
      </c>
    </row>
    <row r="324" spans="1:7">
      <c r="A324" s="1">
        <v>45835</v>
      </c>
      <c r="B324" s="78">
        <v>45838</v>
      </c>
      <c r="C324" t="s">
        <v>179</v>
      </c>
      <c r="D324" t="s">
        <v>16</v>
      </c>
      <c r="E324" t="s">
        <v>977</v>
      </c>
      <c r="F324" s="2">
        <v>250000</v>
      </c>
      <c r="G324" t="s">
        <v>710</v>
      </c>
    </row>
    <row r="325" spans="1:7">
      <c r="A325" s="1">
        <v>45835</v>
      </c>
      <c r="B325" s="78">
        <v>45838</v>
      </c>
      <c r="C325" t="s">
        <v>179</v>
      </c>
      <c r="D325" t="s">
        <v>3</v>
      </c>
      <c r="E325" t="s">
        <v>865</v>
      </c>
      <c r="F325" s="2">
        <v>50</v>
      </c>
      <c r="G325" t="s">
        <v>710</v>
      </c>
    </row>
    <row r="326" spans="1:7">
      <c r="A326" s="1">
        <v>45835</v>
      </c>
      <c r="B326" s="78">
        <v>45838</v>
      </c>
      <c r="C326" t="s">
        <v>179</v>
      </c>
      <c r="D326" t="s">
        <v>3</v>
      </c>
      <c r="E326" t="s">
        <v>865</v>
      </c>
      <c r="F326" s="2">
        <v>3.75</v>
      </c>
      <c r="G326" t="s">
        <v>710</v>
      </c>
    </row>
    <row r="327" spans="1:7">
      <c r="A327" s="1">
        <v>45835</v>
      </c>
      <c r="B327" s="78">
        <v>45838</v>
      </c>
      <c r="C327" t="s">
        <v>180</v>
      </c>
      <c r="D327" t="s">
        <v>4</v>
      </c>
      <c r="E327" t="s">
        <v>874</v>
      </c>
      <c r="F327" s="2">
        <v>32500</v>
      </c>
      <c r="G327" t="s">
        <v>710</v>
      </c>
    </row>
    <row r="328" spans="1:7">
      <c r="A328" s="1">
        <v>45835</v>
      </c>
      <c r="B328" s="78">
        <v>45838</v>
      </c>
      <c r="C328" t="s">
        <v>180</v>
      </c>
      <c r="D328" t="s">
        <v>3</v>
      </c>
      <c r="E328" t="s">
        <v>865</v>
      </c>
      <c r="F328" s="2">
        <v>25</v>
      </c>
      <c r="G328" t="s">
        <v>710</v>
      </c>
    </row>
    <row r="329" spans="1:7">
      <c r="A329" s="1">
        <v>45835</v>
      </c>
      <c r="B329" s="78">
        <v>45838</v>
      </c>
      <c r="C329" t="s">
        <v>180</v>
      </c>
      <c r="D329" t="s">
        <v>3</v>
      </c>
      <c r="E329" t="s">
        <v>865</v>
      </c>
      <c r="F329" s="2">
        <v>1.8800000101327896</v>
      </c>
      <c r="G329" t="s">
        <v>710</v>
      </c>
    </row>
    <row r="330" spans="1:7">
      <c r="A330" s="1">
        <v>45838</v>
      </c>
      <c r="B330" s="78">
        <v>45838</v>
      </c>
      <c r="C330" t="s">
        <v>182</v>
      </c>
      <c r="D330" t="s">
        <v>13</v>
      </c>
      <c r="E330" t="s">
        <v>800</v>
      </c>
      <c r="F330" s="2">
        <v>550000</v>
      </c>
      <c r="G330" t="s">
        <v>710</v>
      </c>
    </row>
    <row r="331" spans="1:7">
      <c r="A331" s="1">
        <v>45838</v>
      </c>
      <c r="B331" s="78">
        <v>45838</v>
      </c>
      <c r="C331" t="s">
        <v>182</v>
      </c>
      <c r="D331" t="s">
        <v>3</v>
      </c>
      <c r="E331" t="s">
        <v>865</v>
      </c>
      <c r="F331" s="2">
        <v>50</v>
      </c>
      <c r="G331" t="s">
        <v>710</v>
      </c>
    </row>
    <row r="332" spans="1:7">
      <c r="A332" s="1">
        <v>45838</v>
      </c>
      <c r="B332" s="78">
        <v>45838</v>
      </c>
      <c r="C332" t="s">
        <v>182</v>
      </c>
      <c r="D332" t="s">
        <v>3</v>
      </c>
      <c r="E332" t="s">
        <v>865</v>
      </c>
      <c r="F332" s="2">
        <v>3.75</v>
      </c>
      <c r="G332" t="s">
        <v>710</v>
      </c>
    </row>
    <row r="333" spans="1:7">
      <c r="A333" s="1">
        <v>45838</v>
      </c>
      <c r="B333" s="78">
        <v>45838</v>
      </c>
      <c r="C333" t="s">
        <v>183</v>
      </c>
      <c r="D333" t="s">
        <v>13</v>
      </c>
      <c r="E333" t="s">
        <v>800</v>
      </c>
      <c r="F333" s="2">
        <v>15000</v>
      </c>
      <c r="G333" t="s">
        <v>710</v>
      </c>
    </row>
    <row r="334" spans="1:7">
      <c r="A334" s="1">
        <v>45838</v>
      </c>
      <c r="B334" s="78">
        <v>45838</v>
      </c>
      <c r="C334" t="s">
        <v>183</v>
      </c>
      <c r="D334" t="s">
        <v>3</v>
      </c>
      <c r="E334" t="s">
        <v>865</v>
      </c>
      <c r="F334" s="2">
        <v>25</v>
      </c>
      <c r="G334" t="s">
        <v>710</v>
      </c>
    </row>
    <row r="335" spans="1:7">
      <c r="A335" s="1">
        <v>45838</v>
      </c>
      <c r="B335" s="78">
        <v>45838</v>
      </c>
      <c r="C335" t="s">
        <v>183</v>
      </c>
      <c r="D335" t="s">
        <v>3</v>
      </c>
      <c r="E335" t="s">
        <v>865</v>
      </c>
      <c r="F335" s="2">
        <v>1.8799999952316284</v>
      </c>
      <c r="G335" t="s">
        <v>710</v>
      </c>
    </row>
    <row r="336" spans="1:7">
      <c r="A336" s="1">
        <v>45838</v>
      </c>
      <c r="B336" s="78">
        <v>45838</v>
      </c>
      <c r="C336" t="s">
        <v>184</v>
      </c>
      <c r="D336" t="s">
        <v>23</v>
      </c>
      <c r="E336" t="s">
        <v>846</v>
      </c>
      <c r="F336" s="2">
        <v>370000</v>
      </c>
      <c r="G336" t="s">
        <v>710</v>
      </c>
    </row>
    <row r="337" spans="1:8">
      <c r="A337" s="1">
        <v>45838</v>
      </c>
      <c r="B337" s="78">
        <v>45838</v>
      </c>
      <c r="C337" t="s">
        <v>184</v>
      </c>
      <c r="D337" t="s">
        <v>3</v>
      </c>
      <c r="E337" t="s">
        <v>865</v>
      </c>
      <c r="F337" s="2">
        <v>50</v>
      </c>
      <c r="G337" t="s">
        <v>710</v>
      </c>
    </row>
    <row r="338" spans="1:8">
      <c r="A338" s="1">
        <v>45838</v>
      </c>
      <c r="B338" s="78">
        <v>45838</v>
      </c>
      <c r="C338" t="s">
        <v>184</v>
      </c>
      <c r="D338" t="s">
        <v>3</v>
      </c>
      <c r="E338" t="s">
        <v>865</v>
      </c>
      <c r="F338" s="2">
        <v>3.75</v>
      </c>
      <c r="G338" t="s">
        <v>710</v>
      </c>
    </row>
    <row r="339" spans="1:8">
      <c r="A339" s="1">
        <v>45838</v>
      </c>
      <c r="B339" s="78">
        <v>45838</v>
      </c>
      <c r="C339" t="s">
        <v>185</v>
      </c>
      <c r="D339" t="s">
        <v>8</v>
      </c>
      <c r="E339" t="s">
        <v>815</v>
      </c>
      <c r="F339" s="2">
        <v>119811.25</v>
      </c>
      <c r="G339" t="s">
        <v>710</v>
      </c>
    </row>
    <row r="340" spans="1:8">
      <c r="A340" s="1">
        <v>45838</v>
      </c>
      <c r="B340" s="78">
        <v>45838</v>
      </c>
      <c r="C340" t="s">
        <v>185</v>
      </c>
      <c r="D340" t="s">
        <v>3</v>
      </c>
      <c r="E340" t="s">
        <v>865</v>
      </c>
      <c r="F340" s="2">
        <v>50</v>
      </c>
      <c r="G340" t="s">
        <v>710</v>
      </c>
    </row>
    <row r="341" spans="1:8">
      <c r="A341" s="1">
        <v>45838</v>
      </c>
      <c r="B341" s="78">
        <v>45838</v>
      </c>
      <c r="C341" t="s">
        <v>185</v>
      </c>
      <c r="D341" t="s">
        <v>3</v>
      </c>
      <c r="E341" t="s">
        <v>865</v>
      </c>
      <c r="F341" s="2">
        <v>3.75</v>
      </c>
      <c r="G341" t="s">
        <v>710</v>
      </c>
    </row>
    <row r="342" spans="1:8">
      <c r="A342" s="1">
        <v>45838</v>
      </c>
      <c r="B342" s="78">
        <v>45838</v>
      </c>
      <c r="C342" t="s">
        <v>186</v>
      </c>
      <c r="D342" t="s">
        <v>3</v>
      </c>
      <c r="E342" t="s">
        <v>865</v>
      </c>
      <c r="F342" s="2">
        <v>200</v>
      </c>
      <c r="G342" t="s">
        <v>710</v>
      </c>
    </row>
    <row r="343" spans="1:8">
      <c r="A343" s="1">
        <v>45838</v>
      </c>
      <c r="B343" s="78">
        <v>45838</v>
      </c>
      <c r="C343" t="s">
        <v>187</v>
      </c>
      <c r="D343" t="s">
        <v>3</v>
      </c>
      <c r="E343" t="s">
        <v>865</v>
      </c>
      <c r="F343" s="2">
        <v>15</v>
      </c>
      <c r="G343" t="s">
        <v>710</v>
      </c>
    </row>
    <row r="344" spans="1:8">
      <c r="A344" s="1">
        <v>45838</v>
      </c>
      <c r="B344" s="78">
        <v>45838</v>
      </c>
      <c r="C344" t="s">
        <v>188</v>
      </c>
      <c r="D344" t="s">
        <v>24</v>
      </c>
      <c r="E344" t="s">
        <v>989</v>
      </c>
      <c r="F344" s="2">
        <v>100000</v>
      </c>
      <c r="G344" t="s">
        <v>710</v>
      </c>
      <c r="H344" t="s">
        <v>1312</v>
      </c>
    </row>
    <row r="345" spans="1:8">
      <c r="A345" s="1">
        <v>45838</v>
      </c>
      <c r="B345" s="78">
        <v>45838</v>
      </c>
      <c r="C345" t="s">
        <v>188</v>
      </c>
      <c r="D345" t="s">
        <v>3</v>
      </c>
      <c r="E345" t="s">
        <v>865</v>
      </c>
      <c r="F345" s="2">
        <v>50</v>
      </c>
      <c r="G345" t="s">
        <v>710</v>
      </c>
    </row>
    <row r="346" spans="1:8">
      <c r="A346" s="1">
        <v>45838</v>
      </c>
      <c r="B346" s="78">
        <v>45838</v>
      </c>
      <c r="C346" t="s">
        <v>188</v>
      </c>
      <c r="D346" t="s">
        <v>3</v>
      </c>
      <c r="E346" t="s">
        <v>865</v>
      </c>
      <c r="F346" s="2">
        <v>3.75</v>
      </c>
      <c r="G346" t="s">
        <v>710</v>
      </c>
    </row>
    <row r="347" spans="1:8">
      <c r="A347" s="1">
        <v>45838</v>
      </c>
      <c r="B347" s="78">
        <v>45838</v>
      </c>
      <c r="C347" t="s">
        <v>25</v>
      </c>
      <c r="D347" t="s">
        <v>19</v>
      </c>
      <c r="E347" t="s">
        <v>840</v>
      </c>
      <c r="F347" s="2">
        <v>1357550</v>
      </c>
      <c r="G347" t="s">
        <v>710</v>
      </c>
      <c r="H347" t="s">
        <v>750</v>
      </c>
    </row>
    <row r="348" spans="1:8">
      <c r="A348" s="1">
        <v>45838</v>
      </c>
      <c r="B348" s="78">
        <v>45838</v>
      </c>
      <c r="C348" t="s">
        <v>976</v>
      </c>
      <c r="E348" t="s">
        <v>840</v>
      </c>
      <c r="F348" s="2">
        <f>-F347</f>
        <v>-1357550</v>
      </c>
      <c r="G348" t="s">
        <v>710</v>
      </c>
    </row>
    <row r="349" spans="1:8">
      <c r="A349" s="1">
        <v>45838</v>
      </c>
      <c r="B349" s="78">
        <v>45838</v>
      </c>
      <c r="C349" t="s">
        <v>25</v>
      </c>
      <c r="E349" t="s">
        <v>958</v>
      </c>
      <c r="F349" s="2">
        <v>122550</v>
      </c>
      <c r="G349" t="s">
        <v>710</v>
      </c>
    </row>
    <row r="350" spans="1:8">
      <c r="A350" s="1">
        <v>45838</v>
      </c>
      <c r="B350" s="78">
        <v>45838</v>
      </c>
      <c r="C350" t="s">
        <v>25</v>
      </c>
      <c r="E350" t="s">
        <v>809</v>
      </c>
      <c r="F350" s="2">
        <v>70000</v>
      </c>
      <c r="G350" t="s">
        <v>710</v>
      </c>
    </row>
    <row r="351" spans="1:8">
      <c r="A351" s="1">
        <v>45838</v>
      </c>
      <c r="B351" s="78">
        <v>45838</v>
      </c>
      <c r="C351" t="s">
        <v>25</v>
      </c>
      <c r="E351" t="s">
        <v>840</v>
      </c>
      <c r="F351" s="2">
        <v>1040000</v>
      </c>
      <c r="G351" t="s">
        <v>710</v>
      </c>
    </row>
    <row r="352" spans="1:8">
      <c r="A352" s="1">
        <v>45838</v>
      </c>
      <c r="B352" s="78">
        <v>45838</v>
      </c>
      <c r="C352" t="s">
        <v>25</v>
      </c>
      <c r="E352" t="s">
        <v>1356</v>
      </c>
      <c r="F352" s="2">
        <v>68000</v>
      </c>
      <c r="G352" t="s">
        <v>710</v>
      </c>
    </row>
    <row r="353" spans="1:8">
      <c r="A353" s="1">
        <v>45838</v>
      </c>
      <c r="B353" s="78">
        <v>45838</v>
      </c>
      <c r="C353" t="s">
        <v>25</v>
      </c>
      <c r="E353" t="s">
        <v>955</v>
      </c>
      <c r="F353" s="2">
        <v>57000</v>
      </c>
      <c r="G353" t="s">
        <v>710</v>
      </c>
    </row>
    <row r="354" spans="1:8">
      <c r="A354" s="1">
        <v>45838</v>
      </c>
      <c r="B354" s="78">
        <v>45838</v>
      </c>
      <c r="C354" t="s">
        <v>25</v>
      </c>
      <c r="D354" t="s">
        <v>3</v>
      </c>
      <c r="E354" t="s">
        <v>865</v>
      </c>
      <c r="F354" s="2">
        <v>50</v>
      </c>
      <c r="G354" t="s">
        <v>710</v>
      </c>
    </row>
    <row r="355" spans="1:8">
      <c r="A355" s="1">
        <v>45838</v>
      </c>
      <c r="B355" s="78">
        <v>45838</v>
      </c>
      <c r="C355" t="s">
        <v>25</v>
      </c>
      <c r="D355" t="s">
        <v>3</v>
      </c>
      <c r="E355" t="s">
        <v>865</v>
      </c>
      <c r="F355" s="2">
        <v>3.75</v>
      </c>
      <c r="G355" t="s">
        <v>710</v>
      </c>
    </row>
    <row r="356" spans="1:8">
      <c r="A356" s="1">
        <v>45838</v>
      </c>
      <c r="B356" s="78">
        <v>45838</v>
      </c>
      <c r="C356" t="s">
        <v>189</v>
      </c>
      <c r="D356" t="s">
        <v>26</v>
      </c>
      <c r="E356" t="s">
        <v>979</v>
      </c>
      <c r="F356" s="2">
        <v>832000</v>
      </c>
      <c r="G356" t="s">
        <v>710</v>
      </c>
    </row>
    <row r="357" spans="1:8">
      <c r="A357" s="1">
        <v>45838</v>
      </c>
      <c r="B357" s="78">
        <v>45838</v>
      </c>
      <c r="C357" t="s">
        <v>189</v>
      </c>
      <c r="D357" t="s">
        <v>3</v>
      </c>
      <c r="E357" t="s">
        <v>865</v>
      </c>
      <c r="F357" s="2">
        <v>50</v>
      </c>
      <c r="G357" t="s">
        <v>710</v>
      </c>
    </row>
    <row r="358" spans="1:8">
      <c r="A358" s="1">
        <v>45838</v>
      </c>
      <c r="B358" s="78">
        <v>45838</v>
      </c>
      <c r="C358" t="s">
        <v>189</v>
      </c>
      <c r="D358" t="s">
        <v>3</v>
      </c>
      <c r="E358" t="s">
        <v>865</v>
      </c>
      <c r="F358" s="2">
        <v>3.75</v>
      </c>
      <c r="G358" t="s">
        <v>710</v>
      </c>
    </row>
    <row r="359" spans="1:8">
      <c r="A359" s="1">
        <v>45838</v>
      </c>
      <c r="B359" s="78">
        <v>45838</v>
      </c>
      <c r="C359" t="s">
        <v>190</v>
      </c>
      <c r="D359" t="s">
        <v>3</v>
      </c>
      <c r="E359" t="s">
        <v>865</v>
      </c>
      <c r="F359" s="2">
        <v>45154.25</v>
      </c>
      <c r="G359" t="s">
        <v>710</v>
      </c>
    </row>
    <row r="360" spans="1:8">
      <c r="A360" s="1">
        <v>45838</v>
      </c>
      <c r="B360" s="78">
        <v>45838</v>
      </c>
      <c r="C360" t="s">
        <v>191</v>
      </c>
      <c r="D360" t="s">
        <v>3</v>
      </c>
      <c r="E360" t="s">
        <v>865</v>
      </c>
      <c r="F360" s="2">
        <v>3386.6800000071526</v>
      </c>
      <c r="G360" t="s">
        <v>710</v>
      </c>
      <c r="H360" t="s">
        <v>716</v>
      </c>
    </row>
    <row r="361" spans="1:8">
      <c r="A361" s="8">
        <v>45838</v>
      </c>
      <c r="B361" s="78">
        <v>45838</v>
      </c>
      <c r="C361" s="10" t="s">
        <v>715</v>
      </c>
      <c r="D361" s="10" t="s">
        <v>714</v>
      </c>
      <c r="E361" s="5" t="s">
        <v>950</v>
      </c>
      <c r="F361" s="3">
        <f>-SUM(F17:F360)</f>
        <v>101330337.19999997</v>
      </c>
      <c r="G361" t="s">
        <v>710</v>
      </c>
      <c r="H361" t="s">
        <v>709</v>
      </c>
    </row>
    <row r="362" spans="1:8">
      <c r="A362" s="1">
        <v>45839</v>
      </c>
      <c r="B362" s="78">
        <v>45869</v>
      </c>
      <c r="C362" t="s">
        <v>193</v>
      </c>
      <c r="D362" t="s">
        <v>6</v>
      </c>
      <c r="E362" t="s">
        <v>840</v>
      </c>
      <c r="F362" s="2">
        <v>650000</v>
      </c>
      <c r="G362" t="s">
        <v>710</v>
      </c>
    </row>
    <row r="363" spans="1:8">
      <c r="A363" s="1">
        <v>45839</v>
      </c>
      <c r="B363" s="78">
        <v>45869</v>
      </c>
      <c r="C363" t="s">
        <v>193</v>
      </c>
      <c r="D363" t="s">
        <v>3</v>
      </c>
      <c r="E363" t="s">
        <v>865</v>
      </c>
      <c r="F363" s="2">
        <v>50</v>
      </c>
      <c r="G363" t="s">
        <v>710</v>
      </c>
    </row>
    <row r="364" spans="1:8">
      <c r="A364" s="1">
        <v>45839</v>
      </c>
      <c r="B364" s="78">
        <v>45869</v>
      </c>
      <c r="C364" t="s">
        <v>193</v>
      </c>
      <c r="D364" t="s">
        <v>3</v>
      </c>
      <c r="E364" t="s">
        <v>865</v>
      </c>
      <c r="F364" s="2">
        <v>3.75</v>
      </c>
      <c r="G364" t="s">
        <v>710</v>
      </c>
    </row>
    <row r="365" spans="1:8">
      <c r="A365" s="1">
        <v>45840</v>
      </c>
      <c r="B365" s="78">
        <v>45869</v>
      </c>
      <c r="C365" t="s">
        <v>195</v>
      </c>
      <c r="D365" t="s">
        <v>15</v>
      </c>
      <c r="E365" t="s">
        <v>1356</v>
      </c>
      <c r="F365" s="2">
        <v>190200</v>
      </c>
      <c r="G365" t="s">
        <v>710</v>
      </c>
    </row>
    <row r="366" spans="1:8">
      <c r="A366" s="1">
        <v>45840</v>
      </c>
      <c r="B366" s="78">
        <v>45869</v>
      </c>
      <c r="C366" t="s">
        <v>195</v>
      </c>
      <c r="D366" t="s">
        <v>3</v>
      </c>
      <c r="E366" t="s">
        <v>865</v>
      </c>
      <c r="F366" s="2">
        <v>50</v>
      </c>
      <c r="G366" t="s">
        <v>710</v>
      </c>
    </row>
    <row r="367" spans="1:8">
      <c r="A367" s="1">
        <v>45840</v>
      </c>
      <c r="B367" s="78">
        <v>45869</v>
      </c>
      <c r="C367" t="s">
        <v>195</v>
      </c>
      <c r="D367" t="s">
        <v>3</v>
      </c>
      <c r="E367" t="s">
        <v>865</v>
      </c>
      <c r="F367" s="2">
        <v>3.75</v>
      </c>
      <c r="G367" t="s">
        <v>710</v>
      </c>
    </row>
    <row r="368" spans="1:8">
      <c r="A368" s="1">
        <v>45841</v>
      </c>
      <c r="B368" s="78">
        <v>45869</v>
      </c>
      <c r="C368" t="s">
        <v>197</v>
      </c>
      <c r="D368" t="s">
        <v>15</v>
      </c>
      <c r="E368" t="s">
        <v>1356</v>
      </c>
      <c r="F368" s="2">
        <v>37500</v>
      </c>
      <c r="G368" t="s">
        <v>710</v>
      </c>
    </row>
    <row r="369" spans="1:7">
      <c r="A369" s="1">
        <v>45841</v>
      </c>
      <c r="B369" s="78">
        <v>45869</v>
      </c>
      <c r="C369" t="s">
        <v>197</v>
      </c>
      <c r="D369" t="s">
        <v>3</v>
      </c>
      <c r="E369" t="s">
        <v>865</v>
      </c>
      <c r="F369" s="2">
        <v>25</v>
      </c>
      <c r="G369" t="s">
        <v>710</v>
      </c>
    </row>
    <row r="370" spans="1:7">
      <c r="A370" s="1">
        <v>45841</v>
      </c>
      <c r="B370" s="78">
        <v>45869</v>
      </c>
      <c r="C370" t="s">
        <v>197</v>
      </c>
      <c r="D370" t="s">
        <v>3</v>
      </c>
      <c r="E370" t="s">
        <v>865</v>
      </c>
      <c r="F370" s="2">
        <v>1.8799999952316284</v>
      </c>
      <c r="G370" t="s">
        <v>710</v>
      </c>
    </row>
    <row r="371" spans="1:7">
      <c r="A371" s="1">
        <v>45841</v>
      </c>
      <c r="B371" s="78">
        <v>45869</v>
      </c>
      <c r="C371" t="s">
        <v>198</v>
      </c>
      <c r="D371" t="s">
        <v>15</v>
      </c>
      <c r="E371" t="s">
        <v>1356</v>
      </c>
      <c r="F371" s="2">
        <v>100200</v>
      </c>
      <c r="G371" t="s">
        <v>710</v>
      </c>
    </row>
    <row r="372" spans="1:7">
      <c r="A372" s="1">
        <v>45841</v>
      </c>
      <c r="B372" s="78">
        <v>45869</v>
      </c>
      <c r="C372" t="s">
        <v>198</v>
      </c>
      <c r="D372" t="s">
        <v>3</v>
      </c>
      <c r="E372" t="s">
        <v>865</v>
      </c>
      <c r="F372" s="2">
        <v>50</v>
      </c>
      <c r="G372" t="s">
        <v>710</v>
      </c>
    </row>
    <row r="373" spans="1:7">
      <c r="A373" s="1">
        <v>45841</v>
      </c>
      <c r="B373" s="78">
        <v>45869</v>
      </c>
      <c r="C373" t="s">
        <v>198</v>
      </c>
      <c r="D373" t="s">
        <v>3</v>
      </c>
      <c r="E373" t="s">
        <v>865</v>
      </c>
      <c r="F373" s="2">
        <v>3.75</v>
      </c>
      <c r="G373" t="s">
        <v>710</v>
      </c>
    </row>
    <row r="374" spans="1:7">
      <c r="A374" s="1">
        <v>45841</v>
      </c>
      <c r="B374" s="78">
        <v>45869</v>
      </c>
      <c r="C374" t="s">
        <v>199</v>
      </c>
      <c r="D374" t="s">
        <v>4</v>
      </c>
      <c r="E374" t="s">
        <v>874</v>
      </c>
      <c r="F374" s="2">
        <v>23414</v>
      </c>
      <c r="G374" t="s">
        <v>710</v>
      </c>
    </row>
    <row r="375" spans="1:7">
      <c r="A375" s="1">
        <v>45841</v>
      </c>
      <c r="B375" s="78">
        <v>45869</v>
      </c>
      <c r="C375" t="s">
        <v>199</v>
      </c>
      <c r="D375" t="s">
        <v>3</v>
      </c>
      <c r="E375" t="s">
        <v>865</v>
      </c>
      <c r="F375" s="2">
        <v>25</v>
      </c>
      <c r="G375" t="s">
        <v>710</v>
      </c>
    </row>
    <row r="376" spans="1:7">
      <c r="A376" s="1">
        <v>45841</v>
      </c>
      <c r="B376" s="78">
        <v>45869</v>
      </c>
      <c r="C376" t="s">
        <v>199</v>
      </c>
      <c r="D376" t="s">
        <v>3</v>
      </c>
      <c r="E376" t="s">
        <v>865</v>
      </c>
      <c r="F376" s="2">
        <v>1.8799999952316284</v>
      </c>
      <c r="G376" t="s">
        <v>710</v>
      </c>
    </row>
    <row r="377" spans="1:7">
      <c r="A377" s="1">
        <v>45841</v>
      </c>
      <c r="B377" s="78">
        <v>45869</v>
      </c>
      <c r="C377" t="s">
        <v>200</v>
      </c>
      <c r="D377" t="s">
        <v>26</v>
      </c>
      <c r="E377" t="s">
        <v>979</v>
      </c>
      <c r="F377" s="2">
        <v>362000</v>
      </c>
      <c r="G377" t="s">
        <v>710</v>
      </c>
    </row>
    <row r="378" spans="1:7">
      <c r="A378" s="1">
        <v>45841</v>
      </c>
      <c r="B378" s="78">
        <v>45869</v>
      </c>
      <c r="C378" t="s">
        <v>200</v>
      </c>
      <c r="D378" t="s">
        <v>3</v>
      </c>
      <c r="E378" t="s">
        <v>865</v>
      </c>
      <c r="F378" s="2">
        <v>50</v>
      </c>
      <c r="G378" t="s">
        <v>710</v>
      </c>
    </row>
    <row r="379" spans="1:7">
      <c r="A379" s="1">
        <v>45841</v>
      </c>
      <c r="B379" s="78">
        <v>45869</v>
      </c>
      <c r="C379" t="s">
        <v>200</v>
      </c>
      <c r="D379" t="s">
        <v>3</v>
      </c>
      <c r="E379" t="s">
        <v>865</v>
      </c>
      <c r="F379" s="2">
        <v>3.75</v>
      </c>
      <c r="G379" t="s">
        <v>710</v>
      </c>
    </row>
    <row r="380" spans="1:7">
      <c r="A380" s="1">
        <v>45842</v>
      </c>
      <c r="B380" s="78">
        <v>45869</v>
      </c>
      <c r="C380" t="s">
        <v>202</v>
      </c>
      <c r="D380" t="s">
        <v>15</v>
      </c>
      <c r="E380" t="s">
        <v>1356</v>
      </c>
      <c r="F380" s="2">
        <v>54350</v>
      </c>
      <c r="G380" t="s">
        <v>710</v>
      </c>
    </row>
    <row r="381" spans="1:7">
      <c r="A381" s="1">
        <v>45842</v>
      </c>
      <c r="B381" s="78">
        <v>45869</v>
      </c>
      <c r="C381" t="s">
        <v>202</v>
      </c>
      <c r="D381" t="s">
        <v>3</v>
      </c>
      <c r="E381" t="s">
        <v>865</v>
      </c>
      <c r="F381" s="2">
        <v>50</v>
      </c>
      <c r="G381" t="s">
        <v>710</v>
      </c>
    </row>
    <row r="382" spans="1:7">
      <c r="A382" s="1">
        <v>45842</v>
      </c>
      <c r="B382" s="78">
        <v>45869</v>
      </c>
      <c r="C382" t="s">
        <v>202</v>
      </c>
      <c r="D382" t="s">
        <v>3</v>
      </c>
      <c r="E382" t="s">
        <v>865</v>
      </c>
      <c r="F382" s="2">
        <v>3.75</v>
      </c>
      <c r="G382" t="s">
        <v>710</v>
      </c>
    </row>
    <row r="383" spans="1:7">
      <c r="A383" s="1">
        <v>45842</v>
      </c>
      <c r="B383" s="78">
        <v>45869</v>
      </c>
      <c r="C383" t="s">
        <v>203</v>
      </c>
      <c r="D383" t="s">
        <v>15</v>
      </c>
      <c r="E383" t="s">
        <v>1356</v>
      </c>
      <c r="F383" s="2">
        <v>32500</v>
      </c>
      <c r="G383" t="s">
        <v>710</v>
      </c>
    </row>
    <row r="384" spans="1:7">
      <c r="A384" s="1">
        <v>45842</v>
      </c>
      <c r="B384" s="78">
        <v>45869</v>
      </c>
      <c r="C384" t="s">
        <v>203</v>
      </c>
      <c r="D384" t="s">
        <v>3</v>
      </c>
      <c r="E384" t="s">
        <v>865</v>
      </c>
      <c r="F384" s="2">
        <v>25</v>
      </c>
      <c r="G384" t="s">
        <v>710</v>
      </c>
    </row>
    <row r="385" spans="1:7">
      <c r="A385" s="1">
        <v>45842</v>
      </c>
      <c r="B385" s="78">
        <v>45869</v>
      </c>
      <c r="C385" t="s">
        <v>203</v>
      </c>
      <c r="D385" t="s">
        <v>3</v>
      </c>
      <c r="E385" t="s">
        <v>865</v>
      </c>
      <c r="F385" s="2">
        <v>1.8800000101327896</v>
      </c>
      <c r="G385" t="s">
        <v>710</v>
      </c>
    </row>
    <row r="386" spans="1:7">
      <c r="A386" s="1">
        <v>45842</v>
      </c>
      <c r="B386" s="78">
        <v>45869</v>
      </c>
      <c r="C386" t="s">
        <v>204</v>
      </c>
      <c r="D386" t="s">
        <v>21</v>
      </c>
      <c r="E386" t="s">
        <v>871</v>
      </c>
      <c r="F386" s="2">
        <v>1000000</v>
      </c>
      <c r="G386" t="s">
        <v>710</v>
      </c>
    </row>
    <row r="387" spans="1:7">
      <c r="A387" s="1">
        <v>45842</v>
      </c>
      <c r="B387" s="78">
        <v>45869</v>
      </c>
      <c r="C387" t="s">
        <v>204</v>
      </c>
      <c r="D387" t="s">
        <v>3</v>
      </c>
      <c r="E387" t="s">
        <v>865</v>
      </c>
      <c r="F387" s="2">
        <v>50</v>
      </c>
      <c r="G387" t="s">
        <v>710</v>
      </c>
    </row>
    <row r="388" spans="1:7">
      <c r="A388" s="1">
        <v>45842</v>
      </c>
      <c r="B388" s="78">
        <v>45869</v>
      </c>
      <c r="C388" t="s">
        <v>204</v>
      </c>
      <c r="D388" t="s">
        <v>3</v>
      </c>
      <c r="E388" t="s">
        <v>865</v>
      </c>
      <c r="F388" s="2">
        <v>3.75</v>
      </c>
      <c r="G388" t="s">
        <v>710</v>
      </c>
    </row>
    <row r="389" spans="1:7">
      <c r="A389" s="1">
        <v>45842</v>
      </c>
      <c r="B389" s="78">
        <v>45869</v>
      </c>
      <c r="C389" t="s">
        <v>205</v>
      </c>
      <c r="D389" t="s">
        <v>15</v>
      </c>
      <c r="E389" t="s">
        <v>1356</v>
      </c>
      <c r="F389" s="2">
        <v>28000</v>
      </c>
      <c r="G389" t="s">
        <v>710</v>
      </c>
    </row>
    <row r="390" spans="1:7">
      <c r="A390" s="1">
        <v>45842</v>
      </c>
      <c r="B390" s="78">
        <v>45869</v>
      </c>
      <c r="C390" t="s">
        <v>205</v>
      </c>
      <c r="D390" t="s">
        <v>3</v>
      </c>
      <c r="E390" t="s">
        <v>865</v>
      </c>
      <c r="F390" s="2">
        <v>25</v>
      </c>
      <c r="G390" t="s">
        <v>710</v>
      </c>
    </row>
    <row r="391" spans="1:7">
      <c r="A391" s="1">
        <v>45842</v>
      </c>
      <c r="B391" s="78">
        <v>45869</v>
      </c>
      <c r="C391" t="s">
        <v>205</v>
      </c>
      <c r="D391" t="s">
        <v>3</v>
      </c>
      <c r="E391" t="s">
        <v>865</v>
      </c>
      <c r="F391" s="2">
        <v>1.8799999952316284</v>
      </c>
      <c r="G391" t="s">
        <v>710</v>
      </c>
    </row>
    <row r="392" spans="1:7">
      <c r="A392" s="1">
        <v>45842</v>
      </c>
      <c r="B392" s="78">
        <v>45869</v>
      </c>
      <c r="C392" t="s">
        <v>206</v>
      </c>
      <c r="D392" t="s">
        <v>27</v>
      </c>
      <c r="E392" t="s">
        <v>27</v>
      </c>
      <c r="F392" s="2">
        <v>2174811</v>
      </c>
      <c r="G392" t="s">
        <v>710</v>
      </c>
    </row>
    <row r="393" spans="1:7">
      <c r="A393" s="1">
        <v>45842</v>
      </c>
      <c r="B393" s="78">
        <v>45869</v>
      </c>
      <c r="C393" t="s">
        <v>206</v>
      </c>
      <c r="D393" t="s">
        <v>3</v>
      </c>
      <c r="E393" t="s">
        <v>865</v>
      </c>
      <c r="F393" s="2">
        <v>50</v>
      </c>
      <c r="G393" t="s">
        <v>710</v>
      </c>
    </row>
    <row r="394" spans="1:7">
      <c r="A394" s="1">
        <v>45842</v>
      </c>
      <c r="B394" s="78">
        <v>45869</v>
      </c>
      <c r="C394" t="s">
        <v>206</v>
      </c>
      <c r="D394" t="s">
        <v>3</v>
      </c>
      <c r="E394" t="s">
        <v>865</v>
      </c>
      <c r="F394" s="2">
        <v>3.75</v>
      </c>
      <c r="G394" t="s">
        <v>710</v>
      </c>
    </row>
    <row r="395" spans="1:7">
      <c r="A395" s="1">
        <v>45845</v>
      </c>
      <c r="B395" s="78">
        <v>45869</v>
      </c>
      <c r="C395" t="s">
        <v>208</v>
      </c>
      <c r="D395" t="s">
        <v>15</v>
      </c>
      <c r="E395" t="s">
        <v>1356</v>
      </c>
      <c r="F395" s="2">
        <v>36000</v>
      </c>
      <c r="G395" t="s">
        <v>710</v>
      </c>
    </row>
    <row r="396" spans="1:7">
      <c r="A396" s="1">
        <v>45845</v>
      </c>
      <c r="B396" s="78">
        <v>45869</v>
      </c>
      <c r="C396" t="s">
        <v>208</v>
      </c>
      <c r="D396" t="s">
        <v>3</v>
      </c>
      <c r="E396" t="s">
        <v>865</v>
      </c>
      <c r="F396" s="2">
        <v>25</v>
      </c>
      <c r="G396" t="s">
        <v>710</v>
      </c>
    </row>
    <row r="397" spans="1:7">
      <c r="A397" s="1">
        <v>45845</v>
      </c>
      <c r="B397" s="78">
        <v>45869</v>
      </c>
      <c r="C397" t="s">
        <v>208</v>
      </c>
      <c r="D397" t="s">
        <v>3</v>
      </c>
      <c r="E397" t="s">
        <v>865</v>
      </c>
      <c r="F397" s="2">
        <v>1.8799999952316284</v>
      </c>
      <c r="G397" t="s">
        <v>710</v>
      </c>
    </row>
    <row r="398" spans="1:7">
      <c r="A398" s="1">
        <v>45845</v>
      </c>
      <c r="B398" s="78">
        <v>45869</v>
      </c>
      <c r="C398" t="s">
        <v>209</v>
      </c>
      <c r="D398" t="s">
        <v>15</v>
      </c>
      <c r="E398" t="s">
        <v>1356</v>
      </c>
      <c r="F398" s="2">
        <v>103000</v>
      </c>
      <c r="G398" t="s">
        <v>710</v>
      </c>
    </row>
    <row r="399" spans="1:7">
      <c r="A399" s="1">
        <v>45845</v>
      </c>
      <c r="B399" s="78">
        <v>45869</v>
      </c>
      <c r="C399" t="s">
        <v>209</v>
      </c>
      <c r="D399" t="s">
        <v>3</v>
      </c>
      <c r="E399" t="s">
        <v>865</v>
      </c>
      <c r="F399" s="2">
        <v>50</v>
      </c>
      <c r="G399" t="s">
        <v>710</v>
      </c>
    </row>
    <row r="400" spans="1:7">
      <c r="A400" s="1">
        <v>45845</v>
      </c>
      <c r="B400" s="78">
        <v>45869</v>
      </c>
      <c r="C400" t="s">
        <v>209</v>
      </c>
      <c r="D400" t="s">
        <v>3</v>
      </c>
      <c r="E400" t="s">
        <v>865</v>
      </c>
      <c r="F400" s="2">
        <v>3.75</v>
      </c>
      <c r="G400" t="s">
        <v>710</v>
      </c>
    </row>
    <row r="401" spans="1:8">
      <c r="A401" s="1">
        <v>45845</v>
      </c>
      <c r="B401" s="78">
        <v>45869</v>
      </c>
      <c r="C401" t="s">
        <v>210</v>
      </c>
      <c r="D401" t="s">
        <v>15</v>
      </c>
      <c r="E401" t="s">
        <v>1356</v>
      </c>
      <c r="F401" s="2">
        <v>16000</v>
      </c>
      <c r="G401" t="s">
        <v>710</v>
      </c>
    </row>
    <row r="402" spans="1:8">
      <c r="A402" s="1">
        <v>45845</v>
      </c>
      <c r="B402" s="78">
        <v>45869</v>
      </c>
      <c r="C402" t="s">
        <v>210</v>
      </c>
      <c r="D402" t="s">
        <v>3</v>
      </c>
      <c r="E402" t="s">
        <v>865</v>
      </c>
      <c r="F402" s="2">
        <v>25</v>
      </c>
      <c r="G402" t="s">
        <v>710</v>
      </c>
    </row>
    <row r="403" spans="1:8">
      <c r="A403" s="1">
        <v>45845</v>
      </c>
      <c r="B403" s="78">
        <v>45869</v>
      </c>
      <c r="C403" t="s">
        <v>210</v>
      </c>
      <c r="D403" t="s">
        <v>3</v>
      </c>
      <c r="E403" t="s">
        <v>865</v>
      </c>
      <c r="F403" s="2">
        <v>1.8799999952316284</v>
      </c>
      <c r="G403" t="s">
        <v>710</v>
      </c>
    </row>
    <row r="404" spans="1:8">
      <c r="A404" s="1">
        <v>45845</v>
      </c>
      <c r="B404" s="78">
        <v>45869</v>
      </c>
      <c r="C404" t="s">
        <v>211</v>
      </c>
      <c r="D404" t="s">
        <v>4</v>
      </c>
      <c r="E404" t="s">
        <v>874</v>
      </c>
      <c r="F404" s="2">
        <v>50000</v>
      </c>
      <c r="G404" t="s">
        <v>710</v>
      </c>
    </row>
    <row r="405" spans="1:8">
      <c r="A405" s="1">
        <v>45845</v>
      </c>
      <c r="B405" s="78">
        <v>45869</v>
      </c>
      <c r="C405" t="s">
        <v>211</v>
      </c>
      <c r="D405" t="s">
        <v>3</v>
      </c>
      <c r="E405" t="s">
        <v>865</v>
      </c>
      <c r="F405" s="2">
        <v>25</v>
      </c>
      <c r="G405" t="s">
        <v>710</v>
      </c>
    </row>
    <row r="406" spans="1:8">
      <c r="A406" s="1">
        <v>45845</v>
      </c>
      <c r="B406" s="78">
        <v>45869</v>
      </c>
      <c r="C406" t="s">
        <v>211</v>
      </c>
      <c r="D406" t="s">
        <v>3</v>
      </c>
      <c r="E406" t="s">
        <v>865</v>
      </c>
      <c r="F406" s="2">
        <v>1.8800000101327896</v>
      </c>
      <c r="G406" t="s">
        <v>710</v>
      </c>
    </row>
    <row r="407" spans="1:8">
      <c r="A407" s="1">
        <v>45847</v>
      </c>
      <c r="B407" s="78">
        <v>45869</v>
      </c>
      <c r="C407" t="s">
        <v>213</v>
      </c>
      <c r="D407" t="s">
        <v>26</v>
      </c>
      <c r="E407" t="s">
        <v>979</v>
      </c>
      <c r="F407" s="2">
        <v>20700</v>
      </c>
      <c r="G407" t="s">
        <v>710</v>
      </c>
    </row>
    <row r="408" spans="1:8">
      <c r="A408" s="1">
        <v>45847</v>
      </c>
      <c r="B408" s="78">
        <v>45869</v>
      </c>
      <c r="C408" t="s">
        <v>213</v>
      </c>
      <c r="D408" t="s">
        <v>3</v>
      </c>
      <c r="E408" t="s">
        <v>865</v>
      </c>
      <c r="F408" s="2">
        <v>25</v>
      </c>
      <c r="G408" t="s">
        <v>710</v>
      </c>
    </row>
    <row r="409" spans="1:8">
      <c r="A409" s="1">
        <v>45847</v>
      </c>
      <c r="B409" s="78">
        <v>45869</v>
      </c>
      <c r="C409" t="s">
        <v>213</v>
      </c>
      <c r="D409" t="s">
        <v>3</v>
      </c>
      <c r="E409" t="s">
        <v>865</v>
      </c>
      <c r="F409" s="2">
        <v>1.8799999952316284</v>
      </c>
      <c r="G409" t="s">
        <v>710</v>
      </c>
    </row>
    <row r="410" spans="1:8">
      <c r="A410" s="1">
        <v>45848</v>
      </c>
      <c r="B410" s="78">
        <v>45869</v>
      </c>
      <c r="C410" t="s">
        <v>215</v>
      </c>
      <c r="D410" t="s">
        <v>4</v>
      </c>
      <c r="E410" t="s">
        <v>874</v>
      </c>
      <c r="F410" s="2">
        <v>53750</v>
      </c>
      <c r="G410" t="s">
        <v>710</v>
      </c>
    </row>
    <row r="411" spans="1:8">
      <c r="A411" s="1">
        <v>45848</v>
      </c>
      <c r="B411" s="78">
        <v>45869</v>
      </c>
      <c r="C411" t="s">
        <v>216</v>
      </c>
      <c r="D411" t="s">
        <v>3</v>
      </c>
      <c r="E411" t="s">
        <v>865</v>
      </c>
      <c r="F411" s="2">
        <v>50</v>
      </c>
      <c r="G411" t="s">
        <v>710</v>
      </c>
    </row>
    <row r="412" spans="1:8">
      <c r="A412" s="1">
        <v>45848</v>
      </c>
      <c r="B412" s="78">
        <v>45869</v>
      </c>
      <c r="C412" t="s">
        <v>217</v>
      </c>
      <c r="D412" t="s">
        <v>3</v>
      </c>
      <c r="E412" t="s">
        <v>865</v>
      </c>
      <c r="F412" s="2">
        <v>3.75</v>
      </c>
      <c r="G412" t="s">
        <v>710</v>
      </c>
    </row>
    <row r="413" spans="1:8">
      <c r="A413" s="1">
        <v>45848</v>
      </c>
      <c r="B413" s="78">
        <v>45869</v>
      </c>
      <c r="C413" t="s">
        <v>218</v>
      </c>
      <c r="D413" t="s">
        <v>5</v>
      </c>
      <c r="E413" t="s">
        <v>5</v>
      </c>
      <c r="F413" s="2">
        <v>2687.5</v>
      </c>
      <c r="G413" t="s">
        <v>710</v>
      </c>
    </row>
    <row r="414" spans="1:8">
      <c r="A414" s="1">
        <v>45848</v>
      </c>
      <c r="B414" s="78">
        <v>45869</v>
      </c>
      <c r="C414" t="s">
        <v>219</v>
      </c>
      <c r="D414" t="s">
        <v>5</v>
      </c>
      <c r="E414" t="s">
        <v>5</v>
      </c>
      <c r="F414" s="2">
        <v>2687.5</v>
      </c>
      <c r="G414" t="s">
        <v>710</v>
      </c>
    </row>
    <row r="415" spans="1:8">
      <c r="A415" s="1">
        <v>45848</v>
      </c>
      <c r="B415" s="78">
        <v>45869</v>
      </c>
      <c r="C415" t="s">
        <v>220</v>
      </c>
      <c r="D415" t="s">
        <v>5</v>
      </c>
      <c r="E415" t="s">
        <v>5</v>
      </c>
      <c r="F415" s="2">
        <v>2687.5</v>
      </c>
      <c r="G415" t="s">
        <v>710</v>
      </c>
    </row>
    <row r="416" spans="1:8">
      <c r="A416" s="1">
        <v>45848</v>
      </c>
      <c r="B416" s="78">
        <v>45869</v>
      </c>
      <c r="C416" t="s">
        <v>221</v>
      </c>
      <c r="D416" t="s">
        <v>19</v>
      </c>
      <c r="E416" t="s">
        <v>1356</v>
      </c>
      <c r="F416" s="2">
        <v>65000</v>
      </c>
      <c r="G416" t="s">
        <v>710</v>
      </c>
      <c r="H416" t="s">
        <v>751</v>
      </c>
    </row>
    <row r="417" spans="1:8">
      <c r="A417" s="1">
        <v>45848</v>
      </c>
      <c r="B417" s="78">
        <v>45869</v>
      </c>
      <c r="C417" t="s">
        <v>222</v>
      </c>
      <c r="D417" t="s">
        <v>3</v>
      </c>
      <c r="E417" t="s">
        <v>865</v>
      </c>
      <c r="F417" s="2">
        <v>50</v>
      </c>
      <c r="G417" t="s">
        <v>710</v>
      </c>
    </row>
    <row r="418" spans="1:8">
      <c r="A418" s="1">
        <v>45848</v>
      </c>
      <c r="B418" s="78">
        <v>45869</v>
      </c>
      <c r="C418" t="s">
        <v>223</v>
      </c>
      <c r="D418" t="s">
        <v>3</v>
      </c>
      <c r="E418" t="s">
        <v>865</v>
      </c>
      <c r="F418" s="2">
        <v>3.75</v>
      </c>
      <c r="G418" t="s">
        <v>710</v>
      </c>
    </row>
    <row r="419" spans="1:8">
      <c r="A419" s="1">
        <v>45849</v>
      </c>
      <c r="B419" s="78">
        <v>45869</v>
      </c>
      <c r="C419" t="s">
        <v>225</v>
      </c>
      <c r="D419" t="s">
        <v>19</v>
      </c>
      <c r="E419" t="s">
        <v>871</v>
      </c>
      <c r="F419" s="2">
        <v>1250000</v>
      </c>
      <c r="G419" t="s">
        <v>710</v>
      </c>
      <c r="H419" t="s">
        <v>748</v>
      </c>
    </row>
    <row r="420" spans="1:8">
      <c r="A420" s="1">
        <v>45849</v>
      </c>
      <c r="B420" s="78">
        <v>45869</v>
      </c>
      <c r="C420" t="s">
        <v>226</v>
      </c>
      <c r="D420" t="s">
        <v>3</v>
      </c>
      <c r="E420" t="s">
        <v>865</v>
      </c>
      <c r="F420" s="2">
        <v>50</v>
      </c>
      <c r="G420" t="s">
        <v>710</v>
      </c>
    </row>
    <row r="421" spans="1:8">
      <c r="A421" s="1">
        <v>45849</v>
      </c>
      <c r="B421" s="78">
        <v>45869</v>
      </c>
      <c r="C421" t="s">
        <v>227</v>
      </c>
      <c r="D421" t="s">
        <v>3</v>
      </c>
      <c r="E421" t="s">
        <v>865</v>
      </c>
      <c r="F421" s="2">
        <v>3.75</v>
      </c>
      <c r="G421" t="s">
        <v>710</v>
      </c>
    </row>
    <row r="422" spans="1:8">
      <c r="A422" s="1">
        <v>45855</v>
      </c>
      <c r="B422" s="78">
        <v>45869</v>
      </c>
      <c r="C422" t="s">
        <v>229</v>
      </c>
      <c r="D422" t="s">
        <v>19</v>
      </c>
      <c r="E422" t="s">
        <v>979</v>
      </c>
      <c r="F422" s="2">
        <v>240000</v>
      </c>
      <c r="G422" t="s">
        <v>710</v>
      </c>
      <c r="H422" t="s">
        <v>752</v>
      </c>
    </row>
    <row r="423" spans="1:8">
      <c r="A423" s="1">
        <v>45855</v>
      </c>
      <c r="B423" s="78">
        <v>45869</v>
      </c>
      <c r="C423" t="s">
        <v>230</v>
      </c>
      <c r="D423" t="s">
        <v>3</v>
      </c>
      <c r="E423" t="s">
        <v>865</v>
      </c>
      <c r="F423" s="2">
        <v>50</v>
      </c>
      <c r="G423" t="s">
        <v>710</v>
      </c>
    </row>
    <row r="424" spans="1:8">
      <c r="A424" s="1">
        <v>45855</v>
      </c>
      <c r="B424" s="78">
        <v>45869</v>
      </c>
      <c r="C424" t="s">
        <v>231</v>
      </c>
      <c r="D424" t="s">
        <v>3</v>
      </c>
      <c r="E424" t="s">
        <v>865</v>
      </c>
      <c r="F424" s="2">
        <v>3.75</v>
      </c>
      <c r="G424" t="s">
        <v>710</v>
      </c>
    </row>
    <row r="425" spans="1:8">
      <c r="A425" s="1">
        <v>45855</v>
      </c>
      <c r="B425" s="78">
        <v>45869</v>
      </c>
      <c r="C425" t="s">
        <v>232</v>
      </c>
      <c r="D425" t="s">
        <v>28</v>
      </c>
      <c r="E425" t="s">
        <v>979</v>
      </c>
      <c r="F425" s="2">
        <v>420180</v>
      </c>
      <c r="G425" t="s">
        <v>710</v>
      </c>
    </row>
    <row r="426" spans="1:8">
      <c r="A426" s="1">
        <v>45855</v>
      </c>
      <c r="B426" s="78">
        <v>45869</v>
      </c>
      <c r="C426" t="s">
        <v>233</v>
      </c>
      <c r="D426" t="s">
        <v>3</v>
      </c>
      <c r="E426" t="s">
        <v>865</v>
      </c>
      <c r="F426" s="2">
        <v>50</v>
      </c>
      <c r="G426" t="s">
        <v>710</v>
      </c>
    </row>
    <row r="427" spans="1:8">
      <c r="A427" s="1">
        <v>45855</v>
      </c>
      <c r="B427" s="78">
        <v>45869</v>
      </c>
      <c r="C427" t="s">
        <v>234</v>
      </c>
      <c r="D427" t="s">
        <v>3</v>
      </c>
      <c r="E427" t="s">
        <v>865</v>
      </c>
      <c r="F427" s="2">
        <v>3.75</v>
      </c>
      <c r="G427" t="s">
        <v>710</v>
      </c>
    </row>
    <row r="428" spans="1:8">
      <c r="A428" s="1">
        <v>45855</v>
      </c>
      <c r="B428" s="78">
        <v>45869</v>
      </c>
      <c r="C428" t="s">
        <v>235</v>
      </c>
      <c r="D428" t="s">
        <v>13</v>
      </c>
      <c r="E428" t="s">
        <v>800</v>
      </c>
      <c r="F428" s="2">
        <v>785000</v>
      </c>
      <c r="G428" t="s">
        <v>710</v>
      </c>
    </row>
    <row r="429" spans="1:8">
      <c r="A429" s="1">
        <v>45855</v>
      </c>
      <c r="B429" s="78">
        <v>45869</v>
      </c>
      <c r="C429" t="s">
        <v>236</v>
      </c>
      <c r="D429" t="s">
        <v>3</v>
      </c>
      <c r="E429" t="s">
        <v>865</v>
      </c>
      <c r="F429" s="2">
        <v>50</v>
      </c>
      <c r="G429" t="s">
        <v>710</v>
      </c>
    </row>
    <row r="430" spans="1:8">
      <c r="A430" s="1">
        <v>45855</v>
      </c>
      <c r="B430" s="78">
        <v>45869</v>
      </c>
      <c r="C430" t="s">
        <v>237</v>
      </c>
      <c r="D430" t="s">
        <v>3</v>
      </c>
      <c r="E430" t="s">
        <v>865</v>
      </c>
      <c r="F430" s="2">
        <v>3.75</v>
      </c>
      <c r="G430" t="s">
        <v>710</v>
      </c>
    </row>
    <row r="431" spans="1:8">
      <c r="A431" s="1">
        <v>45856</v>
      </c>
      <c r="B431" s="78">
        <v>45869</v>
      </c>
      <c r="C431" t="s">
        <v>239</v>
      </c>
      <c r="D431" t="s">
        <v>4</v>
      </c>
      <c r="E431" t="s">
        <v>874</v>
      </c>
      <c r="F431" s="2">
        <v>260000</v>
      </c>
      <c r="G431" t="s">
        <v>710</v>
      </c>
    </row>
    <row r="432" spans="1:8">
      <c r="A432" s="1">
        <v>45856</v>
      </c>
      <c r="B432" s="78">
        <v>45869</v>
      </c>
      <c r="C432" t="s">
        <v>240</v>
      </c>
      <c r="D432" t="s">
        <v>3</v>
      </c>
      <c r="E432" t="s">
        <v>865</v>
      </c>
      <c r="F432" s="2">
        <v>50</v>
      </c>
      <c r="G432" t="s">
        <v>710</v>
      </c>
    </row>
    <row r="433" spans="1:7">
      <c r="A433" s="1">
        <v>45856</v>
      </c>
      <c r="B433" s="78">
        <v>45869</v>
      </c>
      <c r="C433" t="s">
        <v>241</v>
      </c>
      <c r="D433" t="s">
        <v>3</v>
      </c>
      <c r="E433" t="s">
        <v>865</v>
      </c>
      <c r="F433" s="2">
        <v>3.75</v>
      </c>
      <c r="G433" t="s">
        <v>710</v>
      </c>
    </row>
    <row r="434" spans="1:7">
      <c r="A434" s="1">
        <v>45856</v>
      </c>
      <c r="B434" s="78">
        <v>45869</v>
      </c>
      <c r="C434" t="s">
        <v>242</v>
      </c>
      <c r="D434" t="s">
        <v>27</v>
      </c>
      <c r="E434" t="s">
        <v>27</v>
      </c>
      <c r="F434" s="2">
        <v>31500</v>
      </c>
      <c r="G434" t="s">
        <v>710</v>
      </c>
    </row>
    <row r="435" spans="1:7">
      <c r="A435" s="1">
        <v>45856</v>
      </c>
      <c r="B435" s="78">
        <v>45869</v>
      </c>
      <c r="C435" t="s">
        <v>242</v>
      </c>
      <c r="D435" t="s">
        <v>3</v>
      </c>
      <c r="E435" t="s">
        <v>865</v>
      </c>
      <c r="F435" s="2">
        <v>25</v>
      </c>
      <c r="G435" t="s">
        <v>710</v>
      </c>
    </row>
    <row r="436" spans="1:7">
      <c r="A436" s="1">
        <v>45856</v>
      </c>
      <c r="B436" s="78">
        <v>45869</v>
      </c>
      <c r="C436" t="s">
        <v>242</v>
      </c>
      <c r="D436" t="s">
        <v>3</v>
      </c>
      <c r="E436" t="s">
        <v>865</v>
      </c>
      <c r="F436" s="2">
        <v>1.8799999952316284</v>
      </c>
      <c r="G436" t="s">
        <v>710</v>
      </c>
    </row>
    <row r="437" spans="1:7">
      <c r="A437" s="1">
        <v>45856</v>
      </c>
      <c r="B437" s="78">
        <v>45869</v>
      </c>
      <c r="C437" t="s">
        <v>243</v>
      </c>
      <c r="D437" t="s">
        <v>27</v>
      </c>
      <c r="E437" t="s">
        <v>27</v>
      </c>
      <c r="F437" s="2">
        <v>14540</v>
      </c>
      <c r="G437" t="s">
        <v>710</v>
      </c>
    </row>
    <row r="438" spans="1:7">
      <c r="A438" s="1">
        <v>45856</v>
      </c>
      <c r="B438" s="78">
        <v>45869</v>
      </c>
      <c r="C438" t="s">
        <v>243</v>
      </c>
      <c r="D438" t="s">
        <v>3</v>
      </c>
      <c r="E438" t="s">
        <v>865</v>
      </c>
      <c r="F438" s="2">
        <v>25</v>
      </c>
      <c r="G438" t="s">
        <v>710</v>
      </c>
    </row>
    <row r="439" spans="1:7">
      <c r="A439" s="1">
        <v>45856</v>
      </c>
      <c r="B439" s="78">
        <v>45869</v>
      </c>
      <c r="C439" t="s">
        <v>243</v>
      </c>
      <c r="D439" t="s">
        <v>3</v>
      </c>
      <c r="E439" t="s">
        <v>865</v>
      </c>
      <c r="F439" s="2">
        <v>1.8800000101327896</v>
      </c>
      <c r="G439" t="s">
        <v>710</v>
      </c>
    </row>
    <row r="440" spans="1:7">
      <c r="A440" s="1">
        <v>45856</v>
      </c>
      <c r="B440" s="78">
        <v>45869</v>
      </c>
      <c r="C440" t="s">
        <v>244</v>
      </c>
      <c r="D440" t="s">
        <v>26</v>
      </c>
      <c r="E440" t="s">
        <v>979</v>
      </c>
      <c r="F440" s="2">
        <v>263078</v>
      </c>
      <c r="G440" t="s">
        <v>710</v>
      </c>
    </row>
    <row r="441" spans="1:7">
      <c r="A441" s="1">
        <v>45856</v>
      </c>
      <c r="B441" s="78">
        <v>45869</v>
      </c>
      <c r="C441" t="s">
        <v>244</v>
      </c>
      <c r="D441" t="s">
        <v>3</v>
      </c>
      <c r="E441" t="s">
        <v>865</v>
      </c>
      <c r="F441" s="2">
        <v>50</v>
      </c>
      <c r="G441" t="s">
        <v>710</v>
      </c>
    </row>
    <row r="442" spans="1:7">
      <c r="A442" s="1">
        <v>45856</v>
      </c>
      <c r="B442" s="78">
        <v>45869</v>
      </c>
      <c r="C442" t="s">
        <v>244</v>
      </c>
      <c r="D442" t="s">
        <v>3</v>
      </c>
      <c r="E442" t="s">
        <v>865</v>
      </c>
      <c r="F442" s="2">
        <v>3.75</v>
      </c>
      <c r="G442" t="s">
        <v>710</v>
      </c>
    </row>
    <row r="443" spans="1:7">
      <c r="A443" s="1">
        <v>45856</v>
      </c>
      <c r="B443" s="78">
        <v>45869</v>
      </c>
      <c r="C443" t="s">
        <v>245</v>
      </c>
      <c r="D443" t="s">
        <v>11</v>
      </c>
      <c r="E443" t="s">
        <v>955</v>
      </c>
      <c r="F443" s="2">
        <v>57000</v>
      </c>
      <c r="G443" t="s">
        <v>710</v>
      </c>
    </row>
    <row r="444" spans="1:7">
      <c r="A444" s="1">
        <v>45856</v>
      </c>
      <c r="B444" s="78">
        <v>45869</v>
      </c>
      <c r="C444" t="s">
        <v>245</v>
      </c>
      <c r="D444" t="s">
        <v>3</v>
      </c>
      <c r="E444" t="s">
        <v>865</v>
      </c>
      <c r="F444" s="2">
        <v>50</v>
      </c>
      <c r="G444" t="s">
        <v>710</v>
      </c>
    </row>
    <row r="445" spans="1:7">
      <c r="A445" s="1">
        <v>45856</v>
      </c>
      <c r="B445" s="78">
        <v>45869</v>
      </c>
      <c r="C445" t="s">
        <v>245</v>
      </c>
      <c r="D445" t="s">
        <v>3</v>
      </c>
      <c r="E445" t="s">
        <v>865</v>
      </c>
      <c r="F445" s="2">
        <v>3.75</v>
      </c>
      <c r="G445" t="s">
        <v>710</v>
      </c>
    </row>
    <row r="446" spans="1:7">
      <c r="A446" s="1">
        <v>45859</v>
      </c>
      <c r="B446" s="78">
        <v>45869</v>
      </c>
      <c r="C446" t="s">
        <v>247</v>
      </c>
      <c r="D446" t="s">
        <v>15</v>
      </c>
      <c r="E446" t="s">
        <v>1356</v>
      </c>
      <c r="F446" s="2">
        <v>250400</v>
      </c>
      <c r="G446" t="s">
        <v>710</v>
      </c>
    </row>
    <row r="447" spans="1:7">
      <c r="A447" s="1">
        <v>45859</v>
      </c>
      <c r="B447" s="78">
        <v>45869</v>
      </c>
      <c r="C447" t="s">
        <v>247</v>
      </c>
      <c r="D447" t="s">
        <v>3</v>
      </c>
      <c r="E447" t="s">
        <v>865</v>
      </c>
      <c r="F447" s="2">
        <v>50</v>
      </c>
      <c r="G447" t="s">
        <v>710</v>
      </c>
    </row>
    <row r="448" spans="1:7">
      <c r="A448" s="1">
        <v>45859</v>
      </c>
      <c r="B448" s="78">
        <v>45869</v>
      </c>
      <c r="C448" t="s">
        <v>247</v>
      </c>
      <c r="D448" t="s">
        <v>3</v>
      </c>
      <c r="E448" t="s">
        <v>865</v>
      </c>
      <c r="F448" s="2">
        <v>3.75</v>
      </c>
      <c r="G448" t="s">
        <v>710</v>
      </c>
    </row>
    <row r="449" spans="1:7">
      <c r="A449" s="1">
        <v>45859</v>
      </c>
      <c r="B449" s="78">
        <v>45869</v>
      </c>
      <c r="C449" t="s">
        <v>248</v>
      </c>
      <c r="D449" t="s">
        <v>11</v>
      </c>
      <c r="E449" t="s">
        <v>955</v>
      </c>
      <c r="F449" s="2">
        <v>30000</v>
      </c>
      <c r="G449" t="s">
        <v>710</v>
      </c>
    </row>
    <row r="450" spans="1:7">
      <c r="A450" s="1">
        <v>45859</v>
      </c>
      <c r="B450" s="78">
        <v>45869</v>
      </c>
      <c r="C450" t="s">
        <v>248</v>
      </c>
      <c r="D450" t="s">
        <v>3</v>
      </c>
      <c r="E450" t="s">
        <v>865</v>
      </c>
      <c r="F450" s="2">
        <v>25</v>
      </c>
      <c r="G450" t="s">
        <v>710</v>
      </c>
    </row>
    <row r="451" spans="1:7">
      <c r="A451" s="1">
        <v>45859</v>
      </c>
      <c r="B451" s="78">
        <v>45869</v>
      </c>
      <c r="C451" t="s">
        <v>248</v>
      </c>
      <c r="D451" t="s">
        <v>3</v>
      </c>
      <c r="E451" t="s">
        <v>865</v>
      </c>
      <c r="F451" s="2">
        <v>1.8799999952316284</v>
      </c>
      <c r="G451" t="s">
        <v>710</v>
      </c>
    </row>
    <row r="452" spans="1:7">
      <c r="A452" s="1">
        <v>45860</v>
      </c>
      <c r="B452" s="78">
        <v>45869</v>
      </c>
      <c r="C452" t="s">
        <v>250</v>
      </c>
      <c r="D452" t="s">
        <v>13</v>
      </c>
      <c r="E452" t="s">
        <v>800</v>
      </c>
      <c r="F452" s="2">
        <v>370000</v>
      </c>
      <c r="G452" t="s">
        <v>710</v>
      </c>
    </row>
    <row r="453" spans="1:7">
      <c r="A453" s="1">
        <v>45860</v>
      </c>
      <c r="B453" s="78">
        <v>45869</v>
      </c>
      <c r="C453" t="s">
        <v>250</v>
      </c>
      <c r="D453" t="s">
        <v>3</v>
      </c>
      <c r="E453" t="s">
        <v>865</v>
      </c>
      <c r="F453" s="2">
        <v>50</v>
      </c>
      <c r="G453" t="s">
        <v>710</v>
      </c>
    </row>
    <row r="454" spans="1:7">
      <c r="A454" s="1">
        <v>45860</v>
      </c>
      <c r="B454" s="78">
        <v>45869</v>
      </c>
      <c r="C454" t="s">
        <v>250</v>
      </c>
      <c r="D454" t="s">
        <v>3</v>
      </c>
      <c r="E454" t="s">
        <v>865</v>
      </c>
      <c r="F454" s="2">
        <v>3.75</v>
      </c>
      <c r="G454" t="s">
        <v>710</v>
      </c>
    </row>
    <row r="455" spans="1:7">
      <c r="A455" s="1">
        <v>45860</v>
      </c>
      <c r="B455" s="78">
        <v>45869</v>
      </c>
      <c r="C455" t="s">
        <v>251</v>
      </c>
      <c r="D455" t="s">
        <v>29</v>
      </c>
      <c r="E455" t="s">
        <v>963</v>
      </c>
      <c r="F455" s="2">
        <v>120000</v>
      </c>
      <c r="G455" t="s">
        <v>710</v>
      </c>
    </row>
    <row r="456" spans="1:7">
      <c r="A456" s="1">
        <v>45860</v>
      </c>
      <c r="B456" s="78">
        <v>45869</v>
      </c>
      <c r="C456" t="s">
        <v>251</v>
      </c>
      <c r="D456" t="s">
        <v>3</v>
      </c>
      <c r="E456" t="s">
        <v>865</v>
      </c>
      <c r="F456" s="2">
        <v>50</v>
      </c>
      <c r="G456" t="s">
        <v>710</v>
      </c>
    </row>
    <row r="457" spans="1:7">
      <c r="A457" s="1">
        <v>45860</v>
      </c>
      <c r="B457" s="78">
        <v>45869</v>
      </c>
      <c r="C457" t="s">
        <v>251</v>
      </c>
      <c r="D457" t="s">
        <v>3</v>
      </c>
      <c r="E457" t="s">
        <v>865</v>
      </c>
      <c r="F457" s="2">
        <v>3.75</v>
      </c>
      <c r="G457" t="s">
        <v>710</v>
      </c>
    </row>
    <row r="458" spans="1:7">
      <c r="A458" s="1">
        <v>45861</v>
      </c>
      <c r="B458" s="78">
        <v>45869</v>
      </c>
      <c r="C458" t="s">
        <v>253</v>
      </c>
      <c r="D458" t="s">
        <v>4</v>
      </c>
      <c r="E458" t="s">
        <v>874</v>
      </c>
      <c r="F458" s="2">
        <v>48000</v>
      </c>
      <c r="G458" t="s">
        <v>710</v>
      </c>
    </row>
    <row r="459" spans="1:7">
      <c r="A459" s="1">
        <v>45861</v>
      </c>
      <c r="B459" s="78">
        <v>45869</v>
      </c>
      <c r="C459" t="s">
        <v>253</v>
      </c>
      <c r="D459" t="s">
        <v>3</v>
      </c>
      <c r="E459" t="s">
        <v>865</v>
      </c>
      <c r="F459" s="2">
        <v>25</v>
      </c>
      <c r="G459" t="s">
        <v>710</v>
      </c>
    </row>
    <row r="460" spans="1:7">
      <c r="A460" s="1">
        <v>45861</v>
      </c>
      <c r="B460" s="78">
        <v>45869</v>
      </c>
      <c r="C460" t="s">
        <v>253</v>
      </c>
      <c r="D460" t="s">
        <v>3</v>
      </c>
      <c r="E460" t="s">
        <v>865</v>
      </c>
      <c r="F460" s="2">
        <v>1.8799999952316284</v>
      </c>
      <c r="G460" t="s">
        <v>710</v>
      </c>
    </row>
    <row r="461" spans="1:7">
      <c r="A461" s="1">
        <v>45861</v>
      </c>
      <c r="B461" s="78">
        <v>45869</v>
      </c>
      <c r="C461" t="s">
        <v>254</v>
      </c>
      <c r="D461" t="s">
        <v>4</v>
      </c>
      <c r="E461" t="s">
        <v>874</v>
      </c>
      <c r="F461" s="2">
        <v>90000</v>
      </c>
      <c r="G461" t="s">
        <v>710</v>
      </c>
    </row>
    <row r="462" spans="1:7">
      <c r="A462" s="1">
        <v>45861</v>
      </c>
      <c r="B462" s="78">
        <v>45869</v>
      </c>
      <c r="C462" t="s">
        <v>254</v>
      </c>
      <c r="D462" t="s">
        <v>3</v>
      </c>
      <c r="E462" t="s">
        <v>865</v>
      </c>
      <c r="F462" s="2">
        <v>50</v>
      </c>
      <c r="G462" t="s">
        <v>710</v>
      </c>
    </row>
    <row r="463" spans="1:7">
      <c r="A463" s="1">
        <v>45861</v>
      </c>
      <c r="B463" s="78">
        <v>45869</v>
      </c>
      <c r="C463" t="s">
        <v>254</v>
      </c>
      <c r="D463" t="s">
        <v>3</v>
      </c>
      <c r="E463" t="s">
        <v>865</v>
      </c>
      <c r="F463" s="2">
        <v>3.75</v>
      </c>
      <c r="G463" t="s">
        <v>710</v>
      </c>
    </row>
    <row r="464" spans="1:7">
      <c r="A464" s="1">
        <v>45861</v>
      </c>
      <c r="B464" s="78">
        <v>45869</v>
      </c>
      <c r="C464" t="s">
        <v>255</v>
      </c>
      <c r="D464" t="s">
        <v>4</v>
      </c>
      <c r="E464" t="s">
        <v>874</v>
      </c>
      <c r="F464" s="2">
        <v>40000</v>
      </c>
      <c r="G464" t="s">
        <v>710</v>
      </c>
    </row>
    <row r="465" spans="1:7">
      <c r="A465" s="1">
        <v>45861</v>
      </c>
      <c r="B465" s="78">
        <v>45869</v>
      </c>
      <c r="C465" t="s">
        <v>255</v>
      </c>
      <c r="D465" t="s">
        <v>3</v>
      </c>
      <c r="E465" t="s">
        <v>865</v>
      </c>
      <c r="F465" s="2">
        <v>25</v>
      </c>
      <c r="G465" t="s">
        <v>710</v>
      </c>
    </row>
    <row r="466" spans="1:7">
      <c r="A466" s="1">
        <v>45861</v>
      </c>
      <c r="B466" s="78">
        <v>45869</v>
      </c>
      <c r="C466" t="s">
        <v>255</v>
      </c>
      <c r="D466" t="s">
        <v>3</v>
      </c>
      <c r="E466" t="s">
        <v>865</v>
      </c>
      <c r="F466" s="2">
        <v>1.8800000101327896</v>
      </c>
      <c r="G466" t="s">
        <v>710</v>
      </c>
    </row>
    <row r="467" spans="1:7">
      <c r="A467" s="1">
        <v>45862</v>
      </c>
      <c r="B467" s="78">
        <v>45869</v>
      </c>
      <c r="C467" t="s">
        <v>257</v>
      </c>
      <c r="D467" t="s">
        <v>15</v>
      </c>
      <c r="E467" t="s">
        <v>1356</v>
      </c>
      <c r="F467" s="2">
        <v>223400</v>
      </c>
      <c r="G467" t="s">
        <v>710</v>
      </c>
    </row>
    <row r="468" spans="1:7">
      <c r="A468" s="1">
        <v>45862</v>
      </c>
      <c r="B468" s="78">
        <v>45869</v>
      </c>
      <c r="C468" t="s">
        <v>257</v>
      </c>
      <c r="D468" t="s">
        <v>3</v>
      </c>
      <c r="E468" t="s">
        <v>865</v>
      </c>
      <c r="F468" s="2">
        <v>50</v>
      </c>
      <c r="G468" t="s">
        <v>710</v>
      </c>
    </row>
    <row r="469" spans="1:7">
      <c r="A469" s="1">
        <v>45862</v>
      </c>
      <c r="B469" s="78">
        <v>45869</v>
      </c>
      <c r="C469" t="s">
        <v>257</v>
      </c>
      <c r="D469" t="s">
        <v>3</v>
      </c>
      <c r="E469" t="s">
        <v>865</v>
      </c>
      <c r="F469" s="2">
        <v>3.75</v>
      </c>
      <c r="G469" t="s">
        <v>710</v>
      </c>
    </row>
    <row r="470" spans="1:7">
      <c r="A470" s="1">
        <v>45862</v>
      </c>
      <c r="B470" s="78">
        <v>45869</v>
      </c>
      <c r="C470" t="s">
        <v>258</v>
      </c>
      <c r="D470" t="s">
        <v>15</v>
      </c>
      <c r="E470" t="s">
        <v>809</v>
      </c>
      <c r="F470" s="2">
        <v>34938</v>
      </c>
      <c r="G470" t="s">
        <v>710</v>
      </c>
    </row>
    <row r="471" spans="1:7">
      <c r="A471" s="1">
        <v>45862</v>
      </c>
      <c r="B471" s="78">
        <v>45869</v>
      </c>
      <c r="C471" t="s">
        <v>258</v>
      </c>
      <c r="D471" t="s">
        <v>3</v>
      </c>
      <c r="E471" t="s">
        <v>865</v>
      </c>
      <c r="F471" s="2">
        <v>25</v>
      </c>
      <c r="G471" t="s">
        <v>710</v>
      </c>
    </row>
    <row r="472" spans="1:7">
      <c r="A472" s="1">
        <v>45862</v>
      </c>
      <c r="B472" s="78">
        <v>45869</v>
      </c>
      <c r="C472" t="s">
        <v>258</v>
      </c>
      <c r="D472" t="s">
        <v>3</v>
      </c>
      <c r="E472" t="s">
        <v>865</v>
      </c>
      <c r="F472" s="2">
        <v>1.8799999952316284</v>
      </c>
      <c r="G472" t="s">
        <v>710</v>
      </c>
    </row>
    <row r="473" spans="1:7">
      <c r="A473" s="1">
        <v>45862</v>
      </c>
      <c r="B473" s="78">
        <v>45869</v>
      </c>
      <c r="C473" t="s">
        <v>259</v>
      </c>
      <c r="D473" t="s">
        <v>15</v>
      </c>
      <c r="E473" t="s">
        <v>809</v>
      </c>
      <c r="F473" s="2">
        <v>10000</v>
      </c>
      <c r="G473" t="s">
        <v>710</v>
      </c>
    </row>
    <row r="474" spans="1:7">
      <c r="A474" s="1">
        <v>45862</v>
      </c>
      <c r="B474" s="78">
        <v>45869</v>
      </c>
      <c r="C474" t="s">
        <v>259</v>
      </c>
      <c r="D474" t="s">
        <v>3</v>
      </c>
      <c r="E474" t="s">
        <v>865</v>
      </c>
      <c r="F474" s="2">
        <v>25</v>
      </c>
      <c r="G474" t="s">
        <v>710</v>
      </c>
    </row>
    <row r="475" spans="1:7">
      <c r="A475" s="1">
        <v>45862</v>
      </c>
      <c r="B475" s="78">
        <v>45869</v>
      </c>
      <c r="C475" t="s">
        <v>259</v>
      </c>
      <c r="D475" t="s">
        <v>3</v>
      </c>
      <c r="E475" t="s">
        <v>865</v>
      </c>
      <c r="F475" s="2">
        <v>1.8799999952316284</v>
      </c>
      <c r="G475" t="s">
        <v>710</v>
      </c>
    </row>
    <row r="476" spans="1:7">
      <c r="A476" s="1">
        <v>45862</v>
      </c>
      <c r="B476" s="78">
        <v>45869</v>
      </c>
      <c r="C476" t="s">
        <v>260</v>
      </c>
      <c r="D476" t="s">
        <v>15</v>
      </c>
      <c r="E476" t="s">
        <v>809</v>
      </c>
      <c r="F476" s="2">
        <v>12138</v>
      </c>
      <c r="G476" t="s">
        <v>710</v>
      </c>
    </row>
    <row r="477" spans="1:7">
      <c r="A477" s="1">
        <v>45862</v>
      </c>
      <c r="B477" s="78">
        <v>45869</v>
      </c>
      <c r="C477" t="s">
        <v>260</v>
      </c>
      <c r="D477" t="s">
        <v>3</v>
      </c>
      <c r="E477" t="s">
        <v>865</v>
      </c>
      <c r="F477" s="2">
        <v>25</v>
      </c>
      <c r="G477" t="s">
        <v>710</v>
      </c>
    </row>
    <row r="478" spans="1:7">
      <c r="A478" s="1">
        <v>45862</v>
      </c>
      <c r="B478" s="78">
        <v>45869</v>
      </c>
      <c r="C478" t="s">
        <v>260</v>
      </c>
      <c r="D478" t="s">
        <v>3</v>
      </c>
      <c r="E478" t="s">
        <v>865</v>
      </c>
      <c r="F478" s="2">
        <v>1.8800000101327896</v>
      </c>
      <c r="G478" t="s">
        <v>710</v>
      </c>
    </row>
    <row r="479" spans="1:7">
      <c r="A479" s="1">
        <v>45862</v>
      </c>
      <c r="B479" s="78">
        <v>45869</v>
      </c>
      <c r="C479" t="s">
        <v>261</v>
      </c>
      <c r="D479" t="s">
        <v>15</v>
      </c>
      <c r="E479" t="s">
        <v>1356</v>
      </c>
      <c r="F479" s="2">
        <v>25900</v>
      </c>
      <c r="G479" t="s">
        <v>710</v>
      </c>
    </row>
    <row r="480" spans="1:7">
      <c r="A480" s="1">
        <v>45862</v>
      </c>
      <c r="B480" s="78">
        <v>45869</v>
      </c>
      <c r="C480" t="s">
        <v>261</v>
      </c>
      <c r="D480" t="s">
        <v>3</v>
      </c>
      <c r="E480" t="s">
        <v>865</v>
      </c>
      <c r="F480" s="2">
        <v>25</v>
      </c>
      <c r="G480" t="s">
        <v>710</v>
      </c>
    </row>
    <row r="481" spans="1:7">
      <c r="A481" s="1">
        <v>45862</v>
      </c>
      <c r="B481" s="78">
        <v>45869</v>
      </c>
      <c r="C481" t="s">
        <v>261</v>
      </c>
      <c r="D481" t="s">
        <v>3</v>
      </c>
      <c r="E481" t="s">
        <v>865</v>
      </c>
      <c r="F481" s="2">
        <v>1.8799999952316284</v>
      </c>
      <c r="G481" t="s">
        <v>710</v>
      </c>
    </row>
    <row r="482" spans="1:7">
      <c r="A482" s="1">
        <v>45862</v>
      </c>
      <c r="B482" s="78">
        <v>45869</v>
      </c>
      <c r="C482" t="s">
        <v>262</v>
      </c>
      <c r="D482" t="s">
        <v>15</v>
      </c>
      <c r="E482" t="s">
        <v>1356</v>
      </c>
      <c r="F482" s="2">
        <v>13200</v>
      </c>
      <c r="G482" t="s">
        <v>710</v>
      </c>
    </row>
    <row r="483" spans="1:7">
      <c r="A483" s="1">
        <v>45862</v>
      </c>
      <c r="B483" s="78">
        <v>45869</v>
      </c>
      <c r="C483" t="s">
        <v>262</v>
      </c>
      <c r="D483" t="s">
        <v>3</v>
      </c>
      <c r="E483" t="s">
        <v>865</v>
      </c>
      <c r="F483" s="2">
        <v>25</v>
      </c>
      <c r="G483" t="s">
        <v>710</v>
      </c>
    </row>
    <row r="484" spans="1:7">
      <c r="A484" s="1">
        <v>45862</v>
      </c>
      <c r="B484" s="78">
        <v>45869</v>
      </c>
      <c r="C484" t="s">
        <v>262</v>
      </c>
      <c r="D484" t="s">
        <v>3</v>
      </c>
      <c r="E484" t="s">
        <v>865</v>
      </c>
      <c r="F484" s="2">
        <v>1.8799999952316284</v>
      </c>
      <c r="G484" t="s">
        <v>710</v>
      </c>
    </row>
    <row r="485" spans="1:7">
      <c r="A485" s="1">
        <v>45863</v>
      </c>
      <c r="B485" s="78">
        <v>45869</v>
      </c>
      <c r="C485" t="s">
        <v>264</v>
      </c>
      <c r="D485" t="s">
        <v>15</v>
      </c>
      <c r="E485" t="s">
        <v>1356</v>
      </c>
      <c r="F485" s="2">
        <v>250400</v>
      </c>
      <c r="G485" t="s">
        <v>710</v>
      </c>
    </row>
    <row r="486" spans="1:7">
      <c r="A486" s="1">
        <v>45863</v>
      </c>
      <c r="B486" s="78">
        <v>45869</v>
      </c>
      <c r="C486" t="s">
        <v>264</v>
      </c>
      <c r="D486" t="s">
        <v>3</v>
      </c>
      <c r="E486" t="s">
        <v>865</v>
      </c>
      <c r="F486" s="2">
        <v>50</v>
      </c>
      <c r="G486" t="s">
        <v>710</v>
      </c>
    </row>
    <row r="487" spans="1:7">
      <c r="A487" s="1">
        <v>45863</v>
      </c>
      <c r="B487" s="78">
        <v>45869</v>
      </c>
      <c r="C487" t="s">
        <v>264</v>
      </c>
      <c r="D487" t="s">
        <v>3</v>
      </c>
      <c r="E487" t="s">
        <v>865</v>
      </c>
      <c r="F487" s="2">
        <v>3.75</v>
      </c>
      <c r="G487" t="s">
        <v>710</v>
      </c>
    </row>
    <row r="488" spans="1:7">
      <c r="A488" s="1">
        <v>45863</v>
      </c>
      <c r="B488" s="78">
        <v>45869</v>
      </c>
      <c r="C488" t="s">
        <v>265</v>
      </c>
      <c r="D488" t="s">
        <v>8</v>
      </c>
      <c r="E488" t="s">
        <v>815</v>
      </c>
      <c r="F488" s="2">
        <v>3570659.4399999976</v>
      </c>
      <c r="G488" t="s">
        <v>710</v>
      </c>
    </row>
    <row r="489" spans="1:7">
      <c r="A489" s="1">
        <v>45863</v>
      </c>
      <c r="B489" s="78">
        <v>45869</v>
      </c>
      <c r="C489" t="s">
        <v>266</v>
      </c>
      <c r="D489" t="s">
        <v>3</v>
      </c>
      <c r="E489" t="s">
        <v>865</v>
      </c>
      <c r="F489" s="2">
        <v>50</v>
      </c>
      <c r="G489" t="s">
        <v>710</v>
      </c>
    </row>
    <row r="490" spans="1:7">
      <c r="A490" s="1">
        <v>45863</v>
      </c>
      <c r="B490" s="78">
        <v>45869</v>
      </c>
      <c r="C490" t="s">
        <v>267</v>
      </c>
      <c r="D490" t="s">
        <v>3</v>
      </c>
      <c r="E490" t="s">
        <v>865</v>
      </c>
      <c r="F490" s="2">
        <v>3.75</v>
      </c>
      <c r="G490" t="s">
        <v>710</v>
      </c>
    </row>
    <row r="491" spans="1:7">
      <c r="A491" s="1">
        <v>45863</v>
      </c>
      <c r="B491" s="78">
        <v>45869</v>
      </c>
      <c r="C491" t="s">
        <v>268</v>
      </c>
      <c r="D491" t="s">
        <v>8</v>
      </c>
      <c r="E491" t="s">
        <v>815</v>
      </c>
      <c r="F491" s="2">
        <v>2070487.4800000042</v>
      </c>
      <c r="G491" t="s">
        <v>710</v>
      </c>
    </row>
    <row r="492" spans="1:7">
      <c r="A492" s="1">
        <v>45863</v>
      </c>
      <c r="B492" s="78">
        <v>45869</v>
      </c>
      <c r="C492" t="s">
        <v>269</v>
      </c>
      <c r="D492" t="s">
        <v>3</v>
      </c>
      <c r="E492" t="s">
        <v>865</v>
      </c>
      <c r="F492" s="2">
        <v>50</v>
      </c>
      <c r="G492" t="s">
        <v>710</v>
      </c>
    </row>
    <row r="493" spans="1:7">
      <c r="A493" s="1">
        <v>45863</v>
      </c>
      <c r="B493" s="78">
        <v>45869</v>
      </c>
      <c r="C493" t="s">
        <v>270</v>
      </c>
      <c r="D493" t="s">
        <v>3</v>
      </c>
      <c r="E493" t="s">
        <v>865</v>
      </c>
      <c r="F493" s="2">
        <v>3.75</v>
      </c>
      <c r="G493" t="s">
        <v>710</v>
      </c>
    </row>
    <row r="494" spans="1:7">
      <c r="A494" s="1">
        <v>45863</v>
      </c>
      <c r="B494" s="78">
        <v>45869</v>
      </c>
      <c r="C494" t="s">
        <v>271</v>
      </c>
      <c r="D494" t="s">
        <v>8</v>
      </c>
      <c r="E494" t="s">
        <v>815</v>
      </c>
      <c r="F494" s="2">
        <v>476225</v>
      </c>
      <c r="G494" t="s">
        <v>710</v>
      </c>
    </row>
    <row r="495" spans="1:7">
      <c r="A495" s="1">
        <v>45863</v>
      </c>
      <c r="B495" s="78">
        <v>45869</v>
      </c>
      <c r="C495" t="s">
        <v>272</v>
      </c>
      <c r="D495" t="s">
        <v>3</v>
      </c>
      <c r="E495" t="s">
        <v>865</v>
      </c>
      <c r="F495" s="2">
        <v>50</v>
      </c>
      <c r="G495" t="s">
        <v>710</v>
      </c>
    </row>
    <row r="496" spans="1:7">
      <c r="A496" s="1">
        <v>45863</v>
      </c>
      <c r="B496" s="78">
        <v>45869</v>
      </c>
      <c r="C496" t="s">
        <v>273</v>
      </c>
      <c r="D496" t="s">
        <v>3</v>
      </c>
      <c r="E496" t="s">
        <v>865</v>
      </c>
      <c r="F496" s="2">
        <v>3.75</v>
      </c>
      <c r="G496" t="s">
        <v>710</v>
      </c>
    </row>
    <row r="497" spans="1:7">
      <c r="A497" s="1">
        <v>45863</v>
      </c>
      <c r="B497" s="78">
        <v>45869</v>
      </c>
      <c r="C497" t="s">
        <v>274</v>
      </c>
      <c r="D497" t="s">
        <v>8</v>
      </c>
      <c r="E497" t="s">
        <v>815</v>
      </c>
      <c r="F497" s="2">
        <v>284491.57000000775</v>
      </c>
      <c r="G497" t="s">
        <v>710</v>
      </c>
    </row>
    <row r="498" spans="1:7">
      <c r="A498" s="1">
        <v>45863</v>
      </c>
      <c r="B498" s="78">
        <v>45869</v>
      </c>
      <c r="C498" t="s">
        <v>275</v>
      </c>
      <c r="D498" t="s">
        <v>3</v>
      </c>
      <c r="E498" t="s">
        <v>865</v>
      </c>
      <c r="F498" s="2">
        <v>50</v>
      </c>
      <c r="G498" t="s">
        <v>710</v>
      </c>
    </row>
    <row r="499" spans="1:7">
      <c r="A499" s="1">
        <v>45863</v>
      </c>
      <c r="B499" s="78">
        <v>45869</v>
      </c>
      <c r="C499" t="s">
        <v>276</v>
      </c>
      <c r="D499" t="s">
        <v>3</v>
      </c>
      <c r="E499" t="s">
        <v>865</v>
      </c>
      <c r="F499" s="2">
        <v>3.75</v>
      </c>
      <c r="G499" t="s">
        <v>710</v>
      </c>
    </row>
    <row r="500" spans="1:7">
      <c r="A500" s="1">
        <v>45863</v>
      </c>
      <c r="B500" s="78">
        <v>45869</v>
      </c>
      <c r="C500" t="s">
        <v>277</v>
      </c>
      <c r="D500" t="s">
        <v>8</v>
      </c>
      <c r="E500" t="s">
        <v>815</v>
      </c>
      <c r="F500" s="2">
        <v>284491.56999999285</v>
      </c>
      <c r="G500" t="s">
        <v>710</v>
      </c>
    </row>
    <row r="501" spans="1:7">
      <c r="A501" s="1">
        <v>45863</v>
      </c>
      <c r="B501" s="78">
        <v>45869</v>
      </c>
      <c r="C501" t="s">
        <v>278</v>
      </c>
      <c r="D501" t="s">
        <v>3</v>
      </c>
      <c r="E501" t="s">
        <v>865</v>
      </c>
      <c r="F501" s="2">
        <v>50</v>
      </c>
      <c r="G501" t="s">
        <v>710</v>
      </c>
    </row>
    <row r="502" spans="1:7">
      <c r="A502" s="1">
        <v>45863</v>
      </c>
      <c r="B502" s="78">
        <v>45869</v>
      </c>
      <c r="C502" t="s">
        <v>279</v>
      </c>
      <c r="D502" t="s">
        <v>3</v>
      </c>
      <c r="E502" t="s">
        <v>865</v>
      </c>
      <c r="F502" s="2">
        <v>3.75</v>
      </c>
      <c r="G502" t="s">
        <v>710</v>
      </c>
    </row>
    <row r="503" spans="1:7">
      <c r="A503" s="1">
        <v>45863</v>
      </c>
      <c r="B503" s="78">
        <v>45869</v>
      </c>
      <c r="C503" t="s">
        <v>280</v>
      </c>
      <c r="D503" t="s">
        <v>8</v>
      </c>
      <c r="E503" t="s">
        <v>815</v>
      </c>
      <c r="F503" s="2">
        <v>284491.57000000775</v>
      </c>
      <c r="G503" t="s">
        <v>710</v>
      </c>
    </row>
    <row r="504" spans="1:7">
      <c r="A504" s="1">
        <v>45863</v>
      </c>
      <c r="B504" s="78">
        <v>45869</v>
      </c>
      <c r="C504" t="s">
        <v>281</v>
      </c>
      <c r="D504" t="s">
        <v>3</v>
      </c>
      <c r="E504" t="s">
        <v>865</v>
      </c>
      <c r="F504" s="2">
        <v>50</v>
      </c>
      <c r="G504" t="s">
        <v>710</v>
      </c>
    </row>
    <row r="505" spans="1:7">
      <c r="A505" s="1">
        <v>45863</v>
      </c>
      <c r="B505" s="78">
        <v>45869</v>
      </c>
      <c r="C505" t="s">
        <v>282</v>
      </c>
      <c r="D505" t="s">
        <v>3</v>
      </c>
      <c r="E505" t="s">
        <v>865</v>
      </c>
      <c r="F505" s="2">
        <v>3.75</v>
      </c>
      <c r="G505" t="s">
        <v>710</v>
      </c>
    </row>
    <row r="506" spans="1:7">
      <c r="A506" s="1">
        <v>45863</v>
      </c>
      <c r="B506" s="78">
        <v>45869</v>
      </c>
      <c r="C506" t="s">
        <v>283</v>
      </c>
      <c r="D506" t="s">
        <v>8</v>
      </c>
      <c r="E506" t="s">
        <v>815</v>
      </c>
      <c r="F506" s="2">
        <v>284491.56999999285</v>
      </c>
      <c r="G506" t="s">
        <v>710</v>
      </c>
    </row>
    <row r="507" spans="1:7">
      <c r="A507" s="1">
        <v>45863</v>
      </c>
      <c r="B507" s="78">
        <v>45869</v>
      </c>
      <c r="C507" t="s">
        <v>284</v>
      </c>
      <c r="D507" t="s">
        <v>3</v>
      </c>
      <c r="E507" t="s">
        <v>865</v>
      </c>
      <c r="F507" s="2">
        <v>50</v>
      </c>
      <c r="G507" t="s">
        <v>710</v>
      </c>
    </row>
    <row r="508" spans="1:7">
      <c r="A508" s="1">
        <v>45863</v>
      </c>
      <c r="B508" s="78">
        <v>45869</v>
      </c>
      <c r="C508" t="s">
        <v>285</v>
      </c>
      <c r="D508" t="s">
        <v>3</v>
      </c>
      <c r="E508" t="s">
        <v>865</v>
      </c>
      <c r="F508" s="2">
        <v>3.75</v>
      </c>
      <c r="G508" t="s">
        <v>710</v>
      </c>
    </row>
    <row r="509" spans="1:7">
      <c r="A509" s="1">
        <v>45863</v>
      </c>
      <c r="B509" s="78">
        <v>45869</v>
      </c>
      <c r="C509" t="s">
        <v>286</v>
      </c>
      <c r="D509" t="s">
        <v>8</v>
      </c>
      <c r="E509" t="s">
        <v>815</v>
      </c>
      <c r="F509" s="2">
        <v>284491.57000000775</v>
      </c>
      <c r="G509" t="s">
        <v>710</v>
      </c>
    </row>
    <row r="510" spans="1:7">
      <c r="A510" s="1">
        <v>45863</v>
      </c>
      <c r="B510" s="78">
        <v>45869</v>
      </c>
      <c r="C510" t="s">
        <v>287</v>
      </c>
      <c r="D510" t="s">
        <v>3</v>
      </c>
      <c r="E510" t="s">
        <v>865</v>
      </c>
      <c r="F510" s="2">
        <v>50</v>
      </c>
      <c r="G510" t="s">
        <v>710</v>
      </c>
    </row>
    <row r="511" spans="1:7">
      <c r="A511" s="1">
        <v>45863</v>
      </c>
      <c r="B511" s="78">
        <v>45869</v>
      </c>
      <c r="C511" t="s">
        <v>288</v>
      </c>
      <c r="D511" t="s">
        <v>3</v>
      </c>
      <c r="E511" t="s">
        <v>865</v>
      </c>
      <c r="F511" s="2">
        <v>3.75</v>
      </c>
      <c r="G511" t="s">
        <v>710</v>
      </c>
    </row>
    <row r="512" spans="1:7">
      <c r="A512" s="1">
        <v>45863</v>
      </c>
      <c r="B512" s="78">
        <v>45869</v>
      </c>
      <c r="C512" t="s">
        <v>289</v>
      </c>
      <c r="D512" t="s">
        <v>8</v>
      </c>
      <c r="E512" t="s">
        <v>815</v>
      </c>
      <c r="F512" s="2">
        <v>284491.56999999285</v>
      </c>
      <c r="G512" t="s">
        <v>710</v>
      </c>
    </row>
    <row r="513" spans="1:7">
      <c r="A513" s="1">
        <v>45863</v>
      </c>
      <c r="B513" s="78">
        <v>45869</v>
      </c>
      <c r="C513" t="s">
        <v>290</v>
      </c>
      <c r="D513" t="s">
        <v>3</v>
      </c>
      <c r="E513" t="s">
        <v>865</v>
      </c>
      <c r="F513" s="2">
        <v>50</v>
      </c>
      <c r="G513" t="s">
        <v>710</v>
      </c>
    </row>
    <row r="514" spans="1:7">
      <c r="A514" s="1">
        <v>45863</v>
      </c>
      <c r="B514" s="78">
        <v>45869</v>
      </c>
      <c r="C514" t="s">
        <v>291</v>
      </c>
      <c r="D514" t="s">
        <v>3</v>
      </c>
      <c r="E514" t="s">
        <v>865</v>
      </c>
      <c r="F514" s="2">
        <v>3.75</v>
      </c>
      <c r="G514" t="s">
        <v>710</v>
      </c>
    </row>
    <row r="515" spans="1:7">
      <c r="A515" s="1">
        <v>45863</v>
      </c>
      <c r="B515" s="78">
        <v>45869</v>
      </c>
      <c r="C515" t="s">
        <v>292</v>
      </c>
      <c r="D515" t="s">
        <v>8</v>
      </c>
      <c r="E515" t="s">
        <v>815</v>
      </c>
      <c r="F515" s="2">
        <v>284491.57000000775</v>
      </c>
      <c r="G515" t="s">
        <v>710</v>
      </c>
    </row>
    <row r="516" spans="1:7">
      <c r="A516" s="1">
        <v>45863</v>
      </c>
      <c r="B516" s="78">
        <v>45869</v>
      </c>
      <c r="C516" t="s">
        <v>293</v>
      </c>
      <c r="D516" t="s">
        <v>3</v>
      </c>
      <c r="E516" t="s">
        <v>865</v>
      </c>
      <c r="F516" s="2">
        <v>50</v>
      </c>
      <c r="G516" t="s">
        <v>710</v>
      </c>
    </row>
    <row r="517" spans="1:7">
      <c r="A517" s="1">
        <v>45863</v>
      </c>
      <c r="B517" s="78">
        <v>45869</v>
      </c>
      <c r="C517" t="s">
        <v>294</v>
      </c>
      <c r="D517" t="s">
        <v>3</v>
      </c>
      <c r="E517" t="s">
        <v>865</v>
      </c>
      <c r="F517" s="2">
        <v>3.75</v>
      </c>
      <c r="G517" t="s">
        <v>710</v>
      </c>
    </row>
    <row r="518" spans="1:7">
      <c r="A518" s="1">
        <v>45863</v>
      </c>
      <c r="B518" s="78">
        <v>45869</v>
      </c>
      <c r="C518" t="s">
        <v>295</v>
      </c>
      <c r="D518" t="s">
        <v>8</v>
      </c>
      <c r="E518" t="s">
        <v>815</v>
      </c>
      <c r="F518" s="2">
        <v>284491.56999999285</v>
      </c>
      <c r="G518" t="s">
        <v>710</v>
      </c>
    </row>
    <row r="519" spans="1:7">
      <c r="A519" s="1">
        <v>45863</v>
      </c>
      <c r="B519" s="78">
        <v>45869</v>
      </c>
      <c r="C519" t="s">
        <v>296</v>
      </c>
      <c r="D519" t="s">
        <v>3</v>
      </c>
      <c r="E519" t="s">
        <v>865</v>
      </c>
      <c r="F519" s="2">
        <v>50</v>
      </c>
      <c r="G519" t="s">
        <v>710</v>
      </c>
    </row>
    <row r="520" spans="1:7">
      <c r="A520" s="1">
        <v>45863</v>
      </c>
      <c r="B520" s="78">
        <v>45869</v>
      </c>
      <c r="C520" t="s">
        <v>297</v>
      </c>
      <c r="D520" t="s">
        <v>3</v>
      </c>
      <c r="E520" t="s">
        <v>865</v>
      </c>
      <c r="F520" s="2">
        <v>3.75</v>
      </c>
      <c r="G520" t="s">
        <v>710</v>
      </c>
    </row>
    <row r="521" spans="1:7">
      <c r="A521" s="1">
        <v>45863</v>
      </c>
      <c r="B521" s="78">
        <v>45869</v>
      </c>
      <c r="C521" t="s">
        <v>298</v>
      </c>
      <c r="D521" t="s">
        <v>8</v>
      </c>
      <c r="E521" t="s">
        <v>815</v>
      </c>
      <c r="F521" s="2">
        <v>284491.57000000775</v>
      </c>
      <c r="G521" t="s">
        <v>710</v>
      </c>
    </row>
    <row r="522" spans="1:7">
      <c r="A522" s="1">
        <v>45863</v>
      </c>
      <c r="B522" s="78">
        <v>45869</v>
      </c>
      <c r="C522" t="s">
        <v>299</v>
      </c>
      <c r="D522" t="s">
        <v>3</v>
      </c>
      <c r="E522" t="s">
        <v>865</v>
      </c>
      <c r="F522" s="2">
        <v>50</v>
      </c>
      <c r="G522" t="s">
        <v>710</v>
      </c>
    </row>
    <row r="523" spans="1:7">
      <c r="A523" s="1">
        <v>45863</v>
      </c>
      <c r="B523" s="78">
        <v>45869</v>
      </c>
      <c r="C523" t="s">
        <v>300</v>
      </c>
      <c r="D523" t="s">
        <v>3</v>
      </c>
      <c r="E523" t="s">
        <v>865</v>
      </c>
      <c r="F523" s="2">
        <v>3.75</v>
      </c>
      <c r="G523" t="s">
        <v>710</v>
      </c>
    </row>
    <row r="524" spans="1:7">
      <c r="A524" s="1">
        <v>45863</v>
      </c>
      <c r="B524" s="78">
        <v>45869</v>
      </c>
      <c r="C524" t="s">
        <v>301</v>
      </c>
      <c r="D524" t="s">
        <v>8</v>
      </c>
      <c r="E524" t="s">
        <v>815</v>
      </c>
      <c r="F524" s="2">
        <v>152194.92999999225</v>
      </c>
      <c r="G524" t="s">
        <v>710</v>
      </c>
    </row>
    <row r="525" spans="1:7">
      <c r="A525" s="1">
        <v>45863</v>
      </c>
      <c r="B525" s="78">
        <v>45869</v>
      </c>
      <c r="C525" t="s">
        <v>302</v>
      </c>
      <c r="D525" t="s">
        <v>3</v>
      </c>
      <c r="E525" t="s">
        <v>865</v>
      </c>
      <c r="F525" s="2">
        <v>50</v>
      </c>
      <c r="G525" t="s">
        <v>710</v>
      </c>
    </row>
    <row r="526" spans="1:7">
      <c r="A526" s="1">
        <v>45863</v>
      </c>
      <c r="B526" s="78">
        <v>45869</v>
      </c>
      <c r="C526" t="s">
        <v>303</v>
      </c>
      <c r="D526" t="s">
        <v>3</v>
      </c>
      <c r="E526" t="s">
        <v>865</v>
      </c>
      <c r="F526" s="2">
        <v>3.75</v>
      </c>
      <c r="G526" t="s">
        <v>710</v>
      </c>
    </row>
    <row r="527" spans="1:7">
      <c r="A527" s="1">
        <v>45863</v>
      </c>
      <c r="B527" s="78">
        <v>45869</v>
      </c>
      <c r="C527" t="s">
        <v>304</v>
      </c>
      <c r="D527" t="s">
        <v>8</v>
      </c>
      <c r="E527" t="s">
        <v>815</v>
      </c>
      <c r="F527" s="2">
        <v>284491.57000000775</v>
      </c>
      <c r="G527" t="s">
        <v>710</v>
      </c>
    </row>
    <row r="528" spans="1:7">
      <c r="A528" s="1">
        <v>45863</v>
      </c>
      <c r="B528" s="78">
        <v>45869</v>
      </c>
      <c r="C528" t="s">
        <v>305</v>
      </c>
      <c r="D528" t="s">
        <v>3</v>
      </c>
      <c r="E528" t="s">
        <v>865</v>
      </c>
      <c r="F528" s="2">
        <v>50</v>
      </c>
      <c r="G528" t="s">
        <v>710</v>
      </c>
    </row>
    <row r="529" spans="1:7">
      <c r="A529" s="1">
        <v>45863</v>
      </c>
      <c r="B529" s="78">
        <v>45869</v>
      </c>
      <c r="C529" t="s">
        <v>306</v>
      </c>
      <c r="D529" t="s">
        <v>3</v>
      </c>
      <c r="E529" t="s">
        <v>865</v>
      </c>
      <c r="F529" s="2">
        <v>3.75</v>
      </c>
      <c r="G529" t="s">
        <v>710</v>
      </c>
    </row>
    <row r="530" spans="1:7">
      <c r="A530" s="1">
        <v>45863</v>
      </c>
      <c r="B530" s="78">
        <v>45869</v>
      </c>
      <c r="C530" t="s">
        <v>307</v>
      </c>
      <c r="D530" t="s">
        <v>8</v>
      </c>
      <c r="E530" t="s">
        <v>815</v>
      </c>
      <c r="F530" s="2">
        <v>152194.92999999225</v>
      </c>
      <c r="G530" t="s">
        <v>710</v>
      </c>
    </row>
    <row r="531" spans="1:7">
      <c r="A531" s="1">
        <v>45863</v>
      </c>
      <c r="B531" s="78">
        <v>45869</v>
      </c>
      <c r="C531" t="s">
        <v>308</v>
      </c>
      <c r="D531" t="s">
        <v>3</v>
      </c>
      <c r="E531" t="s">
        <v>865</v>
      </c>
      <c r="F531" s="2">
        <v>50</v>
      </c>
      <c r="G531" t="s">
        <v>710</v>
      </c>
    </row>
    <row r="532" spans="1:7">
      <c r="A532" s="1">
        <v>45863</v>
      </c>
      <c r="B532" s="78">
        <v>45869</v>
      </c>
      <c r="C532" t="s">
        <v>309</v>
      </c>
      <c r="D532" t="s">
        <v>3</v>
      </c>
      <c r="E532" t="s">
        <v>865</v>
      </c>
      <c r="F532" s="2">
        <v>3.75</v>
      </c>
      <c r="G532" t="s">
        <v>710</v>
      </c>
    </row>
    <row r="533" spans="1:7">
      <c r="A533" s="1">
        <v>45863</v>
      </c>
      <c r="B533" s="78">
        <v>45869</v>
      </c>
      <c r="C533" t="s">
        <v>310</v>
      </c>
      <c r="D533" t="s">
        <v>8</v>
      </c>
      <c r="E533" t="s">
        <v>815</v>
      </c>
      <c r="F533" s="2">
        <v>75000</v>
      </c>
      <c r="G533" t="s">
        <v>710</v>
      </c>
    </row>
    <row r="534" spans="1:7">
      <c r="A534" s="1">
        <v>45863</v>
      </c>
      <c r="B534" s="78">
        <v>45869</v>
      </c>
      <c r="C534" t="s">
        <v>311</v>
      </c>
      <c r="D534" t="s">
        <v>3</v>
      </c>
      <c r="E534" t="s">
        <v>865</v>
      </c>
      <c r="F534" s="2">
        <v>50</v>
      </c>
      <c r="G534" t="s">
        <v>710</v>
      </c>
    </row>
    <row r="535" spans="1:7">
      <c r="A535" s="1">
        <v>45863</v>
      </c>
      <c r="B535" s="78">
        <v>45869</v>
      </c>
      <c r="C535" t="s">
        <v>312</v>
      </c>
      <c r="D535" t="s">
        <v>3</v>
      </c>
      <c r="E535" t="s">
        <v>865</v>
      </c>
      <c r="F535" s="2">
        <v>3.75</v>
      </c>
      <c r="G535" t="s">
        <v>710</v>
      </c>
    </row>
    <row r="536" spans="1:7">
      <c r="A536" s="1">
        <v>45863</v>
      </c>
      <c r="B536" s="78">
        <v>45869</v>
      </c>
      <c r="C536" t="s">
        <v>313</v>
      </c>
      <c r="D536" t="s">
        <v>8</v>
      </c>
      <c r="E536" t="s">
        <v>815</v>
      </c>
      <c r="F536" s="2">
        <v>75000</v>
      </c>
      <c r="G536" t="s">
        <v>710</v>
      </c>
    </row>
    <row r="537" spans="1:7">
      <c r="A537" s="1">
        <v>45863</v>
      </c>
      <c r="B537" s="78">
        <v>45869</v>
      </c>
      <c r="C537" t="s">
        <v>314</v>
      </c>
      <c r="D537" t="s">
        <v>3</v>
      </c>
      <c r="E537" t="s">
        <v>865</v>
      </c>
      <c r="F537" s="2">
        <v>50</v>
      </c>
      <c r="G537" t="s">
        <v>710</v>
      </c>
    </row>
    <row r="538" spans="1:7">
      <c r="A538" s="1">
        <v>45863</v>
      </c>
      <c r="B538" s="78">
        <v>45869</v>
      </c>
      <c r="C538" t="s">
        <v>315</v>
      </c>
      <c r="D538" t="s">
        <v>3</v>
      </c>
      <c r="E538" t="s">
        <v>865</v>
      </c>
      <c r="F538" s="2">
        <v>3.75</v>
      </c>
      <c r="G538" t="s">
        <v>710</v>
      </c>
    </row>
    <row r="539" spans="1:7">
      <c r="A539" s="1">
        <v>45863</v>
      </c>
      <c r="B539" s="78">
        <v>45869</v>
      </c>
      <c r="C539" t="s">
        <v>316</v>
      </c>
      <c r="D539" t="s">
        <v>8</v>
      </c>
      <c r="E539" t="s">
        <v>815</v>
      </c>
      <c r="F539" s="2">
        <v>75000</v>
      </c>
      <c r="G539" t="s">
        <v>710</v>
      </c>
    </row>
    <row r="540" spans="1:7">
      <c r="A540" s="1">
        <v>45863</v>
      </c>
      <c r="B540" s="78">
        <v>45869</v>
      </c>
      <c r="C540" t="s">
        <v>317</v>
      </c>
      <c r="D540" t="s">
        <v>3</v>
      </c>
      <c r="E540" t="s">
        <v>865</v>
      </c>
      <c r="F540" s="2">
        <v>50</v>
      </c>
      <c r="G540" t="s">
        <v>710</v>
      </c>
    </row>
    <row r="541" spans="1:7">
      <c r="A541" s="1">
        <v>45863</v>
      </c>
      <c r="B541" s="78">
        <v>45869</v>
      </c>
      <c r="C541" t="s">
        <v>318</v>
      </c>
      <c r="D541" t="s">
        <v>3</v>
      </c>
      <c r="E541" t="s">
        <v>865</v>
      </c>
      <c r="F541" s="2">
        <v>3.75</v>
      </c>
      <c r="G541" t="s">
        <v>710</v>
      </c>
    </row>
    <row r="542" spans="1:7">
      <c r="A542" s="1">
        <v>45863</v>
      </c>
      <c r="B542" s="78">
        <v>45869</v>
      </c>
      <c r="C542" t="s">
        <v>319</v>
      </c>
      <c r="D542" t="s">
        <v>8</v>
      </c>
      <c r="E542" t="s">
        <v>815</v>
      </c>
      <c r="F542" s="2">
        <v>66000</v>
      </c>
      <c r="G542" t="s">
        <v>710</v>
      </c>
    </row>
    <row r="543" spans="1:7">
      <c r="A543" s="1">
        <v>45863</v>
      </c>
      <c r="B543" s="78">
        <v>45869</v>
      </c>
      <c r="C543" t="s">
        <v>320</v>
      </c>
      <c r="D543" t="s">
        <v>3</v>
      </c>
      <c r="E543" t="s">
        <v>865</v>
      </c>
      <c r="F543" s="2">
        <v>50</v>
      </c>
      <c r="G543" t="s">
        <v>710</v>
      </c>
    </row>
    <row r="544" spans="1:7">
      <c r="A544" s="1">
        <v>45863</v>
      </c>
      <c r="B544" s="78">
        <v>45869</v>
      </c>
      <c r="C544" t="s">
        <v>321</v>
      </c>
      <c r="D544" t="s">
        <v>3</v>
      </c>
      <c r="E544" t="s">
        <v>865</v>
      </c>
      <c r="F544" s="2">
        <v>3.75</v>
      </c>
      <c r="G544" t="s">
        <v>710</v>
      </c>
    </row>
    <row r="545" spans="1:7">
      <c r="A545" s="1">
        <v>45863</v>
      </c>
      <c r="B545" s="78">
        <v>45869</v>
      </c>
      <c r="C545" t="s">
        <v>322</v>
      </c>
      <c r="D545" t="s">
        <v>8</v>
      </c>
      <c r="E545" t="s">
        <v>815</v>
      </c>
      <c r="F545" s="2">
        <v>66000</v>
      </c>
      <c r="G545" t="s">
        <v>710</v>
      </c>
    </row>
    <row r="546" spans="1:7">
      <c r="A546" s="1">
        <v>45863</v>
      </c>
      <c r="B546" s="78">
        <v>45869</v>
      </c>
      <c r="C546" t="s">
        <v>323</v>
      </c>
      <c r="D546" t="s">
        <v>3</v>
      </c>
      <c r="E546" t="s">
        <v>865</v>
      </c>
      <c r="F546" s="2">
        <v>50</v>
      </c>
      <c r="G546" t="s">
        <v>710</v>
      </c>
    </row>
    <row r="547" spans="1:7">
      <c r="A547" s="1">
        <v>45863</v>
      </c>
      <c r="B547" s="78">
        <v>45869</v>
      </c>
      <c r="C547" t="s">
        <v>324</v>
      </c>
      <c r="D547" t="s">
        <v>3</v>
      </c>
      <c r="E547" t="s">
        <v>865</v>
      </c>
      <c r="F547" s="2">
        <v>3.75</v>
      </c>
      <c r="G547" t="s">
        <v>710</v>
      </c>
    </row>
    <row r="548" spans="1:7">
      <c r="A548" s="1">
        <v>45863</v>
      </c>
      <c r="B548" s="78">
        <v>45869</v>
      </c>
      <c r="C548" t="s">
        <v>325</v>
      </c>
      <c r="D548" t="s">
        <v>8</v>
      </c>
      <c r="E548" t="s">
        <v>815</v>
      </c>
      <c r="F548" s="2">
        <v>66000</v>
      </c>
      <c r="G548" t="s">
        <v>710</v>
      </c>
    </row>
    <row r="549" spans="1:7">
      <c r="A549" s="1">
        <v>45863</v>
      </c>
      <c r="B549" s="78">
        <v>45869</v>
      </c>
      <c r="C549" t="s">
        <v>326</v>
      </c>
      <c r="D549" t="s">
        <v>3</v>
      </c>
      <c r="E549" t="s">
        <v>865</v>
      </c>
      <c r="F549" s="2">
        <v>50</v>
      </c>
      <c r="G549" t="s">
        <v>710</v>
      </c>
    </row>
    <row r="550" spans="1:7">
      <c r="A550" s="1">
        <v>45863</v>
      </c>
      <c r="B550" s="78">
        <v>45869</v>
      </c>
      <c r="C550" t="s">
        <v>327</v>
      </c>
      <c r="D550" t="s">
        <v>3</v>
      </c>
      <c r="E550" t="s">
        <v>865</v>
      </c>
      <c r="F550" s="2">
        <v>3.75</v>
      </c>
      <c r="G550" t="s">
        <v>710</v>
      </c>
    </row>
    <row r="551" spans="1:7">
      <c r="A551" s="1">
        <v>45863</v>
      </c>
      <c r="B551" s="78">
        <v>45869</v>
      </c>
      <c r="C551" t="s">
        <v>328</v>
      </c>
      <c r="D551" t="s">
        <v>8</v>
      </c>
      <c r="E551" t="s">
        <v>815</v>
      </c>
      <c r="F551" s="2">
        <v>66000</v>
      </c>
      <c r="G551" t="s">
        <v>710</v>
      </c>
    </row>
    <row r="552" spans="1:7">
      <c r="A552" s="1">
        <v>45863</v>
      </c>
      <c r="B552" s="78">
        <v>45869</v>
      </c>
      <c r="C552" t="s">
        <v>329</v>
      </c>
      <c r="D552" t="s">
        <v>3</v>
      </c>
      <c r="E552" t="s">
        <v>865</v>
      </c>
      <c r="F552" s="2">
        <v>50</v>
      </c>
      <c r="G552" t="s">
        <v>710</v>
      </c>
    </row>
    <row r="553" spans="1:7">
      <c r="A553" s="1">
        <v>45863</v>
      </c>
      <c r="B553" s="78">
        <v>45869</v>
      </c>
      <c r="C553" t="s">
        <v>330</v>
      </c>
      <c r="D553" t="s">
        <v>3</v>
      </c>
      <c r="E553" t="s">
        <v>865</v>
      </c>
      <c r="F553" s="2">
        <v>3.75</v>
      </c>
      <c r="G553" t="s">
        <v>710</v>
      </c>
    </row>
    <row r="554" spans="1:7">
      <c r="A554" s="1">
        <v>45863</v>
      </c>
      <c r="B554" s="78">
        <v>45869</v>
      </c>
      <c r="C554" t="s">
        <v>331</v>
      </c>
      <c r="D554" t="s">
        <v>8</v>
      </c>
      <c r="E554" t="s">
        <v>815</v>
      </c>
      <c r="F554" s="2">
        <v>66000</v>
      </c>
      <c r="G554" t="s">
        <v>710</v>
      </c>
    </row>
    <row r="555" spans="1:7">
      <c r="A555" s="1">
        <v>45863</v>
      </c>
      <c r="B555" s="78">
        <v>45869</v>
      </c>
      <c r="C555" t="s">
        <v>332</v>
      </c>
      <c r="D555" t="s">
        <v>3</v>
      </c>
      <c r="E555" t="s">
        <v>865</v>
      </c>
      <c r="F555" s="2">
        <v>50</v>
      </c>
      <c r="G555" t="s">
        <v>710</v>
      </c>
    </row>
    <row r="556" spans="1:7">
      <c r="A556" s="1">
        <v>45863</v>
      </c>
      <c r="B556" s="78">
        <v>45869</v>
      </c>
      <c r="C556" t="s">
        <v>333</v>
      </c>
      <c r="D556" t="s">
        <v>3</v>
      </c>
      <c r="E556" t="s">
        <v>865</v>
      </c>
      <c r="F556" s="2">
        <v>3.75</v>
      </c>
      <c r="G556" t="s">
        <v>710</v>
      </c>
    </row>
    <row r="557" spans="1:7">
      <c r="A557" s="1">
        <v>45863</v>
      </c>
      <c r="B557" s="78">
        <v>45869</v>
      </c>
      <c r="C557" t="s">
        <v>334</v>
      </c>
      <c r="D557" t="s">
        <v>8</v>
      </c>
      <c r="E557" t="s">
        <v>815</v>
      </c>
      <c r="F557" s="2">
        <v>66000</v>
      </c>
      <c r="G557" t="s">
        <v>710</v>
      </c>
    </row>
    <row r="558" spans="1:7">
      <c r="A558" s="1">
        <v>45863</v>
      </c>
      <c r="B558" s="78">
        <v>45869</v>
      </c>
      <c r="C558" t="s">
        <v>335</v>
      </c>
      <c r="D558" t="s">
        <v>3</v>
      </c>
      <c r="E558" t="s">
        <v>865</v>
      </c>
      <c r="F558" s="2">
        <v>50</v>
      </c>
      <c r="G558" t="s">
        <v>710</v>
      </c>
    </row>
    <row r="559" spans="1:7">
      <c r="A559" s="1">
        <v>45863</v>
      </c>
      <c r="B559" s="78">
        <v>45869</v>
      </c>
      <c r="C559" t="s">
        <v>336</v>
      </c>
      <c r="D559" t="s">
        <v>3</v>
      </c>
      <c r="E559" t="s">
        <v>865</v>
      </c>
      <c r="F559" s="2">
        <v>3.75</v>
      </c>
      <c r="G559" t="s">
        <v>710</v>
      </c>
    </row>
    <row r="560" spans="1:7">
      <c r="A560" s="1">
        <v>45863</v>
      </c>
      <c r="B560" s="78">
        <v>45869</v>
      </c>
      <c r="C560" t="s">
        <v>337</v>
      </c>
      <c r="D560" t="s">
        <v>8</v>
      </c>
      <c r="E560" t="s">
        <v>815</v>
      </c>
      <c r="F560" s="2">
        <v>66000</v>
      </c>
      <c r="G560" t="s">
        <v>710</v>
      </c>
    </row>
    <row r="561" spans="1:7">
      <c r="A561" s="1">
        <v>45863</v>
      </c>
      <c r="B561" s="78">
        <v>45869</v>
      </c>
      <c r="C561" t="s">
        <v>338</v>
      </c>
      <c r="D561" t="s">
        <v>3</v>
      </c>
      <c r="E561" t="s">
        <v>865</v>
      </c>
      <c r="F561" s="2">
        <v>50</v>
      </c>
      <c r="G561" t="s">
        <v>710</v>
      </c>
    </row>
    <row r="562" spans="1:7">
      <c r="A562" s="1">
        <v>45863</v>
      </c>
      <c r="B562" s="78">
        <v>45869</v>
      </c>
      <c r="C562" t="s">
        <v>339</v>
      </c>
      <c r="D562" t="s">
        <v>3</v>
      </c>
      <c r="E562" t="s">
        <v>865</v>
      </c>
      <c r="F562" s="2">
        <v>3.75</v>
      </c>
      <c r="G562" t="s">
        <v>710</v>
      </c>
    </row>
    <row r="563" spans="1:7">
      <c r="A563" s="1">
        <v>45863</v>
      </c>
      <c r="B563" s="78">
        <v>45869</v>
      </c>
      <c r="C563" t="s">
        <v>340</v>
      </c>
      <c r="D563" t="s">
        <v>8</v>
      </c>
      <c r="E563" t="s">
        <v>815</v>
      </c>
      <c r="F563" s="2">
        <v>152194.93000000715</v>
      </c>
      <c r="G563" t="s">
        <v>710</v>
      </c>
    </row>
    <row r="564" spans="1:7">
      <c r="A564" s="1">
        <v>45863</v>
      </c>
      <c r="B564" s="78">
        <v>45869</v>
      </c>
      <c r="C564" t="s">
        <v>341</v>
      </c>
      <c r="D564" t="s">
        <v>3</v>
      </c>
      <c r="E564" t="s">
        <v>865</v>
      </c>
      <c r="F564" s="2">
        <v>50</v>
      </c>
      <c r="G564" t="s">
        <v>710</v>
      </c>
    </row>
    <row r="565" spans="1:7">
      <c r="A565" s="1">
        <v>45863</v>
      </c>
      <c r="B565" s="78">
        <v>45869</v>
      </c>
      <c r="C565" t="s">
        <v>342</v>
      </c>
      <c r="D565" t="s">
        <v>3</v>
      </c>
      <c r="E565" t="s">
        <v>865</v>
      </c>
      <c r="F565" s="2">
        <v>3.75</v>
      </c>
      <c r="G565" t="s">
        <v>710</v>
      </c>
    </row>
    <row r="566" spans="1:7">
      <c r="A566" s="1">
        <v>45866</v>
      </c>
      <c r="B566" s="78">
        <v>45869</v>
      </c>
      <c r="C566" t="s">
        <v>344</v>
      </c>
      <c r="D566" t="s">
        <v>4</v>
      </c>
      <c r="E566" t="s">
        <v>874</v>
      </c>
      <c r="F566" s="2">
        <v>150000</v>
      </c>
      <c r="G566" t="s">
        <v>710</v>
      </c>
    </row>
    <row r="567" spans="1:7">
      <c r="A567" s="1">
        <v>45866</v>
      </c>
      <c r="B567" s="78">
        <v>45869</v>
      </c>
      <c r="C567" t="s">
        <v>344</v>
      </c>
      <c r="D567" t="s">
        <v>3</v>
      </c>
      <c r="E567" t="s">
        <v>865</v>
      </c>
      <c r="F567" s="2">
        <v>50</v>
      </c>
      <c r="G567" t="s">
        <v>710</v>
      </c>
    </row>
    <row r="568" spans="1:7">
      <c r="A568" s="1">
        <v>45866</v>
      </c>
      <c r="B568" s="78">
        <v>45869</v>
      </c>
      <c r="C568" t="s">
        <v>344</v>
      </c>
      <c r="D568" t="s">
        <v>3</v>
      </c>
      <c r="E568" t="s">
        <v>865</v>
      </c>
      <c r="F568" s="2">
        <v>3.75</v>
      </c>
      <c r="G568" t="s">
        <v>710</v>
      </c>
    </row>
    <row r="569" spans="1:7">
      <c r="A569" s="1">
        <v>45867</v>
      </c>
      <c r="B569" s="78">
        <v>45869</v>
      </c>
      <c r="C569" t="s">
        <v>346</v>
      </c>
      <c r="D569" t="s">
        <v>26</v>
      </c>
      <c r="E569" t="s">
        <v>979</v>
      </c>
      <c r="F569" s="2">
        <v>302000</v>
      </c>
      <c r="G569" t="s">
        <v>710</v>
      </c>
    </row>
    <row r="570" spans="1:7">
      <c r="A570" s="1">
        <v>45867</v>
      </c>
      <c r="B570" s="78">
        <v>45869</v>
      </c>
      <c r="C570" t="s">
        <v>346</v>
      </c>
      <c r="D570" t="s">
        <v>3</v>
      </c>
      <c r="E570" t="s">
        <v>865</v>
      </c>
      <c r="F570" s="2">
        <v>50</v>
      </c>
      <c r="G570" t="s">
        <v>710</v>
      </c>
    </row>
    <row r="571" spans="1:7">
      <c r="A571" s="1">
        <v>45867</v>
      </c>
      <c r="B571" s="78">
        <v>45869</v>
      </c>
      <c r="C571" t="s">
        <v>346</v>
      </c>
      <c r="D571" t="s">
        <v>3</v>
      </c>
      <c r="E571" t="s">
        <v>865</v>
      </c>
      <c r="F571" s="2">
        <v>3.75</v>
      </c>
      <c r="G571" t="s">
        <v>710</v>
      </c>
    </row>
    <row r="572" spans="1:7">
      <c r="A572" s="1">
        <v>45867</v>
      </c>
      <c r="B572" s="78">
        <v>45869</v>
      </c>
      <c r="C572" t="s">
        <v>347</v>
      </c>
      <c r="D572" t="s">
        <v>13</v>
      </c>
      <c r="E572" t="s">
        <v>800</v>
      </c>
      <c r="F572" s="2">
        <v>44000</v>
      </c>
      <c r="G572" t="s">
        <v>710</v>
      </c>
    </row>
    <row r="573" spans="1:7">
      <c r="A573" s="1">
        <v>45867</v>
      </c>
      <c r="B573" s="78">
        <v>45869</v>
      </c>
      <c r="C573" t="s">
        <v>348</v>
      </c>
      <c r="D573" t="s">
        <v>3</v>
      </c>
      <c r="E573" t="s">
        <v>865</v>
      </c>
      <c r="F573" s="2">
        <v>25</v>
      </c>
      <c r="G573" t="s">
        <v>710</v>
      </c>
    </row>
    <row r="574" spans="1:7">
      <c r="A574" s="1">
        <v>45867</v>
      </c>
      <c r="B574" s="78">
        <v>45869</v>
      </c>
      <c r="C574" t="s">
        <v>349</v>
      </c>
      <c r="D574" t="s">
        <v>3</v>
      </c>
      <c r="E574" t="s">
        <v>865</v>
      </c>
      <c r="F574" s="2">
        <v>1.8799999952316284</v>
      </c>
      <c r="G574" t="s">
        <v>710</v>
      </c>
    </row>
    <row r="575" spans="1:7">
      <c r="A575" s="1">
        <v>45867</v>
      </c>
      <c r="B575" s="78">
        <v>45869</v>
      </c>
      <c r="C575" t="s">
        <v>350</v>
      </c>
      <c r="D575" t="s">
        <v>30</v>
      </c>
      <c r="E575" t="s">
        <v>987</v>
      </c>
      <c r="F575" s="2">
        <v>380000</v>
      </c>
      <c r="G575" t="s">
        <v>710</v>
      </c>
    </row>
    <row r="576" spans="1:7">
      <c r="A576" s="1">
        <v>45867</v>
      </c>
      <c r="B576" s="78">
        <v>45869</v>
      </c>
      <c r="C576" t="s">
        <v>351</v>
      </c>
      <c r="D576" t="s">
        <v>3</v>
      </c>
      <c r="E576" t="s">
        <v>865</v>
      </c>
      <c r="F576" s="2">
        <v>50</v>
      </c>
      <c r="G576" t="s">
        <v>710</v>
      </c>
    </row>
    <row r="577" spans="1:7">
      <c r="A577" s="1">
        <v>45867</v>
      </c>
      <c r="B577" s="78">
        <v>45869</v>
      </c>
      <c r="C577" t="s">
        <v>352</v>
      </c>
      <c r="D577" t="s">
        <v>3</v>
      </c>
      <c r="E577" t="s">
        <v>865</v>
      </c>
      <c r="F577" s="2">
        <v>3.75</v>
      </c>
      <c r="G577" t="s">
        <v>710</v>
      </c>
    </row>
    <row r="578" spans="1:7">
      <c r="A578" s="1">
        <v>45867</v>
      </c>
      <c r="B578" s="78">
        <v>45869</v>
      </c>
      <c r="C578" t="s">
        <v>353</v>
      </c>
      <c r="D578" t="s">
        <v>30</v>
      </c>
      <c r="E578" t="s">
        <v>987</v>
      </c>
      <c r="F578" s="2">
        <v>-380000</v>
      </c>
      <c r="G578" t="s">
        <v>710</v>
      </c>
    </row>
    <row r="579" spans="1:7">
      <c r="A579" s="1">
        <v>45867</v>
      </c>
      <c r="B579" s="78">
        <v>45869</v>
      </c>
      <c r="C579" t="s">
        <v>354</v>
      </c>
      <c r="D579" t="s">
        <v>30</v>
      </c>
      <c r="E579" t="s">
        <v>987</v>
      </c>
      <c r="F579" s="2">
        <v>120000</v>
      </c>
      <c r="G579" t="s">
        <v>710</v>
      </c>
    </row>
    <row r="580" spans="1:7">
      <c r="A580" s="1">
        <v>45867</v>
      </c>
      <c r="B580" s="78">
        <v>45869</v>
      </c>
      <c r="C580" t="s">
        <v>354</v>
      </c>
      <c r="D580" t="s">
        <v>3</v>
      </c>
      <c r="E580" t="s">
        <v>865</v>
      </c>
      <c r="F580" s="2">
        <v>50</v>
      </c>
      <c r="G580" t="s">
        <v>710</v>
      </c>
    </row>
    <row r="581" spans="1:7">
      <c r="A581" s="1">
        <v>45867</v>
      </c>
      <c r="B581" s="78">
        <v>45869</v>
      </c>
      <c r="C581" t="s">
        <v>354</v>
      </c>
      <c r="D581" t="s">
        <v>3</v>
      </c>
      <c r="E581" t="s">
        <v>865</v>
      </c>
      <c r="F581" s="2">
        <v>3.75</v>
      </c>
      <c r="G581" t="s">
        <v>710</v>
      </c>
    </row>
    <row r="582" spans="1:7">
      <c r="A582" s="1">
        <v>45867</v>
      </c>
      <c r="B582" s="78">
        <v>45869</v>
      </c>
      <c r="C582" t="s">
        <v>355</v>
      </c>
      <c r="D582" t="s">
        <v>3</v>
      </c>
      <c r="E582" t="s">
        <v>865</v>
      </c>
      <c r="F582" s="2">
        <v>50</v>
      </c>
      <c r="G582" t="s">
        <v>710</v>
      </c>
    </row>
    <row r="583" spans="1:7">
      <c r="A583" s="1">
        <v>45868</v>
      </c>
      <c r="B583" s="78">
        <v>45869</v>
      </c>
      <c r="C583" t="s">
        <v>357</v>
      </c>
      <c r="D583" t="s">
        <v>15</v>
      </c>
      <c r="E583" t="s">
        <v>809</v>
      </c>
      <c r="F583" s="2">
        <v>32000</v>
      </c>
      <c r="G583" t="s">
        <v>710</v>
      </c>
    </row>
    <row r="584" spans="1:7">
      <c r="A584" s="1">
        <v>45868</v>
      </c>
      <c r="B584" s="78">
        <v>45869</v>
      </c>
      <c r="C584" t="s">
        <v>357</v>
      </c>
      <c r="D584" t="s">
        <v>3</v>
      </c>
      <c r="E584" t="s">
        <v>865</v>
      </c>
      <c r="F584" s="2">
        <v>25</v>
      </c>
      <c r="G584" t="s">
        <v>710</v>
      </c>
    </row>
    <row r="585" spans="1:7">
      <c r="A585" s="1">
        <v>45868</v>
      </c>
      <c r="B585" s="78">
        <v>45869</v>
      </c>
      <c r="C585" t="s">
        <v>357</v>
      </c>
      <c r="D585" t="s">
        <v>3</v>
      </c>
      <c r="E585" t="s">
        <v>865</v>
      </c>
      <c r="F585" s="2">
        <v>1.8799999952316284</v>
      </c>
      <c r="G585" t="s">
        <v>710</v>
      </c>
    </row>
    <row r="586" spans="1:7">
      <c r="A586" s="1">
        <v>45868</v>
      </c>
      <c r="B586" s="78">
        <v>45869</v>
      </c>
      <c r="C586" t="s">
        <v>358</v>
      </c>
      <c r="D586" t="s">
        <v>15</v>
      </c>
      <c r="E586" t="s">
        <v>809</v>
      </c>
      <c r="F586" s="2">
        <v>136400</v>
      </c>
      <c r="G586" t="s">
        <v>710</v>
      </c>
    </row>
    <row r="587" spans="1:7">
      <c r="A587" s="1">
        <v>45868</v>
      </c>
      <c r="B587" s="78">
        <v>45869</v>
      </c>
      <c r="C587" t="s">
        <v>358</v>
      </c>
      <c r="D587" t="s">
        <v>3</v>
      </c>
      <c r="E587" t="s">
        <v>865</v>
      </c>
      <c r="F587" s="2">
        <v>50</v>
      </c>
      <c r="G587" t="s">
        <v>710</v>
      </c>
    </row>
    <row r="588" spans="1:7">
      <c r="A588" s="1">
        <v>45868</v>
      </c>
      <c r="B588" s="78">
        <v>45869</v>
      </c>
      <c r="C588" t="s">
        <v>358</v>
      </c>
      <c r="D588" t="s">
        <v>3</v>
      </c>
      <c r="E588" t="s">
        <v>865</v>
      </c>
      <c r="F588" s="2">
        <v>3.75</v>
      </c>
      <c r="G588" t="s">
        <v>710</v>
      </c>
    </row>
    <row r="589" spans="1:7">
      <c r="A589" s="1">
        <v>45868</v>
      </c>
      <c r="B589" s="78">
        <v>45869</v>
      </c>
      <c r="C589" t="s">
        <v>359</v>
      </c>
      <c r="D589" t="s">
        <v>15</v>
      </c>
      <c r="E589" t="s">
        <v>1356</v>
      </c>
      <c r="F589" s="2">
        <v>13300</v>
      </c>
      <c r="G589" t="s">
        <v>710</v>
      </c>
    </row>
    <row r="590" spans="1:7">
      <c r="A590" s="1">
        <v>45868</v>
      </c>
      <c r="B590" s="78">
        <v>45869</v>
      </c>
      <c r="C590" t="s">
        <v>359</v>
      </c>
      <c r="D590" t="s">
        <v>3</v>
      </c>
      <c r="E590" t="s">
        <v>865</v>
      </c>
      <c r="F590" s="2">
        <v>25</v>
      </c>
      <c r="G590" t="s">
        <v>710</v>
      </c>
    </row>
    <row r="591" spans="1:7">
      <c r="A591" s="1">
        <v>45868</v>
      </c>
      <c r="B591" s="78">
        <v>45869</v>
      </c>
      <c r="C591" t="s">
        <v>359</v>
      </c>
      <c r="D591" t="s">
        <v>3</v>
      </c>
      <c r="E591" t="s">
        <v>865</v>
      </c>
      <c r="F591" s="2">
        <v>1.8800000101327896</v>
      </c>
      <c r="G591" t="s">
        <v>710</v>
      </c>
    </row>
    <row r="592" spans="1:7">
      <c r="A592" s="1">
        <v>45868</v>
      </c>
      <c r="B592" s="78">
        <v>45869</v>
      </c>
      <c r="C592" t="s">
        <v>360</v>
      </c>
      <c r="D592" t="s">
        <v>15</v>
      </c>
      <c r="E592" t="s">
        <v>809</v>
      </c>
      <c r="F592" s="2">
        <v>136400</v>
      </c>
      <c r="G592" t="s">
        <v>710</v>
      </c>
    </row>
    <row r="593" spans="1:7">
      <c r="A593" s="1">
        <v>45868</v>
      </c>
      <c r="B593" s="78">
        <v>45869</v>
      </c>
      <c r="C593" t="s">
        <v>360</v>
      </c>
      <c r="D593" t="s">
        <v>3</v>
      </c>
      <c r="E593" t="s">
        <v>865</v>
      </c>
      <c r="F593" s="2">
        <v>50</v>
      </c>
      <c r="G593" t="s">
        <v>710</v>
      </c>
    </row>
    <row r="594" spans="1:7">
      <c r="A594" s="1">
        <v>45868</v>
      </c>
      <c r="B594" s="78">
        <v>45869</v>
      </c>
      <c r="C594" t="s">
        <v>360</v>
      </c>
      <c r="D594" t="s">
        <v>3</v>
      </c>
      <c r="E594" t="s">
        <v>865</v>
      </c>
      <c r="F594" s="2">
        <v>3.75</v>
      </c>
      <c r="G594" t="s">
        <v>710</v>
      </c>
    </row>
    <row r="595" spans="1:7">
      <c r="A595" s="1">
        <v>45868</v>
      </c>
      <c r="B595" s="78">
        <v>45869</v>
      </c>
      <c r="C595" t="s">
        <v>361</v>
      </c>
      <c r="D595" t="s">
        <v>15</v>
      </c>
      <c r="E595" t="s">
        <v>809</v>
      </c>
      <c r="F595" s="2">
        <v>20000</v>
      </c>
      <c r="G595" t="s">
        <v>710</v>
      </c>
    </row>
    <row r="596" spans="1:7">
      <c r="A596" s="1">
        <v>45868</v>
      </c>
      <c r="B596" s="78">
        <v>45869</v>
      </c>
      <c r="C596" t="s">
        <v>361</v>
      </c>
      <c r="D596" t="s">
        <v>3</v>
      </c>
      <c r="E596" t="s">
        <v>865</v>
      </c>
      <c r="F596" s="2">
        <v>25</v>
      </c>
      <c r="G596" t="s">
        <v>710</v>
      </c>
    </row>
    <row r="597" spans="1:7">
      <c r="A597" s="1">
        <v>45868</v>
      </c>
      <c r="B597" s="78">
        <v>45869</v>
      </c>
      <c r="C597" t="s">
        <v>361</v>
      </c>
      <c r="D597" t="s">
        <v>3</v>
      </c>
      <c r="E597" t="s">
        <v>865</v>
      </c>
      <c r="F597" s="2">
        <v>1.8799999952316284</v>
      </c>
      <c r="G597" t="s">
        <v>710</v>
      </c>
    </row>
    <row r="598" spans="1:7">
      <c r="A598" s="1">
        <v>45869</v>
      </c>
      <c r="B598" s="78">
        <v>45869</v>
      </c>
      <c r="C598" t="s">
        <v>363</v>
      </c>
      <c r="D598" t="s">
        <v>4</v>
      </c>
      <c r="E598" t="s">
        <v>874</v>
      </c>
      <c r="F598" s="2">
        <v>40000</v>
      </c>
      <c r="G598" t="s">
        <v>710</v>
      </c>
    </row>
    <row r="599" spans="1:7">
      <c r="A599" s="1">
        <v>45869</v>
      </c>
      <c r="B599" s="78">
        <v>45869</v>
      </c>
      <c r="C599" t="s">
        <v>363</v>
      </c>
      <c r="D599" t="s">
        <v>3</v>
      </c>
      <c r="E599" t="s">
        <v>865</v>
      </c>
      <c r="F599" s="2">
        <v>25</v>
      </c>
      <c r="G599" t="s">
        <v>710</v>
      </c>
    </row>
    <row r="600" spans="1:7">
      <c r="A600" s="1">
        <v>45869</v>
      </c>
      <c r="B600" s="78">
        <v>45869</v>
      </c>
      <c r="C600" t="s">
        <v>363</v>
      </c>
      <c r="D600" t="s">
        <v>3</v>
      </c>
      <c r="E600" t="s">
        <v>865</v>
      </c>
      <c r="F600" s="2">
        <v>1.8799999952316284</v>
      </c>
      <c r="G600" t="s">
        <v>710</v>
      </c>
    </row>
    <row r="601" spans="1:7">
      <c r="A601" s="1">
        <v>45869</v>
      </c>
      <c r="B601" s="78">
        <v>45869</v>
      </c>
      <c r="C601" t="s">
        <v>364</v>
      </c>
      <c r="D601" t="s">
        <v>22</v>
      </c>
      <c r="E601" t="s">
        <v>977</v>
      </c>
      <c r="F601" s="2">
        <v>950000</v>
      </c>
      <c r="G601" t="s">
        <v>710</v>
      </c>
    </row>
    <row r="602" spans="1:7">
      <c r="A602" s="1">
        <v>45869</v>
      </c>
      <c r="B602" s="78">
        <v>45869</v>
      </c>
      <c r="C602" t="s">
        <v>365</v>
      </c>
      <c r="D602" t="s">
        <v>3</v>
      </c>
      <c r="E602" t="s">
        <v>865</v>
      </c>
      <c r="F602" s="2">
        <v>50</v>
      </c>
      <c r="G602" t="s">
        <v>710</v>
      </c>
    </row>
    <row r="603" spans="1:7">
      <c r="A603" s="1">
        <v>45869</v>
      </c>
      <c r="B603" s="78">
        <v>45869</v>
      </c>
      <c r="C603" t="s">
        <v>366</v>
      </c>
      <c r="D603" t="s">
        <v>3</v>
      </c>
      <c r="E603" t="s">
        <v>865</v>
      </c>
      <c r="F603" s="2">
        <v>3.75</v>
      </c>
      <c r="G603" t="s">
        <v>710</v>
      </c>
    </row>
    <row r="604" spans="1:7">
      <c r="A604" s="1">
        <v>45869</v>
      </c>
      <c r="B604" s="78">
        <v>45869</v>
      </c>
      <c r="C604" t="s">
        <v>367</v>
      </c>
      <c r="D604" t="s">
        <v>3</v>
      </c>
      <c r="E604" t="s">
        <v>865</v>
      </c>
      <c r="F604" s="2">
        <v>1670.1000000089407</v>
      </c>
      <c r="G604" t="s">
        <v>710</v>
      </c>
    </row>
    <row r="605" spans="1:7">
      <c r="A605" s="1">
        <v>45869</v>
      </c>
      <c r="B605" s="78">
        <v>45869</v>
      </c>
      <c r="C605" t="s">
        <v>368</v>
      </c>
      <c r="D605" t="s">
        <v>3</v>
      </c>
      <c r="E605" t="s">
        <v>865</v>
      </c>
      <c r="F605" s="2">
        <v>22267.04999999702</v>
      </c>
      <c r="G605" t="s">
        <v>710</v>
      </c>
    </row>
    <row r="606" spans="1:7">
      <c r="A606" s="1">
        <v>45870</v>
      </c>
      <c r="B606" s="78">
        <v>45900</v>
      </c>
      <c r="C606" t="s">
        <v>369</v>
      </c>
      <c r="D606" t="s">
        <v>10</v>
      </c>
      <c r="E606" t="s">
        <v>958</v>
      </c>
      <c r="F606" s="2">
        <v>230942.25</v>
      </c>
      <c r="G606" t="s">
        <v>710</v>
      </c>
    </row>
    <row r="607" spans="1:7">
      <c r="A607" s="1">
        <v>45870</v>
      </c>
      <c r="B607" s="78">
        <v>45900</v>
      </c>
      <c r="C607" t="s">
        <v>369</v>
      </c>
      <c r="D607" t="s">
        <v>3</v>
      </c>
      <c r="E607" t="s">
        <v>865</v>
      </c>
      <c r="F607" s="2">
        <v>50</v>
      </c>
      <c r="G607" t="s">
        <v>710</v>
      </c>
    </row>
    <row r="608" spans="1:7">
      <c r="A608" s="1">
        <v>45870</v>
      </c>
      <c r="B608" s="78">
        <v>45900</v>
      </c>
      <c r="C608" t="s">
        <v>369</v>
      </c>
      <c r="D608" t="s">
        <v>3</v>
      </c>
      <c r="E608" t="s">
        <v>865</v>
      </c>
      <c r="F608" s="2">
        <v>3.75</v>
      </c>
      <c r="G608" t="s">
        <v>710</v>
      </c>
    </row>
    <row r="609" spans="1:8" s="10" customFormat="1">
      <c r="A609" s="8">
        <v>45869</v>
      </c>
      <c r="B609" s="78">
        <v>45869</v>
      </c>
      <c r="C609" s="10" t="s">
        <v>717</v>
      </c>
      <c r="D609" s="10" t="s">
        <v>714</v>
      </c>
      <c r="E609" s="5" t="s">
        <v>950</v>
      </c>
      <c r="F609" s="11">
        <v>-22153745.299999997</v>
      </c>
      <c r="G609" s="10" t="s">
        <v>710</v>
      </c>
    </row>
    <row r="610" spans="1:8">
      <c r="A610" s="1">
        <v>45870</v>
      </c>
      <c r="B610" s="78">
        <v>45900</v>
      </c>
      <c r="C610" t="s">
        <v>371</v>
      </c>
      <c r="D610" t="s">
        <v>13</v>
      </c>
      <c r="E610" t="s">
        <v>800</v>
      </c>
      <c r="F610" s="2">
        <v>170000</v>
      </c>
      <c r="G610" t="s">
        <v>710</v>
      </c>
    </row>
    <row r="611" spans="1:8">
      <c r="A611" s="1">
        <v>45870</v>
      </c>
      <c r="B611" s="78">
        <v>45900</v>
      </c>
      <c r="C611" t="s">
        <v>371</v>
      </c>
      <c r="D611" t="s">
        <v>3</v>
      </c>
      <c r="E611" t="s">
        <v>865</v>
      </c>
      <c r="F611" s="2">
        <v>50</v>
      </c>
      <c r="G611" t="s">
        <v>710</v>
      </c>
    </row>
    <row r="612" spans="1:8">
      <c r="A612" s="1">
        <v>45870</v>
      </c>
      <c r="B612" s="78">
        <v>45900</v>
      </c>
      <c r="C612" t="s">
        <v>371</v>
      </c>
      <c r="D612" t="s">
        <v>3</v>
      </c>
      <c r="E612" t="s">
        <v>865</v>
      </c>
      <c r="F612" s="2">
        <v>3.75</v>
      </c>
      <c r="G612" t="s">
        <v>710</v>
      </c>
    </row>
    <row r="613" spans="1:8">
      <c r="A613" s="1">
        <v>45870</v>
      </c>
      <c r="B613" s="78">
        <v>45900</v>
      </c>
      <c r="C613" t="s">
        <v>372</v>
      </c>
      <c r="D613" t="s">
        <v>3</v>
      </c>
      <c r="E613" t="s">
        <v>865</v>
      </c>
      <c r="F613" s="2">
        <v>230.93999999761581</v>
      </c>
      <c r="G613" t="s">
        <v>710</v>
      </c>
    </row>
    <row r="614" spans="1:8">
      <c r="A614" s="1">
        <v>45870</v>
      </c>
      <c r="B614" s="78">
        <v>45900</v>
      </c>
      <c r="C614" t="s">
        <v>373</v>
      </c>
      <c r="D614" t="s">
        <v>3</v>
      </c>
      <c r="E614" t="s">
        <v>865</v>
      </c>
      <c r="F614" s="2">
        <v>17.319999992847443</v>
      </c>
      <c r="G614" t="s">
        <v>710</v>
      </c>
    </row>
    <row r="615" spans="1:8">
      <c r="A615" s="1">
        <v>45870</v>
      </c>
      <c r="B615" s="78">
        <v>45900</v>
      </c>
      <c r="C615" t="s">
        <v>374</v>
      </c>
      <c r="D615" t="s">
        <v>6</v>
      </c>
      <c r="E615" t="s">
        <v>840</v>
      </c>
      <c r="F615" s="2">
        <v>1300000</v>
      </c>
      <c r="G615" t="s">
        <v>710</v>
      </c>
    </row>
    <row r="616" spans="1:8">
      <c r="A616" s="1">
        <v>45870</v>
      </c>
      <c r="B616" s="78">
        <v>45900</v>
      </c>
      <c r="C616" t="s">
        <v>375</v>
      </c>
      <c r="D616" t="s">
        <v>3</v>
      </c>
      <c r="E616" t="s">
        <v>865</v>
      </c>
      <c r="F616" s="2">
        <v>50</v>
      </c>
      <c r="G616" t="s">
        <v>710</v>
      </c>
    </row>
    <row r="617" spans="1:8">
      <c r="A617" s="1">
        <v>45870</v>
      </c>
      <c r="B617" s="78">
        <v>45900</v>
      </c>
      <c r="C617" t="s">
        <v>376</v>
      </c>
      <c r="D617" t="s">
        <v>3</v>
      </c>
      <c r="E617" t="s">
        <v>865</v>
      </c>
      <c r="F617" s="2">
        <v>3.75</v>
      </c>
      <c r="G617" t="s">
        <v>710</v>
      </c>
    </row>
    <row r="618" spans="1:8">
      <c r="A618" s="1">
        <v>45870</v>
      </c>
      <c r="B618" s="78">
        <v>45900</v>
      </c>
      <c r="C618" t="s">
        <v>377</v>
      </c>
      <c r="D618" t="s">
        <v>19</v>
      </c>
      <c r="E618" t="s">
        <v>846</v>
      </c>
      <c r="F618" s="2">
        <v>36116.760000005364</v>
      </c>
      <c r="G618" t="s">
        <v>710</v>
      </c>
      <c r="H618" t="s">
        <v>753</v>
      </c>
    </row>
    <row r="619" spans="1:8">
      <c r="A619" s="1">
        <v>45870</v>
      </c>
      <c r="B619" s="78">
        <v>45900</v>
      </c>
      <c r="C619" t="s">
        <v>377</v>
      </c>
      <c r="D619" t="s">
        <v>3</v>
      </c>
      <c r="E619" t="s">
        <v>865</v>
      </c>
      <c r="F619" s="2">
        <v>25</v>
      </c>
      <c r="G619" t="s">
        <v>710</v>
      </c>
    </row>
    <row r="620" spans="1:8">
      <c r="A620" s="1">
        <v>45870</v>
      </c>
      <c r="B620" s="78">
        <v>45900</v>
      </c>
      <c r="C620" t="s">
        <v>377</v>
      </c>
      <c r="D620" t="s">
        <v>3</v>
      </c>
      <c r="E620" t="s">
        <v>865</v>
      </c>
      <c r="F620" s="2">
        <v>1.8799999952316284</v>
      </c>
      <c r="G620" t="s">
        <v>710</v>
      </c>
    </row>
    <row r="621" spans="1:8">
      <c r="A621" s="1">
        <v>45870</v>
      </c>
      <c r="B621" s="78">
        <v>45900</v>
      </c>
      <c r="C621" t="s">
        <v>378</v>
      </c>
      <c r="D621" t="s">
        <v>26</v>
      </c>
      <c r="E621" t="s">
        <v>979</v>
      </c>
      <c r="F621" s="2">
        <v>-20700</v>
      </c>
      <c r="G621" t="s">
        <v>710</v>
      </c>
    </row>
    <row r="622" spans="1:8">
      <c r="A622" s="1">
        <v>45870</v>
      </c>
      <c r="B622" s="78">
        <v>45900</v>
      </c>
      <c r="C622" t="s">
        <v>379</v>
      </c>
      <c r="D622" t="s">
        <v>3</v>
      </c>
      <c r="E622" t="s">
        <v>865</v>
      </c>
      <c r="F622" s="2">
        <v>50</v>
      </c>
      <c r="G622" t="s">
        <v>710</v>
      </c>
    </row>
    <row r="623" spans="1:8">
      <c r="A623" s="1">
        <v>45873</v>
      </c>
      <c r="B623" s="78">
        <v>45900</v>
      </c>
      <c r="C623" t="s">
        <v>381</v>
      </c>
      <c r="D623" t="s">
        <v>15</v>
      </c>
      <c r="E623" t="s">
        <v>1356</v>
      </c>
      <c r="F623" s="2">
        <v>146000</v>
      </c>
      <c r="G623" t="s">
        <v>710</v>
      </c>
    </row>
    <row r="624" spans="1:8">
      <c r="A624" s="1">
        <v>45873</v>
      </c>
      <c r="B624" s="78">
        <v>45900</v>
      </c>
      <c r="C624" t="s">
        <v>381</v>
      </c>
      <c r="D624" t="s">
        <v>3</v>
      </c>
      <c r="E624" t="s">
        <v>865</v>
      </c>
      <c r="F624" s="2">
        <v>50</v>
      </c>
      <c r="G624" t="s">
        <v>710</v>
      </c>
    </row>
    <row r="625" spans="1:8">
      <c r="A625" s="1">
        <v>45873</v>
      </c>
      <c r="B625" s="78">
        <v>45900</v>
      </c>
      <c r="C625" t="s">
        <v>381</v>
      </c>
      <c r="D625" t="s">
        <v>3</v>
      </c>
      <c r="E625" t="s">
        <v>865</v>
      </c>
      <c r="F625" s="2">
        <v>3.75</v>
      </c>
      <c r="G625" t="s">
        <v>710</v>
      </c>
    </row>
    <row r="626" spans="1:8">
      <c r="A626" s="1">
        <v>45873</v>
      </c>
      <c r="B626" s="78">
        <v>45900</v>
      </c>
      <c r="C626" t="s">
        <v>382</v>
      </c>
      <c r="D626" t="s">
        <v>15</v>
      </c>
      <c r="E626" t="s">
        <v>809</v>
      </c>
      <c r="F626" s="2">
        <v>25000</v>
      </c>
      <c r="G626" t="s">
        <v>710</v>
      </c>
    </row>
    <row r="627" spans="1:8">
      <c r="A627" s="1">
        <v>45873</v>
      </c>
      <c r="B627" s="78">
        <v>45900</v>
      </c>
      <c r="C627" t="s">
        <v>382</v>
      </c>
      <c r="D627" t="s">
        <v>3</v>
      </c>
      <c r="E627" t="s">
        <v>865</v>
      </c>
      <c r="F627" s="2">
        <v>25</v>
      </c>
      <c r="G627" t="s">
        <v>710</v>
      </c>
    </row>
    <row r="628" spans="1:8">
      <c r="A628" s="1">
        <v>45873</v>
      </c>
      <c r="B628" s="78">
        <v>45900</v>
      </c>
      <c r="C628" t="s">
        <v>382</v>
      </c>
      <c r="D628" t="s">
        <v>3</v>
      </c>
      <c r="E628" t="s">
        <v>865</v>
      </c>
      <c r="F628" s="2">
        <v>1.8800000101327896</v>
      </c>
      <c r="G628" t="s">
        <v>710</v>
      </c>
    </row>
    <row r="629" spans="1:8" ht="26">
      <c r="A629" s="1">
        <v>45873</v>
      </c>
      <c r="B629" s="78">
        <v>45900</v>
      </c>
      <c r="C629" t="s">
        <v>383</v>
      </c>
      <c r="D629" t="s">
        <v>19</v>
      </c>
      <c r="E629" t="s">
        <v>980</v>
      </c>
      <c r="F629" s="2">
        <v>4791366</v>
      </c>
      <c r="G629" t="s">
        <v>710</v>
      </c>
      <c r="H629" s="12" t="s">
        <v>754</v>
      </c>
    </row>
    <row r="630" spans="1:8">
      <c r="A630" s="1">
        <v>45873</v>
      </c>
      <c r="B630" s="78">
        <v>45900</v>
      </c>
      <c r="C630" t="s">
        <v>384</v>
      </c>
      <c r="D630" t="s">
        <v>3</v>
      </c>
      <c r="E630" t="s">
        <v>865</v>
      </c>
      <c r="F630" s="2">
        <v>50</v>
      </c>
      <c r="G630" t="s">
        <v>710</v>
      </c>
    </row>
    <row r="631" spans="1:8">
      <c r="A631" s="1">
        <v>45873</v>
      </c>
      <c r="B631" s="78">
        <v>45900</v>
      </c>
      <c r="C631" t="s">
        <v>385</v>
      </c>
      <c r="D631" t="s">
        <v>3</v>
      </c>
      <c r="E631" t="s">
        <v>865</v>
      </c>
      <c r="F631" s="2">
        <v>3.75</v>
      </c>
      <c r="G631" t="s">
        <v>710</v>
      </c>
    </row>
    <row r="632" spans="1:8" ht="26">
      <c r="A632" s="1">
        <v>45873</v>
      </c>
      <c r="B632" s="78">
        <v>45900</v>
      </c>
      <c r="C632" t="s">
        <v>383</v>
      </c>
      <c r="D632" t="s">
        <v>19</v>
      </c>
      <c r="E632" t="s">
        <v>980</v>
      </c>
      <c r="F632" s="2">
        <v>-4791366</v>
      </c>
      <c r="G632" t="s">
        <v>710</v>
      </c>
      <c r="H632" s="12" t="s">
        <v>755</v>
      </c>
    </row>
    <row r="633" spans="1:8">
      <c r="A633" s="1">
        <v>45873</v>
      </c>
      <c r="B633" s="78">
        <v>45900</v>
      </c>
      <c r="C633" t="s">
        <v>384</v>
      </c>
      <c r="D633" t="s">
        <v>3</v>
      </c>
      <c r="E633" t="s">
        <v>865</v>
      </c>
      <c r="F633" s="2">
        <v>-50</v>
      </c>
      <c r="G633" t="s">
        <v>710</v>
      </c>
    </row>
    <row r="634" spans="1:8">
      <c r="A634" s="1">
        <v>45873</v>
      </c>
      <c r="B634" s="78">
        <v>45900</v>
      </c>
      <c r="C634" t="s">
        <v>385</v>
      </c>
      <c r="D634" t="s">
        <v>3</v>
      </c>
      <c r="E634" t="s">
        <v>865</v>
      </c>
      <c r="F634" s="2">
        <v>-3.75</v>
      </c>
      <c r="G634" t="s">
        <v>710</v>
      </c>
    </row>
    <row r="635" spans="1:8" ht="26">
      <c r="A635" s="1">
        <v>45873</v>
      </c>
      <c r="B635" s="78">
        <v>45900</v>
      </c>
      <c r="C635" t="s">
        <v>386</v>
      </c>
      <c r="D635" t="s">
        <v>19</v>
      </c>
      <c r="E635" t="s">
        <v>980</v>
      </c>
      <c r="F635" s="2">
        <v>4791366</v>
      </c>
      <c r="G635" t="s">
        <v>710</v>
      </c>
      <c r="H635" s="12" t="s">
        <v>756</v>
      </c>
    </row>
    <row r="636" spans="1:8">
      <c r="A636" s="1">
        <v>45873</v>
      </c>
      <c r="B636" s="78">
        <v>45900</v>
      </c>
      <c r="C636" t="s">
        <v>387</v>
      </c>
      <c r="D636" t="s">
        <v>3</v>
      </c>
      <c r="E636" t="s">
        <v>865</v>
      </c>
      <c r="F636" s="2">
        <v>50</v>
      </c>
      <c r="G636" t="s">
        <v>710</v>
      </c>
    </row>
    <row r="637" spans="1:8">
      <c r="A637" s="1">
        <v>45873</v>
      </c>
      <c r="B637" s="78">
        <v>45900</v>
      </c>
      <c r="C637" t="s">
        <v>388</v>
      </c>
      <c r="D637" t="s">
        <v>3</v>
      </c>
      <c r="E637" t="s">
        <v>865</v>
      </c>
      <c r="F637" s="2">
        <v>3.75</v>
      </c>
      <c r="G637" t="s">
        <v>710</v>
      </c>
    </row>
    <row r="638" spans="1:8">
      <c r="A638" s="1">
        <v>45873</v>
      </c>
      <c r="B638" s="78">
        <v>45900</v>
      </c>
      <c r="C638" t="s">
        <v>389</v>
      </c>
      <c r="D638" t="s">
        <v>31</v>
      </c>
      <c r="E638" t="s">
        <v>989</v>
      </c>
      <c r="F638" s="2">
        <v>100000</v>
      </c>
      <c r="G638" t="s">
        <v>710</v>
      </c>
      <c r="H638" t="s">
        <v>1274</v>
      </c>
    </row>
    <row r="639" spans="1:8">
      <c r="A639" s="1">
        <v>45873</v>
      </c>
      <c r="B639" s="78">
        <v>45900</v>
      </c>
      <c r="C639" t="s">
        <v>389</v>
      </c>
      <c r="D639" t="s">
        <v>3</v>
      </c>
      <c r="E639" t="s">
        <v>865</v>
      </c>
      <c r="F639" s="2">
        <v>50</v>
      </c>
      <c r="G639" t="s">
        <v>710</v>
      </c>
    </row>
    <row r="640" spans="1:8">
      <c r="A640" s="1">
        <v>45873</v>
      </c>
      <c r="B640" s="78">
        <v>45900</v>
      </c>
      <c r="C640" t="s">
        <v>389</v>
      </c>
      <c r="D640" t="s">
        <v>3</v>
      </c>
      <c r="E640" t="s">
        <v>865</v>
      </c>
      <c r="F640" s="2">
        <v>3.75</v>
      </c>
      <c r="G640" t="s">
        <v>710</v>
      </c>
    </row>
    <row r="641" spans="1:8">
      <c r="A641" s="1">
        <v>45873</v>
      </c>
      <c r="B641" s="78">
        <v>45900</v>
      </c>
      <c r="C641" t="s">
        <v>390</v>
      </c>
      <c r="D641" t="s">
        <v>8</v>
      </c>
      <c r="E641" t="s">
        <v>815</v>
      </c>
      <c r="F641" s="2">
        <v>15750</v>
      </c>
      <c r="G641" t="s">
        <v>710</v>
      </c>
    </row>
    <row r="642" spans="1:8">
      <c r="A642" s="1">
        <v>45873</v>
      </c>
      <c r="B642" s="78">
        <v>45900</v>
      </c>
      <c r="C642" t="s">
        <v>390</v>
      </c>
      <c r="D642" t="s">
        <v>3</v>
      </c>
      <c r="E642" t="s">
        <v>865</v>
      </c>
      <c r="F642" s="2">
        <v>25</v>
      </c>
      <c r="G642" t="s">
        <v>710</v>
      </c>
    </row>
    <row r="643" spans="1:8">
      <c r="A643" s="1">
        <v>45873</v>
      </c>
      <c r="B643" s="78">
        <v>45900</v>
      </c>
      <c r="C643" t="s">
        <v>390</v>
      </c>
      <c r="D643" t="s">
        <v>3</v>
      </c>
      <c r="E643" t="s">
        <v>865</v>
      </c>
      <c r="F643" s="2">
        <v>1.8799999952316284</v>
      </c>
      <c r="G643" t="s">
        <v>710</v>
      </c>
    </row>
    <row r="644" spans="1:8">
      <c r="A644" s="1">
        <v>45873</v>
      </c>
      <c r="B644" s="78">
        <v>45900</v>
      </c>
      <c r="C644" t="s">
        <v>391</v>
      </c>
      <c r="D644" t="s">
        <v>31</v>
      </c>
      <c r="E644" t="s">
        <v>989</v>
      </c>
      <c r="F644" s="2">
        <v>80000</v>
      </c>
      <c r="G644" t="s">
        <v>710</v>
      </c>
      <c r="H644" t="s">
        <v>1233</v>
      </c>
    </row>
    <row r="645" spans="1:8">
      <c r="A645" s="1">
        <v>45873</v>
      </c>
      <c r="B645" s="78">
        <v>45900</v>
      </c>
      <c r="C645" t="s">
        <v>391</v>
      </c>
      <c r="D645" t="s">
        <v>3</v>
      </c>
      <c r="E645" t="s">
        <v>865</v>
      </c>
      <c r="F645" s="2">
        <v>50</v>
      </c>
      <c r="G645" t="s">
        <v>710</v>
      </c>
    </row>
    <row r="646" spans="1:8">
      <c r="A646" s="1">
        <v>45873</v>
      </c>
      <c r="B646" s="78">
        <v>45900</v>
      </c>
      <c r="C646" t="s">
        <v>391</v>
      </c>
      <c r="D646" t="s">
        <v>3</v>
      </c>
      <c r="E646" t="s">
        <v>865</v>
      </c>
      <c r="F646" s="2">
        <v>3.75</v>
      </c>
      <c r="G646" t="s">
        <v>710</v>
      </c>
    </row>
    <row r="647" spans="1:8">
      <c r="A647" s="1">
        <v>45873</v>
      </c>
      <c r="B647" s="78">
        <v>45900</v>
      </c>
      <c r="C647" t="s">
        <v>392</v>
      </c>
      <c r="D647" t="s">
        <v>708</v>
      </c>
      <c r="E647" t="s">
        <v>987</v>
      </c>
      <c r="F647" s="2">
        <v>240000</v>
      </c>
      <c r="G647" t="s">
        <v>710</v>
      </c>
    </row>
    <row r="648" spans="1:8">
      <c r="A648" s="1">
        <v>45873</v>
      </c>
      <c r="B648" s="78">
        <v>45900</v>
      </c>
      <c r="C648" t="s">
        <v>392</v>
      </c>
      <c r="D648" t="s">
        <v>3</v>
      </c>
      <c r="E648" t="s">
        <v>865</v>
      </c>
      <c r="F648" s="2">
        <v>50</v>
      </c>
      <c r="G648" t="s">
        <v>710</v>
      </c>
    </row>
    <row r="649" spans="1:8">
      <c r="A649" s="1">
        <v>45873</v>
      </c>
      <c r="B649" s="78">
        <v>45900</v>
      </c>
      <c r="C649" t="s">
        <v>392</v>
      </c>
      <c r="D649" t="s">
        <v>3</v>
      </c>
      <c r="E649" t="s">
        <v>865</v>
      </c>
      <c r="F649" s="2">
        <v>3.75</v>
      </c>
      <c r="G649" t="s">
        <v>710</v>
      </c>
    </row>
    <row r="650" spans="1:8">
      <c r="A650" s="1">
        <v>45874</v>
      </c>
      <c r="B650" s="78">
        <v>45900</v>
      </c>
      <c r="C650" t="s">
        <v>394</v>
      </c>
      <c r="D650" t="s">
        <v>32</v>
      </c>
      <c r="E650" t="s">
        <v>32</v>
      </c>
      <c r="F650" s="2">
        <v>2218342</v>
      </c>
      <c r="G650" t="s">
        <v>710</v>
      </c>
    </row>
    <row r="651" spans="1:8">
      <c r="A651" s="1">
        <v>45874</v>
      </c>
      <c r="B651" s="78">
        <v>45900</v>
      </c>
      <c r="C651" t="s">
        <v>395</v>
      </c>
      <c r="D651" t="s">
        <v>3</v>
      </c>
      <c r="E651" t="s">
        <v>865</v>
      </c>
      <c r="F651" s="2">
        <v>50</v>
      </c>
      <c r="G651" t="s">
        <v>710</v>
      </c>
    </row>
    <row r="652" spans="1:8">
      <c r="A652" s="1">
        <v>45874</v>
      </c>
      <c r="B652" s="78">
        <v>45900</v>
      </c>
      <c r="C652" t="s">
        <v>396</v>
      </c>
      <c r="D652" t="s">
        <v>3</v>
      </c>
      <c r="E652" t="s">
        <v>865</v>
      </c>
      <c r="F652" s="2">
        <v>3.75</v>
      </c>
      <c r="G652" t="s">
        <v>710</v>
      </c>
    </row>
    <row r="653" spans="1:8">
      <c r="A653" s="1">
        <v>45874</v>
      </c>
      <c r="B653" s="78">
        <v>45900</v>
      </c>
      <c r="C653" t="s">
        <v>397</v>
      </c>
      <c r="D653" t="s">
        <v>29</v>
      </c>
      <c r="E653" t="s">
        <v>963</v>
      </c>
      <c r="F653" s="2">
        <v>75600</v>
      </c>
      <c r="G653" t="s">
        <v>710</v>
      </c>
    </row>
    <row r="654" spans="1:8">
      <c r="A654" s="1">
        <v>45874</v>
      </c>
      <c r="B654" s="78">
        <v>45900</v>
      </c>
      <c r="C654" t="s">
        <v>397</v>
      </c>
      <c r="D654" t="s">
        <v>3</v>
      </c>
      <c r="E654" t="s">
        <v>865</v>
      </c>
      <c r="F654" s="2">
        <v>50</v>
      </c>
      <c r="G654" t="s">
        <v>710</v>
      </c>
    </row>
    <row r="655" spans="1:8">
      <c r="A655" s="1">
        <v>45874</v>
      </c>
      <c r="B655" s="78">
        <v>45900</v>
      </c>
      <c r="C655" t="s">
        <v>397</v>
      </c>
      <c r="D655" t="s">
        <v>3</v>
      </c>
      <c r="E655" t="s">
        <v>865</v>
      </c>
      <c r="F655" s="2">
        <v>3.75</v>
      </c>
      <c r="G655" t="s">
        <v>710</v>
      </c>
    </row>
    <row r="656" spans="1:8">
      <c r="A656" s="1">
        <v>45875</v>
      </c>
      <c r="B656" s="78">
        <v>45900</v>
      </c>
      <c r="C656" t="s">
        <v>399</v>
      </c>
      <c r="D656" t="s">
        <v>8</v>
      </c>
      <c r="E656" t="s">
        <v>815</v>
      </c>
      <c r="F656" s="2">
        <v>121281.25</v>
      </c>
      <c r="G656" t="s">
        <v>710</v>
      </c>
    </row>
    <row r="657" spans="1:8">
      <c r="A657" s="1">
        <v>45875</v>
      </c>
      <c r="B657" s="78">
        <v>45900</v>
      </c>
      <c r="C657" t="s">
        <v>399</v>
      </c>
      <c r="D657" t="s">
        <v>3</v>
      </c>
      <c r="E657" t="s">
        <v>865</v>
      </c>
      <c r="F657" s="2">
        <v>50</v>
      </c>
      <c r="G657" t="s">
        <v>710</v>
      </c>
    </row>
    <row r="658" spans="1:8">
      <c r="A658" s="1">
        <v>45875</v>
      </c>
      <c r="B658" s="78">
        <v>45900</v>
      </c>
      <c r="C658" t="s">
        <v>399</v>
      </c>
      <c r="D658" t="s">
        <v>3</v>
      </c>
      <c r="E658" t="s">
        <v>865</v>
      </c>
      <c r="F658" s="2">
        <v>3.75</v>
      </c>
      <c r="G658" t="s">
        <v>710</v>
      </c>
    </row>
    <row r="659" spans="1:8" ht="39">
      <c r="A659" s="1">
        <v>45875</v>
      </c>
      <c r="B659" s="78">
        <v>45900</v>
      </c>
      <c r="C659" t="s">
        <v>400</v>
      </c>
      <c r="D659" t="s">
        <v>19</v>
      </c>
      <c r="E659" t="s">
        <v>980</v>
      </c>
      <c r="F659" s="2">
        <v>-729742</v>
      </c>
      <c r="G659" t="s">
        <v>710</v>
      </c>
      <c r="H659" s="12" t="s">
        <v>759</v>
      </c>
    </row>
    <row r="660" spans="1:8">
      <c r="A660" s="1">
        <v>45876</v>
      </c>
      <c r="B660" s="78">
        <v>45900</v>
      </c>
      <c r="C660" t="s">
        <v>401</v>
      </c>
      <c r="D660" t="s">
        <v>26</v>
      </c>
      <c r="E660" t="s">
        <v>979</v>
      </c>
      <c r="F660" s="2">
        <v>322000</v>
      </c>
      <c r="G660" t="s">
        <v>710</v>
      </c>
    </row>
    <row r="661" spans="1:8">
      <c r="A661" s="1">
        <v>45876</v>
      </c>
      <c r="B661" s="78">
        <v>45900</v>
      </c>
      <c r="C661" t="s">
        <v>401</v>
      </c>
      <c r="D661" t="s">
        <v>3</v>
      </c>
      <c r="E661" t="s">
        <v>865</v>
      </c>
      <c r="F661" s="2">
        <v>50</v>
      </c>
      <c r="G661" t="s">
        <v>710</v>
      </c>
    </row>
    <row r="662" spans="1:8">
      <c r="A662" s="1">
        <v>45876</v>
      </c>
      <c r="B662" s="78">
        <v>45900</v>
      </c>
      <c r="C662" t="s">
        <v>401</v>
      </c>
      <c r="D662" t="s">
        <v>3</v>
      </c>
      <c r="E662" t="s">
        <v>865</v>
      </c>
      <c r="F662" s="2">
        <v>3.75</v>
      </c>
      <c r="G662" t="s">
        <v>710</v>
      </c>
    </row>
    <row r="663" spans="1:8">
      <c r="A663" s="1">
        <v>45876</v>
      </c>
      <c r="B663" s="78">
        <v>45900</v>
      </c>
      <c r="C663" t="s">
        <v>403</v>
      </c>
      <c r="D663" t="s">
        <v>19</v>
      </c>
      <c r="E663" t="s">
        <v>980</v>
      </c>
      <c r="F663" s="2">
        <v>1085847.8400000036</v>
      </c>
      <c r="G663" t="s">
        <v>710</v>
      </c>
      <c r="H663" s="12" t="s">
        <v>757</v>
      </c>
    </row>
    <row r="664" spans="1:8">
      <c r="A664" s="1">
        <v>45876</v>
      </c>
      <c r="B664" s="78">
        <v>45900</v>
      </c>
      <c r="C664" t="s">
        <v>404</v>
      </c>
      <c r="D664" t="s">
        <v>3</v>
      </c>
      <c r="E664" t="s">
        <v>865</v>
      </c>
      <c r="F664" s="2">
        <v>50</v>
      </c>
      <c r="G664" t="s">
        <v>710</v>
      </c>
    </row>
    <row r="665" spans="1:8">
      <c r="A665" s="1">
        <v>45876</v>
      </c>
      <c r="B665" s="78">
        <v>45900</v>
      </c>
      <c r="C665" t="s">
        <v>405</v>
      </c>
      <c r="D665" t="s">
        <v>3</v>
      </c>
      <c r="E665" t="s">
        <v>865</v>
      </c>
      <c r="F665" s="2">
        <v>3.75</v>
      </c>
      <c r="G665" t="s">
        <v>710</v>
      </c>
    </row>
    <row r="666" spans="1:8">
      <c r="A666" s="1">
        <v>45876</v>
      </c>
      <c r="B666" s="78">
        <v>45900</v>
      </c>
      <c r="C666" t="s">
        <v>406</v>
      </c>
      <c r="D666" t="s">
        <v>3</v>
      </c>
      <c r="E666" t="s">
        <v>865</v>
      </c>
      <c r="F666" s="2">
        <v>50</v>
      </c>
      <c r="G666" t="s">
        <v>710</v>
      </c>
    </row>
    <row r="667" spans="1:8">
      <c r="A667" s="1">
        <v>45880</v>
      </c>
      <c r="B667" s="78">
        <v>45900</v>
      </c>
      <c r="C667" t="s">
        <v>408</v>
      </c>
      <c r="D667" t="s">
        <v>26</v>
      </c>
      <c r="E667" t="s">
        <v>979</v>
      </c>
      <c r="F667" s="2">
        <v>217000</v>
      </c>
      <c r="G667" t="s">
        <v>710</v>
      </c>
    </row>
    <row r="668" spans="1:8">
      <c r="A668" s="1">
        <v>45880</v>
      </c>
      <c r="B668" s="78">
        <v>45900</v>
      </c>
      <c r="C668" t="s">
        <v>408</v>
      </c>
      <c r="D668" t="s">
        <v>3</v>
      </c>
      <c r="E668" t="s">
        <v>865</v>
      </c>
      <c r="F668" s="2">
        <v>50</v>
      </c>
      <c r="G668" t="s">
        <v>710</v>
      </c>
    </row>
    <row r="669" spans="1:8">
      <c r="A669" s="1">
        <v>45880</v>
      </c>
      <c r="B669" s="78">
        <v>45900</v>
      </c>
      <c r="C669" t="s">
        <v>408</v>
      </c>
      <c r="D669" t="s">
        <v>3</v>
      </c>
      <c r="E669" t="s">
        <v>865</v>
      </c>
      <c r="F669" s="2">
        <v>3.75</v>
      </c>
      <c r="G669" t="s">
        <v>710</v>
      </c>
    </row>
    <row r="670" spans="1:8">
      <c r="A670" s="1">
        <v>45880</v>
      </c>
      <c r="B670" s="78">
        <v>45900</v>
      </c>
      <c r="C670" t="s">
        <v>409</v>
      </c>
      <c r="D670" t="s">
        <v>26</v>
      </c>
      <c r="E670" t="s">
        <v>979</v>
      </c>
      <c r="F670" s="2">
        <v>203000</v>
      </c>
      <c r="G670" t="s">
        <v>710</v>
      </c>
    </row>
    <row r="671" spans="1:8">
      <c r="A671" s="1">
        <v>45880</v>
      </c>
      <c r="B671" s="78">
        <v>45900</v>
      </c>
      <c r="C671" t="s">
        <v>409</v>
      </c>
      <c r="D671" t="s">
        <v>3</v>
      </c>
      <c r="E671" t="s">
        <v>865</v>
      </c>
      <c r="F671" s="2">
        <v>50</v>
      </c>
      <c r="G671" t="s">
        <v>710</v>
      </c>
    </row>
    <row r="672" spans="1:8">
      <c r="A672" s="1">
        <v>45880</v>
      </c>
      <c r="B672" s="78">
        <v>45900</v>
      </c>
      <c r="C672" t="s">
        <v>409</v>
      </c>
      <c r="D672" t="s">
        <v>3</v>
      </c>
      <c r="E672" t="s">
        <v>865</v>
      </c>
      <c r="F672" s="2">
        <v>3.75</v>
      </c>
      <c r="G672" t="s">
        <v>710</v>
      </c>
    </row>
    <row r="673" spans="1:7">
      <c r="A673" s="1">
        <v>45882</v>
      </c>
      <c r="B673" s="78">
        <v>45900</v>
      </c>
      <c r="C673" t="s">
        <v>411</v>
      </c>
      <c r="D673" t="s">
        <v>29</v>
      </c>
      <c r="E673" t="s">
        <v>963</v>
      </c>
      <c r="F673" s="2">
        <v>20000</v>
      </c>
      <c r="G673" t="s">
        <v>710</v>
      </c>
    </row>
    <row r="674" spans="1:7">
      <c r="A674" s="1">
        <v>45882</v>
      </c>
      <c r="B674" s="78">
        <v>45900</v>
      </c>
      <c r="C674" t="s">
        <v>411</v>
      </c>
      <c r="D674" t="s">
        <v>3</v>
      </c>
      <c r="E674" t="s">
        <v>865</v>
      </c>
      <c r="F674" s="2">
        <v>25</v>
      </c>
      <c r="G674" t="s">
        <v>710</v>
      </c>
    </row>
    <row r="675" spans="1:7">
      <c r="A675" s="1">
        <v>45882</v>
      </c>
      <c r="B675" s="78">
        <v>45900</v>
      </c>
      <c r="C675" t="s">
        <v>411</v>
      </c>
      <c r="D675" t="s">
        <v>3</v>
      </c>
      <c r="E675" t="s">
        <v>865</v>
      </c>
      <c r="F675" s="2">
        <v>1.8799999952316284</v>
      </c>
      <c r="G675" t="s">
        <v>710</v>
      </c>
    </row>
    <row r="676" spans="1:7">
      <c r="A676" s="1">
        <v>45882</v>
      </c>
      <c r="B676" s="78">
        <v>45900</v>
      </c>
      <c r="C676" t="s">
        <v>413</v>
      </c>
      <c r="D676" t="s">
        <v>29</v>
      </c>
      <c r="E676" t="s">
        <v>963</v>
      </c>
      <c r="F676" s="2">
        <v>110000</v>
      </c>
      <c r="G676" t="s">
        <v>710</v>
      </c>
    </row>
    <row r="677" spans="1:7">
      <c r="A677" s="1">
        <v>45882</v>
      </c>
      <c r="B677" s="78">
        <v>45900</v>
      </c>
      <c r="C677" t="s">
        <v>413</v>
      </c>
      <c r="D677" t="s">
        <v>3</v>
      </c>
      <c r="E677" t="s">
        <v>865</v>
      </c>
      <c r="F677" s="2">
        <v>50</v>
      </c>
      <c r="G677" t="s">
        <v>710</v>
      </c>
    </row>
    <row r="678" spans="1:7">
      <c r="A678" s="1">
        <v>45882</v>
      </c>
      <c r="B678" s="78">
        <v>45900</v>
      </c>
      <c r="C678" t="s">
        <v>413</v>
      </c>
      <c r="D678" t="s">
        <v>3</v>
      </c>
      <c r="E678" t="s">
        <v>865</v>
      </c>
      <c r="F678" s="2">
        <v>3.75</v>
      </c>
      <c r="G678" t="s">
        <v>710</v>
      </c>
    </row>
    <row r="679" spans="1:7">
      <c r="A679" s="1">
        <v>45883</v>
      </c>
      <c r="B679" s="78">
        <v>45900</v>
      </c>
      <c r="C679" t="s">
        <v>415</v>
      </c>
      <c r="D679" t="s">
        <v>708</v>
      </c>
      <c r="E679" t="s">
        <v>987</v>
      </c>
      <c r="F679" s="2">
        <v>320000</v>
      </c>
      <c r="G679" t="s">
        <v>710</v>
      </c>
    </row>
    <row r="680" spans="1:7">
      <c r="A680" s="1">
        <v>45883</v>
      </c>
      <c r="B680" s="78">
        <v>45900</v>
      </c>
      <c r="C680" t="s">
        <v>415</v>
      </c>
      <c r="D680" t="s">
        <v>3</v>
      </c>
      <c r="E680" t="s">
        <v>865</v>
      </c>
      <c r="F680" s="2">
        <v>50</v>
      </c>
      <c r="G680" t="s">
        <v>710</v>
      </c>
    </row>
    <row r="681" spans="1:7">
      <c r="A681" s="1">
        <v>45883</v>
      </c>
      <c r="B681" s="78">
        <v>45900</v>
      </c>
      <c r="C681" t="s">
        <v>415</v>
      </c>
      <c r="D681" t="s">
        <v>3</v>
      </c>
      <c r="E681" t="s">
        <v>865</v>
      </c>
      <c r="F681" s="2">
        <v>3.75</v>
      </c>
      <c r="G681" t="s">
        <v>710</v>
      </c>
    </row>
    <row r="682" spans="1:7">
      <c r="A682" s="1">
        <v>45884</v>
      </c>
      <c r="B682" s="78">
        <v>45900</v>
      </c>
      <c r="C682" t="s">
        <v>417</v>
      </c>
      <c r="D682" t="s">
        <v>4</v>
      </c>
      <c r="E682" t="s">
        <v>874</v>
      </c>
      <c r="F682" s="2">
        <v>32000</v>
      </c>
      <c r="G682" t="s">
        <v>710</v>
      </c>
    </row>
    <row r="683" spans="1:7">
      <c r="A683" s="1">
        <v>45884</v>
      </c>
      <c r="B683" s="78">
        <v>45900</v>
      </c>
      <c r="C683" t="s">
        <v>417</v>
      </c>
      <c r="D683" t="s">
        <v>3</v>
      </c>
      <c r="E683" t="s">
        <v>865</v>
      </c>
      <c r="F683" s="2">
        <v>25</v>
      </c>
      <c r="G683" t="s">
        <v>710</v>
      </c>
    </row>
    <row r="684" spans="1:7">
      <c r="A684" s="1">
        <v>45884</v>
      </c>
      <c r="B684" s="78">
        <v>45900</v>
      </c>
      <c r="C684" t="s">
        <v>417</v>
      </c>
      <c r="D684" t="s">
        <v>3</v>
      </c>
      <c r="E684" t="s">
        <v>865</v>
      </c>
      <c r="F684" s="2">
        <v>1.8799999952316284</v>
      </c>
      <c r="G684" t="s">
        <v>710</v>
      </c>
    </row>
    <row r="685" spans="1:7">
      <c r="A685" s="1">
        <v>45888</v>
      </c>
      <c r="B685" s="78">
        <v>45900</v>
      </c>
      <c r="C685" t="s">
        <v>419</v>
      </c>
      <c r="D685" t="s">
        <v>4</v>
      </c>
      <c r="E685" t="s">
        <v>874</v>
      </c>
      <c r="F685" s="2">
        <v>295000</v>
      </c>
      <c r="G685" t="s">
        <v>710</v>
      </c>
    </row>
    <row r="686" spans="1:7">
      <c r="A686" s="1">
        <v>45888</v>
      </c>
      <c r="B686" s="78">
        <v>45900</v>
      </c>
      <c r="C686" t="s">
        <v>419</v>
      </c>
      <c r="D686" t="s">
        <v>3</v>
      </c>
      <c r="E686" t="s">
        <v>865</v>
      </c>
      <c r="F686" s="2">
        <v>50</v>
      </c>
      <c r="G686" t="s">
        <v>710</v>
      </c>
    </row>
    <row r="687" spans="1:7">
      <c r="A687" s="1">
        <v>45888</v>
      </c>
      <c r="B687" s="78">
        <v>45900</v>
      </c>
      <c r="C687" t="s">
        <v>419</v>
      </c>
      <c r="D687" t="s">
        <v>3</v>
      </c>
      <c r="E687" t="s">
        <v>865</v>
      </c>
      <c r="F687" s="2">
        <v>3.75</v>
      </c>
      <c r="G687" t="s">
        <v>710</v>
      </c>
    </row>
    <row r="688" spans="1:7">
      <c r="A688" s="1">
        <v>45888</v>
      </c>
      <c r="B688" s="78">
        <v>45900</v>
      </c>
      <c r="C688" t="s">
        <v>420</v>
      </c>
      <c r="D688" t="s">
        <v>29</v>
      </c>
      <c r="E688" t="s">
        <v>963</v>
      </c>
      <c r="F688" s="2">
        <v>34500</v>
      </c>
      <c r="G688" t="s">
        <v>710</v>
      </c>
    </row>
    <row r="689" spans="1:8">
      <c r="A689" s="1">
        <v>45888</v>
      </c>
      <c r="B689" s="78">
        <v>45900</v>
      </c>
      <c r="C689" t="s">
        <v>420</v>
      </c>
      <c r="D689" t="s">
        <v>3</v>
      </c>
      <c r="E689" t="s">
        <v>865</v>
      </c>
      <c r="F689" s="2">
        <v>25</v>
      </c>
      <c r="G689" t="s">
        <v>710</v>
      </c>
    </row>
    <row r="690" spans="1:8">
      <c r="A690" s="1">
        <v>45888</v>
      </c>
      <c r="B690" s="78">
        <v>45900</v>
      </c>
      <c r="C690" t="s">
        <v>420</v>
      </c>
      <c r="D690" t="s">
        <v>3</v>
      </c>
      <c r="E690" t="s">
        <v>865</v>
      </c>
      <c r="F690" s="2">
        <v>1.8800000101327896</v>
      </c>
      <c r="G690" t="s">
        <v>710</v>
      </c>
    </row>
    <row r="691" spans="1:8">
      <c r="A691" s="1">
        <v>45888</v>
      </c>
      <c r="B691" s="78">
        <v>45900</v>
      </c>
      <c r="C691" t="s">
        <v>421</v>
      </c>
      <c r="D691" t="s">
        <v>13</v>
      </c>
      <c r="E691" t="s">
        <v>800</v>
      </c>
      <c r="F691" s="2">
        <v>400000</v>
      </c>
      <c r="G691" t="s">
        <v>710</v>
      </c>
    </row>
    <row r="692" spans="1:8">
      <c r="A692" s="1">
        <v>45888</v>
      </c>
      <c r="B692" s="78">
        <v>45900</v>
      </c>
      <c r="C692" t="s">
        <v>422</v>
      </c>
      <c r="D692" t="s">
        <v>3</v>
      </c>
      <c r="E692" t="s">
        <v>865</v>
      </c>
      <c r="F692" s="2">
        <v>50</v>
      </c>
      <c r="G692" t="s">
        <v>710</v>
      </c>
    </row>
    <row r="693" spans="1:8">
      <c r="A693" s="1">
        <v>45888</v>
      </c>
      <c r="B693" s="78">
        <v>45900</v>
      </c>
      <c r="C693" t="s">
        <v>423</v>
      </c>
      <c r="D693" t="s">
        <v>3</v>
      </c>
      <c r="E693" t="s">
        <v>865</v>
      </c>
      <c r="F693" s="2">
        <v>3.75</v>
      </c>
      <c r="G693" t="s">
        <v>710</v>
      </c>
    </row>
    <row r="694" spans="1:8">
      <c r="A694" s="1">
        <v>45888</v>
      </c>
      <c r="B694" s="78">
        <v>45900</v>
      </c>
      <c r="C694" t="s">
        <v>424</v>
      </c>
      <c r="D694" t="s">
        <v>4</v>
      </c>
      <c r="E694" t="s">
        <v>874</v>
      </c>
      <c r="F694" s="2">
        <v>27000</v>
      </c>
      <c r="G694" t="s">
        <v>710</v>
      </c>
    </row>
    <row r="695" spans="1:8">
      <c r="A695" s="1">
        <v>45888</v>
      </c>
      <c r="B695" s="78">
        <v>45900</v>
      </c>
      <c r="C695" t="s">
        <v>424</v>
      </c>
      <c r="D695" t="s">
        <v>3</v>
      </c>
      <c r="E695" t="s">
        <v>865</v>
      </c>
      <c r="F695" s="2">
        <v>25</v>
      </c>
      <c r="G695" t="s">
        <v>710</v>
      </c>
    </row>
    <row r="696" spans="1:8">
      <c r="A696" s="1">
        <v>45888</v>
      </c>
      <c r="B696" s="78">
        <v>45900</v>
      </c>
      <c r="C696" t="s">
        <v>424</v>
      </c>
      <c r="D696" t="s">
        <v>3</v>
      </c>
      <c r="E696" t="s">
        <v>865</v>
      </c>
      <c r="F696" s="2">
        <v>1.8799999952316284</v>
      </c>
      <c r="G696" t="s">
        <v>710</v>
      </c>
    </row>
    <row r="697" spans="1:8">
      <c r="A697" s="1">
        <v>45888</v>
      </c>
      <c r="B697" s="78">
        <v>45900</v>
      </c>
      <c r="C697" t="s">
        <v>425</v>
      </c>
      <c r="D697" t="s">
        <v>10</v>
      </c>
      <c r="E697" t="s">
        <v>958</v>
      </c>
      <c r="F697" s="2">
        <v>5394</v>
      </c>
      <c r="G697" t="s">
        <v>710</v>
      </c>
    </row>
    <row r="698" spans="1:8">
      <c r="A698" s="1">
        <v>45888</v>
      </c>
      <c r="B698" s="78">
        <v>45900</v>
      </c>
      <c r="C698" t="s">
        <v>425</v>
      </c>
      <c r="D698" t="s">
        <v>3</v>
      </c>
      <c r="E698" t="s">
        <v>865</v>
      </c>
      <c r="F698" s="2">
        <v>25</v>
      </c>
      <c r="G698" t="s">
        <v>710</v>
      </c>
    </row>
    <row r="699" spans="1:8">
      <c r="A699" s="1">
        <v>45888</v>
      </c>
      <c r="B699" s="78">
        <v>45900</v>
      </c>
      <c r="C699" t="s">
        <v>425</v>
      </c>
      <c r="D699" t="s">
        <v>3</v>
      </c>
      <c r="E699" t="s">
        <v>865</v>
      </c>
      <c r="F699" s="2">
        <v>1.8799999952316284</v>
      </c>
      <c r="G699" t="s">
        <v>710</v>
      </c>
    </row>
    <row r="700" spans="1:8">
      <c r="A700" s="1">
        <v>45894</v>
      </c>
      <c r="B700" s="78">
        <v>45900</v>
      </c>
      <c r="C700" t="s">
        <v>427</v>
      </c>
      <c r="D700" t="s">
        <v>15</v>
      </c>
      <c r="E700" t="s">
        <v>1356</v>
      </c>
      <c r="F700" s="2">
        <v>25000</v>
      </c>
      <c r="G700" t="s">
        <v>710</v>
      </c>
    </row>
    <row r="701" spans="1:8">
      <c r="A701" s="1">
        <v>45894</v>
      </c>
      <c r="B701" s="78">
        <v>45900</v>
      </c>
      <c r="C701" t="s">
        <v>427</v>
      </c>
      <c r="D701" t="s">
        <v>3</v>
      </c>
      <c r="E701" t="s">
        <v>865</v>
      </c>
      <c r="F701" s="2">
        <v>25</v>
      </c>
      <c r="G701" t="s">
        <v>710</v>
      </c>
    </row>
    <row r="702" spans="1:8">
      <c r="A702" s="1">
        <v>45894</v>
      </c>
      <c r="B702" s="78">
        <v>45900</v>
      </c>
      <c r="C702" t="s">
        <v>427</v>
      </c>
      <c r="D702" t="s">
        <v>3</v>
      </c>
      <c r="E702" t="s">
        <v>865</v>
      </c>
      <c r="F702" s="2">
        <v>1.8800000101327896</v>
      </c>
      <c r="G702" t="s">
        <v>710</v>
      </c>
    </row>
    <row r="703" spans="1:8">
      <c r="A703" s="1">
        <v>45894</v>
      </c>
      <c r="B703" s="78">
        <v>45900</v>
      </c>
      <c r="C703" t="s">
        <v>428</v>
      </c>
      <c r="D703" t="s">
        <v>19</v>
      </c>
      <c r="E703" s="14" t="s">
        <v>994</v>
      </c>
      <c r="F703" s="2">
        <v>-450000</v>
      </c>
      <c r="G703" t="s">
        <v>710</v>
      </c>
      <c r="H703" s="86" t="s">
        <v>1366</v>
      </c>
    </row>
    <row r="704" spans="1:8">
      <c r="A704" s="1">
        <v>45894</v>
      </c>
      <c r="B704" s="78">
        <v>45900</v>
      </c>
      <c r="C704" t="s">
        <v>429</v>
      </c>
      <c r="D704" t="s">
        <v>4</v>
      </c>
      <c r="E704" t="s">
        <v>874</v>
      </c>
      <c r="F704" s="2">
        <v>140000</v>
      </c>
      <c r="G704" t="s">
        <v>710</v>
      </c>
    </row>
    <row r="705" spans="1:7">
      <c r="A705" s="1">
        <v>45894</v>
      </c>
      <c r="B705" s="78">
        <v>45900</v>
      </c>
      <c r="C705" t="s">
        <v>429</v>
      </c>
      <c r="D705" t="s">
        <v>3</v>
      </c>
      <c r="E705" t="s">
        <v>865</v>
      </c>
      <c r="F705" s="2">
        <v>50</v>
      </c>
      <c r="G705" t="s">
        <v>710</v>
      </c>
    </row>
    <row r="706" spans="1:7">
      <c r="A706" s="1">
        <v>45894</v>
      </c>
      <c r="B706" s="78">
        <v>45900</v>
      </c>
      <c r="C706" t="s">
        <v>429</v>
      </c>
      <c r="D706" t="s">
        <v>3</v>
      </c>
      <c r="E706" t="s">
        <v>865</v>
      </c>
      <c r="F706" s="2">
        <v>3.75</v>
      </c>
      <c r="G706" t="s">
        <v>710</v>
      </c>
    </row>
    <row r="707" spans="1:7">
      <c r="A707" s="1">
        <v>45894</v>
      </c>
      <c r="B707" s="78">
        <v>45900</v>
      </c>
      <c r="C707" t="s">
        <v>430</v>
      </c>
      <c r="D707" t="s">
        <v>33</v>
      </c>
      <c r="E707" t="s">
        <v>985</v>
      </c>
      <c r="F707" s="2">
        <v>20000</v>
      </c>
      <c r="G707" t="s">
        <v>710</v>
      </c>
    </row>
    <row r="708" spans="1:7">
      <c r="A708" s="1">
        <v>45894</v>
      </c>
      <c r="B708" s="78">
        <v>45900</v>
      </c>
      <c r="C708" t="s">
        <v>431</v>
      </c>
      <c r="D708" t="s">
        <v>3</v>
      </c>
      <c r="E708" t="s">
        <v>865</v>
      </c>
      <c r="F708" s="2">
        <v>25</v>
      </c>
      <c r="G708" t="s">
        <v>710</v>
      </c>
    </row>
    <row r="709" spans="1:7">
      <c r="A709" s="1">
        <v>45894</v>
      </c>
      <c r="B709" s="78">
        <v>45900</v>
      </c>
      <c r="C709" t="s">
        <v>432</v>
      </c>
      <c r="D709" t="s">
        <v>3</v>
      </c>
      <c r="E709" t="s">
        <v>865</v>
      </c>
      <c r="F709" s="2">
        <v>1.8799999952316284</v>
      </c>
      <c r="G709" t="s">
        <v>710</v>
      </c>
    </row>
    <row r="710" spans="1:7">
      <c r="A710" s="1">
        <v>45894</v>
      </c>
      <c r="B710" s="78">
        <v>45900</v>
      </c>
      <c r="C710" t="s">
        <v>433</v>
      </c>
      <c r="D710" t="s">
        <v>33</v>
      </c>
      <c r="E710" t="s">
        <v>985</v>
      </c>
      <c r="F710" s="2">
        <v>20000</v>
      </c>
      <c r="G710" t="s">
        <v>710</v>
      </c>
    </row>
    <row r="711" spans="1:7">
      <c r="A711" s="1">
        <v>45894</v>
      </c>
      <c r="B711" s="78">
        <v>45900</v>
      </c>
      <c r="C711" t="s">
        <v>434</v>
      </c>
      <c r="D711" t="s">
        <v>3</v>
      </c>
      <c r="E711" t="s">
        <v>865</v>
      </c>
      <c r="F711" s="2">
        <v>25</v>
      </c>
      <c r="G711" t="s">
        <v>710</v>
      </c>
    </row>
    <row r="712" spans="1:7">
      <c r="A712" s="1">
        <v>45894</v>
      </c>
      <c r="B712" s="78">
        <v>45900</v>
      </c>
      <c r="C712" t="s">
        <v>435</v>
      </c>
      <c r="D712" t="s">
        <v>3</v>
      </c>
      <c r="E712" t="s">
        <v>865</v>
      </c>
      <c r="F712" s="2">
        <v>1.8799999952316284</v>
      </c>
      <c r="G712" t="s">
        <v>710</v>
      </c>
    </row>
    <row r="713" spans="1:7">
      <c r="A713" s="1">
        <v>45894</v>
      </c>
      <c r="B713" s="78">
        <v>45900</v>
      </c>
      <c r="C713" t="s">
        <v>436</v>
      </c>
      <c r="D713" t="s">
        <v>33</v>
      </c>
      <c r="E713" t="s">
        <v>985</v>
      </c>
      <c r="F713" s="2">
        <v>35000</v>
      </c>
      <c r="G713" t="s">
        <v>710</v>
      </c>
    </row>
    <row r="714" spans="1:7">
      <c r="A714" s="1">
        <v>45894</v>
      </c>
      <c r="B714" s="78">
        <v>45900</v>
      </c>
      <c r="C714" t="s">
        <v>437</v>
      </c>
      <c r="D714" t="s">
        <v>3</v>
      </c>
      <c r="E714" t="s">
        <v>865</v>
      </c>
      <c r="F714" s="2">
        <v>25</v>
      </c>
      <c r="G714" t="s">
        <v>710</v>
      </c>
    </row>
    <row r="715" spans="1:7">
      <c r="A715" s="1">
        <v>45894</v>
      </c>
      <c r="B715" s="78">
        <v>45900</v>
      </c>
      <c r="C715" t="s">
        <v>438</v>
      </c>
      <c r="D715" t="s">
        <v>3</v>
      </c>
      <c r="E715" t="s">
        <v>865</v>
      </c>
      <c r="F715" s="2">
        <v>1.8800000101327896</v>
      </c>
      <c r="G715" t="s">
        <v>710</v>
      </c>
    </row>
    <row r="716" spans="1:7">
      <c r="A716" s="1">
        <v>45894</v>
      </c>
      <c r="B716" s="78">
        <v>45900</v>
      </c>
      <c r="C716" t="s">
        <v>439</v>
      </c>
      <c r="D716" t="s">
        <v>8</v>
      </c>
      <c r="E716" t="s">
        <v>815</v>
      </c>
      <c r="F716" s="2">
        <v>283172.19999998808</v>
      </c>
      <c r="G716" t="s">
        <v>710</v>
      </c>
    </row>
    <row r="717" spans="1:7">
      <c r="A717" s="1">
        <v>45894</v>
      </c>
      <c r="B717" s="78">
        <v>45900</v>
      </c>
      <c r="C717" t="s">
        <v>440</v>
      </c>
      <c r="D717" t="s">
        <v>3</v>
      </c>
      <c r="E717" t="s">
        <v>865</v>
      </c>
      <c r="F717" s="2">
        <v>50</v>
      </c>
      <c r="G717" t="s">
        <v>710</v>
      </c>
    </row>
    <row r="718" spans="1:7">
      <c r="A718" s="1">
        <v>45894</v>
      </c>
      <c r="B718" s="78">
        <v>45900</v>
      </c>
      <c r="C718" t="s">
        <v>441</v>
      </c>
      <c r="D718" t="s">
        <v>3</v>
      </c>
      <c r="E718" t="s">
        <v>865</v>
      </c>
      <c r="F718" s="2">
        <v>3.75</v>
      </c>
      <c r="G718" t="s">
        <v>710</v>
      </c>
    </row>
    <row r="719" spans="1:7">
      <c r="A719" s="1">
        <v>45894</v>
      </c>
      <c r="B719" s="78">
        <v>45900</v>
      </c>
      <c r="C719" t="s">
        <v>442</v>
      </c>
      <c r="D719" t="s">
        <v>8</v>
      </c>
      <c r="E719" t="s">
        <v>815</v>
      </c>
      <c r="F719" s="2">
        <v>283172.20000000298</v>
      </c>
      <c r="G719" t="s">
        <v>710</v>
      </c>
    </row>
    <row r="720" spans="1:7">
      <c r="A720" s="1">
        <v>45894</v>
      </c>
      <c r="B720" s="78">
        <v>45900</v>
      </c>
      <c r="C720" t="s">
        <v>443</v>
      </c>
      <c r="D720" t="s">
        <v>3</v>
      </c>
      <c r="E720" t="s">
        <v>865</v>
      </c>
      <c r="F720" s="2">
        <v>50</v>
      </c>
      <c r="G720" t="s">
        <v>710</v>
      </c>
    </row>
    <row r="721" spans="1:7">
      <c r="A721" s="1">
        <v>45894</v>
      </c>
      <c r="B721" s="78">
        <v>45900</v>
      </c>
      <c r="C721" t="s">
        <v>444</v>
      </c>
      <c r="D721" t="s">
        <v>3</v>
      </c>
      <c r="E721" t="s">
        <v>865</v>
      </c>
      <c r="F721" s="2">
        <v>3.75</v>
      </c>
      <c r="G721" t="s">
        <v>710</v>
      </c>
    </row>
    <row r="722" spans="1:7">
      <c r="A722" s="1">
        <v>45894</v>
      </c>
      <c r="B722" s="78">
        <v>45900</v>
      </c>
      <c r="C722" t="s">
        <v>445</v>
      </c>
      <c r="D722" t="s">
        <v>8</v>
      </c>
      <c r="E722" t="s">
        <v>815</v>
      </c>
      <c r="F722" s="2">
        <v>283172.20000000298</v>
      </c>
      <c r="G722" t="s">
        <v>710</v>
      </c>
    </row>
    <row r="723" spans="1:7">
      <c r="A723" s="1">
        <v>45894</v>
      </c>
      <c r="B723" s="78">
        <v>45900</v>
      </c>
      <c r="C723" t="s">
        <v>446</v>
      </c>
      <c r="D723" t="s">
        <v>3</v>
      </c>
      <c r="E723" t="s">
        <v>865</v>
      </c>
      <c r="F723" s="2">
        <v>50</v>
      </c>
      <c r="G723" t="s">
        <v>710</v>
      </c>
    </row>
    <row r="724" spans="1:7">
      <c r="A724" s="1">
        <v>45894</v>
      </c>
      <c r="B724" s="78">
        <v>45900</v>
      </c>
      <c r="C724" t="s">
        <v>447</v>
      </c>
      <c r="D724" t="s">
        <v>3</v>
      </c>
      <c r="E724" t="s">
        <v>865</v>
      </c>
      <c r="F724" s="2">
        <v>3.75</v>
      </c>
      <c r="G724" t="s">
        <v>710</v>
      </c>
    </row>
    <row r="725" spans="1:7">
      <c r="A725" s="1">
        <v>45894</v>
      </c>
      <c r="B725" s="78">
        <v>45900</v>
      </c>
      <c r="C725" t="s">
        <v>448</v>
      </c>
      <c r="D725" t="s">
        <v>8</v>
      </c>
      <c r="E725" t="s">
        <v>815</v>
      </c>
      <c r="F725" s="2">
        <v>52835</v>
      </c>
      <c r="G725" t="s">
        <v>710</v>
      </c>
    </row>
    <row r="726" spans="1:7">
      <c r="A726" s="1">
        <v>45894</v>
      </c>
      <c r="B726" s="78">
        <v>45900</v>
      </c>
      <c r="C726" t="s">
        <v>449</v>
      </c>
      <c r="D726" t="s">
        <v>3</v>
      </c>
      <c r="E726" t="s">
        <v>865</v>
      </c>
      <c r="F726" s="2">
        <v>50</v>
      </c>
      <c r="G726" t="s">
        <v>710</v>
      </c>
    </row>
    <row r="727" spans="1:7">
      <c r="A727" s="1">
        <v>45894</v>
      </c>
      <c r="B727" s="78">
        <v>45900</v>
      </c>
      <c r="C727" t="s">
        <v>450</v>
      </c>
      <c r="D727" t="s">
        <v>3</v>
      </c>
      <c r="E727" t="s">
        <v>865</v>
      </c>
      <c r="F727" s="2">
        <v>3.75</v>
      </c>
      <c r="G727" t="s">
        <v>710</v>
      </c>
    </row>
    <row r="728" spans="1:7">
      <c r="A728" s="1">
        <v>45894</v>
      </c>
      <c r="B728" s="78">
        <v>45900</v>
      </c>
      <c r="C728" t="s">
        <v>451</v>
      </c>
      <c r="D728" t="s">
        <v>8</v>
      </c>
      <c r="E728" t="s">
        <v>815</v>
      </c>
      <c r="F728" s="2">
        <v>283172.20000000298</v>
      </c>
      <c r="G728" t="s">
        <v>710</v>
      </c>
    </row>
    <row r="729" spans="1:7">
      <c r="A729" s="1">
        <v>45894</v>
      </c>
      <c r="B729" s="78">
        <v>45900</v>
      </c>
      <c r="C729" t="s">
        <v>452</v>
      </c>
      <c r="D729" t="s">
        <v>3</v>
      </c>
      <c r="E729" t="s">
        <v>865</v>
      </c>
      <c r="F729" s="2">
        <v>50</v>
      </c>
      <c r="G729" t="s">
        <v>710</v>
      </c>
    </row>
    <row r="730" spans="1:7">
      <c r="A730" s="1">
        <v>45894</v>
      </c>
      <c r="B730" s="78">
        <v>45900</v>
      </c>
      <c r="C730" t="s">
        <v>453</v>
      </c>
      <c r="D730" t="s">
        <v>3</v>
      </c>
      <c r="E730" t="s">
        <v>865</v>
      </c>
      <c r="F730" s="2">
        <v>3.75</v>
      </c>
      <c r="G730" t="s">
        <v>710</v>
      </c>
    </row>
    <row r="731" spans="1:7">
      <c r="A731" s="1">
        <v>45894</v>
      </c>
      <c r="B731" s="78">
        <v>45900</v>
      </c>
      <c r="C731" t="s">
        <v>454</v>
      </c>
      <c r="D731" t="s">
        <v>8</v>
      </c>
      <c r="E731" t="s">
        <v>815</v>
      </c>
      <c r="F731" s="2">
        <v>486614.59999999404</v>
      </c>
      <c r="G731" t="s">
        <v>710</v>
      </c>
    </row>
    <row r="732" spans="1:7">
      <c r="A732" s="1">
        <v>45894</v>
      </c>
      <c r="B732" s="78">
        <v>45900</v>
      </c>
      <c r="C732" t="s">
        <v>455</v>
      </c>
      <c r="D732" t="s">
        <v>3</v>
      </c>
      <c r="E732" t="s">
        <v>865</v>
      </c>
      <c r="F732" s="2">
        <v>50</v>
      </c>
      <c r="G732" t="s">
        <v>710</v>
      </c>
    </row>
    <row r="733" spans="1:7">
      <c r="A733" s="1">
        <v>45894</v>
      </c>
      <c r="B733" s="78">
        <v>45900</v>
      </c>
      <c r="C733" t="s">
        <v>456</v>
      </c>
      <c r="D733" t="s">
        <v>3</v>
      </c>
      <c r="E733" t="s">
        <v>865</v>
      </c>
      <c r="F733" s="2">
        <v>3.75</v>
      </c>
      <c r="G733" t="s">
        <v>710</v>
      </c>
    </row>
    <row r="734" spans="1:7">
      <c r="A734" s="1">
        <v>45894</v>
      </c>
      <c r="B734" s="78">
        <v>45900</v>
      </c>
      <c r="C734" t="s">
        <v>457</v>
      </c>
      <c r="D734" t="s">
        <v>8</v>
      </c>
      <c r="E734" t="s">
        <v>815</v>
      </c>
      <c r="F734" s="2">
        <v>52835</v>
      </c>
      <c r="G734" t="s">
        <v>710</v>
      </c>
    </row>
    <row r="735" spans="1:7">
      <c r="A735" s="1">
        <v>45894</v>
      </c>
      <c r="B735" s="78">
        <v>45900</v>
      </c>
      <c r="C735" t="s">
        <v>458</v>
      </c>
      <c r="D735" t="s">
        <v>3</v>
      </c>
      <c r="E735" t="s">
        <v>865</v>
      </c>
      <c r="F735" s="2">
        <v>50</v>
      </c>
      <c r="G735" t="s">
        <v>710</v>
      </c>
    </row>
    <row r="736" spans="1:7">
      <c r="A736" s="1">
        <v>45894</v>
      </c>
      <c r="B736" s="78">
        <v>45900</v>
      </c>
      <c r="C736" t="s">
        <v>459</v>
      </c>
      <c r="D736" t="s">
        <v>3</v>
      </c>
      <c r="E736" t="s">
        <v>865</v>
      </c>
      <c r="F736" s="2">
        <v>3.75</v>
      </c>
      <c r="G736" t="s">
        <v>710</v>
      </c>
    </row>
    <row r="737" spans="1:7">
      <c r="A737" s="1">
        <v>45894</v>
      </c>
      <c r="B737" s="78">
        <v>45900</v>
      </c>
      <c r="C737" t="s">
        <v>460</v>
      </c>
      <c r="D737" t="s">
        <v>8</v>
      </c>
      <c r="E737" t="s">
        <v>815</v>
      </c>
      <c r="F737" s="2">
        <v>283172.20000000298</v>
      </c>
      <c r="G737" t="s">
        <v>710</v>
      </c>
    </row>
    <row r="738" spans="1:7">
      <c r="A738" s="1">
        <v>45894</v>
      </c>
      <c r="B738" s="78">
        <v>45900</v>
      </c>
      <c r="C738" t="s">
        <v>461</v>
      </c>
      <c r="D738" t="s">
        <v>3</v>
      </c>
      <c r="E738" t="s">
        <v>865</v>
      </c>
      <c r="F738" s="2">
        <v>50</v>
      </c>
      <c r="G738" t="s">
        <v>710</v>
      </c>
    </row>
    <row r="739" spans="1:7">
      <c r="A739" s="1">
        <v>45894</v>
      </c>
      <c r="B739" s="78">
        <v>45900</v>
      </c>
      <c r="C739" t="s">
        <v>462</v>
      </c>
      <c r="D739" t="s">
        <v>3</v>
      </c>
      <c r="E739" t="s">
        <v>865</v>
      </c>
      <c r="F739" s="2">
        <v>3.75</v>
      </c>
      <c r="G739" t="s">
        <v>710</v>
      </c>
    </row>
    <row r="740" spans="1:7">
      <c r="A740" s="1">
        <v>45894</v>
      </c>
      <c r="B740" s="78">
        <v>45900</v>
      </c>
      <c r="C740" t="s">
        <v>463</v>
      </c>
      <c r="D740" t="s">
        <v>8</v>
      </c>
      <c r="E740" t="s">
        <v>815</v>
      </c>
      <c r="F740" s="2">
        <v>283172.20000000298</v>
      </c>
      <c r="G740" t="s">
        <v>710</v>
      </c>
    </row>
    <row r="741" spans="1:7">
      <c r="A741" s="1">
        <v>45894</v>
      </c>
      <c r="B741" s="78">
        <v>45900</v>
      </c>
      <c r="C741" t="s">
        <v>464</v>
      </c>
      <c r="D741" t="s">
        <v>3</v>
      </c>
      <c r="E741" t="s">
        <v>865</v>
      </c>
      <c r="F741" s="2">
        <v>50</v>
      </c>
      <c r="G741" t="s">
        <v>710</v>
      </c>
    </row>
    <row r="742" spans="1:7">
      <c r="A742" s="1">
        <v>45894</v>
      </c>
      <c r="B742" s="78">
        <v>45900</v>
      </c>
      <c r="C742" t="s">
        <v>465</v>
      </c>
      <c r="D742" t="s">
        <v>3</v>
      </c>
      <c r="E742" t="s">
        <v>865</v>
      </c>
      <c r="F742" s="2">
        <v>3.75</v>
      </c>
      <c r="G742" t="s">
        <v>710</v>
      </c>
    </row>
    <row r="743" spans="1:7">
      <c r="A743" s="1">
        <v>45894</v>
      </c>
      <c r="B743" s="78">
        <v>45900</v>
      </c>
      <c r="C743" t="s">
        <v>466</v>
      </c>
      <c r="D743" t="s">
        <v>8</v>
      </c>
      <c r="E743" t="s">
        <v>815</v>
      </c>
      <c r="F743" s="2">
        <v>283172.19999999553</v>
      </c>
      <c r="G743" t="s">
        <v>710</v>
      </c>
    </row>
    <row r="744" spans="1:7">
      <c r="A744" s="1">
        <v>45894</v>
      </c>
      <c r="B744" s="78">
        <v>45900</v>
      </c>
      <c r="C744" t="s">
        <v>467</v>
      </c>
      <c r="D744" t="s">
        <v>3</v>
      </c>
      <c r="E744" t="s">
        <v>865</v>
      </c>
      <c r="F744" s="2">
        <v>50</v>
      </c>
      <c r="G744" t="s">
        <v>710</v>
      </c>
    </row>
    <row r="745" spans="1:7">
      <c r="A745" s="1">
        <v>45894</v>
      </c>
      <c r="B745" s="78">
        <v>45900</v>
      </c>
      <c r="C745" t="s">
        <v>468</v>
      </c>
      <c r="D745" t="s">
        <v>3</v>
      </c>
      <c r="E745" t="s">
        <v>865</v>
      </c>
      <c r="F745" s="2">
        <v>3.75</v>
      </c>
      <c r="G745" t="s">
        <v>710</v>
      </c>
    </row>
    <row r="746" spans="1:7">
      <c r="A746" s="1">
        <v>45894</v>
      </c>
      <c r="B746" s="78">
        <v>45900</v>
      </c>
      <c r="C746" t="s">
        <v>469</v>
      </c>
      <c r="D746" t="s">
        <v>8</v>
      </c>
      <c r="E746" t="s">
        <v>815</v>
      </c>
      <c r="F746" s="2">
        <v>4019028.3599999994</v>
      </c>
      <c r="G746" t="s">
        <v>710</v>
      </c>
    </row>
    <row r="747" spans="1:7">
      <c r="A747" s="1">
        <v>45894</v>
      </c>
      <c r="B747" s="78">
        <v>45900</v>
      </c>
      <c r="C747" t="s">
        <v>470</v>
      </c>
      <c r="D747" t="s">
        <v>3</v>
      </c>
      <c r="E747" t="s">
        <v>865</v>
      </c>
      <c r="F747" s="2">
        <v>50</v>
      </c>
      <c r="G747" t="s">
        <v>710</v>
      </c>
    </row>
    <row r="748" spans="1:7">
      <c r="A748" s="1">
        <v>45894</v>
      </c>
      <c r="B748" s="78">
        <v>45900</v>
      </c>
      <c r="C748" t="s">
        <v>471</v>
      </c>
      <c r="D748" t="s">
        <v>3</v>
      </c>
      <c r="E748" t="s">
        <v>865</v>
      </c>
      <c r="F748" s="2">
        <v>3.75</v>
      </c>
      <c r="G748" t="s">
        <v>710</v>
      </c>
    </row>
    <row r="749" spans="1:7">
      <c r="A749" s="1">
        <v>45894</v>
      </c>
      <c r="B749" s="78">
        <v>45900</v>
      </c>
      <c r="C749" t="s">
        <v>472</v>
      </c>
      <c r="D749" t="s">
        <v>8</v>
      </c>
      <c r="E749" t="s">
        <v>815</v>
      </c>
      <c r="F749" s="2">
        <v>283172.20000000298</v>
      </c>
      <c r="G749" t="s">
        <v>710</v>
      </c>
    </row>
    <row r="750" spans="1:7">
      <c r="A750" s="1">
        <v>45894</v>
      </c>
      <c r="B750" s="78">
        <v>45900</v>
      </c>
      <c r="C750" t="s">
        <v>473</v>
      </c>
      <c r="D750" t="s">
        <v>3</v>
      </c>
      <c r="E750" t="s">
        <v>865</v>
      </c>
      <c r="F750" s="2">
        <v>50</v>
      </c>
      <c r="G750" t="s">
        <v>710</v>
      </c>
    </row>
    <row r="751" spans="1:7">
      <c r="A751" s="1">
        <v>45894</v>
      </c>
      <c r="B751" s="78">
        <v>45900</v>
      </c>
      <c r="C751" t="s">
        <v>474</v>
      </c>
      <c r="D751" t="s">
        <v>3</v>
      </c>
      <c r="E751" t="s">
        <v>865</v>
      </c>
      <c r="F751" s="2">
        <v>3.75</v>
      </c>
      <c r="G751" t="s">
        <v>710</v>
      </c>
    </row>
    <row r="752" spans="1:7">
      <c r="A752" s="1">
        <v>45894</v>
      </c>
      <c r="B752" s="78">
        <v>45900</v>
      </c>
      <c r="C752" t="s">
        <v>475</v>
      </c>
      <c r="D752" t="s">
        <v>8</v>
      </c>
      <c r="E752" t="s">
        <v>815</v>
      </c>
      <c r="F752" s="2">
        <v>52835</v>
      </c>
      <c r="G752" t="s">
        <v>710</v>
      </c>
    </row>
    <row r="753" spans="1:7">
      <c r="A753" s="1">
        <v>45894</v>
      </c>
      <c r="B753" s="78">
        <v>45900</v>
      </c>
      <c r="C753" t="s">
        <v>476</v>
      </c>
      <c r="D753" t="s">
        <v>3</v>
      </c>
      <c r="E753" t="s">
        <v>865</v>
      </c>
      <c r="F753" s="2">
        <v>50</v>
      </c>
      <c r="G753" t="s">
        <v>710</v>
      </c>
    </row>
    <row r="754" spans="1:7">
      <c r="A754" s="1">
        <v>45894</v>
      </c>
      <c r="B754" s="78">
        <v>45900</v>
      </c>
      <c r="C754" t="s">
        <v>477</v>
      </c>
      <c r="D754" t="s">
        <v>3</v>
      </c>
      <c r="E754" t="s">
        <v>865</v>
      </c>
      <c r="F754" s="2">
        <v>3.75</v>
      </c>
      <c r="G754" t="s">
        <v>710</v>
      </c>
    </row>
    <row r="755" spans="1:7">
      <c r="A755" s="1">
        <v>45894</v>
      </c>
      <c r="B755" s="78">
        <v>45900</v>
      </c>
      <c r="C755" t="s">
        <v>478</v>
      </c>
      <c r="D755" t="s">
        <v>8</v>
      </c>
      <c r="E755" t="s">
        <v>815</v>
      </c>
      <c r="F755" s="2">
        <v>2295519.5600000024</v>
      </c>
      <c r="G755" t="s">
        <v>710</v>
      </c>
    </row>
    <row r="756" spans="1:7">
      <c r="A756" s="1">
        <v>45894</v>
      </c>
      <c r="B756" s="78">
        <v>45900</v>
      </c>
      <c r="C756" t="s">
        <v>479</v>
      </c>
      <c r="D756" t="s">
        <v>3</v>
      </c>
      <c r="E756" t="s">
        <v>865</v>
      </c>
      <c r="F756" s="2">
        <v>50</v>
      </c>
      <c r="G756" t="s">
        <v>710</v>
      </c>
    </row>
    <row r="757" spans="1:7">
      <c r="A757" s="1">
        <v>45894</v>
      </c>
      <c r="B757" s="78">
        <v>45900</v>
      </c>
      <c r="C757" t="s">
        <v>480</v>
      </c>
      <c r="D757" t="s">
        <v>3</v>
      </c>
      <c r="E757" t="s">
        <v>865</v>
      </c>
      <c r="F757" s="2">
        <v>3.75</v>
      </c>
      <c r="G757" t="s">
        <v>710</v>
      </c>
    </row>
    <row r="758" spans="1:7">
      <c r="A758" s="1">
        <v>45894</v>
      </c>
      <c r="B758" s="78">
        <v>45900</v>
      </c>
      <c r="C758" t="s">
        <v>481</v>
      </c>
      <c r="D758" t="s">
        <v>8</v>
      </c>
      <c r="E758" t="s">
        <v>815</v>
      </c>
      <c r="F758" s="2">
        <v>71025</v>
      </c>
      <c r="G758" t="s">
        <v>710</v>
      </c>
    </row>
    <row r="759" spans="1:7">
      <c r="A759" s="1">
        <v>45894</v>
      </c>
      <c r="B759" s="78">
        <v>45900</v>
      </c>
      <c r="C759" t="s">
        <v>482</v>
      </c>
      <c r="D759" t="s">
        <v>3</v>
      </c>
      <c r="E759" t="s">
        <v>865</v>
      </c>
      <c r="F759" s="2">
        <v>50</v>
      </c>
      <c r="G759" t="s">
        <v>710</v>
      </c>
    </row>
    <row r="760" spans="1:7">
      <c r="A760" s="1">
        <v>45894</v>
      </c>
      <c r="B760" s="78">
        <v>45900</v>
      </c>
      <c r="C760" t="s">
        <v>483</v>
      </c>
      <c r="D760" t="s">
        <v>3</v>
      </c>
      <c r="E760" t="s">
        <v>865</v>
      </c>
      <c r="F760" s="2">
        <v>3.75</v>
      </c>
      <c r="G760" t="s">
        <v>710</v>
      </c>
    </row>
    <row r="761" spans="1:7">
      <c r="A761" s="1">
        <v>45894</v>
      </c>
      <c r="B761" s="78">
        <v>45900</v>
      </c>
      <c r="C761" t="s">
        <v>484</v>
      </c>
      <c r="D761" t="s">
        <v>8</v>
      </c>
      <c r="E761" t="s">
        <v>815</v>
      </c>
      <c r="F761" s="2">
        <v>283172.19999999553</v>
      </c>
      <c r="G761" t="s">
        <v>710</v>
      </c>
    </row>
    <row r="762" spans="1:7">
      <c r="A762" s="1">
        <v>45894</v>
      </c>
      <c r="B762" s="78">
        <v>45900</v>
      </c>
      <c r="C762" t="s">
        <v>485</v>
      </c>
      <c r="D762" t="s">
        <v>3</v>
      </c>
      <c r="E762" t="s">
        <v>865</v>
      </c>
      <c r="F762" s="2">
        <v>50</v>
      </c>
      <c r="G762" t="s">
        <v>710</v>
      </c>
    </row>
    <row r="763" spans="1:7">
      <c r="A763" s="1">
        <v>45894</v>
      </c>
      <c r="B763" s="78">
        <v>45900</v>
      </c>
      <c r="C763" t="s">
        <v>486</v>
      </c>
      <c r="D763" t="s">
        <v>3</v>
      </c>
      <c r="E763" t="s">
        <v>865</v>
      </c>
      <c r="F763" s="2">
        <v>3.75</v>
      </c>
      <c r="G763" t="s">
        <v>710</v>
      </c>
    </row>
    <row r="764" spans="1:7">
      <c r="A764" s="1">
        <v>45894</v>
      </c>
      <c r="B764" s="78">
        <v>45900</v>
      </c>
      <c r="C764" t="s">
        <v>487</v>
      </c>
      <c r="D764" t="s">
        <v>33</v>
      </c>
      <c r="E764" t="s">
        <v>985</v>
      </c>
      <c r="F764" s="2">
        <v>35000</v>
      </c>
      <c r="G764" t="s">
        <v>710</v>
      </c>
    </row>
    <row r="765" spans="1:7">
      <c r="A765" s="1">
        <v>45894</v>
      </c>
      <c r="B765" s="78">
        <v>45900</v>
      </c>
      <c r="C765" t="s">
        <v>488</v>
      </c>
      <c r="D765" t="s">
        <v>3</v>
      </c>
      <c r="E765" t="s">
        <v>865</v>
      </c>
      <c r="F765" s="2">
        <v>25</v>
      </c>
      <c r="G765" t="s">
        <v>710</v>
      </c>
    </row>
    <row r="766" spans="1:7">
      <c r="A766" s="1">
        <v>45894</v>
      </c>
      <c r="B766" s="78">
        <v>45900</v>
      </c>
      <c r="C766" t="s">
        <v>489</v>
      </c>
      <c r="D766" t="s">
        <v>3</v>
      </c>
      <c r="E766" t="s">
        <v>865</v>
      </c>
      <c r="F766" s="2">
        <v>1.880000002682209</v>
      </c>
      <c r="G766" t="s">
        <v>710</v>
      </c>
    </row>
    <row r="767" spans="1:7">
      <c r="A767" s="1">
        <v>45894</v>
      </c>
      <c r="B767" s="78">
        <v>45900</v>
      </c>
      <c r="C767" t="s">
        <v>490</v>
      </c>
      <c r="D767" t="s">
        <v>33</v>
      </c>
      <c r="E767" t="s">
        <v>985</v>
      </c>
      <c r="F767" s="2">
        <v>20000</v>
      </c>
      <c r="G767" t="s">
        <v>710</v>
      </c>
    </row>
    <row r="768" spans="1:7">
      <c r="A768" s="1">
        <v>45894</v>
      </c>
      <c r="B768" s="78">
        <v>45900</v>
      </c>
      <c r="C768" t="s">
        <v>491</v>
      </c>
      <c r="D768" t="s">
        <v>3</v>
      </c>
      <c r="E768" t="s">
        <v>865</v>
      </c>
      <c r="F768" s="2">
        <v>25</v>
      </c>
      <c r="G768" t="s">
        <v>710</v>
      </c>
    </row>
    <row r="769" spans="1:7">
      <c r="A769" s="1">
        <v>45894</v>
      </c>
      <c r="B769" s="78">
        <v>45900</v>
      </c>
      <c r="C769" t="s">
        <v>492</v>
      </c>
      <c r="D769" t="s">
        <v>3</v>
      </c>
      <c r="E769" t="s">
        <v>865</v>
      </c>
      <c r="F769" s="2">
        <v>1.880000002682209</v>
      </c>
      <c r="G769" t="s">
        <v>710</v>
      </c>
    </row>
    <row r="770" spans="1:7">
      <c r="A770" s="1">
        <v>45894</v>
      </c>
      <c r="B770" s="78">
        <v>45900</v>
      </c>
      <c r="C770" t="s">
        <v>493</v>
      </c>
      <c r="D770" t="s">
        <v>33</v>
      </c>
      <c r="E770" t="s">
        <v>985</v>
      </c>
      <c r="F770" s="2">
        <v>20000</v>
      </c>
      <c r="G770" t="s">
        <v>710</v>
      </c>
    </row>
    <row r="771" spans="1:7">
      <c r="A771" s="1">
        <v>45894</v>
      </c>
      <c r="B771" s="78">
        <v>45900</v>
      </c>
      <c r="C771" t="s">
        <v>494</v>
      </c>
      <c r="D771" t="s">
        <v>3</v>
      </c>
      <c r="E771" t="s">
        <v>865</v>
      </c>
      <c r="F771" s="2">
        <v>25</v>
      </c>
      <c r="G771" t="s">
        <v>710</v>
      </c>
    </row>
    <row r="772" spans="1:7">
      <c r="A772" s="1">
        <v>45894</v>
      </c>
      <c r="B772" s="78">
        <v>45900</v>
      </c>
      <c r="C772" t="s">
        <v>495</v>
      </c>
      <c r="D772" t="s">
        <v>3</v>
      </c>
      <c r="E772" t="s">
        <v>865</v>
      </c>
      <c r="F772" s="2">
        <v>1.8799999952316284</v>
      </c>
      <c r="G772" t="s">
        <v>710</v>
      </c>
    </row>
    <row r="773" spans="1:7">
      <c r="A773" s="1">
        <v>45894</v>
      </c>
      <c r="B773" s="78">
        <v>45900</v>
      </c>
      <c r="C773" t="s">
        <v>496</v>
      </c>
      <c r="D773" t="s">
        <v>33</v>
      </c>
      <c r="E773" t="s">
        <v>985</v>
      </c>
      <c r="F773" s="2">
        <v>27500</v>
      </c>
      <c r="G773" t="s">
        <v>710</v>
      </c>
    </row>
    <row r="774" spans="1:7">
      <c r="A774" s="1">
        <v>45894</v>
      </c>
      <c r="B774" s="78">
        <v>45900</v>
      </c>
      <c r="C774" t="s">
        <v>497</v>
      </c>
      <c r="D774" t="s">
        <v>3</v>
      </c>
      <c r="E774" t="s">
        <v>865</v>
      </c>
      <c r="F774" s="2">
        <v>25</v>
      </c>
      <c r="G774" t="s">
        <v>710</v>
      </c>
    </row>
    <row r="775" spans="1:7">
      <c r="A775" s="1">
        <v>45894</v>
      </c>
      <c r="B775" s="78">
        <v>45900</v>
      </c>
      <c r="C775" t="s">
        <v>498</v>
      </c>
      <c r="D775" t="s">
        <v>3</v>
      </c>
      <c r="E775" t="s">
        <v>865</v>
      </c>
      <c r="F775" s="2">
        <v>1.880000002682209</v>
      </c>
      <c r="G775" t="s">
        <v>710</v>
      </c>
    </row>
    <row r="776" spans="1:7">
      <c r="A776" s="1">
        <v>45894</v>
      </c>
      <c r="B776" s="78">
        <v>45900</v>
      </c>
      <c r="C776" t="s">
        <v>499</v>
      </c>
      <c r="D776" t="s">
        <v>33</v>
      </c>
      <c r="E776" t="s">
        <v>985</v>
      </c>
      <c r="F776" s="2">
        <v>35000</v>
      </c>
      <c r="G776" t="s">
        <v>710</v>
      </c>
    </row>
    <row r="777" spans="1:7">
      <c r="A777" s="1">
        <v>45894</v>
      </c>
      <c r="B777" s="78">
        <v>45900</v>
      </c>
      <c r="C777" t="s">
        <v>500</v>
      </c>
      <c r="D777" t="s">
        <v>3</v>
      </c>
      <c r="E777" t="s">
        <v>865</v>
      </c>
      <c r="F777" s="2">
        <v>25</v>
      </c>
      <c r="G777" t="s">
        <v>710</v>
      </c>
    </row>
    <row r="778" spans="1:7">
      <c r="A778" s="1">
        <v>45894</v>
      </c>
      <c r="B778" s="78">
        <v>45900</v>
      </c>
      <c r="C778" t="s">
        <v>501</v>
      </c>
      <c r="D778" t="s">
        <v>3</v>
      </c>
      <c r="E778" t="s">
        <v>865</v>
      </c>
      <c r="F778" s="2">
        <v>1.8799999952316284</v>
      </c>
      <c r="G778" t="s">
        <v>710</v>
      </c>
    </row>
    <row r="779" spans="1:7">
      <c r="A779" s="1">
        <v>45894</v>
      </c>
      <c r="B779" s="78">
        <v>45900</v>
      </c>
      <c r="C779" t="s">
        <v>502</v>
      </c>
      <c r="D779" t="s">
        <v>33</v>
      </c>
      <c r="E779" t="s">
        <v>985</v>
      </c>
      <c r="F779" s="2">
        <v>35000</v>
      </c>
      <c r="G779" t="s">
        <v>710</v>
      </c>
    </row>
    <row r="780" spans="1:7">
      <c r="A780" s="1">
        <v>45894</v>
      </c>
      <c r="B780" s="78">
        <v>45900</v>
      </c>
      <c r="C780" t="s">
        <v>503</v>
      </c>
      <c r="D780" t="s">
        <v>3</v>
      </c>
      <c r="E780" t="s">
        <v>865</v>
      </c>
      <c r="F780" s="2">
        <v>25</v>
      </c>
      <c r="G780" t="s">
        <v>710</v>
      </c>
    </row>
    <row r="781" spans="1:7">
      <c r="A781" s="1">
        <v>45894</v>
      </c>
      <c r="B781" s="78">
        <v>45900</v>
      </c>
      <c r="C781" t="s">
        <v>504</v>
      </c>
      <c r="D781" t="s">
        <v>3</v>
      </c>
      <c r="E781" t="s">
        <v>865</v>
      </c>
      <c r="F781" s="2">
        <v>1.880000002682209</v>
      </c>
      <c r="G781" t="s">
        <v>710</v>
      </c>
    </row>
    <row r="782" spans="1:7">
      <c r="A782" s="1">
        <v>45894</v>
      </c>
      <c r="B782" s="78">
        <v>45900</v>
      </c>
      <c r="C782" t="s">
        <v>505</v>
      </c>
      <c r="D782" t="s">
        <v>33</v>
      </c>
      <c r="E782" t="s">
        <v>985</v>
      </c>
      <c r="F782" s="2">
        <v>20000</v>
      </c>
      <c r="G782" t="s">
        <v>710</v>
      </c>
    </row>
    <row r="783" spans="1:7">
      <c r="A783" s="1">
        <v>45894</v>
      </c>
      <c r="B783" s="78">
        <v>45900</v>
      </c>
      <c r="C783" t="s">
        <v>506</v>
      </c>
      <c r="D783" t="s">
        <v>3</v>
      </c>
      <c r="E783" t="s">
        <v>865</v>
      </c>
      <c r="F783" s="2">
        <v>25</v>
      </c>
      <c r="G783" t="s">
        <v>710</v>
      </c>
    </row>
    <row r="784" spans="1:7">
      <c r="A784" s="1">
        <v>45894</v>
      </c>
      <c r="B784" s="78">
        <v>45900</v>
      </c>
      <c r="C784" t="s">
        <v>507</v>
      </c>
      <c r="D784" t="s">
        <v>3</v>
      </c>
      <c r="E784" t="s">
        <v>865</v>
      </c>
      <c r="F784" s="2">
        <v>1.880000002682209</v>
      </c>
      <c r="G784" t="s">
        <v>710</v>
      </c>
    </row>
    <row r="785" spans="1:7">
      <c r="A785" s="1">
        <v>45894</v>
      </c>
      <c r="B785" s="78">
        <v>45900</v>
      </c>
      <c r="C785" t="s">
        <v>508</v>
      </c>
      <c r="D785" t="s">
        <v>33</v>
      </c>
      <c r="E785" t="s">
        <v>985</v>
      </c>
      <c r="F785" s="2">
        <v>20000</v>
      </c>
      <c r="G785" t="s">
        <v>710</v>
      </c>
    </row>
    <row r="786" spans="1:7">
      <c r="A786" s="1">
        <v>45894</v>
      </c>
      <c r="B786" s="78">
        <v>45900</v>
      </c>
      <c r="C786" t="s">
        <v>509</v>
      </c>
      <c r="D786" t="s">
        <v>3</v>
      </c>
      <c r="E786" t="s">
        <v>865</v>
      </c>
      <c r="F786" s="2">
        <v>25</v>
      </c>
      <c r="G786" t="s">
        <v>710</v>
      </c>
    </row>
    <row r="787" spans="1:7">
      <c r="A787" s="1">
        <v>45894</v>
      </c>
      <c r="B787" s="78">
        <v>45900</v>
      </c>
      <c r="C787" t="s">
        <v>510</v>
      </c>
      <c r="D787" t="s">
        <v>3</v>
      </c>
      <c r="E787" t="s">
        <v>865</v>
      </c>
      <c r="F787" s="2">
        <v>1.8799999952316284</v>
      </c>
      <c r="G787" t="s">
        <v>710</v>
      </c>
    </row>
    <row r="788" spans="1:7">
      <c r="A788" s="1">
        <v>45894</v>
      </c>
      <c r="B788" s="78">
        <v>45900</v>
      </c>
      <c r="C788" t="s">
        <v>511</v>
      </c>
      <c r="D788" t="s">
        <v>33</v>
      </c>
      <c r="E788" t="s">
        <v>985</v>
      </c>
      <c r="F788" s="2">
        <v>20000</v>
      </c>
      <c r="G788" t="s">
        <v>710</v>
      </c>
    </row>
    <row r="789" spans="1:7">
      <c r="A789" s="1">
        <v>45894</v>
      </c>
      <c r="B789" s="78">
        <v>45900</v>
      </c>
      <c r="C789" t="s">
        <v>512</v>
      </c>
      <c r="D789" t="s">
        <v>3</v>
      </c>
      <c r="E789" t="s">
        <v>865</v>
      </c>
      <c r="F789" s="2">
        <v>25</v>
      </c>
      <c r="G789" t="s">
        <v>710</v>
      </c>
    </row>
    <row r="790" spans="1:7">
      <c r="A790" s="1">
        <v>45894</v>
      </c>
      <c r="B790" s="78">
        <v>45900</v>
      </c>
      <c r="C790" t="s">
        <v>513</v>
      </c>
      <c r="D790" t="s">
        <v>3</v>
      </c>
      <c r="E790" t="s">
        <v>865</v>
      </c>
      <c r="F790" s="2">
        <v>1.880000002682209</v>
      </c>
      <c r="G790" t="s">
        <v>710</v>
      </c>
    </row>
    <row r="791" spans="1:7">
      <c r="A791" s="1">
        <v>45894</v>
      </c>
      <c r="B791" s="78">
        <v>45900</v>
      </c>
      <c r="C791" t="s">
        <v>514</v>
      </c>
      <c r="D791" t="s">
        <v>33</v>
      </c>
      <c r="E791" t="s">
        <v>985</v>
      </c>
      <c r="F791" s="2">
        <v>35000</v>
      </c>
      <c r="G791" t="s">
        <v>710</v>
      </c>
    </row>
    <row r="792" spans="1:7">
      <c r="A792" s="1">
        <v>45894</v>
      </c>
      <c r="B792" s="78">
        <v>45900</v>
      </c>
      <c r="C792" t="s">
        <v>515</v>
      </c>
      <c r="D792" t="s">
        <v>3</v>
      </c>
      <c r="E792" t="s">
        <v>865</v>
      </c>
      <c r="F792" s="2">
        <v>25</v>
      </c>
      <c r="G792" t="s">
        <v>710</v>
      </c>
    </row>
    <row r="793" spans="1:7">
      <c r="A793" s="1">
        <v>45894</v>
      </c>
      <c r="B793" s="78">
        <v>45900</v>
      </c>
      <c r="C793" t="s">
        <v>516</v>
      </c>
      <c r="D793" t="s">
        <v>3</v>
      </c>
      <c r="E793" t="s">
        <v>865</v>
      </c>
      <c r="F793" s="2">
        <v>1.880000002682209</v>
      </c>
      <c r="G793" t="s">
        <v>710</v>
      </c>
    </row>
    <row r="794" spans="1:7">
      <c r="A794" s="1">
        <v>45894</v>
      </c>
      <c r="B794" s="78">
        <v>45900</v>
      </c>
      <c r="C794" t="s">
        <v>517</v>
      </c>
      <c r="D794" t="s">
        <v>33</v>
      </c>
      <c r="E794" t="s">
        <v>985</v>
      </c>
      <c r="F794" s="2">
        <v>35000</v>
      </c>
      <c r="G794" t="s">
        <v>710</v>
      </c>
    </row>
    <row r="795" spans="1:7">
      <c r="A795" s="1">
        <v>45894</v>
      </c>
      <c r="B795" s="78">
        <v>45900</v>
      </c>
      <c r="C795" t="s">
        <v>518</v>
      </c>
      <c r="D795" t="s">
        <v>3</v>
      </c>
      <c r="E795" t="s">
        <v>865</v>
      </c>
      <c r="F795" s="2">
        <v>25</v>
      </c>
      <c r="G795" t="s">
        <v>710</v>
      </c>
    </row>
    <row r="796" spans="1:7">
      <c r="A796" s="1">
        <v>45894</v>
      </c>
      <c r="B796" s="78">
        <v>45900</v>
      </c>
      <c r="C796" t="s">
        <v>519</v>
      </c>
      <c r="D796" t="s">
        <v>3</v>
      </c>
      <c r="E796" t="s">
        <v>865</v>
      </c>
      <c r="F796" s="2">
        <v>1.8799999952316284</v>
      </c>
      <c r="G796" t="s">
        <v>710</v>
      </c>
    </row>
    <row r="797" spans="1:7">
      <c r="A797" s="1">
        <v>45894</v>
      </c>
      <c r="B797" s="78">
        <v>45900</v>
      </c>
      <c r="C797" t="s">
        <v>520</v>
      </c>
      <c r="D797" t="s">
        <v>33</v>
      </c>
      <c r="E797" t="s">
        <v>985</v>
      </c>
      <c r="F797" s="2">
        <v>20000</v>
      </c>
      <c r="G797" t="s">
        <v>710</v>
      </c>
    </row>
    <row r="798" spans="1:7">
      <c r="A798" s="1">
        <v>45894</v>
      </c>
      <c r="B798" s="78">
        <v>45900</v>
      </c>
      <c r="C798" t="s">
        <v>521</v>
      </c>
      <c r="D798" t="s">
        <v>3</v>
      </c>
      <c r="E798" t="s">
        <v>865</v>
      </c>
      <c r="F798" s="2">
        <v>25</v>
      </c>
      <c r="G798" t="s">
        <v>710</v>
      </c>
    </row>
    <row r="799" spans="1:7">
      <c r="A799" s="1">
        <v>45894</v>
      </c>
      <c r="B799" s="78">
        <v>45900</v>
      </c>
      <c r="C799" t="s">
        <v>522</v>
      </c>
      <c r="D799" t="s">
        <v>3</v>
      </c>
      <c r="E799" t="s">
        <v>865</v>
      </c>
      <c r="F799" s="2">
        <v>1.880000002682209</v>
      </c>
      <c r="G799" t="s">
        <v>710</v>
      </c>
    </row>
    <row r="800" spans="1:7">
      <c r="A800" s="1">
        <v>45894</v>
      </c>
      <c r="B800" s="78">
        <v>45900</v>
      </c>
      <c r="C800" t="s">
        <v>523</v>
      </c>
      <c r="D800" t="s">
        <v>33</v>
      </c>
      <c r="E800" t="s">
        <v>985</v>
      </c>
      <c r="F800" s="2">
        <v>35000</v>
      </c>
      <c r="G800" t="s">
        <v>710</v>
      </c>
    </row>
    <row r="801" spans="1:7">
      <c r="A801" s="1">
        <v>45894</v>
      </c>
      <c r="B801" s="78">
        <v>45900</v>
      </c>
      <c r="C801" t="s">
        <v>524</v>
      </c>
      <c r="D801" t="s">
        <v>3</v>
      </c>
      <c r="E801" t="s">
        <v>865</v>
      </c>
      <c r="F801" s="2">
        <v>25</v>
      </c>
      <c r="G801" t="s">
        <v>710</v>
      </c>
    </row>
    <row r="802" spans="1:7">
      <c r="A802" s="1">
        <v>45894</v>
      </c>
      <c r="B802" s="78">
        <v>45900</v>
      </c>
      <c r="C802" t="s">
        <v>525</v>
      </c>
      <c r="D802" t="s">
        <v>3</v>
      </c>
      <c r="E802" t="s">
        <v>865</v>
      </c>
      <c r="F802" s="2">
        <v>1.880000002682209</v>
      </c>
      <c r="G802" t="s">
        <v>710</v>
      </c>
    </row>
    <row r="803" spans="1:7">
      <c r="A803" s="1">
        <v>45894</v>
      </c>
      <c r="B803" s="78">
        <v>45900</v>
      </c>
      <c r="C803" t="s">
        <v>526</v>
      </c>
      <c r="D803" t="s">
        <v>33</v>
      </c>
      <c r="E803" t="s">
        <v>985</v>
      </c>
      <c r="F803" s="2">
        <v>35000</v>
      </c>
      <c r="G803" t="s">
        <v>710</v>
      </c>
    </row>
    <row r="804" spans="1:7">
      <c r="A804" s="1">
        <v>45894</v>
      </c>
      <c r="B804" s="78">
        <v>45900</v>
      </c>
      <c r="C804" t="s">
        <v>527</v>
      </c>
      <c r="D804" t="s">
        <v>3</v>
      </c>
      <c r="E804" t="s">
        <v>865</v>
      </c>
      <c r="F804" s="2">
        <v>25</v>
      </c>
      <c r="G804" t="s">
        <v>710</v>
      </c>
    </row>
    <row r="805" spans="1:7">
      <c r="A805" s="1">
        <v>45894</v>
      </c>
      <c r="B805" s="78">
        <v>45900</v>
      </c>
      <c r="C805" t="s">
        <v>528</v>
      </c>
      <c r="D805" t="s">
        <v>3</v>
      </c>
      <c r="E805" t="s">
        <v>865</v>
      </c>
      <c r="F805" s="2">
        <v>1.8799999952316284</v>
      </c>
      <c r="G805" t="s">
        <v>710</v>
      </c>
    </row>
    <row r="806" spans="1:7">
      <c r="A806" s="1">
        <v>45894</v>
      </c>
      <c r="B806" s="78">
        <v>45900</v>
      </c>
      <c r="C806" t="s">
        <v>529</v>
      </c>
      <c r="D806" t="s">
        <v>33</v>
      </c>
      <c r="E806" t="s">
        <v>985</v>
      </c>
      <c r="F806" s="2">
        <v>27500</v>
      </c>
      <c r="G806" t="s">
        <v>710</v>
      </c>
    </row>
    <row r="807" spans="1:7">
      <c r="A807" s="1">
        <v>45894</v>
      </c>
      <c r="B807" s="78">
        <v>45900</v>
      </c>
      <c r="C807" t="s">
        <v>530</v>
      </c>
      <c r="D807" t="s">
        <v>3</v>
      </c>
      <c r="E807" t="s">
        <v>865</v>
      </c>
      <c r="F807" s="2">
        <v>25</v>
      </c>
      <c r="G807" t="s">
        <v>710</v>
      </c>
    </row>
    <row r="808" spans="1:7">
      <c r="A808" s="1">
        <v>45894</v>
      </c>
      <c r="B808" s="78">
        <v>45900</v>
      </c>
      <c r="C808" t="s">
        <v>531</v>
      </c>
      <c r="D808" t="s">
        <v>3</v>
      </c>
      <c r="E808" t="s">
        <v>865</v>
      </c>
      <c r="F808" s="2">
        <v>1.880000002682209</v>
      </c>
      <c r="G808" t="s">
        <v>710</v>
      </c>
    </row>
    <row r="809" spans="1:7">
      <c r="A809" s="1">
        <v>45894</v>
      </c>
      <c r="B809" s="78">
        <v>45900</v>
      </c>
      <c r="C809" t="s">
        <v>532</v>
      </c>
      <c r="D809" t="s">
        <v>33</v>
      </c>
      <c r="E809" t="s">
        <v>985</v>
      </c>
      <c r="F809" s="2">
        <v>35000</v>
      </c>
      <c r="G809" t="s">
        <v>710</v>
      </c>
    </row>
    <row r="810" spans="1:7">
      <c r="A810" s="1">
        <v>45894</v>
      </c>
      <c r="B810" s="78">
        <v>45900</v>
      </c>
      <c r="C810" t="s">
        <v>533</v>
      </c>
      <c r="D810" t="s">
        <v>3</v>
      </c>
      <c r="E810" t="s">
        <v>865</v>
      </c>
      <c r="F810" s="2">
        <v>25</v>
      </c>
      <c r="G810" t="s">
        <v>710</v>
      </c>
    </row>
    <row r="811" spans="1:7">
      <c r="A811" s="1">
        <v>45894</v>
      </c>
      <c r="B811" s="78">
        <v>45900</v>
      </c>
      <c r="C811" t="s">
        <v>534</v>
      </c>
      <c r="D811" t="s">
        <v>3</v>
      </c>
      <c r="E811" t="s">
        <v>865</v>
      </c>
      <c r="F811" s="2">
        <v>1.8799999952316284</v>
      </c>
      <c r="G811" t="s">
        <v>710</v>
      </c>
    </row>
    <row r="812" spans="1:7">
      <c r="A812" s="1">
        <v>45894</v>
      </c>
      <c r="B812" s="78">
        <v>45900</v>
      </c>
      <c r="C812" t="s">
        <v>535</v>
      </c>
      <c r="D812" t="s">
        <v>33</v>
      </c>
      <c r="E812" t="s">
        <v>985</v>
      </c>
      <c r="F812" s="2">
        <v>70000</v>
      </c>
      <c r="G812" t="s">
        <v>710</v>
      </c>
    </row>
    <row r="813" spans="1:7">
      <c r="A813" s="1">
        <v>45894</v>
      </c>
      <c r="B813" s="78">
        <v>45900</v>
      </c>
      <c r="C813" t="s">
        <v>536</v>
      </c>
      <c r="D813" t="s">
        <v>3</v>
      </c>
      <c r="E813" t="s">
        <v>865</v>
      </c>
      <c r="F813" s="2">
        <v>50</v>
      </c>
      <c r="G813" t="s">
        <v>710</v>
      </c>
    </row>
    <row r="814" spans="1:7">
      <c r="A814" s="1">
        <v>45894</v>
      </c>
      <c r="B814" s="78">
        <v>45900</v>
      </c>
      <c r="C814" t="s">
        <v>537</v>
      </c>
      <c r="D814" t="s">
        <v>3</v>
      </c>
      <c r="E814" t="s">
        <v>865</v>
      </c>
      <c r="F814" s="2">
        <v>3.75</v>
      </c>
      <c r="G814" t="s">
        <v>710</v>
      </c>
    </row>
    <row r="815" spans="1:7">
      <c r="A815" s="1">
        <v>45894</v>
      </c>
      <c r="B815" s="78">
        <v>45900</v>
      </c>
      <c r="C815" t="s">
        <v>538</v>
      </c>
      <c r="D815" t="s">
        <v>33</v>
      </c>
      <c r="E815" t="s">
        <v>985</v>
      </c>
      <c r="F815" s="2">
        <v>35000</v>
      </c>
      <c r="G815" t="s">
        <v>710</v>
      </c>
    </row>
    <row r="816" spans="1:7">
      <c r="A816" s="1">
        <v>45894</v>
      </c>
      <c r="B816" s="78">
        <v>45900</v>
      </c>
      <c r="C816" t="s">
        <v>539</v>
      </c>
      <c r="D816" t="s">
        <v>3</v>
      </c>
      <c r="E816" t="s">
        <v>865</v>
      </c>
      <c r="F816" s="2">
        <v>25</v>
      </c>
      <c r="G816" t="s">
        <v>710</v>
      </c>
    </row>
    <row r="817" spans="1:7">
      <c r="A817" s="1">
        <v>45894</v>
      </c>
      <c r="B817" s="78">
        <v>45900</v>
      </c>
      <c r="C817" t="s">
        <v>540</v>
      </c>
      <c r="D817" t="s">
        <v>3</v>
      </c>
      <c r="E817" t="s">
        <v>865</v>
      </c>
      <c r="F817" s="2">
        <v>1.880000002682209</v>
      </c>
      <c r="G817" t="s">
        <v>710</v>
      </c>
    </row>
    <row r="818" spans="1:7">
      <c r="A818" s="1">
        <v>45894</v>
      </c>
      <c r="B818" s="78">
        <v>45900</v>
      </c>
      <c r="C818" t="s">
        <v>541</v>
      </c>
      <c r="D818" t="s">
        <v>33</v>
      </c>
      <c r="E818" t="s">
        <v>985</v>
      </c>
      <c r="F818" s="2">
        <v>20000</v>
      </c>
      <c r="G818" t="s">
        <v>710</v>
      </c>
    </row>
    <row r="819" spans="1:7">
      <c r="A819" s="1">
        <v>45894</v>
      </c>
      <c r="B819" s="78">
        <v>45900</v>
      </c>
      <c r="C819" t="s">
        <v>542</v>
      </c>
      <c r="D819" t="s">
        <v>3</v>
      </c>
      <c r="E819" t="s">
        <v>865</v>
      </c>
      <c r="F819" s="2">
        <v>25</v>
      </c>
      <c r="G819" t="s">
        <v>710</v>
      </c>
    </row>
    <row r="820" spans="1:7">
      <c r="A820" s="1">
        <v>45894</v>
      </c>
      <c r="B820" s="78">
        <v>45900</v>
      </c>
      <c r="C820" t="s">
        <v>543</v>
      </c>
      <c r="D820" t="s">
        <v>3</v>
      </c>
      <c r="E820" t="s">
        <v>865</v>
      </c>
      <c r="F820" s="2">
        <v>1.880000002682209</v>
      </c>
      <c r="G820" t="s">
        <v>710</v>
      </c>
    </row>
    <row r="821" spans="1:7">
      <c r="A821" s="1">
        <v>45894</v>
      </c>
      <c r="B821" s="78">
        <v>45900</v>
      </c>
      <c r="C821" t="s">
        <v>544</v>
      </c>
      <c r="D821" t="s">
        <v>33</v>
      </c>
      <c r="E821" t="s">
        <v>985</v>
      </c>
      <c r="F821" s="2">
        <v>70000</v>
      </c>
      <c r="G821" t="s">
        <v>710</v>
      </c>
    </row>
    <row r="822" spans="1:7">
      <c r="A822" s="1">
        <v>45894</v>
      </c>
      <c r="B822" s="78">
        <v>45900</v>
      </c>
      <c r="C822" t="s">
        <v>545</v>
      </c>
      <c r="D822" t="s">
        <v>3</v>
      </c>
      <c r="E822" t="s">
        <v>865</v>
      </c>
      <c r="F822" s="2">
        <v>50</v>
      </c>
      <c r="G822" t="s">
        <v>710</v>
      </c>
    </row>
    <row r="823" spans="1:7">
      <c r="A823" s="1">
        <v>45894</v>
      </c>
      <c r="B823" s="78">
        <v>45900</v>
      </c>
      <c r="C823" t="s">
        <v>546</v>
      </c>
      <c r="D823" t="s">
        <v>3</v>
      </c>
      <c r="E823" t="s">
        <v>865</v>
      </c>
      <c r="F823" s="2">
        <v>3.75</v>
      </c>
      <c r="G823" t="s">
        <v>710</v>
      </c>
    </row>
    <row r="824" spans="1:7">
      <c r="A824" s="1">
        <v>45894</v>
      </c>
      <c r="B824" s="78">
        <v>45900</v>
      </c>
      <c r="C824" t="s">
        <v>547</v>
      </c>
      <c r="D824" t="s">
        <v>33</v>
      </c>
      <c r="E824" t="s">
        <v>985</v>
      </c>
      <c r="F824" s="2">
        <v>20000</v>
      </c>
      <c r="G824" t="s">
        <v>710</v>
      </c>
    </row>
    <row r="825" spans="1:7">
      <c r="A825" s="1">
        <v>45894</v>
      </c>
      <c r="B825" s="78">
        <v>45900</v>
      </c>
      <c r="C825" t="s">
        <v>548</v>
      </c>
      <c r="D825" t="s">
        <v>3</v>
      </c>
      <c r="E825" t="s">
        <v>865</v>
      </c>
      <c r="F825" s="2">
        <v>25</v>
      </c>
      <c r="G825" t="s">
        <v>710</v>
      </c>
    </row>
    <row r="826" spans="1:7">
      <c r="A826" s="1">
        <v>45894</v>
      </c>
      <c r="B826" s="78">
        <v>45900</v>
      </c>
      <c r="C826" t="s">
        <v>549</v>
      </c>
      <c r="D826" t="s">
        <v>33</v>
      </c>
      <c r="E826" t="s">
        <v>985</v>
      </c>
      <c r="F826" s="2">
        <v>20000</v>
      </c>
      <c r="G826" t="s">
        <v>710</v>
      </c>
    </row>
    <row r="827" spans="1:7">
      <c r="A827" s="1">
        <v>45894</v>
      </c>
      <c r="B827" s="78">
        <v>45900</v>
      </c>
      <c r="C827" t="s">
        <v>550</v>
      </c>
      <c r="D827" t="s">
        <v>3</v>
      </c>
      <c r="E827" t="s">
        <v>865</v>
      </c>
      <c r="F827" s="2">
        <v>1.8799999952316284</v>
      </c>
      <c r="G827" t="s">
        <v>710</v>
      </c>
    </row>
    <row r="828" spans="1:7">
      <c r="A828" s="1">
        <v>45894</v>
      </c>
      <c r="B828" s="78">
        <v>45900</v>
      </c>
      <c r="C828" t="s">
        <v>551</v>
      </c>
      <c r="D828" t="s">
        <v>3</v>
      </c>
      <c r="E828" t="s">
        <v>865</v>
      </c>
      <c r="F828" s="2">
        <v>25</v>
      </c>
      <c r="G828" t="s">
        <v>710</v>
      </c>
    </row>
    <row r="829" spans="1:7">
      <c r="A829" s="1">
        <v>45894</v>
      </c>
      <c r="B829" s="78">
        <v>45900</v>
      </c>
      <c r="C829" t="s">
        <v>552</v>
      </c>
      <c r="D829" t="s">
        <v>3</v>
      </c>
      <c r="E829" t="s">
        <v>865</v>
      </c>
      <c r="F829" s="2">
        <v>1.880000002682209</v>
      </c>
      <c r="G829" t="s">
        <v>710</v>
      </c>
    </row>
    <row r="830" spans="1:7">
      <c r="A830" s="1">
        <v>45894</v>
      </c>
      <c r="B830" s="78">
        <v>45900</v>
      </c>
      <c r="C830" t="s">
        <v>553</v>
      </c>
      <c r="D830" t="s">
        <v>33</v>
      </c>
      <c r="E830" t="s">
        <v>985</v>
      </c>
      <c r="F830" s="2">
        <v>27500</v>
      </c>
      <c r="G830" t="s">
        <v>710</v>
      </c>
    </row>
    <row r="831" spans="1:7">
      <c r="A831" s="1">
        <v>45894</v>
      </c>
      <c r="B831" s="78">
        <v>45900</v>
      </c>
      <c r="C831" t="s">
        <v>554</v>
      </c>
      <c r="D831" t="s">
        <v>3</v>
      </c>
      <c r="E831" t="s">
        <v>865</v>
      </c>
      <c r="F831" s="2">
        <v>25</v>
      </c>
      <c r="G831" t="s">
        <v>710</v>
      </c>
    </row>
    <row r="832" spans="1:7">
      <c r="A832" s="1">
        <v>45894</v>
      </c>
      <c r="B832" s="78">
        <v>45900</v>
      </c>
      <c r="C832" t="s">
        <v>555</v>
      </c>
      <c r="D832" t="s">
        <v>3</v>
      </c>
      <c r="E832" t="s">
        <v>865</v>
      </c>
      <c r="F832" s="2">
        <v>1.880000002682209</v>
      </c>
      <c r="G832" t="s">
        <v>710</v>
      </c>
    </row>
    <row r="833" spans="1:7">
      <c r="A833" s="1">
        <v>45894</v>
      </c>
      <c r="B833" s="78">
        <v>45900</v>
      </c>
      <c r="C833" t="s">
        <v>556</v>
      </c>
      <c r="D833" t="s">
        <v>3</v>
      </c>
      <c r="E833" t="s">
        <v>865</v>
      </c>
      <c r="F833" s="2">
        <v>50</v>
      </c>
      <c r="G833" t="s">
        <v>710</v>
      </c>
    </row>
    <row r="834" spans="1:7">
      <c r="A834" s="1">
        <v>45895</v>
      </c>
      <c r="B834" s="78">
        <v>45900</v>
      </c>
      <c r="C834" t="s">
        <v>558</v>
      </c>
      <c r="D834" t="s">
        <v>33</v>
      </c>
      <c r="E834" t="s">
        <v>985</v>
      </c>
      <c r="F834" s="2">
        <v>27500</v>
      </c>
      <c r="G834" t="s">
        <v>710</v>
      </c>
    </row>
    <row r="835" spans="1:7">
      <c r="A835" s="1">
        <v>45895</v>
      </c>
      <c r="B835" s="78">
        <v>45900</v>
      </c>
      <c r="C835" t="s">
        <v>559</v>
      </c>
      <c r="D835" t="s">
        <v>3</v>
      </c>
      <c r="E835" t="s">
        <v>865</v>
      </c>
      <c r="F835" s="2">
        <v>25</v>
      </c>
      <c r="G835" t="s">
        <v>710</v>
      </c>
    </row>
    <row r="836" spans="1:7">
      <c r="A836" s="1">
        <v>45895</v>
      </c>
      <c r="B836" s="78">
        <v>45900</v>
      </c>
      <c r="C836" t="s">
        <v>560</v>
      </c>
      <c r="D836" t="s">
        <v>3</v>
      </c>
      <c r="E836" t="s">
        <v>865</v>
      </c>
      <c r="F836" s="2">
        <v>1.8799999952316284</v>
      </c>
      <c r="G836" t="s">
        <v>710</v>
      </c>
    </row>
    <row r="837" spans="1:7">
      <c r="A837" s="1">
        <v>45895</v>
      </c>
      <c r="B837" s="78">
        <v>45900</v>
      </c>
      <c r="C837" t="s">
        <v>561</v>
      </c>
      <c r="D837" t="s">
        <v>26</v>
      </c>
      <c r="E837" t="s">
        <v>979</v>
      </c>
      <c r="F837" s="2">
        <v>100000</v>
      </c>
      <c r="G837" t="s">
        <v>710</v>
      </c>
    </row>
    <row r="838" spans="1:7">
      <c r="A838" s="1">
        <v>45895</v>
      </c>
      <c r="B838" s="78">
        <v>45900</v>
      </c>
      <c r="C838" t="s">
        <v>561</v>
      </c>
      <c r="D838" t="s">
        <v>3</v>
      </c>
      <c r="E838" t="s">
        <v>865</v>
      </c>
      <c r="F838" s="2">
        <v>50</v>
      </c>
      <c r="G838" t="s">
        <v>710</v>
      </c>
    </row>
    <row r="839" spans="1:7">
      <c r="A839" s="1">
        <v>45895</v>
      </c>
      <c r="B839" s="78">
        <v>45900</v>
      </c>
      <c r="C839" t="s">
        <v>561</v>
      </c>
      <c r="D839" t="s">
        <v>3</v>
      </c>
      <c r="E839" t="s">
        <v>865</v>
      </c>
      <c r="F839" s="2">
        <v>3.75</v>
      </c>
      <c r="G839" t="s">
        <v>710</v>
      </c>
    </row>
    <row r="840" spans="1:7">
      <c r="A840" s="1">
        <v>45895</v>
      </c>
      <c r="B840" s="78">
        <v>45900</v>
      </c>
      <c r="C840" t="s">
        <v>562</v>
      </c>
      <c r="D840" t="s">
        <v>8</v>
      </c>
      <c r="E840" t="s">
        <v>815</v>
      </c>
      <c r="F840" s="2">
        <v>44432.330000005662</v>
      </c>
      <c r="G840" t="s">
        <v>710</v>
      </c>
    </row>
    <row r="841" spans="1:7">
      <c r="A841" s="1">
        <v>45895</v>
      </c>
      <c r="B841" s="78">
        <v>45900</v>
      </c>
      <c r="C841" t="s">
        <v>563</v>
      </c>
      <c r="D841" t="s">
        <v>3</v>
      </c>
      <c r="E841" t="s">
        <v>865</v>
      </c>
      <c r="F841" s="2">
        <v>25</v>
      </c>
      <c r="G841" t="s">
        <v>710</v>
      </c>
    </row>
    <row r="842" spans="1:7">
      <c r="A842" s="1">
        <v>45895</v>
      </c>
      <c r="B842" s="78">
        <v>45900</v>
      </c>
      <c r="C842" t="s">
        <v>564</v>
      </c>
      <c r="D842" t="s">
        <v>3</v>
      </c>
      <c r="E842" t="s">
        <v>865</v>
      </c>
      <c r="F842" s="2">
        <v>1.8799999952316284</v>
      </c>
      <c r="G842" t="s">
        <v>710</v>
      </c>
    </row>
    <row r="843" spans="1:7">
      <c r="A843" s="1">
        <v>45895</v>
      </c>
      <c r="B843" s="78">
        <v>45900</v>
      </c>
      <c r="C843" t="s">
        <v>565</v>
      </c>
      <c r="D843" t="s">
        <v>8</v>
      </c>
      <c r="E843" t="s">
        <v>815</v>
      </c>
      <c r="F843" s="2">
        <v>44432.329999998212</v>
      </c>
      <c r="G843" t="s">
        <v>710</v>
      </c>
    </row>
    <row r="844" spans="1:7">
      <c r="A844" s="1">
        <v>45895</v>
      </c>
      <c r="B844" s="78">
        <v>45900</v>
      </c>
      <c r="C844" t="s">
        <v>566</v>
      </c>
      <c r="D844" t="s">
        <v>3</v>
      </c>
      <c r="E844" t="s">
        <v>865</v>
      </c>
      <c r="F844" s="2">
        <v>25</v>
      </c>
      <c r="G844" t="s">
        <v>710</v>
      </c>
    </row>
    <row r="845" spans="1:7">
      <c r="A845" s="1">
        <v>45895</v>
      </c>
      <c r="B845" s="78">
        <v>45900</v>
      </c>
      <c r="C845" t="s">
        <v>567</v>
      </c>
      <c r="D845" t="s">
        <v>3</v>
      </c>
      <c r="E845" t="s">
        <v>865</v>
      </c>
      <c r="F845" s="2">
        <v>1.880000002682209</v>
      </c>
      <c r="G845" t="s">
        <v>710</v>
      </c>
    </row>
    <row r="846" spans="1:7">
      <c r="A846" s="1">
        <v>45895</v>
      </c>
      <c r="B846" s="78">
        <v>45900</v>
      </c>
      <c r="C846" t="s">
        <v>568</v>
      </c>
      <c r="D846" t="s">
        <v>8</v>
      </c>
      <c r="E846" t="s">
        <v>815</v>
      </c>
      <c r="F846" s="2">
        <v>283172.20000000298</v>
      </c>
      <c r="G846" t="s">
        <v>710</v>
      </c>
    </row>
    <row r="847" spans="1:7">
      <c r="A847" s="1">
        <v>45895</v>
      </c>
      <c r="B847" s="78">
        <v>45900</v>
      </c>
      <c r="C847" t="s">
        <v>569</v>
      </c>
      <c r="D847" t="s">
        <v>3</v>
      </c>
      <c r="E847" t="s">
        <v>865</v>
      </c>
      <c r="F847" s="2">
        <v>50</v>
      </c>
      <c r="G847" t="s">
        <v>710</v>
      </c>
    </row>
    <row r="848" spans="1:7">
      <c r="A848" s="1">
        <v>45895</v>
      </c>
      <c r="B848" s="78">
        <v>45900</v>
      </c>
      <c r="C848" t="s">
        <v>570</v>
      </c>
      <c r="D848" t="s">
        <v>3</v>
      </c>
      <c r="E848" t="s">
        <v>865</v>
      </c>
      <c r="F848" s="2">
        <v>3.75</v>
      </c>
      <c r="G848" t="s">
        <v>710</v>
      </c>
    </row>
    <row r="849" spans="1:7">
      <c r="A849" s="1">
        <v>45895</v>
      </c>
      <c r="B849" s="78">
        <v>45900</v>
      </c>
      <c r="C849" t="s">
        <v>571</v>
      </c>
      <c r="D849" t="s">
        <v>8</v>
      </c>
      <c r="E849" t="s">
        <v>815</v>
      </c>
      <c r="F849" s="2">
        <v>140171.66999999434</v>
      </c>
      <c r="G849" t="s">
        <v>710</v>
      </c>
    </row>
    <row r="850" spans="1:7">
      <c r="A850" s="1">
        <v>45895</v>
      </c>
      <c r="B850" s="78">
        <v>45900</v>
      </c>
      <c r="C850" t="s">
        <v>572</v>
      </c>
      <c r="D850" t="s">
        <v>3</v>
      </c>
      <c r="E850" t="s">
        <v>865</v>
      </c>
      <c r="F850" s="2">
        <v>50</v>
      </c>
      <c r="G850" t="s">
        <v>710</v>
      </c>
    </row>
    <row r="851" spans="1:7">
      <c r="A851" s="1">
        <v>45895</v>
      </c>
      <c r="B851" s="78">
        <v>45900</v>
      </c>
      <c r="C851" t="s">
        <v>573</v>
      </c>
      <c r="D851" t="s">
        <v>3</v>
      </c>
      <c r="E851" t="s">
        <v>865</v>
      </c>
      <c r="F851" s="2">
        <v>3.75</v>
      </c>
      <c r="G851" t="s">
        <v>710</v>
      </c>
    </row>
    <row r="852" spans="1:7">
      <c r="A852" s="1">
        <v>45895</v>
      </c>
      <c r="B852" s="78">
        <v>45900</v>
      </c>
      <c r="C852" t="s">
        <v>574</v>
      </c>
      <c r="D852" t="s">
        <v>8</v>
      </c>
      <c r="E852" t="s">
        <v>815</v>
      </c>
      <c r="F852" s="2">
        <v>283172.20000000298</v>
      </c>
      <c r="G852" t="s">
        <v>710</v>
      </c>
    </row>
    <row r="853" spans="1:7">
      <c r="A853" s="1">
        <v>45895</v>
      </c>
      <c r="B853" s="78">
        <v>45900</v>
      </c>
      <c r="C853" t="s">
        <v>575</v>
      </c>
      <c r="D853" t="s">
        <v>3</v>
      </c>
      <c r="E853" t="s">
        <v>865</v>
      </c>
      <c r="F853" s="2">
        <v>50</v>
      </c>
      <c r="G853" t="s">
        <v>710</v>
      </c>
    </row>
    <row r="854" spans="1:7">
      <c r="A854" s="1">
        <v>45895</v>
      </c>
      <c r="B854" s="78">
        <v>45900</v>
      </c>
      <c r="C854" t="s">
        <v>576</v>
      </c>
      <c r="D854" t="s">
        <v>3</v>
      </c>
      <c r="E854" t="s">
        <v>865</v>
      </c>
      <c r="F854" s="2">
        <v>3.75</v>
      </c>
      <c r="G854" t="s">
        <v>710</v>
      </c>
    </row>
    <row r="855" spans="1:7">
      <c r="A855" s="1">
        <v>45895</v>
      </c>
      <c r="B855" s="78">
        <v>45900</v>
      </c>
      <c r="C855" t="s">
        <v>577</v>
      </c>
      <c r="D855" t="s">
        <v>8</v>
      </c>
      <c r="E855" t="s">
        <v>815</v>
      </c>
      <c r="F855" s="2">
        <v>283172.20000000298</v>
      </c>
      <c r="G855" t="s">
        <v>710</v>
      </c>
    </row>
    <row r="856" spans="1:7">
      <c r="A856" s="1">
        <v>45895</v>
      </c>
      <c r="B856" s="78">
        <v>45900</v>
      </c>
      <c r="C856" t="s">
        <v>578</v>
      </c>
      <c r="D856" t="s">
        <v>3</v>
      </c>
      <c r="E856" t="s">
        <v>865</v>
      </c>
      <c r="F856" s="2">
        <v>50</v>
      </c>
      <c r="G856" t="s">
        <v>710</v>
      </c>
    </row>
    <row r="857" spans="1:7">
      <c r="A857" s="1">
        <v>45895</v>
      </c>
      <c r="B857" s="78">
        <v>45900</v>
      </c>
      <c r="C857" t="s">
        <v>579</v>
      </c>
      <c r="D857" t="s">
        <v>3</v>
      </c>
      <c r="E857" t="s">
        <v>865</v>
      </c>
      <c r="F857" s="2">
        <v>3.75</v>
      </c>
      <c r="G857" t="s">
        <v>710</v>
      </c>
    </row>
    <row r="858" spans="1:7">
      <c r="A858" s="1">
        <v>45895</v>
      </c>
      <c r="B858" s="78">
        <v>45900</v>
      </c>
      <c r="C858" t="s">
        <v>580</v>
      </c>
      <c r="D858" t="s">
        <v>8</v>
      </c>
      <c r="E858" t="s">
        <v>815</v>
      </c>
      <c r="F858" s="2">
        <v>44432.329999998212</v>
      </c>
      <c r="G858" t="s">
        <v>710</v>
      </c>
    </row>
    <row r="859" spans="1:7">
      <c r="A859" s="1">
        <v>45895</v>
      </c>
      <c r="B859" s="78">
        <v>45900</v>
      </c>
      <c r="C859" t="s">
        <v>581</v>
      </c>
      <c r="D859" t="s">
        <v>3</v>
      </c>
      <c r="E859" t="s">
        <v>865</v>
      </c>
      <c r="F859" s="2">
        <v>25</v>
      </c>
      <c r="G859" t="s">
        <v>710</v>
      </c>
    </row>
    <row r="860" spans="1:7">
      <c r="A860" s="1">
        <v>45895</v>
      </c>
      <c r="B860" s="78">
        <v>45900</v>
      </c>
      <c r="C860" t="s">
        <v>582</v>
      </c>
      <c r="D860" t="s">
        <v>3</v>
      </c>
      <c r="E860" t="s">
        <v>865</v>
      </c>
      <c r="F860" s="2">
        <v>1.880000002682209</v>
      </c>
      <c r="G860" t="s">
        <v>710</v>
      </c>
    </row>
    <row r="861" spans="1:7">
      <c r="A861" s="1">
        <v>45895</v>
      </c>
      <c r="B861" s="78">
        <v>45900</v>
      </c>
      <c r="C861" t="s">
        <v>583</v>
      </c>
      <c r="D861" t="s">
        <v>8</v>
      </c>
      <c r="E861" t="s">
        <v>815</v>
      </c>
      <c r="F861" s="2">
        <v>44432.329999998212</v>
      </c>
      <c r="G861" t="s">
        <v>710</v>
      </c>
    </row>
    <row r="862" spans="1:7">
      <c r="A862" s="1">
        <v>45895</v>
      </c>
      <c r="B862" s="78">
        <v>45900</v>
      </c>
      <c r="C862" t="s">
        <v>584</v>
      </c>
      <c r="D862" t="s">
        <v>3</v>
      </c>
      <c r="E862" t="s">
        <v>865</v>
      </c>
      <c r="F862" s="2">
        <v>25</v>
      </c>
      <c r="G862" t="s">
        <v>710</v>
      </c>
    </row>
    <row r="863" spans="1:7">
      <c r="A863" s="1">
        <v>45895</v>
      </c>
      <c r="B863" s="78">
        <v>45900</v>
      </c>
      <c r="C863" t="s">
        <v>585</v>
      </c>
      <c r="D863" t="s">
        <v>3</v>
      </c>
      <c r="E863" t="s">
        <v>865</v>
      </c>
      <c r="F863" s="2">
        <v>1.8799999952316284</v>
      </c>
      <c r="G863" t="s">
        <v>710</v>
      </c>
    </row>
    <row r="864" spans="1:7">
      <c r="A864" s="1">
        <v>45895</v>
      </c>
      <c r="B864" s="78">
        <v>45900</v>
      </c>
      <c r="C864" t="s">
        <v>586</v>
      </c>
      <c r="D864" t="s">
        <v>8</v>
      </c>
      <c r="E864" t="s">
        <v>815</v>
      </c>
      <c r="F864" s="2">
        <v>52835</v>
      </c>
      <c r="G864" t="s">
        <v>710</v>
      </c>
    </row>
    <row r="865" spans="1:7">
      <c r="A865" s="1">
        <v>45895</v>
      </c>
      <c r="B865" s="78">
        <v>45900</v>
      </c>
      <c r="C865" t="s">
        <v>587</v>
      </c>
      <c r="D865" t="s">
        <v>3</v>
      </c>
      <c r="E865" t="s">
        <v>865</v>
      </c>
      <c r="F865" s="2">
        <v>50</v>
      </c>
      <c r="G865" t="s">
        <v>710</v>
      </c>
    </row>
    <row r="866" spans="1:7">
      <c r="A866" s="1">
        <v>45895</v>
      </c>
      <c r="B866" s="78">
        <v>45900</v>
      </c>
      <c r="C866" t="s">
        <v>588</v>
      </c>
      <c r="D866" t="s">
        <v>3</v>
      </c>
      <c r="E866" t="s">
        <v>865</v>
      </c>
      <c r="F866" s="2">
        <v>3.75</v>
      </c>
      <c r="G866" t="s">
        <v>710</v>
      </c>
    </row>
    <row r="867" spans="1:7">
      <c r="A867" s="1">
        <v>45895</v>
      </c>
      <c r="B867" s="78">
        <v>45900</v>
      </c>
      <c r="C867" t="s">
        <v>589</v>
      </c>
      <c r="D867" t="s">
        <v>8</v>
      </c>
      <c r="E867" t="s">
        <v>815</v>
      </c>
      <c r="F867" s="2">
        <v>283172.20000000298</v>
      </c>
      <c r="G867" t="s">
        <v>710</v>
      </c>
    </row>
    <row r="868" spans="1:7">
      <c r="A868" s="1">
        <v>45895</v>
      </c>
      <c r="B868" s="78">
        <v>45900</v>
      </c>
      <c r="C868" t="s">
        <v>590</v>
      </c>
      <c r="D868" t="s">
        <v>3</v>
      </c>
      <c r="E868" t="s">
        <v>865</v>
      </c>
      <c r="F868" s="2">
        <v>50</v>
      </c>
      <c r="G868" t="s">
        <v>710</v>
      </c>
    </row>
    <row r="869" spans="1:7">
      <c r="A869" s="1">
        <v>45895</v>
      </c>
      <c r="B869" s="78">
        <v>45900</v>
      </c>
      <c r="C869" t="s">
        <v>591</v>
      </c>
      <c r="D869" t="s">
        <v>3</v>
      </c>
      <c r="E869" t="s">
        <v>865</v>
      </c>
      <c r="F869" s="2">
        <v>3.75</v>
      </c>
      <c r="G869" t="s">
        <v>710</v>
      </c>
    </row>
    <row r="870" spans="1:7">
      <c r="A870" s="1">
        <v>45895</v>
      </c>
      <c r="B870" s="78">
        <v>45900</v>
      </c>
      <c r="C870" t="s">
        <v>592</v>
      </c>
      <c r="D870" t="s">
        <v>8</v>
      </c>
      <c r="E870" t="s">
        <v>815</v>
      </c>
      <c r="F870" s="2">
        <v>486614.60000000149</v>
      </c>
      <c r="G870" t="s">
        <v>710</v>
      </c>
    </row>
    <row r="871" spans="1:7">
      <c r="A871" s="1">
        <v>45895</v>
      </c>
      <c r="B871" s="78">
        <v>45900</v>
      </c>
      <c r="C871" t="s">
        <v>593</v>
      </c>
      <c r="D871" t="s">
        <v>3</v>
      </c>
      <c r="E871" t="s">
        <v>865</v>
      </c>
      <c r="F871" s="2">
        <v>50</v>
      </c>
      <c r="G871" t="s">
        <v>710</v>
      </c>
    </row>
    <row r="872" spans="1:7">
      <c r="A872" s="1">
        <v>45895</v>
      </c>
      <c r="B872" s="78">
        <v>45900</v>
      </c>
      <c r="C872" t="s">
        <v>594</v>
      </c>
      <c r="D872" t="s">
        <v>3</v>
      </c>
      <c r="E872" t="s">
        <v>865</v>
      </c>
      <c r="F872" s="2">
        <v>3.75</v>
      </c>
      <c r="G872" t="s">
        <v>710</v>
      </c>
    </row>
    <row r="873" spans="1:7">
      <c r="A873" s="1">
        <v>45895</v>
      </c>
      <c r="B873" s="78">
        <v>45900</v>
      </c>
      <c r="C873" t="s">
        <v>595</v>
      </c>
      <c r="D873" t="s">
        <v>8</v>
      </c>
      <c r="E873" t="s">
        <v>815</v>
      </c>
      <c r="F873" s="2">
        <v>52835</v>
      </c>
      <c r="G873" t="s">
        <v>710</v>
      </c>
    </row>
    <row r="874" spans="1:7">
      <c r="A874" s="1">
        <v>45895</v>
      </c>
      <c r="B874" s="78">
        <v>45900</v>
      </c>
      <c r="C874" t="s">
        <v>596</v>
      </c>
      <c r="D874" t="s">
        <v>3</v>
      </c>
      <c r="E874" t="s">
        <v>865</v>
      </c>
      <c r="F874" s="2">
        <v>50</v>
      </c>
      <c r="G874" t="s">
        <v>710</v>
      </c>
    </row>
    <row r="875" spans="1:7">
      <c r="A875" s="1">
        <v>45895</v>
      </c>
      <c r="B875" s="78">
        <v>45900</v>
      </c>
      <c r="C875" t="s">
        <v>597</v>
      </c>
      <c r="D875" t="s">
        <v>3</v>
      </c>
      <c r="E875" t="s">
        <v>865</v>
      </c>
      <c r="F875" s="2">
        <v>3.75</v>
      </c>
      <c r="G875" t="s">
        <v>710</v>
      </c>
    </row>
    <row r="876" spans="1:7">
      <c r="A876" s="1">
        <v>45895</v>
      </c>
      <c r="B876" s="78">
        <v>45900</v>
      </c>
      <c r="C876" t="s">
        <v>598</v>
      </c>
      <c r="D876" t="s">
        <v>8</v>
      </c>
      <c r="E876" t="s">
        <v>815</v>
      </c>
      <c r="F876" s="2">
        <v>283172.19999999553</v>
      </c>
      <c r="G876" t="s">
        <v>710</v>
      </c>
    </row>
    <row r="877" spans="1:7">
      <c r="A877" s="1">
        <v>45895</v>
      </c>
      <c r="B877" s="78">
        <v>45900</v>
      </c>
      <c r="C877" t="s">
        <v>599</v>
      </c>
      <c r="D877" t="s">
        <v>3</v>
      </c>
      <c r="E877" t="s">
        <v>865</v>
      </c>
      <c r="F877" s="2">
        <v>50</v>
      </c>
      <c r="G877" t="s">
        <v>710</v>
      </c>
    </row>
    <row r="878" spans="1:7">
      <c r="A878" s="1">
        <v>45895</v>
      </c>
      <c r="B878" s="78">
        <v>45900</v>
      </c>
      <c r="C878" t="s">
        <v>600</v>
      </c>
      <c r="D878" t="s">
        <v>3</v>
      </c>
      <c r="E878" t="s">
        <v>865</v>
      </c>
      <c r="F878" s="2">
        <v>3.75</v>
      </c>
      <c r="G878" t="s">
        <v>710</v>
      </c>
    </row>
    <row r="879" spans="1:7">
      <c r="A879" s="1">
        <v>45895</v>
      </c>
      <c r="B879" s="78">
        <v>45900</v>
      </c>
      <c r="C879" t="s">
        <v>601</v>
      </c>
      <c r="D879" t="s">
        <v>8</v>
      </c>
      <c r="E879" t="s">
        <v>815</v>
      </c>
      <c r="F879" s="2">
        <v>283172.20000000298</v>
      </c>
      <c r="G879" t="s">
        <v>710</v>
      </c>
    </row>
    <row r="880" spans="1:7">
      <c r="A880" s="1">
        <v>45895</v>
      </c>
      <c r="B880" s="78">
        <v>45900</v>
      </c>
      <c r="C880" t="s">
        <v>602</v>
      </c>
      <c r="D880" t="s">
        <v>3</v>
      </c>
      <c r="E880" t="s">
        <v>865</v>
      </c>
      <c r="F880" s="2">
        <v>50</v>
      </c>
      <c r="G880" t="s">
        <v>710</v>
      </c>
    </row>
    <row r="881" spans="1:7">
      <c r="A881" s="1">
        <v>45895</v>
      </c>
      <c r="B881" s="78">
        <v>45900</v>
      </c>
      <c r="C881" t="s">
        <v>603</v>
      </c>
      <c r="D881" t="s">
        <v>3</v>
      </c>
      <c r="E881" t="s">
        <v>865</v>
      </c>
      <c r="F881" s="2">
        <v>3.75</v>
      </c>
      <c r="G881" t="s">
        <v>710</v>
      </c>
    </row>
    <row r="882" spans="1:7">
      <c r="A882" s="1">
        <v>45895</v>
      </c>
      <c r="B882" s="78">
        <v>45900</v>
      </c>
      <c r="C882" t="s">
        <v>604</v>
      </c>
      <c r="D882" t="s">
        <v>8</v>
      </c>
      <c r="E882" t="s">
        <v>815</v>
      </c>
      <c r="F882" s="2">
        <v>140171.67000000179</v>
      </c>
      <c r="G882" t="s">
        <v>710</v>
      </c>
    </row>
    <row r="883" spans="1:7">
      <c r="A883" s="1">
        <v>45895</v>
      </c>
      <c r="B883" s="78">
        <v>45900</v>
      </c>
      <c r="C883" t="s">
        <v>605</v>
      </c>
      <c r="D883" t="s">
        <v>3</v>
      </c>
      <c r="E883" t="s">
        <v>865</v>
      </c>
      <c r="F883" s="2">
        <v>50</v>
      </c>
      <c r="G883" t="s">
        <v>710</v>
      </c>
    </row>
    <row r="884" spans="1:7">
      <c r="A884" s="1">
        <v>45895</v>
      </c>
      <c r="B884" s="78">
        <v>45900</v>
      </c>
      <c r="C884" t="s">
        <v>606</v>
      </c>
      <c r="D884" t="s">
        <v>3</v>
      </c>
      <c r="E884" t="s">
        <v>865</v>
      </c>
      <c r="F884" s="2">
        <v>3.75</v>
      </c>
      <c r="G884" t="s">
        <v>710</v>
      </c>
    </row>
    <row r="885" spans="1:7">
      <c r="A885" s="1">
        <v>45895</v>
      </c>
      <c r="B885" s="78">
        <v>45900</v>
      </c>
      <c r="C885" t="s">
        <v>607</v>
      </c>
      <c r="D885" t="s">
        <v>8</v>
      </c>
      <c r="E885" t="s">
        <v>815</v>
      </c>
      <c r="F885" s="2">
        <v>283172.19999999553</v>
      </c>
      <c r="G885" t="s">
        <v>710</v>
      </c>
    </row>
    <row r="886" spans="1:7">
      <c r="A886" s="1">
        <v>45895</v>
      </c>
      <c r="B886" s="78">
        <v>45900</v>
      </c>
      <c r="C886" t="s">
        <v>608</v>
      </c>
      <c r="D886" t="s">
        <v>3</v>
      </c>
      <c r="E886" t="s">
        <v>865</v>
      </c>
      <c r="F886" s="2">
        <v>50</v>
      </c>
      <c r="G886" t="s">
        <v>710</v>
      </c>
    </row>
    <row r="887" spans="1:7">
      <c r="A887" s="1">
        <v>45895</v>
      </c>
      <c r="B887" s="78">
        <v>45900</v>
      </c>
      <c r="C887" t="s">
        <v>609</v>
      </c>
      <c r="D887" t="s">
        <v>3</v>
      </c>
      <c r="E887" t="s">
        <v>865</v>
      </c>
      <c r="F887" s="2">
        <v>3.75</v>
      </c>
      <c r="G887" t="s">
        <v>710</v>
      </c>
    </row>
    <row r="888" spans="1:7">
      <c r="A888" s="1">
        <v>45895</v>
      </c>
      <c r="B888" s="78">
        <v>45900</v>
      </c>
      <c r="C888" t="s">
        <v>610</v>
      </c>
      <c r="D888" t="s">
        <v>8</v>
      </c>
      <c r="E888" t="s">
        <v>815</v>
      </c>
      <c r="F888" s="2">
        <v>4019028.3599999994</v>
      </c>
      <c r="G888" t="s">
        <v>710</v>
      </c>
    </row>
    <row r="889" spans="1:7">
      <c r="A889" s="1">
        <v>45895</v>
      </c>
      <c r="B889" s="78">
        <v>45900</v>
      </c>
      <c r="C889" t="s">
        <v>611</v>
      </c>
      <c r="D889" t="s">
        <v>3</v>
      </c>
      <c r="E889" t="s">
        <v>865</v>
      </c>
      <c r="F889" s="2">
        <v>50</v>
      </c>
      <c r="G889" t="s">
        <v>710</v>
      </c>
    </row>
    <row r="890" spans="1:7">
      <c r="A890" s="1">
        <v>45895</v>
      </c>
      <c r="B890" s="78">
        <v>45900</v>
      </c>
      <c r="C890" t="s">
        <v>612</v>
      </c>
      <c r="D890" t="s">
        <v>3</v>
      </c>
      <c r="E890" t="s">
        <v>865</v>
      </c>
      <c r="F890" s="2">
        <v>3.75</v>
      </c>
      <c r="G890" t="s">
        <v>710</v>
      </c>
    </row>
    <row r="891" spans="1:7">
      <c r="A891" s="1">
        <v>45895</v>
      </c>
      <c r="B891" s="78">
        <v>45900</v>
      </c>
      <c r="C891" t="s">
        <v>613</v>
      </c>
      <c r="D891" t="s">
        <v>8</v>
      </c>
      <c r="E891" t="s">
        <v>815</v>
      </c>
      <c r="F891" s="2">
        <v>283172.20000000298</v>
      </c>
      <c r="G891" t="s">
        <v>710</v>
      </c>
    </row>
    <row r="892" spans="1:7">
      <c r="A892" s="1">
        <v>45895</v>
      </c>
      <c r="B892" s="78">
        <v>45900</v>
      </c>
      <c r="C892" t="s">
        <v>614</v>
      </c>
      <c r="D892" t="s">
        <v>3</v>
      </c>
      <c r="E892" t="s">
        <v>865</v>
      </c>
      <c r="F892" s="2">
        <v>50</v>
      </c>
      <c r="G892" t="s">
        <v>710</v>
      </c>
    </row>
    <row r="893" spans="1:7">
      <c r="A893" s="1">
        <v>45895</v>
      </c>
      <c r="B893" s="78">
        <v>45900</v>
      </c>
      <c r="C893" t="s">
        <v>615</v>
      </c>
      <c r="D893" t="s">
        <v>3</v>
      </c>
      <c r="E893" t="s">
        <v>865</v>
      </c>
      <c r="F893" s="2">
        <v>3.75</v>
      </c>
      <c r="G893" t="s">
        <v>710</v>
      </c>
    </row>
    <row r="894" spans="1:7">
      <c r="A894" s="1">
        <v>45895</v>
      </c>
      <c r="B894" s="78">
        <v>45900</v>
      </c>
      <c r="C894" t="s">
        <v>616</v>
      </c>
      <c r="D894" t="s">
        <v>8</v>
      </c>
      <c r="E894" t="s">
        <v>815</v>
      </c>
      <c r="F894" s="2">
        <v>52835</v>
      </c>
      <c r="G894" t="s">
        <v>710</v>
      </c>
    </row>
    <row r="895" spans="1:7">
      <c r="A895" s="1">
        <v>45895</v>
      </c>
      <c r="B895" s="78">
        <v>45900</v>
      </c>
      <c r="C895" t="s">
        <v>617</v>
      </c>
      <c r="D895" t="s">
        <v>3</v>
      </c>
      <c r="E895" t="s">
        <v>865</v>
      </c>
      <c r="F895" s="2">
        <v>50</v>
      </c>
      <c r="G895" t="s">
        <v>710</v>
      </c>
    </row>
    <row r="896" spans="1:7">
      <c r="A896" s="1">
        <v>45895</v>
      </c>
      <c r="B896" s="78">
        <v>45900</v>
      </c>
      <c r="C896" t="s">
        <v>618</v>
      </c>
      <c r="D896" t="s">
        <v>3</v>
      </c>
      <c r="E896" t="s">
        <v>865</v>
      </c>
      <c r="F896" s="2">
        <v>3.75</v>
      </c>
      <c r="G896" t="s">
        <v>710</v>
      </c>
    </row>
    <row r="897" spans="1:8">
      <c r="A897" s="1">
        <v>45895</v>
      </c>
      <c r="B897" s="78">
        <v>45900</v>
      </c>
      <c r="C897" t="s">
        <v>619</v>
      </c>
      <c r="D897" t="s">
        <v>8</v>
      </c>
      <c r="E897" t="s">
        <v>815</v>
      </c>
      <c r="F897" s="2">
        <v>2295519.5600000024</v>
      </c>
      <c r="G897" t="s">
        <v>710</v>
      </c>
    </row>
    <row r="898" spans="1:8">
      <c r="A898" s="1">
        <v>45895</v>
      </c>
      <c r="B898" s="78">
        <v>45900</v>
      </c>
      <c r="C898" t="s">
        <v>620</v>
      </c>
      <c r="D898" t="s">
        <v>3</v>
      </c>
      <c r="E898" t="s">
        <v>865</v>
      </c>
      <c r="F898" s="2">
        <v>50</v>
      </c>
      <c r="G898" t="s">
        <v>710</v>
      </c>
    </row>
    <row r="899" spans="1:8">
      <c r="A899" s="1">
        <v>45895</v>
      </c>
      <c r="B899" s="78">
        <v>45900</v>
      </c>
      <c r="C899" t="s">
        <v>621</v>
      </c>
      <c r="D899" t="s">
        <v>3</v>
      </c>
      <c r="E899" t="s">
        <v>865</v>
      </c>
      <c r="F899" s="2">
        <v>3.75</v>
      </c>
      <c r="G899" t="s">
        <v>710</v>
      </c>
    </row>
    <row r="900" spans="1:8">
      <c r="A900" s="1">
        <v>45895</v>
      </c>
      <c r="B900" s="78">
        <v>45900</v>
      </c>
      <c r="C900" t="s">
        <v>622</v>
      </c>
      <c r="D900" t="s">
        <v>8</v>
      </c>
      <c r="E900" t="s">
        <v>815</v>
      </c>
      <c r="F900" s="2">
        <v>44432.329999998212</v>
      </c>
      <c r="G900" t="s">
        <v>710</v>
      </c>
    </row>
    <row r="901" spans="1:8">
      <c r="A901" s="1">
        <v>45895</v>
      </c>
      <c r="B901" s="78">
        <v>45900</v>
      </c>
      <c r="C901" t="s">
        <v>623</v>
      </c>
      <c r="D901" t="s">
        <v>3</v>
      </c>
      <c r="E901" t="s">
        <v>865</v>
      </c>
      <c r="F901" s="2">
        <v>25</v>
      </c>
      <c r="G901" t="s">
        <v>710</v>
      </c>
    </row>
    <row r="902" spans="1:8">
      <c r="A902" s="1">
        <v>45895</v>
      </c>
      <c r="B902" s="78">
        <v>45900</v>
      </c>
      <c r="C902" t="s">
        <v>624</v>
      </c>
      <c r="D902" t="s">
        <v>3</v>
      </c>
      <c r="E902" t="s">
        <v>865</v>
      </c>
      <c r="F902" s="2">
        <v>1.880000002682209</v>
      </c>
      <c r="G902" t="s">
        <v>710</v>
      </c>
    </row>
    <row r="903" spans="1:8">
      <c r="A903" s="1">
        <v>45895</v>
      </c>
      <c r="B903" s="78">
        <v>45900</v>
      </c>
      <c r="C903" t="s">
        <v>625</v>
      </c>
      <c r="D903" t="s">
        <v>19</v>
      </c>
      <c r="E903" t="s">
        <v>815</v>
      </c>
      <c r="F903" s="2">
        <v>44432.329999998212</v>
      </c>
      <c r="G903" t="s">
        <v>710</v>
      </c>
      <c r="H903" s="12" t="s">
        <v>758</v>
      </c>
    </row>
    <row r="904" spans="1:8">
      <c r="A904" s="1">
        <v>45895</v>
      </c>
      <c r="B904" s="78">
        <v>45900</v>
      </c>
      <c r="C904" t="s">
        <v>626</v>
      </c>
      <c r="D904" t="s">
        <v>3</v>
      </c>
      <c r="E904" t="s">
        <v>865</v>
      </c>
      <c r="F904" s="2">
        <v>25</v>
      </c>
      <c r="G904" t="s">
        <v>710</v>
      </c>
    </row>
    <row r="905" spans="1:8">
      <c r="A905" s="1">
        <v>45895</v>
      </c>
      <c r="B905" s="78">
        <v>45900</v>
      </c>
      <c r="C905" t="s">
        <v>627</v>
      </c>
      <c r="D905" t="s">
        <v>3</v>
      </c>
      <c r="E905" t="s">
        <v>865</v>
      </c>
      <c r="F905" s="2">
        <v>1.8799999952316284</v>
      </c>
      <c r="G905" t="s">
        <v>710</v>
      </c>
    </row>
    <row r="906" spans="1:8">
      <c r="A906" s="1">
        <v>45895</v>
      </c>
      <c r="B906" s="78">
        <v>45900</v>
      </c>
      <c r="C906" t="s">
        <v>628</v>
      </c>
      <c r="D906" t="s">
        <v>8</v>
      </c>
      <c r="E906" t="s">
        <v>815</v>
      </c>
      <c r="F906" s="2">
        <v>140171.67000000179</v>
      </c>
      <c r="G906" t="s">
        <v>710</v>
      </c>
    </row>
    <row r="907" spans="1:8">
      <c r="A907" s="1">
        <v>45895</v>
      </c>
      <c r="B907" s="78">
        <v>45900</v>
      </c>
      <c r="C907" t="s">
        <v>629</v>
      </c>
      <c r="D907" t="s">
        <v>3</v>
      </c>
      <c r="E907" t="s">
        <v>865</v>
      </c>
      <c r="F907" s="2">
        <v>50</v>
      </c>
      <c r="G907" t="s">
        <v>710</v>
      </c>
    </row>
    <row r="908" spans="1:8">
      <c r="A908" s="1">
        <v>45895</v>
      </c>
      <c r="B908" s="78">
        <v>45900</v>
      </c>
      <c r="C908" t="s">
        <v>630</v>
      </c>
      <c r="D908" t="s">
        <v>3</v>
      </c>
      <c r="E908" t="s">
        <v>865</v>
      </c>
      <c r="F908" s="2">
        <v>3.75</v>
      </c>
      <c r="G908" t="s">
        <v>710</v>
      </c>
    </row>
    <row r="909" spans="1:8">
      <c r="A909" s="1">
        <v>45895</v>
      </c>
      <c r="B909" s="78">
        <v>45900</v>
      </c>
      <c r="C909" t="s">
        <v>631</v>
      </c>
      <c r="D909" t="s">
        <v>8</v>
      </c>
      <c r="E909" t="s">
        <v>815</v>
      </c>
      <c r="F909" s="2">
        <v>44432.329999998212</v>
      </c>
      <c r="G909" t="s">
        <v>710</v>
      </c>
    </row>
    <row r="910" spans="1:8">
      <c r="A910" s="1">
        <v>45895</v>
      </c>
      <c r="B910" s="78">
        <v>45900</v>
      </c>
      <c r="C910" t="s">
        <v>632</v>
      </c>
      <c r="D910" t="s">
        <v>3</v>
      </c>
      <c r="E910" t="s">
        <v>865</v>
      </c>
      <c r="F910" s="2">
        <v>25</v>
      </c>
      <c r="G910" t="s">
        <v>710</v>
      </c>
    </row>
    <row r="911" spans="1:8">
      <c r="A911" s="1">
        <v>45895</v>
      </c>
      <c r="B911" s="78">
        <v>45900</v>
      </c>
      <c r="C911" t="s">
        <v>633</v>
      </c>
      <c r="D911" t="s">
        <v>3</v>
      </c>
      <c r="E911" t="s">
        <v>865</v>
      </c>
      <c r="F911" s="2">
        <v>1.880000002682209</v>
      </c>
      <c r="G911" t="s">
        <v>710</v>
      </c>
    </row>
    <row r="912" spans="1:8">
      <c r="A912" s="1">
        <v>45895</v>
      </c>
      <c r="B912" s="78">
        <v>45900</v>
      </c>
      <c r="C912" t="s">
        <v>634</v>
      </c>
      <c r="D912" t="s">
        <v>8</v>
      </c>
      <c r="E912" t="s">
        <v>815</v>
      </c>
      <c r="F912" s="2">
        <v>283172.20000000298</v>
      </c>
      <c r="G912" t="s">
        <v>710</v>
      </c>
    </row>
    <row r="913" spans="1:7">
      <c r="A913" s="1">
        <v>45895</v>
      </c>
      <c r="B913" s="78">
        <v>45900</v>
      </c>
      <c r="C913" t="s">
        <v>635</v>
      </c>
      <c r="D913" t="s">
        <v>3</v>
      </c>
      <c r="E913" t="s">
        <v>865</v>
      </c>
      <c r="F913" s="2">
        <v>50</v>
      </c>
      <c r="G913" t="s">
        <v>710</v>
      </c>
    </row>
    <row r="914" spans="1:7">
      <c r="A914" s="1">
        <v>45895</v>
      </c>
      <c r="B914" s="78">
        <v>45900</v>
      </c>
      <c r="C914" t="s">
        <v>636</v>
      </c>
      <c r="D914" t="s">
        <v>3</v>
      </c>
      <c r="E914" t="s">
        <v>865</v>
      </c>
      <c r="F914" s="2">
        <v>3.75</v>
      </c>
      <c r="G914" t="s">
        <v>710</v>
      </c>
    </row>
    <row r="915" spans="1:7">
      <c r="A915" s="1">
        <v>45895</v>
      </c>
      <c r="B915" s="78">
        <v>45900</v>
      </c>
      <c r="C915" t="s">
        <v>637</v>
      </c>
      <c r="D915" t="s">
        <v>13</v>
      </c>
      <c r="E915" t="s">
        <v>800</v>
      </c>
      <c r="F915" s="2">
        <v>150000</v>
      </c>
      <c r="G915" t="s">
        <v>710</v>
      </c>
    </row>
    <row r="916" spans="1:7">
      <c r="A916" s="1">
        <v>45895</v>
      </c>
      <c r="B916" s="78">
        <v>45900</v>
      </c>
      <c r="C916" t="s">
        <v>637</v>
      </c>
      <c r="D916" t="s">
        <v>3</v>
      </c>
      <c r="E916" t="s">
        <v>865</v>
      </c>
      <c r="F916" s="2">
        <v>50</v>
      </c>
      <c r="G916" t="s">
        <v>710</v>
      </c>
    </row>
    <row r="917" spans="1:7">
      <c r="A917" s="1">
        <v>45895</v>
      </c>
      <c r="B917" s="78">
        <v>45900</v>
      </c>
      <c r="C917" t="s">
        <v>637</v>
      </c>
      <c r="D917" t="s">
        <v>3</v>
      </c>
      <c r="E917" t="s">
        <v>865</v>
      </c>
      <c r="F917" s="2">
        <v>3.75</v>
      </c>
      <c r="G917" t="s">
        <v>710</v>
      </c>
    </row>
    <row r="918" spans="1:7">
      <c r="A918" s="1">
        <v>45895</v>
      </c>
      <c r="B918" s="78">
        <v>45900</v>
      </c>
      <c r="C918" t="s">
        <v>638</v>
      </c>
      <c r="D918" t="s">
        <v>33</v>
      </c>
      <c r="E918" t="s">
        <v>985</v>
      </c>
      <c r="F918" s="2">
        <v>-9579242.3200000003</v>
      </c>
      <c r="G918" t="s">
        <v>710</v>
      </c>
    </row>
    <row r="919" spans="1:7">
      <c r="A919" s="1">
        <v>45895</v>
      </c>
      <c r="B919" s="78">
        <v>45900</v>
      </c>
      <c r="C919" t="s">
        <v>639</v>
      </c>
      <c r="D919" t="s">
        <v>33</v>
      </c>
      <c r="E919" t="s">
        <v>985</v>
      </c>
      <c r="F919" s="2">
        <v>-47500</v>
      </c>
      <c r="G919" t="s">
        <v>710</v>
      </c>
    </row>
    <row r="920" spans="1:7">
      <c r="A920" s="1">
        <v>45895</v>
      </c>
      <c r="B920" s="78">
        <v>45900</v>
      </c>
      <c r="C920" t="s">
        <v>640</v>
      </c>
      <c r="D920" t="s">
        <v>26</v>
      </c>
      <c r="E920" t="s">
        <v>979</v>
      </c>
      <c r="F920" s="2">
        <v>120000</v>
      </c>
      <c r="G920" t="s">
        <v>710</v>
      </c>
    </row>
    <row r="921" spans="1:7">
      <c r="A921" s="1">
        <v>45895</v>
      </c>
      <c r="B921" s="78">
        <v>45900</v>
      </c>
      <c r="C921" t="s">
        <v>640</v>
      </c>
      <c r="D921" t="s">
        <v>3</v>
      </c>
      <c r="E921" t="s">
        <v>865</v>
      </c>
      <c r="F921" s="2">
        <v>50</v>
      </c>
      <c r="G921" t="s">
        <v>710</v>
      </c>
    </row>
    <row r="922" spans="1:7">
      <c r="A922" s="1">
        <v>45895</v>
      </c>
      <c r="B922" s="78">
        <v>45900</v>
      </c>
      <c r="C922" t="s">
        <v>640</v>
      </c>
      <c r="D922" t="s">
        <v>3</v>
      </c>
      <c r="E922" t="s">
        <v>865</v>
      </c>
      <c r="F922" s="2">
        <v>3.75</v>
      </c>
      <c r="G922" t="s">
        <v>710</v>
      </c>
    </row>
    <row r="923" spans="1:7">
      <c r="A923" s="1">
        <v>45895</v>
      </c>
      <c r="B923" s="78">
        <v>45900</v>
      </c>
      <c r="C923" t="s">
        <v>641</v>
      </c>
      <c r="D923" t="s">
        <v>8</v>
      </c>
      <c r="E923" t="s">
        <v>815</v>
      </c>
      <c r="F923" s="2">
        <v>71025</v>
      </c>
      <c r="G923" t="s">
        <v>710</v>
      </c>
    </row>
    <row r="924" spans="1:7">
      <c r="A924" s="1">
        <v>45895</v>
      </c>
      <c r="B924" s="78">
        <v>45900</v>
      </c>
      <c r="C924" t="s">
        <v>641</v>
      </c>
      <c r="D924" t="s">
        <v>3</v>
      </c>
      <c r="E924" t="s">
        <v>865</v>
      </c>
      <c r="F924" s="2">
        <v>50</v>
      </c>
      <c r="G924" t="s">
        <v>710</v>
      </c>
    </row>
    <row r="925" spans="1:7">
      <c r="A925" s="1">
        <v>45895</v>
      </c>
      <c r="B925" s="78">
        <v>45900</v>
      </c>
      <c r="C925" t="s">
        <v>641</v>
      </c>
      <c r="D925" t="s">
        <v>3</v>
      </c>
      <c r="E925" t="s">
        <v>865</v>
      </c>
      <c r="F925" s="2">
        <v>3.75</v>
      </c>
      <c r="G925" t="s">
        <v>710</v>
      </c>
    </row>
    <row r="926" spans="1:7">
      <c r="A926" s="1">
        <v>45896</v>
      </c>
      <c r="B926" s="78">
        <v>45900</v>
      </c>
      <c r="C926" t="s">
        <v>643</v>
      </c>
      <c r="D926" t="s">
        <v>11</v>
      </c>
      <c r="E926" t="s">
        <v>955</v>
      </c>
      <c r="F926" s="2">
        <v>30000</v>
      </c>
      <c r="G926" t="s">
        <v>710</v>
      </c>
    </row>
    <row r="927" spans="1:7">
      <c r="A927" s="1">
        <v>45896</v>
      </c>
      <c r="B927" s="78">
        <v>45900</v>
      </c>
      <c r="C927" t="s">
        <v>643</v>
      </c>
      <c r="D927" t="s">
        <v>3</v>
      </c>
      <c r="E927" t="s">
        <v>865</v>
      </c>
      <c r="F927" s="2">
        <v>25</v>
      </c>
      <c r="G927" t="s">
        <v>710</v>
      </c>
    </row>
    <row r="928" spans="1:7">
      <c r="A928" s="1">
        <v>45896</v>
      </c>
      <c r="B928" s="78">
        <v>45900</v>
      </c>
      <c r="C928" t="s">
        <v>643</v>
      </c>
      <c r="D928" t="s">
        <v>3</v>
      </c>
      <c r="E928" t="s">
        <v>865</v>
      </c>
      <c r="F928" s="2">
        <v>1.8799999952316284</v>
      </c>
      <c r="G928" t="s">
        <v>710</v>
      </c>
    </row>
    <row r="929" spans="1:7">
      <c r="A929" s="1">
        <v>45896</v>
      </c>
      <c r="B929" s="78">
        <v>45900</v>
      </c>
      <c r="C929" t="s">
        <v>644</v>
      </c>
      <c r="D929" t="s">
        <v>4</v>
      </c>
      <c r="E929" t="s">
        <v>874</v>
      </c>
      <c r="F929" s="2">
        <v>167500</v>
      </c>
      <c r="G929" t="s">
        <v>710</v>
      </c>
    </row>
    <row r="930" spans="1:7">
      <c r="A930" s="1">
        <v>45896</v>
      </c>
      <c r="B930" s="78">
        <v>45900</v>
      </c>
      <c r="C930" t="s">
        <v>644</v>
      </c>
      <c r="D930" t="s">
        <v>3</v>
      </c>
      <c r="E930" t="s">
        <v>865</v>
      </c>
      <c r="F930" s="2">
        <v>50</v>
      </c>
      <c r="G930" t="s">
        <v>710</v>
      </c>
    </row>
    <row r="931" spans="1:7">
      <c r="A931" s="1">
        <v>45896</v>
      </c>
      <c r="B931" s="78">
        <v>45900</v>
      </c>
      <c r="C931" t="s">
        <v>644</v>
      </c>
      <c r="D931" t="s">
        <v>3</v>
      </c>
      <c r="E931" t="s">
        <v>865</v>
      </c>
      <c r="F931" s="2">
        <v>3.75</v>
      </c>
      <c r="G931" t="s">
        <v>710</v>
      </c>
    </row>
    <row r="932" spans="1:7">
      <c r="A932" s="1">
        <v>45896</v>
      </c>
      <c r="B932" s="78">
        <v>45900</v>
      </c>
      <c r="C932" t="s">
        <v>645</v>
      </c>
      <c r="D932" t="s">
        <v>4</v>
      </c>
      <c r="E932" t="s">
        <v>874</v>
      </c>
      <c r="F932" s="2">
        <v>32000</v>
      </c>
      <c r="G932" t="s">
        <v>710</v>
      </c>
    </row>
    <row r="933" spans="1:7">
      <c r="A933" s="1">
        <v>45896</v>
      </c>
      <c r="B933" s="78">
        <v>45900</v>
      </c>
      <c r="C933" t="s">
        <v>645</v>
      </c>
      <c r="D933" t="s">
        <v>3</v>
      </c>
      <c r="E933" t="s">
        <v>865</v>
      </c>
      <c r="F933" s="2">
        <v>25</v>
      </c>
      <c r="G933" t="s">
        <v>710</v>
      </c>
    </row>
    <row r="934" spans="1:7">
      <c r="A934" s="1">
        <v>45896</v>
      </c>
      <c r="B934" s="78">
        <v>45900</v>
      </c>
      <c r="C934" t="s">
        <v>645</v>
      </c>
      <c r="D934" t="s">
        <v>3</v>
      </c>
      <c r="E934" t="s">
        <v>865</v>
      </c>
      <c r="F934" s="2">
        <v>1.880000002682209</v>
      </c>
      <c r="G934" t="s">
        <v>710</v>
      </c>
    </row>
    <row r="935" spans="1:7">
      <c r="A935" s="1">
        <v>45896</v>
      </c>
      <c r="B935" s="78">
        <v>45900</v>
      </c>
      <c r="C935" t="s">
        <v>646</v>
      </c>
      <c r="D935" t="s">
        <v>26</v>
      </c>
      <c r="E935" t="s">
        <v>979</v>
      </c>
      <c r="F935" s="2">
        <v>202000</v>
      </c>
      <c r="G935" t="s">
        <v>710</v>
      </c>
    </row>
    <row r="936" spans="1:7">
      <c r="A936" s="1">
        <v>45896</v>
      </c>
      <c r="B936" s="78">
        <v>45900</v>
      </c>
      <c r="C936" t="s">
        <v>646</v>
      </c>
      <c r="D936" t="s">
        <v>3</v>
      </c>
      <c r="E936" t="s">
        <v>865</v>
      </c>
      <c r="F936" s="2">
        <v>50</v>
      </c>
      <c r="G936" t="s">
        <v>710</v>
      </c>
    </row>
    <row r="937" spans="1:7">
      <c r="A937" s="1">
        <v>45896</v>
      </c>
      <c r="B937" s="78">
        <v>45900</v>
      </c>
      <c r="C937" t="s">
        <v>646</v>
      </c>
      <c r="D937" t="s">
        <v>3</v>
      </c>
      <c r="E937" t="s">
        <v>865</v>
      </c>
      <c r="F937" s="2">
        <v>3.75</v>
      </c>
      <c r="G937" t="s">
        <v>710</v>
      </c>
    </row>
    <row r="938" spans="1:7">
      <c r="A938" s="1">
        <v>45896</v>
      </c>
      <c r="B938" s="78">
        <v>45900</v>
      </c>
      <c r="C938" t="s">
        <v>647</v>
      </c>
      <c r="D938" t="s">
        <v>15</v>
      </c>
      <c r="E938" t="s">
        <v>809</v>
      </c>
      <c r="F938" s="2">
        <v>63500</v>
      </c>
      <c r="G938" t="s">
        <v>710</v>
      </c>
    </row>
    <row r="939" spans="1:7">
      <c r="A939" s="1">
        <v>45896</v>
      </c>
      <c r="B939" s="78">
        <v>45900</v>
      </c>
      <c r="C939" t="s">
        <v>647</v>
      </c>
      <c r="D939" t="s">
        <v>3</v>
      </c>
      <c r="E939" t="s">
        <v>865</v>
      </c>
      <c r="F939" s="2">
        <v>50</v>
      </c>
      <c r="G939" t="s">
        <v>710</v>
      </c>
    </row>
    <row r="940" spans="1:7">
      <c r="A940" s="1">
        <v>45896</v>
      </c>
      <c r="B940" s="78">
        <v>45900</v>
      </c>
      <c r="C940" t="s">
        <v>647</v>
      </c>
      <c r="D940" t="s">
        <v>3</v>
      </c>
      <c r="E940" t="s">
        <v>865</v>
      </c>
      <c r="F940" s="2">
        <v>3.75</v>
      </c>
      <c r="G940" t="s">
        <v>710</v>
      </c>
    </row>
    <row r="941" spans="1:7">
      <c r="A941" s="1">
        <v>45898</v>
      </c>
      <c r="B941" s="78">
        <v>45900</v>
      </c>
      <c r="C941" t="s">
        <v>649</v>
      </c>
      <c r="D941" t="s">
        <v>15</v>
      </c>
      <c r="E941" t="s">
        <v>1356</v>
      </c>
      <c r="F941" s="2">
        <v>70500</v>
      </c>
      <c r="G941" t="s">
        <v>710</v>
      </c>
    </row>
    <row r="942" spans="1:7">
      <c r="A942" s="1">
        <v>45898</v>
      </c>
      <c r="B942" s="78">
        <v>45900</v>
      </c>
      <c r="C942" t="s">
        <v>649</v>
      </c>
      <c r="D942" t="s">
        <v>3</v>
      </c>
      <c r="E942" t="s">
        <v>865</v>
      </c>
      <c r="F942" s="2">
        <v>50</v>
      </c>
      <c r="G942" t="s">
        <v>710</v>
      </c>
    </row>
    <row r="943" spans="1:7">
      <c r="A943" s="1">
        <v>45898</v>
      </c>
      <c r="B943" s="78">
        <v>45900</v>
      </c>
      <c r="C943" t="s">
        <v>649</v>
      </c>
      <c r="D943" t="s">
        <v>3</v>
      </c>
      <c r="E943" t="s">
        <v>865</v>
      </c>
      <c r="F943" s="2">
        <v>3.75</v>
      </c>
      <c r="G943" t="s">
        <v>710</v>
      </c>
    </row>
    <row r="944" spans="1:7">
      <c r="A944" s="1">
        <v>45898</v>
      </c>
      <c r="B944" s="78">
        <v>45900</v>
      </c>
      <c r="C944" t="s">
        <v>650</v>
      </c>
      <c r="D944" t="s">
        <v>3</v>
      </c>
      <c r="E944" t="s">
        <v>865</v>
      </c>
      <c r="F944" s="2">
        <v>2565.2100000008941</v>
      </c>
      <c r="G944" t="s">
        <v>710</v>
      </c>
    </row>
    <row r="945" spans="1:8">
      <c r="A945" s="1">
        <v>45898</v>
      </c>
      <c r="B945" s="78">
        <v>45900</v>
      </c>
      <c r="C945" t="s">
        <v>651</v>
      </c>
      <c r="D945" t="s">
        <v>34</v>
      </c>
      <c r="E945" t="s">
        <v>865</v>
      </c>
      <c r="F945" s="2">
        <v>34201.70000000298</v>
      </c>
      <c r="G945" t="s">
        <v>710</v>
      </c>
    </row>
    <row r="946" spans="1:8" s="10" customFormat="1">
      <c r="A946" s="8">
        <v>45900</v>
      </c>
      <c r="B946" s="78">
        <v>45900</v>
      </c>
      <c r="C946" s="10" t="s">
        <v>718</v>
      </c>
      <c r="D946" s="10" t="s">
        <v>714</v>
      </c>
      <c r="E946" s="5" t="s">
        <v>950</v>
      </c>
      <c r="F946" s="11">
        <v>-23416246.75</v>
      </c>
      <c r="G946" s="10" t="s">
        <v>710</v>
      </c>
    </row>
    <row r="947" spans="1:8">
      <c r="A947" s="1">
        <v>45840</v>
      </c>
      <c r="B947" s="78">
        <v>45869</v>
      </c>
      <c r="C947" t="s">
        <v>719</v>
      </c>
      <c r="D947" t="s">
        <v>12</v>
      </c>
      <c r="E947" t="s">
        <v>2</v>
      </c>
      <c r="F947" s="2">
        <v>-334200</v>
      </c>
      <c r="G947" t="s">
        <v>711</v>
      </c>
      <c r="H947" t="s">
        <v>1298</v>
      </c>
    </row>
    <row r="948" spans="1:8">
      <c r="A948" s="1">
        <v>45841</v>
      </c>
      <c r="B948" s="78">
        <v>45869</v>
      </c>
      <c r="C948" t="s">
        <v>720</v>
      </c>
      <c r="D948" t="s">
        <v>3</v>
      </c>
      <c r="E948" t="s">
        <v>865</v>
      </c>
      <c r="F948" s="2">
        <v>9000</v>
      </c>
      <c r="G948" t="s">
        <v>711</v>
      </c>
    </row>
    <row r="949" spans="1:8">
      <c r="A949" s="1">
        <v>45842</v>
      </c>
      <c r="B949" s="78">
        <v>45869</v>
      </c>
      <c r="C949" t="s">
        <v>721</v>
      </c>
      <c r="D949" t="s">
        <v>12</v>
      </c>
      <c r="E949" t="s">
        <v>1357</v>
      </c>
      <c r="F949" s="2">
        <v>-32250</v>
      </c>
      <c r="G949" t="s">
        <v>711</v>
      </c>
      <c r="H949" t="s">
        <v>1291</v>
      </c>
    </row>
    <row r="950" spans="1:8">
      <c r="A950" s="1">
        <v>45844</v>
      </c>
      <c r="B950" s="78">
        <v>45869</v>
      </c>
      <c r="C950" t="s">
        <v>722</v>
      </c>
      <c r="D950" t="s">
        <v>3</v>
      </c>
      <c r="E950" t="s">
        <v>865</v>
      </c>
      <c r="F950" s="2">
        <v>100</v>
      </c>
      <c r="G950" t="s">
        <v>711</v>
      </c>
    </row>
    <row r="951" spans="1:8">
      <c r="A951" s="1">
        <v>45847</v>
      </c>
      <c r="B951" s="78">
        <v>45869</v>
      </c>
      <c r="C951" t="s">
        <v>723</v>
      </c>
      <c r="D951" t="s">
        <v>12</v>
      </c>
      <c r="E951" t="s">
        <v>1357</v>
      </c>
      <c r="F951" s="2">
        <v>-8300</v>
      </c>
      <c r="G951" t="s">
        <v>711</v>
      </c>
      <c r="H951" t="s">
        <v>1268</v>
      </c>
    </row>
    <row r="952" spans="1:8">
      <c r="A952" s="1">
        <v>45848</v>
      </c>
      <c r="B952" s="78">
        <v>45869</v>
      </c>
      <c r="C952" t="s">
        <v>724</v>
      </c>
      <c r="D952" t="s">
        <v>12</v>
      </c>
      <c r="E952" t="s">
        <v>1357</v>
      </c>
      <c r="F952" s="2">
        <v>-506700</v>
      </c>
      <c r="G952" t="s">
        <v>711</v>
      </c>
      <c r="H952" s="28" t="s">
        <v>1358</v>
      </c>
    </row>
    <row r="953" spans="1:8">
      <c r="A953" s="1">
        <v>45851</v>
      </c>
      <c r="B953" s="78">
        <v>45869</v>
      </c>
      <c r="C953" t="s">
        <v>722</v>
      </c>
      <c r="D953" t="s">
        <v>3</v>
      </c>
      <c r="E953" t="s">
        <v>865</v>
      </c>
      <c r="F953" s="2">
        <v>50</v>
      </c>
      <c r="G953" t="s">
        <v>711</v>
      </c>
    </row>
    <row r="954" spans="1:8">
      <c r="A954" s="1">
        <v>45854</v>
      </c>
      <c r="B954" s="78">
        <v>45869</v>
      </c>
      <c r="C954" t="s">
        <v>725</v>
      </c>
      <c r="D954" t="s">
        <v>12</v>
      </c>
      <c r="E954" t="s">
        <v>2</v>
      </c>
      <c r="F954" s="2">
        <v>-500000</v>
      </c>
      <c r="G954" t="s">
        <v>711</v>
      </c>
      <c r="H954" s="86" t="s">
        <v>1359</v>
      </c>
    </row>
    <row r="955" spans="1:8">
      <c r="A955" s="1">
        <v>45854</v>
      </c>
      <c r="B955" s="78">
        <v>45869</v>
      </c>
      <c r="C955" t="s">
        <v>726</v>
      </c>
      <c r="D955" t="s">
        <v>15</v>
      </c>
      <c r="E955" t="s">
        <v>1356</v>
      </c>
      <c r="F955" s="2">
        <v>263150</v>
      </c>
      <c r="G955" t="s">
        <v>711</v>
      </c>
    </row>
    <row r="956" spans="1:8">
      <c r="A956" s="1">
        <v>45854</v>
      </c>
      <c r="B956" s="78">
        <v>45869</v>
      </c>
      <c r="C956" t="s">
        <v>727</v>
      </c>
      <c r="D956" t="s">
        <v>3</v>
      </c>
      <c r="E956" t="s">
        <v>865</v>
      </c>
      <c r="F956" s="2">
        <v>53.75</v>
      </c>
      <c r="G956" t="s">
        <v>711</v>
      </c>
    </row>
    <row r="957" spans="1:8">
      <c r="A957" s="1">
        <v>45855</v>
      </c>
      <c r="B957" s="78">
        <v>45869</v>
      </c>
      <c r="C957" t="s">
        <v>728</v>
      </c>
      <c r="D957" t="s">
        <v>15</v>
      </c>
      <c r="E957" t="s">
        <v>1356</v>
      </c>
      <c r="F957" s="2">
        <v>65500</v>
      </c>
      <c r="G957" t="s">
        <v>711</v>
      </c>
    </row>
    <row r="958" spans="1:8">
      <c r="A958" s="1">
        <v>45855</v>
      </c>
      <c r="B958" s="78">
        <v>45869</v>
      </c>
      <c r="C958" t="s">
        <v>727</v>
      </c>
      <c r="D958" t="s">
        <v>3</v>
      </c>
      <c r="E958" t="s">
        <v>865</v>
      </c>
      <c r="F958" s="2">
        <v>53.75</v>
      </c>
      <c r="G958" t="s">
        <v>711</v>
      </c>
    </row>
    <row r="959" spans="1:8">
      <c r="A959" s="1">
        <v>45856</v>
      </c>
      <c r="B959" s="78">
        <v>45869</v>
      </c>
      <c r="C959" t="s">
        <v>729</v>
      </c>
      <c r="D959" t="s">
        <v>12</v>
      </c>
      <c r="E959" s="14" t="s">
        <v>994</v>
      </c>
      <c r="F959" s="2">
        <v>-136000</v>
      </c>
      <c r="G959" t="s">
        <v>711</v>
      </c>
      <c r="H959" s="86" t="s">
        <v>1366</v>
      </c>
    </row>
    <row r="960" spans="1:8">
      <c r="A960" s="1">
        <v>45856</v>
      </c>
      <c r="B960" s="78">
        <v>45869</v>
      </c>
      <c r="C960" t="s">
        <v>730</v>
      </c>
      <c r="D960" t="s">
        <v>15</v>
      </c>
      <c r="E960" t="s">
        <v>1356</v>
      </c>
      <c r="F960" s="2">
        <v>84600</v>
      </c>
      <c r="G960" t="s">
        <v>711</v>
      </c>
    </row>
    <row r="961" spans="1:8">
      <c r="A961" s="1">
        <v>45856</v>
      </c>
      <c r="B961" s="78">
        <v>45869</v>
      </c>
      <c r="C961" t="s">
        <v>727</v>
      </c>
      <c r="D961" t="s">
        <v>3</v>
      </c>
      <c r="E961" t="s">
        <v>865</v>
      </c>
      <c r="F961" s="2">
        <v>53.75</v>
      </c>
      <c r="G961" t="s">
        <v>711</v>
      </c>
    </row>
    <row r="962" spans="1:8">
      <c r="A962" s="1">
        <v>45856</v>
      </c>
      <c r="B962" s="78">
        <v>45869</v>
      </c>
      <c r="C962" t="s">
        <v>731</v>
      </c>
      <c r="D962" t="s">
        <v>12</v>
      </c>
      <c r="E962" t="s">
        <v>1357</v>
      </c>
      <c r="F962" s="2">
        <v>-1097000</v>
      </c>
      <c r="G962" t="s">
        <v>711</v>
      </c>
      <c r="H962" s="86" t="s">
        <v>1364</v>
      </c>
    </row>
    <row r="963" spans="1:8">
      <c r="A963" s="1">
        <v>45858</v>
      </c>
      <c r="B963" s="78">
        <v>45869</v>
      </c>
      <c r="C963" t="s">
        <v>722</v>
      </c>
      <c r="D963" t="s">
        <v>3</v>
      </c>
      <c r="E963" t="s">
        <v>865</v>
      </c>
      <c r="F963" s="2">
        <v>150</v>
      </c>
      <c r="G963" t="s">
        <v>711</v>
      </c>
    </row>
    <row r="964" spans="1:8">
      <c r="A964" s="1">
        <v>45858</v>
      </c>
      <c r="B964" s="78">
        <v>45869</v>
      </c>
      <c r="C964" t="s">
        <v>732</v>
      </c>
      <c r="D964" t="s">
        <v>12</v>
      </c>
      <c r="E964" s="14" t="s">
        <v>994</v>
      </c>
      <c r="F964" s="2">
        <v>-51000</v>
      </c>
      <c r="G964" t="s">
        <v>711</v>
      </c>
      <c r="H964" s="86" t="s">
        <v>1366</v>
      </c>
    </row>
    <row r="965" spans="1:8">
      <c r="A965" s="1">
        <v>45865</v>
      </c>
      <c r="B965" s="78">
        <v>45869</v>
      </c>
      <c r="C965" t="s">
        <v>733</v>
      </c>
      <c r="D965" t="s">
        <v>3</v>
      </c>
      <c r="E965" t="s">
        <v>865</v>
      </c>
      <c r="F965" s="2">
        <v>50</v>
      </c>
      <c r="G965" t="s">
        <v>711</v>
      </c>
    </row>
    <row r="966" spans="1:8">
      <c r="A966" s="1">
        <v>45868</v>
      </c>
      <c r="B966" s="78">
        <v>45869</v>
      </c>
      <c r="C966" t="s">
        <v>734</v>
      </c>
      <c r="D966" t="s">
        <v>12</v>
      </c>
      <c r="E966" t="s">
        <v>1357</v>
      </c>
      <c r="F966" s="2">
        <v>-34000</v>
      </c>
      <c r="G966" t="s">
        <v>711</v>
      </c>
      <c r="H966" s="86" t="s">
        <v>1366</v>
      </c>
    </row>
    <row r="967" spans="1:8">
      <c r="A967" s="8">
        <v>45869</v>
      </c>
      <c r="B967" s="78">
        <v>45869</v>
      </c>
      <c r="C967" s="10" t="s">
        <v>744</v>
      </c>
      <c r="D967" s="10" t="s">
        <v>714</v>
      </c>
      <c r="E967" s="10" t="s">
        <v>993</v>
      </c>
      <c r="F967" s="11">
        <v>2276688.75</v>
      </c>
      <c r="G967" s="10" t="s">
        <v>711</v>
      </c>
    </row>
    <row r="968" spans="1:8">
      <c r="A968" s="1">
        <v>45869</v>
      </c>
      <c r="B968" s="78">
        <v>45869</v>
      </c>
      <c r="C968" t="s">
        <v>735</v>
      </c>
      <c r="D968" t="s">
        <v>3</v>
      </c>
      <c r="E968" t="s">
        <v>865</v>
      </c>
      <c r="F968" s="2">
        <v>413.25</v>
      </c>
      <c r="G968" t="s">
        <v>711</v>
      </c>
    </row>
    <row r="969" spans="1:8">
      <c r="A969" s="1">
        <v>45869</v>
      </c>
      <c r="B969" s="78">
        <v>45869</v>
      </c>
      <c r="C969" t="s">
        <v>736</v>
      </c>
      <c r="D969" t="s">
        <v>3</v>
      </c>
      <c r="E969" t="s">
        <v>865</v>
      </c>
      <c r="F969" s="2">
        <v>30.990000000223517</v>
      </c>
      <c r="G969" t="s">
        <v>711</v>
      </c>
    </row>
    <row r="970" spans="1:8">
      <c r="A970" s="1">
        <v>45872</v>
      </c>
      <c r="B970" s="78">
        <v>45900</v>
      </c>
      <c r="C970" t="s">
        <v>722</v>
      </c>
      <c r="D970" t="s">
        <v>3</v>
      </c>
      <c r="E970" t="s">
        <v>865</v>
      </c>
      <c r="F970" s="2">
        <v>50</v>
      </c>
      <c r="G970" t="s">
        <v>711</v>
      </c>
    </row>
    <row r="971" spans="1:8">
      <c r="A971" s="1">
        <v>45888</v>
      </c>
      <c r="B971" s="78">
        <v>45900</v>
      </c>
      <c r="C971" t="s">
        <v>737</v>
      </c>
      <c r="D971" t="s">
        <v>15</v>
      </c>
      <c r="E971" t="s">
        <v>1356</v>
      </c>
      <c r="F971" s="2">
        <v>49800</v>
      </c>
      <c r="G971" t="s">
        <v>711</v>
      </c>
    </row>
    <row r="972" spans="1:8">
      <c r="A972" s="1">
        <v>45888</v>
      </c>
      <c r="B972" s="78">
        <v>45900</v>
      </c>
      <c r="C972" t="s">
        <v>727</v>
      </c>
      <c r="D972" t="s">
        <v>3</v>
      </c>
      <c r="E972" t="s">
        <v>865</v>
      </c>
      <c r="F972" s="2">
        <v>26.879999999888241</v>
      </c>
      <c r="G972" t="s">
        <v>711</v>
      </c>
    </row>
    <row r="973" spans="1:8">
      <c r="A973" s="1">
        <v>45888</v>
      </c>
      <c r="B973" s="78">
        <v>45900</v>
      </c>
      <c r="C973" t="s">
        <v>737</v>
      </c>
      <c r="D973" t="s">
        <v>15</v>
      </c>
      <c r="E973" t="s">
        <v>1356</v>
      </c>
      <c r="F973" s="2">
        <v>140000</v>
      </c>
      <c r="G973" t="s">
        <v>711</v>
      </c>
    </row>
    <row r="974" spans="1:8">
      <c r="A974" s="1">
        <v>45888</v>
      </c>
      <c r="B974" s="78">
        <v>45900</v>
      </c>
      <c r="C974" t="s">
        <v>727</v>
      </c>
      <c r="D974" t="s">
        <v>3</v>
      </c>
      <c r="E974" t="s">
        <v>865</v>
      </c>
      <c r="F974" s="2">
        <v>53.75</v>
      </c>
      <c r="G974" t="s">
        <v>711</v>
      </c>
    </row>
    <row r="975" spans="1:8">
      <c r="A975" s="1">
        <v>45888</v>
      </c>
      <c r="B975" s="78">
        <v>45900</v>
      </c>
      <c r="C975" t="s">
        <v>738</v>
      </c>
      <c r="D975" t="s">
        <v>12</v>
      </c>
      <c r="E975" s="26" t="s">
        <v>1357</v>
      </c>
      <c r="F975" s="2">
        <v>-85000</v>
      </c>
      <c r="G975" t="s">
        <v>711</v>
      </c>
      <c r="H975" t="s">
        <v>1213</v>
      </c>
    </row>
    <row r="976" spans="1:8">
      <c r="A976" s="1">
        <v>45891</v>
      </c>
      <c r="B976" s="78">
        <v>45900</v>
      </c>
      <c r="C976" t="s">
        <v>739</v>
      </c>
      <c r="D976" t="s">
        <v>15</v>
      </c>
      <c r="E976" t="s">
        <v>1356</v>
      </c>
      <c r="F976" s="2">
        <v>180000</v>
      </c>
      <c r="G976" t="s">
        <v>711</v>
      </c>
    </row>
    <row r="977" spans="1:8">
      <c r="A977" s="1">
        <v>45891</v>
      </c>
      <c r="B977" s="78">
        <v>45900</v>
      </c>
      <c r="C977" t="s">
        <v>727</v>
      </c>
      <c r="D977" t="s">
        <v>3</v>
      </c>
      <c r="E977" t="s">
        <v>865</v>
      </c>
      <c r="F977" s="2">
        <v>53.75</v>
      </c>
      <c r="G977" t="s">
        <v>711</v>
      </c>
    </row>
    <row r="978" spans="1:8">
      <c r="A978" s="1">
        <v>45891</v>
      </c>
      <c r="B978" s="78">
        <v>45900</v>
      </c>
      <c r="C978" t="s">
        <v>739</v>
      </c>
      <c r="D978" t="s">
        <v>15</v>
      </c>
      <c r="E978" t="s">
        <v>1356</v>
      </c>
      <c r="F978" s="2">
        <v>4000</v>
      </c>
      <c r="G978" t="s">
        <v>711</v>
      </c>
    </row>
    <row r="979" spans="1:8">
      <c r="A979" s="1">
        <v>45891</v>
      </c>
      <c r="B979" s="78">
        <v>45900</v>
      </c>
      <c r="C979" t="s">
        <v>727</v>
      </c>
      <c r="D979" t="s">
        <v>3</v>
      </c>
      <c r="E979" t="s">
        <v>865</v>
      </c>
      <c r="F979" s="2">
        <v>10.75</v>
      </c>
      <c r="G979" t="s">
        <v>711</v>
      </c>
    </row>
    <row r="980" spans="1:8">
      <c r="A980" s="1">
        <v>45891</v>
      </c>
      <c r="B980" s="78">
        <v>45900</v>
      </c>
      <c r="C980" t="s">
        <v>739</v>
      </c>
      <c r="D980" t="s">
        <v>15</v>
      </c>
      <c r="E980" t="s">
        <v>1356</v>
      </c>
      <c r="F980" s="2">
        <v>146500</v>
      </c>
      <c r="G980" t="s">
        <v>711</v>
      </c>
    </row>
    <row r="981" spans="1:8">
      <c r="A981" s="1">
        <v>45891</v>
      </c>
      <c r="B981" s="78">
        <v>45900</v>
      </c>
      <c r="C981" t="s">
        <v>727</v>
      </c>
      <c r="D981" t="s">
        <v>3</v>
      </c>
      <c r="E981" t="s">
        <v>865</v>
      </c>
      <c r="F981" s="2">
        <v>53.75</v>
      </c>
      <c r="G981" t="s">
        <v>711</v>
      </c>
    </row>
    <row r="982" spans="1:8">
      <c r="A982" s="1">
        <v>45891</v>
      </c>
      <c r="B982" s="78">
        <v>45900</v>
      </c>
      <c r="C982" t="s">
        <v>740</v>
      </c>
      <c r="D982" t="s">
        <v>12</v>
      </c>
      <c r="E982" s="14" t="s">
        <v>994</v>
      </c>
      <c r="F982" s="2">
        <v>-11000</v>
      </c>
      <c r="G982" t="s">
        <v>711</v>
      </c>
      <c r="H982" s="86" t="s">
        <v>1366</v>
      </c>
    </row>
    <row r="983" spans="1:8">
      <c r="A983" s="1">
        <v>45893</v>
      </c>
      <c r="B983" s="78">
        <v>45900</v>
      </c>
      <c r="C983" t="s">
        <v>733</v>
      </c>
      <c r="D983" t="s">
        <v>3</v>
      </c>
      <c r="E983" t="s">
        <v>865</v>
      </c>
      <c r="F983" s="2">
        <v>50</v>
      </c>
      <c r="G983" t="s">
        <v>711</v>
      </c>
    </row>
    <row r="984" spans="1:8">
      <c r="A984" s="1">
        <v>45895</v>
      </c>
      <c r="B984" s="78">
        <v>45900</v>
      </c>
      <c r="C984" t="s">
        <v>741</v>
      </c>
      <c r="D984" t="s">
        <v>12</v>
      </c>
      <c r="E984" s="14" t="s">
        <v>994</v>
      </c>
      <c r="F984" s="2">
        <v>-54000</v>
      </c>
      <c r="G984" t="s">
        <v>711</v>
      </c>
      <c r="H984" s="86" t="s">
        <v>1363</v>
      </c>
    </row>
    <row r="985" spans="1:8">
      <c r="A985" s="1">
        <v>45896</v>
      </c>
      <c r="B985" s="78">
        <v>45900</v>
      </c>
      <c r="C985" t="s">
        <v>742</v>
      </c>
      <c r="D985" t="s">
        <v>15</v>
      </c>
      <c r="E985" t="s">
        <v>1356</v>
      </c>
      <c r="F985" s="2">
        <v>65000</v>
      </c>
      <c r="G985" t="s">
        <v>711</v>
      </c>
    </row>
    <row r="986" spans="1:8">
      <c r="A986" s="1">
        <v>45896</v>
      </c>
      <c r="B986" s="78">
        <v>45900</v>
      </c>
      <c r="C986" t="s">
        <v>727</v>
      </c>
      <c r="D986" t="s">
        <v>3</v>
      </c>
      <c r="E986" t="s">
        <v>865</v>
      </c>
      <c r="F986" s="2">
        <v>53.75</v>
      </c>
      <c r="G986" t="s">
        <v>711</v>
      </c>
    </row>
    <row r="987" spans="1:8">
      <c r="A987" s="1">
        <v>45899</v>
      </c>
      <c r="B987" s="78">
        <v>45900</v>
      </c>
      <c r="C987" t="s">
        <v>743</v>
      </c>
      <c r="D987" t="s">
        <v>12</v>
      </c>
      <c r="E987" t="s">
        <v>1357</v>
      </c>
      <c r="F987" s="2">
        <v>-168000</v>
      </c>
      <c r="G987" t="s">
        <v>711</v>
      </c>
      <c r="H987" s="86" t="s">
        <v>1365</v>
      </c>
    </row>
    <row r="988" spans="1:8">
      <c r="A988" s="1">
        <v>45900</v>
      </c>
      <c r="B988" s="78">
        <v>45900</v>
      </c>
      <c r="C988" t="s">
        <v>733</v>
      </c>
      <c r="D988" t="s">
        <v>3</v>
      </c>
      <c r="E988" t="s">
        <v>865</v>
      </c>
      <c r="F988" s="2">
        <v>100</v>
      </c>
      <c r="G988" t="s">
        <v>711</v>
      </c>
    </row>
    <row r="989" spans="1:8">
      <c r="A989" s="1">
        <v>45900</v>
      </c>
      <c r="B989" s="78">
        <v>45900</v>
      </c>
      <c r="C989" t="s">
        <v>735</v>
      </c>
      <c r="D989" t="s">
        <v>3</v>
      </c>
      <c r="E989" t="s">
        <v>865</v>
      </c>
      <c r="F989" s="2">
        <v>585.29999999981374</v>
      </c>
      <c r="G989" t="s">
        <v>711</v>
      </c>
    </row>
    <row r="990" spans="1:8">
      <c r="A990" s="1">
        <v>45900</v>
      </c>
      <c r="B990" s="78">
        <v>45900</v>
      </c>
      <c r="C990" t="s">
        <v>736</v>
      </c>
      <c r="D990" t="s">
        <v>3</v>
      </c>
      <c r="E990" t="s">
        <v>865</v>
      </c>
      <c r="F990" s="2">
        <v>43.900000000139698</v>
      </c>
      <c r="G990" t="s">
        <v>711</v>
      </c>
    </row>
    <row r="991" spans="1:8">
      <c r="A991" s="25">
        <v>45900</v>
      </c>
      <c r="B991" s="80">
        <v>45900</v>
      </c>
      <c r="C991" s="26" t="s">
        <v>718</v>
      </c>
      <c r="D991" s="26" t="s">
        <v>714</v>
      </c>
      <c r="E991" s="26" t="s">
        <v>993</v>
      </c>
      <c r="F991" s="27">
        <v>-268826.07000000007</v>
      </c>
      <c r="G991" s="26" t="s">
        <v>711</v>
      </c>
    </row>
    <row r="992" spans="1:8">
      <c r="A992" s="25">
        <v>45842</v>
      </c>
      <c r="B992" s="80">
        <v>45869</v>
      </c>
      <c r="C992" s="26" t="s">
        <v>1111</v>
      </c>
      <c r="D992" s="26"/>
      <c r="E992" s="26" t="s">
        <v>2</v>
      </c>
      <c r="F992" s="81">
        <v>-43000</v>
      </c>
      <c r="G992" s="26" t="s">
        <v>1001</v>
      </c>
      <c r="H992" s="26" t="s">
        <v>1293</v>
      </c>
    </row>
    <row r="993" spans="1:8">
      <c r="A993" s="25">
        <v>45846</v>
      </c>
      <c r="B993" s="80">
        <v>45869</v>
      </c>
      <c r="C993" s="26" t="s">
        <v>1112</v>
      </c>
      <c r="D993" s="26"/>
      <c r="E993" s="26" t="s">
        <v>2</v>
      </c>
      <c r="F993" s="81">
        <v>-25000</v>
      </c>
      <c r="G993" s="26" t="s">
        <v>1001</v>
      </c>
      <c r="H993" s="26" t="s">
        <v>1286</v>
      </c>
    </row>
    <row r="994" spans="1:8">
      <c r="A994" s="25">
        <v>45847</v>
      </c>
      <c r="B994" s="80">
        <v>45869</v>
      </c>
      <c r="C994" s="26" t="s">
        <v>1113</v>
      </c>
      <c r="D994" s="26"/>
      <c r="E994" s="26" t="s">
        <v>2</v>
      </c>
      <c r="F994" s="81">
        <v>-25000</v>
      </c>
      <c r="G994" s="26" t="s">
        <v>1001</v>
      </c>
      <c r="H994" s="26" t="s">
        <v>1279</v>
      </c>
    </row>
    <row r="995" spans="1:8">
      <c r="A995" s="25">
        <v>45854</v>
      </c>
      <c r="B995" s="80">
        <v>45869</v>
      </c>
      <c r="C995" s="26" t="s">
        <v>1114</v>
      </c>
      <c r="D995" s="26"/>
      <c r="E995" s="26" t="s">
        <v>2</v>
      </c>
      <c r="F995" s="27">
        <v>-1228750</v>
      </c>
      <c r="G995" s="26" t="s">
        <v>1001</v>
      </c>
      <c r="H995" s="86" t="s">
        <v>1367</v>
      </c>
    </row>
    <row r="996" spans="1:8">
      <c r="A996" s="25">
        <v>45854</v>
      </c>
      <c r="B996" s="80">
        <v>45869</v>
      </c>
      <c r="C996" s="26" t="s">
        <v>1115</v>
      </c>
      <c r="D996" s="26"/>
      <c r="E996" s="26" t="s">
        <v>2</v>
      </c>
      <c r="F996" s="27">
        <v>-500000</v>
      </c>
      <c r="G996" s="26" t="s">
        <v>1001</v>
      </c>
      <c r="H996" s="86" t="s">
        <v>1360</v>
      </c>
    </row>
    <row r="997" spans="1:8" s="26" customFormat="1">
      <c r="A997" s="25">
        <v>45854</v>
      </c>
      <c r="B997" s="80">
        <v>45869</v>
      </c>
      <c r="C997" s="26" t="s">
        <v>1116</v>
      </c>
      <c r="E997" s="26" t="s">
        <v>2</v>
      </c>
      <c r="F997" s="27">
        <v>-220000</v>
      </c>
      <c r="G997" s="26" t="s">
        <v>1001</v>
      </c>
      <c r="H997" s="86" t="s">
        <v>1366</v>
      </c>
    </row>
    <row r="998" spans="1:8" s="26" customFormat="1">
      <c r="A998" s="25">
        <v>45854</v>
      </c>
      <c r="B998" s="80">
        <v>45869</v>
      </c>
      <c r="C998" s="26" t="s">
        <v>1117</v>
      </c>
      <c r="E998" s="26" t="s">
        <v>2</v>
      </c>
      <c r="F998" s="27">
        <v>-100000</v>
      </c>
      <c r="G998" s="26" t="s">
        <v>1001</v>
      </c>
      <c r="H998" s="86" t="s">
        <v>1366</v>
      </c>
    </row>
    <row r="999" spans="1:8" s="26" customFormat="1">
      <c r="A999" s="25">
        <v>45856</v>
      </c>
      <c r="B999" s="80">
        <v>45869</v>
      </c>
      <c r="C999" s="26" t="s">
        <v>1118</v>
      </c>
      <c r="E999" s="26" t="s">
        <v>2</v>
      </c>
      <c r="F999" s="27">
        <v>-400000</v>
      </c>
      <c r="G999" s="26" t="s">
        <v>1001</v>
      </c>
      <c r="H999" s="86" t="s">
        <v>1368</v>
      </c>
    </row>
    <row r="1000" spans="1:8" s="26" customFormat="1">
      <c r="A1000" s="25">
        <v>45856</v>
      </c>
      <c r="B1000" s="80">
        <v>45869</v>
      </c>
      <c r="C1000" s="26" t="s">
        <v>1119</v>
      </c>
      <c r="E1000" s="26" t="s">
        <v>2</v>
      </c>
      <c r="F1000" s="81">
        <v>-150000</v>
      </c>
      <c r="G1000" s="26" t="s">
        <v>1001</v>
      </c>
      <c r="H1000" s="26" t="s">
        <v>1268</v>
      </c>
    </row>
    <row r="1001" spans="1:8">
      <c r="A1001" s="25">
        <v>45861</v>
      </c>
      <c r="B1001" s="80">
        <v>45869</v>
      </c>
      <c r="C1001" s="26" t="s">
        <v>1120</v>
      </c>
      <c r="D1001" s="26"/>
      <c r="E1001" s="26" t="s">
        <v>2</v>
      </c>
      <c r="F1001" s="27">
        <v>-32000</v>
      </c>
      <c r="G1001" s="26" t="s">
        <v>1001</v>
      </c>
      <c r="H1001" s="86" t="s">
        <v>1361</v>
      </c>
    </row>
    <row r="1002" spans="1:8">
      <c r="A1002" s="25">
        <v>45849</v>
      </c>
      <c r="B1002" s="80">
        <v>45869</v>
      </c>
      <c r="C1002" s="26" t="s">
        <v>1121</v>
      </c>
      <c r="D1002" s="10"/>
      <c r="E1002" s="82" t="s">
        <v>865</v>
      </c>
      <c r="F1002" s="27">
        <v>10000</v>
      </c>
      <c r="G1002" s="26" t="s">
        <v>1001</v>
      </c>
    </row>
    <row r="1003" spans="1:8">
      <c r="A1003" s="25">
        <v>45855</v>
      </c>
      <c r="B1003" s="80">
        <v>45869</v>
      </c>
      <c r="C1003" s="26" t="s">
        <v>1122</v>
      </c>
      <c r="D1003" s="10"/>
      <c r="E1003" s="82" t="s">
        <v>865</v>
      </c>
      <c r="F1003" s="27">
        <v>3.75</v>
      </c>
      <c r="G1003" s="26" t="s">
        <v>1001</v>
      </c>
    </row>
    <row r="1004" spans="1:8">
      <c r="A1004" s="25">
        <v>45855</v>
      </c>
      <c r="B1004" s="80">
        <v>45869</v>
      </c>
      <c r="C1004" s="26" t="s">
        <v>1123</v>
      </c>
      <c r="D1004" s="10"/>
      <c r="E1004" s="82" t="s">
        <v>865</v>
      </c>
      <c r="F1004" s="27">
        <v>50</v>
      </c>
      <c r="G1004" s="26" t="s">
        <v>1001</v>
      </c>
    </row>
    <row r="1005" spans="1:8">
      <c r="A1005" s="25">
        <v>45861</v>
      </c>
      <c r="B1005" s="80">
        <v>45869</v>
      </c>
      <c r="C1005" s="26" t="s">
        <v>1124</v>
      </c>
      <c r="D1005" s="10"/>
      <c r="E1005" s="82" t="s">
        <v>865</v>
      </c>
      <c r="F1005" s="27">
        <v>3.75</v>
      </c>
      <c r="G1005" s="26" t="s">
        <v>1001</v>
      </c>
    </row>
    <row r="1006" spans="1:8">
      <c r="A1006" s="25">
        <v>45861</v>
      </c>
      <c r="B1006" s="80">
        <v>45869</v>
      </c>
      <c r="C1006" s="26" t="s">
        <v>1125</v>
      </c>
      <c r="D1006" s="10"/>
      <c r="E1006" s="82" t="s">
        <v>865</v>
      </c>
      <c r="F1006" s="27">
        <v>50</v>
      </c>
      <c r="G1006" s="26" t="s">
        <v>1001</v>
      </c>
    </row>
    <row r="1007" spans="1:8">
      <c r="A1007" s="25">
        <v>45862</v>
      </c>
      <c r="B1007" s="80">
        <v>45869</v>
      </c>
      <c r="C1007" s="26" t="s">
        <v>1126</v>
      </c>
      <c r="D1007" s="10"/>
      <c r="E1007" s="82" t="s">
        <v>865</v>
      </c>
      <c r="F1007" s="27">
        <v>50</v>
      </c>
      <c r="G1007" s="26" t="s">
        <v>1001</v>
      </c>
    </row>
    <row r="1008" spans="1:8">
      <c r="A1008" s="25">
        <v>45861</v>
      </c>
      <c r="B1008" s="80">
        <v>45869</v>
      </c>
      <c r="C1008" s="26" t="s">
        <v>1127</v>
      </c>
      <c r="D1008" s="26"/>
      <c r="E1008" s="26" t="s">
        <v>800</v>
      </c>
      <c r="F1008" s="27">
        <v>520000</v>
      </c>
      <c r="G1008" s="26" t="s">
        <v>1001</v>
      </c>
      <c r="H1008" s="26"/>
    </row>
    <row r="1009" spans="1:8">
      <c r="A1009" s="83">
        <v>45855</v>
      </c>
      <c r="B1009" s="84">
        <v>45869</v>
      </c>
      <c r="C1009" s="82" t="s">
        <v>1128</v>
      </c>
      <c r="D1009" s="82"/>
      <c r="E1009" s="82" t="s">
        <v>32</v>
      </c>
      <c r="F1009" s="85">
        <v>500000</v>
      </c>
      <c r="G1009" s="82" t="s">
        <v>1001</v>
      </c>
    </row>
    <row r="1010" spans="1:8">
      <c r="A1010" s="25">
        <v>45869</v>
      </c>
      <c r="B1010" s="80">
        <v>45869</v>
      </c>
      <c r="C1010" s="26" t="s">
        <v>717</v>
      </c>
      <c r="D1010" s="26"/>
      <c r="E1010" s="26" t="s">
        <v>1002</v>
      </c>
      <c r="F1010" s="27">
        <v>1693592.5</v>
      </c>
      <c r="G1010" s="26" t="s">
        <v>1001</v>
      </c>
      <c r="H1010" s="26"/>
    </row>
    <row r="1011" spans="1:8">
      <c r="A1011" s="25">
        <v>45888</v>
      </c>
      <c r="B1011" s="78">
        <v>45900</v>
      </c>
      <c r="C1011" s="26" t="s">
        <v>1004</v>
      </c>
      <c r="D1011" s="26"/>
      <c r="E1011" s="26" t="s">
        <v>2</v>
      </c>
      <c r="F1011" s="81">
        <v>-250000</v>
      </c>
      <c r="G1011" s="26" t="s">
        <v>1001</v>
      </c>
      <c r="H1011" s="26" t="s">
        <v>1216</v>
      </c>
    </row>
    <row r="1012" spans="1:8">
      <c r="A1012" s="25">
        <v>45895</v>
      </c>
      <c r="B1012" s="78">
        <v>45900</v>
      </c>
      <c r="C1012" s="26" t="s">
        <v>1003</v>
      </c>
      <c r="D1012" s="26"/>
      <c r="E1012" s="86" t="s">
        <v>994</v>
      </c>
      <c r="F1012" s="3">
        <v>-40000</v>
      </c>
      <c r="G1012" s="86" t="s">
        <v>1001</v>
      </c>
      <c r="H1012" s="86" t="s">
        <v>1362</v>
      </c>
    </row>
    <row r="1013" spans="1:8">
      <c r="A1013" s="25">
        <v>45896</v>
      </c>
      <c r="B1013" s="78">
        <v>45900</v>
      </c>
      <c r="C1013" s="26" t="s">
        <v>1005</v>
      </c>
      <c r="D1013" s="26"/>
      <c r="E1013" s="26" t="s">
        <v>2</v>
      </c>
      <c r="F1013" s="81">
        <v>-444000</v>
      </c>
      <c r="G1013" s="26" t="s">
        <v>1001</v>
      </c>
      <c r="H1013" s="26" t="s">
        <v>1198</v>
      </c>
    </row>
    <row r="1014" spans="1:8">
      <c r="A1014" s="1">
        <v>45900</v>
      </c>
      <c r="B1014" s="78">
        <v>45900</v>
      </c>
      <c r="C1014" s="26" t="s">
        <v>718</v>
      </c>
      <c r="D1014" s="26" t="s">
        <v>714</v>
      </c>
      <c r="E1014" s="26" t="s">
        <v>1002</v>
      </c>
      <c r="F1014" s="27">
        <v>734000</v>
      </c>
      <c r="G1014" s="26" t="s">
        <v>1001</v>
      </c>
      <c r="H1014" s="26"/>
    </row>
    <row r="1015" spans="1:8">
      <c r="A1015" s="1">
        <v>45901</v>
      </c>
      <c r="B1015" s="78">
        <v>45901</v>
      </c>
      <c r="C1015" t="s">
        <v>1377</v>
      </c>
      <c r="D1015" t="s">
        <v>4</v>
      </c>
      <c r="E1015" s="26" t="s">
        <v>874</v>
      </c>
      <c r="F1015" s="109">
        <v>108000</v>
      </c>
      <c r="G1015" t="s">
        <v>710</v>
      </c>
    </row>
    <row r="1016" spans="1:8">
      <c r="A1016" s="1">
        <v>45901</v>
      </c>
      <c r="B1016" s="78">
        <v>45901</v>
      </c>
      <c r="C1016" t="s">
        <v>1377</v>
      </c>
      <c r="D1016" t="s">
        <v>3</v>
      </c>
      <c r="E1016" s="26" t="s">
        <v>865</v>
      </c>
      <c r="F1016" s="2">
        <v>50</v>
      </c>
      <c r="G1016" t="s">
        <v>710</v>
      </c>
    </row>
    <row r="1017" spans="1:8">
      <c r="A1017" s="1">
        <v>45901</v>
      </c>
      <c r="B1017" s="78">
        <v>45901</v>
      </c>
      <c r="C1017" t="s">
        <v>1377</v>
      </c>
      <c r="D1017" s="26" t="s">
        <v>3</v>
      </c>
      <c r="E1017" s="26" t="s">
        <v>865</v>
      </c>
      <c r="F1017" s="2">
        <v>3.75</v>
      </c>
      <c r="G1017" t="s">
        <v>710</v>
      </c>
    </row>
    <row r="1018" spans="1:8">
      <c r="A1018" s="1">
        <v>45901</v>
      </c>
      <c r="B1018" s="78">
        <v>45901</v>
      </c>
      <c r="C1018" t="s">
        <v>1378</v>
      </c>
      <c r="D1018" s="26" t="s">
        <v>6</v>
      </c>
      <c r="E1018" s="26" t="s">
        <v>840</v>
      </c>
      <c r="F1018" s="109">
        <v>40000</v>
      </c>
      <c r="G1018" t="s">
        <v>710</v>
      </c>
    </row>
    <row r="1019" spans="1:8">
      <c r="A1019" s="1">
        <v>45901</v>
      </c>
      <c r="B1019" s="78">
        <v>45901</v>
      </c>
      <c r="C1019" t="s">
        <v>1378</v>
      </c>
      <c r="D1019" s="26" t="s">
        <v>3</v>
      </c>
      <c r="E1019" s="26" t="s">
        <v>865</v>
      </c>
      <c r="F1019" s="110">
        <v>25</v>
      </c>
      <c r="G1019" t="s">
        <v>710</v>
      </c>
    </row>
    <row r="1020" spans="1:8">
      <c r="A1020" s="1">
        <v>45901</v>
      </c>
      <c r="B1020" s="78">
        <v>45901</v>
      </c>
      <c r="C1020" t="s">
        <v>1378</v>
      </c>
      <c r="D1020" s="26" t="s">
        <v>3</v>
      </c>
      <c r="E1020" s="26" t="s">
        <v>865</v>
      </c>
      <c r="F1020" s="2">
        <v>1.88</v>
      </c>
      <c r="G1020" t="s">
        <v>710</v>
      </c>
    </row>
    <row r="1021" spans="1:8">
      <c r="A1021" s="1">
        <v>45901</v>
      </c>
      <c r="B1021" s="78">
        <v>45901</v>
      </c>
      <c r="C1021" t="s">
        <v>1379</v>
      </c>
      <c r="D1021" s="26" t="s">
        <v>26</v>
      </c>
      <c r="E1021" s="26" t="s">
        <v>979</v>
      </c>
      <c r="F1021" s="109">
        <v>242000</v>
      </c>
      <c r="G1021" t="s">
        <v>710</v>
      </c>
    </row>
    <row r="1022" spans="1:8">
      <c r="A1022" s="1">
        <v>45901</v>
      </c>
      <c r="B1022" s="78">
        <v>45901</v>
      </c>
      <c r="C1022" t="s">
        <v>1379</v>
      </c>
      <c r="D1022" s="26" t="s">
        <v>3</v>
      </c>
      <c r="E1022" s="26" t="s">
        <v>865</v>
      </c>
      <c r="F1022" s="2">
        <v>50</v>
      </c>
      <c r="G1022" t="s">
        <v>710</v>
      </c>
    </row>
    <row r="1023" spans="1:8">
      <c r="A1023" s="1">
        <v>45901</v>
      </c>
      <c r="B1023" s="78">
        <v>45901</v>
      </c>
      <c r="C1023" t="s">
        <v>1379</v>
      </c>
      <c r="D1023" s="26" t="s">
        <v>3</v>
      </c>
      <c r="E1023" s="26" t="s">
        <v>865</v>
      </c>
      <c r="F1023" s="2">
        <v>3.75</v>
      </c>
      <c r="G1023" t="s">
        <v>710</v>
      </c>
    </row>
    <row r="1024" spans="1:8">
      <c r="A1024" s="1">
        <v>45902</v>
      </c>
      <c r="B1024" s="78">
        <v>45901</v>
      </c>
      <c r="C1024" t="s">
        <v>1380</v>
      </c>
      <c r="D1024" s="26" t="s">
        <v>22</v>
      </c>
      <c r="E1024" s="26" t="s">
        <v>977</v>
      </c>
      <c r="F1024" s="109">
        <v>950000</v>
      </c>
      <c r="G1024" t="s">
        <v>710</v>
      </c>
    </row>
    <row r="1025" spans="1:7">
      <c r="A1025" s="1">
        <v>45902</v>
      </c>
      <c r="B1025" s="78">
        <v>45901</v>
      </c>
      <c r="C1025" t="s">
        <v>1380</v>
      </c>
      <c r="D1025" s="26" t="s">
        <v>3</v>
      </c>
      <c r="E1025" s="26" t="s">
        <v>865</v>
      </c>
      <c r="F1025" s="2">
        <v>50</v>
      </c>
      <c r="G1025" t="s">
        <v>710</v>
      </c>
    </row>
    <row r="1026" spans="1:7">
      <c r="A1026" s="1">
        <v>45902</v>
      </c>
      <c r="B1026" s="78">
        <v>45901</v>
      </c>
      <c r="C1026" t="s">
        <v>1380</v>
      </c>
      <c r="D1026" s="26" t="s">
        <v>3</v>
      </c>
      <c r="E1026" s="26" t="s">
        <v>865</v>
      </c>
      <c r="F1026" s="2">
        <v>3.75</v>
      </c>
      <c r="G1026" t="s">
        <v>710</v>
      </c>
    </row>
    <row r="1027" spans="1:7">
      <c r="A1027" s="1">
        <v>45902</v>
      </c>
      <c r="B1027" s="78">
        <v>45901</v>
      </c>
      <c r="C1027" t="s">
        <v>1381</v>
      </c>
      <c r="D1027" s="26" t="s">
        <v>708</v>
      </c>
      <c r="E1027" s="26" t="s">
        <v>987</v>
      </c>
      <c r="F1027" s="109">
        <v>470000</v>
      </c>
      <c r="G1027" t="s">
        <v>710</v>
      </c>
    </row>
    <row r="1028" spans="1:7">
      <c r="A1028" s="1">
        <v>45902</v>
      </c>
      <c r="B1028" s="78">
        <v>45901</v>
      </c>
      <c r="C1028" t="s">
        <v>1381</v>
      </c>
      <c r="D1028" s="26" t="s">
        <v>3</v>
      </c>
      <c r="E1028" s="26" t="s">
        <v>865</v>
      </c>
      <c r="F1028" s="2">
        <v>50</v>
      </c>
      <c r="G1028" t="s">
        <v>710</v>
      </c>
    </row>
    <row r="1029" spans="1:7">
      <c r="A1029" s="1">
        <v>45902</v>
      </c>
      <c r="B1029" s="78">
        <v>45901</v>
      </c>
      <c r="C1029" t="s">
        <v>1381</v>
      </c>
      <c r="D1029" s="26" t="s">
        <v>3</v>
      </c>
      <c r="E1029" s="26" t="s">
        <v>865</v>
      </c>
      <c r="F1029" s="2">
        <v>3.75</v>
      </c>
      <c r="G1029" t="s">
        <v>710</v>
      </c>
    </row>
    <row r="1030" spans="1:7">
      <c r="A1030" s="1">
        <v>45902</v>
      </c>
      <c r="B1030" s="78">
        <v>45901</v>
      </c>
      <c r="C1030" t="s">
        <v>1384</v>
      </c>
      <c r="D1030" s="26" t="s">
        <v>1382</v>
      </c>
      <c r="E1030" s="26" t="s">
        <v>1382</v>
      </c>
      <c r="F1030" s="109">
        <v>2035800</v>
      </c>
      <c r="G1030" t="s">
        <v>710</v>
      </c>
    </row>
    <row r="1031" spans="1:7">
      <c r="A1031" s="1">
        <v>45902</v>
      </c>
      <c r="B1031" s="78">
        <v>45901</v>
      </c>
      <c r="C1031" t="s">
        <v>1385</v>
      </c>
      <c r="D1031" s="26" t="s">
        <v>3</v>
      </c>
      <c r="E1031" s="26" t="s">
        <v>865</v>
      </c>
      <c r="F1031" s="2">
        <v>50</v>
      </c>
      <c r="G1031" t="s">
        <v>710</v>
      </c>
    </row>
    <row r="1032" spans="1:7">
      <c r="A1032" s="1">
        <v>45902</v>
      </c>
      <c r="B1032" s="78">
        <v>45901</v>
      </c>
      <c r="C1032" t="s">
        <v>1386</v>
      </c>
      <c r="D1032" s="26" t="s">
        <v>3</v>
      </c>
      <c r="E1032" s="26" t="s">
        <v>865</v>
      </c>
      <c r="F1032" s="2">
        <v>3.75</v>
      </c>
      <c r="G1032" t="s">
        <v>710</v>
      </c>
    </row>
    <row r="1033" spans="1:7">
      <c r="A1033" s="1">
        <v>45902</v>
      </c>
      <c r="B1033" s="78">
        <v>45901</v>
      </c>
      <c r="C1033" t="s">
        <v>1387</v>
      </c>
      <c r="D1033" s="26" t="s">
        <v>1382</v>
      </c>
      <c r="E1033" s="26" t="s">
        <v>1382</v>
      </c>
      <c r="F1033" s="109">
        <v>2092500</v>
      </c>
      <c r="G1033" t="s">
        <v>710</v>
      </c>
    </row>
    <row r="1034" spans="1:7">
      <c r="A1034" s="1">
        <v>45902</v>
      </c>
      <c r="B1034" s="78">
        <v>45901</v>
      </c>
      <c r="C1034" t="s">
        <v>1388</v>
      </c>
      <c r="D1034" s="26" t="s">
        <v>3</v>
      </c>
      <c r="E1034" s="26" t="s">
        <v>865</v>
      </c>
      <c r="F1034" s="2">
        <v>50</v>
      </c>
      <c r="G1034" t="s">
        <v>710</v>
      </c>
    </row>
    <row r="1035" spans="1:7">
      <c r="A1035" s="1">
        <v>45902</v>
      </c>
      <c r="B1035" s="78">
        <v>45901</v>
      </c>
      <c r="C1035" t="s">
        <v>1389</v>
      </c>
      <c r="D1035" s="26" t="s">
        <v>3</v>
      </c>
      <c r="E1035" s="26" t="s">
        <v>865</v>
      </c>
      <c r="F1035" s="2">
        <v>3.75</v>
      </c>
      <c r="G1035" t="s">
        <v>710</v>
      </c>
    </row>
    <row r="1036" spans="1:7">
      <c r="A1036" s="1">
        <v>45902</v>
      </c>
      <c r="B1036" s="78">
        <v>45901</v>
      </c>
      <c r="C1036" t="s">
        <v>1390</v>
      </c>
      <c r="D1036" s="26" t="s">
        <v>1382</v>
      </c>
      <c r="E1036" s="26" t="s">
        <v>1382</v>
      </c>
      <c r="F1036" s="109">
        <v>2066040</v>
      </c>
      <c r="G1036" t="s">
        <v>710</v>
      </c>
    </row>
    <row r="1037" spans="1:7">
      <c r="A1037" s="1">
        <v>45902</v>
      </c>
      <c r="B1037" s="78">
        <v>45901</v>
      </c>
      <c r="C1037" t="s">
        <v>1391</v>
      </c>
      <c r="D1037" s="26" t="s">
        <v>3</v>
      </c>
      <c r="E1037" s="26" t="s">
        <v>865</v>
      </c>
      <c r="F1037" s="2">
        <v>50</v>
      </c>
      <c r="G1037" t="s">
        <v>710</v>
      </c>
    </row>
    <row r="1038" spans="1:7">
      <c r="A1038" s="1">
        <v>45902</v>
      </c>
      <c r="B1038" s="78">
        <v>45901</v>
      </c>
      <c r="C1038" t="s">
        <v>1392</v>
      </c>
      <c r="D1038" s="26" t="s">
        <v>3</v>
      </c>
      <c r="E1038" s="26" t="s">
        <v>865</v>
      </c>
      <c r="F1038" s="2">
        <v>3.75</v>
      </c>
      <c r="G1038" t="s">
        <v>710</v>
      </c>
    </row>
    <row r="1039" spans="1:7">
      <c r="A1039" s="1">
        <v>45902</v>
      </c>
      <c r="B1039" s="78">
        <v>45901</v>
      </c>
      <c r="C1039" t="s">
        <v>1393</v>
      </c>
      <c r="D1039" s="26" t="s">
        <v>1382</v>
      </c>
      <c r="E1039" s="26" t="s">
        <v>1382</v>
      </c>
      <c r="F1039" s="109">
        <v>1633064.48</v>
      </c>
      <c r="G1039" t="s">
        <v>710</v>
      </c>
    </row>
    <row r="1040" spans="1:7">
      <c r="A1040" s="1">
        <v>45902</v>
      </c>
      <c r="B1040" s="78">
        <v>45901</v>
      </c>
      <c r="C1040" t="s">
        <v>1394</v>
      </c>
      <c r="D1040" s="26" t="s">
        <v>3</v>
      </c>
      <c r="E1040" s="26" t="s">
        <v>865</v>
      </c>
      <c r="F1040" s="2">
        <v>50</v>
      </c>
      <c r="G1040" t="s">
        <v>710</v>
      </c>
    </row>
    <row r="1041" spans="1:7">
      <c r="A1041" s="1">
        <v>45902</v>
      </c>
      <c r="B1041" s="78">
        <v>45901</v>
      </c>
      <c r="C1041" t="s">
        <v>1395</v>
      </c>
      <c r="D1041" s="26" t="s">
        <v>3</v>
      </c>
      <c r="E1041" s="26" t="s">
        <v>865</v>
      </c>
      <c r="F1041" s="2">
        <v>3.75</v>
      </c>
      <c r="G1041" t="s">
        <v>710</v>
      </c>
    </row>
    <row r="1042" spans="1:7">
      <c r="A1042" s="1">
        <v>45902</v>
      </c>
      <c r="B1042" s="78">
        <v>45901</v>
      </c>
      <c r="C1042" t="s">
        <v>1396</v>
      </c>
      <c r="D1042" s="26" t="s">
        <v>13</v>
      </c>
      <c r="E1042" s="26" t="s">
        <v>800</v>
      </c>
      <c r="F1042" s="109">
        <v>400000</v>
      </c>
      <c r="G1042" t="s">
        <v>710</v>
      </c>
    </row>
    <row r="1043" spans="1:7">
      <c r="A1043" s="1">
        <v>45902</v>
      </c>
      <c r="B1043" s="78">
        <v>45901</v>
      </c>
      <c r="C1043" t="s">
        <v>1397</v>
      </c>
      <c r="D1043" s="26" t="s">
        <v>3</v>
      </c>
      <c r="E1043" s="26" t="s">
        <v>865</v>
      </c>
      <c r="F1043" s="2">
        <v>50</v>
      </c>
      <c r="G1043" t="s">
        <v>710</v>
      </c>
    </row>
    <row r="1044" spans="1:7">
      <c r="A1044" s="1">
        <v>45902</v>
      </c>
      <c r="B1044" s="78">
        <v>45901</v>
      </c>
      <c r="C1044" t="s">
        <v>1398</v>
      </c>
      <c r="D1044" s="26" t="s">
        <v>3</v>
      </c>
      <c r="E1044" s="26" t="s">
        <v>865</v>
      </c>
      <c r="F1044" s="2">
        <v>3.75</v>
      </c>
      <c r="G1044" t="s">
        <v>710</v>
      </c>
    </row>
    <row r="1045" spans="1:7">
      <c r="A1045" s="1">
        <v>45902</v>
      </c>
      <c r="B1045" s="78">
        <v>45901</v>
      </c>
      <c r="C1045" t="s">
        <v>1399</v>
      </c>
      <c r="D1045" s="26" t="s">
        <v>26</v>
      </c>
      <c r="E1045" s="26" t="s">
        <v>979</v>
      </c>
      <c r="F1045" s="109">
        <v>300000</v>
      </c>
      <c r="G1045" t="s">
        <v>710</v>
      </c>
    </row>
    <row r="1046" spans="1:7">
      <c r="A1046" s="1">
        <v>45902</v>
      </c>
      <c r="B1046" s="78">
        <v>45901</v>
      </c>
      <c r="C1046" t="s">
        <v>1399</v>
      </c>
      <c r="D1046" s="26" t="s">
        <v>3</v>
      </c>
      <c r="E1046" s="26" t="s">
        <v>865</v>
      </c>
      <c r="F1046" s="2">
        <v>50</v>
      </c>
      <c r="G1046" t="s">
        <v>710</v>
      </c>
    </row>
    <row r="1047" spans="1:7">
      <c r="A1047" s="1">
        <v>45902</v>
      </c>
      <c r="B1047" s="78">
        <v>45901</v>
      </c>
      <c r="C1047" t="s">
        <v>1399</v>
      </c>
      <c r="D1047" s="26" t="s">
        <v>3</v>
      </c>
      <c r="E1047" s="26" t="s">
        <v>865</v>
      </c>
      <c r="F1047" s="2">
        <v>3.75</v>
      </c>
      <c r="G1047" t="s">
        <v>710</v>
      </c>
    </row>
    <row r="1048" spans="1:7">
      <c r="A1048" s="1">
        <v>45902</v>
      </c>
      <c r="B1048" s="78">
        <v>45901</v>
      </c>
      <c r="C1048" t="s">
        <v>1400</v>
      </c>
      <c r="D1048" s="26" t="s">
        <v>1382</v>
      </c>
      <c r="E1048" s="26" t="s">
        <v>1382</v>
      </c>
      <c r="F1048" s="109">
        <v>883800</v>
      </c>
      <c r="G1048" t="s">
        <v>710</v>
      </c>
    </row>
    <row r="1049" spans="1:7">
      <c r="A1049" s="1">
        <v>45902</v>
      </c>
      <c r="B1049" s="78">
        <v>45901</v>
      </c>
      <c r="C1049" t="s">
        <v>1401</v>
      </c>
      <c r="D1049" s="26" t="s">
        <v>3</v>
      </c>
      <c r="E1049" s="26" t="s">
        <v>865</v>
      </c>
      <c r="F1049" s="2">
        <v>50</v>
      </c>
      <c r="G1049" t="s">
        <v>710</v>
      </c>
    </row>
    <row r="1050" spans="1:7">
      <c r="A1050" s="1">
        <v>45902</v>
      </c>
      <c r="B1050" s="78">
        <v>45901</v>
      </c>
      <c r="C1050" t="s">
        <v>1402</v>
      </c>
      <c r="D1050" s="26" t="s">
        <v>3</v>
      </c>
      <c r="E1050" s="26" t="s">
        <v>865</v>
      </c>
      <c r="F1050" s="2">
        <v>3.75</v>
      </c>
      <c r="G1050" t="s">
        <v>710</v>
      </c>
    </row>
    <row r="1051" spans="1:7">
      <c r="A1051" s="1">
        <v>45902</v>
      </c>
      <c r="B1051" s="78">
        <v>45901</v>
      </c>
      <c r="C1051" t="s">
        <v>1403</v>
      </c>
      <c r="D1051" s="26" t="s">
        <v>1382</v>
      </c>
      <c r="E1051" s="26" t="s">
        <v>1382</v>
      </c>
      <c r="F1051" s="109">
        <v>883800</v>
      </c>
      <c r="G1051" t="s">
        <v>710</v>
      </c>
    </row>
    <row r="1052" spans="1:7">
      <c r="A1052" s="1">
        <v>45902</v>
      </c>
      <c r="B1052" s="78">
        <v>45901</v>
      </c>
      <c r="C1052" t="s">
        <v>1404</v>
      </c>
      <c r="D1052" s="26" t="s">
        <v>3</v>
      </c>
      <c r="E1052" s="26" t="s">
        <v>865</v>
      </c>
      <c r="F1052" s="2">
        <v>50</v>
      </c>
      <c r="G1052" t="s">
        <v>710</v>
      </c>
    </row>
    <row r="1053" spans="1:7">
      <c r="A1053" s="1">
        <v>45902</v>
      </c>
      <c r="B1053" s="78">
        <v>45901</v>
      </c>
      <c r="C1053" t="s">
        <v>1405</v>
      </c>
      <c r="D1053" s="26" t="s">
        <v>3</v>
      </c>
      <c r="E1053" s="26" t="s">
        <v>865</v>
      </c>
      <c r="F1053" s="2">
        <v>3.75</v>
      </c>
      <c r="G1053" t="s">
        <v>710</v>
      </c>
    </row>
    <row r="1054" spans="1:7">
      <c r="A1054" s="1">
        <v>45903</v>
      </c>
      <c r="B1054" s="78">
        <v>45901</v>
      </c>
      <c r="C1054" t="s">
        <v>1406</v>
      </c>
      <c r="D1054" s="26" t="s">
        <v>30</v>
      </c>
      <c r="E1054" s="26" t="s">
        <v>987</v>
      </c>
      <c r="F1054" s="109">
        <v>450000</v>
      </c>
      <c r="G1054" t="s">
        <v>710</v>
      </c>
    </row>
    <row r="1055" spans="1:7">
      <c r="A1055" s="1">
        <v>45903</v>
      </c>
      <c r="B1055" s="78">
        <v>45901</v>
      </c>
      <c r="C1055" t="s">
        <v>1407</v>
      </c>
      <c r="D1055" s="26" t="s">
        <v>3</v>
      </c>
      <c r="E1055" s="26" t="s">
        <v>865</v>
      </c>
      <c r="F1055" s="2">
        <v>50</v>
      </c>
      <c r="G1055" t="s">
        <v>710</v>
      </c>
    </row>
    <row r="1056" spans="1:7">
      <c r="A1056" s="1">
        <v>45903</v>
      </c>
      <c r="B1056" s="78">
        <v>45901</v>
      </c>
      <c r="C1056" t="s">
        <v>1408</v>
      </c>
      <c r="D1056" s="26" t="s">
        <v>3</v>
      </c>
      <c r="E1056" s="26" t="s">
        <v>865</v>
      </c>
      <c r="F1056" s="2">
        <v>3.75</v>
      </c>
      <c r="G1056" t="s">
        <v>710</v>
      </c>
    </row>
    <row r="1057" spans="1:7">
      <c r="A1057" s="1">
        <v>45903</v>
      </c>
      <c r="B1057" s="78">
        <v>45901</v>
      </c>
      <c r="C1057" t="s">
        <v>1409</v>
      </c>
      <c r="D1057" s="26" t="s">
        <v>29</v>
      </c>
      <c r="E1057" s="26" t="s">
        <v>963</v>
      </c>
      <c r="F1057" s="109">
        <v>27610</v>
      </c>
      <c r="G1057" t="s">
        <v>710</v>
      </c>
    </row>
    <row r="1058" spans="1:7">
      <c r="A1058" s="1">
        <v>45903</v>
      </c>
      <c r="B1058" s="78">
        <v>45901</v>
      </c>
      <c r="C1058" t="s">
        <v>1409</v>
      </c>
      <c r="D1058" s="26" t="s">
        <v>3</v>
      </c>
      <c r="E1058" s="26" t="s">
        <v>865</v>
      </c>
      <c r="F1058" s="2">
        <v>25</v>
      </c>
      <c r="G1058" t="s">
        <v>710</v>
      </c>
    </row>
    <row r="1059" spans="1:7">
      <c r="A1059" s="1">
        <v>45903</v>
      </c>
      <c r="B1059" s="78">
        <v>45901</v>
      </c>
      <c r="C1059" t="s">
        <v>1409</v>
      </c>
      <c r="D1059" s="26" t="s">
        <v>3</v>
      </c>
      <c r="E1059" s="26" t="s">
        <v>865</v>
      </c>
      <c r="F1059" s="2">
        <v>1.8800000000046566</v>
      </c>
      <c r="G1059" t="s">
        <v>710</v>
      </c>
    </row>
    <row r="1060" spans="1:7">
      <c r="A1060" s="1">
        <v>45903</v>
      </c>
      <c r="B1060" s="78">
        <v>45901</v>
      </c>
      <c r="C1060" t="s">
        <v>1410</v>
      </c>
      <c r="D1060" t="s">
        <v>15</v>
      </c>
      <c r="E1060" t="s">
        <v>1356</v>
      </c>
      <c r="F1060" s="109">
        <v>54000</v>
      </c>
      <c r="G1060" t="s">
        <v>710</v>
      </c>
    </row>
    <row r="1061" spans="1:7">
      <c r="A1061" s="1">
        <v>45903</v>
      </c>
      <c r="B1061" s="78">
        <v>45901</v>
      </c>
      <c r="C1061" t="s">
        <v>1410</v>
      </c>
      <c r="D1061" s="26" t="s">
        <v>3</v>
      </c>
      <c r="E1061" t="s">
        <v>865</v>
      </c>
      <c r="F1061" s="2">
        <v>50</v>
      </c>
      <c r="G1061" t="s">
        <v>710</v>
      </c>
    </row>
    <row r="1062" spans="1:7">
      <c r="A1062" s="1">
        <v>45903</v>
      </c>
      <c r="B1062" s="78">
        <v>45901</v>
      </c>
      <c r="C1062" t="s">
        <v>1410</v>
      </c>
      <c r="D1062" s="26" t="s">
        <v>3</v>
      </c>
      <c r="E1062" t="s">
        <v>865</v>
      </c>
      <c r="F1062" s="2">
        <v>3.75</v>
      </c>
      <c r="G1062" t="s">
        <v>710</v>
      </c>
    </row>
    <row r="1063" spans="1:7">
      <c r="A1063" s="1">
        <v>45903</v>
      </c>
      <c r="B1063" s="78">
        <v>45901</v>
      </c>
      <c r="C1063" t="s">
        <v>1411</v>
      </c>
      <c r="D1063" s="26" t="s">
        <v>15</v>
      </c>
      <c r="E1063" t="s">
        <v>1356</v>
      </c>
      <c r="F1063" s="109">
        <v>28000</v>
      </c>
      <c r="G1063" t="s">
        <v>710</v>
      </c>
    </row>
    <row r="1064" spans="1:7">
      <c r="A1064" s="1">
        <v>45903</v>
      </c>
      <c r="B1064" s="78">
        <v>45901</v>
      </c>
      <c r="C1064" t="s">
        <v>1411</v>
      </c>
      <c r="D1064" s="26" t="s">
        <v>3</v>
      </c>
      <c r="E1064" t="s">
        <v>865</v>
      </c>
      <c r="F1064" s="2">
        <v>25</v>
      </c>
      <c r="G1064" t="s">
        <v>710</v>
      </c>
    </row>
    <row r="1065" spans="1:7">
      <c r="A1065" s="1">
        <v>45903</v>
      </c>
      <c r="B1065" s="78">
        <v>45901</v>
      </c>
      <c r="C1065" t="s">
        <v>1411</v>
      </c>
      <c r="D1065" s="26" t="s">
        <v>3</v>
      </c>
      <c r="E1065" t="s">
        <v>865</v>
      </c>
      <c r="F1065" s="2">
        <v>1.8800000000046566</v>
      </c>
      <c r="G1065" t="s">
        <v>710</v>
      </c>
    </row>
    <row r="1066" spans="1:7">
      <c r="A1066" s="1">
        <v>45903</v>
      </c>
      <c r="B1066" s="78">
        <v>45901</v>
      </c>
      <c r="C1066" t="s">
        <v>1413</v>
      </c>
      <c r="D1066" s="26" t="s">
        <v>8</v>
      </c>
      <c r="E1066" t="s">
        <v>815</v>
      </c>
      <c r="F1066" s="109">
        <v>20000</v>
      </c>
      <c r="G1066" t="s">
        <v>710</v>
      </c>
    </row>
    <row r="1067" spans="1:7">
      <c r="A1067" s="1">
        <v>45903</v>
      </c>
      <c r="B1067" s="78">
        <v>45901</v>
      </c>
      <c r="C1067" t="s">
        <v>1413</v>
      </c>
      <c r="D1067" s="26" t="s">
        <v>3</v>
      </c>
      <c r="E1067" t="s">
        <v>865</v>
      </c>
      <c r="F1067" s="2">
        <v>25</v>
      </c>
      <c r="G1067" t="s">
        <v>710</v>
      </c>
    </row>
    <row r="1068" spans="1:7">
      <c r="A1068" s="1">
        <v>45903</v>
      </c>
      <c r="B1068" s="78">
        <v>45901</v>
      </c>
      <c r="C1068" t="s">
        <v>1413</v>
      </c>
      <c r="D1068" s="26" t="s">
        <v>3</v>
      </c>
      <c r="E1068" t="s">
        <v>865</v>
      </c>
      <c r="F1068" s="2">
        <v>1.8800000000046566</v>
      </c>
      <c r="G1068" t="s">
        <v>710</v>
      </c>
    </row>
    <row r="1069" spans="1:7">
      <c r="A1069" s="1">
        <v>45903</v>
      </c>
      <c r="B1069" s="78">
        <v>45901</v>
      </c>
      <c r="C1069" t="s">
        <v>1414</v>
      </c>
      <c r="D1069" s="26" t="s">
        <v>6</v>
      </c>
      <c r="E1069" t="s">
        <v>840</v>
      </c>
      <c r="F1069" s="109">
        <v>1300000</v>
      </c>
      <c r="G1069" t="s">
        <v>710</v>
      </c>
    </row>
    <row r="1070" spans="1:7">
      <c r="A1070" s="1">
        <v>45903</v>
      </c>
      <c r="B1070" s="78">
        <v>45901</v>
      </c>
      <c r="C1070" t="s">
        <v>1415</v>
      </c>
      <c r="D1070" s="26" t="s">
        <v>3</v>
      </c>
      <c r="E1070" t="s">
        <v>865</v>
      </c>
      <c r="F1070" s="110">
        <v>50</v>
      </c>
      <c r="G1070" t="s">
        <v>710</v>
      </c>
    </row>
    <row r="1071" spans="1:7">
      <c r="A1071" s="1">
        <v>45903</v>
      </c>
      <c r="B1071" s="78">
        <v>45901</v>
      </c>
      <c r="C1071" t="s">
        <v>1416</v>
      </c>
      <c r="D1071" s="26" t="s">
        <v>3</v>
      </c>
      <c r="E1071" t="s">
        <v>865</v>
      </c>
      <c r="F1071">
        <v>3.75</v>
      </c>
      <c r="G1071" t="s">
        <v>710</v>
      </c>
    </row>
    <row r="1072" spans="1:7">
      <c r="A1072" s="1">
        <v>45903</v>
      </c>
      <c r="B1072" s="78">
        <v>45901</v>
      </c>
      <c r="C1072" t="s">
        <v>1418</v>
      </c>
      <c r="D1072" s="26" t="s">
        <v>1417</v>
      </c>
      <c r="E1072" t="s">
        <v>1417</v>
      </c>
      <c r="F1072" s="109">
        <v>1317857.02</v>
      </c>
      <c r="G1072" t="s">
        <v>710</v>
      </c>
    </row>
    <row r="1073" spans="1:7">
      <c r="A1073" s="1">
        <v>45903</v>
      </c>
      <c r="B1073" s="78">
        <v>45901</v>
      </c>
      <c r="C1073" t="s">
        <v>1419</v>
      </c>
      <c r="D1073" s="26" t="s">
        <v>4</v>
      </c>
      <c r="E1073" t="s">
        <v>874</v>
      </c>
      <c r="F1073" s="109">
        <v>150000</v>
      </c>
      <c r="G1073" t="s">
        <v>710</v>
      </c>
    </row>
    <row r="1074" spans="1:7">
      <c r="A1074" s="1">
        <v>45903</v>
      </c>
      <c r="B1074" s="78">
        <v>45901</v>
      </c>
      <c r="C1074" t="s">
        <v>1419</v>
      </c>
      <c r="D1074" s="26" t="s">
        <v>3</v>
      </c>
      <c r="E1074" t="s">
        <v>865</v>
      </c>
      <c r="F1074" s="110">
        <v>50</v>
      </c>
      <c r="G1074" t="s">
        <v>710</v>
      </c>
    </row>
    <row r="1075" spans="1:7">
      <c r="A1075" s="1">
        <v>45903</v>
      </c>
      <c r="B1075" s="78">
        <v>45901</v>
      </c>
      <c r="C1075" t="s">
        <v>1419</v>
      </c>
      <c r="D1075" s="26" t="s">
        <v>3</v>
      </c>
      <c r="E1075" t="s">
        <v>865</v>
      </c>
      <c r="F1075">
        <v>3.75</v>
      </c>
      <c r="G1075" t="s">
        <v>710</v>
      </c>
    </row>
    <row r="1076" spans="1:7">
      <c r="A1076" s="1">
        <v>45904</v>
      </c>
      <c r="B1076" s="78">
        <v>45901</v>
      </c>
      <c r="C1076" t="s">
        <v>1420</v>
      </c>
      <c r="D1076" s="26" t="s">
        <v>15</v>
      </c>
      <c r="E1076" t="s">
        <v>1356</v>
      </c>
      <c r="F1076" s="109">
        <v>180000</v>
      </c>
      <c r="G1076" t="s">
        <v>710</v>
      </c>
    </row>
    <row r="1077" spans="1:7">
      <c r="A1077" s="1">
        <v>45904</v>
      </c>
      <c r="B1077" s="78">
        <v>45901</v>
      </c>
      <c r="C1077" t="s">
        <v>1420</v>
      </c>
      <c r="D1077" s="26" t="s">
        <v>3</v>
      </c>
      <c r="E1077" t="s">
        <v>865</v>
      </c>
      <c r="F1077" s="110">
        <v>50</v>
      </c>
      <c r="G1077" t="s">
        <v>710</v>
      </c>
    </row>
    <row r="1078" spans="1:7">
      <c r="A1078" s="1">
        <v>45904</v>
      </c>
      <c r="B1078" s="78">
        <v>45901</v>
      </c>
      <c r="C1078" t="s">
        <v>1420</v>
      </c>
      <c r="D1078" s="26" t="s">
        <v>3</v>
      </c>
      <c r="E1078" t="s">
        <v>865</v>
      </c>
      <c r="F1078">
        <v>3.75</v>
      </c>
      <c r="G1078" t="s">
        <v>710</v>
      </c>
    </row>
    <row r="1079" spans="1:7">
      <c r="A1079" s="1">
        <v>45905</v>
      </c>
      <c r="B1079" s="78">
        <v>45901</v>
      </c>
      <c r="C1079" t="s">
        <v>1421</v>
      </c>
      <c r="D1079" s="26" t="s">
        <v>26</v>
      </c>
      <c r="E1079" t="s">
        <v>979</v>
      </c>
      <c r="F1079" s="109">
        <v>200000</v>
      </c>
      <c r="G1079" t="s">
        <v>710</v>
      </c>
    </row>
    <row r="1080" spans="1:7">
      <c r="A1080" s="1">
        <v>45905</v>
      </c>
      <c r="B1080" s="78">
        <v>45901</v>
      </c>
      <c r="C1080" t="s">
        <v>1421</v>
      </c>
      <c r="D1080" s="26" t="s">
        <v>3</v>
      </c>
      <c r="E1080" t="s">
        <v>865</v>
      </c>
      <c r="F1080" s="110">
        <v>50</v>
      </c>
      <c r="G1080" t="s">
        <v>710</v>
      </c>
    </row>
    <row r="1081" spans="1:7">
      <c r="A1081" s="1">
        <v>45905</v>
      </c>
      <c r="B1081" s="78">
        <v>45901</v>
      </c>
      <c r="C1081" t="s">
        <v>1421</v>
      </c>
      <c r="D1081" s="26" t="s">
        <v>3</v>
      </c>
      <c r="E1081" t="s">
        <v>865</v>
      </c>
      <c r="F1081">
        <v>3.75</v>
      </c>
      <c r="G1081" t="s">
        <v>710</v>
      </c>
    </row>
    <row r="1082" spans="1:7">
      <c r="A1082" s="1">
        <v>45908</v>
      </c>
      <c r="B1082" s="78">
        <v>45901</v>
      </c>
      <c r="C1082" t="s">
        <v>1422</v>
      </c>
      <c r="D1082" s="26" t="s">
        <v>15</v>
      </c>
      <c r="E1082" t="s">
        <v>1356</v>
      </c>
      <c r="F1082" s="109">
        <v>50000</v>
      </c>
      <c r="G1082" t="s">
        <v>710</v>
      </c>
    </row>
    <row r="1083" spans="1:7">
      <c r="A1083" s="1">
        <v>45908</v>
      </c>
      <c r="B1083" s="78">
        <v>45901</v>
      </c>
      <c r="C1083" t="s">
        <v>1422</v>
      </c>
      <c r="D1083" s="26" t="s">
        <v>3</v>
      </c>
      <c r="E1083" t="s">
        <v>865</v>
      </c>
      <c r="F1083" s="2">
        <v>25</v>
      </c>
      <c r="G1083" t="s">
        <v>710</v>
      </c>
    </row>
    <row r="1084" spans="1:7">
      <c r="A1084" s="1">
        <v>45908</v>
      </c>
      <c r="B1084" s="78">
        <v>45901</v>
      </c>
      <c r="C1084" t="s">
        <v>1422</v>
      </c>
      <c r="D1084" s="26" t="s">
        <v>3</v>
      </c>
      <c r="E1084" t="s">
        <v>865</v>
      </c>
      <c r="F1084" s="2">
        <v>1.8800000000046566</v>
      </c>
      <c r="G1084" t="s">
        <v>710</v>
      </c>
    </row>
    <row r="1085" spans="1:7">
      <c r="A1085" s="1">
        <v>45908</v>
      </c>
      <c r="B1085" s="78">
        <v>45901</v>
      </c>
      <c r="C1085" t="s">
        <v>1423</v>
      </c>
      <c r="D1085" s="26" t="s">
        <v>26</v>
      </c>
      <c r="E1085" t="s">
        <v>979</v>
      </c>
      <c r="F1085" s="109">
        <v>200000</v>
      </c>
      <c r="G1085" t="s">
        <v>710</v>
      </c>
    </row>
    <row r="1086" spans="1:7">
      <c r="A1086" s="1">
        <v>45908</v>
      </c>
      <c r="B1086" s="78">
        <v>45901</v>
      </c>
      <c r="C1086" t="s">
        <v>1423</v>
      </c>
      <c r="D1086" s="26" t="s">
        <v>3</v>
      </c>
      <c r="E1086" t="s">
        <v>865</v>
      </c>
      <c r="F1086" s="110">
        <v>50</v>
      </c>
      <c r="G1086" t="s">
        <v>710</v>
      </c>
    </row>
    <row r="1087" spans="1:7">
      <c r="A1087" s="1">
        <v>45908</v>
      </c>
      <c r="B1087" s="78">
        <v>45901</v>
      </c>
      <c r="C1087" t="s">
        <v>1423</v>
      </c>
      <c r="D1087" s="26" t="s">
        <v>3</v>
      </c>
      <c r="E1087" t="s">
        <v>865</v>
      </c>
      <c r="F1087">
        <v>3.75</v>
      </c>
      <c r="G1087" t="s">
        <v>710</v>
      </c>
    </row>
    <row r="1088" spans="1:7">
      <c r="A1088" s="1">
        <v>45908</v>
      </c>
      <c r="B1088" s="78">
        <v>45901</v>
      </c>
      <c r="C1088" t="s">
        <v>1424</v>
      </c>
      <c r="D1088" s="26" t="s">
        <v>26</v>
      </c>
      <c r="E1088" t="s">
        <v>979</v>
      </c>
      <c r="F1088" s="109">
        <v>220000</v>
      </c>
      <c r="G1088" t="s">
        <v>710</v>
      </c>
    </row>
    <row r="1089" spans="1:7">
      <c r="A1089" s="1">
        <v>45908</v>
      </c>
      <c r="B1089" s="78">
        <v>45901</v>
      </c>
      <c r="C1089" t="s">
        <v>1424</v>
      </c>
      <c r="D1089" s="26" t="s">
        <v>3</v>
      </c>
      <c r="E1089" t="s">
        <v>865</v>
      </c>
      <c r="F1089" s="110">
        <v>50</v>
      </c>
      <c r="G1089" t="s">
        <v>710</v>
      </c>
    </row>
    <row r="1090" spans="1:7">
      <c r="A1090" s="1">
        <v>45908</v>
      </c>
      <c r="B1090" s="78">
        <v>45901</v>
      </c>
      <c r="C1090" t="s">
        <v>1424</v>
      </c>
      <c r="D1090" s="26" t="s">
        <v>3</v>
      </c>
      <c r="E1090" t="s">
        <v>865</v>
      </c>
      <c r="F1090">
        <v>3.75</v>
      </c>
      <c r="G1090" t="s">
        <v>710</v>
      </c>
    </row>
    <row r="1091" spans="1:7">
      <c r="A1091" s="1">
        <v>45908</v>
      </c>
      <c r="B1091" s="78">
        <v>45901</v>
      </c>
      <c r="C1091" t="s">
        <v>1425</v>
      </c>
      <c r="D1091" s="26" t="s">
        <v>4</v>
      </c>
      <c r="E1091" t="s">
        <v>874</v>
      </c>
      <c r="F1091" s="109">
        <v>78846.75</v>
      </c>
      <c r="G1091" t="s">
        <v>710</v>
      </c>
    </row>
    <row r="1092" spans="1:7">
      <c r="A1092" s="1">
        <v>45908</v>
      </c>
      <c r="B1092" s="78">
        <v>45901</v>
      </c>
      <c r="C1092" t="s">
        <v>1425</v>
      </c>
      <c r="D1092" s="26" t="s">
        <v>3</v>
      </c>
      <c r="E1092" t="s">
        <v>865</v>
      </c>
      <c r="F1092" s="110">
        <v>50</v>
      </c>
      <c r="G1092" t="s">
        <v>710</v>
      </c>
    </row>
    <row r="1093" spans="1:7">
      <c r="A1093" s="1">
        <v>45908</v>
      </c>
      <c r="B1093" s="78">
        <v>45901</v>
      </c>
      <c r="C1093" t="s">
        <v>1425</v>
      </c>
      <c r="D1093" s="26" t="s">
        <v>3</v>
      </c>
      <c r="E1093" t="s">
        <v>865</v>
      </c>
      <c r="F1093">
        <v>3.75</v>
      </c>
      <c r="G1093" t="s">
        <v>710</v>
      </c>
    </row>
    <row r="1094" spans="1:7">
      <c r="A1094" s="1">
        <v>45908</v>
      </c>
      <c r="B1094" s="78">
        <v>45901</v>
      </c>
      <c r="C1094" t="s">
        <v>1426</v>
      </c>
      <c r="D1094" s="26" t="s">
        <v>1427</v>
      </c>
      <c r="E1094" t="s">
        <v>874</v>
      </c>
      <c r="F1094" s="109">
        <v>23414</v>
      </c>
      <c r="G1094" t="s">
        <v>710</v>
      </c>
    </row>
    <row r="1095" spans="1:7">
      <c r="A1095" s="1">
        <v>45908</v>
      </c>
      <c r="B1095" s="78">
        <v>45901</v>
      </c>
      <c r="C1095" t="s">
        <v>1426</v>
      </c>
      <c r="D1095" s="26" t="s">
        <v>3</v>
      </c>
      <c r="E1095" t="s">
        <v>865</v>
      </c>
      <c r="F1095" s="2">
        <v>25</v>
      </c>
      <c r="G1095" t="s">
        <v>710</v>
      </c>
    </row>
    <row r="1096" spans="1:7">
      <c r="A1096" s="1">
        <v>45908</v>
      </c>
      <c r="B1096" s="78">
        <v>45901</v>
      </c>
      <c r="C1096" t="s">
        <v>1426</v>
      </c>
      <c r="D1096" s="26" t="s">
        <v>3</v>
      </c>
      <c r="E1096" t="s">
        <v>865</v>
      </c>
      <c r="F1096" s="2">
        <v>1.8800000000046566</v>
      </c>
      <c r="G1096" t="s">
        <v>710</v>
      </c>
    </row>
    <row r="1097" spans="1:7">
      <c r="A1097" s="1">
        <v>45908</v>
      </c>
      <c r="B1097" s="78">
        <v>45901</v>
      </c>
      <c r="C1097" t="s">
        <v>1428</v>
      </c>
      <c r="D1097" s="26" t="s">
        <v>26</v>
      </c>
      <c r="E1097" t="s">
        <v>979</v>
      </c>
      <c r="F1097" s="109">
        <v>320000</v>
      </c>
      <c r="G1097" t="s">
        <v>710</v>
      </c>
    </row>
    <row r="1098" spans="1:7">
      <c r="A1098" s="1">
        <v>45908</v>
      </c>
      <c r="B1098" s="78">
        <v>45901</v>
      </c>
      <c r="C1098" t="s">
        <v>1428</v>
      </c>
      <c r="D1098" s="26" t="s">
        <v>3</v>
      </c>
      <c r="E1098" t="s">
        <v>865</v>
      </c>
      <c r="F1098" s="110">
        <v>50</v>
      </c>
      <c r="G1098" t="s">
        <v>710</v>
      </c>
    </row>
    <row r="1099" spans="1:7">
      <c r="A1099" s="1">
        <v>45908</v>
      </c>
      <c r="B1099" s="78">
        <v>45901</v>
      </c>
      <c r="C1099" t="s">
        <v>1428</v>
      </c>
      <c r="D1099" s="26" t="s">
        <v>3</v>
      </c>
      <c r="E1099" t="s">
        <v>865</v>
      </c>
      <c r="F1099">
        <v>3.75</v>
      </c>
      <c r="G1099" t="s">
        <v>710</v>
      </c>
    </row>
    <row r="1100" spans="1:7">
      <c r="A1100" s="1">
        <v>45911</v>
      </c>
      <c r="B1100" s="78">
        <v>45901</v>
      </c>
      <c r="C1100" t="s">
        <v>1429</v>
      </c>
      <c r="D1100" s="26" t="s">
        <v>10</v>
      </c>
      <c r="E1100" t="s">
        <v>958</v>
      </c>
      <c r="F1100" s="109">
        <v>119032.72</v>
      </c>
      <c r="G1100" t="s">
        <v>710</v>
      </c>
    </row>
    <row r="1101" spans="1:7">
      <c r="A1101" s="1">
        <v>45911</v>
      </c>
      <c r="B1101" s="78">
        <v>45901</v>
      </c>
      <c r="C1101" t="s">
        <v>1429</v>
      </c>
      <c r="D1101" s="26" t="s">
        <v>3</v>
      </c>
      <c r="E1101" t="s">
        <v>865</v>
      </c>
      <c r="F1101" s="110">
        <v>50</v>
      </c>
      <c r="G1101" t="s">
        <v>710</v>
      </c>
    </row>
    <row r="1102" spans="1:7">
      <c r="A1102" s="1">
        <v>45911</v>
      </c>
      <c r="B1102" s="78">
        <v>45901</v>
      </c>
      <c r="C1102" t="s">
        <v>1429</v>
      </c>
      <c r="D1102" s="26" t="s">
        <v>3</v>
      </c>
      <c r="E1102" t="s">
        <v>865</v>
      </c>
      <c r="F1102">
        <v>3.75</v>
      </c>
      <c r="G1102" t="s">
        <v>710</v>
      </c>
    </row>
    <row r="1103" spans="1:7">
      <c r="A1103" s="1">
        <v>45911</v>
      </c>
      <c r="B1103" s="78">
        <v>45901</v>
      </c>
      <c r="C1103" t="s">
        <v>1430</v>
      </c>
      <c r="D1103" s="26" t="s">
        <v>13</v>
      </c>
      <c r="E1103" t="s">
        <v>800</v>
      </c>
      <c r="F1103" s="109">
        <v>450000</v>
      </c>
      <c r="G1103" t="s">
        <v>710</v>
      </c>
    </row>
    <row r="1104" spans="1:7">
      <c r="A1104" s="1">
        <v>45911</v>
      </c>
      <c r="B1104" s="78">
        <v>45901</v>
      </c>
      <c r="C1104" t="s">
        <v>1431</v>
      </c>
      <c r="D1104" s="26" t="s">
        <v>3</v>
      </c>
      <c r="E1104" t="s">
        <v>865</v>
      </c>
      <c r="F1104" s="110">
        <v>50</v>
      </c>
      <c r="G1104" t="s">
        <v>710</v>
      </c>
    </row>
    <row r="1105" spans="1:7">
      <c r="A1105" s="1">
        <v>45911</v>
      </c>
      <c r="B1105" s="78">
        <v>45901</v>
      </c>
      <c r="C1105" t="s">
        <v>1432</v>
      </c>
      <c r="D1105" s="26" t="s">
        <v>3</v>
      </c>
      <c r="E1105" t="s">
        <v>865</v>
      </c>
      <c r="F1105">
        <v>3.75</v>
      </c>
      <c r="G1105" t="s">
        <v>710</v>
      </c>
    </row>
    <row r="1106" spans="1:7">
      <c r="A1106" s="1">
        <v>45911</v>
      </c>
      <c r="B1106" s="78">
        <v>45901</v>
      </c>
      <c r="C1106" t="s">
        <v>1433</v>
      </c>
      <c r="D1106" s="26" t="s">
        <v>26</v>
      </c>
      <c r="E1106" t="s">
        <v>979</v>
      </c>
      <c r="F1106" s="109">
        <v>162000</v>
      </c>
      <c r="G1106" t="s">
        <v>710</v>
      </c>
    </row>
    <row r="1107" spans="1:7">
      <c r="A1107" s="1">
        <v>45911</v>
      </c>
      <c r="B1107" s="78">
        <v>45901</v>
      </c>
      <c r="C1107" t="s">
        <v>1433</v>
      </c>
      <c r="D1107" s="26" t="s">
        <v>3</v>
      </c>
      <c r="E1107" t="s">
        <v>865</v>
      </c>
      <c r="F1107" s="110">
        <v>50</v>
      </c>
      <c r="G1107" t="s">
        <v>710</v>
      </c>
    </row>
    <row r="1108" spans="1:7">
      <c r="A1108" s="1">
        <v>45911</v>
      </c>
      <c r="B1108" s="78">
        <v>45901</v>
      </c>
      <c r="C1108" t="s">
        <v>1433</v>
      </c>
      <c r="D1108" s="26" t="s">
        <v>3</v>
      </c>
      <c r="E1108" t="s">
        <v>865</v>
      </c>
      <c r="F1108">
        <v>3.75</v>
      </c>
      <c r="G1108" t="s">
        <v>710</v>
      </c>
    </row>
    <row r="1109" spans="1:7">
      <c r="A1109" s="1">
        <v>45912</v>
      </c>
      <c r="B1109" s="78">
        <v>45901</v>
      </c>
      <c r="C1109" t="s">
        <v>1434</v>
      </c>
      <c r="D1109" s="26" t="s">
        <v>26</v>
      </c>
      <c r="E1109" t="s">
        <v>979</v>
      </c>
      <c r="F1109" s="109">
        <v>262000</v>
      </c>
      <c r="G1109" t="s">
        <v>710</v>
      </c>
    </row>
    <row r="1110" spans="1:7">
      <c r="A1110" s="1">
        <v>45912</v>
      </c>
      <c r="B1110" s="78">
        <v>45901</v>
      </c>
      <c r="C1110" t="s">
        <v>1434</v>
      </c>
      <c r="D1110" s="26" t="s">
        <v>3</v>
      </c>
      <c r="E1110" t="s">
        <v>865</v>
      </c>
      <c r="F1110" s="110">
        <v>50</v>
      </c>
      <c r="G1110" t="s">
        <v>710</v>
      </c>
    </row>
    <row r="1111" spans="1:7">
      <c r="A1111" s="1">
        <v>45912</v>
      </c>
      <c r="B1111" s="78">
        <v>45901</v>
      </c>
      <c r="C1111" t="s">
        <v>1434</v>
      </c>
      <c r="D1111" s="26" t="s">
        <v>3</v>
      </c>
      <c r="E1111" t="s">
        <v>865</v>
      </c>
      <c r="F1111">
        <v>3.75</v>
      </c>
      <c r="G1111" t="s">
        <v>710</v>
      </c>
    </row>
    <row r="1112" spans="1:7">
      <c r="A1112" s="1">
        <v>45912</v>
      </c>
      <c r="B1112" s="78">
        <v>45901</v>
      </c>
      <c r="C1112" t="s">
        <v>1435</v>
      </c>
      <c r="D1112" s="26" t="s">
        <v>26</v>
      </c>
      <c r="E1112" t="s">
        <v>979</v>
      </c>
      <c r="F1112" s="109">
        <v>250000</v>
      </c>
      <c r="G1112" t="s">
        <v>710</v>
      </c>
    </row>
    <row r="1113" spans="1:7">
      <c r="A1113" s="1">
        <v>45912</v>
      </c>
      <c r="B1113" s="78">
        <v>45901</v>
      </c>
      <c r="C1113" t="s">
        <v>1436</v>
      </c>
      <c r="D1113" s="26" t="s">
        <v>3</v>
      </c>
      <c r="E1113" t="s">
        <v>865</v>
      </c>
      <c r="F1113" s="110">
        <v>50</v>
      </c>
      <c r="G1113" t="s">
        <v>710</v>
      </c>
    </row>
    <row r="1114" spans="1:7">
      <c r="A1114" s="1">
        <v>45912</v>
      </c>
      <c r="B1114" s="78">
        <v>45901</v>
      </c>
      <c r="C1114" t="s">
        <v>1437</v>
      </c>
      <c r="D1114" s="26" t="s">
        <v>3</v>
      </c>
      <c r="E1114" t="s">
        <v>865</v>
      </c>
      <c r="F1114">
        <v>3.75</v>
      </c>
      <c r="G1114" t="s">
        <v>710</v>
      </c>
    </row>
    <row r="1115" spans="1:7">
      <c r="A1115" s="1">
        <v>45912</v>
      </c>
      <c r="B1115" s="78">
        <v>45901</v>
      </c>
      <c r="C1115" t="s">
        <v>1438</v>
      </c>
      <c r="D1115" s="26" t="s">
        <v>13</v>
      </c>
      <c r="E1115" t="s">
        <v>800</v>
      </c>
      <c r="F1115" s="109">
        <v>500000</v>
      </c>
      <c r="G1115" t="s">
        <v>710</v>
      </c>
    </row>
    <row r="1116" spans="1:7">
      <c r="A1116" s="1">
        <v>45912</v>
      </c>
      <c r="B1116" s="78">
        <v>45901</v>
      </c>
      <c r="C1116" t="s">
        <v>1439</v>
      </c>
      <c r="D1116" s="26" t="s">
        <v>3</v>
      </c>
      <c r="E1116" t="s">
        <v>865</v>
      </c>
      <c r="F1116" s="110">
        <v>50</v>
      </c>
      <c r="G1116" t="s">
        <v>710</v>
      </c>
    </row>
    <row r="1117" spans="1:7">
      <c r="A1117" s="1">
        <v>45912</v>
      </c>
      <c r="B1117" s="78">
        <v>45901</v>
      </c>
      <c r="C1117" t="s">
        <v>1440</v>
      </c>
      <c r="D1117" s="26" t="s">
        <v>3</v>
      </c>
      <c r="E1117" t="s">
        <v>865</v>
      </c>
      <c r="F1117">
        <v>3.75</v>
      </c>
      <c r="G1117" t="s">
        <v>710</v>
      </c>
    </row>
    <row r="1118" spans="1:7">
      <c r="A1118" s="1">
        <v>45912</v>
      </c>
      <c r="B1118" s="78">
        <v>45901</v>
      </c>
      <c r="C1118" t="s">
        <v>1441</v>
      </c>
      <c r="D1118" s="26" t="s">
        <v>8</v>
      </c>
      <c r="E1118" t="s">
        <v>1442</v>
      </c>
      <c r="F1118" s="109">
        <v>118881.25</v>
      </c>
      <c r="G1118" t="s">
        <v>710</v>
      </c>
    </row>
    <row r="1119" spans="1:7">
      <c r="A1119" s="1">
        <v>45915</v>
      </c>
      <c r="B1119" s="78">
        <v>45901</v>
      </c>
      <c r="C1119" t="s">
        <v>1443</v>
      </c>
      <c r="D1119" s="26" t="s">
        <v>15</v>
      </c>
      <c r="E1119" t="s">
        <v>1356</v>
      </c>
      <c r="F1119" s="109">
        <v>67800</v>
      </c>
      <c r="G1119" t="s">
        <v>710</v>
      </c>
    </row>
    <row r="1120" spans="1:7">
      <c r="A1120" s="1">
        <v>45915</v>
      </c>
      <c r="B1120" s="78">
        <v>45901</v>
      </c>
      <c r="C1120" t="s">
        <v>1443</v>
      </c>
      <c r="D1120" s="26" t="s">
        <v>3</v>
      </c>
      <c r="E1120" t="s">
        <v>865</v>
      </c>
      <c r="F1120" s="110">
        <v>50</v>
      </c>
      <c r="G1120" t="s">
        <v>710</v>
      </c>
    </row>
    <row r="1121" spans="1:7">
      <c r="A1121" s="1">
        <v>45915</v>
      </c>
      <c r="B1121" s="78">
        <v>45901</v>
      </c>
      <c r="C1121" t="s">
        <v>1443</v>
      </c>
      <c r="D1121" s="26" t="s">
        <v>3</v>
      </c>
      <c r="E1121" t="s">
        <v>865</v>
      </c>
      <c r="F1121">
        <v>3.75</v>
      </c>
      <c r="G1121" t="s">
        <v>710</v>
      </c>
    </row>
    <row r="1122" spans="1:7">
      <c r="A1122" s="1">
        <v>45915</v>
      </c>
      <c r="B1122" s="78">
        <v>45901</v>
      </c>
      <c r="C1122" t="s">
        <v>1444</v>
      </c>
      <c r="D1122" s="26" t="s">
        <v>26</v>
      </c>
      <c r="E1122" t="s">
        <v>979</v>
      </c>
      <c r="F1122" s="109">
        <v>18400</v>
      </c>
      <c r="G1122" t="s">
        <v>710</v>
      </c>
    </row>
    <row r="1123" spans="1:7">
      <c r="A1123" s="1">
        <v>45915</v>
      </c>
      <c r="B1123" s="78">
        <v>45901</v>
      </c>
      <c r="C1123" t="s">
        <v>1444</v>
      </c>
      <c r="D1123" s="26" t="s">
        <v>3</v>
      </c>
      <c r="E1123" t="s">
        <v>865</v>
      </c>
      <c r="F1123" s="2">
        <v>25</v>
      </c>
      <c r="G1123" t="s">
        <v>710</v>
      </c>
    </row>
    <row r="1124" spans="1:7">
      <c r="A1124" s="1">
        <v>45915</v>
      </c>
      <c r="B1124" s="78">
        <v>45901</v>
      </c>
      <c r="C1124" t="s">
        <v>1444</v>
      </c>
      <c r="D1124" s="26" t="s">
        <v>3</v>
      </c>
      <c r="E1124" t="s">
        <v>865</v>
      </c>
      <c r="F1124" s="2">
        <v>1.8800000000046566</v>
      </c>
      <c r="G1124" t="s">
        <v>710</v>
      </c>
    </row>
    <row r="1125" spans="1:7">
      <c r="A1125" s="1">
        <v>45916</v>
      </c>
      <c r="B1125" s="78">
        <v>45901</v>
      </c>
      <c r="C1125" t="s">
        <v>1445</v>
      </c>
      <c r="D1125" s="26" t="s">
        <v>26</v>
      </c>
      <c r="E1125" t="s">
        <v>979</v>
      </c>
      <c r="F1125" s="109">
        <v>74200</v>
      </c>
      <c r="G1125" t="s">
        <v>710</v>
      </c>
    </row>
    <row r="1126" spans="1:7">
      <c r="A1126" s="1">
        <v>45916</v>
      </c>
      <c r="B1126" s="78">
        <v>45901</v>
      </c>
      <c r="C1126" t="s">
        <v>1445</v>
      </c>
      <c r="D1126" s="26" t="s">
        <v>3</v>
      </c>
      <c r="E1126" t="s">
        <v>865</v>
      </c>
      <c r="F1126" s="110">
        <v>50</v>
      </c>
      <c r="G1126" t="s">
        <v>710</v>
      </c>
    </row>
    <row r="1127" spans="1:7">
      <c r="A1127" s="1">
        <v>45916</v>
      </c>
      <c r="B1127" s="78">
        <v>45901</v>
      </c>
      <c r="C1127" t="s">
        <v>1445</v>
      </c>
      <c r="D1127" s="26" t="s">
        <v>3</v>
      </c>
      <c r="E1127" t="s">
        <v>865</v>
      </c>
      <c r="F1127">
        <v>3.75</v>
      </c>
      <c r="G1127" t="s">
        <v>710</v>
      </c>
    </row>
    <row r="1128" spans="1:7">
      <c r="A1128" s="1">
        <v>45916</v>
      </c>
      <c r="B1128" s="78">
        <v>45901</v>
      </c>
      <c r="C1128" t="s">
        <v>1446</v>
      </c>
      <c r="D1128" s="26" t="s">
        <v>15</v>
      </c>
      <c r="E1128" t="s">
        <v>1356</v>
      </c>
      <c r="F1128" s="109">
        <v>41000</v>
      </c>
      <c r="G1128" t="s">
        <v>710</v>
      </c>
    </row>
    <row r="1129" spans="1:7">
      <c r="A1129" s="1">
        <v>45916</v>
      </c>
      <c r="B1129" s="78">
        <v>45901</v>
      </c>
      <c r="C1129" t="s">
        <v>1446</v>
      </c>
      <c r="D1129" s="26" t="s">
        <v>3</v>
      </c>
      <c r="E1129" t="s">
        <v>865</v>
      </c>
      <c r="F1129" s="2">
        <v>25</v>
      </c>
      <c r="G1129" t="s">
        <v>710</v>
      </c>
    </row>
    <row r="1130" spans="1:7">
      <c r="A1130" s="1">
        <v>45916</v>
      </c>
      <c r="B1130" s="78">
        <v>45901</v>
      </c>
      <c r="C1130" t="s">
        <v>1446</v>
      </c>
      <c r="D1130" s="26" t="s">
        <v>3</v>
      </c>
      <c r="E1130" t="s">
        <v>865</v>
      </c>
      <c r="F1130" s="2">
        <v>1.8800000000046566</v>
      </c>
      <c r="G1130" t="s">
        <v>710</v>
      </c>
    </row>
    <row r="1131" spans="1:7">
      <c r="A1131" s="1">
        <v>45916</v>
      </c>
      <c r="B1131" s="78">
        <v>45901</v>
      </c>
      <c r="C1131" t="s">
        <v>1447</v>
      </c>
      <c r="D1131" s="26" t="s">
        <v>15</v>
      </c>
      <c r="E1131" t="s">
        <v>1356</v>
      </c>
      <c r="F1131" s="109">
        <v>6900</v>
      </c>
      <c r="G1131" t="s">
        <v>710</v>
      </c>
    </row>
    <row r="1132" spans="1:7">
      <c r="A1132" s="1">
        <v>45916</v>
      </c>
      <c r="B1132" s="78">
        <v>45901</v>
      </c>
      <c r="C1132" t="s">
        <v>1447</v>
      </c>
      <c r="D1132" s="26" t="s">
        <v>3</v>
      </c>
      <c r="E1132" t="s">
        <v>865</v>
      </c>
      <c r="F1132" s="2">
        <v>25</v>
      </c>
      <c r="G1132" t="s">
        <v>710</v>
      </c>
    </row>
    <row r="1133" spans="1:7">
      <c r="A1133" s="1">
        <v>45916</v>
      </c>
      <c r="B1133" s="78">
        <v>45901</v>
      </c>
      <c r="C1133" t="s">
        <v>1447</v>
      </c>
      <c r="D1133" s="26" t="s">
        <v>3</v>
      </c>
      <c r="E1133" t="s">
        <v>865</v>
      </c>
      <c r="F1133" s="2">
        <v>1.8800000000046566</v>
      </c>
      <c r="G1133" t="s">
        <v>710</v>
      </c>
    </row>
    <row r="1134" spans="1:7">
      <c r="A1134" s="1">
        <v>45916</v>
      </c>
      <c r="B1134" s="78">
        <v>45901</v>
      </c>
      <c r="C1134" t="s">
        <v>1448</v>
      </c>
      <c r="D1134" s="26" t="s">
        <v>29</v>
      </c>
      <c r="E1134" t="s">
        <v>963</v>
      </c>
      <c r="F1134" s="109">
        <v>120000</v>
      </c>
      <c r="G1134" t="s">
        <v>710</v>
      </c>
    </row>
    <row r="1135" spans="1:7">
      <c r="A1135" s="1">
        <v>45916</v>
      </c>
      <c r="B1135" s="78">
        <v>45901</v>
      </c>
      <c r="C1135" t="s">
        <v>1448</v>
      </c>
      <c r="D1135" s="26" t="s">
        <v>3</v>
      </c>
      <c r="E1135" t="s">
        <v>865</v>
      </c>
      <c r="F1135" s="110">
        <v>50</v>
      </c>
      <c r="G1135" t="s">
        <v>710</v>
      </c>
    </row>
    <row r="1136" spans="1:7">
      <c r="A1136" s="1">
        <v>45916</v>
      </c>
      <c r="B1136" s="78">
        <v>45901</v>
      </c>
      <c r="C1136" t="s">
        <v>1448</v>
      </c>
      <c r="D1136" s="26" t="s">
        <v>3</v>
      </c>
      <c r="E1136" t="s">
        <v>865</v>
      </c>
      <c r="F1136">
        <v>3.75</v>
      </c>
      <c r="G1136" t="s">
        <v>710</v>
      </c>
    </row>
    <row r="1137" spans="1:7">
      <c r="A1137" s="1">
        <v>45918</v>
      </c>
      <c r="B1137" s="78">
        <v>45901</v>
      </c>
      <c r="C1137" t="s">
        <v>1449</v>
      </c>
      <c r="D1137" s="26" t="s">
        <v>11</v>
      </c>
      <c r="E1137" t="s">
        <v>955</v>
      </c>
      <c r="F1137" s="109">
        <v>57000</v>
      </c>
      <c r="G1137" t="s">
        <v>710</v>
      </c>
    </row>
    <row r="1138" spans="1:7">
      <c r="A1138" s="1">
        <v>45918</v>
      </c>
      <c r="B1138" s="78">
        <v>45901</v>
      </c>
      <c r="C1138" t="s">
        <v>1449</v>
      </c>
      <c r="D1138" s="26" t="s">
        <v>3</v>
      </c>
      <c r="E1138" t="s">
        <v>865</v>
      </c>
      <c r="F1138" s="110">
        <v>50</v>
      </c>
      <c r="G1138" t="s">
        <v>710</v>
      </c>
    </row>
    <row r="1139" spans="1:7">
      <c r="A1139" s="1">
        <v>45918</v>
      </c>
      <c r="B1139" s="78">
        <v>45901</v>
      </c>
      <c r="C1139" t="s">
        <v>1449</v>
      </c>
      <c r="D1139" s="26" t="s">
        <v>3</v>
      </c>
      <c r="E1139" t="s">
        <v>865</v>
      </c>
      <c r="F1139">
        <v>3.75</v>
      </c>
      <c r="G1139" t="s">
        <v>710</v>
      </c>
    </row>
    <row r="1140" spans="1:7">
      <c r="A1140" s="1">
        <v>45918</v>
      </c>
      <c r="B1140" s="78">
        <v>45901</v>
      </c>
      <c r="C1140" t="s">
        <v>1450</v>
      </c>
      <c r="D1140" t="s">
        <v>23</v>
      </c>
      <c r="E1140" t="s">
        <v>846</v>
      </c>
      <c r="F1140" s="109">
        <v>215000</v>
      </c>
      <c r="G1140" t="s">
        <v>710</v>
      </c>
    </row>
    <row r="1141" spans="1:7">
      <c r="A1141" s="1">
        <v>45918</v>
      </c>
      <c r="B1141" s="78">
        <v>45901</v>
      </c>
      <c r="C1141" t="s">
        <v>1450</v>
      </c>
      <c r="D1141" s="26" t="s">
        <v>3</v>
      </c>
      <c r="E1141" t="s">
        <v>865</v>
      </c>
      <c r="F1141" s="110">
        <v>50</v>
      </c>
      <c r="G1141" t="s">
        <v>710</v>
      </c>
    </row>
    <row r="1142" spans="1:7">
      <c r="A1142" s="1">
        <v>45918</v>
      </c>
      <c r="B1142" s="78">
        <v>45901</v>
      </c>
      <c r="C1142" t="s">
        <v>1450</v>
      </c>
      <c r="D1142" s="26" t="s">
        <v>3</v>
      </c>
      <c r="E1142" t="s">
        <v>865</v>
      </c>
      <c r="F1142">
        <v>3.75</v>
      </c>
      <c r="G1142" t="s">
        <v>710</v>
      </c>
    </row>
    <row r="1143" spans="1:7">
      <c r="A1143" s="1">
        <v>45918</v>
      </c>
      <c r="B1143" s="78">
        <v>45901</v>
      </c>
      <c r="C1143" t="s">
        <v>1451</v>
      </c>
      <c r="D1143" t="s">
        <v>1427</v>
      </c>
      <c r="E1143" t="s">
        <v>874</v>
      </c>
      <c r="F1143" s="109">
        <v>169000</v>
      </c>
      <c r="G1143" t="s">
        <v>710</v>
      </c>
    </row>
    <row r="1144" spans="1:7">
      <c r="A1144" s="1">
        <v>45918</v>
      </c>
      <c r="B1144" s="78">
        <v>45901</v>
      </c>
      <c r="C1144" t="s">
        <v>1451</v>
      </c>
      <c r="D1144" s="26" t="s">
        <v>3</v>
      </c>
      <c r="E1144" t="s">
        <v>865</v>
      </c>
      <c r="F1144" s="110">
        <v>50</v>
      </c>
      <c r="G1144" t="s">
        <v>710</v>
      </c>
    </row>
    <row r="1145" spans="1:7">
      <c r="A1145" s="1">
        <v>45918</v>
      </c>
      <c r="B1145" s="78">
        <v>45901</v>
      </c>
      <c r="C1145" t="s">
        <v>1451</v>
      </c>
      <c r="D1145" s="26" t="s">
        <v>3</v>
      </c>
      <c r="E1145" t="s">
        <v>865</v>
      </c>
      <c r="F1145">
        <v>3.75</v>
      </c>
      <c r="G1145" t="s">
        <v>710</v>
      </c>
    </row>
    <row r="1146" spans="1:7">
      <c r="A1146" s="1">
        <v>45918</v>
      </c>
      <c r="B1146" s="78">
        <v>45901</v>
      </c>
      <c r="C1146" t="s">
        <v>1452</v>
      </c>
      <c r="D1146" s="26" t="s">
        <v>11</v>
      </c>
      <c r="E1146" t="s">
        <v>955</v>
      </c>
      <c r="F1146" s="109">
        <v>57000</v>
      </c>
      <c r="G1146" t="s">
        <v>710</v>
      </c>
    </row>
    <row r="1147" spans="1:7">
      <c r="A1147" s="1">
        <v>45918</v>
      </c>
      <c r="B1147" s="78">
        <v>45901</v>
      </c>
      <c r="C1147" t="s">
        <v>1452</v>
      </c>
      <c r="D1147" s="26" t="s">
        <v>3</v>
      </c>
      <c r="E1147" t="s">
        <v>865</v>
      </c>
      <c r="F1147" s="110">
        <v>50</v>
      </c>
      <c r="G1147" t="s">
        <v>710</v>
      </c>
    </row>
    <row r="1148" spans="1:7">
      <c r="A1148" s="1">
        <v>45918</v>
      </c>
      <c r="B1148" s="78">
        <v>45901</v>
      </c>
      <c r="C1148" t="s">
        <v>1452</v>
      </c>
      <c r="D1148" s="26" t="s">
        <v>3</v>
      </c>
      <c r="E1148" t="s">
        <v>865</v>
      </c>
      <c r="F1148">
        <v>3.75</v>
      </c>
      <c r="G1148" t="s">
        <v>710</v>
      </c>
    </row>
    <row r="1149" spans="1:7">
      <c r="A1149" s="1">
        <v>45922</v>
      </c>
      <c r="B1149" s="78">
        <v>45901</v>
      </c>
      <c r="C1149" t="s">
        <v>1453</v>
      </c>
      <c r="D1149" s="26" t="s">
        <v>4</v>
      </c>
      <c r="E1149" t="s">
        <v>874</v>
      </c>
      <c r="F1149" s="109">
        <v>540000</v>
      </c>
      <c r="G1149" t="s">
        <v>710</v>
      </c>
    </row>
    <row r="1150" spans="1:7">
      <c r="A1150" s="1">
        <v>45922</v>
      </c>
      <c r="B1150" s="78">
        <v>45901</v>
      </c>
      <c r="C1150" t="s">
        <v>1454</v>
      </c>
      <c r="D1150" s="26" t="s">
        <v>3</v>
      </c>
      <c r="E1150" t="s">
        <v>865</v>
      </c>
      <c r="F1150" s="110">
        <v>50</v>
      </c>
      <c r="G1150" t="s">
        <v>710</v>
      </c>
    </row>
    <row r="1151" spans="1:7">
      <c r="A1151" s="1">
        <v>45922</v>
      </c>
      <c r="B1151" s="78">
        <v>45901</v>
      </c>
      <c r="C1151" t="s">
        <v>1455</v>
      </c>
      <c r="D1151" s="26" t="s">
        <v>3</v>
      </c>
      <c r="E1151" t="s">
        <v>865</v>
      </c>
      <c r="F1151">
        <v>3.75</v>
      </c>
      <c r="G1151" t="s">
        <v>710</v>
      </c>
    </row>
    <row r="1152" spans="1:7">
      <c r="A1152" s="1">
        <v>45922</v>
      </c>
      <c r="B1152" s="78">
        <v>45901</v>
      </c>
      <c r="C1152" t="s">
        <v>1456</v>
      </c>
      <c r="D1152" s="26" t="s">
        <v>15</v>
      </c>
      <c r="E1152" t="s">
        <v>1356</v>
      </c>
      <c r="F1152" s="109">
        <v>17000</v>
      </c>
      <c r="G1152" t="s">
        <v>710</v>
      </c>
    </row>
    <row r="1153" spans="1:7">
      <c r="A1153" s="1">
        <v>45922</v>
      </c>
      <c r="B1153" s="78">
        <v>45901</v>
      </c>
      <c r="C1153" t="s">
        <v>1456</v>
      </c>
      <c r="D1153" s="26" t="s">
        <v>3</v>
      </c>
      <c r="E1153" t="s">
        <v>865</v>
      </c>
      <c r="F1153" s="2">
        <v>25</v>
      </c>
      <c r="G1153" t="s">
        <v>710</v>
      </c>
    </row>
    <row r="1154" spans="1:7">
      <c r="A1154" s="1">
        <v>45922</v>
      </c>
      <c r="B1154" s="78">
        <v>45901</v>
      </c>
      <c r="C1154" t="s">
        <v>1456</v>
      </c>
      <c r="D1154" s="26" t="s">
        <v>3</v>
      </c>
      <c r="E1154" t="s">
        <v>865</v>
      </c>
      <c r="F1154" s="2">
        <v>1.8800000000046566</v>
      </c>
      <c r="G1154" t="s">
        <v>710</v>
      </c>
    </row>
    <row r="1155" spans="1:7">
      <c r="A1155" s="1">
        <v>45922</v>
      </c>
      <c r="B1155" s="78">
        <v>45901</v>
      </c>
      <c r="C1155" t="s">
        <v>1457</v>
      </c>
      <c r="D1155" s="26" t="s">
        <v>31</v>
      </c>
      <c r="E1155" t="s">
        <v>989</v>
      </c>
      <c r="F1155" s="109">
        <v>100000</v>
      </c>
      <c r="G1155" t="s">
        <v>710</v>
      </c>
    </row>
    <row r="1156" spans="1:7">
      <c r="A1156" s="1">
        <v>45922</v>
      </c>
      <c r="B1156" s="78">
        <v>45901</v>
      </c>
      <c r="C1156" t="s">
        <v>1457</v>
      </c>
      <c r="D1156" s="26" t="s">
        <v>3</v>
      </c>
      <c r="E1156" t="s">
        <v>865</v>
      </c>
      <c r="F1156" s="110">
        <v>50</v>
      </c>
      <c r="G1156" t="s">
        <v>710</v>
      </c>
    </row>
    <row r="1157" spans="1:7">
      <c r="A1157" s="1">
        <v>45922</v>
      </c>
      <c r="B1157" s="78">
        <v>45901</v>
      </c>
      <c r="C1157" t="s">
        <v>1457</v>
      </c>
      <c r="D1157" s="26" t="s">
        <v>3</v>
      </c>
      <c r="E1157" t="s">
        <v>865</v>
      </c>
      <c r="F1157">
        <v>3.75</v>
      </c>
      <c r="G1157" t="s">
        <v>710</v>
      </c>
    </row>
    <row r="1158" spans="1:7">
      <c r="A1158" s="1">
        <v>45923</v>
      </c>
      <c r="B1158" s="78">
        <v>45901</v>
      </c>
      <c r="C1158" t="s">
        <v>1458</v>
      </c>
      <c r="D1158" s="26" t="s">
        <v>13</v>
      </c>
      <c r="E1158" t="s">
        <v>800</v>
      </c>
      <c r="F1158" s="109">
        <v>1548000</v>
      </c>
      <c r="G1158" t="s">
        <v>710</v>
      </c>
    </row>
    <row r="1159" spans="1:7">
      <c r="A1159" s="1">
        <v>45923</v>
      </c>
      <c r="B1159" s="78">
        <v>45901</v>
      </c>
      <c r="C1159" t="s">
        <v>1459</v>
      </c>
      <c r="D1159" s="26" t="s">
        <v>3</v>
      </c>
      <c r="E1159" t="s">
        <v>1356</v>
      </c>
      <c r="F1159" s="110">
        <v>50</v>
      </c>
      <c r="G1159" t="s">
        <v>710</v>
      </c>
    </row>
    <row r="1160" spans="1:7">
      <c r="A1160" s="1">
        <v>45923</v>
      </c>
      <c r="B1160" s="78">
        <v>45901</v>
      </c>
      <c r="C1160" t="s">
        <v>1460</v>
      </c>
      <c r="D1160" s="26" t="s">
        <v>3</v>
      </c>
      <c r="E1160" t="s">
        <v>1356</v>
      </c>
      <c r="F1160">
        <v>3.75</v>
      </c>
      <c r="G1160" t="s">
        <v>710</v>
      </c>
    </row>
    <row r="1161" spans="1:7">
      <c r="A1161" s="1">
        <v>45923</v>
      </c>
      <c r="B1161" s="78">
        <v>45901</v>
      </c>
      <c r="C1161" t="s">
        <v>1461</v>
      </c>
      <c r="D1161" s="26" t="s">
        <v>24</v>
      </c>
      <c r="E1161" t="s">
        <v>989</v>
      </c>
      <c r="F1161" s="2">
        <v>-100000</v>
      </c>
      <c r="G1161" t="s">
        <v>710</v>
      </c>
    </row>
    <row r="1162" spans="1:7">
      <c r="A1162" s="1">
        <v>45923</v>
      </c>
      <c r="B1162" s="78">
        <v>45901</v>
      </c>
      <c r="C1162" t="s">
        <v>1462</v>
      </c>
      <c r="D1162" s="26" t="s">
        <v>3</v>
      </c>
      <c r="E1162" t="s">
        <v>865</v>
      </c>
      <c r="F1162" s="110">
        <v>50</v>
      </c>
      <c r="G1162" t="s">
        <v>710</v>
      </c>
    </row>
    <row r="1163" spans="1:7">
      <c r="A1163" s="1">
        <v>45924</v>
      </c>
      <c r="B1163" s="78">
        <v>45901</v>
      </c>
      <c r="C1163" t="s">
        <v>1463</v>
      </c>
      <c r="D1163" s="26" t="s">
        <v>4</v>
      </c>
      <c r="E1163" t="s">
        <v>874</v>
      </c>
      <c r="F1163" s="109">
        <v>2350000</v>
      </c>
      <c r="G1163" t="s">
        <v>710</v>
      </c>
    </row>
    <row r="1164" spans="1:7">
      <c r="A1164" s="1">
        <v>45924</v>
      </c>
      <c r="B1164" s="78">
        <v>45901</v>
      </c>
      <c r="C1164" t="s">
        <v>1464</v>
      </c>
      <c r="D1164" s="26" t="s">
        <v>3</v>
      </c>
      <c r="E1164" t="s">
        <v>865</v>
      </c>
      <c r="F1164" s="110">
        <v>50</v>
      </c>
      <c r="G1164" t="s">
        <v>710</v>
      </c>
    </row>
    <row r="1165" spans="1:7">
      <c r="A1165" s="1">
        <v>45924</v>
      </c>
      <c r="B1165" s="78">
        <v>45901</v>
      </c>
      <c r="C1165" t="s">
        <v>1465</v>
      </c>
      <c r="D1165" s="26" t="s">
        <v>3</v>
      </c>
      <c r="E1165" t="s">
        <v>865</v>
      </c>
      <c r="F1165">
        <v>3.75</v>
      </c>
      <c r="G1165" t="s">
        <v>710</v>
      </c>
    </row>
    <row r="1166" spans="1:7">
      <c r="A1166" s="1">
        <v>45924</v>
      </c>
      <c r="B1166" s="78">
        <v>45901</v>
      </c>
      <c r="C1166" t="s">
        <v>1466</v>
      </c>
      <c r="D1166" s="26" t="s">
        <v>13</v>
      </c>
      <c r="E1166" t="s">
        <v>800</v>
      </c>
      <c r="F1166" s="109">
        <v>52000</v>
      </c>
      <c r="G1166" t="s">
        <v>710</v>
      </c>
    </row>
    <row r="1167" spans="1:7">
      <c r="A1167" s="1">
        <v>45924</v>
      </c>
      <c r="B1167" s="78">
        <v>45901</v>
      </c>
      <c r="C1167" t="s">
        <v>1466</v>
      </c>
      <c r="D1167" s="26" t="s">
        <v>3</v>
      </c>
      <c r="E1167" t="s">
        <v>865</v>
      </c>
      <c r="F1167" s="110">
        <v>50</v>
      </c>
      <c r="G1167" t="s">
        <v>710</v>
      </c>
    </row>
    <row r="1168" spans="1:7">
      <c r="A1168" s="1">
        <v>45924</v>
      </c>
      <c r="B1168" s="78">
        <v>45901</v>
      </c>
      <c r="C1168" t="s">
        <v>1466</v>
      </c>
      <c r="D1168" s="26" t="s">
        <v>3</v>
      </c>
      <c r="E1168" t="s">
        <v>865</v>
      </c>
      <c r="F1168">
        <v>3.75</v>
      </c>
      <c r="G1168" t="s">
        <v>710</v>
      </c>
    </row>
    <row r="1169" spans="1:7">
      <c r="A1169" s="1">
        <v>45925</v>
      </c>
      <c r="B1169" s="78">
        <v>45901</v>
      </c>
      <c r="C1169" t="s">
        <v>1467</v>
      </c>
      <c r="D1169" s="26" t="s">
        <v>8</v>
      </c>
      <c r="E1169" t="s">
        <v>1442</v>
      </c>
      <c r="F1169" s="109">
        <v>158172.20000000001</v>
      </c>
      <c r="G1169" t="s">
        <v>710</v>
      </c>
    </row>
    <row r="1170" spans="1:7">
      <c r="A1170" s="1">
        <v>45925</v>
      </c>
      <c r="B1170" s="78">
        <v>45901</v>
      </c>
      <c r="C1170" t="s">
        <v>1468</v>
      </c>
      <c r="D1170" s="26" t="s">
        <v>3</v>
      </c>
      <c r="E1170" t="s">
        <v>865</v>
      </c>
      <c r="F1170" s="110">
        <v>50</v>
      </c>
      <c r="G1170" t="s">
        <v>710</v>
      </c>
    </row>
    <row r="1171" spans="1:7">
      <c r="A1171" s="1">
        <v>45925</v>
      </c>
      <c r="B1171" s="78">
        <v>45901</v>
      </c>
      <c r="C1171" t="s">
        <v>1469</v>
      </c>
      <c r="D1171" s="26" t="s">
        <v>3</v>
      </c>
      <c r="E1171" t="s">
        <v>865</v>
      </c>
      <c r="F1171">
        <v>3.75</v>
      </c>
      <c r="G1171" t="s">
        <v>710</v>
      </c>
    </row>
    <row r="1172" spans="1:7">
      <c r="A1172" s="1">
        <v>45925</v>
      </c>
      <c r="B1172" s="78">
        <v>45901</v>
      </c>
      <c r="C1172" t="s">
        <v>1470</v>
      </c>
      <c r="D1172" s="26" t="s">
        <v>8</v>
      </c>
      <c r="E1172" t="s">
        <v>1442</v>
      </c>
      <c r="F1172" s="109">
        <v>283172.2</v>
      </c>
      <c r="G1172" t="s">
        <v>710</v>
      </c>
    </row>
    <row r="1173" spans="1:7">
      <c r="A1173" s="1">
        <v>45925</v>
      </c>
      <c r="B1173" s="78">
        <v>45901</v>
      </c>
      <c r="C1173" t="s">
        <v>1471</v>
      </c>
      <c r="D1173" s="26" t="s">
        <v>3</v>
      </c>
      <c r="E1173" t="s">
        <v>865</v>
      </c>
      <c r="F1173" s="110">
        <v>50</v>
      </c>
      <c r="G1173" t="s">
        <v>710</v>
      </c>
    </row>
    <row r="1174" spans="1:7">
      <c r="A1174" s="1">
        <v>45925</v>
      </c>
      <c r="B1174" s="78">
        <v>45901</v>
      </c>
      <c r="C1174" t="s">
        <v>1472</v>
      </c>
      <c r="D1174" s="26" t="s">
        <v>3</v>
      </c>
      <c r="E1174" t="s">
        <v>865</v>
      </c>
      <c r="F1174">
        <v>3.75</v>
      </c>
      <c r="G1174" t="s">
        <v>710</v>
      </c>
    </row>
    <row r="1175" spans="1:7">
      <c r="A1175" s="1">
        <v>45925</v>
      </c>
      <c r="B1175" s="78">
        <v>45901</v>
      </c>
      <c r="C1175" t="s">
        <v>1473</v>
      </c>
      <c r="D1175" s="26" t="s">
        <v>8</v>
      </c>
      <c r="E1175" t="s">
        <v>1442</v>
      </c>
      <c r="F1175" s="109">
        <v>283172.2</v>
      </c>
      <c r="G1175" t="s">
        <v>710</v>
      </c>
    </row>
    <row r="1176" spans="1:7">
      <c r="A1176" s="1">
        <v>45925</v>
      </c>
      <c r="B1176" s="78">
        <v>45901</v>
      </c>
      <c r="C1176" t="s">
        <v>1474</v>
      </c>
      <c r="D1176" s="26" t="s">
        <v>3</v>
      </c>
      <c r="E1176" t="s">
        <v>865</v>
      </c>
      <c r="F1176" s="110">
        <v>50</v>
      </c>
      <c r="G1176" t="s">
        <v>710</v>
      </c>
    </row>
    <row r="1177" spans="1:7">
      <c r="A1177" s="1">
        <v>45925</v>
      </c>
      <c r="B1177" s="78">
        <v>45901</v>
      </c>
      <c r="C1177" t="s">
        <v>1475</v>
      </c>
      <c r="D1177" s="26" t="s">
        <v>3</v>
      </c>
      <c r="E1177" t="s">
        <v>865</v>
      </c>
      <c r="F1177">
        <v>3.75</v>
      </c>
      <c r="G1177" t="s">
        <v>710</v>
      </c>
    </row>
    <row r="1178" spans="1:7">
      <c r="A1178" s="1">
        <v>45925</v>
      </c>
      <c r="B1178" s="78">
        <v>45901</v>
      </c>
      <c r="C1178" t="s">
        <v>1476</v>
      </c>
      <c r="D1178" s="26" t="s">
        <v>8</v>
      </c>
      <c r="E1178" t="s">
        <v>1442</v>
      </c>
      <c r="F1178" s="109">
        <v>140171.67000000001</v>
      </c>
      <c r="G1178" t="s">
        <v>710</v>
      </c>
    </row>
    <row r="1179" spans="1:7">
      <c r="A1179" s="1">
        <v>45925</v>
      </c>
      <c r="B1179" s="78">
        <v>45901</v>
      </c>
      <c r="C1179" t="s">
        <v>1477</v>
      </c>
      <c r="D1179" s="26" t="s">
        <v>3</v>
      </c>
      <c r="E1179" t="s">
        <v>865</v>
      </c>
      <c r="F1179" s="110">
        <v>50</v>
      </c>
      <c r="G1179" t="s">
        <v>710</v>
      </c>
    </row>
    <row r="1180" spans="1:7">
      <c r="A1180" s="1">
        <v>45925</v>
      </c>
      <c r="B1180" s="78">
        <v>45901</v>
      </c>
      <c r="C1180" t="s">
        <v>1478</v>
      </c>
      <c r="D1180" s="26" t="s">
        <v>3</v>
      </c>
      <c r="E1180" t="s">
        <v>865</v>
      </c>
      <c r="F1180">
        <v>3.75</v>
      </c>
      <c r="G1180" t="s">
        <v>710</v>
      </c>
    </row>
    <row r="1181" spans="1:7">
      <c r="A1181" s="1">
        <v>45925</v>
      </c>
      <c r="B1181" s="78">
        <v>45901</v>
      </c>
      <c r="C1181" t="s">
        <v>1479</v>
      </c>
      <c r="D1181" s="26" t="s">
        <v>8</v>
      </c>
      <c r="E1181" t="s">
        <v>1442</v>
      </c>
      <c r="F1181" s="109">
        <v>44432.33</v>
      </c>
      <c r="G1181" t="s">
        <v>710</v>
      </c>
    </row>
    <row r="1182" spans="1:7">
      <c r="A1182" s="1">
        <v>45925</v>
      </c>
      <c r="B1182" s="78">
        <v>45901</v>
      </c>
      <c r="C1182" t="s">
        <v>1480</v>
      </c>
      <c r="D1182" s="26" t="s">
        <v>3</v>
      </c>
      <c r="E1182" t="s">
        <v>865</v>
      </c>
      <c r="F1182" s="2">
        <v>25</v>
      </c>
      <c r="G1182" t="s">
        <v>710</v>
      </c>
    </row>
    <row r="1183" spans="1:7">
      <c r="A1183" s="1">
        <v>45925</v>
      </c>
      <c r="B1183" s="78">
        <v>45901</v>
      </c>
      <c r="C1183" t="s">
        <v>1481</v>
      </c>
      <c r="D1183" s="26" t="s">
        <v>3</v>
      </c>
      <c r="E1183" t="s">
        <v>865</v>
      </c>
      <c r="F1183" s="2">
        <v>1.8800000000046566</v>
      </c>
      <c r="G1183" t="s">
        <v>710</v>
      </c>
    </row>
    <row r="1184" spans="1:7">
      <c r="A1184" s="1">
        <v>45925</v>
      </c>
      <c r="B1184" s="78">
        <v>45901</v>
      </c>
      <c r="C1184" t="s">
        <v>1482</v>
      </c>
      <c r="D1184" s="26" t="s">
        <v>8</v>
      </c>
      <c r="E1184" t="s">
        <v>1442</v>
      </c>
      <c r="F1184" s="109">
        <v>44432.33</v>
      </c>
      <c r="G1184" t="s">
        <v>710</v>
      </c>
    </row>
    <row r="1185" spans="1:7">
      <c r="A1185" s="1">
        <v>45925</v>
      </c>
      <c r="B1185" s="78">
        <v>45901</v>
      </c>
      <c r="C1185" t="s">
        <v>1483</v>
      </c>
      <c r="D1185" s="26" t="s">
        <v>3</v>
      </c>
      <c r="E1185" t="s">
        <v>865</v>
      </c>
      <c r="F1185" s="2">
        <v>25</v>
      </c>
      <c r="G1185" t="s">
        <v>710</v>
      </c>
    </row>
    <row r="1186" spans="1:7">
      <c r="A1186" s="1">
        <v>45925</v>
      </c>
      <c r="B1186" s="78">
        <v>45901</v>
      </c>
      <c r="C1186" t="s">
        <v>1484</v>
      </c>
      <c r="D1186" s="26" t="s">
        <v>3</v>
      </c>
      <c r="E1186" t="s">
        <v>865</v>
      </c>
      <c r="F1186" s="2">
        <v>1.8800000000046566</v>
      </c>
      <c r="G1186" t="s">
        <v>710</v>
      </c>
    </row>
    <row r="1187" spans="1:7">
      <c r="A1187" s="1">
        <v>45925</v>
      </c>
      <c r="B1187" s="78">
        <v>45901</v>
      </c>
      <c r="C1187" t="s">
        <v>1485</v>
      </c>
      <c r="D1187" s="26" t="s">
        <v>8</v>
      </c>
      <c r="E1187" t="s">
        <v>1442</v>
      </c>
      <c r="F1187" s="109">
        <v>44432.33</v>
      </c>
      <c r="G1187" t="s">
        <v>710</v>
      </c>
    </row>
    <row r="1188" spans="1:7">
      <c r="A1188" s="1">
        <v>45925</v>
      </c>
      <c r="B1188" s="78">
        <v>45901</v>
      </c>
      <c r="C1188" t="s">
        <v>1486</v>
      </c>
      <c r="D1188" s="26" t="s">
        <v>3</v>
      </c>
      <c r="E1188" t="s">
        <v>865</v>
      </c>
      <c r="F1188" s="2">
        <v>25</v>
      </c>
      <c r="G1188" t="s">
        <v>710</v>
      </c>
    </row>
    <row r="1189" spans="1:7">
      <c r="A1189" s="1">
        <v>45925</v>
      </c>
      <c r="B1189" s="78">
        <v>45901</v>
      </c>
      <c r="C1189" t="s">
        <v>1487</v>
      </c>
      <c r="D1189" s="26" t="s">
        <v>3</v>
      </c>
      <c r="E1189" t="s">
        <v>865</v>
      </c>
      <c r="F1189" s="2">
        <v>1.8800000000046566</v>
      </c>
      <c r="G1189" t="s">
        <v>710</v>
      </c>
    </row>
    <row r="1190" spans="1:7">
      <c r="A1190" s="1">
        <v>45925</v>
      </c>
      <c r="B1190" s="78">
        <v>45901</v>
      </c>
      <c r="C1190" t="s">
        <v>1488</v>
      </c>
      <c r="D1190" s="26" t="s">
        <v>8</v>
      </c>
      <c r="E1190" t="s">
        <v>1442</v>
      </c>
      <c r="F1190" s="109">
        <v>486614.6</v>
      </c>
      <c r="G1190" t="s">
        <v>710</v>
      </c>
    </row>
    <row r="1191" spans="1:7">
      <c r="A1191" s="1">
        <v>45925</v>
      </c>
      <c r="B1191" s="78">
        <v>45901</v>
      </c>
      <c r="C1191" t="s">
        <v>1489</v>
      </c>
      <c r="D1191" s="26" t="s">
        <v>3</v>
      </c>
      <c r="E1191" t="s">
        <v>865</v>
      </c>
      <c r="F1191" s="110">
        <v>50</v>
      </c>
      <c r="G1191" t="s">
        <v>710</v>
      </c>
    </row>
    <row r="1192" spans="1:7">
      <c r="A1192" s="1">
        <v>45925</v>
      </c>
      <c r="B1192" s="78">
        <v>45901</v>
      </c>
      <c r="C1192" t="s">
        <v>1490</v>
      </c>
      <c r="D1192" s="26" t="s">
        <v>3</v>
      </c>
      <c r="E1192" t="s">
        <v>865</v>
      </c>
      <c r="F1192">
        <v>3.75</v>
      </c>
      <c r="G1192" t="s">
        <v>710</v>
      </c>
    </row>
    <row r="1193" spans="1:7">
      <c r="A1193" s="1">
        <v>45925</v>
      </c>
      <c r="B1193" s="78">
        <v>45901</v>
      </c>
      <c r="C1193" t="s">
        <v>1491</v>
      </c>
      <c r="D1193" s="26" t="s">
        <v>8</v>
      </c>
      <c r="E1193" t="s">
        <v>1442</v>
      </c>
      <c r="F1193" s="109">
        <v>283172.2</v>
      </c>
      <c r="G1193" t="s">
        <v>710</v>
      </c>
    </row>
    <row r="1194" spans="1:7">
      <c r="A1194" s="1">
        <v>45925</v>
      </c>
      <c r="B1194" s="78">
        <v>45901</v>
      </c>
      <c r="C1194" t="s">
        <v>1492</v>
      </c>
      <c r="D1194" s="26" t="s">
        <v>3</v>
      </c>
      <c r="E1194" t="s">
        <v>865</v>
      </c>
      <c r="F1194" s="110">
        <v>50</v>
      </c>
      <c r="G1194" t="s">
        <v>710</v>
      </c>
    </row>
    <row r="1195" spans="1:7">
      <c r="A1195" s="1">
        <v>45925</v>
      </c>
      <c r="B1195" s="78">
        <v>45901</v>
      </c>
      <c r="C1195" t="s">
        <v>1493</v>
      </c>
      <c r="D1195" s="26" t="s">
        <v>3</v>
      </c>
      <c r="E1195" t="s">
        <v>865</v>
      </c>
      <c r="F1195">
        <v>3.75</v>
      </c>
      <c r="G1195" t="s">
        <v>710</v>
      </c>
    </row>
    <row r="1196" spans="1:7">
      <c r="A1196" s="1">
        <v>45925</v>
      </c>
      <c r="B1196" s="78">
        <v>45901</v>
      </c>
      <c r="C1196" t="s">
        <v>1494</v>
      </c>
      <c r="D1196" s="26" t="s">
        <v>8</v>
      </c>
      <c r="E1196" t="s">
        <v>1442</v>
      </c>
      <c r="F1196" s="109">
        <v>283172.2</v>
      </c>
      <c r="G1196" t="s">
        <v>710</v>
      </c>
    </row>
    <row r="1197" spans="1:7">
      <c r="A1197" s="1">
        <v>45925</v>
      </c>
      <c r="B1197" s="78">
        <v>45901</v>
      </c>
      <c r="C1197" t="s">
        <v>1495</v>
      </c>
      <c r="D1197" s="26" t="s">
        <v>3</v>
      </c>
      <c r="E1197" t="s">
        <v>865</v>
      </c>
      <c r="F1197" s="110">
        <v>50</v>
      </c>
      <c r="G1197" t="s">
        <v>710</v>
      </c>
    </row>
    <row r="1198" spans="1:7">
      <c r="A1198" s="1">
        <v>45925</v>
      </c>
      <c r="B1198" s="78">
        <v>45901</v>
      </c>
      <c r="C1198" t="s">
        <v>1496</v>
      </c>
      <c r="D1198" s="26" t="s">
        <v>3</v>
      </c>
      <c r="E1198" t="s">
        <v>865</v>
      </c>
      <c r="F1198">
        <v>3.75</v>
      </c>
      <c r="G1198" t="s">
        <v>710</v>
      </c>
    </row>
    <row r="1199" spans="1:7">
      <c r="A1199" s="1">
        <v>45925</v>
      </c>
      <c r="B1199" s="78">
        <v>45901</v>
      </c>
      <c r="C1199" t="s">
        <v>1497</v>
      </c>
      <c r="D1199" s="26" t="s">
        <v>8</v>
      </c>
      <c r="E1199" t="s">
        <v>1442</v>
      </c>
      <c r="F1199" s="109">
        <v>283172.2</v>
      </c>
      <c r="G1199" t="s">
        <v>710</v>
      </c>
    </row>
    <row r="1200" spans="1:7">
      <c r="A1200" s="1">
        <v>45925</v>
      </c>
      <c r="B1200" s="78">
        <v>45901</v>
      </c>
      <c r="C1200" t="s">
        <v>1498</v>
      </c>
      <c r="D1200" s="26" t="s">
        <v>3</v>
      </c>
      <c r="E1200" t="s">
        <v>865</v>
      </c>
      <c r="F1200" s="110">
        <v>50</v>
      </c>
      <c r="G1200" t="s">
        <v>710</v>
      </c>
    </row>
    <row r="1201" spans="1:7">
      <c r="A1201" s="1">
        <v>45925</v>
      </c>
      <c r="B1201" s="78">
        <v>45901</v>
      </c>
      <c r="C1201" t="s">
        <v>1499</v>
      </c>
      <c r="D1201" s="26" t="s">
        <v>3</v>
      </c>
      <c r="E1201" t="s">
        <v>865</v>
      </c>
      <c r="F1201">
        <v>3.75</v>
      </c>
      <c r="G1201" t="s">
        <v>710</v>
      </c>
    </row>
    <row r="1202" spans="1:7">
      <c r="A1202" s="1">
        <v>45925</v>
      </c>
      <c r="B1202" s="78">
        <v>45901</v>
      </c>
      <c r="C1202" t="s">
        <v>1500</v>
      </c>
      <c r="D1202" s="26" t="s">
        <v>8</v>
      </c>
      <c r="E1202" t="s">
        <v>1442</v>
      </c>
      <c r="F1202" s="109">
        <v>140171.67000000001</v>
      </c>
      <c r="G1202" t="s">
        <v>710</v>
      </c>
    </row>
    <row r="1203" spans="1:7">
      <c r="A1203" s="1">
        <v>45925</v>
      </c>
      <c r="B1203" s="78">
        <v>45901</v>
      </c>
      <c r="C1203" t="s">
        <v>1501</v>
      </c>
      <c r="D1203" s="26" t="s">
        <v>3</v>
      </c>
      <c r="E1203" t="s">
        <v>865</v>
      </c>
      <c r="F1203" s="110">
        <v>50</v>
      </c>
      <c r="G1203" t="s">
        <v>710</v>
      </c>
    </row>
    <row r="1204" spans="1:7">
      <c r="A1204" s="1">
        <v>45925</v>
      </c>
      <c r="B1204" s="78">
        <v>45901</v>
      </c>
      <c r="C1204" t="s">
        <v>1502</v>
      </c>
      <c r="D1204" s="26" t="s">
        <v>3</v>
      </c>
      <c r="E1204" t="s">
        <v>865</v>
      </c>
      <c r="F1204">
        <v>3.75</v>
      </c>
      <c r="G1204" t="s">
        <v>710</v>
      </c>
    </row>
    <row r="1205" spans="1:7">
      <c r="A1205" s="1">
        <v>45925</v>
      </c>
      <c r="B1205" s="78">
        <v>45901</v>
      </c>
      <c r="C1205" t="s">
        <v>1503</v>
      </c>
      <c r="D1205" s="26" t="s">
        <v>8</v>
      </c>
      <c r="E1205" t="s">
        <v>1442</v>
      </c>
      <c r="F1205" s="109">
        <v>52835</v>
      </c>
      <c r="G1205" t="s">
        <v>710</v>
      </c>
    </row>
    <row r="1206" spans="1:7">
      <c r="A1206" s="1">
        <v>45925</v>
      </c>
      <c r="B1206" s="78">
        <v>45901</v>
      </c>
      <c r="C1206" t="s">
        <v>1504</v>
      </c>
      <c r="D1206" s="26" t="s">
        <v>3</v>
      </c>
      <c r="E1206" t="s">
        <v>865</v>
      </c>
      <c r="F1206" s="110">
        <v>50</v>
      </c>
      <c r="G1206" t="s">
        <v>710</v>
      </c>
    </row>
    <row r="1207" spans="1:7">
      <c r="A1207" s="1">
        <v>45925</v>
      </c>
      <c r="B1207" s="78">
        <v>45901</v>
      </c>
      <c r="C1207" t="s">
        <v>1505</v>
      </c>
      <c r="D1207" s="26" t="s">
        <v>3</v>
      </c>
      <c r="E1207" t="s">
        <v>865</v>
      </c>
      <c r="F1207">
        <v>3.75</v>
      </c>
      <c r="G1207" t="s">
        <v>710</v>
      </c>
    </row>
    <row r="1208" spans="1:7">
      <c r="A1208" s="1">
        <v>45925</v>
      </c>
      <c r="B1208" s="78">
        <v>45901</v>
      </c>
      <c r="C1208" t="s">
        <v>1506</v>
      </c>
      <c r="D1208" s="26" t="s">
        <v>8</v>
      </c>
      <c r="E1208" t="s">
        <v>1442</v>
      </c>
      <c r="F1208" s="109">
        <v>52835</v>
      </c>
      <c r="G1208" t="s">
        <v>710</v>
      </c>
    </row>
    <row r="1209" spans="1:7">
      <c r="A1209" s="1">
        <v>45925</v>
      </c>
      <c r="B1209" s="78">
        <v>45901</v>
      </c>
      <c r="C1209" t="s">
        <v>1507</v>
      </c>
      <c r="D1209" s="26" t="s">
        <v>3</v>
      </c>
      <c r="E1209" t="s">
        <v>865</v>
      </c>
      <c r="F1209" s="110">
        <v>50</v>
      </c>
      <c r="G1209" t="s">
        <v>710</v>
      </c>
    </row>
    <row r="1210" spans="1:7">
      <c r="A1210" s="1">
        <v>45925</v>
      </c>
      <c r="B1210" s="78">
        <v>45901</v>
      </c>
      <c r="C1210" t="s">
        <v>1508</v>
      </c>
      <c r="D1210" s="26" t="s">
        <v>3</v>
      </c>
      <c r="E1210" t="s">
        <v>865</v>
      </c>
      <c r="F1210">
        <v>3.75</v>
      </c>
      <c r="G1210" t="s">
        <v>710</v>
      </c>
    </row>
    <row r="1211" spans="1:7">
      <c r="A1211" s="1">
        <v>45925</v>
      </c>
      <c r="B1211" s="78">
        <v>45901</v>
      </c>
      <c r="C1211" t="s">
        <v>1509</v>
      </c>
      <c r="D1211" s="26" t="s">
        <v>8</v>
      </c>
      <c r="E1211" t="s">
        <v>1442</v>
      </c>
      <c r="F1211" s="109">
        <v>44432.33</v>
      </c>
      <c r="G1211" t="s">
        <v>710</v>
      </c>
    </row>
    <row r="1212" spans="1:7">
      <c r="A1212" s="1">
        <v>45925</v>
      </c>
      <c r="B1212" s="78">
        <v>45901</v>
      </c>
      <c r="C1212" t="s">
        <v>1510</v>
      </c>
      <c r="D1212" s="26" t="s">
        <v>3</v>
      </c>
      <c r="E1212" t="s">
        <v>865</v>
      </c>
      <c r="F1212" s="2">
        <v>25</v>
      </c>
      <c r="G1212" t="s">
        <v>710</v>
      </c>
    </row>
    <row r="1213" spans="1:7">
      <c r="A1213" s="1">
        <v>45925</v>
      </c>
      <c r="B1213" s="78">
        <v>45901</v>
      </c>
      <c r="C1213" t="s">
        <v>1511</v>
      </c>
      <c r="D1213" s="26" t="s">
        <v>3</v>
      </c>
      <c r="E1213" t="s">
        <v>865</v>
      </c>
      <c r="F1213" s="2">
        <v>1.8800000000046566</v>
      </c>
      <c r="G1213" t="s">
        <v>710</v>
      </c>
    </row>
    <row r="1214" spans="1:7">
      <c r="A1214" s="1">
        <v>45925</v>
      </c>
      <c r="B1214" s="78">
        <v>45901</v>
      </c>
      <c r="C1214" t="s">
        <v>1512</v>
      </c>
      <c r="D1214" s="26" t="s">
        <v>8</v>
      </c>
      <c r="E1214" t="s">
        <v>1442</v>
      </c>
      <c r="F1214" s="109">
        <v>283172.2</v>
      </c>
      <c r="G1214" t="s">
        <v>710</v>
      </c>
    </row>
    <row r="1215" spans="1:7">
      <c r="A1215" s="1">
        <v>45925</v>
      </c>
      <c r="B1215" s="78">
        <v>45901</v>
      </c>
      <c r="C1215" t="s">
        <v>1513</v>
      </c>
      <c r="D1215" s="26" t="s">
        <v>3</v>
      </c>
      <c r="E1215" t="s">
        <v>865</v>
      </c>
      <c r="F1215" s="110">
        <v>50</v>
      </c>
      <c r="G1215" t="s">
        <v>710</v>
      </c>
    </row>
    <row r="1216" spans="1:7">
      <c r="A1216" s="1">
        <v>45925</v>
      </c>
      <c r="B1216" s="78">
        <v>45901</v>
      </c>
      <c r="C1216" t="s">
        <v>1514</v>
      </c>
      <c r="D1216" s="26" t="s">
        <v>3</v>
      </c>
      <c r="E1216" t="s">
        <v>865</v>
      </c>
      <c r="F1216">
        <v>3.75</v>
      </c>
      <c r="G1216" t="s">
        <v>710</v>
      </c>
    </row>
    <row r="1217" spans="1:7">
      <c r="A1217" s="1">
        <v>45925</v>
      </c>
      <c r="B1217" s="78">
        <v>45901</v>
      </c>
      <c r="C1217" t="s">
        <v>1515</v>
      </c>
      <c r="D1217" s="26" t="s">
        <v>8</v>
      </c>
      <c r="E1217" t="s">
        <v>1442</v>
      </c>
      <c r="F1217" s="109">
        <v>4019028.36</v>
      </c>
      <c r="G1217" t="s">
        <v>710</v>
      </c>
    </row>
    <row r="1218" spans="1:7">
      <c r="A1218" s="1">
        <v>45925</v>
      </c>
      <c r="B1218" s="78">
        <v>45901</v>
      </c>
      <c r="C1218" t="s">
        <v>1516</v>
      </c>
      <c r="D1218" s="26" t="s">
        <v>3</v>
      </c>
      <c r="E1218" t="s">
        <v>865</v>
      </c>
      <c r="F1218" s="110">
        <v>50</v>
      </c>
      <c r="G1218" t="s">
        <v>710</v>
      </c>
    </row>
    <row r="1219" spans="1:7">
      <c r="A1219" s="1">
        <v>45925</v>
      </c>
      <c r="B1219" s="78">
        <v>45901</v>
      </c>
      <c r="C1219" t="s">
        <v>1517</v>
      </c>
      <c r="D1219" s="26" t="s">
        <v>3</v>
      </c>
      <c r="E1219" t="s">
        <v>865</v>
      </c>
      <c r="F1219">
        <v>3.75</v>
      </c>
      <c r="G1219" t="s">
        <v>710</v>
      </c>
    </row>
    <row r="1220" spans="1:7">
      <c r="A1220" s="1">
        <v>45925</v>
      </c>
      <c r="B1220" s="78">
        <v>45901</v>
      </c>
      <c r="C1220" t="s">
        <v>1518</v>
      </c>
      <c r="D1220" s="26" t="s">
        <v>8</v>
      </c>
      <c r="E1220" t="s">
        <v>1442</v>
      </c>
      <c r="F1220" s="109">
        <v>283172.2</v>
      </c>
      <c r="G1220" t="s">
        <v>710</v>
      </c>
    </row>
    <row r="1221" spans="1:7">
      <c r="A1221" s="1">
        <v>45925</v>
      </c>
      <c r="B1221" s="78">
        <v>45901</v>
      </c>
      <c r="C1221" t="s">
        <v>1519</v>
      </c>
      <c r="D1221" s="26" t="s">
        <v>3</v>
      </c>
      <c r="E1221" t="s">
        <v>865</v>
      </c>
      <c r="F1221" s="110">
        <v>50</v>
      </c>
      <c r="G1221" t="s">
        <v>710</v>
      </c>
    </row>
    <row r="1222" spans="1:7">
      <c r="A1222" s="1">
        <v>45925</v>
      </c>
      <c r="B1222" s="78">
        <v>45901</v>
      </c>
      <c r="C1222" t="s">
        <v>1520</v>
      </c>
      <c r="D1222" s="26" t="s">
        <v>3</v>
      </c>
      <c r="E1222" t="s">
        <v>865</v>
      </c>
      <c r="F1222">
        <v>3.75</v>
      </c>
      <c r="G1222" t="s">
        <v>710</v>
      </c>
    </row>
    <row r="1223" spans="1:7">
      <c r="A1223" s="1">
        <v>45925</v>
      </c>
      <c r="B1223" s="78">
        <v>45901</v>
      </c>
      <c r="C1223" t="s">
        <v>1521</v>
      </c>
      <c r="D1223" s="26" t="s">
        <v>8</v>
      </c>
      <c r="E1223" t="s">
        <v>1442</v>
      </c>
      <c r="F1223" s="109">
        <v>2295519.56</v>
      </c>
      <c r="G1223" t="s">
        <v>710</v>
      </c>
    </row>
    <row r="1224" spans="1:7">
      <c r="A1224" s="1">
        <v>45925</v>
      </c>
      <c r="B1224" s="78">
        <v>45901</v>
      </c>
      <c r="C1224" t="s">
        <v>1522</v>
      </c>
      <c r="D1224" s="26" t="s">
        <v>3</v>
      </c>
      <c r="E1224" t="s">
        <v>865</v>
      </c>
      <c r="F1224" s="110">
        <v>50</v>
      </c>
      <c r="G1224" t="s">
        <v>710</v>
      </c>
    </row>
    <row r="1225" spans="1:7">
      <c r="A1225" s="1">
        <v>45925</v>
      </c>
      <c r="B1225" s="78">
        <v>45901</v>
      </c>
      <c r="C1225" t="s">
        <v>1523</v>
      </c>
      <c r="D1225" s="26" t="s">
        <v>3</v>
      </c>
      <c r="E1225" t="s">
        <v>865</v>
      </c>
      <c r="F1225">
        <v>3.75</v>
      </c>
      <c r="G1225" t="s">
        <v>710</v>
      </c>
    </row>
    <row r="1226" spans="1:7">
      <c r="A1226" s="1">
        <v>45925</v>
      </c>
      <c r="B1226" s="78">
        <v>45901</v>
      </c>
      <c r="C1226" t="s">
        <v>1524</v>
      </c>
      <c r="D1226" s="26" t="s">
        <v>8</v>
      </c>
      <c r="E1226" t="s">
        <v>1442</v>
      </c>
      <c r="F1226" s="109">
        <v>52835</v>
      </c>
      <c r="G1226" t="s">
        <v>710</v>
      </c>
    </row>
    <row r="1227" spans="1:7">
      <c r="A1227" s="1">
        <v>45925</v>
      </c>
      <c r="B1227" s="78">
        <v>45901</v>
      </c>
      <c r="C1227" t="s">
        <v>1525</v>
      </c>
      <c r="D1227" s="26" t="s">
        <v>3</v>
      </c>
      <c r="E1227" t="s">
        <v>865</v>
      </c>
      <c r="F1227" s="110">
        <v>50</v>
      </c>
      <c r="G1227" t="s">
        <v>710</v>
      </c>
    </row>
    <row r="1228" spans="1:7">
      <c r="A1228" s="1">
        <v>45925</v>
      </c>
      <c r="B1228" s="78">
        <v>45901</v>
      </c>
      <c r="C1228" t="s">
        <v>1526</v>
      </c>
      <c r="D1228" s="26" t="s">
        <v>3</v>
      </c>
      <c r="E1228" t="s">
        <v>865</v>
      </c>
      <c r="F1228">
        <v>3.75</v>
      </c>
      <c r="G1228" t="s">
        <v>710</v>
      </c>
    </row>
    <row r="1229" spans="1:7">
      <c r="A1229" s="1">
        <v>45925</v>
      </c>
      <c r="B1229" s="78">
        <v>45901</v>
      </c>
      <c r="C1229" t="s">
        <v>1527</v>
      </c>
      <c r="D1229" s="26" t="s">
        <v>8</v>
      </c>
      <c r="E1229" t="s">
        <v>1442</v>
      </c>
      <c r="F1229" s="109">
        <v>140171.67000000001</v>
      </c>
      <c r="G1229" t="s">
        <v>710</v>
      </c>
    </row>
    <row r="1230" spans="1:7">
      <c r="A1230" s="1">
        <v>45925</v>
      </c>
      <c r="B1230" s="78">
        <v>45901</v>
      </c>
      <c r="C1230" t="s">
        <v>1528</v>
      </c>
      <c r="D1230" s="26" t="s">
        <v>3</v>
      </c>
      <c r="E1230" t="s">
        <v>865</v>
      </c>
      <c r="F1230" s="110">
        <v>50</v>
      </c>
      <c r="G1230" t="s">
        <v>710</v>
      </c>
    </row>
    <row r="1231" spans="1:7">
      <c r="A1231" s="1">
        <v>45925</v>
      </c>
      <c r="B1231" s="78">
        <v>45901</v>
      </c>
      <c r="C1231" t="s">
        <v>1529</v>
      </c>
      <c r="D1231" s="26" t="s">
        <v>3</v>
      </c>
      <c r="E1231" t="s">
        <v>865</v>
      </c>
      <c r="F1231">
        <v>3.75</v>
      </c>
      <c r="G1231" t="s">
        <v>710</v>
      </c>
    </row>
    <row r="1232" spans="1:7">
      <c r="A1232" s="1">
        <v>45925</v>
      </c>
      <c r="B1232" s="78">
        <v>45901</v>
      </c>
      <c r="C1232" t="s">
        <v>1530</v>
      </c>
      <c r="D1232" s="26" t="s">
        <v>8</v>
      </c>
      <c r="E1232" t="s">
        <v>1442</v>
      </c>
      <c r="F1232" s="109">
        <v>44432.33</v>
      </c>
      <c r="G1232" t="s">
        <v>710</v>
      </c>
    </row>
    <row r="1233" spans="1:7">
      <c r="A1233" s="1">
        <v>45925</v>
      </c>
      <c r="B1233" s="78">
        <v>45901</v>
      </c>
      <c r="C1233" t="s">
        <v>1531</v>
      </c>
      <c r="D1233" s="26" t="s">
        <v>3</v>
      </c>
      <c r="E1233" t="s">
        <v>865</v>
      </c>
      <c r="F1233" s="2">
        <v>25</v>
      </c>
      <c r="G1233" t="s">
        <v>710</v>
      </c>
    </row>
    <row r="1234" spans="1:7">
      <c r="A1234" s="1">
        <v>45925</v>
      </c>
      <c r="B1234" s="78">
        <v>45901</v>
      </c>
      <c r="C1234" t="s">
        <v>1532</v>
      </c>
      <c r="D1234" s="26" t="s">
        <v>3</v>
      </c>
      <c r="E1234" t="s">
        <v>865</v>
      </c>
      <c r="F1234" s="2">
        <v>1.8800000000046566</v>
      </c>
      <c r="G1234" t="s">
        <v>710</v>
      </c>
    </row>
    <row r="1235" spans="1:7">
      <c r="A1235" s="1">
        <v>45925</v>
      </c>
      <c r="B1235" s="78">
        <v>45901</v>
      </c>
      <c r="C1235" t="s">
        <v>1533</v>
      </c>
      <c r="D1235" s="26" t="s">
        <v>8</v>
      </c>
      <c r="E1235" t="s">
        <v>1442</v>
      </c>
      <c r="F1235" s="109">
        <v>44432.33</v>
      </c>
      <c r="G1235" t="s">
        <v>710</v>
      </c>
    </row>
    <row r="1236" spans="1:7">
      <c r="A1236" s="1">
        <v>45925</v>
      </c>
      <c r="B1236" s="78">
        <v>45901</v>
      </c>
      <c r="C1236" t="s">
        <v>1534</v>
      </c>
      <c r="D1236" s="26" t="s">
        <v>3</v>
      </c>
      <c r="E1236" t="s">
        <v>865</v>
      </c>
      <c r="F1236" s="2">
        <v>25</v>
      </c>
      <c r="G1236" t="s">
        <v>710</v>
      </c>
    </row>
    <row r="1237" spans="1:7">
      <c r="A1237" s="1">
        <v>45925</v>
      </c>
      <c r="B1237" s="78">
        <v>45901</v>
      </c>
      <c r="C1237" t="s">
        <v>1535</v>
      </c>
      <c r="D1237" s="26" t="s">
        <v>3</v>
      </c>
      <c r="E1237" t="s">
        <v>865</v>
      </c>
      <c r="F1237" s="2">
        <v>1.8800000000046566</v>
      </c>
      <c r="G1237" t="s">
        <v>710</v>
      </c>
    </row>
    <row r="1238" spans="1:7">
      <c r="A1238" s="1">
        <v>45925</v>
      </c>
      <c r="B1238" s="78">
        <v>45901</v>
      </c>
      <c r="C1238" t="s">
        <v>1536</v>
      </c>
      <c r="D1238" s="26" t="s">
        <v>8</v>
      </c>
      <c r="E1238" t="s">
        <v>1442</v>
      </c>
      <c r="F1238" s="109">
        <v>71025</v>
      </c>
      <c r="G1238" t="s">
        <v>710</v>
      </c>
    </row>
    <row r="1239" spans="1:7">
      <c r="A1239" s="1">
        <v>45925</v>
      </c>
      <c r="B1239" s="78">
        <v>45901</v>
      </c>
      <c r="C1239" t="s">
        <v>1537</v>
      </c>
      <c r="D1239" s="26" t="s">
        <v>3</v>
      </c>
      <c r="E1239" t="s">
        <v>865</v>
      </c>
      <c r="F1239" s="110">
        <v>50</v>
      </c>
      <c r="G1239" t="s">
        <v>710</v>
      </c>
    </row>
    <row r="1240" spans="1:7">
      <c r="A1240" s="1">
        <v>45925</v>
      </c>
      <c r="B1240" s="78">
        <v>45901</v>
      </c>
      <c r="C1240" t="s">
        <v>1538</v>
      </c>
      <c r="D1240" s="26" t="s">
        <v>3</v>
      </c>
      <c r="E1240" t="s">
        <v>865</v>
      </c>
      <c r="F1240">
        <v>3.75</v>
      </c>
      <c r="G1240" t="s">
        <v>710</v>
      </c>
    </row>
    <row r="1241" spans="1:7">
      <c r="A1241" s="1">
        <v>45925</v>
      </c>
      <c r="B1241" s="78">
        <v>45901</v>
      </c>
      <c r="C1241" t="s">
        <v>1539</v>
      </c>
      <c r="D1241" s="26" t="s">
        <v>8</v>
      </c>
      <c r="E1241" t="s">
        <v>1442</v>
      </c>
      <c r="F1241" s="109">
        <v>283172.2</v>
      </c>
      <c r="G1241" t="s">
        <v>710</v>
      </c>
    </row>
    <row r="1242" spans="1:7">
      <c r="A1242" s="1">
        <v>45925</v>
      </c>
      <c r="B1242" s="78">
        <v>45901</v>
      </c>
      <c r="C1242" t="s">
        <v>1540</v>
      </c>
      <c r="D1242" s="26" t="s">
        <v>3</v>
      </c>
      <c r="E1242" t="s">
        <v>865</v>
      </c>
      <c r="F1242" s="110">
        <v>50</v>
      </c>
      <c r="G1242" t="s">
        <v>710</v>
      </c>
    </row>
    <row r="1243" spans="1:7">
      <c r="A1243" s="1">
        <v>45925</v>
      </c>
      <c r="B1243" s="78">
        <v>45901</v>
      </c>
      <c r="C1243" t="s">
        <v>1541</v>
      </c>
      <c r="D1243" s="26" t="s">
        <v>3</v>
      </c>
      <c r="E1243" t="s">
        <v>865</v>
      </c>
      <c r="F1243">
        <v>3.75</v>
      </c>
      <c r="G1243" t="s">
        <v>710</v>
      </c>
    </row>
    <row r="1244" spans="1:7">
      <c r="A1244" s="1">
        <v>45925</v>
      </c>
      <c r="B1244" s="78">
        <v>45901</v>
      </c>
      <c r="C1244" t="s">
        <v>1542</v>
      </c>
      <c r="D1244" s="26" t="s">
        <v>8</v>
      </c>
      <c r="E1244" t="s">
        <v>1442</v>
      </c>
      <c r="F1244" s="109">
        <v>44432.33</v>
      </c>
      <c r="G1244" t="s">
        <v>710</v>
      </c>
    </row>
    <row r="1245" spans="1:7">
      <c r="A1245" s="1">
        <v>45925</v>
      </c>
      <c r="B1245" s="78">
        <v>45901</v>
      </c>
      <c r="C1245" t="s">
        <v>1543</v>
      </c>
      <c r="D1245" s="26" t="s">
        <v>3</v>
      </c>
      <c r="E1245" t="s">
        <v>865</v>
      </c>
      <c r="F1245" s="2">
        <v>25</v>
      </c>
      <c r="G1245" t="s">
        <v>710</v>
      </c>
    </row>
    <row r="1246" spans="1:7">
      <c r="A1246" s="1">
        <v>45925</v>
      </c>
      <c r="B1246" s="78">
        <v>45901</v>
      </c>
      <c r="C1246" t="s">
        <v>1544</v>
      </c>
      <c r="D1246" s="26" t="s">
        <v>3</v>
      </c>
      <c r="E1246" t="s">
        <v>865</v>
      </c>
      <c r="F1246" s="2">
        <v>1.8800000000046566</v>
      </c>
      <c r="G1246" t="s">
        <v>710</v>
      </c>
    </row>
    <row r="1247" spans="1:7">
      <c r="A1247" s="1">
        <v>45925</v>
      </c>
      <c r="B1247" s="78">
        <v>45901</v>
      </c>
      <c r="C1247" t="s">
        <v>1545</v>
      </c>
      <c r="D1247" s="26" t="s">
        <v>8</v>
      </c>
      <c r="E1247" t="s">
        <v>1442</v>
      </c>
      <c r="F1247" s="109">
        <v>44432.33</v>
      </c>
      <c r="G1247" t="s">
        <v>710</v>
      </c>
    </row>
    <row r="1248" spans="1:7">
      <c r="A1248" s="1">
        <v>45925</v>
      </c>
      <c r="B1248" s="78">
        <v>45901</v>
      </c>
      <c r="C1248" t="s">
        <v>1546</v>
      </c>
      <c r="D1248" s="26" t="s">
        <v>3</v>
      </c>
      <c r="E1248" t="s">
        <v>865</v>
      </c>
      <c r="F1248" s="2">
        <v>25</v>
      </c>
      <c r="G1248" t="s">
        <v>710</v>
      </c>
    </row>
    <row r="1249" spans="1:7">
      <c r="A1249" s="1">
        <v>45925</v>
      </c>
      <c r="B1249" s="78">
        <v>45901</v>
      </c>
      <c r="C1249" t="s">
        <v>1547</v>
      </c>
      <c r="D1249" s="26" t="s">
        <v>3</v>
      </c>
      <c r="E1249" t="s">
        <v>865</v>
      </c>
      <c r="F1249" s="2">
        <v>1.8800000000046566</v>
      </c>
      <c r="G1249" t="s">
        <v>710</v>
      </c>
    </row>
    <row r="1250" spans="1:7">
      <c r="A1250" s="1">
        <v>45925</v>
      </c>
      <c r="B1250" s="78">
        <v>45901</v>
      </c>
      <c r="C1250" t="s">
        <v>1548</v>
      </c>
      <c r="D1250" s="26" t="s">
        <v>8</v>
      </c>
      <c r="E1250" t="s">
        <v>1442</v>
      </c>
      <c r="F1250" s="109">
        <v>35000</v>
      </c>
      <c r="G1250" t="s">
        <v>710</v>
      </c>
    </row>
    <row r="1251" spans="1:7">
      <c r="A1251" s="1">
        <v>45925</v>
      </c>
      <c r="B1251" s="78">
        <v>45901</v>
      </c>
      <c r="C1251" t="s">
        <v>1549</v>
      </c>
      <c r="D1251" s="26" t="s">
        <v>3</v>
      </c>
      <c r="E1251" t="s">
        <v>865</v>
      </c>
      <c r="F1251" s="2">
        <v>25</v>
      </c>
      <c r="G1251" t="s">
        <v>710</v>
      </c>
    </row>
    <row r="1252" spans="1:7">
      <c r="A1252" s="1">
        <v>45925</v>
      </c>
      <c r="B1252" s="78">
        <v>45901</v>
      </c>
      <c r="C1252" t="s">
        <v>1550</v>
      </c>
      <c r="D1252" s="26" t="s">
        <v>3</v>
      </c>
      <c r="E1252" t="s">
        <v>865</v>
      </c>
      <c r="F1252" s="2">
        <v>1.8800000000046566</v>
      </c>
      <c r="G1252" t="s">
        <v>710</v>
      </c>
    </row>
    <row r="1253" spans="1:7">
      <c r="A1253" s="1">
        <v>45925</v>
      </c>
      <c r="B1253" s="78">
        <v>45901</v>
      </c>
      <c r="C1253" t="s">
        <v>1551</v>
      </c>
      <c r="D1253" s="26" t="s">
        <v>8</v>
      </c>
      <c r="E1253" t="s">
        <v>1442</v>
      </c>
      <c r="F1253" s="109">
        <v>35000</v>
      </c>
      <c r="G1253" t="s">
        <v>710</v>
      </c>
    </row>
    <row r="1254" spans="1:7">
      <c r="A1254" s="1">
        <v>45925</v>
      </c>
      <c r="B1254" s="78">
        <v>45901</v>
      </c>
      <c r="C1254" t="s">
        <v>1552</v>
      </c>
      <c r="D1254" s="26" t="s">
        <v>3</v>
      </c>
      <c r="E1254" t="s">
        <v>865</v>
      </c>
      <c r="F1254" s="2">
        <v>25</v>
      </c>
      <c r="G1254" t="s">
        <v>710</v>
      </c>
    </row>
    <row r="1255" spans="1:7">
      <c r="A1255" s="1">
        <v>45925</v>
      </c>
      <c r="B1255" s="78">
        <v>45901</v>
      </c>
      <c r="C1255" t="s">
        <v>1553</v>
      </c>
      <c r="D1255" s="26" t="s">
        <v>3</v>
      </c>
      <c r="E1255" t="s">
        <v>865</v>
      </c>
      <c r="F1255" s="2">
        <v>1.8800000000046566</v>
      </c>
      <c r="G1255" t="s">
        <v>710</v>
      </c>
    </row>
    <row r="1256" spans="1:7">
      <c r="A1256" s="1">
        <v>45925</v>
      </c>
      <c r="B1256" s="78">
        <v>45901</v>
      </c>
      <c r="C1256" t="s">
        <v>1554</v>
      </c>
      <c r="D1256" s="26" t="s">
        <v>8</v>
      </c>
      <c r="E1256" t="s">
        <v>1442</v>
      </c>
      <c r="F1256" s="109">
        <v>35000</v>
      </c>
      <c r="G1256" t="s">
        <v>710</v>
      </c>
    </row>
    <row r="1257" spans="1:7">
      <c r="A1257" s="1">
        <v>45925</v>
      </c>
      <c r="B1257" s="78">
        <v>45901</v>
      </c>
      <c r="C1257" t="s">
        <v>1555</v>
      </c>
      <c r="D1257" s="26" t="s">
        <v>3</v>
      </c>
      <c r="E1257" t="s">
        <v>865</v>
      </c>
      <c r="F1257" s="2">
        <v>25</v>
      </c>
      <c r="G1257" t="s">
        <v>710</v>
      </c>
    </row>
    <row r="1258" spans="1:7">
      <c r="A1258" s="1">
        <v>45925</v>
      </c>
      <c r="B1258" s="78">
        <v>45901</v>
      </c>
      <c r="C1258" t="s">
        <v>1556</v>
      </c>
      <c r="D1258" s="26" t="s">
        <v>3</v>
      </c>
      <c r="E1258" t="s">
        <v>865</v>
      </c>
      <c r="F1258" s="2">
        <v>1.8800000000046566</v>
      </c>
      <c r="G1258" t="s">
        <v>710</v>
      </c>
    </row>
    <row r="1259" spans="1:7">
      <c r="A1259" s="1">
        <v>45925</v>
      </c>
      <c r="B1259" s="78">
        <v>45901</v>
      </c>
      <c r="C1259" t="s">
        <v>1557</v>
      </c>
      <c r="D1259" s="26" t="s">
        <v>8</v>
      </c>
      <c r="E1259" t="s">
        <v>1442</v>
      </c>
      <c r="F1259" s="109">
        <v>27500</v>
      </c>
      <c r="G1259" t="s">
        <v>710</v>
      </c>
    </row>
    <row r="1260" spans="1:7">
      <c r="A1260" s="1">
        <v>45925</v>
      </c>
      <c r="B1260" s="78">
        <v>45901</v>
      </c>
      <c r="C1260" t="s">
        <v>1558</v>
      </c>
      <c r="D1260" s="26" t="s">
        <v>3</v>
      </c>
      <c r="E1260" t="s">
        <v>865</v>
      </c>
      <c r="F1260" s="2">
        <v>25</v>
      </c>
      <c r="G1260" t="s">
        <v>710</v>
      </c>
    </row>
    <row r="1261" spans="1:7">
      <c r="A1261" s="1">
        <v>45925</v>
      </c>
      <c r="B1261" s="78">
        <v>45901</v>
      </c>
      <c r="C1261" t="s">
        <v>1559</v>
      </c>
      <c r="D1261" s="26" t="s">
        <v>3</v>
      </c>
      <c r="E1261" t="s">
        <v>865</v>
      </c>
      <c r="F1261" s="2">
        <v>1.8800000000046566</v>
      </c>
      <c r="G1261" t="s">
        <v>710</v>
      </c>
    </row>
    <row r="1262" spans="1:7">
      <c r="A1262" s="1">
        <v>45925</v>
      </c>
      <c r="B1262" s="78">
        <v>45901</v>
      </c>
      <c r="C1262" t="s">
        <v>1560</v>
      </c>
      <c r="D1262" s="26" t="s">
        <v>8</v>
      </c>
      <c r="E1262" t="s">
        <v>1442</v>
      </c>
      <c r="F1262" s="109">
        <v>20000</v>
      </c>
      <c r="G1262" t="s">
        <v>710</v>
      </c>
    </row>
    <row r="1263" spans="1:7">
      <c r="A1263" s="1">
        <v>45925</v>
      </c>
      <c r="B1263" s="78">
        <v>45901</v>
      </c>
      <c r="C1263" t="s">
        <v>1561</v>
      </c>
      <c r="D1263" s="26" t="s">
        <v>3</v>
      </c>
      <c r="E1263" t="s">
        <v>865</v>
      </c>
      <c r="F1263" s="2">
        <v>25</v>
      </c>
      <c r="G1263" t="s">
        <v>710</v>
      </c>
    </row>
    <row r="1264" spans="1:7">
      <c r="A1264" s="1">
        <v>45925</v>
      </c>
      <c r="B1264" s="78">
        <v>45901</v>
      </c>
      <c r="C1264" t="s">
        <v>1562</v>
      </c>
      <c r="D1264" s="26" t="s">
        <v>3</v>
      </c>
      <c r="E1264" t="s">
        <v>865</v>
      </c>
      <c r="F1264" s="2">
        <v>1.8800000000046566</v>
      </c>
      <c r="G1264" t="s">
        <v>710</v>
      </c>
    </row>
    <row r="1265" spans="1:7">
      <c r="A1265" s="1">
        <v>45925</v>
      </c>
      <c r="B1265" s="78">
        <v>45901</v>
      </c>
      <c r="C1265" t="s">
        <v>1563</v>
      </c>
      <c r="D1265" s="26" t="s">
        <v>8</v>
      </c>
      <c r="E1265" t="s">
        <v>1442</v>
      </c>
      <c r="F1265" s="109">
        <v>20000</v>
      </c>
      <c r="G1265" t="s">
        <v>710</v>
      </c>
    </row>
    <row r="1266" spans="1:7">
      <c r="A1266" s="1">
        <v>45925</v>
      </c>
      <c r="B1266" s="78">
        <v>45901</v>
      </c>
      <c r="C1266" t="s">
        <v>1564</v>
      </c>
      <c r="D1266" s="26" t="s">
        <v>3</v>
      </c>
      <c r="E1266" t="s">
        <v>865</v>
      </c>
      <c r="F1266" s="2">
        <v>25</v>
      </c>
      <c r="G1266" t="s">
        <v>710</v>
      </c>
    </row>
    <row r="1267" spans="1:7">
      <c r="A1267" s="1">
        <v>45925</v>
      </c>
      <c r="B1267" s="78">
        <v>45901</v>
      </c>
      <c r="C1267" t="s">
        <v>1565</v>
      </c>
      <c r="D1267" s="26" t="s">
        <v>3</v>
      </c>
      <c r="E1267" t="s">
        <v>865</v>
      </c>
      <c r="F1267" s="2">
        <v>1.8800000000046566</v>
      </c>
      <c r="G1267" t="s">
        <v>710</v>
      </c>
    </row>
    <row r="1268" spans="1:7">
      <c r="A1268" s="1">
        <v>45925</v>
      </c>
      <c r="B1268" s="78">
        <v>45901</v>
      </c>
      <c r="C1268" t="s">
        <v>1566</v>
      </c>
      <c r="D1268" s="26" t="s">
        <v>8</v>
      </c>
      <c r="E1268" t="s">
        <v>1442</v>
      </c>
      <c r="F1268" s="109">
        <v>20000</v>
      </c>
      <c r="G1268" t="s">
        <v>710</v>
      </c>
    </row>
    <row r="1269" spans="1:7">
      <c r="A1269" s="1">
        <v>45925</v>
      </c>
      <c r="B1269" s="78">
        <v>45901</v>
      </c>
      <c r="C1269" t="s">
        <v>1567</v>
      </c>
      <c r="D1269" s="26" t="s">
        <v>3</v>
      </c>
      <c r="E1269" t="s">
        <v>865</v>
      </c>
      <c r="F1269" s="2">
        <v>25</v>
      </c>
      <c r="G1269" t="s">
        <v>710</v>
      </c>
    </row>
    <row r="1270" spans="1:7">
      <c r="A1270" s="1">
        <v>45925</v>
      </c>
      <c r="B1270" s="78">
        <v>45901</v>
      </c>
      <c r="C1270" t="s">
        <v>1568</v>
      </c>
      <c r="D1270" s="26" t="s">
        <v>3</v>
      </c>
      <c r="E1270" t="s">
        <v>865</v>
      </c>
      <c r="F1270" s="2">
        <v>1.8800000000046566</v>
      </c>
      <c r="G1270" t="s">
        <v>710</v>
      </c>
    </row>
    <row r="1271" spans="1:7">
      <c r="A1271" s="1">
        <v>45925</v>
      </c>
      <c r="B1271" s="78">
        <v>45901</v>
      </c>
      <c r="C1271" t="s">
        <v>1569</v>
      </c>
      <c r="D1271" s="26" t="s">
        <v>8</v>
      </c>
      <c r="E1271" t="s">
        <v>1442</v>
      </c>
      <c r="F1271" s="109">
        <v>35000</v>
      </c>
      <c r="G1271" t="s">
        <v>710</v>
      </c>
    </row>
    <row r="1272" spans="1:7">
      <c r="A1272" s="1">
        <v>45925</v>
      </c>
      <c r="B1272" s="78">
        <v>45901</v>
      </c>
      <c r="C1272" t="s">
        <v>1570</v>
      </c>
      <c r="D1272" s="26" t="s">
        <v>3</v>
      </c>
      <c r="E1272" t="s">
        <v>865</v>
      </c>
      <c r="F1272" s="2">
        <v>25</v>
      </c>
      <c r="G1272" t="s">
        <v>710</v>
      </c>
    </row>
    <row r="1273" spans="1:7">
      <c r="A1273" s="1">
        <v>45925</v>
      </c>
      <c r="B1273" s="78">
        <v>45901</v>
      </c>
      <c r="C1273" t="s">
        <v>1571</v>
      </c>
      <c r="D1273" s="26" t="s">
        <v>3</v>
      </c>
      <c r="E1273" t="s">
        <v>865</v>
      </c>
      <c r="F1273" s="2">
        <v>1.8800000000046566</v>
      </c>
      <c r="G1273" t="s">
        <v>710</v>
      </c>
    </row>
    <row r="1274" spans="1:7">
      <c r="A1274" s="1">
        <v>45925</v>
      </c>
      <c r="B1274" s="78">
        <v>45901</v>
      </c>
      <c r="C1274" t="s">
        <v>1572</v>
      </c>
      <c r="D1274" s="26" t="s">
        <v>8</v>
      </c>
      <c r="E1274" t="s">
        <v>1442</v>
      </c>
      <c r="F1274" s="109">
        <v>35000</v>
      </c>
      <c r="G1274" t="s">
        <v>710</v>
      </c>
    </row>
    <row r="1275" spans="1:7">
      <c r="A1275" s="1">
        <v>45925</v>
      </c>
      <c r="B1275" s="78">
        <v>45901</v>
      </c>
      <c r="C1275" t="s">
        <v>1573</v>
      </c>
      <c r="D1275" s="26" t="s">
        <v>3</v>
      </c>
      <c r="E1275" t="s">
        <v>865</v>
      </c>
      <c r="F1275" s="2">
        <v>25</v>
      </c>
      <c r="G1275" t="s">
        <v>710</v>
      </c>
    </row>
    <row r="1276" spans="1:7">
      <c r="A1276" s="1">
        <v>45925</v>
      </c>
      <c r="B1276" s="78">
        <v>45901</v>
      </c>
      <c r="C1276" t="s">
        <v>1574</v>
      </c>
      <c r="D1276" s="26" t="s">
        <v>3</v>
      </c>
      <c r="E1276" t="s">
        <v>865</v>
      </c>
      <c r="F1276" s="2">
        <v>1.8800000000046566</v>
      </c>
      <c r="G1276" t="s">
        <v>710</v>
      </c>
    </row>
    <row r="1277" spans="1:7">
      <c r="A1277" s="1">
        <v>45925</v>
      </c>
      <c r="B1277" s="78">
        <v>45901</v>
      </c>
      <c r="C1277" t="s">
        <v>1575</v>
      </c>
      <c r="D1277" s="26" t="s">
        <v>8</v>
      </c>
      <c r="E1277" t="s">
        <v>1442</v>
      </c>
      <c r="F1277" s="109">
        <v>35000</v>
      </c>
      <c r="G1277" t="s">
        <v>710</v>
      </c>
    </row>
    <row r="1278" spans="1:7">
      <c r="A1278" s="1">
        <v>45925</v>
      </c>
      <c r="B1278" s="78">
        <v>45901</v>
      </c>
      <c r="C1278" t="s">
        <v>1576</v>
      </c>
      <c r="D1278" s="26" t="s">
        <v>3</v>
      </c>
      <c r="E1278" t="s">
        <v>865</v>
      </c>
      <c r="F1278" s="2">
        <v>25</v>
      </c>
      <c r="G1278" t="s">
        <v>710</v>
      </c>
    </row>
    <row r="1279" spans="1:7">
      <c r="A1279" s="1">
        <v>45925</v>
      </c>
      <c r="B1279" s="78">
        <v>45901</v>
      </c>
      <c r="C1279" t="s">
        <v>1577</v>
      </c>
      <c r="D1279" s="26" t="s">
        <v>3</v>
      </c>
      <c r="E1279" t="s">
        <v>865</v>
      </c>
      <c r="F1279" s="2">
        <v>1.8800000000046566</v>
      </c>
      <c r="G1279" t="s">
        <v>710</v>
      </c>
    </row>
    <row r="1280" spans="1:7">
      <c r="A1280" s="1">
        <v>45925</v>
      </c>
      <c r="B1280" s="78">
        <v>45901</v>
      </c>
      <c r="C1280" t="s">
        <v>1578</v>
      </c>
      <c r="D1280" s="26" t="s">
        <v>8</v>
      </c>
      <c r="E1280" t="s">
        <v>1442</v>
      </c>
      <c r="F1280" s="109">
        <v>35000</v>
      </c>
      <c r="G1280" t="s">
        <v>710</v>
      </c>
    </row>
    <row r="1281" spans="1:7">
      <c r="A1281" s="1">
        <v>45925</v>
      </c>
      <c r="B1281" s="78">
        <v>45901</v>
      </c>
      <c r="C1281" t="s">
        <v>1579</v>
      </c>
      <c r="D1281" s="26" t="s">
        <v>3</v>
      </c>
      <c r="E1281" t="s">
        <v>865</v>
      </c>
      <c r="F1281" s="2">
        <v>25</v>
      </c>
      <c r="G1281" t="s">
        <v>710</v>
      </c>
    </row>
    <row r="1282" spans="1:7">
      <c r="A1282" s="1">
        <v>45925</v>
      </c>
      <c r="B1282" s="78">
        <v>45901</v>
      </c>
      <c r="C1282" t="s">
        <v>1580</v>
      </c>
      <c r="D1282" s="26" t="s">
        <v>3</v>
      </c>
      <c r="E1282" t="s">
        <v>865</v>
      </c>
      <c r="F1282" s="2">
        <v>1.8800000000046566</v>
      </c>
      <c r="G1282" t="s">
        <v>710</v>
      </c>
    </row>
    <row r="1283" spans="1:7">
      <c r="A1283" s="1">
        <v>45925</v>
      </c>
      <c r="B1283" s="78">
        <v>45901</v>
      </c>
      <c r="C1283" t="s">
        <v>1581</v>
      </c>
      <c r="D1283" s="26" t="s">
        <v>8</v>
      </c>
      <c r="E1283" t="s">
        <v>1442</v>
      </c>
      <c r="F1283" s="109">
        <v>27500</v>
      </c>
      <c r="G1283" t="s">
        <v>710</v>
      </c>
    </row>
    <row r="1284" spans="1:7">
      <c r="A1284" s="1">
        <v>45925</v>
      </c>
      <c r="B1284" s="78">
        <v>45901</v>
      </c>
      <c r="C1284" t="s">
        <v>1582</v>
      </c>
      <c r="D1284" s="26" t="s">
        <v>3</v>
      </c>
      <c r="E1284" t="s">
        <v>865</v>
      </c>
      <c r="F1284" s="2">
        <v>25</v>
      </c>
      <c r="G1284" t="s">
        <v>710</v>
      </c>
    </row>
    <row r="1285" spans="1:7">
      <c r="A1285" s="1">
        <v>45925</v>
      </c>
      <c r="B1285" s="78">
        <v>45901</v>
      </c>
      <c r="C1285" t="s">
        <v>1583</v>
      </c>
      <c r="D1285" s="26" t="s">
        <v>3</v>
      </c>
      <c r="E1285" t="s">
        <v>865</v>
      </c>
      <c r="F1285" s="2">
        <v>1.8800000000046566</v>
      </c>
      <c r="G1285" t="s">
        <v>710</v>
      </c>
    </row>
    <row r="1286" spans="1:7">
      <c r="A1286" s="1">
        <v>45925</v>
      </c>
      <c r="B1286" s="78">
        <v>45901</v>
      </c>
      <c r="C1286" t="s">
        <v>1584</v>
      </c>
      <c r="D1286" s="26" t="s">
        <v>8</v>
      </c>
      <c r="E1286" t="s">
        <v>1442</v>
      </c>
      <c r="F1286" s="109">
        <v>20000</v>
      </c>
      <c r="G1286" t="s">
        <v>710</v>
      </c>
    </row>
    <row r="1287" spans="1:7">
      <c r="A1287" s="1">
        <v>45925</v>
      </c>
      <c r="B1287" s="78">
        <v>45901</v>
      </c>
      <c r="C1287" t="s">
        <v>1585</v>
      </c>
      <c r="D1287" s="26" t="s">
        <v>3</v>
      </c>
      <c r="E1287" t="s">
        <v>865</v>
      </c>
      <c r="F1287" s="2">
        <v>25</v>
      </c>
      <c r="G1287" t="s">
        <v>710</v>
      </c>
    </row>
    <row r="1288" spans="1:7">
      <c r="A1288" s="1">
        <v>45925</v>
      </c>
      <c r="B1288" s="78">
        <v>45901</v>
      </c>
      <c r="C1288" t="s">
        <v>1586</v>
      </c>
      <c r="D1288" s="26" t="s">
        <v>3</v>
      </c>
      <c r="E1288" t="s">
        <v>865</v>
      </c>
      <c r="F1288" s="2">
        <v>1.8800000000046566</v>
      </c>
      <c r="G1288" t="s">
        <v>710</v>
      </c>
    </row>
    <row r="1289" spans="1:7">
      <c r="A1289" s="1">
        <v>45925</v>
      </c>
      <c r="B1289" s="78">
        <v>45901</v>
      </c>
      <c r="C1289" t="s">
        <v>1587</v>
      </c>
      <c r="D1289" s="26" t="s">
        <v>8</v>
      </c>
      <c r="E1289" t="s">
        <v>1442</v>
      </c>
      <c r="F1289" s="109">
        <v>20000</v>
      </c>
      <c r="G1289" t="s">
        <v>710</v>
      </c>
    </row>
    <row r="1290" spans="1:7">
      <c r="A1290" s="1">
        <v>45925</v>
      </c>
      <c r="B1290" s="78">
        <v>45901</v>
      </c>
      <c r="C1290" t="s">
        <v>1588</v>
      </c>
      <c r="D1290" s="26" t="s">
        <v>3</v>
      </c>
      <c r="E1290" t="s">
        <v>865</v>
      </c>
      <c r="F1290" s="2">
        <v>25</v>
      </c>
      <c r="G1290" t="s">
        <v>710</v>
      </c>
    </row>
    <row r="1291" spans="1:7">
      <c r="A1291" s="1">
        <v>45925</v>
      </c>
      <c r="B1291" s="78">
        <v>45901</v>
      </c>
      <c r="C1291" t="s">
        <v>1589</v>
      </c>
      <c r="D1291" s="26" t="s">
        <v>3</v>
      </c>
      <c r="E1291" t="s">
        <v>865</v>
      </c>
      <c r="F1291" s="2">
        <v>1.8800000000046566</v>
      </c>
      <c r="G1291" t="s">
        <v>710</v>
      </c>
    </row>
    <row r="1292" spans="1:7">
      <c r="A1292" s="1">
        <v>45925</v>
      </c>
      <c r="B1292" s="78">
        <v>45901</v>
      </c>
      <c r="C1292" t="s">
        <v>1590</v>
      </c>
      <c r="D1292" s="26" t="s">
        <v>8</v>
      </c>
      <c r="E1292" t="s">
        <v>1442</v>
      </c>
      <c r="F1292" s="109">
        <v>20000</v>
      </c>
      <c r="G1292" t="s">
        <v>710</v>
      </c>
    </row>
    <row r="1293" spans="1:7">
      <c r="A1293" s="1">
        <v>45925</v>
      </c>
      <c r="B1293" s="78">
        <v>45901</v>
      </c>
      <c r="C1293" t="s">
        <v>1591</v>
      </c>
      <c r="D1293" s="26" t="s">
        <v>3</v>
      </c>
      <c r="E1293" t="s">
        <v>865</v>
      </c>
      <c r="F1293" s="2">
        <v>25</v>
      </c>
      <c r="G1293" t="s">
        <v>710</v>
      </c>
    </row>
    <row r="1294" spans="1:7">
      <c r="A1294" s="1">
        <v>45925</v>
      </c>
      <c r="B1294" s="78">
        <v>45901</v>
      </c>
      <c r="C1294" t="s">
        <v>1592</v>
      </c>
      <c r="D1294" s="26" t="s">
        <v>3</v>
      </c>
      <c r="E1294" t="s">
        <v>865</v>
      </c>
      <c r="F1294" s="2">
        <v>1.8800000000046566</v>
      </c>
      <c r="G1294" t="s">
        <v>710</v>
      </c>
    </row>
    <row r="1295" spans="1:7">
      <c r="A1295" s="1">
        <v>45925</v>
      </c>
      <c r="B1295" s="78">
        <v>45901</v>
      </c>
      <c r="C1295" t="s">
        <v>1593</v>
      </c>
      <c r="D1295" s="26" t="s">
        <v>8</v>
      </c>
      <c r="E1295" t="s">
        <v>1442</v>
      </c>
      <c r="F1295" s="109">
        <v>35000</v>
      </c>
      <c r="G1295" t="s">
        <v>710</v>
      </c>
    </row>
    <row r="1296" spans="1:7">
      <c r="A1296" s="1">
        <v>45925</v>
      </c>
      <c r="B1296" s="78">
        <v>45901</v>
      </c>
      <c r="C1296" t="s">
        <v>1594</v>
      </c>
      <c r="D1296" s="26" t="s">
        <v>3</v>
      </c>
      <c r="E1296" t="s">
        <v>865</v>
      </c>
      <c r="F1296" s="2">
        <v>25</v>
      </c>
      <c r="G1296" t="s">
        <v>710</v>
      </c>
    </row>
    <row r="1297" spans="1:7">
      <c r="A1297" s="1">
        <v>45925</v>
      </c>
      <c r="B1297" s="78">
        <v>45901</v>
      </c>
      <c r="C1297" t="s">
        <v>1595</v>
      </c>
      <c r="D1297" s="26" t="s">
        <v>3</v>
      </c>
      <c r="E1297" t="s">
        <v>865</v>
      </c>
      <c r="F1297" s="2">
        <v>1.8800000000046566</v>
      </c>
      <c r="G1297" t="s">
        <v>710</v>
      </c>
    </row>
    <row r="1298" spans="1:7">
      <c r="A1298" s="1">
        <v>45925</v>
      </c>
      <c r="B1298" s="78">
        <v>45901</v>
      </c>
      <c r="C1298" t="s">
        <v>1596</v>
      </c>
      <c r="D1298" s="26" t="s">
        <v>8</v>
      </c>
      <c r="E1298" t="s">
        <v>1442</v>
      </c>
      <c r="F1298" s="109">
        <v>70000</v>
      </c>
      <c r="G1298" t="s">
        <v>710</v>
      </c>
    </row>
    <row r="1299" spans="1:7">
      <c r="A1299" s="1">
        <v>45925</v>
      </c>
      <c r="B1299" s="78">
        <v>45901</v>
      </c>
      <c r="C1299" t="s">
        <v>1597</v>
      </c>
      <c r="D1299" s="26" t="s">
        <v>3</v>
      </c>
      <c r="E1299" t="s">
        <v>865</v>
      </c>
      <c r="F1299" s="2">
        <v>50</v>
      </c>
      <c r="G1299" t="s">
        <v>710</v>
      </c>
    </row>
    <row r="1300" spans="1:7">
      <c r="A1300" s="1">
        <v>45925</v>
      </c>
      <c r="B1300" s="78">
        <v>45901</v>
      </c>
      <c r="C1300" t="s">
        <v>1598</v>
      </c>
      <c r="D1300" s="26" t="s">
        <v>3</v>
      </c>
      <c r="E1300" t="s">
        <v>865</v>
      </c>
      <c r="F1300" s="2">
        <v>3.75</v>
      </c>
      <c r="G1300" t="s">
        <v>710</v>
      </c>
    </row>
    <row r="1301" spans="1:7">
      <c r="A1301" s="1">
        <v>45925</v>
      </c>
      <c r="B1301" s="78">
        <v>45901</v>
      </c>
      <c r="C1301" t="s">
        <v>1600</v>
      </c>
      <c r="D1301" s="26" t="s">
        <v>8</v>
      </c>
      <c r="E1301" t="s">
        <v>1442</v>
      </c>
      <c r="F1301" s="109">
        <v>35000</v>
      </c>
      <c r="G1301" t="s">
        <v>710</v>
      </c>
    </row>
    <row r="1302" spans="1:7">
      <c r="A1302" s="1">
        <v>45925</v>
      </c>
      <c r="B1302" s="78">
        <v>45901</v>
      </c>
      <c r="C1302" t="s">
        <v>1601</v>
      </c>
      <c r="D1302" s="26" t="s">
        <v>3</v>
      </c>
      <c r="E1302" t="s">
        <v>865</v>
      </c>
      <c r="F1302" s="2">
        <v>25</v>
      </c>
      <c r="G1302" t="s">
        <v>710</v>
      </c>
    </row>
    <row r="1303" spans="1:7">
      <c r="A1303" s="1">
        <v>45925</v>
      </c>
      <c r="B1303" s="78">
        <v>45901</v>
      </c>
      <c r="C1303" t="s">
        <v>1602</v>
      </c>
      <c r="D1303" s="26" t="s">
        <v>3</v>
      </c>
      <c r="E1303" t="s">
        <v>865</v>
      </c>
      <c r="F1303" s="2">
        <v>1.8800000000046566</v>
      </c>
      <c r="G1303" t="s">
        <v>710</v>
      </c>
    </row>
    <row r="1304" spans="1:7">
      <c r="A1304" s="1">
        <v>45925</v>
      </c>
      <c r="B1304" s="78">
        <v>45901</v>
      </c>
      <c r="C1304" t="s">
        <v>1599</v>
      </c>
      <c r="D1304" s="26" t="s">
        <v>8</v>
      </c>
      <c r="E1304" t="s">
        <v>1442</v>
      </c>
      <c r="F1304" s="109">
        <v>70000</v>
      </c>
      <c r="G1304" t="s">
        <v>710</v>
      </c>
    </row>
    <row r="1305" spans="1:7">
      <c r="A1305" s="1">
        <v>45925</v>
      </c>
      <c r="B1305" s="78">
        <v>45901</v>
      </c>
      <c r="C1305" t="s">
        <v>1603</v>
      </c>
      <c r="D1305" s="26" t="s">
        <v>3</v>
      </c>
      <c r="E1305" t="s">
        <v>865</v>
      </c>
      <c r="F1305" s="2">
        <v>50</v>
      </c>
      <c r="G1305" t="s">
        <v>710</v>
      </c>
    </row>
    <row r="1306" spans="1:7">
      <c r="A1306" s="1">
        <v>45925</v>
      </c>
      <c r="B1306" s="78">
        <v>45901</v>
      </c>
      <c r="C1306" t="s">
        <v>1604</v>
      </c>
      <c r="D1306" s="26" t="s">
        <v>3</v>
      </c>
      <c r="E1306" t="s">
        <v>865</v>
      </c>
      <c r="F1306" s="2">
        <v>3.75</v>
      </c>
      <c r="G1306" t="s">
        <v>710</v>
      </c>
    </row>
    <row r="1307" spans="1:7">
      <c r="A1307" s="1">
        <v>45925</v>
      </c>
      <c r="B1307" s="78">
        <v>45901</v>
      </c>
      <c r="C1307" t="s">
        <v>1605</v>
      </c>
      <c r="D1307" s="26" t="s">
        <v>8</v>
      </c>
      <c r="E1307" t="s">
        <v>1442</v>
      </c>
      <c r="F1307" s="109">
        <v>20000</v>
      </c>
      <c r="G1307" t="s">
        <v>710</v>
      </c>
    </row>
    <row r="1308" spans="1:7">
      <c r="A1308" s="1">
        <v>45925</v>
      </c>
      <c r="B1308" s="78">
        <v>45901</v>
      </c>
      <c r="C1308" t="s">
        <v>1606</v>
      </c>
      <c r="D1308" s="26" t="s">
        <v>3</v>
      </c>
      <c r="E1308" t="s">
        <v>865</v>
      </c>
      <c r="F1308" s="2">
        <v>25</v>
      </c>
      <c r="G1308" t="s">
        <v>710</v>
      </c>
    </row>
    <row r="1309" spans="1:7">
      <c r="A1309" s="1">
        <v>45925</v>
      </c>
      <c r="B1309" s="78">
        <v>45901</v>
      </c>
      <c r="C1309" t="s">
        <v>1607</v>
      </c>
      <c r="D1309" s="26" t="s">
        <v>3</v>
      </c>
      <c r="E1309" t="s">
        <v>865</v>
      </c>
      <c r="F1309" s="2">
        <v>1.8800000000046566</v>
      </c>
      <c r="G1309" t="s">
        <v>710</v>
      </c>
    </row>
    <row r="1310" spans="1:7">
      <c r="A1310" s="1">
        <v>45925</v>
      </c>
      <c r="B1310" s="78">
        <v>45901</v>
      </c>
      <c r="C1310" t="s">
        <v>1608</v>
      </c>
      <c r="D1310" s="26" t="s">
        <v>8</v>
      </c>
      <c r="E1310" t="s">
        <v>1442</v>
      </c>
      <c r="F1310" s="109">
        <v>27500</v>
      </c>
      <c r="G1310" t="s">
        <v>710</v>
      </c>
    </row>
    <row r="1311" spans="1:7">
      <c r="A1311" s="1">
        <v>45925</v>
      </c>
      <c r="B1311" s="78">
        <v>45901</v>
      </c>
      <c r="C1311" t="s">
        <v>1609</v>
      </c>
      <c r="D1311" s="26" t="s">
        <v>3</v>
      </c>
      <c r="E1311" t="s">
        <v>865</v>
      </c>
      <c r="F1311" s="2">
        <v>25</v>
      </c>
      <c r="G1311" t="s">
        <v>710</v>
      </c>
    </row>
    <row r="1312" spans="1:7">
      <c r="A1312" s="1">
        <v>45925</v>
      </c>
      <c r="B1312" s="78">
        <v>45901</v>
      </c>
      <c r="C1312" t="s">
        <v>1610</v>
      </c>
      <c r="D1312" s="26" t="s">
        <v>3</v>
      </c>
      <c r="E1312" t="s">
        <v>865</v>
      </c>
      <c r="F1312" s="2">
        <v>1.8800000000046566</v>
      </c>
      <c r="G1312" t="s">
        <v>710</v>
      </c>
    </row>
    <row r="1313" spans="1:7">
      <c r="A1313" s="1">
        <v>45925</v>
      </c>
      <c r="B1313" s="78">
        <v>45901</v>
      </c>
      <c r="C1313" t="s">
        <v>1611</v>
      </c>
      <c r="D1313" s="26" t="s">
        <v>8</v>
      </c>
      <c r="E1313" t="s">
        <v>1442</v>
      </c>
      <c r="F1313" s="109">
        <v>20000</v>
      </c>
      <c r="G1313" t="s">
        <v>710</v>
      </c>
    </row>
    <row r="1314" spans="1:7">
      <c r="A1314" s="1">
        <v>45925</v>
      </c>
      <c r="B1314" s="78">
        <v>45901</v>
      </c>
      <c r="C1314" t="s">
        <v>1612</v>
      </c>
      <c r="D1314" s="26" t="s">
        <v>3</v>
      </c>
      <c r="E1314" t="s">
        <v>865</v>
      </c>
      <c r="F1314" s="2">
        <v>25</v>
      </c>
      <c r="G1314" t="s">
        <v>710</v>
      </c>
    </row>
    <row r="1315" spans="1:7">
      <c r="A1315" s="1">
        <v>45925</v>
      </c>
      <c r="B1315" s="78">
        <v>45901</v>
      </c>
      <c r="C1315" t="s">
        <v>1613</v>
      </c>
      <c r="D1315" s="26" t="s">
        <v>3</v>
      </c>
      <c r="E1315" t="s">
        <v>865</v>
      </c>
      <c r="F1315" s="2">
        <v>1.8800000000046566</v>
      </c>
      <c r="G1315" t="s">
        <v>710</v>
      </c>
    </row>
    <row r="1316" spans="1:7">
      <c r="A1316" s="1">
        <v>45925</v>
      </c>
      <c r="B1316" s="78">
        <v>45901</v>
      </c>
      <c r="C1316" t="s">
        <v>1614</v>
      </c>
      <c r="D1316" s="26" t="s">
        <v>8</v>
      </c>
      <c r="E1316" t="s">
        <v>1442</v>
      </c>
      <c r="F1316" s="109">
        <v>20000</v>
      </c>
      <c r="G1316" t="s">
        <v>710</v>
      </c>
    </row>
    <row r="1317" spans="1:7">
      <c r="A1317" s="1">
        <v>45925</v>
      </c>
      <c r="B1317" s="78">
        <v>45901</v>
      </c>
      <c r="C1317" t="s">
        <v>1615</v>
      </c>
      <c r="D1317" s="26" t="s">
        <v>3</v>
      </c>
      <c r="E1317" t="s">
        <v>865</v>
      </c>
      <c r="F1317" s="2">
        <v>25</v>
      </c>
      <c r="G1317" t="s">
        <v>710</v>
      </c>
    </row>
    <row r="1318" spans="1:7">
      <c r="A1318" s="1">
        <v>45925</v>
      </c>
      <c r="B1318" s="78">
        <v>45901</v>
      </c>
      <c r="C1318" t="s">
        <v>1616</v>
      </c>
      <c r="D1318" s="26" t="s">
        <v>3</v>
      </c>
      <c r="E1318" t="s">
        <v>865</v>
      </c>
      <c r="F1318" s="2">
        <v>1.8800000000046566</v>
      </c>
      <c r="G1318" t="s">
        <v>710</v>
      </c>
    </row>
    <row r="1319" spans="1:7">
      <c r="A1319" s="1">
        <v>45925</v>
      </c>
      <c r="B1319" s="78">
        <v>45901</v>
      </c>
      <c r="C1319" t="s">
        <v>1617</v>
      </c>
      <c r="D1319" s="26" t="s">
        <v>8</v>
      </c>
      <c r="E1319" t="s">
        <v>1442</v>
      </c>
      <c r="F1319" s="109">
        <v>20000</v>
      </c>
      <c r="G1319" t="s">
        <v>710</v>
      </c>
    </row>
    <row r="1320" spans="1:7">
      <c r="A1320" s="1">
        <v>45925</v>
      </c>
      <c r="B1320" s="78">
        <v>45901</v>
      </c>
      <c r="C1320" t="s">
        <v>1618</v>
      </c>
      <c r="D1320" s="26" t="s">
        <v>3</v>
      </c>
      <c r="E1320" t="s">
        <v>865</v>
      </c>
      <c r="F1320" s="2">
        <v>25</v>
      </c>
      <c r="G1320" t="s">
        <v>710</v>
      </c>
    </row>
    <row r="1321" spans="1:7">
      <c r="A1321" s="1">
        <v>45925</v>
      </c>
      <c r="B1321" s="78">
        <v>45901</v>
      </c>
      <c r="C1321" t="s">
        <v>1619</v>
      </c>
      <c r="D1321" s="26" t="s">
        <v>3</v>
      </c>
      <c r="E1321" t="s">
        <v>865</v>
      </c>
      <c r="F1321" s="2">
        <v>1.8800000000046566</v>
      </c>
      <c r="G1321" t="s">
        <v>710</v>
      </c>
    </row>
    <row r="1322" spans="1:7">
      <c r="A1322" s="1">
        <v>45925</v>
      </c>
      <c r="B1322" s="78">
        <v>45901</v>
      </c>
      <c r="C1322" t="s">
        <v>1620</v>
      </c>
      <c r="D1322" s="26" t="s">
        <v>8</v>
      </c>
      <c r="E1322" t="s">
        <v>1442</v>
      </c>
      <c r="F1322" s="109">
        <v>35000</v>
      </c>
      <c r="G1322" t="s">
        <v>710</v>
      </c>
    </row>
    <row r="1323" spans="1:7">
      <c r="A1323" s="1">
        <v>45925</v>
      </c>
      <c r="B1323" s="78">
        <v>45901</v>
      </c>
      <c r="C1323" t="s">
        <v>1621</v>
      </c>
      <c r="D1323" s="26" t="s">
        <v>3</v>
      </c>
      <c r="E1323" t="s">
        <v>865</v>
      </c>
      <c r="F1323" s="2">
        <v>25</v>
      </c>
      <c r="G1323" t="s">
        <v>710</v>
      </c>
    </row>
    <row r="1324" spans="1:7">
      <c r="A1324" s="1">
        <v>45925</v>
      </c>
      <c r="B1324" s="78">
        <v>45901</v>
      </c>
      <c r="C1324" t="s">
        <v>1622</v>
      </c>
      <c r="D1324" s="26" t="s">
        <v>3</v>
      </c>
      <c r="E1324" t="s">
        <v>865</v>
      </c>
      <c r="F1324" s="2">
        <v>1.8800000000046566</v>
      </c>
      <c r="G1324" t="s">
        <v>710</v>
      </c>
    </row>
    <row r="1325" spans="1:7">
      <c r="A1325" s="1">
        <v>45925</v>
      </c>
      <c r="B1325" s="78">
        <v>45901</v>
      </c>
      <c r="C1325" t="s">
        <v>1623</v>
      </c>
      <c r="D1325" s="26" t="s">
        <v>8</v>
      </c>
      <c r="E1325" t="s">
        <v>1442</v>
      </c>
      <c r="F1325" s="109">
        <v>20000</v>
      </c>
      <c r="G1325" t="s">
        <v>710</v>
      </c>
    </row>
    <row r="1326" spans="1:7">
      <c r="A1326" s="1">
        <v>45925</v>
      </c>
      <c r="B1326" s="78">
        <v>45901</v>
      </c>
      <c r="C1326" t="s">
        <v>1624</v>
      </c>
      <c r="D1326" s="26" t="s">
        <v>3</v>
      </c>
      <c r="E1326" t="s">
        <v>865</v>
      </c>
      <c r="F1326" s="2">
        <v>25</v>
      </c>
      <c r="G1326" t="s">
        <v>710</v>
      </c>
    </row>
    <row r="1327" spans="1:7">
      <c r="A1327" s="1">
        <v>45925</v>
      </c>
      <c r="B1327" s="78">
        <v>45901</v>
      </c>
      <c r="C1327" t="s">
        <v>1625</v>
      </c>
      <c r="D1327" s="26" t="s">
        <v>3</v>
      </c>
      <c r="E1327" t="s">
        <v>865</v>
      </c>
      <c r="F1327" s="2">
        <v>1.8800000000046566</v>
      </c>
      <c r="G1327" t="s">
        <v>710</v>
      </c>
    </row>
    <row r="1328" spans="1:7">
      <c r="A1328" s="1">
        <v>45925</v>
      </c>
      <c r="B1328" s="78">
        <v>45901</v>
      </c>
      <c r="C1328" t="s">
        <v>1626</v>
      </c>
      <c r="D1328" s="26" t="s">
        <v>8</v>
      </c>
      <c r="E1328" t="s">
        <v>1442</v>
      </c>
      <c r="F1328" s="109">
        <v>20000</v>
      </c>
      <c r="G1328" t="s">
        <v>710</v>
      </c>
    </row>
    <row r="1329" spans="1:7">
      <c r="A1329" s="1">
        <v>45925</v>
      </c>
      <c r="B1329" s="78">
        <v>45901</v>
      </c>
      <c r="C1329" t="s">
        <v>1627</v>
      </c>
      <c r="D1329" s="26" t="s">
        <v>3</v>
      </c>
      <c r="E1329" t="s">
        <v>865</v>
      </c>
      <c r="F1329" s="2">
        <v>25</v>
      </c>
      <c r="G1329" t="s">
        <v>710</v>
      </c>
    </row>
    <row r="1330" spans="1:7">
      <c r="A1330" s="1">
        <v>45925</v>
      </c>
      <c r="B1330" s="78">
        <v>45901</v>
      </c>
      <c r="C1330" t="s">
        <v>1628</v>
      </c>
      <c r="D1330" s="26" t="s">
        <v>3</v>
      </c>
      <c r="E1330" t="s">
        <v>865</v>
      </c>
      <c r="F1330" s="2">
        <v>1.8800000000046566</v>
      </c>
      <c r="G1330" t="s">
        <v>710</v>
      </c>
    </row>
    <row r="1331" spans="1:7">
      <c r="A1331" s="1">
        <v>45925</v>
      </c>
      <c r="B1331" s="78">
        <v>45901</v>
      </c>
      <c r="C1331" t="s">
        <v>1629</v>
      </c>
      <c r="D1331" s="26" t="s">
        <v>8</v>
      </c>
      <c r="E1331" t="s">
        <v>1442</v>
      </c>
      <c r="F1331" s="109">
        <v>44432.33</v>
      </c>
      <c r="G1331" t="s">
        <v>710</v>
      </c>
    </row>
    <row r="1332" spans="1:7">
      <c r="A1332" s="1">
        <v>45925</v>
      </c>
      <c r="B1332" s="78">
        <v>45901</v>
      </c>
      <c r="C1332" t="s">
        <v>1630</v>
      </c>
      <c r="D1332" s="26" t="s">
        <v>3</v>
      </c>
      <c r="E1332" t="s">
        <v>865</v>
      </c>
      <c r="F1332" s="2">
        <v>25</v>
      </c>
      <c r="G1332" t="s">
        <v>710</v>
      </c>
    </row>
    <row r="1333" spans="1:7">
      <c r="A1333" s="1">
        <v>45925</v>
      </c>
      <c r="B1333" s="78">
        <v>45901</v>
      </c>
      <c r="C1333" t="s">
        <v>1631</v>
      </c>
      <c r="D1333" s="26" t="s">
        <v>3</v>
      </c>
      <c r="E1333" t="s">
        <v>865</v>
      </c>
      <c r="F1333" s="2">
        <v>1.8800000000046566</v>
      </c>
      <c r="G1333" t="s">
        <v>710</v>
      </c>
    </row>
    <row r="1334" spans="1:7">
      <c r="A1334" s="1">
        <v>45925</v>
      </c>
      <c r="B1334" s="78">
        <v>45901</v>
      </c>
      <c r="C1334" t="s">
        <v>1632</v>
      </c>
      <c r="D1334" s="26" t="s">
        <v>8</v>
      </c>
      <c r="E1334" t="s">
        <v>1442</v>
      </c>
      <c r="F1334" s="109">
        <v>20000</v>
      </c>
      <c r="G1334" t="s">
        <v>710</v>
      </c>
    </row>
    <row r="1335" spans="1:7">
      <c r="A1335" s="1">
        <v>45925</v>
      </c>
      <c r="B1335" s="78">
        <v>45901</v>
      </c>
      <c r="C1335" t="s">
        <v>1633</v>
      </c>
      <c r="D1335" s="26" t="s">
        <v>3</v>
      </c>
      <c r="E1335" t="s">
        <v>865</v>
      </c>
      <c r="F1335" s="2">
        <v>25</v>
      </c>
      <c r="G1335" t="s">
        <v>710</v>
      </c>
    </row>
    <row r="1336" spans="1:7">
      <c r="A1336" s="1">
        <v>45925</v>
      </c>
      <c r="B1336" s="78">
        <v>45901</v>
      </c>
      <c r="C1336" t="s">
        <v>1634</v>
      </c>
      <c r="D1336" s="26" t="s">
        <v>3</v>
      </c>
      <c r="E1336" t="s">
        <v>865</v>
      </c>
      <c r="F1336" s="2">
        <v>1.8800000000046566</v>
      </c>
      <c r="G1336" t="s">
        <v>710</v>
      </c>
    </row>
    <row r="1337" spans="1:7">
      <c r="A1337" s="1">
        <v>45925</v>
      </c>
      <c r="B1337" s="78">
        <v>45901</v>
      </c>
      <c r="C1337" t="s">
        <v>1476</v>
      </c>
      <c r="D1337" s="26" t="s">
        <v>8</v>
      </c>
      <c r="E1337" t="s">
        <v>1442</v>
      </c>
      <c r="F1337" s="2" t="s">
        <v>1635</v>
      </c>
      <c r="G1337" t="s">
        <v>710</v>
      </c>
    </row>
    <row r="1338" spans="1:7">
      <c r="A1338" s="1">
        <v>45925</v>
      </c>
      <c r="B1338" s="78">
        <v>45901</v>
      </c>
      <c r="C1338" t="s">
        <v>1477</v>
      </c>
      <c r="D1338" s="26" t="s">
        <v>3</v>
      </c>
      <c r="E1338" t="s">
        <v>865</v>
      </c>
      <c r="F1338" s="2" t="s">
        <v>1636</v>
      </c>
      <c r="G1338" t="s">
        <v>710</v>
      </c>
    </row>
    <row r="1339" spans="1:7">
      <c r="A1339" s="1">
        <v>45925</v>
      </c>
      <c r="B1339" s="78">
        <v>45901</v>
      </c>
      <c r="C1339" t="s">
        <v>1478</v>
      </c>
      <c r="D1339" s="26" t="s">
        <v>3</v>
      </c>
      <c r="E1339" t="s">
        <v>865</v>
      </c>
      <c r="F1339" s="2" t="s">
        <v>1637</v>
      </c>
      <c r="G1339" t="s">
        <v>710</v>
      </c>
    </row>
    <row r="1340" spans="1:7">
      <c r="A1340" s="1">
        <v>45925</v>
      </c>
      <c r="B1340" s="78">
        <v>45901</v>
      </c>
      <c r="C1340" t="s">
        <v>1557</v>
      </c>
      <c r="D1340" s="26" t="s">
        <v>8</v>
      </c>
      <c r="E1340" t="s">
        <v>1442</v>
      </c>
      <c r="F1340" s="2" t="s">
        <v>1638</v>
      </c>
      <c r="G1340" t="s">
        <v>710</v>
      </c>
    </row>
    <row r="1341" spans="1:7">
      <c r="A1341" s="1">
        <v>45925</v>
      </c>
      <c r="B1341" s="78">
        <v>45901</v>
      </c>
      <c r="C1341" t="s">
        <v>1558</v>
      </c>
      <c r="D1341" s="26" t="s">
        <v>3</v>
      </c>
      <c r="E1341" t="s">
        <v>865</v>
      </c>
      <c r="F1341" s="2" t="s">
        <v>1639</v>
      </c>
      <c r="G1341" t="s">
        <v>710</v>
      </c>
    </row>
    <row r="1342" spans="1:7">
      <c r="A1342" s="1">
        <v>45925</v>
      </c>
      <c r="B1342" s="78">
        <v>45901</v>
      </c>
      <c r="C1342" t="s">
        <v>1559</v>
      </c>
      <c r="D1342" s="26" t="s">
        <v>3</v>
      </c>
      <c r="E1342" t="s">
        <v>865</v>
      </c>
      <c r="F1342" s="2" t="s">
        <v>1640</v>
      </c>
      <c r="G1342" t="s">
        <v>710</v>
      </c>
    </row>
    <row r="1343" spans="1:7">
      <c r="A1343" s="1">
        <v>45925</v>
      </c>
      <c r="B1343" s="78">
        <v>45901</v>
      </c>
      <c r="C1343" t="s">
        <v>1641</v>
      </c>
      <c r="D1343" s="26" t="s">
        <v>8</v>
      </c>
      <c r="E1343" t="s">
        <v>1442</v>
      </c>
      <c r="F1343" s="109">
        <v>27500</v>
      </c>
      <c r="G1343" t="s">
        <v>710</v>
      </c>
    </row>
    <row r="1344" spans="1:7">
      <c r="A1344" s="1">
        <v>45925</v>
      </c>
      <c r="B1344" s="78">
        <v>45901</v>
      </c>
      <c r="C1344" t="s">
        <v>1642</v>
      </c>
      <c r="D1344" s="26" t="s">
        <v>3</v>
      </c>
      <c r="E1344" t="s">
        <v>865</v>
      </c>
      <c r="F1344" s="2">
        <v>25</v>
      </c>
      <c r="G1344" t="s">
        <v>710</v>
      </c>
    </row>
    <row r="1345" spans="1:7">
      <c r="A1345" s="1">
        <v>45925</v>
      </c>
      <c r="B1345" s="78">
        <v>45901</v>
      </c>
      <c r="C1345" t="s">
        <v>1643</v>
      </c>
      <c r="D1345" s="26" t="s">
        <v>3</v>
      </c>
      <c r="E1345" t="s">
        <v>865</v>
      </c>
      <c r="F1345" s="2">
        <v>1.8800000000046566</v>
      </c>
      <c r="G1345" t="s">
        <v>710</v>
      </c>
    </row>
    <row r="1346" spans="1:7">
      <c r="A1346" s="1">
        <v>45925</v>
      </c>
      <c r="B1346" s="78">
        <v>45901</v>
      </c>
      <c r="C1346" t="s">
        <v>1644</v>
      </c>
      <c r="D1346" s="26" t="s">
        <v>8</v>
      </c>
      <c r="E1346" t="s">
        <v>1442</v>
      </c>
      <c r="F1346" s="2">
        <v>140171.67000000001</v>
      </c>
      <c r="G1346" t="s">
        <v>710</v>
      </c>
    </row>
    <row r="1347" spans="1:7">
      <c r="A1347" s="1">
        <v>45925</v>
      </c>
      <c r="B1347" s="78">
        <v>45901</v>
      </c>
      <c r="C1347" t="s">
        <v>1645</v>
      </c>
      <c r="D1347" s="26" t="s">
        <v>3</v>
      </c>
      <c r="E1347" t="s">
        <v>865</v>
      </c>
      <c r="F1347" s="2">
        <v>50</v>
      </c>
      <c r="G1347" t="s">
        <v>710</v>
      </c>
    </row>
    <row r="1348" spans="1:7">
      <c r="A1348" s="1">
        <v>45925</v>
      </c>
      <c r="B1348" s="78">
        <v>45901</v>
      </c>
      <c r="C1348" t="s">
        <v>1646</v>
      </c>
      <c r="D1348" s="26" t="s">
        <v>3</v>
      </c>
      <c r="E1348" t="s">
        <v>865</v>
      </c>
      <c r="F1348" s="2">
        <v>3.75</v>
      </c>
      <c r="G1348" t="s">
        <v>710</v>
      </c>
    </row>
    <row r="1349" spans="1:7">
      <c r="A1349" s="1">
        <v>45926</v>
      </c>
      <c r="B1349" s="78">
        <v>45901</v>
      </c>
      <c r="C1349" t="s">
        <v>1647</v>
      </c>
      <c r="D1349" s="26" t="s">
        <v>4</v>
      </c>
      <c r="E1349" t="s">
        <v>874</v>
      </c>
      <c r="F1349" s="109">
        <v>43500</v>
      </c>
      <c r="G1349" t="s">
        <v>710</v>
      </c>
    </row>
    <row r="1350" spans="1:7">
      <c r="A1350" s="1">
        <v>45926</v>
      </c>
      <c r="B1350" s="78">
        <v>45901</v>
      </c>
      <c r="C1350" t="s">
        <v>1648</v>
      </c>
      <c r="D1350" s="26" t="s">
        <v>3</v>
      </c>
      <c r="E1350" t="s">
        <v>865</v>
      </c>
      <c r="F1350" s="2">
        <v>25</v>
      </c>
      <c r="G1350" t="s">
        <v>710</v>
      </c>
    </row>
    <row r="1351" spans="1:7">
      <c r="A1351" s="1">
        <v>45926</v>
      </c>
      <c r="B1351" s="78">
        <v>45901</v>
      </c>
      <c r="C1351" t="s">
        <v>1648</v>
      </c>
      <c r="D1351" s="26" t="s">
        <v>3</v>
      </c>
      <c r="E1351" t="s">
        <v>865</v>
      </c>
      <c r="F1351" s="2">
        <v>1.8800000000046566</v>
      </c>
      <c r="G1351" t="s">
        <v>710</v>
      </c>
    </row>
    <row r="1352" spans="1:7">
      <c r="A1352" s="1">
        <v>45929</v>
      </c>
      <c r="B1352" s="78">
        <v>45901</v>
      </c>
      <c r="C1352" t="s">
        <v>1649</v>
      </c>
      <c r="D1352" s="26" t="s">
        <v>26</v>
      </c>
      <c r="E1352" t="s">
        <v>979</v>
      </c>
      <c r="F1352" s="109">
        <v>200000</v>
      </c>
      <c r="G1352" t="s">
        <v>710</v>
      </c>
    </row>
    <row r="1353" spans="1:7">
      <c r="A1353" s="1">
        <v>45929</v>
      </c>
      <c r="B1353" s="78">
        <v>45901</v>
      </c>
      <c r="C1353" t="s">
        <v>1649</v>
      </c>
      <c r="D1353" s="26" t="s">
        <v>3</v>
      </c>
      <c r="E1353" t="s">
        <v>865</v>
      </c>
      <c r="F1353" s="2">
        <v>50</v>
      </c>
      <c r="G1353" t="s">
        <v>710</v>
      </c>
    </row>
    <row r="1354" spans="1:7">
      <c r="A1354" s="1">
        <v>45929</v>
      </c>
      <c r="B1354" s="78">
        <v>45901</v>
      </c>
      <c r="C1354" t="s">
        <v>1649</v>
      </c>
      <c r="D1354" s="26" t="s">
        <v>3</v>
      </c>
      <c r="E1354" t="s">
        <v>865</v>
      </c>
      <c r="F1354" s="2">
        <v>3.75</v>
      </c>
      <c r="G1354" t="s">
        <v>710</v>
      </c>
    </row>
    <row r="1355" spans="1:7">
      <c r="A1355" s="1">
        <v>45929</v>
      </c>
      <c r="B1355" s="78">
        <v>45901</v>
      </c>
      <c r="C1355" t="s">
        <v>1650</v>
      </c>
      <c r="D1355" s="26" t="s">
        <v>6</v>
      </c>
      <c r="E1355" t="s">
        <v>840</v>
      </c>
      <c r="F1355" s="109">
        <v>1300000</v>
      </c>
      <c r="G1355" t="s">
        <v>710</v>
      </c>
    </row>
    <row r="1356" spans="1:7">
      <c r="A1356" s="1">
        <v>45929</v>
      </c>
      <c r="B1356" s="78">
        <v>45901</v>
      </c>
      <c r="C1356" t="s">
        <v>1651</v>
      </c>
      <c r="D1356" s="26" t="s">
        <v>3</v>
      </c>
      <c r="E1356" t="s">
        <v>865</v>
      </c>
      <c r="F1356" s="2">
        <v>50</v>
      </c>
      <c r="G1356" t="s">
        <v>710</v>
      </c>
    </row>
    <row r="1357" spans="1:7">
      <c r="A1357" s="1">
        <v>45929</v>
      </c>
      <c r="B1357" s="78">
        <v>45901</v>
      </c>
      <c r="C1357" t="s">
        <v>1652</v>
      </c>
      <c r="D1357" s="26" t="s">
        <v>3</v>
      </c>
      <c r="E1357" t="s">
        <v>865</v>
      </c>
      <c r="F1357" s="2">
        <v>3.75</v>
      </c>
      <c r="G1357" t="s">
        <v>710</v>
      </c>
    </row>
    <row r="1358" spans="1:7">
      <c r="A1358" s="1">
        <v>45929</v>
      </c>
      <c r="B1358" s="78">
        <v>45901</v>
      </c>
      <c r="C1358" t="s">
        <v>1653</v>
      </c>
      <c r="D1358" s="26" t="s">
        <v>16</v>
      </c>
      <c r="E1358" t="s">
        <v>977</v>
      </c>
      <c r="F1358" s="111">
        <v>950000</v>
      </c>
      <c r="G1358" t="s">
        <v>710</v>
      </c>
    </row>
    <row r="1359" spans="1:7">
      <c r="A1359" s="1">
        <v>45929</v>
      </c>
      <c r="B1359" s="78">
        <v>45901</v>
      </c>
      <c r="C1359" s="28" t="s">
        <v>1654</v>
      </c>
      <c r="D1359" s="28" t="s">
        <v>3</v>
      </c>
      <c r="E1359" s="28" t="s">
        <v>865</v>
      </c>
      <c r="F1359" s="2">
        <v>50</v>
      </c>
      <c r="G1359" t="s">
        <v>710</v>
      </c>
    </row>
    <row r="1360" spans="1:7">
      <c r="A1360" s="1">
        <v>45929</v>
      </c>
      <c r="B1360" s="78">
        <v>45901</v>
      </c>
      <c r="C1360" s="28" t="s">
        <v>1655</v>
      </c>
      <c r="D1360" s="28" t="s">
        <v>3</v>
      </c>
      <c r="E1360" s="28" t="s">
        <v>865</v>
      </c>
      <c r="F1360" s="2">
        <v>3.75</v>
      </c>
      <c r="G1360" t="s">
        <v>710</v>
      </c>
    </row>
    <row r="1361" spans="1:7">
      <c r="A1361" s="1">
        <v>45930</v>
      </c>
      <c r="B1361" s="78">
        <v>45901</v>
      </c>
      <c r="C1361" s="28" t="s">
        <v>1656</v>
      </c>
      <c r="D1361" s="28" t="s">
        <v>13</v>
      </c>
      <c r="E1361" s="28" t="s">
        <v>800</v>
      </c>
      <c r="F1361" s="111">
        <v>100000</v>
      </c>
      <c r="G1361" t="s">
        <v>710</v>
      </c>
    </row>
    <row r="1362" spans="1:7">
      <c r="A1362" s="1">
        <v>45930</v>
      </c>
      <c r="B1362" s="78">
        <v>45901</v>
      </c>
      <c r="C1362" s="28" t="s">
        <v>1657</v>
      </c>
      <c r="D1362" s="28" t="s">
        <v>3</v>
      </c>
      <c r="E1362" s="28" t="s">
        <v>865</v>
      </c>
      <c r="F1362" s="2">
        <v>50</v>
      </c>
      <c r="G1362" t="s">
        <v>710</v>
      </c>
    </row>
    <row r="1363" spans="1:7">
      <c r="A1363" s="1">
        <v>45930</v>
      </c>
      <c r="B1363" s="78">
        <v>45901</v>
      </c>
      <c r="C1363" s="28" t="s">
        <v>1658</v>
      </c>
      <c r="D1363" s="28" t="s">
        <v>3</v>
      </c>
      <c r="E1363" s="28" t="s">
        <v>865</v>
      </c>
      <c r="F1363" s="2">
        <v>3.75</v>
      </c>
      <c r="G1363" t="s">
        <v>710</v>
      </c>
    </row>
    <row r="1364" spans="1:7">
      <c r="A1364" s="1">
        <v>45930</v>
      </c>
      <c r="B1364" s="78">
        <v>45901</v>
      </c>
      <c r="C1364" s="28" t="s">
        <v>1659</v>
      </c>
      <c r="D1364" s="28" t="s">
        <v>3</v>
      </c>
      <c r="E1364" s="28" t="s">
        <v>865</v>
      </c>
      <c r="F1364" s="111">
        <v>2829.13</v>
      </c>
      <c r="G1364" t="s">
        <v>710</v>
      </c>
    </row>
    <row r="1365" spans="1:7">
      <c r="A1365" s="1">
        <v>45930</v>
      </c>
      <c r="B1365" s="78">
        <v>45901</v>
      </c>
      <c r="C1365" s="28" t="s">
        <v>1660</v>
      </c>
      <c r="D1365" s="28" t="s">
        <v>3</v>
      </c>
      <c r="E1365" s="28" t="s">
        <v>865</v>
      </c>
      <c r="F1365" s="111">
        <v>37720.559999999998</v>
      </c>
      <c r="G1365" t="s">
        <v>710</v>
      </c>
    </row>
    <row r="1366" spans="1:7" s="10" customFormat="1">
      <c r="A1366" s="8">
        <v>45930</v>
      </c>
      <c r="B1366" s="78">
        <v>45901</v>
      </c>
      <c r="C1366" s="10" t="s">
        <v>744</v>
      </c>
      <c r="D1366" s="10" t="s">
        <v>714</v>
      </c>
      <c r="E1366" s="5" t="s">
        <v>950</v>
      </c>
      <c r="F1366" s="11">
        <v>37833676.740000002</v>
      </c>
      <c r="G1366" s="10" t="s">
        <v>710</v>
      </c>
    </row>
    <row r="1367" spans="1:7">
      <c r="A1367" s="1">
        <v>45901</v>
      </c>
      <c r="B1367" s="78">
        <v>45901</v>
      </c>
      <c r="C1367" s="28" t="s">
        <v>1661</v>
      </c>
      <c r="D1367" s="28" t="s">
        <v>1662</v>
      </c>
      <c r="E1367" s="28" t="s">
        <v>27</v>
      </c>
      <c r="F1367" s="111">
        <v>500000</v>
      </c>
      <c r="G1367" s="28" t="s">
        <v>1001</v>
      </c>
    </row>
    <row r="1368" spans="1:7">
      <c r="A1368" s="1">
        <v>45901</v>
      </c>
      <c r="B1368" s="78">
        <v>45901</v>
      </c>
      <c r="C1368" s="28" t="s">
        <v>727</v>
      </c>
      <c r="D1368" s="28" t="s">
        <v>3</v>
      </c>
      <c r="E1368" s="28" t="s">
        <v>865</v>
      </c>
      <c r="F1368" s="28">
        <v>53.75</v>
      </c>
      <c r="G1368" s="28" t="s">
        <v>1001</v>
      </c>
    </row>
    <row r="1369" spans="1:7">
      <c r="A1369" s="1">
        <v>45901</v>
      </c>
      <c r="B1369" s="78">
        <v>45901</v>
      </c>
      <c r="C1369" s="28" t="s">
        <v>1663</v>
      </c>
      <c r="D1369" s="28" t="s">
        <v>31</v>
      </c>
      <c r="E1369" s="28" t="s">
        <v>989</v>
      </c>
      <c r="F1369" s="111">
        <v>100000</v>
      </c>
      <c r="G1369" s="28" t="s">
        <v>1001</v>
      </c>
    </row>
    <row r="1370" spans="1:7">
      <c r="A1370" s="1">
        <v>45901</v>
      </c>
      <c r="B1370" s="78">
        <v>45901</v>
      </c>
      <c r="C1370" s="28" t="s">
        <v>727</v>
      </c>
      <c r="D1370" s="28" t="s">
        <v>3</v>
      </c>
      <c r="E1370" s="28" t="s">
        <v>865</v>
      </c>
      <c r="F1370" s="28">
        <v>53.75</v>
      </c>
      <c r="G1370" s="28" t="s">
        <v>1001</v>
      </c>
    </row>
    <row r="1371" spans="1:7">
      <c r="A1371" s="1">
        <v>45902</v>
      </c>
      <c r="B1371" s="78">
        <v>45901</v>
      </c>
      <c r="C1371" s="28" t="s">
        <v>1664</v>
      </c>
      <c r="D1371" s="28" t="s">
        <v>15</v>
      </c>
      <c r="E1371" s="28" t="s">
        <v>1412</v>
      </c>
      <c r="F1371" s="2">
        <v>-676000</v>
      </c>
      <c r="G1371" s="28" t="s">
        <v>1001</v>
      </c>
    </row>
    <row r="1372" spans="1:7">
      <c r="A1372" s="1">
        <v>45907</v>
      </c>
      <c r="B1372" s="78">
        <v>45901</v>
      </c>
      <c r="C1372" s="28" t="s">
        <v>733</v>
      </c>
      <c r="D1372" s="28" t="s">
        <v>3</v>
      </c>
      <c r="E1372" s="28" t="s">
        <v>865</v>
      </c>
      <c r="F1372" s="2">
        <v>50</v>
      </c>
      <c r="G1372" s="28" t="s">
        <v>1001</v>
      </c>
    </row>
    <row r="1373" spans="1:7">
      <c r="A1373" s="114">
        <v>45908</v>
      </c>
      <c r="B1373" s="78">
        <v>45901</v>
      </c>
      <c r="C1373" s="28" t="s">
        <v>1665</v>
      </c>
      <c r="D1373" s="28" t="s">
        <v>15</v>
      </c>
      <c r="E1373" s="28" t="s">
        <v>1412</v>
      </c>
      <c r="F1373" s="111">
        <v>104000</v>
      </c>
      <c r="G1373" s="28" t="s">
        <v>1001</v>
      </c>
    </row>
    <row r="1374" spans="1:7">
      <c r="A1374" s="114">
        <v>45908</v>
      </c>
      <c r="B1374" s="78">
        <v>45901</v>
      </c>
      <c r="C1374" s="28" t="s">
        <v>727</v>
      </c>
      <c r="D1374" s="28" t="s">
        <v>3</v>
      </c>
      <c r="E1374" s="28" t="s">
        <v>865</v>
      </c>
      <c r="F1374" s="28">
        <v>53.75</v>
      </c>
      <c r="G1374" s="28" t="s">
        <v>1001</v>
      </c>
    </row>
    <row r="1375" spans="1:7">
      <c r="A1375" s="114">
        <v>45908</v>
      </c>
      <c r="B1375" s="78">
        <v>45901</v>
      </c>
      <c r="C1375" s="28" t="s">
        <v>1666</v>
      </c>
      <c r="D1375" s="28" t="s">
        <v>15</v>
      </c>
      <c r="E1375" s="28" t="s">
        <v>1412</v>
      </c>
      <c r="F1375" s="2">
        <v>-149962.5</v>
      </c>
      <c r="G1375" s="28" t="s">
        <v>1001</v>
      </c>
    </row>
    <row r="1376" spans="1:7">
      <c r="A1376" s="114">
        <v>45908</v>
      </c>
      <c r="B1376" s="78">
        <v>45901</v>
      </c>
      <c r="C1376" s="28" t="s">
        <v>1667</v>
      </c>
      <c r="D1376" s="28" t="s">
        <v>33</v>
      </c>
      <c r="E1376" s="28" t="s">
        <v>985</v>
      </c>
      <c r="F1376" s="111">
        <v>200000</v>
      </c>
      <c r="G1376" s="28" t="s">
        <v>1001</v>
      </c>
    </row>
    <row r="1377" spans="1:7">
      <c r="A1377" s="114">
        <v>45908</v>
      </c>
      <c r="B1377" s="78">
        <v>45901</v>
      </c>
      <c r="C1377" s="28" t="s">
        <v>727</v>
      </c>
      <c r="D1377" s="28" t="s">
        <v>3</v>
      </c>
      <c r="E1377" s="28" t="s">
        <v>865</v>
      </c>
      <c r="F1377" s="28">
        <v>53.75</v>
      </c>
      <c r="G1377" s="28" t="s">
        <v>1001</v>
      </c>
    </row>
    <row r="1378" spans="1:7">
      <c r="A1378" s="114">
        <v>45908</v>
      </c>
      <c r="B1378" s="78">
        <v>45901</v>
      </c>
      <c r="C1378" s="28" t="s">
        <v>1667</v>
      </c>
      <c r="D1378" s="28" t="s">
        <v>33</v>
      </c>
      <c r="E1378" s="28" t="s">
        <v>985</v>
      </c>
      <c r="F1378" s="111">
        <v>150000</v>
      </c>
      <c r="G1378" s="28" t="s">
        <v>1001</v>
      </c>
    </row>
    <row r="1379" spans="1:7">
      <c r="A1379" s="114">
        <v>45908</v>
      </c>
      <c r="B1379" s="78">
        <v>45901</v>
      </c>
      <c r="C1379" s="28" t="s">
        <v>727</v>
      </c>
      <c r="D1379" s="28" t="s">
        <v>3</v>
      </c>
      <c r="E1379" s="28" t="s">
        <v>865</v>
      </c>
      <c r="F1379" s="28">
        <v>53.75</v>
      </c>
      <c r="G1379" s="28" t="s">
        <v>1001</v>
      </c>
    </row>
    <row r="1380" spans="1:7">
      <c r="A1380" s="114">
        <v>45908</v>
      </c>
      <c r="B1380" s="78">
        <v>45901</v>
      </c>
      <c r="C1380" s="28" t="s">
        <v>1668</v>
      </c>
      <c r="D1380" s="28" t="s">
        <v>33</v>
      </c>
      <c r="E1380" s="28" t="s">
        <v>985</v>
      </c>
      <c r="F1380" s="111">
        <v>120000</v>
      </c>
      <c r="G1380" s="28" t="s">
        <v>1001</v>
      </c>
    </row>
    <row r="1381" spans="1:7">
      <c r="A1381" s="114">
        <v>45908</v>
      </c>
      <c r="B1381" s="78">
        <v>45901</v>
      </c>
      <c r="C1381" s="28" t="s">
        <v>727</v>
      </c>
      <c r="D1381" s="28" t="s">
        <v>3</v>
      </c>
      <c r="E1381" s="28" t="s">
        <v>865</v>
      </c>
      <c r="F1381" s="28">
        <v>53.75</v>
      </c>
      <c r="G1381" s="28" t="s">
        <v>1001</v>
      </c>
    </row>
    <row r="1382" spans="1:7">
      <c r="A1382" s="114">
        <v>45908</v>
      </c>
      <c r="B1382" s="78">
        <v>45901</v>
      </c>
      <c r="C1382" s="28" t="s">
        <v>1669</v>
      </c>
      <c r="D1382" s="28" t="s">
        <v>33</v>
      </c>
      <c r="E1382" s="28" t="s">
        <v>985</v>
      </c>
      <c r="F1382" s="111">
        <v>84000</v>
      </c>
      <c r="G1382" s="28" t="s">
        <v>1001</v>
      </c>
    </row>
    <row r="1383" spans="1:7">
      <c r="A1383" s="114">
        <v>45908</v>
      </c>
      <c r="B1383" s="78">
        <v>45901</v>
      </c>
      <c r="C1383" s="28" t="s">
        <v>727</v>
      </c>
      <c r="D1383" s="28" t="s">
        <v>3</v>
      </c>
      <c r="E1383" s="28" t="s">
        <v>865</v>
      </c>
      <c r="F1383" s="28">
        <v>53.75</v>
      </c>
      <c r="G1383" s="28" t="s">
        <v>1001</v>
      </c>
    </row>
    <row r="1384" spans="1:7">
      <c r="A1384" s="114">
        <v>45908</v>
      </c>
      <c r="B1384" s="78">
        <v>45901</v>
      </c>
      <c r="C1384" s="28" t="s">
        <v>1670</v>
      </c>
      <c r="D1384" s="28" t="s">
        <v>33</v>
      </c>
      <c r="E1384" s="28" t="s">
        <v>985</v>
      </c>
      <c r="F1384" s="111">
        <v>60000</v>
      </c>
      <c r="G1384" s="28" t="s">
        <v>1001</v>
      </c>
    </row>
    <row r="1385" spans="1:7">
      <c r="A1385" s="114">
        <v>45908</v>
      </c>
      <c r="B1385" s="78">
        <v>45901</v>
      </c>
      <c r="C1385" s="28" t="s">
        <v>727</v>
      </c>
      <c r="D1385" s="28" t="s">
        <v>3</v>
      </c>
      <c r="E1385" s="28" t="s">
        <v>865</v>
      </c>
      <c r="F1385" s="28">
        <v>53.75</v>
      </c>
      <c r="G1385" s="28" t="s">
        <v>1001</v>
      </c>
    </row>
    <row r="1386" spans="1:7">
      <c r="A1386" s="114">
        <v>45908</v>
      </c>
      <c r="B1386" s="78">
        <v>45901</v>
      </c>
      <c r="C1386" s="28" t="s">
        <v>1671</v>
      </c>
      <c r="D1386" s="28" t="s">
        <v>33</v>
      </c>
      <c r="E1386" s="28" t="s">
        <v>985</v>
      </c>
      <c r="F1386" s="111">
        <v>60000</v>
      </c>
      <c r="G1386" s="28" t="s">
        <v>1001</v>
      </c>
    </row>
    <row r="1387" spans="1:7">
      <c r="A1387" s="114">
        <v>45908</v>
      </c>
      <c r="B1387" s="78">
        <v>45901</v>
      </c>
      <c r="C1387" s="28" t="s">
        <v>727</v>
      </c>
      <c r="D1387" s="28" t="s">
        <v>3</v>
      </c>
      <c r="E1387" s="28" t="s">
        <v>865</v>
      </c>
      <c r="F1387" s="28">
        <v>53.75</v>
      </c>
      <c r="G1387" s="28" t="s">
        <v>1001</v>
      </c>
    </row>
    <row r="1388" spans="1:7">
      <c r="A1388" s="114">
        <v>45909</v>
      </c>
      <c r="B1388" s="78">
        <v>45901</v>
      </c>
      <c r="C1388" s="28" t="s">
        <v>1672</v>
      </c>
      <c r="D1388" s="28" t="s">
        <v>33</v>
      </c>
      <c r="E1388" s="28" t="s">
        <v>985</v>
      </c>
      <c r="F1388" s="111">
        <v>40000</v>
      </c>
      <c r="G1388" s="28" t="s">
        <v>1001</v>
      </c>
    </row>
    <row r="1389" spans="1:7">
      <c r="A1389" s="114">
        <v>45909</v>
      </c>
      <c r="B1389" s="78">
        <v>45901</v>
      </c>
      <c r="C1389" s="28" t="s">
        <v>727</v>
      </c>
      <c r="D1389" s="28" t="s">
        <v>3</v>
      </c>
      <c r="E1389" s="28" t="s">
        <v>865</v>
      </c>
      <c r="F1389" s="28">
        <v>26.88</v>
      </c>
      <c r="G1389" s="28" t="s">
        <v>1001</v>
      </c>
    </row>
    <row r="1390" spans="1:7">
      <c r="A1390" s="114">
        <v>45909</v>
      </c>
      <c r="B1390" s="78">
        <v>45901</v>
      </c>
      <c r="C1390" s="28" t="s">
        <v>1673</v>
      </c>
      <c r="D1390" s="28" t="s">
        <v>33</v>
      </c>
      <c r="E1390" s="28" t="s">
        <v>985</v>
      </c>
      <c r="F1390" s="111">
        <v>150000</v>
      </c>
      <c r="G1390" s="28" t="s">
        <v>1001</v>
      </c>
    </row>
    <row r="1391" spans="1:7">
      <c r="A1391" s="114">
        <v>45909</v>
      </c>
      <c r="B1391" s="78">
        <v>45901</v>
      </c>
      <c r="C1391" s="28" t="s">
        <v>727</v>
      </c>
      <c r="D1391" s="28" t="s">
        <v>3</v>
      </c>
      <c r="E1391" s="28" t="s">
        <v>865</v>
      </c>
      <c r="F1391" s="28">
        <v>53.75</v>
      </c>
      <c r="G1391" s="28" t="s">
        <v>1001</v>
      </c>
    </row>
    <row r="1392" spans="1:7">
      <c r="A1392" s="114">
        <v>45909</v>
      </c>
      <c r="B1392" s="78">
        <v>45901</v>
      </c>
      <c r="C1392" s="28" t="s">
        <v>1673</v>
      </c>
      <c r="D1392" s="28" t="s">
        <v>33</v>
      </c>
      <c r="E1392" s="28" t="s">
        <v>985</v>
      </c>
      <c r="F1392" s="111">
        <v>100000</v>
      </c>
      <c r="G1392" s="28" t="s">
        <v>1001</v>
      </c>
    </row>
    <row r="1393" spans="1:7">
      <c r="A1393" s="114">
        <v>45909</v>
      </c>
      <c r="B1393" s="78">
        <v>45901</v>
      </c>
      <c r="C1393" s="28" t="s">
        <v>727</v>
      </c>
      <c r="D1393" s="28" t="s">
        <v>3</v>
      </c>
      <c r="E1393" s="28" t="s">
        <v>865</v>
      </c>
      <c r="F1393" s="28">
        <v>53.75</v>
      </c>
      <c r="G1393" s="28" t="s">
        <v>1001</v>
      </c>
    </row>
    <row r="1394" spans="1:7">
      <c r="A1394" s="114">
        <v>45909</v>
      </c>
      <c r="B1394" s="78">
        <v>45901</v>
      </c>
      <c r="C1394" s="28" t="s">
        <v>1674</v>
      </c>
      <c r="D1394" s="28" t="s">
        <v>33</v>
      </c>
      <c r="E1394" s="28" t="s">
        <v>985</v>
      </c>
      <c r="F1394" s="111">
        <v>40000</v>
      </c>
      <c r="G1394" s="28" t="s">
        <v>1001</v>
      </c>
    </row>
    <row r="1395" spans="1:7">
      <c r="A1395" s="114">
        <v>45909</v>
      </c>
      <c r="B1395" s="78">
        <v>45901</v>
      </c>
      <c r="C1395" s="28" t="s">
        <v>727</v>
      </c>
      <c r="D1395" s="28" t="s">
        <v>3</v>
      </c>
      <c r="E1395" s="28" t="s">
        <v>865</v>
      </c>
      <c r="F1395" s="28">
        <v>26.88</v>
      </c>
      <c r="G1395" s="28" t="s">
        <v>1001</v>
      </c>
    </row>
    <row r="1396" spans="1:7">
      <c r="A1396" s="114">
        <v>45909</v>
      </c>
      <c r="B1396" s="78">
        <v>45901</v>
      </c>
      <c r="C1396" s="28" t="s">
        <v>1669</v>
      </c>
      <c r="D1396" s="28" t="s">
        <v>33</v>
      </c>
      <c r="E1396" s="28" t="s">
        <v>985</v>
      </c>
      <c r="F1396" s="111">
        <v>56000</v>
      </c>
      <c r="G1396" s="28" t="s">
        <v>1001</v>
      </c>
    </row>
    <row r="1397" spans="1:7">
      <c r="A1397" s="114">
        <v>45909</v>
      </c>
      <c r="B1397" s="78">
        <v>45901</v>
      </c>
      <c r="C1397" s="28" t="s">
        <v>727</v>
      </c>
      <c r="D1397" s="28" t="s">
        <v>3</v>
      </c>
      <c r="E1397" s="28" t="s">
        <v>865</v>
      </c>
      <c r="F1397" s="28">
        <v>53.75</v>
      </c>
      <c r="G1397" s="28" t="s">
        <v>1001</v>
      </c>
    </row>
    <row r="1398" spans="1:7">
      <c r="A1398" s="114">
        <v>45909</v>
      </c>
      <c r="B1398" s="78">
        <v>45901</v>
      </c>
      <c r="C1398" s="28" t="s">
        <v>1672</v>
      </c>
      <c r="D1398" s="28" t="s">
        <v>33</v>
      </c>
      <c r="E1398" s="28" t="s">
        <v>985</v>
      </c>
      <c r="F1398" s="111">
        <v>40000</v>
      </c>
      <c r="G1398" s="28" t="s">
        <v>1001</v>
      </c>
    </row>
    <row r="1399" spans="1:7">
      <c r="A1399" s="114">
        <v>45909</v>
      </c>
      <c r="B1399" s="78">
        <v>45901</v>
      </c>
      <c r="C1399" s="28" t="s">
        <v>727</v>
      </c>
      <c r="D1399" s="28" t="s">
        <v>3</v>
      </c>
      <c r="E1399" s="28" t="s">
        <v>865</v>
      </c>
      <c r="F1399" s="28">
        <v>26.88</v>
      </c>
      <c r="G1399" s="28" t="s">
        <v>1001</v>
      </c>
    </row>
    <row r="1400" spans="1:7">
      <c r="A1400" s="114">
        <v>45909</v>
      </c>
      <c r="B1400" s="78">
        <v>45901</v>
      </c>
      <c r="C1400" s="28" t="s">
        <v>1670</v>
      </c>
      <c r="D1400" s="28" t="s">
        <v>33</v>
      </c>
      <c r="E1400" s="28" t="s">
        <v>985</v>
      </c>
      <c r="F1400" s="111">
        <v>40000</v>
      </c>
      <c r="G1400" s="28" t="s">
        <v>1001</v>
      </c>
    </row>
    <row r="1401" spans="1:7">
      <c r="A1401" s="114">
        <v>45909</v>
      </c>
      <c r="B1401" s="78">
        <v>45901</v>
      </c>
      <c r="C1401" s="28" t="s">
        <v>727</v>
      </c>
      <c r="D1401" s="28" t="s">
        <v>3</v>
      </c>
      <c r="E1401" s="28" t="s">
        <v>865</v>
      </c>
      <c r="F1401" s="28">
        <v>26.88</v>
      </c>
      <c r="G1401" s="28" t="s">
        <v>1001</v>
      </c>
    </row>
    <row r="1402" spans="1:7">
      <c r="A1402" s="114">
        <v>45909</v>
      </c>
      <c r="B1402" s="78">
        <v>45901</v>
      </c>
      <c r="C1402" s="28" t="s">
        <v>1675</v>
      </c>
      <c r="D1402" s="28" t="s">
        <v>33</v>
      </c>
      <c r="E1402" s="28" t="s">
        <v>985</v>
      </c>
      <c r="F1402" s="111">
        <v>40000</v>
      </c>
      <c r="G1402" s="28" t="s">
        <v>1001</v>
      </c>
    </row>
    <row r="1403" spans="1:7">
      <c r="A1403" s="114">
        <v>45909</v>
      </c>
      <c r="B1403" s="78">
        <v>45901</v>
      </c>
      <c r="C1403" s="28" t="s">
        <v>727</v>
      </c>
      <c r="D1403" s="28" t="s">
        <v>3</v>
      </c>
      <c r="E1403" s="28" t="s">
        <v>865</v>
      </c>
      <c r="F1403" s="28">
        <v>26.88</v>
      </c>
      <c r="G1403" s="28" t="s">
        <v>1001</v>
      </c>
    </row>
    <row r="1404" spans="1:7">
      <c r="A1404" s="114">
        <v>45909</v>
      </c>
      <c r="B1404" s="78">
        <v>45901</v>
      </c>
      <c r="C1404" s="28" t="s">
        <v>1676</v>
      </c>
      <c r="D1404" s="28" t="s">
        <v>33</v>
      </c>
      <c r="E1404" s="28" t="s">
        <v>985</v>
      </c>
      <c r="F1404" s="111">
        <v>30000</v>
      </c>
      <c r="G1404" s="28" t="s">
        <v>1001</v>
      </c>
    </row>
    <row r="1405" spans="1:7">
      <c r="A1405" s="114">
        <v>45909</v>
      </c>
      <c r="B1405" s="78">
        <v>45901</v>
      </c>
      <c r="C1405" s="28" t="s">
        <v>727</v>
      </c>
      <c r="D1405" s="28" t="s">
        <v>3</v>
      </c>
      <c r="E1405" s="28" t="s">
        <v>865</v>
      </c>
      <c r="F1405" s="28">
        <v>26.88</v>
      </c>
      <c r="G1405" s="28" t="s">
        <v>1001</v>
      </c>
    </row>
    <row r="1406" spans="1:7">
      <c r="A1406" s="114">
        <v>45909</v>
      </c>
      <c r="B1406" s="78">
        <v>45901</v>
      </c>
      <c r="C1406" s="28" t="s">
        <v>1677</v>
      </c>
      <c r="D1406" s="28" t="s">
        <v>1678</v>
      </c>
      <c r="E1406" s="28" t="s">
        <v>709</v>
      </c>
      <c r="F1406" s="2">
        <v>-3422590</v>
      </c>
      <c r="G1406" s="28" t="s">
        <v>1001</v>
      </c>
    </row>
    <row r="1407" spans="1:7">
      <c r="A1407" s="114">
        <v>45909</v>
      </c>
      <c r="B1407" s="78">
        <v>45901</v>
      </c>
      <c r="C1407" s="28" t="s">
        <v>1679</v>
      </c>
      <c r="D1407" s="28" t="s">
        <v>30</v>
      </c>
      <c r="E1407" s="28" t="s">
        <v>2</v>
      </c>
      <c r="F1407" s="2">
        <v>-430000</v>
      </c>
      <c r="G1407" s="28" t="s">
        <v>1001</v>
      </c>
    </row>
    <row r="1408" spans="1:7">
      <c r="A1408" s="114">
        <v>45911</v>
      </c>
      <c r="B1408" s="78">
        <v>45901</v>
      </c>
      <c r="C1408" s="28" t="s">
        <v>1680</v>
      </c>
      <c r="D1408" s="28" t="s">
        <v>15</v>
      </c>
      <c r="E1408" s="28" t="s">
        <v>1412</v>
      </c>
      <c r="F1408" s="2">
        <v>-204000</v>
      </c>
      <c r="G1408" s="28" t="s">
        <v>1001</v>
      </c>
    </row>
    <row r="1409" spans="1:7">
      <c r="A1409" s="114">
        <v>45911</v>
      </c>
      <c r="B1409" s="78">
        <v>45901</v>
      </c>
      <c r="C1409" s="28" t="s">
        <v>1681</v>
      </c>
      <c r="D1409" s="28" t="s">
        <v>30</v>
      </c>
      <c r="E1409" s="28" t="s">
        <v>2</v>
      </c>
      <c r="F1409" s="2">
        <v>-100000</v>
      </c>
      <c r="G1409" s="28" t="s">
        <v>1001</v>
      </c>
    </row>
    <row r="1410" spans="1:7">
      <c r="A1410" s="114">
        <v>45912</v>
      </c>
      <c r="B1410" s="78">
        <v>45901</v>
      </c>
      <c r="C1410" s="28" t="s">
        <v>1682</v>
      </c>
      <c r="D1410" s="28" t="s">
        <v>3</v>
      </c>
      <c r="E1410" s="28" t="s">
        <v>865</v>
      </c>
      <c r="F1410" s="112">
        <v>80</v>
      </c>
      <c r="G1410" s="28" t="s">
        <v>1001</v>
      </c>
    </row>
    <row r="1411" spans="1:7">
      <c r="A1411" s="114">
        <v>45912</v>
      </c>
      <c r="B1411" s="78">
        <v>45901</v>
      </c>
      <c r="C1411" s="28" t="s">
        <v>1683</v>
      </c>
      <c r="D1411" s="28" t="s">
        <v>3</v>
      </c>
      <c r="E1411" s="28" t="s">
        <v>865</v>
      </c>
      <c r="F1411" s="112">
        <v>6</v>
      </c>
      <c r="G1411" s="28" t="s">
        <v>1001</v>
      </c>
    </row>
    <row r="1412" spans="1:7">
      <c r="A1412" s="114">
        <v>45912</v>
      </c>
      <c r="B1412" s="78">
        <v>45901</v>
      </c>
      <c r="C1412" s="28" t="s">
        <v>1681</v>
      </c>
      <c r="D1412" s="28" t="s">
        <v>30</v>
      </c>
      <c r="E1412" s="28" t="s">
        <v>2</v>
      </c>
      <c r="F1412" s="2">
        <v>-100000</v>
      </c>
      <c r="G1412" s="28" t="s">
        <v>1001</v>
      </c>
    </row>
    <row r="1413" spans="1:7">
      <c r="A1413" s="114">
        <v>45912</v>
      </c>
      <c r="B1413" s="78">
        <v>45901</v>
      </c>
      <c r="C1413" s="28" t="s">
        <v>1684</v>
      </c>
      <c r="D1413" s="28" t="s">
        <v>15</v>
      </c>
      <c r="E1413" s="28" t="s">
        <v>1412</v>
      </c>
      <c r="F1413" s="2">
        <v>-220000</v>
      </c>
      <c r="G1413" s="28" t="s">
        <v>1001</v>
      </c>
    </row>
    <row r="1414" spans="1:7">
      <c r="A1414" s="1">
        <v>45914</v>
      </c>
      <c r="B1414" s="78">
        <v>45901</v>
      </c>
      <c r="C1414" s="28" t="s">
        <v>1685</v>
      </c>
      <c r="D1414" s="28" t="s">
        <v>3</v>
      </c>
      <c r="E1414" s="28" t="s">
        <v>865</v>
      </c>
      <c r="F1414" s="2">
        <v>100</v>
      </c>
      <c r="G1414" s="28" t="s">
        <v>1001</v>
      </c>
    </row>
    <row r="1415" spans="1:7">
      <c r="A1415" s="114">
        <v>45915</v>
      </c>
      <c r="B1415" s="78">
        <v>45901</v>
      </c>
      <c r="C1415" s="28" t="s">
        <v>1686</v>
      </c>
      <c r="D1415" s="28" t="s">
        <v>22</v>
      </c>
      <c r="E1415" s="28" t="s">
        <v>977</v>
      </c>
      <c r="F1415" s="2">
        <v>218000</v>
      </c>
      <c r="G1415" s="28" t="s">
        <v>1001</v>
      </c>
    </row>
    <row r="1416" spans="1:7">
      <c r="A1416" s="114">
        <v>45915</v>
      </c>
      <c r="B1416" s="78">
        <v>45901</v>
      </c>
      <c r="C1416" s="28" t="s">
        <v>1687</v>
      </c>
      <c r="D1416" s="28" t="s">
        <v>3</v>
      </c>
      <c r="E1416" s="28" t="s">
        <v>865</v>
      </c>
      <c r="F1416" s="2">
        <v>53.75</v>
      </c>
      <c r="G1416" s="28" t="s">
        <v>1001</v>
      </c>
    </row>
    <row r="1417" spans="1:7">
      <c r="A1417" s="114">
        <v>45916</v>
      </c>
      <c r="B1417" s="78">
        <v>45901</v>
      </c>
      <c r="C1417" s="28" t="s">
        <v>1688</v>
      </c>
      <c r="D1417" s="28" t="s">
        <v>1689</v>
      </c>
      <c r="E1417" s="28" t="s">
        <v>1689</v>
      </c>
      <c r="F1417" s="2">
        <v>-20220000</v>
      </c>
      <c r="G1417" s="28" t="s">
        <v>1001</v>
      </c>
    </row>
    <row r="1418" spans="1:7">
      <c r="A1418" s="114">
        <v>45916</v>
      </c>
      <c r="B1418" s="78">
        <v>45901</v>
      </c>
      <c r="C1418" s="28" t="s">
        <v>1690</v>
      </c>
      <c r="D1418" s="28" t="s">
        <v>24</v>
      </c>
      <c r="E1418" s="28" t="s">
        <v>989</v>
      </c>
      <c r="F1418" s="111">
        <v>100000</v>
      </c>
      <c r="G1418" s="28" t="s">
        <v>1001</v>
      </c>
    </row>
    <row r="1419" spans="1:7">
      <c r="A1419" s="114">
        <v>45916</v>
      </c>
      <c r="B1419" s="78">
        <v>45901</v>
      </c>
      <c r="C1419" s="28" t="s">
        <v>1687</v>
      </c>
      <c r="D1419" s="28" t="s">
        <v>3</v>
      </c>
      <c r="E1419" s="28" t="s">
        <v>865</v>
      </c>
      <c r="F1419" s="2">
        <v>53.75</v>
      </c>
      <c r="G1419" s="28" t="s">
        <v>1001</v>
      </c>
    </row>
    <row r="1420" spans="1:7">
      <c r="A1420" s="114">
        <v>45916</v>
      </c>
      <c r="B1420" s="78">
        <v>45901</v>
      </c>
      <c r="C1420" s="28" t="s">
        <v>1691</v>
      </c>
      <c r="D1420" s="28" t="s">
        <v>15</v>
      </c>
      <c r="E1420" s="28" t="s">
        <v>1412</v>
      </c>
      <c r="F1420" s="111">
        <v>286000</v>
      </c>
      <c r="G1420" s="28" t="s">
        <v>1001</v>
      </c>
    </row>
    <row r="1421" spans="1:7">
      <c r="A1421" s="114">
        <v>45916</v>
      </c>
      <c r="B1421" s="78">
        <v>45901</v>
      </c>
      <c r="C1421" s="28" t="s">
        <v>1687</v>
      </c>
      <c r="D1421" s="28" t="s">
        <v>3</v>
      </c>
      <c r="E1421" s="28" t="s">
        <v>865</v>
      </c>
      <c r="F1421" s="2">
        <v>53.75</v>
      </c>
      <c r="G1421" s="28" t="s">
        <v>1001</v>
      </c>
    </row>
    <row r="1422" spans="1:7">
      <c r="A1422" s="114">
        <v>45916</v>
      </c>
      <c r="B1422" s="78">
        <v>45901</v>
      </c>
      <c r="C1422" s="28" t="s">
        <v>1692</v>
      </c>
      <c r="D1422" s="28" t="s">
        <v>30</v>
      </c>
      <c r="E1422" s="28" t="s">
        <v>2</v>
      </c>
      <c r="F1422" s="113">
        <v>-552000</v>
      </c>
      <c r="G1422" s="28" t="s">
        <v>1001</v>
      </c>
    </row>
    <row r="1423" spans="1:7">
      <c r="A1423" s="114">
        <v>45919</v>
      </c>
      <c r="B1423" s="78">
        <v>45901</v>
      </c>
      <c r="C1423" s="28" t="s">
        <v>1693</v>
      </c>
      <c r="D1423" s="28" t="s">
        <v>1694</v>
      </c>
      <c r="E1423" s="28" t="s">
        <v>1694</v>
      </c>
      <c r="F1423" s="111">
        <v>15409000</v>
      </c>
      <c r="G1423" s="28" t="s">
        <v>1001</v>
      </c>
    </row>
    <row r="1424" spans="1:7">
      <c r="A1424" s="114">
        <v>45919</v>
      </c>
      <c r="B1424" s="78">
        <v>45901</v>
      </c>
      <c r="C1424" s="28" t="s">
        <v>1687</v>
      </c>
      <c r="D1424" s="28" t="s">
        <v>3</v>
      </c>
      <c r="E1424" s="28" t="s">
        <v>865</v>
      </c>
      <c r="F1424" s="2">
        <v>53.75</v>
      </c>
      <c r="G1424" s="28" t="s">
        <v>1001</v>
      </c>
    </row>
    <row r="1425" spans="1:7">
      <c r="A1425" s="114">
        <v>45921</v>
      </c>
      <c r="B1425" s="78">
        <v>45901</v>
      </c>
      <c r="C1425" s="28" t="s">
        <v>1685</v>
      </c>
      <c r="D1425" s="28" t="s">
        <v>3</v>
      </c>
      <c r="E1425" s="28" t="s">
        <v>865</v>
      </c>
      <c r="F1425" s="2">
        <v>100</v>
      </c>
      <c r="G1425" s="28" t="s">
        <v>1001</v>
      </c>
    </row>
    <row r="1426" spans="1:7">
      <c r="A1426" s="114">
        <v>45922</v>
      </c>
      <c r="B1426" s="78">
        <v>45901</v>
      </c>
      <c r="C1426" s="28" t="s">
        <v>1695</v>
      </c>
      <c r="D1426" s="28" t="s">
        <v>1694</v>
      </c>
      <c r="E1426" s="28" t="s">
        <v>1694</v>
      </c>
      <c r="F1426" s="111">
        <v>811000</v>
      </c>
      <c r="G1426" s="28" t="s">
        <v>1001</v>
      </c>
    </row>
    <row r="1427" spans="1:7">
      <c r="A1427" s="114">
        <v>45922</v>
      </c>
      <c r="B1427" s="78">
        <v>45901</v>
      </c>
      <c r="C1427" s="28" t="s">
        <v>1687</v>
      </c>
      <c r="D1427" s="28" t="s">
        <v>3</v>
      </c>
      <c r="E1427" s="28" t="s">
        <v>865</v>
      </c>
      <c r="F1427" s="2">
        <v>53.75</v>
      </c>
      <c r="G1427" s="28" t="s">
        <v>1001</v>
      </c>
    </row>
    <row r="1428" spans="1:7">
      <c r="A1428" s="114">
        <v>45923</v>
      </c>
      <c r="B1428" s="78">
        <v>45901</v>
      </c>
      <c r="C1428" s="28" t="s">
        <v>1696</v>
      </c>
      <c r="D1428" s="28" t="s">
        <v>24</v>
      </c>
      <c r="E1428" s="28" t="s">
        <v>989</v>
      </c>
      <c r="F1428" s="2">
        <v>100000</v>
      </c>
      <c r="G1428" s="28" t="s">
        <v>1001</v>
      </c>
    </row>
    <row r="1429" spans="1:7">
      <c r="A1429" s="114">
        <v>45923</v>
      </c>
      <c r="B1429" s="78">
        <v>45901</v>
      </c>
      <c r="C1429" s="28" t="s">
        <v>1687</v>
      </c>
      <c r="D1429" s="28" t="s">
        <v>3</v>
      </c>
      <c r="E1429" s="28" t="s">
        <v>865</v>
      </c>
      <c r="F1429" s="2">
        <v>53.75</v>
      </c>
      <c r="G1429" s="28" t="s">
        <v>1001</v>
      </c>
    </row>
    <row r="1430" spans="1:7">
      <c r="A1430" s="114">
        <v>45923</v>
      </c>
      <c r="B1430" s="78">
        <v>45901</v>
      </c>
      <c r="C1430" s="28" t="s">
        <v>1697</v>
      </c>
      <c r="D1430" s="28" t="s">
        <v>24</v>
      </c>
      <c r="E1430" s="28" t="s">
        <v>989</v>
      </c>
      <c r="F1430" s="2">
        <v>100000</v>
      </c>
      <c r="G1430" s="28" t="s">
        <v>1001</v>
      </c>
    </row>
    <row r="1431" spans="1:7">
      <c r="A1431" s="114">
        <v>45923</v>
      </c>
      <c r="B1431" s="78">
        <v>45901</v>
      </c>
      <c r="C1431" s="28" t="s">
        <v>1687</v>
      </c>
      <c r="D1431" s="28" t="s">
        <v>3</v>
      </c>
      <c r="E1431" s="28" t="s">
        <v>865</v>
      </c>
      <c r="F1431" s="2">
        <v>53.75</v>
      </c>
      <c r="G1431" s="28" t="s">
        <v>1001</v>
      </c>
    </row>
    <row r="1432" spans="1:7">
      <c r="A1432" s="114">
        <v>45923</v>
      </c>
      <c r="B1432" s="78">
        <v>45901</v>
      </c>
      <c r="C1432" s="28" t="s">
        <v>1698</v>
      </c>
      <c r="D1432" s="28" t="s">
        <v>15</v>
      </c>
      <c r="E1432" s="28" t="s">
        <v>1412</v>
      </c>
      <c r="F1432" s="2">
        <v>130000</v>
      </c>
      <c r="G1432" s="28" t="s">
        <v>1001</v>
      </c>
    </row>
    <row r="1433" spans="1:7">
      <c r="A1433" s="114">
        <v>45926</v>
      </c>
      <c r="B1433" s="78">
        <v>45901</v>
      </c>
      <c r="C1433" s="28" t="s">
        <v>1687</v>
      </c>
      <c r="D1433" s="28" t="s">
        <v>3</v>
      </c>
      <c r="E1433" s="28" t="s">
        <v>865</v>
      </c>
      <c r="F1433" s="2">
        <v>53.75</v>
      </c>
      <c r="G1433" s="28" t="s">
        <v>1001</v>
      </c>
    </row>
    <row r="1434" spans="1:7">
      <c r="A1434" s="114">
        <v>45926</v>
      </c>
      <c r="B1434" s="78">
        <v>45901</v>
      </c>
      <c r="C1434" s="28" t="s">
        <v>1699</v>
      </c>
      <c r="D1434" s="28" t="s">
        <v>15</v>
      </c>
      <c r="E1434" s="28" t="s">
        <v>1412</v>
      </c>
      <c r="F1434" s="2">
        <v>153500</v>
      </c>
      <c r="G1434" s="28" t="s">
        <v>1001</v>
      </c>
    </row>
    <row r="1435" spans="1:7">
      <c r="A1435" s="114">
        <v>45926</v>
      </c>
      <c r="B1435" s="78">
        <v>45901</v>
      </c>
      <c r="C1435" s="28" t="s">
        <v>1687</v>
      </c>
      <c r="D1435" s="28" t="s">
        <v>3</v>
      </c>
      <c r="E1435" s="28" t="s">
        <v>865</v>
      </c>
      <c r="F1435" s="2">
        <v>53.75</v>
      </c>
      <c r="G1435" s="28" t="s">
        <v>1001</v>
      </c>
    </row>
    <row r="1436" spans="1:7">
      <c r="A1436" s="114">
        <v>45926</v>
      </c>
      <c r="B1436" s="78">
        <v>45901</v>
      </c>
      <c r="C1436" s="28" t="s">
        <v>1700</v>
      </c>
      <c r="D1436" s="28" t="s">
        <v>15</v>
      </c>
      <c r="E1436" s="28" t="s">
        <v>1412</v>
      </c>
      <c r="F1436" s="2">
        <v>-170000</v>
      </c>
      <c r="G1436" s="28" t="s">
        <v>1001</v>
      </c>
    </row>
    <row r="1437" spans="1:7">
      <c r="A1437" s="114">
        <v>45926</v>
      </c>
      <c r="B1437" s="78">
        <v>45901</v>
      </c>
      <c r="C1437" s="28" t="s">
        <v>1701</v>
      </c>
      <c r="D1437" s="28" t="s">
        <v>30</v>
      </c>
      <c r="E1437" s="28" t="s">
        <v>2</v>
      </c>
      <c r="F1437" s="2">
        <v>-600000</v>
      </c>
      <c r="G1437" s="28" t="s">
        <v>1001</v>
      </c>
    </row>
    <row r="1438" spans="1:7">
      <c r="A1438" s="1">
        <v>45897</v>
      </c>
      <c r="B1438" s="78">
        <v>45901</v>
      </c>
      <c r="C1438" s="28" t="s">
        <v>1685</v>
      </c>
      <c r="D1438" s="28" t="s">
        <v>3</v>
      </c>
      <c r="E1438" s="28" t="s">
        <v>865</v>
      </c>
      <c r="F1438" s="2">
        <v>100</v>
      </c>
      <c r="G1438" s="28" t="s">
        <v>1001</v>
      </c>
    </row>
    <row r="1439" spans="1:7">
      <c r="A1439" s="1">
        <v>45930</v>
      </c>
      <c r="B1439" s="78">
        <v>45901</v>
      </c>
      <c r="C1439" s="28" t="s">
        <v>1705</v>
      </c>
      <c r="D1439" s="28" t="s">
        <v>30</v>
      </c>
      <c r="E1439" s="28" t="s">
        <v>2</v>
      </c>
      <c r="F1439" s="2">
        <v>-700000</v>
      </c>
      <c r="G1439" s="28" t="s">
        <v>1001</v>
      </c>
    </row>
    <row r="1440" spans="1:7">
      <c r="A1440" s="1">
        <v>45930</v>
      </c>
      <c r="B1440" s="78">
        <v>45901</v>
      </c>
      <c r="C1440" s="28" t="s">
        <v>1702</v>
      </c>
      <c r="D1440" s="28" t="s">
        <v>26</v>
      </c>
      <c r="E1440" s="28" t="s">
        <v>980</v>
      </c>
      <c r="F1440" s="2">
        <v>2295088</v>
      </c>
      <c r="G1440" s="28" t="s">
        <v>1001</v>
      </c>
    </row>
    <row r="1441" spans="1:7">
      <c r="A1441" s="1">
        <v>45930</v>
      </c>
      <c r="B1441" s="78">
        <v>45901</v>
      </c>
      <c r="C1441" s="28" t="s">
        <v>1687</v>
      </c>
      <c r="D1441" s="28" t="s">
        <v>3</v>
      </c>
      <c r="E1441" s="28" t="s">
        <v>865</v>
      </c>
      <c r="F1441" s="2">
        <v>53.75</v>
      </c>
      <c r="G1441" s="28" t="s">
        <v>1001</v>
      </c>
    </row>
    <row r="1442" spans="1:7">
      <c r="A1442" s="1">
        <v>45930</v>
      </c>
      <c r="B1442" s="78">
        <v>45901</v>
      </c>
      <c r="C1442" s="28" t="s">
        <v>1703</v>
      </c>
      <c r="D1442" s="28" t="s">
        <v>3</v>
      </c>
      <c r="E1442" s="28" t="s">
        <v>865</v>
      </c>
      <c r="F1442" s="2">
        <v>21516.59</v>
      </c>
      <c r="G1442" s="28" t="s">
        <v>1001</v>
      </c>
    </row>
    <row r="1443" spans="1:7">
      <c r="A1443" s="1">
        <v>45930</v>
      </c>
      <c r="B1443" s="78">
        <v>45901</v>
      </c>
      <c r="C1443" s="28" t="s">
        <v>1704</v>
      </c>
      <c r="D1443" s="28" t="s">
        <v>3</v>
      </c>
      <c r="E1443" s="28" t="s">
        <v>865</v>
      </c>
      <c r="F1443" s="2">
        <v>1613.74</v>
      </c>
      <c r="G1443" s="28" t="s">
        <v>1001</v>
      </c>
    </row>
    <row r="1444" spans="1:7">
      <c r="A1444" s="8">
        <v>45868</v>
      </c>
      <c r="B1444" s="78">
        <v>45901</v>
      </c>
      <c r="C1444" s="10" t="s">
        <v>744</v>
      </c>
      <c r="D1444" s="10" t="s">
        <v>714</v>
      </c>
      <c r="E1444" s="86" t="s">
        <v>993</v>
      </c>
      <c r="F1444" s="11">
        <v>-6003054.3899999997</v>
      </c>
      <c r="G1444" s="86" t="s">
        <v>1001</v>
      </c>
    </row>
    <row r="1445" spans="1:7">
      <c r="A1445" s="1">
        <v>45902</v>
      </c>
      <c r="B1445" s="78">
        <v>45901</v>
      </c>
      <c r="C1445" s="28" t="s">
        <v>1706</v>
      </c>
      <c r="D1445" s="28" t="s">
        <v>30</v>
      </c>
      <c r="E1445" s="28" t="s">
        <v>2</v>
      </c>
      <c r="F1445" s="2">
        <v>-372500</v>
      </c>
      <c r="G1445" s="28" t="s">
        <v>711</v>
      </c>
    </row>
    <row r="1446" spans="1:7">
      <c r="A1446" s="1">
        <v>45903</v>
      </c>
      <c r="B1446" s="78">
        <v>45901</v>
      </c>
      <c r="C1446" s="28" t="s">
        <v>1707</v>
      </c>
      <c r="D1446" s="28" t="s">
        <v>30</v>
      </c>
      <c r="E1446" s="28" t="s">
        <v>2</v>
      </c>
      <c r="F1446" s="113">
        <v>-422500</v>
      </c>
      <c r="G1446" s="28" t="s">
        <v>711</v>
      </c>
    </row>
    <row r="1447" spans="1:7">
      <c r="A1447" s="1">
        <v>45908</v>
      </c>
      <c r="B1447" s="78">
        <v>45901</v>
      </c>
      <c r="C1447" s="28" t="s">
        <v>1708</v>
      </c>
      <c r="D1447" s="28" t="s">
        <v>15</v>
      </c>
      <c r="E1447" s="28" t="s">
        <v>1412</v>
      </c>
      <c r="F1447" s="113">
        <v>200000</v>
      </c>
      <c r="G1447" s="28" t="s">
        <v>711</v>
      </c>
    </row>
    <row r="1448" spans="1:7">
      <c r="A1448" s="1">
        <v>45908</v>
      </c>
      <c r="B1448" s="78">
        <v>45901</v>
      </c>
      <c r="C1448" s="28" t="s">
        <v>1709</v>
      </c>
      <c r="D1448" s="28" t="s">
        <v>1710</v>
      </c>
      <c r="E1448" s="28" t="s">
        <v>709</v>
      </c>
      <c r="F1448" s="113">
        <v>3422590</v>
      </c>
      <c r="G1448" s="28" t="s">
        <v>711</v>
      </c>
    </row>
    <row r="1449" spans="1:7">
      <c r="A1449" s="1">
        <v>45908</v>
      </c>
      <c r="B1449" s="78">
        <v>45901</v>
      </c>
      <c r="C1449" s="28" t="s">
        <v>1711</v>
      </c>
      <c r="D1449" s="28" t="s">
        <v>1710</v>
      </c>
      <c r="E1449" s="28" t="s">
        <v>709</v>
      </c>
      <c r="F1449" s="113">
        <v>-3422590</v>
      </c>
      <c r="G1449" s="28" t="s">
        <v>711</v>
      </c>
    </row>
    <row r="1450" spans="1:7">
      <c r="A1450" s="1">
        <v>45908</v>
      </c>
      <c r="B1450" s="78">
        <v>45901</v>
      </c>
      <c r="C1450" s="28" t="s">
        <v>1712</v>
      </c>
      <c r="E1450" s="28" t="s">
        <v>709</v>
      </c>
      <c r="F1450" s="113">
        <v>3422590</v>
      </c>
      <c r="G1450" s="28" t="s">
        <v>711</v>
      </c>
    </row>
    <row r="1451" spans="1:7">
      <c r="A1451" s="8">
        <v>45868</v>
      </c>
      <c r="B1451" s="78">
        <v>45901</v>
      </c>
      <c r="C1451" s="10" t="s">
        <v>744</v>
      </c>
      <c r="D1451" s="10" t="s">
        <v>714</v>
      </c>
      <c r="E1451" s="86" t="s">
        <v>1002</v>
      </c>
      <c r="F1451" s="11">
        <v>2827590</v>
      </c>
      <c r="G1451" s="86" t="s">
        <v>1001</v>
      </c>
    </row>
  </sheetData>
  <autoFilter ref="A1:H1029"/>
  <phoneticPr fontId="1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'Chart of Accounts'!$B$2:$B$142</xm:f>
          </x14:formula1>
          <xm:sqref>E2:E574 E576:E991 E1060:E1239 E1358 E1361 E1364:E1405 E1410:E1411 E1414 E1416:E1419 E1421 E1423:E1431 E1433 E1435 E1438:E1444 E1451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showGridLines="0" workbookViewId="0">
      <selection activeCell="D3" sqref="D3"/>
    </sheetView>
  </sheetViews>
  <sheetFormatPr defaultRowHeight="13"/>
  <cols>
    <col min="1" max="1" width="4" customWidth="1"/>
    <col min="3" max="3" width="130.296875" customWidth="1"/>
    <col min="4" max="4" width="15.19921875" customWidth="1"/>
    <col min="5" max="5" width="28.296875" customWidth="1"/>
    <col min="6" max="6" width="11.5" bestFit="1" customWidth="1"/>
  </cols>
  <sheetData>
    <row r="2" spans="2:6">
      <c r="B2" t="s">
        <v>1104</v>
      </c>
    </row>
    <row r="3" spans="2:6">
      <c r="B3" s="104" t="s">
        <v>1105</v>
      </c>
      <c r="C3" s="104" t="s">
        <v>1106</v>
      </c>
      <c r="D3" s="104"/>
      <c r="E3" s="104" t="s">
        <v>1107</v>
      </c>
      <c r="F3" s="104" t="s">
        <v>1110</v>
      </c>
    </row>
    <row r="4" spans="2:6">
      <c r="B4" s="1">
        <v>45824</v>
      </c>
      <c r="C4" t="s">
        <v>102</v>
      </c>
      <c r="D4" t="s">
        <v>1108</v>
      </c>
      <c r="E4" t="s">
        <v>911</v>
      </c>
      <c r="F4" s="2">
        <v>902000</v>
      </c>
    </row>
    <row r="5" spans="2:6">
      <c r="B5" s="1">
        <v>45831</v>
      </c>
      <c r="C5" t="s">
        <v>134</v>
      </c>
      <c r="D5" t="s">
        <v>1109</v>
      </c>
      <c r="E5" t="s">
        <v>911</v>
      </c>
      <c r="F5" s="2">
        <v>465000</v>
      </c>
    </row>
    <row r="6" spans="2:6">
      <c r="B6" s="1"/>
      <c r="F6" s="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6"/>
  <sheetViews>
    <sheetView topLeftCell="A19" workbookViewId="0">
      <selection activeCell="F33" activeCellId="4" sqref="F5:F19 F21:F29 F31 F32 F33"/>
    </sheetView>
  </sheetViews>
  <sheetFormatPr defaultRowHeight="13"/>
  <cols>
    <col min="1" max="1" width="32" bestFit="1" customWidth="1"/>
    <col min="2" max="2" width="17.69921875" bestFit="1" customWidth="1"/>
    <col min="3" max="3" width="15.796875" bestFit="1" customWidth="1"/>
    <col min="4" max="5" width="14.796875" bestFit="1" customWidth="1"/>
    <col min="6" max="7" width="15.796875" bestFit="1" customWidth="1"/>
    <col min="8" max="9" width="12.296875" bestFit="1" customWidth="1"/>
    <col min="10" max="12" width="12.796875" bestFit="1" customWidth="1"/>
    <col min="13" max="13" width="11.69921875" bestFit="1" customWidth="1"/>
    <col min="14" max="14" width="12.296875" bestFit="1" customWidth="1"/>
    <col min="15" max="15" width="12.796875" bestFit="1" customWidth="1"/>
    <col min="16" max="16" width="12.19921875" bestFit="1" customWidth="1"/>
    <col min="17" max="18" width="11.69921875" bestFit="1" customWidth="1"/>
    <col min="19" max="19" width="14.19921875" bestFit="1" customWidth="1"/>
    <col min="20" max="20" width="12.796875" bestFit="1" customWidth="1"/>
    <col min="21" max="21" width="14.19921875" bestFit="1" customWidth="1"/>
    <col min="22" max="22" width="11.69921875" bestFit="1" customWidth="1"/>
    <col min="23" max="23" width="12.296875" bestFit="1" customWidth="1"/>
    <col min="24" max="24" width="11.69921875" bestFit="1" customWidth="1"/>
    <col min="25" max="25" width="12.796875" bestFit="1" customWidth="1"/>
    <col min="26" max="26" width="11.69921875" bestFit="1" customWidth="1"/>
    <col min="27" max="27" width="10.5" bestFit="1" customWidth="1"/>
    <col min="28" max="28" width="10.69921875" bestFit="1" customWidth="1"/>
    <col min="29" max="29" width="12.796875" bestFit="1" customWidth="1"/>
    <col min="30" max="30" width="10.69921875" bestFit="1" customWidth="1"/>
    <col min="31" max="31" width="12.296875" bestFit="1" customWidth="1"/>
    <col min="32" max="32" width="11.69921875" bestFit="1" customWidth="1"/>
    <col min="33" max="33" width="10.69921875" bestFit="1" customWidth="1"/>
    <col min="34" max="35" width="11.69921875" bestFit="1" customWidth="1"/>
    <col min="36" max="36" width="14.19921875" bestFit="1" customWidth="1"/>
    <col min="37" max="39" width="11.69921875" bestFit="1" customWidth="1"/>
    <col min="40" max="40" width="14.796875" bestFit="1" customWidth="1"/>
    <col min="41" max="41" width="11.69921875" bestFit="1" customWidth="1"/>
    <col min="42" max="42" width="12.796875" bestFit="1" customWidth="1"/>
    <col min="43" max="43" width="11.69921875" bestFit="1" customWidth="1"/>
    <col min="44" max="44" width="10.19921875" bestFit="1" customWidth="1"/>
    <col min="45" max="45" width="12.796875" bestFit="1" customWidth="1"/>
    <col min="46" max="46" width="10.69921875" bestFit="1" customWidth="1"/>
    <col min="47" max="48" width="11.69921875" bestFit="1" customWidth="1"/>
    <col min="49" max="49" width="10.69921875" bestFit="1" customWidth="1"/>
    <col min="50" max="50" width="11.69921875" bestFit="1" customWidth="1"/>
    <col min="51" max="51" width="14.19921875" bestFit="1" customWidth="1"/>
    <col min="52" max="52" width="12.19921875" bestFit="1" customWidth="1"/>
    <col min="53" max="54" width="11.69921875" bestFit="1" customWidth="1"/>
    <col min="55" max="55" width="14.796875" bestFit="1" customWidth="1"/>
    <col min="56" max="56" width="9.5" bestFit="1" customWidth="1"/>
    <col min="57" max="57" width="10.69921875" bestFit="1" customWidth="1"/>
    <col min="58" max="58" width="12.296875" bestFit="1" customWidth="1"/>
    <col min="59" max="59" width="10.69921875" bestFit="1" customWidth="1"/>
    <col min="60" max="60" width="11.796875" bestFit="1" customWidth="1"/>
    <col min="61" max="61" width="10.69921875" bestFit="1" customWidth="1"/>
    <col min="62" max="62" width="9.5" bestFit="1" customWidth="1"/>
    <col min="63" max="63" width="11.69921875" bestFit="1" customWidth="1"/>
    <col min="64" max="65" width="10.69921875" bestFit="1" customWidth="1"/>
    <col min="66" max="66" width="12.796875" bestFit="1" customWidth="1"/>
  </cols>
  <sheetData>
    <row r="3" spans="1:6">
      <c r="A3" s="75" t="s">
        <v>1102</v>
      </c>
      <c r="B3" s="75" t="s">
        <v>1099</v>
      </c>
    </row>
    <row r="4" spans="1:6">
      <c r="A4" s="75" t="s">
        <v>1101</v>
      </c>
      <c r="B4" s="1">
        <v>45808</v>
      </c>
      <c r="C4" s="1">
        <v>45838</v>
      </c>
      <c r="D4" s="1">
        <v>45869</v>
      </c>
      <c r="E4" s="1">
        <v>45900</v>
      </c>
      <c r="F4" t="s">
        <v>1100</v>
      </c>
    </row>
    <row r="5" spans="1:6">
      <c r="A5" s="76" t="s">
        <v>871</v>
      </c>
      <c r="B5" s="77"/>
      <c r="C5" s="77">
        <v>1770000</v>
      </c>
      <c r="D5" s="77">
        <v>2250000</v>
      </c>
      <c r="E5" s="77"/>
      <c r="F5" s="77">
        <v>4020000</v>
      </c>
    </row>
    <row r="6" spans="1:6">
      <c r="A6" s="76" t="s">
        <v>865</v>
      </c>
      <c r="B6" s="77">
        <v>10952.989999999991</v>
      </c>
      <c r="C6" s="77">
        <v>64623.700000010431</v>
      </c>
      <c r="D6" s="77">
        <v>47728.379999985918</v>
      </c>
      <c r="E6" s="77">
        <v>42842.839999990305</v>
      </c>
      <c r="F6" s="77">
        <v>166147.90999998664</v>
      </c>
    </row>
    <row r="7" spans="1:6">
      <c r="A7" s="76" t="s">
        <v>994</v>
      </c>
      <c r="B7" s="77"/>
      <c r="C7" s="77">
        <v>-201300</v>
      </c>
      <c r="D7" s="77">
        <v>-187000</v>
      </c>
      <c r="E7" s="77">
        <v>-640000</v>
      </c>
      <c r="F7" s="77">
        <v>-1028300</v>
      </c>
    </row>
    <row r="8" spans="1:6">
      <c r="A8" s="76" t="s">
        <v>954</v>
      </c>
      <c r="B8" s="77"/>
      <c r="C8" s="77">
        <v>-146127941.56</v>
      </c>
      <c r="D8" s="77"/>
      <c r="E8" s="77"/>
      <c r="F8" s="77">
        <v>-146127941.56</v>
      </c>
    </row>
    <row r="9" spans="1:6">
      <c r="A9" s="76" t="s">
        <v>966</v>
      </c>
      <c r="B9" s="77"/>
      <c r="C9" s="77">
        <v>320161.25</v>
      </c>
      <c r="D9" s="77"/>
      <c r="E9" s="77"/>
      <c r="F9" s="77">
        <v>320161.25</v>
      </c>
    </row>
    <row r="10" spans="1:6">
      <c r="A10" s="76" t="s">
        <v>2</v>
      </c>
      <c r="B10" s="77">
        <v>-444000</v>
      </c>
      <c r="C10" s="77">
        <v>-420000</v>
      </c>
      <c r="D10" s="77">
        <v>-3557950</v>
      </c>
      <c r="E10" s="77">
        <v>-694000</v>
      </c>
      <c r="F10" s="77">
        <v>-5115950</v>
      </c>
    </row>
    <row r="11" spans="1:6">
      <c r="A11" s="76" t="s">
        <v>963</v>
      </c>
      <c r="B11" s="77"/>
      <c r="C11" s="77"/>
      <c r="D11" s="77">
        <v>120000</v>
      </c>
      <c r="E11" s="77">
        <v>240100</v>
      </c>
      <c r="F11" s="77">
        <v>360100</v>
      </c>
    </row>
    <row r="12" spans="1:6">
      <c r="A12" s="76" t="s">
        <v>911</v>
      </c>
      <c r="B12" s="77"/>
      <c r="C12" s="77">
        <v>1737000</v>
      </c>
      <c r="D12" s="77"/>
      <c r="E12" s="77"/>
      <c r="F12" s="77">
        <v>1737000</v>
      </c>
    </row>
    <row r="13" spans="1:6">
      <c r="A13" s="76" t="s">
        <v>15</v>
      </c>
      <c r="B13" s="77"/>
      <c r="C13" s="77">
        <v>422400</v>
      </c>
      <c r="D13" s="77">
        <v>1787600</v>
      </c>
      <c r="E13" s="77">
        <v>826800</v>
      </c>
      <c r="F13" s="77">
        <v>3036800</v>
      </c>
    </row>
    <row r="14" spans="1:6">
      <c r="A14" s="76" t="s">
        <v>962</v>
      </c>
      <c r="B14" s="77"/>
      <c r="C14" s="77"/>
      <c r="D14" s="77">
        <v>-1613250</v>
      </c>
      <c r="E14" s="77">
        <v>-168000</v>
      </c>
      <c r="F14" s="77">
        <v>-1781250</v>
      </c>
    </row>
    <row r="15" spans="1:6">
      <c r="A15" s="76" t="s">
        <v>846</v>
      </c>
      <c r="B15" s="77"/>
      <c r="C15" s="77"/>
      <c r="D15" s="77"/>
      <c r="E15" s="77">
        <v>36116.760000005364</v>
      </c>
      <c r="F15" s="77">
        <v>36116.760000005364</v>
      </c>
    </row>
    <row r="16" spans="1:6">
      <c r="A16" s="76" t="s">
        <v>840</v>
      </c>
      <c r="B16" s="77">
        <v>12000</v>
      </c>
      <c r="C16" s="77">
        <v>1690000</v>
      </c>
      <c r="D16" s="77">
        <v>650000</v>
      </c>
      <c r="E16" s="77">
        <v>1300000</v>
      </c>
      <c r="F16" s="77">
        <v>3652000</v>
      </c>
    </row>
    <row r="17" spans="1:6">
      <c r="A17" s="76" t="s">
        <v>809</v>
      </c>
      <c r="B17" s="77"/>
      <c r="C17" s="77">
        <v>244400</v>
      </c>
      <c r="D17" s="77">
        <v>381876</v>
      </c>
      <c r="E17" s="77">
        <v>88500</v>
      </c>
      <c r="F17" s="77">
        <v>714776</v>
      </c>
    </row>
    <row r="18" spans="1:6">
      <c r="A18" s="76" t="s">
        <v>874</v>
      </c>
      <c r="B18" s="77">
        <v>40000</v>
      </c>
      <c r="C18" s="77">
        <v>1622500</v>
      </c>
      <c r="D18" s="77">
        <v>755164</v>
      </c>
      <c r="E18" s="77">
        <v>693500</v>
      </c>
      <c r="F18" s="77">
        <v>3111164</v>
      </c>
    </row>
    <row r="19" spans="1:6">
      <c r="A19" s="76" t="s">
        <v>5</v>
      </c>
      <c r="B19" s="77">
        <v>15300</v>
      </c>
      <c r="C19" s="77">
        <v>232261.25</v>
      </c>
      <c r="D19" s="77">
        <v>8062.5</v>
      </c>
      <c r="E19" s="77"/>
      <c r="F19" s="77">
        <v>255623.75</v>
      </c>
    </row>
    <row r="20" spans="1:6">
      <c r="A20" s="87" t="s">
        <v>950</v>
      </c>
      <c r="B20" s="88">
        <v>365747.01</v>
      </c>
      <c r="C20" s="88">
        <v>101330337.19999997</v>
      </c>
      <c r="D20" s="88">
        <v>-22153745.299999997</v>
      </c>
      <c r="E20" s="88">
        <v>-23416246.75</v>
      </c>
      <c r="F20" s="88">
        <v>56126092.159999982</v>
      </c>
    </row>
    <row r="21" spans="1:6">
      <c r="A21" s="76" t="s">
        <v>989</v>
      </c>
      <c r="B21" s="77"/>
      <c r="C21" s="77">
        <v>200000</v>
      </c>
      <c r="D21" s="77"/>
      <c r="E21" s="77">
        <v>180000</v>
      </c>
      <c r="F21" s="77">
        <v>380000</v>
      </c>
    </row>
    <row r="22" spans="1:6">
      <c r="A22" s="76" t="s">
        <v>987</v>
      </c>
      <c r="B22" s="77"/>
      <c r="C22" s="77"/>
      <c r="D22" s="77">
        <v>120000</v>
      </c>
      <c r="E22" s="77">
        <v>560000</v>
      </c>
      <c r="F22" s="77">
        <v>680000</v>
      </c>
    </row>
    <row r="23" spans="1:6">
      <c r="A23" s="76" t="s">
        <v>800</v>
      </c>
      <c r="B23" s="77"/>
      <c r="C23" s="77">
        <v>2969025</v>
      </c>
      <c r="D23" s="77">
        <v>1719000</v>
      </c>
      <c r="E23" s="77">
        <v>720000</v>
      </c>
      <c r="F23" s="77">
        <v>5408025</v>
      </c>
    </row>
    <row r="24" spans="1:6">
      <c r="A24" s="76" t="s">
        <v>815</v>
      </c>
      <c r="B24" s="77"/>
      <c r="C24" s="77">
        <v>24602438.140000008</v>
      </c>
      <c r="D24" s="77">
        <v>10105872.410000011</v>
      </c>
      <c r="E24" s="77">
        <v>20027057.210000001</v>
      </c>
      <c r="F24" s="77">
        <v>54735367.76000002</v>
      </c>
    </row>
    <row r="25" spans="1:6">
      <c r="A25" s="76" t="s">
        <v>977</v>
      </c>
      <c r="B25" s="77"/>
      <c r="C25" s="77">
        <v>1344300</v>
      </c>
      <c r="D25" s="77">
        <v>950000</v>
      </c>
      <c r="E25" s="77"/>
      <c r="F25" s="77">
        <v>2294300</v>
      </c>
    </row>
    <row r="26" spans="1:6">
      <c r="A26" s="76" t="s">
        <v>958</v>
      </c>
      <c r="B26" s="77"/>
      <c r="C26" s="77">
        <v>1241019.2199999988</v>
      </c>
      <c r="D26" s="77"/>
      <c r="E26" s="77">
        <v>236336.25</v>
      </c>
      <c r="F26" s="77">
        <v>1477355.4699999988</v>
      </c>
    </row>
    <row r="27" spans="1:6">
      <c r="A27" s="76" t="s">
        <v>985</v>
      </c>
      <c r="B27" s="77"/>
      <c r="C27" s="77"/>
      <c r="D27" s="77"/>
      <c r="E27" s="77">
        <v>-8806742.3200000003</v>
      </c>
      <c r="F27" s="77">
        <v>-8806742.3200000003</v>
      </c>
    </row>
    <row r="28" spans="1:6">
      <c r="A28" s="76" t="s">
        <v>32</v>
      </c>
      <c r="B28" s="77"/>
      <c r="C28" s="77"/>
      <c r="D28" s="77">
        <v>500000</v>
      </c>
      <c r="E28" s="77">
        <v>2218342</v>
      </c>
      <c r="F28" s="77">
        <v>2718342</v>
      </c>
    </row>
    <row r="29" spans="1:6">
      <c r="A29" s="76" t="s">
        <v>27</v>
      </c>
      <c r="B29" s="77"/>
      <c r="C29" s="77"/>
      <c r="D29" s="77">
        <v>2220851</v>
      </c>
      <c r="E29" s="77"/>
      <c r="F29" s="77">
        <v>2220851</v>
      </c>
    </row>
    <row r="30" spans="1:6">
      <c r="A30" s="87" t="s">
        <v>1002</v>
      </c>
      <c r="B30" s="88"/>
      <c r="C30" s="88"/>
      <c r="D30" s="88">
        <v>1693592.5</v>
      </c>
      <c r="E30" s="88">
        <v>734000</v>
      </c>
      <c r="F30" s="88">
        <v>2427592.5</v>
      </c>
    </row>
    <row r="31" spans="1:6">
      <c r="A31" s="76" t="s">
        <v>955</v>
      </c>
      <c r="B31" s="77"/>
      <c r="C31" s="77">
        <v>6123175.799999997</v>
      </c>
      <c r="D31" s="77">
        <v>87000</v>
      </c>
      <c r="E31" s="77">
        <v>30000</v>
      </c>
      <c r="F31" s="77">
        <v>6240175.799999997</v>
      </c>
    </row>
    <row r="32" spans="1:6">
      <c r="A32" s="76" t="s">
        <v>980</v>
      </c>
      <c r="B32" s="77"/>
      <c r="C32" s="77"/>
      <c r="D32" s="77"/>
      <c r="E32" s="77">
        <v>5147471.8400000036</v>
      </c>
      <c r="F32" s="77">
        <v>5147471.8400000036</v>
      </c>
    </row>
    <row r="33" spans="1:6">
      <c r="A33" s="76" t="s">
        <v>979</v>
      </c>
      <c r="B33" s="77"/>
      <c r="C33" s="77">
        <v>835600</v>
      </c>
      <c r="D33" s="77">
        <v>1607958</v>
      </c>
      <c r="E33" s="77">
        <v>1143300</v>
      </c>
      <c r="F33" s="77">
        <v>3586858</v>
      </c>
    </row>
    <row r="34" spans="1:6">
      <c r="A34" s="87" t="s">
        <v>993</v>
      </c>
      <c r="B34" s="88"/>
      <c r="C34" s="88"/>
      <c r="D34" s="88">
        <v>2276688.75</v>
      </c>
      <c r="E34" s="88">
        <v>-268826.07000000007</v>
      </c>
      <c r="F34" s="88">
        <v>2007862.68</v>
      </c>
    </row>
    <row r="35" spans="1:6">
      <c r="A35" s="76" t="s">
        <v>1100</v>
      </c>
      <c r="B35">
        <v>0</v>
      </c>
      <c r="C35" s="2">
        <v>-7.4505805969238281E-9</v>
      </c>
      <c r="D35" s="2">
        <v>-230551.75999999791</v>
      </c>
      <c r="E35" s="2">
        <v>230551.75999999815</v>
      </c>
      <c r="F35" s="2">
        <v>1.5133991837501526E-8</v>
      </c>
    </row>
    <row r="36" spans="1:6">
      <c r="C36" s="2"/>
      <c r="D36" s="2"/>
      <c r="E36" s="2"/>
      <c r="F3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opLeftCell="C34" workbookViewId="0">
      <selection activeCell="F81" sqref="F81"/>
    </sheetView>
  </sheetViews>
  <sheetFormatPr defaultColWidth="9.296875" defaultRowHeight="12.5"/>
  <cols>
    <col min="1" max="1" width="22.796875" style="13" customWidth="1"/>
    <col min="2" max="2" width="38.19921875" style="13" customWidth="1"/>
    <col min="3" max="3" width="22.796875" style="13" customWidth="1"/>
    <col min="4" max="4" width="87.796875" style="13" customWidth="1"/>
    <col min="5" max="6" width="42.19921875" style="13" customWidth="1"/>
    <col min="7" max="13" width="22.796875" style="13" customWidth="1"/>
    <col min="14" max="16384" width="9.296875" style="13"/>
  </cols>
  <sheetData>
    <row r="1" spans="1:13" ht="13">
      <c r="A1" s="15" t="s">
        <v>939</v>
      </c>
      <c r="B1" s="15" t="s">
        <v>938</v>
      </c>
      <c r="C1" s="15" t="s">
        <v>937</v>
      </c>
      <c r="D1" s="15" t="s">
        <v>749</v>
      </c>
      <c r="E1" s="15" t="s">
        <v>936</v>
      </c>
      <c r="F1" s="15" t="s">
        <v>944</v>
      </c>
      <c r="G1" s="15" t="s">
        <v>935</v>
      </c>
      <c r="H1" s="15" t="s">
        <v>934</v>
      </c>
      <c r="I1" s="15" t="s">
        <v>933</v>
      </c>
      <c r="J1" s="15" t="s">
        <v>932</v>
      </c>
      <c r="K1" s="15" t="s">
        <v>931</v>
      </c>
      <c r="L1" s="15" t="s">
        <v>930</v>
      </c>
      <c r="M1" s="15" t="s">
        <v>929</v>
      </c>
    </row>
    <row r="2" spans="1:13">
      <c r="A2" s="13" t="s">
        <v>928</v>
      </c>
      <c r="B2" s="13" t="s">
        <v>927</v>
      </c>
      <c r="C2" s="13" t="s">
        <v>760</v>
      </c>
      <c r="D2" s="13" t="s">
        <v>926</v>
      </c>
      <c r="E2" s="13" t="s">
        <v>12</v>
      </c>
      <c r="F2" s="13" t="s">
        <v>12</v>
      </c>
      <c r="G2" s="13" t="s">
        <v>765</v>
      </c>
      <c r="H2" s="13" t="s">
        <v>760</v>
      </c>
      <c r="I2" s="13" t="s">
        <v>764</v>
      </c>
      <c r="J2" s="13" t="s">
        <v>760</v>
      </c>
      <c r="K2" s="13" t="s">
        <v>762</v>
      </c>
      <c r="L2" s="13" t="s">
        <v>761</v>
      </c>
      <c r="M2" s="13" t="s">
        <v>760</v>
      </c>
    </row>
    <row r="3" spans="1:13">
      <c r="A3" s="13" t="s">
        <v>925</v>
      </c>
      <c r="B3" s="13" t="s">
        <v>924</v>
      </c>
      <c r="C3" s="13" t="s">
        <v>760</v>
      </c>
      <c r="D3" s="13" t="s">
        <v>923</v>
      </c>
      <c r="E3" s="13" t="s">
        <v>716</v>
      </c>
      <c r="F3" s="13" t="s">
        <v>1006</v>
      </c>
      <c r="G3" s="13" t="s">
        <v>765</v>
      </c>
      <c r="H3" s="13" t="s">
        <v>760</v>
      </c>
      <c r="I3" s="13" t="s">
        <v>764</v>
      </c>
      <c r="J3" s="13" t="s">
        <v>760</v>
      </c>
      <c r="K3" s="13" t="s">
        <v>762</v>
      </c>
      <c r="L3" s="13" t="s">
        <v>761</v>
      </c>
      <c r="M3" s="13" t="s">
        <v>760</v>
      </c>
    </row>
    <row r="4" spans="1:13">
      <c r="A4" s="13" t="s">
        <v>922</v>
      </c>
      <c r="B4" s="13" t="s">
        <v>921</v>
      </c>
      <c r="C4" s="13" t="s">
        <v>760</v>
      </c>
      <c r="D4" s="13" t="s">
        <v>920</v>
      </c>
      <c r="E4" s="13" t="s">
        <v>916</v>
      </c>
      <c r="F4" s="13" t="s">
        <v>941</v>
      </c>
      <c r="G4" s="13" t="s">
        <v>765</v>
      </c>
      <c r="H4" s="13" t="s">
        <v>760</v>
      </c>
      <c r="I4" s="13" t="s">
        <v>764</v>
      </c>
      <c r="J4" s="13" t="s">
        <v>760</v>
      </c>
      <c r="K4" s="13" t="s">
        <v>762</v>
      </c>
      <c r="L4" s="13" t="s">
        <v>761</v>
      </c>
      <c r="M4" s="13" t="s">
        <v>760</v>
      </c>
    </row>
    <row r="5" spans="1:13">
      <c r="A5" s="13" t="s">
        <v>919</v>
      </c>
      <c r="B5" s="13" t="s">
        <v>918</v>
      </c>
      <c r="C5" s="13" t="s">
        <v>760</v>
      </c>
      <c r="D5" s="13" t="s">
        <v>917</v>
      </c>
      <c r="E5" s="13" t="s">
        <v>916</v>
      </c>
      <c r="F5" s="13" t="s">
        <v>941</v>
      </c>
      <c r="G5" s="13" t="s">
        <v>765</v>
      </c>
      <c r="H5" s="13" t="s">
        <v>760</v>
      </c>
      <c r="I5" s="13" t="s">
        <v>764</v>
      </c>
      <c r="J5" s="13" t="s">
        <v>760</v>
      </c>
      <c r="K5" s="13" t="s">
        <v>762</v>
      </c>
      <c r="L5" s="13" t="s">
        <v>761</v>
      </c>
      <c r="M5" s="13" t="s">
        <v>760</v>
      </c>
    </row>
    <row r="6" spans="1:13">
      <c r="A6" s="13" t="s">
        <v>915</v>
      </c>
      <c r="B6" s="13" t="s">
        <v>913</v>
      </c>
      <c r="C6" s="13" t="s">
        <v>760</v>
      </c>
      <c r="D6" s="13" t="s">
        <v>914</v>
      </c>
      <c r="E6" s="13" t="s">
        <v>913</v>
      </c>
      <c r="F6" s="13" t="s">
        <v>941</v>
      </c>
      <c r="G6" s="13" t="s">
        <v>765</v>
      </c>
      <c r="H6" s="13" t="s">
        <v>760</v>
      </c>
      <c r="I6" s="13" t="s">
        <v>764</v>
      </c>
      <c r="J6" s="13" t="s">
        <v>760</v>
      </c>
      <c r="K6" s="13" t="s">
        <v>762</v>
      </c>
      <c r="L6" s="13" t="s">
        <v>761</v>
      </c>
      <c r="M6" s="13" t="s">
        <v>760</v>
      </c>
    </row>
    <row r="7" spans="1:13">
      <c r="A7" s="13" t="s">
        <v>912</v>
      </c>
      <c r="B7" s="13" t="s">
        <v>911</v>
      </c>
      <c r="C7" s="13" t="s">
        <v>760</v>
      </c>
      <c r="D7" s="13" t="s">
        <v>910</v>
      </c>
      <c r="E7" s="13" t="s">
        <v>909</v>
      </c>
      <c r="F7" s="13" t="s">
        <v>945</v>
      </c>
      <c r="G7" s="13" t="s">
        <v>765</v>
      </c>
      <c r="H7" s="13" t="s">
        <v>760</v>
      </c>
      <c r="I7" s="13" t="s">
        <v>764</v>
      </c>
      <c r="J7" s="13" t="s">
        <v>760</v>
      </c>
      <c r="K7" s="13" t="s">
        <v>762</v>
      </c>
      <c r="L7" s="13" t="s">
        <v>761</v>
      </c>
      <c r="M7" s="13" t="s">
        <v>760</v>
      </c>
    </row>
    <row r="8" spans="1:13">
      <c r="A8" s="13" t="s">
        <v>908</v>
      </c>
      <c r="B8" s="13" t="s">
        <v>907</v>
      </c>
      <c r="C8" s="13" t="s">
        <v>760</v>
      </c>
      <c r="D8" s="13" t="s">
        <v>906</v>
      </c>
      <c r="E8" s="13" t="s">
        <v>774</v>
      </c>
      <c r="F8" s="13" t="s">
        <v>941</v>
      </c>
      <c r="G8" s="13" t="s">
        <v>765</v>
      </c>
      <c r="H8" s="13" t="s">
        <v>760</v>
      </c>
      <c r="I8" s="13" t="s">
        <v>764</v>
      </c>
      <c r="J8" s="13" t="s">
        <v>760</v>
      </c>
      <c r="K8" s="13" t="s">
        <v>762</v>
      </c>
      <c r="L8" s="13" t="s">
        <v>761</v>
      </c>
      <c r="M8" s="13" t="s">
        <v>760</v>
      </c>
    </row>
    <row r="9" spans="1:13">
      <c r="A9" s="13" t="s">
        <v>905</v>
      </c>
      <c r="B9" s="13" t="s">
        <v>903</v>
      </c>
      <c r="C9" s="13" t="s">
        <v>760</v>
      </c>
      <c r="D9" s="13" t="s">
        <v>904</v>
      </c>
      <c r="E9" s="13" t="s">
        <v>903</v>
      </c>
      <c r="F9" s="13" t="s">
        <v>946</v>
      </c>
      <c r="G9" s="13" t="s">
        <v>765</v>
      </c>
      <c r="H9" s="13" t="s">
        <v>760</v>
      </c>
      <c r="I9" s="13" t="s">
        <v>764</v>
      </c>
      <c r="J9" s="13" t="s">
        <v>760</v>
      </c>
      <c r="K9" s="13" t="s">
        <v>762</v>
      </c>
      <c r="L9" s="13" t="s">
        <v>761</v>
      </c>
      <c r="M9" s="13" t="s">
        <v>760</v>
      </c>
    </row>
    <row r="10" spans="1:13">
      <c r="A10" s="13" t="s">
        <v>902</v>
      </c>
      <c r="B10" s="13" t="s">
        <v>901</v>
      </c>
      <c r="C10" s="13" t="s">
        <v>760</v>
      </c>
      <c r="D10" s="13" t="s">
        <v>900</v>
      </c>
      <c r="E10" s="13" t="s">
        <v>817</v>
      </c>
      <c r="F10" s="13" t="s">
        <v>946</v>
      </c>
      <c r="G10" s="13" t="s">
        <v>765</v>
      </c>
      <c r="H10" s="13" t="s">
        <v>760</v>
      </c>
      <c r="I10" s="13" t="s">
        <v>764</v>
      </c>
      <c r="J10" s="13" t="s">
        <v>760</v>
      </c>
      <c r="K10" s="13" t="s">
        <v>762</v>
      </c>
      <c r="L10" s="13" t="s">
        <v>761</v>
      </c>
      <c r="M10" s="13" t="s">
        <v>760</v>
      </c>
    </row>
    <row r="11" spans="1:13">
      <c r="A11" s="13" t="s">
        <v>899</v>
      </c>
      <c r="B11" s="13" t="s">
        <v>898</v>
      </c>
      <c r="C11" s="13" t="s">
        <v>760</v>
      </c>
      <c r="D11" s="13" t="s">
        <v>897</v>
      </c>
      <c r="E11" s="13" t="s">
        <v>781</v>
      </c>
      <c r="F11" s="13" t="s">
        <v>943</v>
      </c>
      <c r="G11" s="13" t="s">
        <v>765</v>
      </c>
      <c r="H11" s="13" t="s">
        <v>760</v>
      </c>
      <c r="I11" s="13" t="s">
        <v>764</v>
      </c>
      <c r="J11" s="13" t="s">
        <v>760</v>
      </c>
      <c r="K11" s="13" t="s">
        <v>762</v>
      </c>
      <c r="L11" s="13" t="s">
        <v>761</v>
      </c>
      <c r="M11" s="13" t="s">
        <v>760</v>
      </c>
    </row>
    <row r="12" spans="1:13">
      <c r="A12" s="13" t="s">
        <v>896</v>
      </c>
      <c r="B12" s="13" t="s">
        <v>895</v>
      </c>
      <c r="C12" s="13" t="s">
        <v>760</v>
      </c>
      <c r="D12" s="13" t="s">
        <v>894</v>
      </c>
      <c r="E12" s="13" t="s">
        <v>781</v>
      </c>
      <c r="F12" s="13" t="s">
        <v>943</v>
      </c>
      <c r="G12" s="13" t="s">
        <v>765</v>
      </c>
      <c r="H12" s="13" t="s">
        <v>760</v>
      </c>
      <c r="I12" s="13" t="s">
        <v>764</v>
      </c>
      <c r="J12" s="13" t="s">
        <v>760</v>
      </c>
      <c r="K12" s="13" t="s">
        <v>762</v>
      </c>
      <c r="L12" s="13" t="s">
        <v>761</v>
      </c>
      <c r="M12" s="13" t="s">
        <v>760</v>
      </c>
    </row>
    <row r="13" spans="1:13">
      <c r="A13" s="13" t="s">
        <v>893</v>
      </c>
      <c r="B13" s="13" t="s">
        <v>892</v>
      </c>
      <c r="C13" s="13" t="s">
        <v>760</v>
      </c>
      <c r="D13" s="13" t="s">
        <v>891</v>
      </c>
      <c r="E13" s="13" t="s">
        <v>781</v>
      </c>
      <c r="F13" s="13" t="s">
        <v>943</v>
      </c>
      <c r="G13" s="13" t="s">
        <v>765</v>
      </c>
      <c r="H13" s="13" t="s">
        <v>760</v>
      </c>
      <c r="I13" s="13" t="s">
        <v>764</v>
      </c>
      <c r="J13" s="13" t="s">
        <v>760</v>
      </c>
      <c r="K13" s="13" t="s">
        <v>762</v>
      </c>
      <c r="L13" s="13" t="s">
        <v>761</v>
      </c>
      <c r="M13" s="13" t="s">
        <v>760</v>
      </c>
    </row>
    <row r="14" spans="1:13">
      <c r="A14" s="13" t="s">
        <v>890</v>
      </c>
      <c r="B14" s="13" t="s">
        <v>889</v>
      </c>
      <c r="C14" s="13" t="s">
        <v>760</v>
      </c>
      <c r="D14" s="13" t="s">
        <v>888</v>
      </c>
      <c r="E14" s="13" t="s">
        <v>12</v>
      </c>
      <c r="F14" s="13" t="s">
        <v>12</v>
      </c>
      <c r="G14" s="13" t="s">
        <v>765</v>
      </c>
      <c r="H14" s="13" t="s">
        <v>760</v>
      </c>
      <c r="I14" s="13" t="s">
        <v>764</v>
      </c>
      <c r="J14" s="13" t="s">
        <v>760</v>
      </c>
      <c r="K14" s="13" t="s">
        <v>762</v>
      </c>
      <c r="L14" s="13" t="s">
        <v>761</v>
      </c>
      <c r="M14" s="13" t="s">
        <v>760</v>
      </c>
    </row>
    <row r="15" spans="1:13">
      <c r="A15" s="13" t="s">
        <v>887</v>
      </c>
      <c r="B15" s="13" t="s">
        <v>886</v>
      </c>
      <c r="C15" s="13" t="s">
        <v>760</v>
      </c>
      <c r="D15" s="13" t="s">
        <v>885</v>
      </c>
      <c r="E15" s="13" t="s">
        <v>12</v>
      </c>
      <c r="F15" s="13" t="s">
        <v>12</v>
      </c>
      <c r="G15" s="13" t="s">
        <v>765</v>
      </c>
      <c r="H15" s="13" t="s">
        <v>760</v>
      </c>
      <c r="I15" s="13" t="s">
        <v>764</v>
      </c>
      <c r="J15" s="13" t="s">
        <v>760</v>
      </c>
      <c r="K15" s="13" t="s">
        <v>762</v>
      </c>
      <c r="L15" s="13" t="s">
        <v>761</v>
      </c>
      <c r="M15" s="13" t="s">
        <v>760</v>
      </c>
    </row>
    <row r="16" spans="1:13">
      <c r="A16" s="13" t="s">
        <v>884</v>
      </c>
      <c r="B16" s="13" t="s">
        <v>883</v>
      </c>
      <c r="C16" s="13" t="s">
        <v>760</v>
      </c>
      <c r="D16" s="13" t="s">
        <v>882</v>
      </c>
      <c r="E16" s="13" t="s">
        <v>817</v>
      </c>
      <c r="F16" s="13" t="s">
        <v>946</v>
      </c>
      <c r="G16" s="13" t="s">
        <v>765</v>
      </c>
      <c r="H16" s="13" t="s">
        <v>760</v>
      </c>
      <c r="I16" s="13" t="s">
        <v>764</v>
      </c>
      <c r="J16" s="13" t="s">
        <v>760</v>
      </c>
      <c r="K16" s="13" t="s">
        <v>762</v>
      </c>
      <c r="L16" s="13" t="s">
        <v>761</v>
      </c>
      <c r="M16" s="13" t="s">
        <v>760</v>
      </c>
    </row>
    <row r="17" spans="1:13">
      <c r="A17" s="13" t="s">
        <v>881</v>
      </c>
      <c r="B17" s="13" t="s">
        <v>880</v>
      </c>
      <c r="C17" s="13" t="s">
        <v>760</v>
      </c>
      <c r="D17" s="13" t="s">
        <v>879</v>
      </c>
      <c r="E17" s="13" t="s">
        <v>12</v>
      </c>
      <c r="F17" s="13" t="s">
        <v>12</v>
      </c>
      <c r="G17" s="13" t="s">
        <v>765</v>
      </c>
      <c r="H17" s="13" t="s">
        <v>760</v>
      </c>
      <c r="I17" s="13" t="s">
        <v>764</v>
      </c>
      <c r="J17" s="13" t="s">
        <v>760</v>
      </c>
      <c r="K17" s="13" t="s">
        <v>762</v>
      </c>
      <c r="L17" s="13" t="s">
        <v>761</v>
      </c>
      <c r="M17" s="13" t="s">
        <v>760</v>
      </c>
    </row>
    <row r="18" spans="1:13">
      <c r="A18" s="13" t="s">
        <v>878</v>
      </c>
      <c r="B18" s="13" t="s">
        <v>877</v>
      </c>
      <c r="C18" s="13" t="s">
        <v>760</v>
      </c>
      <c r="D18" s="13" t="s">
        <v>876</v>
      </c>
      <c r="E18" s="13" t="s">
        <v>12</v>
      </c>
      <c r="F18" s="13" t="s">
        <v>12</v>
      </c>
      <c r="G18" s="13" t="s">
        <v>765</v>
      </c>
      <c r="H18" s="13" t="s">
        <v>760</v>
      </c>
      <c r="I18" s="13" t="s">
        <v>764</v>
      </c>
      <c r="J18" s="13" t="s">
        <v>760</v>
      </c>
      <c r="K18" s="13" t="s">
        <v>762</v>
      </c>
      <c r="L18" s="13" t="s">
        <v>761</v>
      </c>
      <c r="M18" s="13" t="s">
        <v>760</v>
      </c>
    </row>
    <row r="19" spans="1:13">
      <c r="A19" s="13" t="s">
        <v>875</v>
      </c>
      <c r="B19" s="13" t="s">
        <v>874</v>
      </c>
      <c r="C19" s="13" t="s">
        <v>760</v>
      </c>
      <c r="D19" s="13" t="s">
        <v>873</v>
      </c>
      <c r="E19" s="13" t="s">
        <v>716</v>
      </c>
      <c r="F19" s="13" t="s">
        <v>1006</v>
      </c>
      <c r="G19" s="13" t="s">
        <v>765</v>
      </c>
      <c r="H19" s="13" t="s">
        <v>760</v>
      </c>
      <c r="I19" s="13" t="s">
        <v>764</v>
      </c>
      <c r="J19" s="13" t="s">
        <v>760</v>
      </c>
      <c r="K19" s="13" t="s">
        <v>762</v>
      </c>
      <c r="L19" s="13" t="s">
        <v>761</v>
      </c>
      <c r="M19" s="13" t="s">
        <v>760</v>
      </c>
    </row>
    <row r="20" spans="1:13">
      <c r="A20" s="13" t="s">
        <v>872</v>
      </c>
      <c r="B20" s="13" t="s">
        <v>871</v>
      </c>
      <c r="C20" s="13" t="s">
        <v>760</v>
      </c>
      <c r="D20" s="13" t="s">
        <v>870</v>
      </c>
      <c r="E20" s="13" t="s">
        <v>716</v>
      </c>
      <c r="F20" s="13" t="s">
        <v>1006</v>
      </c>
      <c r="G20" s="13" t="s">
        <v>765</v>
      </c>
      <c r="H20" s="13" t="s">
        <v>760</v>
      </c>
      <c r="I20" s="13" t="s">
        <v>764</v>
      </c>
      <c r="J20" s="13" t="s">
        <v>760</v>
      </c>
      <c r="K20" s="13" t="s">
        <v>762</v>
      </c>
      <c r="L20" s="13" t="s">
        <v>761</v>
      </c>
      <c r="M20" s="13" t="s">
        <v>760</v>
      </c>
    </row>
    <row r="21" spans="1:13">
      <c r="A21" s="13" t="s">
        <v>869</v>
      </c>
      <c r="B21" s="13" t="s">
        <v>868</v>
      </c>
      <c r="C21" s="13" t="s">
        <v>760</v>
      </c>
      <c r="D21" s="13" t="s">
        <v>867</v>
      </c>
      <c r="E21" s="13" t="s">
        <v>12</v>
      </c>
      <c r="F21" s="13" t="s">
        <v>12</v>
      </c>
      <c r="G21" s="13" t="s">
        <v>765</v>
      </c>
      <c r="H21" s="13" t="s">
        <v>760</v>
      </c>
      <c r="I21" s="13" t="s">
        <v>764</v>
      </c>
      <c r="J21" s="13" t="s">
        <v>760</v>
      </c>
      <c r="K21" s="13" t="s">
        <v>762</v>
      </c>
      <c r="L21" s="13" t="s">
        <v>761</v>
      </c>
      <c r="M21" s="13" t="s">
        <v>760</v>
      </c>
    </row>
    <row r="22" spans="1:13">
      <c r="A22" s="13" t="s">
        <v>866</v>
      </c>
      <c r="B22" s="13" t="s">
        <v>865</v>
      </c>
      <c r="C22" s="13" t="s">
        <v>760</v>
      </c>
      <c r="D22" s="13" t="s">
        <v>864</v>
      </c>
      <c r="E22" s="13" t="s">
        <v>716</v>
      </c>
      <c r="F22" s="13" t="s">
        <v>1006</v>
      </c>
      <c r="G22" s="13" t="s">
        <v>765</v>
      </c>
      <c r="H22" s="13" t="s">
        <v>760</v>
      </c>
      <c r="I22" s="13" t="s">
        <v>764</v>
      </c>
      <c r="J22" s="13" t="s">
        <v>760</v>
      </c>
      <c r="K22" s="13" t="s">
        <v>762</v>
      </c>
      <c r="L22" s="13" t="s">
        <v>761</v>
      </c>
      <c r="M22" s="13" t="s">
        <v>760</v>
      </c>
    </row>
    <row r="23" spans="1:13">
      <c r="A23" s="13" t="s">
        <v>863</v>
      </c>
      <c r="B23" s="13" t="s">
        <v>862</v>
      </c>
      <c r="C23" s="13" t="s">
        <v>760</v>
      </c>
      <c r="D23" s="13" t="s">
        <v>861</v>
      </c>
      <c r="E23" s="13" t="s">
        <v>716</v>
      </c>
      <c r="F23" s="13" t="s">
        <v>1006</v>
      </c>
      <c r="G23" s="13" t="s">
        <v>765</v>
      </c>
      <c r="H23" s="13" t="s">
        <v>760</v>
      </c>
      <c r="I23" s="13" t="s">
        <v>764</v>
      </c>
      <c r="J23" s="13" t="s">
        <v>760</v>
      </c>
      <c r="K23" s="13" t="s">
        <v>762</v>
      </c>
      <c r="L23" s="13" t="s">
        <v>761</v>
      </c>
      <c r="M23" s="13" t="s">
        <v>760</v>
      </c>
    </row>
    <row r="24" spans="1:13">
      <c r="A24" s="13" t="s">
        <v>860</v>
      </c>
      <c r="B24" s="13" t="s">
        <v>859</v>
      </c>
      <c r="C24" s="13" t="s">
        <v>760</v>
      </c>
      <c r="D24" s="13" t="s">
        <v>858</v>
      </c>
      <c r="E24" s="13" t="s">
        <v>857</v>
      </c>
      <c r="F24" s="13" t="s">
        <v>1006</v>
      </c>
      <c r="G24" s="13" t="s">
        <v>765</v>
      </c>
      <c r="H24" s="13" t="s">
        <v>760</v>
      </c>
      <c r="I24" s="13" t="s">
        <v>764</v>
      </c>
      <c r="J24" s="13" t="s">
        <v>760</v>
      </c>
      <c r="K24" s="13" t="s">
        <v>762</v>
      </c>
      <c r="L24" s="13" t="s">
        <v>761</v>
      </c>
      <c r="M24" s="13" t="s">
        <v>760</v>
      </c>
    </row>
    <row r="25" spans="1:13">
      <c r="A25" s="13" t="s">
        <v>856</v>
      </c>
      <c r="B25" s="13" t="s">
        <v>855</v>
      </c>
      <c r="C25" s="13" t="s">
        <v>760</v>
      </c>
      <c r="D25" s="13" t="s">
        <v>854</v>
      </c>
      <c r="E25" s="13" t="s">
        <v>716</v>
      </c>
      <c r="F25" s="13" t="s">
        <v>1006</v>
      </c>
      <c r="G25" s="13" t="s">
        <v>765</v>
      </c>
      <c r="H25" s="13" t="s">
        <v>760</v>
      </c>
      <c r="I25" s="13" t="s">
        <v>764</v>
      </c>
      <c r="J25" s="13" t="s">
        <v>760</v>
      </c>
      <c r="K25" s="13" t="s">
        <v>762</v>
      </c>
      <c r="L25" s="13" t="s">
        <v>761</v>
      </c>
      <c r="M25" s="13" t="s">
        <v>760</v>
      </c>
    </row>
    <row r="26" spans="1:13">
      <c r="A26" s="13" t="s">
        <v>853</v>
      </c>
      <c r="B26" s="13" t="s">
        <v>852</v>
      </c>
      <c r="C26" s="13" t="s">
        <v>760</v>
      </c>
      <c r="D26" s="13" t="s">
        <v>851</v>
      </c>
      <c r="E26" s="13" t="s">
        <v>716</v>
      </c>
      <c r="F26" s="13" t="s">
        <v>1006</v>
      </c>
      <c r="G26" s="13" t="s">
        <v>765</v>
      </c>
      <c r="H26" s="13" t="s">
        <v>760</v>
      </c>
      <c r="I26" s="13" t="s">
        <v>764</v>
      </c>
      <c r="J26" s="13" t="s">
        <v>760</v>
      </c>
      <c r="K26" s="13" t="s">
        <v>762</v>
      </c>
      <c r="L26" s="13" t="s">
        <v>761</v>
      </c>
      <c r="M26" s="13" t="s">
        <v>760</v>
      </c>
    </row>
    <row r="27" spans="1:13">
      <c r="A27" s="13" t="s">
        <v>850</v>
      </c>
      <c r="B27" s="13" t="s">
        <v>849</v>
      </c>
      <c r="C27" s="13" t="s">
        <v>760</v>
      </c>
      <c r="D27" s="13" t="s">
        <v>848</v>
      </c>
      <c r="E27" s="13" t="s">
        <v>716</v>
      </c>
      <c r="F27" s="13" t="s">
        <v>1006</v>
      </c>
      <c r="G27" s="13" t="s">
        <v>765</v>
      </c>
      <c r="H27" s="13" t="s">
        <v>760</v>
      </c>
      <c r="I27" s="13" t="s">
        <v>764</v>
      </c>
      <c r="J27" s="13" t="s">
        <v>760</v>
      </c>
      <c r="K27" s="13" t="s">
        <v>762</v>
      </c>
      <c r="L27" s="13" t="s">
        <v>761</v>
      </c>
      <c r="M27" s="13" t="s">
        <v>760</v>
      </c>
    </row>
    <row r="28" spans="1:13">
      <c r="A28" s="13" t="s">
        <v>847</v>
      </c>
      <c r="B28" s="13" t="s">
        <v>846</v>
      </c>
      <c r="C28" s="13" t="s">
        <v>760</v>
      </c>
      <c r="D28" s="13" t="s">
        <v>845</v>
      </c>
      <c r="E28" s="13" t="s">
        <v>716</v>
      </c>
      <c r="F28" s="13" t="s">
        <v>1006</v>
      </c>
      <c r="G28" s="13" t="s">
        <v>765</v>
      </c>
      <c r="H28" s="13" t="s">
        <v>760</v>
      </c>
      <c r="I28" s="13" t="s">
        <v>764</v>
      </c>
      <c r="J28" s="13" t="s">
        <v>760</v>
      </c>
      <c r="K28" s="13" t="s">
        <v>762</v>
      </c>
      <c r="L28" s="13" t="s">
        <v>761</v>
      </c>
      <c r="M28" s="13" t="s">
        <v>760</v>
      </c>
    </row>
    <row r="29" spans="1:13">
      <c r="A29" s="13" t="s">
        <v>844</v>
      </c>
      <c r="B29" s="13" t="s">
        <v>843</v>
      </c>
      <c r="C29" s="13" t="s">
        <v>760</v>
      </c>
      <c r="D29" s="13" t="s">
        <v>842</v>
      </c>
      <c r="E29" s="13" t="s">
        <v>716</v>
      </c>
      <c r="F29" s="13" t="s">
        <v>1006</v>
      </c>
      <c r="G29" s="13" t="s">
        <v>765</v>
      </c>
      <c r="H29" s="13" t="s">
        <v>760</v>
      </c>
      <c r="I29" s="13" t="s">
        <v>764</v>
      </c>
      <c r="J29" s="13" t="s">
        <v>760</v>
      </c>
      <c r="K29" s="13" t="s">
        <v>762</v>
      </c>
      <c r="L29" s="13" t="s">
        <v>761</v>
      </c>
      <c r="M29" s="13" t="s">
        <v>760</v>
      </c>
    </row>
    <row r="30" spans="1:13">
      <c r="A30" s="13" t="s">
        <v>841</v>
      </c>
      <c r="B30" s="13" t="s">
        <v>840</v>
      </c>
      <c r="C30" s="13" t="s">
        <v>760</v>
      </c>
      <c r="D30" s="13" t="s">
        <v>839</v>
      </c>
      <c r="E30" s="13" t="s">
        <v>716</v>
      </c>
      <c r="F30" s="13" t="s">
        <v>1006</v>
      </c>
      <c r="G30" s="13" t="s">
        <v>765</v>
      </c>
      <c r="H30" s="13" t="s">
        <v>760</v>
      </c>
      <c r="I30" s="13" t="s">
        <v>764</v>
      </c>
      <c r="J30" s="13" t="s">
        <v>760</v>
      </c>
      <c r="K30" s="13" t="s">
        <v>762</v>
      </c>
      <c r="L30" s="13" t="s">
        <v>761</v>
      </c>
      <c r="M30" s="13" t="s">
        <v>760</v>
      </c>
    </row>
    <row r="31" spans="1:13">
      <c r="A31" s="13" t="s">
        <v>838</v>
      </c>
      <c r="B31" s="13" t="s">
        <v>837</v>
      </c>
      <c r="C31" s="13" t="s">
        <v>760</v>
      </c>
      <c r="D31" s="13" t="s">
        <v>836</v>
      </c>
      <c r="E31" s="13" t="s">
        <v>12</v>
      </c>
      <c r="F31" s="13" t="s">
        <v>12</v>
      </c>
      <c r="G31" s="13" t="s">
        <v>765</v>
      </c>
      <c r="H31" s="13" t="s">
        <v>760</v>
      </c>
      <c r="I31" s="13" t="s">
        <v>764</v>
      </c>
      <c r="J31" s="13" t="s">
        <v>760</v>
      </c>
      <c r="K31" s="13" t="s">
        <v>762</v>
      </c>
      <c r="L31" s="13" t="s">
        <v>761</v>
      </c>
      <c r="M31" s="13" t="s">
        <v>760</v>
      </c>
    </row>
    <row r="32" spans="1:13">
      <c r="A32" s="13" t="s">
        <v>835</v>
      </c>
      <c r="B32" s="13" t="s">
        <v>834</v>
      </c>
      <c r="C32" s="13" t="s">
        <v>760</v>
      </c>
      <c r="D32" s="13" t="s">
        <v>833</v>
      </c>
      <c r="E32" s="13" t="s">
        <v>716</v>
      </c>
      <c r="F32" s="13" t="s">
        <v>1006</v>
      </c>
      <c r="G32" s="13" t="s">
        <v>765</v>
      </c>
      <c r="H32" s="13" t="s">
        <v>760</v>
      </c>
      <c r="I32" s="13" t="s">
        <v>764</v>
      </c>
      <c r="J32" s="13" t="s">
        <v>760</v>
      </c>
      <c r="K32" s="13" t="s">
        <v>762</v>
      </c>
      <c r="L32" s="13" t="s">
        <v>761</v>
      </c>
      <c r="M32" s="13" t="s">
        <v>760</v>
      </c>
    </row>
    <row r="33" spans="1:13">
      <c r="A33" s="13" t="s">
        <v>832</v>
      </c>
      <c r="B33" s="13" t="s">
        <v>831</v>
      </c>
      <c r="C33" s="13" t="s">
        <v>760</v>
      </c>
      <c r="D33" s="13" t="s">
        <v>830</v>
      </c>
      <c r="E33" s="13" t="s">
        <v>716</v>
      </c>
      <c r="F33" s="13" t="s">
        <v>1006</v>
      </c>
      <c r="G33" s="13" t="s">
        <v>765</v>
      </c>
      <c r="H33" s="13" t="s">
        <v>760</v>
      </c>
      <c r="I33" s="13" t="s">
        <v>764</v>
      </c>
      <c r="J33" s="13" t="s">
        <v>760</v>
      </c>
      <c r="K33" s="13" t="s">
        <v>762</v>
      </c>
      <c r="L33" s="13" t="s">
        <v>761</v>
      </c>
      <c r="M33" s="13" t="s">
        <v>760</v>
      </c>
    </row>
    <row r="34" spans="1:13">
      <c r="A34" s="13" t="s">
        <v>829</v>
      </c>
      <c r="B34" s="13" t="s">
        <v>828</v>
      </c>
      <c r="C34" s="13" t="s">
        <v>760</v>
      </c>
      <c r="D34" s="13" t="s">
        <v>827</v>
      </c>
      <c r="E34" s="13" t="s">
        <v>817</v>
      </c>
      <c r="F34" s="13" t="s">
        <v>946</v>
      </c>
      <c r="G34" s="13" t="s">
        <v>765</v>
      </c>
      <c r="H34" s="13" t="s">
        <v>760</v>
      </c>
      <c r="I34" s="13" t="s">
        <v>764</v>
      </c>
      <c r="J34" s="13" t="s">
        <v>760</v>
      </c>
      <c r="K34" s="13" t="s">
        <v>762</v>
      </c>
      <c r="L34" s="13" t="s">
        <v>761</v>
      </c>
      <c r="M34" s="13" t="s">
        <v>760</v>
      </c>
    </row>
    <row r="35" spans="1:13">
      <c r="A35" s="13" t="s">
        <v>826</v>
      </c>
      <c r="B35" s="13" t="s">
        <v>825</v>
      </c>
      <c r="C35" s="13" t="s">
        <v>760</v>
      </c>
      <c r="D35" s="13" t="s">
        <v>824</v>
      </c>
      <c r="E35" s="13" t="s">
        <v>774</v>
      </c>
      <c r="F35" s="13" t="s">
        <v>941</v>
      </c>
      <c r="G35" s="13" t="s">
        <v>765</v>
      </c>
      <c r="H35" s="13" t="s">
        <v>760</v>
      </c>
      <c r="I35" s="13" t="s">
        <v>764</v>
      </c>
      <c r="J35" s="13" t="s">
        <v>760</v>
      </c>
      <c r="K35" s="13" t="s">
        <v>762</v>
      </c>
      <c r="L35" s="13" t="s">
        <v>761</v>
      </c>
      <c r="M35" s="13" t="s">
        <v>760</v>
      </c>
    </row>
    <row r="36" spans="1:13">
      <c r="A36" s="13" t="s">
        <v>823</v>
      </c>
      <c r="B36" s="13" t="s">
        <v>822</v>
      </c>
      <c r="C36" s="13" t="s">
        <v>760</v>
      </c>
      <c r="D36" s="13" t="s">
        <v>821</v>
      </c>
      <c r="E36" s="13" t="s">
        <v>716</v>
      </c>
      <c r="F36" s="13" t="s">
        <v>1006</v>
      </c>
      <c r="G36" s="13" t="s">
        <v>765</v>
      </c>
      <c r="H36" s="13" t="s">
        <v>760</v>
      </c>
      <c r="I36" s="13" t="s">
        <v>764</v>
      </c>
      <c r="J36" s="13" t="s">
        <v>760</v>
      </c>
      <c r="K36" s="13" t="s">
        <v>762</v>
      </c>
      <c r="L36" s="13" t="s">
        <v>761</v>
      </c>
      <c r="M36" s="13" t="s">
        <v>760</v>
      </c>
    </row>
    <row r="37" spans="1:13">
      <c r="A37" s="13" t="s">
        <v>820</v>
      </c>
      <c r="B37" s="13" t="s">
        <v>819</v>
      </c>
      <c r="C37" s="13" t="s">
        <v>760</v>
      </c>
      <c r="D37" s="13" t="s">
        <v>818</v>
      </c>
      <c r="E37" s="13" t="s">
        <v>817</v>
      </c>
      <c r="F37" s="13" t="s">
        <v>946</v>
      </c>
      <c r="G37" s="13" t="s">
        <v>765</v>
      </c>
      <c r="H37" s="13" t="s">
        <v>760</v>
      </c>
      <c r="I37" s="13" t="s">
        <v>764</v>
      </c>
      <c r="J37" s="13" t="s">
        <v>760</v>
      </c>
      <c r="K37" s="13" t="s">
        <v>762</v>
      </c>
      <c r="L37" s="13" t="s">
        <v>761</v>
      </c>
      <c r="M37" s="13" t="s">
        <v>760</v>
      </c>
    </row>
    <row r="38" spans="1:13">
      <c r="A38" s="13" t="s">
        <v>816</v>
      </c>
      <c r="B38" s="13" t="s">
        <v>815</v>
      </c>
      <c r="C38" s="13" t="s">
        <v>760</v>
      </c>
      <c r="D38" s="13" t="s">
        <v>814</v>
      </c>
      <c r="E38" s="13" t="s">
        <v>716</v>
      </c>
      <c r="F38" s="13" t="s">
        <v>1006</v>
      </c>
      <c r="G38" s="13" t="s">
        <v>765</v>
      </c>
      <c r="H38" s="13" t="s">
        <v>760</v>
      </c>
      <c r="I38" s="13" t="s">
        <v>764</v>
      </c>
      <c r="J38" s="13" t="s">
        <v>760</v>
      </c>
      <c r="K38" s="13" t="s">
        <v>762</v>
      </c>
      <c r="L38" s="13" t="s">
        <v>761</v>
      </c>
      <c r="M38" s="13" t="s">
        <v>760</v>
      </c>
    </row>
    <row r="39" spans="1:13">
      <c r="A39" s="13" t="s">
        <v>813</v>
      </c>
      <c r="B39" s="13" t="s">
        <v>812</v>
      </c>
      <c r="C39" s="13" t="s">
        <v>760</v>
      </c>
      <c r="D39" s="13" t="s">
        <v>811</v>
      </c>
      <c r="E39" s="13" t="s">
        <v>716</v>
      </c>
      <c r="F39" s="13" t="s">
        <v>1006</v>
      </c>
      <c r="G39" s="13" t="s">
        <v>765</v>
      </c>
      <c r="H39" s="13" t="s">
        <v>760</v>
      </c>
      <c r="I39" s="13" t="s">
        <v>764</v>
      </c>
      <c r="J39" s="13" t="s">
        <v>760</v>
      </c>
      <c r="K39" s="13" t="s">
        <v>762</v>
      </c>
      <c r="L39" s="13" t="s">
        <v>761</v>
      </c>
      <c r="M39" s="13" t="s">
        <v>760</v>
      </c>
    </row>
    <row r="40" spans="1:13">
      <c r="A40" s="13" t="s">
        <v>810</v>
      </c>
      <c r="B40" s="13" t="s">
        <v>809</v>
      </c>
      <c r="C40" s="13" t="s">
        <v>760</v>
      </c>
      <c r="D40" s="13" t="s">
        <v>808</v>
      </c>
      <c r="E40" s="13" t="s">
        <v>716</v>
      </c>
      <c r="F40" s="13" t="s">
        <v>1006</v>
      </c>
      <c r="G40" s="13" t="s">
        <v>765</v>
      </c>
      <c r="H40" s="13" t="s">
        <v>760</v>
      </c>
      <c r="I40" s="13" t="s">
        <v>764</v>
      </c>
      <c r="J40" s="13" t="s">
        <v>760</v>
      </c>
      <c r="K40" s="13" t="s">
        <v>762</v>
      </c>
      <c r="L40" s="13" t="s">
        <v>761</v>
      </c>
      <c r="M40" s="13" t="s">
        <v>760</v>
      </c>
    </row>
    <row r="41" spans="1:13">
      <c r="A41" s="13" t="s">
        <v>807</v>
      </c>
      <c r="B41" s="13" t="s">
        <v>806</v>
      </c>
      <c r="C41" s="13" t="s">
        <v>760</v>
      </c>
      <c r="D41" s="13" t="s">
        <v>805</v>
      </c>
      <c r="E41" s="13" t="s">
        <v>716</v>
      </c>
      <c r="F41" s="13" t="s">
        <v>1006</v>
      </c>
      <c r="G41" s="13" t="s">
        <v>765</v>
      </c>
      <c r="H41" s="13" t="s">
        <v>760</v>
      </c>
      <c r="I41" s="13" t="s">
        <v>764</v>
      </c>
      <c r="J41" s="13" t="s">
        <v>760</v>
      </c>
      <c r="K41" s="13" t="s">
        <v>762</v>
      </c>
      <c r="L41" s="13" t="s">
        <v>761</v>
      </c>
      <c r="M41" s="13" t="s">
        <v>760</v>
      </c>
    </row>
    <row r="42" spans="1:13">
      <c r="A42" s="13" t="s">
        <v>804</v>
      </c>
      <c r="B42" s="13" t="s">
        <v>803</v>
      </c>
      <c r="C42" s="13" t="s">
        <v>760</v>
      </c>
      <c r="D42" s="13" t="s">
        <v>802</v>
      </c>
      <c r="E42" s="13" t="s">
        <v>716</v>
      </c>
      <c r="F42" s="13" t="s">
        <v>1006</v>
      </c>
      <c r="G42" s="13" t="s">
        <v>765</v>
      </c>
      <c r="H42" s="13" t="s">
        <v>760</v>
      </c>
      <c r="I42" s="13" t="s">
        <v>764</v>
      </c>
      <c r="J42" s="13" t="s">
        <v>760</v>
      </c>
      <c r="K42" s="13" t="s">
        <v>762</v>
      </c>
      <c r="L42" s="13" t="s">
        <v>761</v>
      </c>
      <c r="M42" s="13" t="s">
        <v>760</v>
      </c>
    </row>
    <row r="43" spans="1:13">
      <c r="A43" s="13" t="s">
        <v>801</v>
      </c>
      <c r="B43" s="13" t="s">
        <v>800</v>
      </c>
      <c r="C43" s="13" t="s">
        <v>760</v>
      </c>
      <c r="D43" s="13" t="s">
        <v>799</v>
      </c>
      <c r="E43" s="13" t="s">
        <v>716</v>
      </c>
      <c r="F43" s="13" t="s">
        <v>1006</v>
      </c>
      <c r="G43" s="13" t="s">
        <v>765</v>
      </c>
      <c r="H43" s="13" t="s">
        <v>760</v>
      </c>
      <c r="I43" s="13" t="s">
        <v>764</v>
      </c>
      <c r="J43" s="13" t="s">
        <v>760</v>
      </c>
      <c r="K43" s="13" t="s">
        <v>762</v>
      </c>
      <c r="L43" s="13" t="s">
        <v>761</v>
      </c>
      <c r="M43" s="13" t="s">
        <v>760</v>
      </c>
    </row>
    <row r="44" spans="1:13">
      <c r="A44" s="13" t="s">
        <v>798</v>
      </c>
      <c r="B44" s="13" t="s">
        <v>797</v>
      </c>
      <c r="C44" s="13" t="s">
        <v>760</v>
      </c>
      <c r="D44" s="13" t="s">
        <v>796</v>
      </c>
      <c r="E44" s="13" t="s">
        <v>795</v>
      </c>
      <c r="F44" s="13" t="s">
        <v>946</v>
      </c>
      <c r="G44" s="13" t="s">
        <v>765</v>
      </c>
      <c r="H44" s="13" t="s">
        <v>760</v>
      </c>
      <c r="I44" s="13" t="s">
        <v>764</v>
      </c>
      <c r="J44" s="13" t="s">
        <v>760</v>
      </c>
      <c r="K44" s="13" t="s">
        <v>762</v>
      </c>
      <c r="L44" s="13" t="s">
        <v>761</v>
      </c>
      <c r="M44" s="13" t="s">
        <v>760</v>
      </c>
    </row>
    <row r="45" spans="1:13">
      <c r="A45" s="13" t="s">
        <v>794</v>
      </c>
      <c r="B45" s="13" t="s">
        <v>5</v>
      </c>
      <c r="C45" s="13" t="s">
        <v>760</v>
      </c>
      <c r="D45" s="13" t="s">
        <v>793</v>
      </c>
      <c r="E45" s="13" t="s">
        <v>716</v>
      </c>
      <c r="F45" s="13" t="s">
        <v>1006</v>
      </c>
      <c r="G45" s="13" t="s">
        <v>765</v>
      </c>
      <c r="H45" s="13" t="s">
        <v>760</v>
      </c>
      <c r="I45" s="13" t="s">
        <v>764</v>
      </c>
      <c r="J45" s="13" t="s">
        <v>760</v>
      </c>
      <c r="K45" s="13" t="s">
        <v>762</v>
      </c>
      <c r="L45" s="13" t="s">
        <v>761</v>
      </c>
      <c r="M45" s="13" t="s">
        <v>760</v>
      </c>
    </row>
    <row r="46" spans="1:13">
      <c r="A46" s="13" t="s">
        <v>792</v>
      </c>
      <c r="B46" s="13" t="s">
        <v>791</v>
      </c>
      <c r="C46" s="13" t="s">
        <v>760</v>
      </c>
      <c r="D46" s="13" t="s">
        <v>790</v>
      </c>
      <c r="E46" s="13" t="s">
        <v>789</v>
      </c>
      <c r="F46" s="13" t="s">
        <v>941</v>
      </c>
      <c r="G46" s="13" t="s">
        <v>765</v>
      </c>
      <c r="H46" s="13" t="s">
        <v>760</v>
      </c>
      <c r="I46" s="13" t="s">
        <v>764</v>
      </c>
      <c r="J46" s="13" t="s">
        <v>760</v>
      </c>
      <c r="K46" s="13" t="s">
        <v>762</v>
      </c>
      <c r="L46" s="13" t="s">
        <v>761</v>
      </c>
      <c r="M46" s="13" t="s">
        <v>760</v>
      </c>
    </row>
    <row r="47" spans="1:13">
      <c r="A47" s="13" t="s">
        <v>788</v>
      </c>
      <c r="B47" s="13" t="s">
        <v>787</v>
      </c>
      <c r="C47" s="13" t="s">
        <v>760</v>
      </c>
      <c r="D47" s="13" t="s">
        <v>786</v>
      </c>
      <c r="E47" s="13" t="s">
        <v>785</v>
      </c>
      <c r="F47" s="13" t="s">
        <v>940</v>
      </c>
      <c r="G47" s="13" t="s">
        <v>765</v>
      </c>
      <c r="H47" s="13" t="s">
        <v>760</v>
      </c>
      <c r="I47" s="13" t="s">
        <v>764</v>
      </c>
      <c r="J47" s="13" t="s">
        <v>760</v>
      </c>
      <c r="K47" s="13" t="s">
        <v>762</v>
      </c>
      <c r="L47" s="13" t="s">
        <v>761</v>
      </c>
      <c r="M47" s="13" t="s">
        <v>760</v>
      </c>
    </row>
    <row r="48" spans="1:13">
      <c r="A48" s="13" t="s">
        <v>784</v>
      </c>
      <c r="B48" s="13" t="s">
        <v>783</v>
      </c>
      <c r="C48" s="13" t="s">
        <v>760</v>
      </c>
      <c r="D48" s="13" t="s">
        <v>782</v>
      </c>
      <c r="E48" s="13" t="s">
        <v>781</v>
      </c>
      <c r="F48" s="13" t="s">
        <v>943</v>
      </c>
      <c r="G48" s="13" t="s">
        <v>765</v>
      </c>
      <c r="H48" s="13" t="s">
        <v>760</v>
      </c>
      <c r="I48" s="13" t="s">
        <v>764</v>
      </c>
      <c r="J48" s="13" t="s">
        <v>760</v>
      </c>
      <c r="K48" s="13" t="s">
        <v>762</v>
      </c>
      <c r="L48" s="13" t="s">
        <v>761</v>
      </c>
      <c r="M48" s="13" t="s">
        <v>760</v>
      </c>
    </row>
    <row r="49" spans="1:13">
      <c r="A49" s="13" t="s">
        <v>780</v>
      </c>
      <c r="B49" s="13" t="s">
        <v>779</v>
      </c>
      <c r="C49" s="13" t="s">
        <v>760</v>
      </c>
      <c r="D49" s="13" t="s">
        <v>778</v>
      </c>
      <c r="E49" s="13" t="s">
        <v>716</v>
      </c>
      <c r="F49" s="13" t="s">
        <v>1006</v>
      </c>
      <c r="G49" s="13" t="s">
        <v>765</v>
      </c>
      <c r="H49" s="13" t="s">
        <v>760</v>
      </c>
      <c r="I49" s="13" t="s">
        <v>764</v>
      </c>
      <c r="J49" s="13" t="s">
        <v>760</v>
      </c>
      <c r="K49" s="13" t="s">
        <v>762</v>
      </c>
      <c r="L49" s="13" t="s">
        <v>761</v>
      </c>
      <c r="M49" s="13" t="s">
        <v>760</v>
      </c>
    </row>
    <row r="50" spans="1:13">
      <c r="A50" s="13" t="s">
        <v>777</v>
      </c>
      <c r="B50" s="13" t="s">
        <v>776</v>
      </c>
      <c r="C50" s="13" t="s">
        <v>760</v>
      </c>
      <c r="D50" s="13" t="s">
        <v>775</v>
      </c>
      <c r="E50" s="13" t="s">
        <v>774</v>
      </c>
      <c r="F50" s="13" t="s">
        <v>941</v>
      </c>
      <c r="G50" s="13" t="s">
        <v>765</v>
      </c>
      <c r="H50" s="13" t="s">
        <v>760</v>
      </c>
      <c r="I50" s="13" t="s">
        <v>764</v>
      </c>
      <c r="J50" s="13" t="s">
        <v>760</v>
      </c>
      <c r="K50" s="13" t="s">
        <v>762</v>
      </c>
      <c r="L50" s="13" t="s">
        <v>761</v>
      </c>
      <c r="M50" s="13" t="s">
        <v>760</v>
      </c>
    </row>
    <row r="51" spans="1:13">
      <c r="A51" s="13" t="s">
        <v>773</v>
      </c>
      <c r="B51" s="13" t="s">
        <v>772</v>
      </c>
      <c r="C51" s="13" t="s">
        <v>760</v>
      </c>
      <c r="D51" s="13" t="s">
        <v>771</v>
      </c>
      <c r="E51" s="13" t="s">
        <v>716</v>
      </c>
      <c r="F51" s="13" t="s">
        <v>1006</v>
      </c>
      <c r="G51" s="13" t="s">
        <v>765</v>
      </c>
      <c r="H51" s="13" t="s">
        <v>760</v>
      </c>
      <c r="I51" s="13" t="s">
        <v>764</v>
      </c>
      <c r="J51" s="13" t="s">
        <v>760</v>
      </c>
      <c r="K51" s="13" t="s">
        <v>762</v>
      </c>
      <c r="L51" s="13" t="s">
        <v>761</v>
      </c>
      <c r="M51" s="13" t="s">
        <v>760</v>
      </c>
    </row>
    <row r="52" spans="1:13">
      <c r="A52" s="13" t="s">
        <v>770</v>
      </c>
      <c r="B52" s="13" t="s">
        <v>769</v>
      </c>
      <c r="C52" s="13" t="s">
        <v>760</v>
      </c>
      <c r="D52" s="13" t="s">
        <v>768</v>
      </c>
      <c r="E52" s="13" t="s">
        <v>716</v>
      </c>
      <c r="F52" s="13" t="s">
        <v>1006</v>
      </c>
      <c r="G52" s="13" t="s">
        <v>765</v>
      </c>
      <c r="H52" s="13" t="s">
        <v>760</v>
      </c>
      <c r="I52" s="13" t="s">
        <v>764</v>
      </c>
      <c r="J52" s="13" t="s">
        <v>760</v>
      </c>
      <c r="K52" s="13" t="s">
        <v>762</v>
      </c>
      <c r="L52" s="13" t="s">
        <v>761</v>
      </c>
      <c r="M52" s="13" t="s">
        <v>760</v>
      </c>
    </row>
    <row r="53" spans="1:13">
      <c r="A53" s="13" t="s">
        <v>767</v>
      </c>
      <c r="B53" s="13" t="s">
        <v>766</v>
      </c>
      <c r="C53" s="13" t="s">
        <v>760</v>
      </c>
      <c r="D53" s="13" t="s">
        <v>760</v>
      </c>
      <c r="E53" s="13" t="s">
        <v>709</v>
      </c>
      <c r="F53" s="13" t="s">
        <v>941</v>
      </c>
      <c r="G53" s="13" t="s">
        <v>765</v>
      </c>
      <c r="H53" s="13" t="s">
        <v>760</v>
      </c>
      <c r="I53" s="13" t="s">
        <v>764</v>
      </c>
      <c r="J53" s="13" t="s">
        <v>763</v>
      </c>
      <c r="K53" s="13" t="s">
        <v>762</v>
      </c>
      <c r="L53" s="13" t="s">
        <v>761</v>
      </c>
      <c r="M53" s="13" t="s">
        <v>760</v>
      </c>
    </row>
    <row r="54" spans="1:13">
      <c r="A54" s="16" t="s">
        <v>948</v>
      </c>
      <c r="B54" s="13" t="s">
        <v>949</v>
      </c>
      <c r="D54" s="13" t="s">
        <v>952</v>
      </c>
      <c r="E54" s="13" t="s">
        <v>709</v>
      </c>
      <c r="F54" s="13" t="s">
        <v>941</v>
      </c>
    </row>
    <row r="55" spans="1:13">
      <c r="A55" s="16" t="s">
        <v>948</v>
      </c>
      <c r="B55" s="13" t="s">
        <v>950</v>
      </c>
      <c r="D55" s="13" t="s">
        <v>952</v>
      </c>
      <c r="E55" s="13" t="s">
        <v>709</v>
      </c>
      <c r="F55" s="13" t="s">
        <v>941</v>
      </c>
    </row>
    <row r="56" spans="1:13">
      <c r="A56" s="16" t="s">
        <v>948</v>
      </c>
      <c r="B56" s="13" t="s">
        <v>951</v>
      </c>
      <c r="D56" s="13" t="s">
        <v>952</v>
      </c>
      <c r="E56" s="13" t="s">
        <v>709</v>
      </c>
      <c r="F56" s="13" t="s">
        <v>941</v>
      </c>
    </row>
    <row r="57" spans="1:13">
      <c r="A57" s="16" t="s">
        <v>948</v>
      </c>
      <c r="B57" s="13" t="s">
        <v>1355</v>
      </c>
      <c r="D57" s="13" t="s">
        <v>953</v>
      </c>
      <c r="E57" s="13" t="s">
        <v>12</v>
      </c>
      <c r="F57" s="13" t="s">
        <v>12</v>
      </c>
    </row>
    <row r="58" spans="1:13">
      <c r="A58" s="16" t="s">
        <v>948</v>
      </c>
      <c r="B58" s="13" t="s">
        <v>989</v>
      </c>
      <c r="D58" s="13" t="s">
        <v>990</v>
      </c>
      <c r="E58" s="13" t="s">
        <v>903</v>
      </c>
      <c r="F58" s="13" t="s">
        <v>946</v>
      </c>
    </row>
    <row r="59" spans="1:13">
      <c r="A59" s="16" t="s">
        <v>948</v>
      </c>
      <c r="B59" s="13" t="s">
        <v>955</v>
      </c>
      <c r="D59" s="13" t="s">
        <v>956</v>
      </c>
      <c r="E59" s="13" t="s">
        <v>716</v>
      </c>
      <c r="F59" s="13" t="s">
        <v>1006</v>
      </c>
    </row>
    <row r="60" spans="1:13">
      <c r="A60" s="16" t="s">
        <v>948</v>
      </c>
      <c r="B60" s="13" t="s">
        <v>958</v>
      </c>
      <c r="D60" s="13" t="s">
        <v>957</v>
      </c>
      <c r="E60" s="13" t="s">
        <v>716</v>
      </c>
      <c r="F60" s="13" t="s">
        <v>1006</v>
      </c>
    </row>
    <row r="61" spans="1:13">
      <c r="A61" s="16" t="s">
        <v>948</v>
      </c>
      <c r="B61" s="13" t="s">
        <v>1356</v>
      </c>
      <c r="D61" s="13" t="s">
        <v>959</v>
      </c>
      <c r="E61" s="13" t="s">
        <v>716</v>
      </c>
      <c r="F61" s="13" t="s">
        <v>940</v>
      </c>
    </row>
    <row r="62" spans="1:13">
      <c r="A62" s="16" t="s">
        <v>948</v>
      </c>
      <c r="B62" s="13" t="s">
        <v>2</v>
      </c>
      <c r="D62" s="13" t="s">
        <v>960</v>
      </c>
      <c r="E62" s="13" t="s">
        <v>12</v>
      </c>
      <c r="F62" s="13" t="s">
        <v>12</v>
      </c>
    </row>
    <row r="63" spans="1:13">
      <c r="A63" s="16" t="s">
        <v>948</v>
      </c>
      <c r="B63" s="13" t="s">
        <v>1357</v>
      </c>
      <c r="D63" s="13" t="s">
        <v>961</v>
      </c>
      <c r="E63" s="13" t="s">
        <v>12</v>
      </c>
      <c r="F63" s="13" t="s">
        <v>12</v>
      </c>
    </row>
    <row r="64" spans="1:13">
      <c r="A64" s="16" t="s">
        <v>948</v>
      </c>
      <c r="B64" s="13" t="s">
        <v>963</v>
      </c>
      <c r="D64" s="13" t="s">
        <v>964</v>
      </c>
      <c r="E64" s="13" t="s">
        <v>716</v>
      </c>
      <c r="F64" s="13" t="s">
        <v>1006</v>
      </c>
    </row>
    <row r="65" spans="1:6">
      <c r="A65" s="16" t="s">
        <v>948</v>
      </c>
      <c r="B65" s="13" t="s">
        <v>966</v>
      </c>
      <c r="D65" s="13" t="s">
        <v>965</v>
      </c>
      <c r="E65" s="13" t="s">
        <v>716</v>
      </c>
      <c r="F65" s="13" t="s">
        <v>1006</v>
      </c>
    </row>
    <row r="66" spans="1:6">
      <c r="A66" s="16" t="s">
        <v>948</v>
      </c>
      <c r="B66" s="13" t="s">
        <v>977</v>
      </c>
      <c r="D66" s="13" t="s">
        <v>978</v>
      </c>
      <c r="E66" s="13" t="s">
        <v>716</v>
      </c>
      <c r="F66" s="13" t="s">
        <v>1006</v>
      </c>
    </row>
    <row r="67" spans="1:6">
      <c r="A67" s="16" t="s">
        <v>948</v>
      </c>
      <c r="B67" s="13" t="s">
        <v>979</v>
      </c>
      <c r="D67" s="13" t="s">
        <v>981</v>
      </c>
      <c r="E67" s="13" t="s">
        <v>716</v>
      </c>
      <c r="F67" s="13" t="s">
        <v>1006</v>
      </c>
    </row>
    <row r="68" spans="1:6">
      <c r="A68" s="16" t="s">
        <v>948</v>
      </c>
      <c r="B68" s="13" t="s">
        <v>980</v>
      </c>
      <c r="D68" s="13" t="s">
        <v>982</v>
      </c>
      <c r="E68" s="13" t="s">
        <v>716</v>
      </c>
      <c r="F68" s="13" t="s">
        <v>1006</v>
      </c>
    </row>
    <row r="69" spans="1:6">
      <c r="A69" s="16" t="s">
        <v>948</v>
      </c>
      <c r="B69" s="13" t="s">
        <v>32</v>
      </c>
      <c r="D69" s="13" t="s">
        <v>983</v>
      </c>
      <c r="E69" s="13" t="s">
        <v>716</v>
      </c>
      <c r="F69" s="13" t="s">
        <v>1006</v>
      </c>
    </row>
    <row r="70" spans="1:6">
      <c r="A70" s="16" t="s">
        <v>948</v>
      </c>
      <c r="B70" s="13" t="s">
        <v>27</v>
      </c>
      <c r="D70" s="13" t="s">
        <v>984</v>
      </c>
      <c r="E70" s="13" t="s">
        <v>716</v>
      </c>
      <c r="F70" s="13" t="s">
        <v>1006</v>
      </c>
    </row>
    <row r="71" spans="1:6">
      <c r="A71" s="16" t="s">
        <v>948</v>
      </c>
      <c r="B71" s="13" t="s">
        <v>985</v>
      </c>
      <c r="D71" s="13" t="s">
        <v>986</v>
      </c>
      <c r="E71" s="13" t="s">
        <v>716</v>
      </c>
      <c r="F71" s="13" t="s">
        <v>1006</v>
      </c>
    </row>
    <row r="72" spans="1:6">
      <c r="A72" s="16" t="s">
        <v>948</v>
      </c>
      <c r="B72" s="13" t="s">
        <v>987</v>
      </c>
      <c r="D72" s="13" t="s">
        <v>988</v>
      </c>
      <c r="E72" s="13" t="s">
        <v>716</v>
      </c>
      <c r="F72" s="13" t="s">
        <v>1006</v>
      </c>
    </row>
    <row r="73" spans="1:6">
      <c r="A73" s="16" t="s">
        <v>948</v>
      </c>
      <c r="B73" s="13" t="s">
        <v>994</v>
      </c>
      <c r="D73" s="13" t="s">
        <v>995</v>
      </c>
      <c r="E73" s="13" t="s">
        <v>716</v>
      </c>
      <c r="F73" s="13" t="s">
        <v>1006</v>
      </c>
    </row>
    <row r="74" spans="1:6">
      <c r="A74" s="16" t="s">
        <v>948</v>
      </c>
      <c r="B74" s="13" t="s">
        <v>997</v>
      </c>
      <c r="C74" s="13" t="s">
        <v>760</v>
      </c>
      <c r="D74" s="13" t="s">
        <v>996</v>
      </c>
      <c r="E74" s="13" t="s">
        <v>909</v>
      </c>
      <c r="F74" s="13" t="s">
        <v>945</v>
      </c>
    </row>
    <row r="75" spans="1:6">
      <c r="A75" s="16" t="s">
        <v>948</v>
      </c>
      <c r="B75" s="13" t="s">
        <v>998</v>
      </c>
      <c r="D75" s="13" t="s">
        <v>999</v>
      </c>
      <c r="E75" s="13" t="s">
        <v>998</v>
      </c>
      <c r="F75" s="13" t="s">
        <v>943</v>
      </c>
    </row>
    <row r="76" spans="1:6">
      <c r="A76" s="16" t="s">
        <v>948</v>
      </c>
      <c r="B76" s="13" t="s">
        <v>943</v>
      </c>
      <c r="E76" s="13" t="s">
        <v>943</v>
      </c>
      <c r="F76" s="13" t="s">
        <v>943</v>
      </c>
    </row>
    <row r="77" spans="1:6">
      <c r="A77" s="16" t="s">
        <v>948</v>
      </c>
      <c r="B77" s="13" t="s">
        <v>1000</v>
      </c>
      <c r="E77" s="13" t="s">
        <v>1000</v>
      </c>
      <c r="F77" s="13" t="s">
        <v>943</v>
      </c>
    </row>
    <row r="78" spans="1:6">
      <c r="A78" s="16" t="s">
        <v>948</v>
      </c>
      <c r="B78" s="13" t="s">
        <v>1382</v>
      </c>
      <c r="D78" s="13" t="s">
        <v>1383</v>
      </c>
      <c r="E78" s="13" t="s">
        <v>716</v>
      </c>
      <c r="F78" s="13" t="s">
        <v>1006</v>
      </c>
    </row>
    <row r="79" spans="1:6">
      <c r="A79" s="16" t="s">
        <v>948</v>
      </c>
      <c r="B79" s="13" t="s">
        <v>1417</v>
      </c>
      <c r="E79" s="13" t="s">
        <v>716</v>
      </c>
      <c r="F79" s="13" t="s">
        <v>1006</v>
      </c>
    </row>
    <row r="80" spans="1:6">
      <c r="A80" s="16" t="s">
        <v>948</v>
      </c>
      <c r="B80" s="13" t="s">
        <v>1689</v>
      </c>
      <c r="E80" s="13" t="s">
        <v>12</v>
      </c>
      <c r="F80" s="13" t="s">
        <v>12</v>
      </c>
    </row>
    <row r="81" spans="1:6">
      <c r="A81" s="16" t="s">
        <v>948</v>
      </c>
      <c r="B81" s="13" t="s">
        <v>1694</v>
      </c>
      <c r="E81" s="13" t="s">
        <v>716</v>
      </c>
      <c r="F81" s="13" t="s">
        <v>1006</v>
      </c>
    </row>
  </sheetData>
  <autoFilter ref="A1:M77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Views>
    <sheetView workbookViewId="0">
      <selection activeCell="G19" sqref="G19"/>
    </sheetView>
  </sheetViews>
  <sheetFormatPr defaultRowHeight="13"/>
  <cols>
    <col min="2" max="2" width="41" customWidth="1"/>
    <col min="3" max="3" width="20" customWidth="1"/>
    <col min="4" max="4" width="15" customWidth="1"/>
  </cols>
  <sheetData>
    <row r="3" spans="2:4">
      <c r="B3" t="s">
        <v>967</v>
      </c>
      <c r="C3" t="s">
        <v>968</v>
      </c>
    </row>
    <row r="4" spans="2:4">
      <c r="B4" t="s">
        <v>969</v>
      </c>
      <c r="C4" s="17">
        <v>1040000</v>
      </c>
    </row>
    <row r="5" spans="2:4">
      <c r="B5" t="s">
        <v>970</v>
      </c>
      <c r="C5" s="17">
        <v>68000</v>
      </c>
    </row>
    <row r="6" spans="2:4">
      <c r="B6" t="s">
        <v>971</v>
      </c>
      <c r="C6" s="17">
        <v>57000</v>
      </c>
    </row>
    <row r="7" spans="2:4">
      <c r="B7" t="s">
        <v>972</v>
      </c>
      <c r="C7" s="17">
        <v>11610</v>
      </c>
      <c r="D7" s="17">
        <f>C7+C8+C10</f>
        <v>122550</v>
      </c>
    </row>
    <row r="8" spans="2:4">
      <c r="B8" t="s">
        <v>972</v>
      </c>
      <c r="C8" s="17">
        <v>11610</v>
      </c>
    </row>
    <row r="10" spans="2:4">
      <c r="B10" t="s">
        <v>972</v>
      </c>
      <c r="C10" s="17">
        <v>99330</v>
      </c>
    </row>
    <row r="11" spans="2:4">
      <c r="B11" t="s">
        <v>973</v>
      </c>
      <c r="C11" s="17">
        <v>40000</v>
      </c>
      <c r="D11" s="17">
        <f>C11+C12</f>
        <v>70000</v>
      </c>
    </row>
    <row r="12" spans="2:4">
      <c r="B12" t="s">
        <v>974</v>
      </c>
      <c r="C12" s="17">
        <v>30000</v>
      </c>
    </row>
    <row r="13" spans="2:4">
      <c r="B13" t="s">
        <v>975</v>
      </c>
      <c r="C13" s="18">
        <f>SUM(C4:C12)</f>
        <v>1357550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topLeftCell="C37" workbookViewId="0">
      <selection activeCell="F33" sqref="F33"/>
    </sheetView>
  </sheetViews>
  <sheetFormatPr defaultColWidth="9.296875" defaultRowHeight="13"/>
  <cols>
    <col min="1" max="1" width="22.5" style="13" customWidth="1"/>
    <col min="2" max="2" width="15.296875" style="13" customWidth="1"/>
    <col min="3" max="3" width="17.69921875" style="13" customWidth="1"/>
    <col min="4" max="4" width="45.5" style="13" hidden="1" customWidth="1"/>
    <col min="5" max="5" width="14.796875" style="13" customWidth="1"/>
    <col min="6" max="6" width="16.19921875" style="13" customWidth="1"/>
    <col min="7" max="7" width="45.5" style="13" hidden="1" customWidth="1"/>
    <col min="8" max="8" width="45.5" style="13" customWidth="1"/>
    <col min="9" max="10" width="17.19921875" style="89" customWidth="1"/>
    <col min="11" max="11" width="17.19921875" style="89" hidden="1" customWidth="1"/>
    <col min="12" max="12" width="23" style="89" customWidth="1"/>
    <col min="13" max="13" width="17.19921875" style="89" customWidth="1"/>
    <col min="14" max="14" width="45.5" style="13" hidden="1" customWidth="1"/>
    <col min="15" max="15" width="7.796875" style="13" customWidth="1"/>
    <col min="16" max="21" width="45.5" style="13" customWidth="1"/>
    <col min="22" max="16384" width="9.296875" style="13"/>
  </cols>
  <sheetData>
    <row r="1" spans="1:21" ht="20.25" customHeight="1">
      <c r="A1" s="107" t="s">
        <v>1354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</row>
    <row r="2" spans="1:21">
      <c r="A2" s="91" t="s">
        <v>1353</v>
      </c>
      <c r="B2" s="91" t="s">
        <v>1352</v>
      </c>
      <c r="C2" s="91" t="s">
        <v>1351</v>
      </c>
      <c r="D2" s="91" t="s">
        <v>1350</v>
      </c>
      <c r="E2" s="91" t="s">
        <v>1349</v>
      </c>
      <c r="F2" s="91" t="s">
        <v>1348</v>
      </c>
      <c r="G2" s="91" t="s">
        <v>1347</v>
      </c>
      <c r="H2" s="91" t="s">
        <v>1346</v>
      </c>
      <c r="I2" s="92" t="s">
        <v>1345</v>
      </c>
      <c r="J2" s="92" t="s">
        <v>1344</v>
      </c>
      <c r="K2" s="92" t="s">
        <v>1343</v>
      </c>
      <c r="L2" s="92" t="s">
        <v>1342</v>
      </c>
      <c r="M2" s="92" t="s">
        <v>1341</v>
      </c>
      <c r="N2" s="91" t="s">
        <v>1340</v>
      </c>
      <c r="O2" s="91" t="s">
        <v>1339</v>
      </c>
      <c r="P2" s="91" t="s">
        <v>1338</v>
      </c>
      <c r="Q2" s="91" t="s">
        <v>1337</v>
      </c>
      <c r="R2" s="91" t="s">
        <v>1336</v>
      </c>
      <c r="S2" s="91" t="s">
        <v>1335</v>
      </c>
      <c r="T2" s="91" t="s">
        <v>1334</v>
      </c>
      <c r="U2" s="91" t="s">
        <v>1333</v>
      </c>
    </row>
    <row r="3" spans="1:21">
      <c r="A3" s="13" t="s">
        <v>1332</v>
      </c>
      <c r="B3" s="13" t="s">
        <v>1259</v>
      </c>
      <c r="C3" s="13" t="s">
        <v>1327</v>
      </c>
      <c r="D3" s="13" t="s">
        <v>760</v>
      </c>
      <c r="E3" s="13" t="s">
        <v>1327</v>
      </c>
      <c r="F3" s="13" t="s">
        <v>1331</v>
      </c>
      <c r="G3" s="13" t="s">
        <v>760</v>
      </c>
      <c r="H3" s="13" t="s">
        <v>1193</v>
      </c>
      <c r="I3" s="89">
        <v>95767543.569999993</v>
      </c>
      <c r="J3" s="89">
        <v>1074771.3500000001</v>
      </c>
      <c r="K3" s="89" t="s">
        <v>760</v>
      </c>
      <c r="L3" s="89">
        <v>4030392.58</v>
      </c>
      <c r="M3" s="94">
        <v>94692772.219999999</v>
      </c>
      <c r="N3" s="13" t="s">
        <v>760</v>
      </c>
      <c r="O3" s="13" t="s">
        <v>761</v>
      </c>
      <c r="P3" s="13" t="s">
        <v>1134</v>
      </c>
      <c r="Q3" s="13" t="s">
        <v>1192</v>
      </c>
      <c r="R3" s="13">
        <v>2</v>
      </c>
      <c r="S3" s="13" t="s">
        <v>764</v>
      </c>
      <c r="T3" s="13">
        <v>0</v>
      </c>
      <c r="U3" s="13">
        <v>1</v>
      </c>
    </row>
    <row r="4" spans="1:21">
      <c r="A4" s="13" t="s">
        <v>1330</v>
      </c>
      <c r="B4" s="13" t="s">
        <v>1259</v>
      </c>
      <c r="C4" s="13" t="s">
        <v>1327</v>
      </c>
      <c r="D4" s="13" t="s">
        <v>760</v>
      </c>
      <c r="E4" s="13" t="s">
        <v>1327</v>
      </c>
      <c r="F4" s="13" t="s">
        <v>1329</v>
      </c>
      <c r="G4" s="13" t="s">
        <v>760</v>
      </c>
      <c r="H4" s="13" t="s">
        <v>1193</v>
      </c>
      <c r="I4" s="89">
        <v>45342959.280000001</v>
      </c>
      <c r="J4" s="89">
        <v>843589.94</v>
      </c>
      <c r="K4" s="89" t="s">
        <v>760</v>
      </c>
      <c r="L4" s="89">
        <v>3163462.28</v>
      </c>
      <c r="M4" s="94">
        <v>44499369.340000004</v>
      </c>
      <c r="N4" s="13" t="s">
        <v>760</v>
      </c>
      <c r="O4" s="13" t="s">
        <v>761</v>
      </c>
      <c r="P4" s="13" t="s">
        <v>1134</v>
      </c>
      <c r="Q4" s="13" t="s">
        <v>1192</v>
      </c>
      <c r="R4" s="13">
        <v>2</v>
      </c>
      <c r="S4" s="13" t="s">
        <v>764</v>
      </c>
      <c r="T4" s="13">
        <v>0</v>
      </c>
      <c r="U4" s="13">
        <v>1</v>
      </c>
    </row>
    <row r="5" spans="1:21">
      <c r="A5" s="13" t="s">
        <v>1328</v>
      </c>
      <c r="B5" s="13" t="s">
        <v>1259</v>
      </c>
      <c r="C5" s="13" t="s">
        <v>1327</v>
      </c>
      <c r="D5" s="13" t="s">
        <v>760</v>
      </c>
      <c r="E5" s="13" t="s">
        <v>1327</v>
      </c>
      <c r="F5" s="13" t="s">
        <v>1326</v>
      </c>
      <c r="G5" s="13" t="s">
        <v>760</v>
      </c>
      <c r="H5" s="13" t="s">
        <v>1193</v>
      </c>
      <c r="I5" s="89">
        <v>6945600</v>
      </c>
      <c r="J5" s="89">
        <v>9800</v>
      </c>
      <c r="K5" s="89" t="s">
        <v>760</v>
      </c>
      <c r="L5" s="89">
        <v>36750</v>
      </c>
      <c r="M5" s="94">
        <v>6935800</v>
      </c>
      <c r="N5" s="13" t="s">
        <v>760</v>
      </c>
      <c r="O5" s="13" t="s">
        <v>761</v>
      </c>
      <c r="P5" s="13" t="s">
        <v>1134</v>
      </c>
      <c r="Q5" s="13" t="s">
        <v>1192</v>
      </c>
      <c r="R5" s="13">
        <v>2</v>
      </c>
      <c r="S5" s="13" t="s">
        <v>764</v>
      </c>
      <c r="T5" s="13">
        <v>0</v>
      </c>
      <c r="U5" s="13">
        <v>1</v>
      </c>
    </row>
    <row r="6" spans="1:21">
      <c r="A6" s="13" t="s">
        <v>1325</v>
      </c>
      <c r="B6" s="13" t="s">
        <v>1139</v>
      </c>
      <c r="C6" s="13" t="s">
        <v>1324</v>
      </c>
      <c r="D6" s="13" t="s">
        <v>760</v>
      </c>
      <c r="E6" s="13" t="s">
        <v>1324</v>
      </c>
      <c r="F6" s="13" t="s">
        <v>1323</v>
      </c>
      <c r="G6" s="13" t="s">
        <v>760</v>
      </c>
      <c r="H6" s="13" t="s">
        <v>1322</v>
      </c>
      <c r="I6" s="89">
        <v>444000</v>
      </c>
      <c r="J6" s="89">
        <v>0</v>
      </c>
      <c r="K6" s="89" t="s">
        <v>760</v>
      </c>
      <c r="L6" s="89">
        <v>24000</v>
      </c>
      <c r="M6" s="94">
        <v>444000</v>
      </c>
      <c r="N6" s="13" t="s">
        <v>760</v>
      </c>
      <c r="O6" s="13" t="s">
        <v>761</v>
      </c>
      <c r="P6" s="13" t="s">
        <v>1134</v>
      </c>
      <c r="Q6" s="13" t="s">
        <v>1321</v>
      </c>
      <c r="R6" s="13">
        <v>2</v>
      </c>
      <c r="S6" s="13" t="s">
        <v>1309</v>
      </c>
      <c r="T6" s="13">
        <v>0</v>
      </c>
      <c r="U6" s="13">
        <v>1</v>
      </c>
    </row>
    <row r="7" spans="1:21">
      <c r="A7" s="13" t="s">
        <v>1320</v>
      </c>
      <c r="B7" s="13" t="s">
        <v>1139</v>
      </c>
      <c r="C7" s="13" t="s">
        <v>1319</v>
      </c>
      <c r="D7" s="13" t="s">
        <v>760</v>
      </c>
      <c r="E7" s="13" t="s">
        <v>1319</v>
      </c>
      <c r="F7" s="13" t="s">
        <v>1318</v>
      </c>
      <c r="G7" s="13" t="s">
        <v>760</v>
      </c>
      <c r="H7" s="13" t="s">
        <v>1153</v>
      </c>
      <c r="I7" s="89">
        <v>135300</v>
      </c>
      <c r="J7" s="89">
        <v>0</v>
      </c>
      <c r="K7" s="89" t="s">
        <v>760</v>
      </c>
      <c r="L7" s="89">
        <v>0</v>
      </c>
      <c r="M7" s="94">
        <v>135300</v>
      </c>
      <c r="N7" s="13" t="s">
        <v>760</v>
      </c>
      <c r="O7" s="13" t="s">
        <v>761</v>
      </c>
      <c r="P7" s="13" t="s">
        <v>1134</v>
      </c>
      <c r="Q7" s="13" t="s">
        <v>1152</v>
      </c>
      <c r="R7" s="13">
        <v>2</v>
      </c>
      <c r="S7" s="13" t="s">
        <v>1309</v>
      </c>
      <c r="T7" s="13">
        <v>0</v>
      </c>
      <c r="U7" s="13">
        <v>1</v>
      </c>
    </row>
    <row r="8" spans="1:21">
      <c r="A8" s="13" t="s">
        <v>1317</v>
      </c>
      <c r="B8" s="13" t="s">
        <v>1139</v>
      </c>
      <c r="C8" s="13" t="s">
        <v>1316</v>
      </c>
      <c r="D8" s="13" t="s">
        <v>760</v>
      </c>
      <c r="E8" s="13" t="s">
        <v>1316</v>
      </c>
      <c r="F8" s="13" t="s">
        <v>1315</v>
      </c>
      <c r="G8" s="13" t="s">
        <v>760</v>
      </c>
      <c r="H8" s="13" t="s">
        <v>1153</v>
      </c>
      <c r="I8" s="89">
        <v>48000</v>
      </c>
      <c r="J8" s="89">
        <v>0</v>
      </c>
      <c r="K8" s="89" t="s">
        <v>760</v>
      </c>
      <c r="L8" s="89">
        <v>0</v>
      </c>
      <c r="M8" s="94">
        <v>48000</v>
      </c>
      <c r="N8" s="13" t="s">
        <v>760</v>
      </c>
      <c r="O8" s="13" t="s">
        <v>761</v>
      </c>
      <c r="P8" s="13" t="s">
        <v>1134</v>
      </c>
      <c r="Q8" s="13" t="s">
        <v>1152</v>
      </c>
      <c r="R8" s="13">
        <v>2</v>
      </c>
      <c r="S8" s="13" t="s">
        <v>1309</v>
      </c>
      <c r="T8" s="13">
        <v>0</v>
      </c>
      <c r="U8" s="13">
        <v>1</v>
      </c>
    </row>
    <row r="9" spans="1:21">
      <c r="A9" s="13" t="s">
        <v>1314</v>
      </c>
      <c r="B9" s="13" t="s">
        <v>1139</v>
      </c>
      <c r="C9" s="13" t="s">
        <v>1313</v>
      </c>
      <c r="D9" s="13" t="s">
        <v>760</v>
      </c>
      <c r="E9" s="13" t="s">
        <v>1313</v>
      </c>
      <c r="F9" s="13" t="s">
        <v>1312</v>
      </c>
      <c r="G9" s="13" t="s">
        <v>760</v>
      </c>
      <c r="H9" s="13" t="s">
        <v>1311</v>
      </c>
      <c r="I9" s="89">
        <v>420000</v>
      </c>
      <c r="J9" s="89">
        <v>0</v>
      </c>
      <c r="K9" s="89" t="s">
        <v>760</v>
      </c>
      <c r="L9" s="89">
        <v>0</v>
      </c>
      <c r="M9" s="94">
        <v>420000</v>
      </c>
      <c r="N9" s="13" t="s">
        <v>760</v>
      </c>
      <c r="O9" s="13" t="s">
        <v>761</v>
      </c>
      <c r="P9" s="13" t="s">
        <v>1134</v>
      </c>
      <c r="Q9" s="13" t="s">
        <v>1310</v>
      </c>
      <c r="R9" s="13">
        <v>2</v>
      </c>
      <c r="S9" s="13" t="s">
        <v>1309</v>
      </c>
      <c r="T9" s="13">
        <v>0</v>
      </c>
      <c r="U9" s="13">
        <v>1</v>
      </c>
    </row>
    <row r="10" spans="1:21">
      <c r="A10" s="13" t="s">
        <v>1308</v>
      </c>
      <c r="B10" s="13" t="s">
        <v>1139</v>
      </c>
      <c r="C10" s="13" t="s">
        <v>1307</v>
      </c>
      <c r="D10" s="13" t="s">
        <v>760</v>
      </c>
      <c r="E10" s="13" t="s">
        <v>1307</v>
      </c>
      <c r="F10" s="13" t="s">
        <v>1306</v>
      </c>
      <c r="G10" s="13" t="s">
        <v>760</v>
      </c>
      <c r="H10" s="13" t="s">
        <v>1305</v>
      </c>
      <c r="I10" s="89">
        <v>18000</v>
      </c>
      <c r="J10" s="89">
        <v>0</v>
      </c>
      <c r="K10" s="89" t="s">
        <v>760</v>
      </c>
      <c r="L10" s="89">
        <v>0</v>
      </c>
      <c r="M10" s="94">
        <v>18000</v>
      </c>
      <c r="N10" s="13" t="s">
        <v>760</v>
      </c>
      <c r="O10" s="13" t="s">
        <v>761</v>
      </c>
      <c r="P10" s="13" t="s">
        <v>1134</v>
      </c>
      <c r="Q10" s="13" t="s">
        <v>1304</v>
      </c>
      <c r="R10" s="13">
        <v>2</v>
      </c>
      <c r="S10" s="13" t="s">
        <v>764</v>
      </c>
      <c r="T10" s="13">
        <v>0</v>
      </c>
      <c r="U10" s="13">
        <v>1</v>
      </c>
    </row>
    <row r="11" spans="1:21">
      <c r="A11" s="13" t="s">
        <v>1303</v>
      </c>
      <c r="B11" s="13" t="s">
        <v>1144</v>
      </c>
      <c r="C11" s="13" t="s">
        <v>1302</v>
      </c>
      <c r="D11" s="13" t="s">
        <v>760</v>
      </c>
      <c r="E11" s="13" t="s">
        <v>1302</v>
      </c>
      <c r="F11" s="13" t="s">
        <v>1301</v>
      </c>
      <c r="G11" s="13" t="s">
        <v>760</v>
      </c>
      <c r="H11" s="13" t="s">
        <v>1282</v>
      </c>
      <c r="I11" s="89">
        <v>1634000</v>
      </c>
      <c r="J11" s="89">
        <v>1634000</v>
      </c>
      <c r="K11" s="89" t="s">
        <v>760</v>
      </c>
      <c r="L11" s="89">
        <v>114000</v>
      </c>
      <c r="M11" s="89">
        <v>0</v>
      </c>
      <c r="N11" s="13" t="s">
        <v>760</v>
      </c>
      <c r="O11" s="13" t="s">
        <v>761</v>
      </c>
      <c r="P11" s="13" t="s">
        <v>1134</v>
      </c>
      <c r="Q11" s="13" t="s">
        <v>1281</v>
      </c>
      <c r="R11" s="13">
        <v>2</v>
      </c>
      <c r="S11" s="13" t="s">
        <v>764</v>
      </c>
      <c r="T11" s="13">
        <v>0</v>
      </c>
      <c r="U11" s="13">
        <v>1</v>
      </c>
    </row>
    <row r="12" spans="1:21">
      <c r="A12" s="13" t="s">
        <v>1300</v>
      </c>
      <c r="B12" s="13" t="s">
        <v>1139</v>
      </c>
      <c r="C12" s="13" t="s">
        <v>1299</v>
      </c>
      <c r="D12" s="13" t="s">
        <v>760</v>
      </c>
      <c r="E12" s="13" t="s">
        <v>1299</v>
      </c>
      <c r="F12" s="13" t="s">
        <v>1298</v>
      </c>
      <c r="G12" s="13" t="s">
        <v>760</v>
      </c>
      <c r="H12" s="13" t="s">
        <v>1282</v>
      </c>
      <c r="I12" s="89">
        <v>324200</v>
      </c>
      <c r="J12" s="89">
        <v>0</v>
      </c>
      <c r="K12" s="89" t="s">
        <v>760</v>
      </c>
      <c r="L12" s="89">
        <v>0</v>
      </c>
      <c r="M12" s="94">
        <v>324200</v>
      </c>
      <c r="N12" s="13" t="s">
        <v>760</v>
      </c>
      <c r="O12" s="13" t="s">
        <v>761</v>
      </c>
      <c r="P12" s="13" t="s">
        <v>1134</v>
      </c>
      <c r="Q12" s="13" t="s">
        <v>1281</v>
      </c>
      <c r="R12" s="13">
        <v>2</v>
      </c>
      <c r="S12" s="13" t="s">
        <v>764</v>
      </c>
      <c r="T12" s="13">
        <v>0</v>
      </c>
      <c r="U12" s="13">
        <v>1</v>
      </c>
    </row>
    <row r="13" spans="1:21">
      <c r="A13" s="13" t="s">
        <v>1297</v>
      </c>
      <c r="B13" s="13" t="s">
        <v>1139</v>
      </c>
      <c r="C13" s="13" t="s">
        <v>1296</v>
      </c>
      <c r="D13" s="13" t="s">
        <v>760</v>
      </c>
      <c r="E13" s="13" t="s">
        <v>1296</v>
      </c>
      <c r="F13" s="13" t="s">
        <v>1295</v>
      </c>
      <c r="G13" s="13" t="s">
        <v>760</v>
      </c>
      <c r="H13" s="13" t="s">
        <v>1282</v>
      </c>
      <c r="I13" s="89">
        <v>234200</v>
      </c>
      <c r="J13" s="89">
        <v>0</v>
      </c>
      <c r="K13" s="89" t="s">
        <v>760</v>
      </c>
      <c r="L13" s="89">
        <v>0</v>
      </c>
      <c r="M13" s="95">
        <v>234200</v>
      </c>
      <c r="N13" s="13" t="s">
        <v>760</v>
      </c>
      <c r="O13" s="13" t="s">
        <v>761</v>
      </c>
      <c r="P13" s="13" t="s">
        <v>1134</v>
      </c>
      <c r="Q13" s="13" t="s">
        <v>1281</v>
      </c>
      <c r="R13" s="13">
        <v>2</v>
      </c>
      <c r="S13" s="13" t="s">
        <v>764</v>
      </c>
      <c r="T13" s="13">
        <v>0</v>
      </c>
      <c r="U13" s="13">
        <v>1</v>
      </c>
    </row>
    <row r="14" spans="1:21">
      <c r="A14" s="13" t="s">
        <v>1294</v>
      </c>
      <c r="B14" s="13" t="s">
        <v>1139</v>
      </c>
      <c r="C14" s="13" t="s">
        <v>1289</v>
      </c>
      <c r="D14" s="13" t="s">
        <v>760</v>
      </c>
      <c r="E14" s="13" t="s">
        <v>1289</v>
      </c>
      <c r="F14" s="13" t="s">
        <v>1293</v>
      </c>
      <c r="G14" s="13" t="s">
        <v>760</v>
      </c>
      <c r="H14" s="13" t="s">
        <v>1219</v>
      </c>
      <c r="I14" s="89">
        <v>43000</v>
      </c>
      <c r="J14" s="89">
        <v>0</v>
      </c>
      <c r="K14" s="89" t="s">
        <v>760</v>
      </c>
      <c r="L14" s="89">
        <v>3000</v>
      </c>
      <c r="M14" s="95">
        <v>43000</v>
      </c>
      <c r="N14" s="13" t="s">
        <v>760</v>
      </c>
      <c r="O14" s="13" t="s">
        <v>761</v>
      </c>
      <c r="P14" s="13" t="s">
        <v>1134</v>
      </c>
      <c r="Q14" s="13" t="s">
        <v>1218</v>
      </c>
      <c r="R14" s="13">
        <v>2</v>
      </c>
      <c r="S14" s="13" t="s">
        <v>764</v>
      </c>
      <c r="T14" s="13">
        <v>0</v>
      </c>
      <c r="U14" s="13">
        <v>1</v>
      </c>
    </row>
    <row r="15" spans="1:21">
      <c r="A15" s="13" t="s">
        <v>1292</v>
      </c>
      <c r="B15" s="13" t="s">
        <v>1139</v>
      </c>
      <c r="C15" s="13" t="s">
        <v>1289</v>
      </c>
      <c r="D15" s="13" t="s">
        <v>760</v>
      </c>
      <c r="E15" s="13" t="s">
        <v>1289</v>
      </c>
      <c r="F15" s="13" t="s">
        <v>1291</v>
      </c>
      <c r="G15" s="13" t="s">
        <v>760</v>
      </c>
      <c r="H15" s="13" t="s">
        <v>1219</v>
      </c>
      <c r="I15" s="89">
        <v>32250</v>
      </c>
      <c r="J15" s="89">
        <v>0</v>
      </c>
      <c r="K15" s="89" t="s">
        <v>760</v>
      </c>
      <c r="L15" s="89">
        <v>2250</v>
      </c>
      <c r="M15" s="95">
        <v>32250</v>
      </c>
      <c r="N15" s="13" t="s">
        <v>760</v>
      </c>
      <c r="O15" s="13" t="s">
        <v>761</v>
      </c>
      <c r="P15" s="13" t="s">
        <v>1134</v>
      </c>
      <c r="Q15" s="13" t="s">
        <v>1218</v>
      </c>
      <c r="R15" s="13">
        <v>2</v>
      </c>
      <c r="S15" s="13" t="s">
        <v>764</v>
      </c>
      <c r="T15" s="13">
        <v>0</v>
      </c>
      <c r="U15" s="13">
        <v>1</v>
      </c>
    </row>
    <row r="16" spans="1:21">
      <c r="A16" s="13" t="s">
        <v>1290</v>
      </c>
      <c r="B16" s="13" t="s">
        <v>1139</v>
      </c>
      <c r="C16" s="13" t="s">
        <v>1289</v>
      </c>
      <c r="D16" s="13" t="s">
        <v>760</v>
      </c>
      <c r="E16" s="13" t="s">
        <v>1289</v>
      </c>
      <c r="F16" s="13" t="s">
        <v>1288</v>
      </c>
      <c r="G16" s="13" t="s">
        <v>760</v>
      </c>
      <c r="H16" s="13" t="s">
        <v>1282</v>
      </c>
      <c r="I16" s="89">
        <v>52500</v>
      </c>
      <c r="J16" s="89">
        <v>0</v>
      </c>
      <c r="K16" s="89" t="s">
        <v>760</v>
      </c>
      <c r="L16" s="89">
        <v>0</v>
      </c>
      <c r="M16" s="95">
        <v>52500</v>
      </c>
      <c r="N16" s="13" t="s">
        <v>760</v>
      </c>
      <c r="O16" s="13" t="s">
        <v>761</v>
      </c>
      <c r="P16" s="13" t="s">
        <v>1134</v>
      </c>
      <c r="Q16" s="13" t="s">
        <v>1281</v>
      </c>
      <c r="R16" s="13">
        <v>2</v>
      </c>
      <c r="S16" s="13" t="s">
        <v>764</v>
      </c>
      <c r="T16" s="13">
        <v>0</v>
      </c>
      <c r="U16" s="13">
        <v>1</v>
      </c>
    </row>
    <row r="17" spans="1:21">
      <c r="A17" s="13" t="s">
        <v>1287</v>
      </c>
      <c r="B17" s="13" t="s">
        <v>1139</v>
      </c>
      <c r="C17" s="13" t="s">
        <v>1284</v>
      </c>
      <c r="D17" s="13" t="s">
        <v>760</v>
      </c>
      <c r="E17" s="13" t="s">
        <v>1284</v>
      </c>
      <c r="F17" s="13" t="s">
        <v>1286</v>
      </c>
      <c r="G17" s="13" t="s">
        <v>760</v>
      </c>
      <c r="H17" s="13" t="s">
        <v>1219</v>
      </c>
      <c r="I17" s="89">
        <v>25000</v>
      </c>
      <c r="J17" s="89">
        <v>0</v>
      </c>
      <c r="K17" s="89" t="s">
        <v>760</v>
      </c>
      <c r="L17" s="89">
        <v>0</v>
      </c>
      <c r="M17" s="95">
        <v>25000</v>
      </c>
      <c r="N17" s="13" t="s">
        <v>760</v>
      </c>
      <c r="O17" s="13" t="s">
        <v>761</v>
      </c>
      <c r="P17" s="13" t="s">
        <v>1134</v>
      </c>
      <c r="Q17" s="13" t="s">
        <v>1218</v>
      </c>
      <c r="R17" s="13">
        <v>2</v>
      </c>
      <c r="S17" s="13" t="s">
        <v>764</v>
      </c>
      <c r="T17" s="13">
        <v>0</v>
      </c>
      <c r="U17" s="13">
        <v>1</v>
      </c>
    </row>
    <row r="18" spans="1:21">
      <c r="A18" s="13" t="s">
        <v>1285</v>
      </c>
      <c r="B18" s="13" t="s">
        <v>1139</v>
      </c>
      <c r="C18" s="13" t="s">
        <v>1284</v>
      </c>
      <c r="D18" s="13" t="s">
        <v>760</v>
      </c>
      <c r="E18" s="13" t="s">
        <v>1284</v>
      </c>
      <c r="F18" s="13" t="s">
        <v>1283</v>
      </c>
      <c r="G18" s="13" t="s">
        <v>760</v>
      </c>
      <c r="H18" s="13" t="s">
        <v>1282</v>
      </c>
      <c r="I18" s="89">
        <v>220000</v>
      </c>
      <c r="J18" s="89">
        <v>0</v>
      </c>
      <c r="K18" s="89" t="s">
        <v>760</v>
      </c>
      <c r="L18" s="89">
        <v>0</v>
      </c>
      <c r="M18" s="95">
        <v>220000</v>
      </c>
      <c r="N18" s="13" t="s">
        <v>760</v>
      </c>
      <c r="O18" s="13" t="s">
        <v>761</v>
      </c>
      <c r="P18" s="13" t="s">
        <v>1134</v>
      </c>
      <c r="Q18" s="13" t="s">
        <v>1281</v>
      </c>
      <c r="R18" s="13">
        <v>2</v>
      </c>
      <c r="S18" s="13" t="s">
        <v>764</v>
      </c>
      <c r="T18" s="13">
        <v>0</v>
      </c>
      <c r="U18" s="13">
        <v>1</v>
      </c>
    </row>
    <row r="19" spans="1:21">
      <c r="A19" s="13" t="s">
        <v>1280</v>
      </c>
      <c r="B19" s="13" t="s">
        <v>1139</v>
      </c>
      <c r="C19" s="13" t="s">
        <v>1277</v>
      </c>
      <c r="D19" s="13" t="s">
        <v>760</v>
      </c>
      <c r="E19" s="13" t="s">
        <v>1277</v>
      </c>
      <c r="F19" s="13" t="s">
        <v>1279</v>
      </c>
      <c r="G19" s="13" t="s">
        <v>760</v>
      </c>
      <c r="H19" s="13" t="s">
        <v>1219</v>
      </c>
      <c r="I19" s="89">
        <v>25000</v>
      </c>
      <c r="J19" s="89">
        <v>0</v>
      </c>
      <c r="K19" s="89" t="s">
        <v>760</v>
      </c>
      <c r="L19" s="89">
        <v>0</v>
      </c>
      <c r="M19" s="94">
        <v>25000</v>
      </c>
      <c r="N19" s="13" t="s">
        <v>760</v>
      </c>
      <c r="O19" s="13" t="s">
        <v>761</v>
      </c>
      <c r="P19" s="13" t="s">
        <v>1134</v>
      </c>
      <c r="Q19" s="13" t="s">
        <v>1218</v>
      </c>
      <c r="R19" s="13">
        <v>2</v>
      </c>
      <c r="S19" s="13" t="s">
        <v>764</v>
      </c>
      <c r="T19" s="13">
        <v>0</v>
      </c>
      <c r="U19" s="13">
        <v>1</v>
      </c>
    </row>
    <row r="20" spans="1:21">
      <c r="A20" s="13" t="s">
        <v>1278</v>
      </c>
      <c r="B20" s="13" t="s">
        <v>1139</v>
      </c>
      <c r="C20" s="13" t="s">
        <v>1277</v>
      </c>
      <c r="D20" s="13" t="s">
        <v>760</v>
      </c>
      <c r="E20" s="13" t="s">
        <v>1277</v>
      </c>
      <c r="F20" s="13" t="s">
        <v>1276</v>
      </c>
      <c r="G20" s="13" t="s">
        <v>760</v>
      </c>
      <c r="H20" s="13" t="s">
        <v>1219</v>
      </c>
      <c r="I20" s="89">
        <v>8300</v>
      </c>
      <c r="J20" s="89">
        <v>0</v>
      </c>
      <c r="K20" s="89" t="s">
        <v>760</v>
      </c>
      <c r="L20" s="89">
        <v>0</v>
      </c>
      <c r="M20" s="94">
        <v>8300</v>
      </c>
      <c r="N20" s="13" t="s">
        <v>760</v>
      </c>
      <c r="O20" s="13" t="s">
        <v>761</v>
      </c>
      <c r="P20" s="13" t="s">
        <v>1134</v>
      </c>
      <c r="Q20" s="13" t="s">
        <v>1218</v>
      </c>
      <c r="R20" s="13">
        <v>2</v>
      </c>
      <c r="S20" s="13" t="s">
        <v>764</v>
      </c>
      <c r="T20" s="13">
        <v>0</v>
      </c>
      <c r="U20" s="13">
        <v>1</v>
      </c>
    </row>
    <row r="21" spans="1:21" s="96" customFormat="1">
      <c r="A21" s="96" t="s">
        <v>1275</v>
      </c>
      <c r="B21" s="96" t="s">
        <v>1144</v>
      </c>
      <c r="C21" s="96" t="s">
        <v>1262</v>
      </c>
      <c r="D21" s="13" t="s">
        <v>760</v>
      </c>
      <c r="E21" s="96" t="s">
        <v>1262</v>
      </c>
      <c r="F21" s="96" t="s">
        <v>1274</v>
      </c>
      <c r="G21" s="13" t="s">
        <v>760</v>
      </c>
      <c r="H21" s="96" t="s">
        <v>1237</v>
      </c>
      <c r="I21" s="97">
        <v>1228750</v>
      </c>
      <c r="J21" s="97">
        <v>1228750</v>
      </c>
      <c r="K21" s="89" t="s">
        <v>760</v>
      </c>
      <c r="L21" s="97">
        <v>78750</v>
      </c>
      <c r="M21" s="97">
        <v>0</v>
      </c>
      <c r="N21" s="13" t="s">
        <v>760</v>
      </c>
      <c r="O21" s="96" t="s">
        <v>761</v>
      </c>
      <c r="P21" s="96" t="s">
        <v>1134</v>
      </c>
      <c r="Q21" s="96" t="s">
        <v>1236</v>
      </c>
      <c r="R21" s="96">
        <v>2</v>
      </c>
      <c r="S21" s="96" t="s">
        <v>764</v>
      </c>
      <c r="T21" s="96">
        <v>0</v>
      </c>
      <c r="U21" s="96">
        <v>1</v>
      </c>
    </row>
    <row r="22" spans="1:21" s="96" customFormat="1">
      <c r="A22" s="96" t="s">
        <v>1273</v>
      </c>
      <c r="B22" s="96" t="s">
        <v>1144</v>
      </c>
      <c r="C22" s="96" t="s">
        <v>1262</v>
      </c>
      <c r="D22" s="13" t="s">
        <v>760</v>
      </c>
      <c r="E22" s="96" t="s">
        <v>1272</v>
      </c>
      <c r="F22" s="96" t="s">
        <v>1271</v>
      </c>
      <c r="G22" s="13" t="s">
        <v>760</v>
      </c>
      <c r="H22" s="96" t="s">
        <v>1219</v>
      </c>
      <c r="I22" s="97">
        <v>500000</v>
      </c>
      <c r="J22" s="97">
        <v>500000</v>
      </c>
      <c r="K22" s="89" t="s">
        <v>760</v>
      </c>
      <c r="L22" s="97">
        <v>0</v>
      </c>
      <c r="M22" s="97">
        <v>0</v>
      </c>
      <c r="N22" s="13" t="s">
        <v>760</v>
      </c>
      <c r="O22" s="96" t="s">
        <v>761</v>
      </c>
      <c r="P22" s="96" t="s">
        <v>1134</v>
      </c>
      <c r="Q22" s="96" t="s">
        <v>1218</v>
      </c>
      <c r="R22" s="96">
        <v>2</v>
      </c>
      <c r="S22" s="96" t="s">
        <v>764</v>
      </c>
      <c r="T22" s="96">
        <v>0</v>
      </c>
      <c r="U22" s="96">
        <v>1</v>
      </c>
    </row>
    <row r="23" spans="1:21">
      <c r="A23" s="13" t="s">
        <v>1270</v>
      </c>
      <c r="B23" s="13" t="s">
        <v>1259</v>
      </c>
      <c r="C23" s="13" t="s">
        <v>1262</v>
      </c>
      <c r="D23" s="13" t="s">
        <v>760</v>
      </c>
      <c r="E23" s="13" t="s">
        <v>1269</v>
      </c>
      <c r="F23" s="13" t="s">
        <v>1268</v>
      </c>
      <c r="G23" s="13" t="s">
        <v>760</v>
      </c>
      <c r="H23" s="13" t="s">
        <v>1267</v>
      </c>
      <c r="I23" s="89">
        <v>745000</v>
      </c>
      <c r="J23" s="89">
        <v>595000</v>
      </c>
      <c r="K23" s="89" t="s">
        <v>760</v>
      </c>
      <c r="L23" s="89">
        <v>45000</v>
      </c>
      <c r="M23" s="94">
        <v>150000</v>
      </c>
      <c r="N23" s="13" t="s">
        <v>760</v>
      </c>
      <c r="O23" s="13" t="s">
        <v>761</v>
      </c>
      <c r="P23" s="13" t="s">
        <v>1134</v>
      </c>
      <c r="Q23" s="13" t="s">
        <v>1266</v>
      </c>
      <c r="R23" s="13">
        <v>2</v>
      </c>
      <c r="S23" s="13" t="s">
        <v>764</v>
      </c>
      <c r="T23" s="13">
        <v>0</v>
      </c>
      <c r="U23" s="13">
        <v>1</v>
      </c>
    </row>
    <row r="24" spans="1:21" s="96" customFormat="1">
      <c r="A24" s="96" t="s">
        <v>1265</v>
      </c>
      <c r="B24" s="96" t="s">
        <v>1144</v>
      </c>
      <c r="C24" s="96" t="s">
        <v>1262</v>
      </c>
      <c r="D24" s="13" t="s">
        <v>760</v>
      </c>
      <c r="E24" s="96" t="s">
        <v>1262</v>
      </c>
      <c r="F24" s="96" t="s">
        <v>1264</v>
      </c>
      <c r="G24" s="13" t="s">
        <v>760</v>
      </c>
      <c r="H24" s="96" t="s">
        <v>1219</v>
      </c>
      <c r="I24" s="97">
        <v>500000</v>
      </c>
      <c r="J24" s="97">
        <v>500000</v>
      </c>
      <c r="K24" s="89" t="s">
        <v>760</v>
      </c>
      <c r="L24" s="97">
        <v>0</v>
      </c>
      <c r="M24" s="97">
        <v>0</v>
      </c>
      <c r="N24" s="13" t="s">
        <v>760</v>
      </c>
      <c r="O24" s="96" t="s">
        <v>761</v>
      </c>
      <c r="P24" s="96" t="s">
        <v>1134</v>
      </c>
      <c r="Q24" s="96" t="s">
        <v>1218</v>
      </c>
      <c r="R24" s="96">
        <v>2</v>
      </c>
      <c r="S24" s="96" t="s">
        <v>764</v>
      </c>
      <c r="T24" s="96">
        <v>0</v>
      </c>
      <c r="U24" s="96">
        <v>1</v>
      </c>
    </row>
    <row r="25" spans="1:21" s="98" customFormat="1">
      <c r="A25" s="98" t="s">
        <v>1263</v>
      </c>
      <c r="B25" s="98" t="s">
        <v>1144</v>
      </c>
      <c r="C25" s="98" t="s">
        <v>1262</v>
      </c>
      <c r="D25" s="13" t="s">
        <v>760</v>
      </c>
      <c r="E25" s="98" t="s">
        <v>1262</v>
      </c>
      <c r="F25" s="98" t="s">
        <v>1261</v>
      </c>
      <c r="G25" s="13" t="s">
        <v>760</v>
      </c>
      <c r="H25" s="98" t="s">
        <v>1219</v>
      </c>
      <c r="I25" s="99">
        <v>33400</v>
      </c>
      <c r="J25" s="99">
        <v>33400</v>
      </c>
      <c r="K25" s="89" t="s">
        <v>760</v>
      </c>
      <c r="L25" s="99">
        <v>0</v>
      </c>
      <c r="M25" s="99">
        <v>0</v>
      </c>
      <c r="N25" s="13" t="s">
        <v>760</v>
      </c>
      <c r="O25" s="98" t="s">
        <v>761</v>
      </c>
      <c r="P25" s="98" t="s">
        <v>1134</v>
      </c>
      <c r="Q25" s="98" t="s">
        <v>1218</v>
      </c>
      <c r="R25" s="98">
        <v>2</v>
      </c>
      <c r="S25" s="98" t="s">
        <v>764</v>
      </c>
      <c r="T25" s="98">
        <v>0</v>
      </c>
      <c r="U25" s="98">
        <v>1</v>
      </c>
    </row>
    <row r="26" spans="1:21">
      <c r="A26" s="13" t="s">
        <v>1260</v>
      </c>
      <c r="B26" s="13" t="s">
        <v>1259</v>
      </c>
      <c r="C26" s="13" t="s">
        <v>1254</v>
      </c>
      <c r="D26" s="13" t="s">
        <v>760</v>
      </c>
      <c r="E26" s="13" t="s">
        <v>1254</v>
      </c>
      <c r="F26" s="13" t="s">
        <v>1258</v>
      </c>
      <c r="G26" s="13" t="s">
        <v>760</v>
      </c>
      <c r="H26" s="13" t="s">
        <v>1257</v>
      </c>
      <c r="I26" s="89">
        <v>320000</v>
      </c>
      <c r="J26" s="89">
        <v>320000</v>
      </c>
      <c r="K26" s="89" t="s">
        <v>760</v>
      </c>
      <c r="L26" s="89">
        <v>0</v>
      </c>
      <c r="M26" s="89">
        <v>0</v>
      </c>
      <c r="N26" s="13" t="s">
        <v>760</v>
      </c>
      <c r="O26" s="13" t="s">
        <v>761</v>
      </c>
      <c r="P26" s="13" t="s">
        <v>1134</v>
      </c>
      <c r="Q26" s="13" t="s">
        <v>1256</v>
      </c>
      <c r="R26" s="13">
        <v>2</v>
      </c>
      <c r="S26" s="13" t="s">
        <v>764</v>
      </c>
      <c r="T26" s="13">
        <v>0</v>
      </c>
      <c r="U26" s="13">
        <v>1</v>
      </c>
    </row>
    <row r="27" spans="1:21">
      <c r="A27" s="13" t="s">
        <v>1255</v>
      </c>
      <c r="B27" s="13" t="s">
        <v>1144</v>
      </c>
      <c r="C27" s="13" t="s">
        <v>1254</v>
      </c>
      <c r="D27" s="13" t="s">
        <v>760</v>
      </c>
      <c r="E27" s="13" t="s">
        <v>1234</v>
      </c>
      <c r="F27" s="13" t="s">
        <v>1253</v>
      </c>
      <c r="G27" s="13" t="s">
        <v>760</v>
      </c>
      <c r="H27" s="13" t="s">
        <v>1168</v>
      </c>
      <c r="I27" s="89">
        <v>170000</v>
      </c>
      <c r="J27" s="89">
        <v>170000</v>
      </c>
      <c r="K27" s="89" t="s">
        <v>760</v>
      </c>
      <c r="L27" s="89">
        <v>0</v>
      </c>
      <c r="M27" s="89">
        <v>0</v>
      </c>
      <c r="N27" s="13" t="s">
        <v>760</v>
      </c>
      <c r="O27" s="13" t="s">
        <v>761</v>
      </c>
      <c r="P27" s="13" t="s">
        <v>1134</v>
      </c>
      <c r="Q27" s="13" t="s">
        <v>1167</v>
      </c>
      <c r="R27" s="13">
        <v>2</v>
      </c>
      <c r="S27" s="13" t="s">
        <v>764</v>
      </c>
      <c r="T27" s="13">
        <v>0</v>
      </c>
      <c r="U27" s="13">
        <v>1</v>
      </c>
    </row>
    <row r="28" spans="1:21" s="96" customFormat="1">
      <c r="A28" s="96" t="s">
        <v>1252</v>
      </c>
      <c r="B28" s="96" t="s">
        <v>1144</v>
      </c>
      <c r="C28" s="96" t="s">
        <v>1243</v>
      </c>
      <c r="D28" s="13" t="s">
        <v>760</v>
      </c>
      <c r="E28" s="96" t="s">
        <v>1251</v>
      </c>
      <c r="F28" s="96" t="s">
        <v>1250</v>
      </c>
      <c r="G28" s="13" t="s">
        <v>760</v>
      </c>
      <c r="H28" s="96" t="s">
        <v>1237</v>
      </c>
      <c r="I28" s="97">
        <v>376000</v>
      </c>
      <c r="J28" s="97">
        <v>376000</v>
      </c>
      <c r="K28" s="89" t="s">
        <v>760</v>
      </c>
      <c r="L28" s="97">
        <v>0</v>
      </c>
      <c r="M28" s="97">
        <v>0</v>
      </c>
      <c r="N28" s="13" t="s">
        <v>760</v>
      </c>
      <c r="O28" s="96" t="s">
        <v>761</v>
      </c>
      <c r="P28" s="96" t="s">
        <v>1134</v>
      </c>
      <c r="Q28" s="96" t="s">
        <v>1236</v>
      </c>
      <c r="R28" s="96">
        <v>2</v>
      </c>
      <c r="S28" s="96" t="s">
        <v>764</v>
      </c>
      <c r="T28" s="96">
        <v>0</v>
      </c>
      <c r="U28" s="96">
        <v>1</v>
      </c>
    </row>
    <row r="29" spans="1:21" s="96" customFormat="1">
      <c r="A29" s="96" t="s">
        <v>1249</v>
      </c>
      <c r="B29" s="96" t="s">
        <v>1144</v>
      </c>
      <c r="C29" s="96" t="s">
        <v>1243</v>
      </c>
      <c r="D29" s="13" t="s">
        <v>760</v>
      </c>
      <c r="E29" s="96" t="s">
        <v>1248</v>
      </c>
      <c r="F29" s="96" t="s">
        <v>1247</v>
      </c>
      <c r="G29" s="13" t="s">
        <v>760</v>
      </c>
      <c r="H29" s="96" t="s">
        <v>1237</v>
      </c>
      <c r="I29" s="97">
        <v>345000</v>
      </c>
      <c r="J29" s="97">
        <v>345000</v>
      </c>
      <c r="K29" s="89" t="s">
        <v>760</v>
      </c>
      <c r="L29" s="97">
        <v>0</v>
      </c>
      <c r="M29" s="97">
        <v>0</v>
      </c>
      <c r="N29" s="13" t="s">
        <v>760</v>
      </c>
      <c r="O29" s="96" t="s">
        <v>761</v>
      </c>
      <c r="P29" s="96" t="s">
        <v>1134</v>
      </c>
      <c r="Q29" s="96" t="s">
        <v>1236</v>
      </c>
      <c r="R29" s="96">
        <v>2</v>
      </c>
      <c r="S29" s="96" t="s">
        <v>764</v>
      </c>
      <c r="T29" s="96">
        <v>0</v>
      </c>
      <c r="U29" s="96">
        <v>1</v>
      </c>
    </row>
    <row r="30" spans="1:21" s="96" customFormat="1">
      <c r="A30" s="96" t="s">
        <v>1246</v>
      </c>
      <c r="B30" s="96" t="s">
        <v>1144</v>
      </c>
      <c r="C30" s="96" t="s">
        <v>1243</v>
      </c>
      <c r="D30" s="13" t="s">
        <v>760</v>
      </c>
      <c r="E30" s="96" t="s">
        <v>1242</v>
      </c>
      <c r="F30" s="96" t="s">
        <v>1245</v>
      </c>
      <c r="G30" s="13" t="s">
        <v>760</v>
      </c>
      <c r="H30" s="96" t="s">
        <v>1237</v>
      </c>
      <c r="I30" s="97">
        <v>376000</v>
      </c>
      <c r="J30" s="97">
        <v>376000</v>
      </c>
      <c r="K30" s="89" t="s">
        <v>760</v>
      </c>
      <c r="L30" s="97">
        <v>0</v>
      </c>
      <c r="M30" s="97">
        <v>0</v>
      </c>
      <c r="N30" s="13" t="s">
        <v>760</v>
      </c>
      <c r="O30" s="96" t="s">
        <v>761</v>
      </c>
      <c r="P30" s="96" t="s">
        <v>1134</v>
      </c>
      <c r="Q30" s="96" t="s">
        <v>1236</v>
      </c>
      <c r="R30" s="96">
        <v>2</v>
      </c>
      <c r="S30" s="96" t="s">
        <v>764</v>
      </c>
      <c r="T30" s="96">
        <v>0</v>
      </c>
      <c r="U30" s="96">
        <v>1</v>
      </c>
    </row>
    <row r="31" spans="1:21" s="96" customFormat="1">
      <c r="A31" s="96" t="s">
        <v>1244</v>
      </c>
      <c r="B31" s="96" t="s">
        <v>1144</v>
      </c>
      <c r="C31" s="96" t="s">
        <v>1243</v>
      </c>
      <c r="D31" s="13" t="s">
        <v>760</v>
      </c>
      <c r="E31" s="96" t="s">
        <v>1242</v>
      </c>
      <c r="F31" s="96" t="s">
        <v>1241</v>
      </c>
      <c r="G31" s="13" t="s">
        <v>760</v>
      </c>
      <c r="H31" s="96" t="s">
        <v>1219</v>
      </c>
      <c r="I31" s="97">
        <v>32000</v>
      </c>
      <c r="J31" s="97">
        <v>32000</v>
      </c>
      <c r="K31" s="89" t="s">
        <v>760</v>
      </c>
      <c r="L31" s="97">
        <v>0</v>
      </c>
      <c r="M31" s="97">
        <v>0</v>
      </c>
      <c r="N31" s="13" t="s">
        <v>760</v>
      </c>
      <c r="O31" s="96" t="s">
        <v>761</v>
      </c>
      <c r="P31" s="96" t="s">
        <v>1134</v>
      </c>
      <c r="Q31" s="96" t="s">
        <v>1218</v>
      </c>
      <c r="R31" s="96">
        <v>2</v>
      </c>
      <c r="S31" s="96" t="s">
        <v>764</v>
      </c>
      <c r="T31" s="96">
        <v>0</v>
      </c>
      <c r="U31" s="96">
        <v>1</v>
      </c>
    </row>
    <row r="32" spans="1:21" s="96" customFormat="1">
      <c r="A32" s="96" t="s">
        <v>1240</v>
      </c>
      <c r="B32" s="96" t="s">
        <v>1144</v>
      </c>
      <c r="C32" s="96" t="s">
        <v>1239</v>
      </c>
      <c r="D32" s="13" t="s">
        <v>760</v>
      </c>
      <c r="E32" s="96" t="s">
        <v>1239</v>
      </c>
      <c r="F32" s="96" t="s">
        <v>1238</v>
      </c>
      <c r="G32" s="13" t="s">
        <v>760</v>
      </c>
      <c r="H32" s="96" t="s">
        <v>1237</v>
      </c>
      <c r="I32" s="97">
        <v>400000</v>
      </c>
      <c r="J32" s="97">
        <v>400000</v>
      </c>
      <c r="K32" s="89" t="s">
        <v>760</v>
      </c>
      <c r="L32" s="97">
        <v>0</v>
      </c>
      <c r="M32" s="97">
        <v>0</v>
      </c>
      <c r="N32" s="13" t="s">
        <v>760</v>
      </c>
      <c r="O32" s="96" t="s">
        <v>761</v>
      </c>
      <c r="P32" s="96" t="s">
        <v>1134</v>
      </c>
      <c r="Q32" s="96" t="s">
        <v>1236</v>
      </c>
      <c r="R32" s="96">
        <v>2</v>
      </c>
      <c r="S32" s="96" t="s">
        <v>764</v>
      </c>
      <c r="T32" s="96">
        <v>0</v>
      </c>
      <c r="U32" s="96">
        <v>1</v>
      </c>
    </row>
    <row r="33" spans="1:21">
      <c r="A33" s="13" t="s">
        <v>1235</v>
      </c>
      <c r="B33" s="13" t="s">
        <v>1144</v>
      </c>
      <c r="C33" s="13" t="s">
        <v>1234</v>
      </c>
      <c r="D33" s="13" t="s">
        <v>760</v>
      </c>
      <c r="E33" s="13" t="s">
        <v>1234</v>
      </c>
      <c r="F33" s="13" t="s">
        <v>1233</v>
      </c>
      <c r="G33" s="13" t="s">
        <v>760</v>
      </c>
      <c r="H33" s="13" t="s">
        <v>1168</v>
      </c>
      <c r="I33" s="89">
        <v>420000</v>
      </c>
      <c r="J33" s="89">
        <v>420000</v>
      </c>
      <c r="K33" s="89" t="s">
        <v>760</v>
      </c>
      <c r="L33" s="89">
        <v>0</v>
      </c>
      <c r="M33" s="89">
        <v>0</v>
      </c>
      <c r="N33" s="13" t="s">
        <v>760</v>
      </c>
      <c r="O33" s="13" t="s">
        <v>761</v>
      </c>
      <c r="P33" s="13" t="s">
        <v>1134</v>
      </c>
      <c r="Q33" s="13" t="s">
        <v>1167</v>
      </c>
      <c r="R33" s="13">
        <v>2</v>
      </c>
      <c r="S33" s="13" t="s">
        <v>764</v>
      </c>
      <c r="T33" s="13">
        <v>0</v>
      </c>
      <c r="U33" s="13">
        <v>1</v>
      </c>
    </row>
    <row r="34" spans="1:21">
      <c r="A34" s="13" t="s">
        <v>1232</v>
      </c>
      <c r="B34" s="13" t="s">
        <v>1144</v>
      </c>
      <c r="C34" s="13" t="s">
        <v>1226</v>
      </c>
      <c r="D34" s="13" t="s">
        <v>760</v>
      </c>
      <c r="E34" s="13" t="s">
        <v>1229</v>
      </c>
      <c r="F34" s="13" t="s">
        <v>1231</v>
      </c>
      <c r="G34" s="13" t="s">
        <v>760</v>
      </c>
      <c r="H34" s="13" t="s">
        <v>1153</v>
      </c>
      <c r="I34" s="89">
        <v>260000</v>
      </c>
      <c r="J34" s="89">
        <v>260000</v>
      </c>
      <c r="K34" s="89" t="s">
        <v>760</v>
      </c>
      <c r="L34" s="89">
        <v>0</v>
      </c>
      <c r="M34" s="89">
        <v>0</v>
      </c>
      <c r="N34" s="13" t="s">
        <v>760</v>
      </c>
      <c r="O34" s="13" t="s">
        <v>761</v>
      </c>
      <c r="P34" s="13" t="s">
        <v>1134</v>
      </c>
      <c r="Q34" s="13" t="s">
        <v>1152</v>
      </c>
      <c r="R34" s="13">
        <v>2</v>
      </c>
      <c r="S34" s="13" t="s">
        <v>764</v>
      </c>
      <c r="T34" s="13">
        <v>0</v>
      </c>
      <c r="U34" s="13">
        <v>1</v>
      </c>
    </row>
    <row r="35" spans="1:21">
      <c r="A35" s="13" t="s">
        <v>1230</v>
      </c>
      <c r="B35" s="13" t="s">
        <v>1144</v>
      </c>
      <c r="C35" s="13" t="s">
        <v>1226</v>
      </c>
      <c r="D35" s="13" t="s">
        <v>760</v>
      </c>
      <c r="E35" s="13" t="s">
        <v>1229</v>
      </c>
      <c r="F35" s="13" t="s">
        <v>1228</v>
      </c>
      <c r="G35" s="13" t="s">
        <v>760</v>
      </c>
      <c r="H35" s="13" t="s">
        <v>1153</v>
      </c>
      <c r="I35" s="89">
        <v>208000</v>
      </c>
      <c r="J35" s="89">
        <v>208000</v>
      </c>
      <c r="K35" s="89" t="s">
        <v>760</v>
      </c>
      <c r="L35" s="89">
        <v>0</v>
      </c>
      <c r="M35" s="89">
        <v>0</v>
      </c>
      <c r="N35" s="13" t="s">
        <v>760</v>
      </c>
      <c r="O35" s="13" t="s">
        <v>761</v>
      </c>
      <c r="P35" s="13" t="s">
        <v>1134</v>
      </c>
      <c r="Q35" s="13" t="s">
        <v>1152</v>
      </c>
      <c r="R35" s="13">
        <v>2</v>
      </c>
      <c r="S35" s="13" t="s">
        <v>764</v>
      </c>
      <c r="T35" s="13">
        <v>0</v>
      </c>
      <c r="U35" s="13">
        <v>1</v>
      </c>
    </row>
    <row r="36" spans="1:21">
      <c r="A36" s="13" t="s">
        <v>1227</v>
      </c>
      <c r="B36" s="13" t="s">
        <v>1144</v>
      </c>
      <c r="C36" s="13" t="s">
        <v>1226</v>
      </c>
      <c r="D36" s="13" t="s">
        <v>760</v>
      </c>
      <c r="E36" s="13" t="s">
        <v>1226</v>
      </c>
      <c r="F36" s="13" t="s">
        <v>1225</v>
      </c>
      <c r="G36" s="13" t="s">
        <v>760</v>
      </c>
      <c r="H36" s="13" t="s">
        <v>1153</v>
      </c>
      <c r="I36" s="89">
        <v>208000</v>
      </c>
      <c r="J36" s="89">
        <v>208000</v>
      </c>
      <c r="K36" s="89" t="s">
        <v>760</v>
      </c>
      <c r="L36" s="89">
        <v>0</v>
      </c>
      <c r="M36" s="89">
        <v>0</v>
      </c>
      <c r="N36" s="13" t="s">
        <v>760</v>
      </c>
      <c r="O36" s="13" t="s">
        <v>761</v>
      </c>
      <c r="P36" s="13" t="s">
        <v>1134</v>
      </c>
      <c r="Q36" s="13" t="s">
        <v>1152</v>
      </c>
      <c r="R36" s="13">
        <v>2</v>
      </c>
      <c r="S36" s="13" t="s">
        <v>764</v>
      </c>
      <c r="T36" s="13">
        <v>0</v>
      </c>
      <c r="U36" s="13">
        <v>1</v>
      </c>
    </row>
    <row r="37" spans="1:21" s="96" customFormat="1">
      <c r="A37" s="96" t="s">
        <v>1224</v>
      </c>
      <c r="B37" s="96" t="s">
        <v>1144</v>
      </c>
      <c r="C37" s="96" t="s">
        <v>1221</v>
      </c>
      <c r="D37" s="13" t="s">
        <v>760</v>
      </c>
      <c r="E37" s="96" t="s">
        <v>1221</v>
      </c>
      <c r="F37" s="96" t="s">
        <v>1223</v>
      </c>
      <c r="G37" s="13" t="s">
        <v>760</v>
      </c>
      <c r="H37" s="96" t="s">
        <v>1219</v>
      </c>
      <c r="I37" s="97">
        <v>40000</v>
      </c>
      <c r="J37" s="97">
        <v>40000</v>
      </c>
      <c r="K37" s="89" t="s">
        <v>760</v>
      </c>
      <c r="L37" s="97">
        <v>0</v>
      </c>
      <c r="M37" s="97">
        <v>0</v>
      </c>
      <c r="N37" s="13" t="s">
        <v>760</v>
      </c>
      <c r="O37" s="96" t="s">
        <v>761</v>
      </c>
      <c r="P37" s="96" t="s">
        <v>1134</v>
      </c>
      <c r="Q37" s="96" t="s">
        <v>1218</v>
      </c>
      <c r="R37" s="96">
        <v>2</v>
      </c>
      <c r="S37" s="96" t="s">
        <v>764</v>
      </c>
      <c r="T37" s="96">
        <v>0</v>
      </c>
      <c r="U37" s="96">
        <v>1</v>
      </c>
    </row>
    <row r="38" spans="1:21" s="96" customFormat="1">
      <c r="A38" s="96" t="s">
        <v>1222</v>
      </c>
      <c r="B38" s="96" t="s">
        <v>1144</v>
      </c>
      <c r="C38" s="96" t="s">
        <v>1221</v>
      </c>
      <c r="D38" s="13" t="s">
        <v>760</v>
      </c>
      <c r="E38" s="96" t="s">
        <v>1221</v>
      </c>
      <c r="F38" s="96" t="s">
        <v>1220</v>
      </c>
      <c r="G38" s="13" t="s">
        <v>760</v>
      </c>
      <c r="H38" s="96" t="s">
        <v>1219</v>
      </c>
      <c r="I38" s="97">
        <v>54000</v>
      </c>
      <c r="J38" s="97">
        <v>54000</v>
      </c>
      <c r="K38" s="89" t="s">
        <v>760</v>
      </c>
      <c r="L38" s="97">
        <v>0</v>
      </c>
      <c r="M38" s="97">
        <v>0</v>
      </c>
      <c r="N38" s="13" t="s">
        <v>760</v>
      </c>
      <c r="O38" s="96" t="s">
        <v>761</v>
      </c>
      <c r="P38" s="96" t="s">
        <v>1134</v>
      </c>
      <c r="Q38" s="96" t="s">
        <v>1218</v>
      </c>
      <c r="R38" s="96">
        <v>2</v>
      </c>
      <c r="S38" s="96" t="s">
        <v>764</v>
      </c>
      <c r="T38" s="96">
        <v>0</v>
      </c>
      <c r="U38" s="96">
        <v>1</v>
      </c>
    </row>
    <row r="39" spans="1:21">
      <c r="A39" s="13" t="s">
        <v>1217</v>
      </c>
      <c r="B39" s="13" t="s">
        <v>1139</v>
      </c>
      <c r="C39" s="13" t="s">
        <v>1209</v>
      </c>
      <c r="D39" s="13" t="s">
        <v>760</v>
      </c>
      <c r="E39" s="13" t="s">
        <v>1214</v>
      </c>
      <c r="F39" s="13" t="s">
        <v>1216</v>
      </c>
      <c r="G39" s="13" t="s">
        <v>760</v>
      </c>
      <c r="H39" s="13" t="s">
        <v>1212</v>
      </c>
      <c r="I39" s="89">
        <v>250000</v>
      </c>
      <c r="J39" s="89">
        <v>0</v>
      </c>
      <c r="K39" s="89" t="s">
        <v>760</v>
      </c>
      <c r="L39" s="89">
        <v>0</v>
      </c>
      <c r="M39" s="94">
        <v>250000</v>
      </c>
      <c r="N39" s="13" t="s">
        <v>760</v>
      </c>
      <c r="O39" s="13" t="s">
        <v>761</v>
      </c>
      <c r="P39" s="13" t="s">
        <v>1134</v>
      </c>
      <c r="Q39" s="13" t="s">
        <v>1211</v>
      </c>
      <c r="R39" s="13">
        <v>2</v>
      </c>
      <c r="S39" s="13" t="s">
        <v>764</v>
      </c>
      <c r="T39" s="13">
        <v>0</v>
      </c>
      <c r="U39" s="13">
        <v>1</v>
      </c>
    </row>
    <row r="40" spans="1:21">
      <c r="A40" s="13" t="s">
        <v>1215</v>
      </c>
      <c r="B40" s="13" t="s">
        <v>1139</v>
      </c>
      <c r="C40" s="13" t="s">
        <v>1209</v>
      </c>
      <c r="D40" s="13" t="s">
        <v>760</v>
      </c>
      <c r="E40" s="13" t="s">
        <v>1214</v>
      </c>
      <c r="F40" s="13" t="s">
        <v>1213</v>
      </c>
      <c r="G40" s="13" t="s">
        <v>760</v>
      </c>
      <c r="H40" s="13" t="s">
        <v>1212</v>
      </c>
      <c r="I40" s="89">
        <v>85000</v>
      </c>
      <c r="J40" s="89">
        <v>0</v>
      </c>
      <c r="K40" s="89" t="s">
        <v>760</v>
      </c>
      <c r="L40" s="89">
        <v>0</v>
      </c>
      <c r="M40" s="94">
        <v>85000</v>
      </c>
      <c r="N40" s="13" t="s">
        <v>760</v>
      </c>
      <c r="O40" s="13" t="s">
        <v>761</v>
      </c>
      <c r="P40" s="13" t="s">
        <v>1134</v>
      </c>
      <c r="Q40" s="13" t="s">
        <v>1211</v>
      </c>
      <c r="R40" s="13">
        <v>2</v>
      </c>
      <c r="S40" s="13" t="s">
        <v>764</v>
      </c>
      <c r="T40" s="13">
        <v>0</v>
      </c>
      <c r="U40" s="13">
        <v>1</v>
      </c>
    </row>
    <row r="41" spans="1:21">
      <c r="A41" s="13" t="s">
        <v>1210</v>
      </c>
      <c r="B41" s="13" t="s">
        <v>1144</v>
      </c>
      <c r="C41" s="13" t="s">
        <v>1209</v>
      </c>
      <c r="D41" s="13" t="s">
        <v>760</v>
      </c>
      <c r="E41" s="13" t="s">
        <v>1208</v>
      </c>
      <c r="F41" s="13" t="s">
        <v>1207</v>
      </c>
      <c r="G41" s="13" t="s">
        <v>760</v>
      </c>
      <c r="H41" s="13" t="s">
        <v>1206</v>
      </c>
      <c r="I41" s="89">
        <v>700000</v>
      </c>
      <c r="J41" s="89">
        <v>700000</v>
      </c>
      <c r="K41" s="89" t="s">
        <v>760</v>
      </c>
      <c r="L41" s="89">
        <v>0</v>
      </c>
      <c r="M41" s="89">
        <v>0</v>
      </c>
      <c r="N41" s="13" t="s">
        <v>760</v>
      </c>
      <c r="O41" s="13" t="s">
        <v>761</v>
      </c>
      <c r="P41" s="13" t="s">
        <v>1134</v>
      </c>
      <c r="Q41" s="13" t="s">
        <v>1205</v>
      </c>
      <c r="R41" s="13">
        <v>2</v>
      </c>
      <c r="S41" s="13" t="s">
        <v>764</v>
      </c>
      <c r="T41" s="13">
        <v>0</v>
      </c>
      <c r="U41" s="13">
        <v>1</v>
      </c>
    </row>
    <row r="42" spans="1:21" s="96" customFormat="1">
      <c r="A42" s="96" t="s">
        <v>1204</v>
      </c>
      <c r="B42" s="96" t="s">
        <v>1144</v>
      </c>
      <c r="C42" s="96" t="s">
        <v>1203</v>
      </c>
      <c r="D42" s="13" t="s">
        <v>760</v>
      </c>
      <c r="E42" s="96" t="s">
        <v>1202</v>
      </c>
      <c r="F42" s="96" t="s">
        <v>1201</v>
      </c>
      <c r="G42" s="13" t="s">
        <v>760</v>
      </c>
      <c r="H42" s="96" t="s">
        <v>1153</v>
      </c>
      <c r="I42" s="97">
        <v>168000</v>
      </c>
      <c r="J42" s="97">
        <v>168000</v>
      </c>
      <c r="K42" s="89" t="s">
        <v>760</v>
      </c>
      <c r="L42" s="97">
        <v>0</v>
      </c>
      <c r="M42" s="97">
        <v>0</v>
      </c>
      <c r="N42" s="13" t="s">
        <v>760</v>
      </c>
      <c r="O42" s="96" t="s">
        <v>761</v>
      </c>
      <c r="P42" s="96" t="s">
        <v>1134</v>
      </c>
      <c r="Q42" s="96" t="s">
        <v>1152</v>
      </c>
      <c r="R42" s="96">
        <v>2</v>
      </c>
      <c r="S42" s="96" t="s">
        <v>764</v>
      </c>
      <c r="T42" s="96">
        <v>0</v>
      </c>
      <c r="U42" s="96">
        <v>1</v>
      </c>
    </row>
    <row r="43" spans="1:21">
      <c r="A43" s="13" t="s">
        <v>1200</v>
      </c>
      <c r="B43" s="13" t="s">
        <v>1139</v>
      </c>
      <c r="C43" s="13" t="s">
        <v>1199</v>
      </c>
      <c r="D43" s="13" t="s">
        <v>760</v>
      </c>
      <c r="E43" s="13" t="s">
        <v>1190</v>
      </c>
      <c r="F43" s="13" t="s">
        <v>1198</v>
      </c>
      <c r="G43" s="13" t="s">
        <v>760</v>
      </c>
      <c r="H43" s="13" t="s">
        <v>1197</v>
      </c>
      <c r="I43" s="89">
        <v>444000</v>
      </c>
      <c r="J43" s="89">
        <v>0</v>
      </c>
      <c r="K43" s="89" t="s">
        <v>760</v>
      </c>
      <c r="L43" s="89">
        <v>24000</v>
      </c>
      <c r="M43" s="94">
        <v>444000</v>
      </c>
      <c r="N43" s="13" t="s">
        <v>760</v>
      </c>
      <c r="O43" s="13" t="s">
        <v>761</v>
      </c>
      <c r="P43" s="13" t="s">
        <v>1134</v>
      </c>
      <c r="Q43" s="13" t="s">
        <v>1196</v>
      </c>
      <c r="R43" s="13">
        <v>2</v>
      </c>
      <c r="S43" s="13" t="s">
        <v>764</v>
      </c>
      <c r="T43" s="13">
        <v>0</v>
      </c>
      <c r="U43" s="13">
        <v>1</v>
      </c>
    </row>
    <row r="44" spans="1:21">
      <c r="A44" s="13" t="s">
        <v>1195</v>
      </c>
      <c r="B44" s="13" t="s">
        <v>1144</v>
      </c>
      <c r="C44" s="13" t="s">
        <v>1190</v>
      </c>
      <c r="D44" s="13" t="s">
        <v>760</v>
      </c>
      <c r="E44" s="13" t="s">
        <v>1190</v>
      </c>
      <c r="F44" s="13" t="s">
        <v>1194</v>
      </c>
      <c r="G44" s="13" t="s">
        <v>760</v>
      </c>
      <c r="H44" s="13" t="s">
        <v>1193</v>
      </c>
      <c r="I44" s="89">
        <v>87937386.489999995</v>
      </c>
      <c r="J44" s="89">
        <v>87937386.489999995</v>
      </c>
      <c r="K44" s="89" t="s">
        <v>760</v>
      </c>
      <c r="L44" s="89">
        <v>2777813.45</v>
      </c>
      <c r="M44" s="89">
        <v>0</v>
      </c>
      <c r="N44" s="13" t="s">
        <v>760</v>
      </c>
      <c r="O44" s="13" t="s">
        <v>761</v>
      </c>
      <c r="P44" s="13" t="s">
        <v>1134</v>
      </c>
      <c r="Q44" s="13" t="s">
        <v>1192</v>
      </c>
      <c r="R44" s="13">
        <v>2</v>
      </c>
      <c r="S44" s="13" t="s">
        <v>764</v>
      </c>
      <c r="T44" s="13">
        <v>0</v>
      </c>
      <c r="U44" s="13">
        <v>1</v>
      </c>
    </row>
    <row r="45" spans="1:21">
      <c r="A45" s="13" t="s">
        <v>1191</v>
      </c>
      <c r="B45" s="13" t="s">
        <v>1144</v>
      </c>
      <c r="C45" s="13" t="s">
        <v>1190</v>
      </c>
      <c r="D45" s="13" t="s">
        <v>760</v>
      </c>
      <c r="E45" s="13" t="s">
        <v>1189</v>
      </c>
      <c r="F45" s="13" t="s">
        <v>1188</v>
      </c>
      <c r="G45" s="13" t="s">
        <v>760</v>
      </c>
      <c r="H45" s="13" t="s">
        <v>1158</v>
      </c>
      <c r="I45" s="89">
        <v>745000</v>
      </c>
      <c r="J45" s="89">
        <v>745000</v>
      </c>
      <c r="K45" s="89" t="s">
        <v>760</v>
      </c>
      <c r="L45" s="89">
        <v>45000</v>
      </c>
      <c r="M45" s="89">
        <v>0</v>
      </c>
      <c r="N45" s="13" t="s">
        <v>760</v>
      </c>
      <c r="O45" s="13" t="s">
        <v>761</v>
      </c>
      <c r="P45" s="13" t="s">
        <v>1134</v>
      </c>
      <c r="Q45" s="13" t="s">
        <v>1157</v>
      </c>
      <c r="R45" s="13">
        <v>2</v>
      </c>
      <c r="S45" s="13" t="s">
        <v>764</v>
      </c>
      <c r="T45" s="13">
        <v>0</v>
      </c>
      <c r="U45" s="13">
        <v>1</v>
      </c>
    </row>
    <row r="46" spans="1:21">
      <c r="A46" s="13" t="s">
        <v>1187</v>
      </c>
      <c r="B46" s="13" t="s">
        <v>1139</v>
      </c>
      <c r="C46" s="13" t="s">
        <v>1186</v>
      </c>
      <c r="D46" s="13" t="s">
        <v>760</v>
      </c>
      <c r="E46" s="13" t="s">
        <v>1160</v>
      </c>
      <c r="F46" s="13" t="s">
        <v>1185</v>
      </c>
      <c r="G46" s="13" t="s">
        <v>760</v>
      </c>
      <c r="H46" s="13" t="s">
        <v>1163</v>
      </c>
      <c r="I46" s="89">
        <v>422500</v>
      </c>
      <c r="J46" s="89">
        <v>0</v>
      </c>
      <c r="K46" s="89" t="s">
        <v>760</v>
      </c>
      <c r="L46" s="89">
        <v>22500</v>
      </c>
      <c r="M46" s="89">
        <v>422500</v>
      </c>
      <c r="N46" s="13" t="s">
        <v>760</v>
      </c>
      <c r="O46" s="13" t="s">
        <v>761</v>
      </c>
      <c r="P46" s="13" t="s">
        <v>1134</v>
      </c>
      <c r="Q46" s="13" t="s">
        <v>1162</v>
      </c>
      <c r="R46" s="13">
        <v>2</v>
      </c>
      <c r="S46" s="13" t="s">
        <v>764</v>
      </c>
      <c r="T46" s="13">
        <v>0</v>
      </c>
      <c r="U46" s="13">
        <v>1</v>
      </c>
    </row>
    <row r="47" spans="1:21">
      <c r="A47" s="13" t="s">
        <v>1184</v>
      </c>
      <c r="B47" s="13" t="s">
        <v>1144</v>
      </c>
      <c r="C47" s="13" t="s">
        <v>1183</v>
      </c>
      <c r="D47" s="13" t="s">
        <v>760</v>
      </c>
      <c r="E47" s="13" t="s">
        <v>1150</v>
      </c>
      <c r="F47" s="13" t="s">
        <v>1182</v>
      </c>
      <c r="G47" s="13" t="s">
        <v>760</v>
      </c>
      <c r="H47" s="13" t="s">
        <v>1181</v>
      </c>
      <c r="I47" s="89">
        <v>8256000</v>
      </c>
      <c r="J47" s="89">
        <v>8256000</v>
      </c>
      <c r="K47" s="89" t="s">
        <v>760</v>
      </c>
      <c r="L47" s="89">
        <v>576000</v>
      </c>
      <c r="M47" s="89">
        <v>0</v>
      </c>
      <c r="N47" s="13" t="s">
        <v>760</v>
      </c>
      <c r="O47" s="13" t="s">
        <v>761</v>
      </c>
      <c r="P47" s="13" t="s">
        <v>1134</v>
      </c>
      <c r="Q47" s="13" t="s">
        <v>1180</v>
      </c>
      <c r="R47" s="13">
        <v>2</v>
      </c>
      <c r="S47" s="13" t="s">
        <v>764</v>
      </c>
      <c r="T47" s="13">
        <v>0</v>
      </c>
      <c r="U47" s="13">
        <v>1</v>
      </c>
    </row>
    <row r="48" spans="1:21">
      <c r="A48" s="13" t="s">
        <v>1179</v>
      </c>
      <c r="B48" s="13" t="s">
        <v>1144</v>
      </c>
      <c r="C48" s="13" t="s">
        <v>1178</v>
      </c>
      <c r="D48" s="13" t="s">
        <v>760</v>
      </c>
      <c r="E48" s="13" t="s">
        <v>1160</v>
      </c>
      <c r="F48" s="13" t="s">
        <v>1177</v>
      </c>
      <c r="G48" s="13" t="s">
        <v>760</v>
      </c>
      <c r="H48" s="13" t="s">
        <v>1176</v>
      </c>
      <c r="I48" s="89">
        <v>149962.5</v>
      </c>
      <c r="J48" s="89">
        <v>149962.5</v>
      </c>
      <c r="K48" s="89" t="s">
        <v>760</v>
      </c>
      <c r="L48" s="89">
        <v>10462.5</v>
      </c>
      <c r="M48" s="89">
        <v>0</v>
      </c>
      <c r="N48" s="13" t="s">
        <v>760</v>
      </c>
      <c r="O48" s="13" t="s">
        <v>761</v>
      </c>
      <c r="P48" s="13" t="s">
        <v>1134</v>
      </c>
      <c r="Q48" s="13" t="s">
        <v>1175</v>
      </c>
      <c r="R48" s="13">
        <v>2</v>
      </c>
      <c r="S48" s="13" t="s">
        <v>764</v>
      </c>
      <c r="T48" s="13">
        <v>0</v>
      </c>
      <c r="U48" s="13">
        <v>1</v>
      </c>
    </row>
    <row r="49" spans="1:21">
      <c r="A49" s="13" t="s">
        <v>1174</v>
      </c>
      <c r="B49" s="13" t="s">
        <v>1144</v>
      </c>
      <c r="C49" s="13" t="s">
        <v>1165</v>
      </c>
      <c r="D49" s="13" t="s">
        <v>760</v>
      </c>
      <c r="E49" s="13" t="s">
        <v>1160</v>
      </c>
      <c r="F49" s="13" t="s">
        <v>1173</v>
      </c>
      <c r="G49" s="13" t="s">
        <v>760</v>
      </c>
      <c r="H49" s="13" t="s">
        <v>1163</v>
      </c>
      <c r="I49" s="89">
        <v>170000</v>
      </c>
      <c r="J49" s="89">
        <v>170000</v>
      </c>
      <c r="K49" s="89" t="s">
        <v>760</v>
      </c>
      <c r="L49" s="89">
        <v>0</v>
      </c>
      <c r="M49" s="89">
        <v>0</v>
      </c>
      <c r="N49" s="13" t="s">
        <v>760</v>
      </c>
      <c r="O49" s="13" t="s">
        <v>761</v>
      </c>
      <c r="P49" s="13" t="s">
        <v>1134</v>
      </c>
      <c r="Q49" s="13" t="s">
        <v>1162</v>
      </c>
      <c r="R49" s="13">
        <v>2</v>
      </c>
      <c r="S49" s="13" t="s">
        <v>764</v>
      </c>
      <c r="T49" s="13">
        <v>0</v>
      </c>
      <c r="U49" s="13">
        <v>1</v>
      </c>
    </row>
    <row r="50" spans="1:21">
      <c r="A50" s="13" t="s">
        <v>1172</v>
      </c>
      <c r="B50" s="13" t="s">
        <v>1144</v>
      </c>
      <c r="C50" s="13" t="s">
        <v>1165</v>
      </c>
      <c r="D50" s="13" t="s">
        <v>760</v>
      </c>
      <c r="E50" s="13" t="s">
        <v>1160</v>
      </c>
      <c r="F50" s="13" t="s">
        <v>1171</v>
      </c>
      <c r="G50" s="13" t="s">
        <v>760</v>
      </c>
      <c r="H50" s="13" t="s">
        <v>1168</v>
      </c>
      <c r="I50" s="89">
        <v>204000</v>
      </c>
      <c r="J50" s="89">
        <v>204000</v>
      </c>
      <c r="K50" s="89" t="s">
        <v>760</v>
      </c>
      <c r="L50" s="89">
        <v>0</v>
      </c>
      <c r="M50" s="89">
        <v>0</v>
      </c>
      <c r="N50" s="13" t="s">
        <v>760</v>
      </c>
      <c r="O50" s="13" t="s">
        <v>761</v>
      </c>
      <c r="P50" s="13" t="s">
        <v>1134</v>
      </c>
      <c r="Q50" s="13" t="s">
        <v>1167</v>
      </c>
      <c r="R50" s="13">
        <v>2</v>
      </c>
      <c r="S50" s="13" t="s">
        <v>764</v>
      </c>
      <c r="T50" s="13">
        <v>0</v>
      </c>
      <c r="U50" s="13">
        <v>1</v>
      </c>
    </row>
    <row r="51" spans="1:21">
      <c r="A51" s="13" t="s">
        <v>1170</v>
      </c>
      <c r="B51" s="13" t="s">
        <v>1139</v>
      </c>
      <c r="C51" s="13" t="s">
        <v>1165</v>
      </c>
      <c r="D51" s="13" t="s">
        <v>760</v>
      </c>
      <c r="E51" s="13" t="s">
        <v>1160</v>
      </c>
      <c r="F51" s="13" t="s">
        <v>1169</v>
      </c>
      <c r="G51" s="13" t="s">
        <v>760</v>
      </c>
      <c r="H51" s="13" t="s">
        <v>1168</v>
      </c>
      <c r="I51" s="89">
        <v>530000</v>
      </c>
      <c r="J51" s="89">
        <v>0</v>
      </c>
      <c r="K51" s="89" t="s">
        <v>760</v>
      </c>
      <c r="L51" s="89">
        <v>30000</v>
      </c>
      <c r="M51" s="89">
        <v>530000</v>
      </c>
      <c r="N51" s="13" t="s">
        <v>760</v>
      </c>
      <c r="O51" s="13" t="s">
        <v>761</v>
      </c>
      <c r="P51" s="13" t="s">
        <v>1134</v>
      </c>
      <c r="Q51" s="13" t="s">
        <v>1167</v>
      </c>
      <c r="R51" s="13">
        <v>2</v>
      </c>
      <c r="S51" s="13" t="s">
        <v>764</v>
      </c>
      <c r="T51" s="13">
        <v>0</v>
      </c>
      <c r="U51" s="13">
        <v>1</v>
      </c>
    </row>
    <row r="52" spans="1:21">
      <c r="A52" s="13" t="s">
        <v>1166</v>
      </c>
      <c r="B52" s="13" t="s">
        <v>1144</v>
      </c>
      <c r="C52" s="13" t="s">
        <v>1165</v>
      </c>
      <c r="D52" s="13" t="s">
        <v>760</v>
      </c>
      <c r="E52" s="13" t="s">
        <v>1160</v>
      </c>
      <c r="F52" s="13" t="s">
        <v>1164</v>
      </c>
      <c r="G52" s="13" t="s">
        <v>760</v>
      </c>
      <c r="H52" s="13" t="s">
        <v>1163</v>
      </c>
      <c r="I52" s="89">
        <v>220000</v>
      </c>
      <c r="J52" s="89">
        <v>220000</v>
      </c>
      <c r="K52" s="89" t="s">
        <v>760</v>
      </c>
      <c r="L52" s="89">
        <v>0</v>
      </c>
      <c r="M52" s="89">
        <v>0</v>
      </c>
      <c r="N52" s="13" t="s">
        <v>760</v>
      </c>
      <c r="O52" s="13" t="s">
        <v>761</v>
      </c>
      <c r="P52" s="13" t="s">
        <v>1134</v>
      </c>
      <c r="Q52" s="13" t="s">
        <v>1162</v>
      </c>
      <c r="R52" s="13">
        <v>2</v>
      </c>
      <c r="S52" s="13" t="s">
        <v>764</v>
      </c>
      <c r="T52" s="13">
        <v>0</v>
      </c>
      <c r="U52" s="13">
        <v>1</v>
      </c>
    </row>
    <row r="53" spans="1:21">
      <c r="A53" s="13" t="s">
        <v>1161</v>
      </c>
      <c r="B53" s="13" t="s">
        <v>1144</v>
      </c>
      <c r="C53" s="13" t="s">
        <v>1160</v>
      </c>
      <c r="D53" s="13" t="s">
        <v>760</v>
      </c>
      <c r="E53" s="13" t="s">
        <v>1137</v>
      </c>
      <c r="F53" s="13" t="s">
        <v>1159</v>
      </c>
      <c r="G53" s="13" t="s">
        <v>760</v>
      </c>
      <c r="H53" s="13" t="s">
        <v>1158</v>
      </c>
      <c r="I53" s="89">
        <v>606400</v>
      </c>
      <c r="J53" s="89">
        <v>606400</v>
      </c>
      <c r="K53" s="89" t="s">
        <v>760</v>
      </c>
      <c r="L53" s="89">
        <v>54400</v>
      </c>
      <c r="M53" s="89">
        <v>0</v>
      </c>
      <c r="N53" s="13" t="s">
        <v>760</v>
      </c>
      <c r="O53" s="13" t="s">
        <v>761</v>
      </c>
      <c r="P53" s="13" t="s">
        <v>1134</v>
      </c>
      <c r="Q53" s="13" t="s">
        <v>1157</v>
      </c>
      <c r="R53" s="13">
        <v>2</v>
      </c>
      <c r="S53" s="13" t="s">
        <v>764</v>
      </c>
      <c r="T53" s="13">
        <v>0</v>
      </c>
      <c r="U53" s="13">
        <v>1</v>
      </c>
    </row>
    <row r="54" spans="1:21">
      <c r="A54" s="13" t="s">
        <v>1156</v>
      </c>
      <c r="B54" s="13" t="s">
        <v>1139</v>
      </c>
      <c r="C54" s="13" t="s">
        <v>1155</v>
      </c>
      <c r="D54" s="13" t="s">
        <v>760</v>
      </c>
      <c r="E54" s="13" t="s">
        <v>1138</v>
      </c>
      <c r="F54" s="13" t="s">
        <v>1154</v>
      </c>
      <c r="G54" s="13" t="s">
        <v>760</v>
      </c>
      <c r="H54" s="13" t="s">
        <v>1153</v>
      </c>
      <c r="I54" s="89">
        <v>170000</v>
      </c>
      <c r="J54" s="89">
        <v>0</v>
      </c>
      <c r="K54" s="89" t="s">
        <v>760</v>
      </c>
      <c r="L54" s="89">
        <v>0</v>
      </c>
      <c r="M54" s="89">
        <v>170000</v>
      </c>
      <c r="N54" s="13" t="s">
        <v>760</v>
      </c>
      <c r="O54" s="13" t="s">
        <v>761</v>
      </c>
      <c r="P54" s="13" t="s">
        <v>1134</v>
      </c>
      <c r="Q54" s="13" t="s">
        <v>1152</v>
      </c>
      <c r="R54" s="13">
        <v>2</v>
      </c>
      <c r="S54" s="13" t="s">
        <v>764</v>
      </c>
      <c r="T54" s="13">
        <v>0</v>
      </c>
      <c r="U54" s="13">
        <v>1</v>
      </c>
    </row>
    <row r="55" spans="1:21">
      <c r="A55" s="13" t="s">
        <v>1151</v>
      </c>
      <c r="B55" s="13" t="s">
        <v>1144</v>
      </c>
      <c r="C55" s="13" t="s">
        <v>1150</v>
      </c>
      <c r="D55" s="13" t="s">
        <v>760</v>
      </c>
      <c r="E55" s="13" t="s">
        <v>1149</v>
      </c>
      <c r="F55" s="13" t="s">
        <v>1148</v>
      </c>
      <c r="G55" s="13" t="s">
        <v>760</v>
      </c>
      <c r="H55" s="13" t="s">
        <v>1147</v>
      </c>
      <c r="I55" s="89">
        <v>1653500</v>
      </c>
      <c r="J55" s="89">
        <v>1653500</v>
      </c>
      <c r="K55" s="89" t="s">
        <v>760</v>
      </c>
      <c r="L55" s="89">
        <v>0</v>
      </c>
      <c r="M55" s="89">
        <v>0</v>
      </c>
      <c r="N55" s="13" t="s">
        <v>760</v>
      </c>
      <c r="O55" s="13" t="s">
        <v>761</v>
      </c>
      <c r="P55" s="13" t="s">
        <v>1134</v>
      </c>
      <c r="Q55" s="13" t="s">
        <v>1146</v>
      </c>
      <c r="R55" s="13">
        <v>2</v>
      </c>
      <c r="S55" s="13" t="s">
        <v>764</v>
      </c>
      <c r="T55" s="13">
        <v>0</v>
      </c>
      <c r="U55" s="13">
        <v>1</v>
      </c>
    </row>
    <row r="56" spans="1:21">
      <c r="A56" s="13" t="s">
        <v>1145</v>
      </c>
      <c r="B56" s="13" t="s">
        <v>1144</v>
      </c>
      <c r="C56" s="13" t="s">
        <v>1138</v>
      </c>
      <c r="D56" s="13" t="s">
        <v>760</v>
      </c>
      <c r="E56" s="13" t="s">
        <v>1138</v>
      </c>
      <c r="F56" s="13" t="s">
        <v>1143</v>
      </c>
      <c r="G56" s="13" t="s">
        <v>760</v>
      </c>
      <c r="H56" s="13" t="s">
        <v>1142</v>
      </c>
      <c r="I56" s="89">
        <v>25000</v>
      </c>
      <c r="J56" s="89">
        <v>25000</v>
      </c>
      <c r="K56" s="89" t="s">
        <v>760</v>
      </c>
      <c r="L56" s="89">
        <v>0</v>
      </c>
      <c r="M56" s="89">
        <v>0</v>
      </c>
      <c r="N56" s="13" t="s">
        <v>760</v>
      </c>
      <c r="O56" s="13" t="s">
        <v>761</v>
      </c>
      <c r="P56" s="13" t="s">
        <v>1134</v>
      </c>
      <c r="Q56" s="13" t="s">
        <v>1141</v>
      </c>
      <c r="R56" s="13">
        <v>2</v>
      </c>
      <c r="S56" s="13" t="s">
        <v>764</v>
      </c>
      <c r="T56" s="13">
        <v>0</v>
      </c>
      <c r="U56" s="13">
        <v>1</v>
      </c>
    </row>
    <row r="57" spans="1:21">
      <c r="A57" s="13" t="s">
        <v>1140</v>
      </c>
      <c r="B57" s="13" t="s">
        <v>1139</v>
      </c>
      <c r="C57" s="13" t="s">
        <v>1138</v>
      </c>
      <c r="D57" s="13" t="s">
        <v>760</v>
      </c>
      <c r="E57" s="13" t="s">
        <v>1137</v>
      </c>
      <c r="F57" s="13" t="s">
        <v>1136</v>
      </c>
      <c r="G57" s="13" t="s">
        <v>760</v>
      </c>
      <c r="H57" s="13" t="s">
        <v>1135</v>
      </c>
      <c r="I57" s="89">
        <v>700000</v>
      </c>
      <c r="J57" s="89">
        <v>0</v>
      </c>
      <c r="K57" s="89" t="s">
        <v>760</v>
      </c>
      <c r="L57" s="89">
        <v>0</v>
      </c>
      <c r="M57" s="89">
        <v>700000</v>
      </c>
      <c r="N57" s="13" t="s">
        <v>760</v>
      </c>
      <c r="O57" s="13" t="s">
        <v>761</v>
      </c>
      <c r="P57" s="13" t="s">
        <v>1134</v>
      </c>
      <c r="Q57" s="13" t="s">
        <v>1133</v>
      </c>
      <c r="R57" s="13">
        <v>2</v>
      </c>
      <c r="S57" s="13" t="s">
        <v>764</v>
      </c>
      <c r="T57" s="13">
        <v>0</v>
      </c>
      <c r="U57" s="13">
        <v>1</v>
      </c>
    </row>
    <row r="58" spans="1:21" ht="14">
      <c r="A58" s="107" t="s">
        <v>760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</row>
    <row r="60" spans="1:21">
      <c r="H60" s="90" t="s">
        <v>1132</v>
      </c>
      <c r="I60" s="90" t="s">
        <v>1131</v>
      </c>
      <c r="L60" s="90" t="s">
        <v>1130</v>
      </c>
      <c r="M60" s="90" t="s">
        <v>1129</v>
      </c>
    </row>
    <row r="61" spans="1:21">
      <c r="H61" s="89">
        <f>I6</f>
        <v>444000</v>
      </c>
      <c r="I61" s="89">
        <f>H61-M61</f>
        <v>420000</v>
      </c>
      <c r="L61" s="89">
        <v>100000</v>
      </c>
      <c r="M61" s="89">
        <f>L6</f>
        <v>24000</v>
      </c>
    </row>
    <row r="64" spans="1:21">
      <c r="L64" s="89">
        <f>I11-L11</f>
        <v>1520000</v>
      </c>
    </row>
  </sheetData>
  <autoFilter ref="A2:U58"/>
  <mergeCells count="2">
    <mergeCell ref="A1:U1"/>
    <mergeCell ref="A58:U58"/>
  </mergeCells>
  <pageMargins left="0.75" right="0.75" top="1" bottom="1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6513a3-e1f3-4cc5-ae82-936310e9d6b3">
      <Terms xmlns="http://schemas.microsoft.com/office/infopath/2007/PartnerControls"/>
    </lcf76f155ced4ddcb4097134ff3c332f>
    <TaxCatchAll xmlns="965dad2f-625e-4dab-9b19-36f41d3d1c5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40474FB2A7D340BB250A76724FCF11" ma:contentTypeVersion="16" ma:contentTypeDescription="Create a new document." ma:contentTypeScope="" ma:versionID="c2418c0e9e2d86393a96cae25e0cd2b5">
  <xsd:schema xmlns:xsd="http://www.w3.org/2001/XMLSchema" xmlns:xs="http://www.w3.org/2001/XMLSchema" xmlns:p="http://schemas.microsoft.com/office/2006/metadata/properties" xmlns:ns2="965dad2f-625e-4dab-9b19-36f41d3d1c57" xmlns:ns3="ab6513a3-e1f3-4cc5-ae82-936310e9d6b3" targetNamespace="http://schemas.microsoft.com/office/2006/metadata/properties" ma:root="true" ma:fieldsID="8567addbd31f6e6869a1be757ae01684" ns2:_="" ns3:_="">
    <xsd:import namespace="965dad2f-625e-4dab-9b19-36f41d3d1c57"/>
    <xsd:import namespace="ab6513a3-e1f3-4cc5-ae82-936310e9d6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dad2f-625e-4dab-9b19-36f41d3d1c5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d4ff11a-1bdf-4041-93cf-f27bfac842c1}" ma:internalName="TaxCatchAll" ma:showField="CatchAllData" ma:web="965dad2f-625e-4dab-9b19-36f41d3d1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513a3-e1f3-4cc5-ae82-936310e9d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635bc1-86f2-4f38-96db-0311e431f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9092D-11BE-402E-80DB-77577BD1E7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FCD649-DEFA-48CF-A0F1-F3F60EC03073}">
  <ds:schemaRefs>
    <ds:schemaRef ds:uri="http://schemas.openxmlformats.org/package/2006/metadata/core-properties"/>
    <ds:schemaRef ds:uri="http://www.w3.org/XML/1998/namespace"/>
    <ds:schemaRef ds:uri="965dad2f-625e-4dab-9b19-36f41d3d1c57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ab6513a3-e1f3-4cc5-ae82-936310e9d6b3"/>
  </ds:schemaRefs>
</ds:datastoreItem>
</file>

<file path=customXml/itemProps3.xml><?xml version="1.0" encoding="utf-8"?>
<ds:datastoreItem xmlns:ds="http://schemas.openxmlformats.org/officeDocument/2006/customXml" ds:itemID="{B664F9B6-7A67-49C6-836A-B0CE047E2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5dad2f-625e-4dab-9b19-36f41d3d1c57"/>
    <ds:schemaRef ds:uri="ab6513a3-e1f3-4cc5-ae82-936310e9d6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</vt:i4>
      </vt:variant>
    </vt:vector>
  </HeadingPairs>
  <TitlesOfParts>
    <vt:vector size="18" baseType="lpstr">
      <vt:lpstr>Sheet2 (2)</vt:lpstr>
      <vt:lpstr>Cover</vt:lpstr>
      <vt:lpstr>SCI</vt:lpstr>
      <vt:lpstr>SFP</vt:lpstr>
      <vt:lpstr>SCF</vt:lpstr>
      <vt:lpstr>Notes</vt:lpstr>
      <vt:lpstr>&gt;&gt;&gt;&gt;</vt:lpstr>
      <vt:lpstr>Trial Balance</vt:lpstr>
      <vt:lpstr>GL_Transactions</vt:lpstr>
      <vt:lpstr>FAR</vt:lpstr>
      <vt:lpstr>MoM Transactions</vt:lpstr>
      <vt:lpstr>Chart of Accounts</vt:lpstr>
      <vt:lpstr>Breakdown of MD reimbu</vt:lpstr>
      <vt:lpstr>invoice_details</vt:lpstr>
      <vt:lpstr>Cover!Print_Area</vt:lpstr>
      <vt:lpstr>SCF!Print_Area</vt:lpstr>
      <vt:lpstr>SCI!Print_Area</vt:lpstr>
      <vt:lpstr>SFP!Print_Area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Chiamaka C. Oduche-Mokwe</dc:creator>
  <cp:lastModifiedBy>IIH</cp:lastModifiedBy>
  <cp:lastPrinted>2025-10-07T20:41:54Z</cp:lastPrinted>
  <dcterms:created xsi:type="dcterms:W3CDTF">2025-09-25T12:41:18Z</dcterms:created>
  <dcterms:modified xsi:type="dcterms:W3CDTF">2025-11-03T14:24:40Z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0x010100D440474FB2A7D340BB250A76724FCF11</vt:lpwstr>
  </property>
  <property fmtid="{D5CDD505-2E9C-101B-9397-08002B2CF9AE}" pid="3" name="MediaServiceImageTags">
    <vt:lpwstr/>
  </property>
</Properties>
</file>