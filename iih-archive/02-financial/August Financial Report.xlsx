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IH\Downloads\"/>
    </mc:Choice>
  </mc:AlternateContent>
  <bookViews>
    <workbookView xWindow="0" yWindow="0" windowWidth="19200" windowHeight="7900"/>
  </bookViews>
  <sheets>
    <sheet name="August Summary" sheetId="1" r:id="rId1"/>
    <sheet name="Breakdown" sheetId="2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5" i="1" l="1"/>
  <c r="C42" i="1"/>
  <c r="C41" i="1"/>
  <c r="C40" i="1"/>
  <c r="D29" i="1" l="1"/>
  <c r="E29" i="1"/>
  <c r="C12" i="1"/>
  <c r="L113" i="2"/>
  <c r="H89" i="2"/>
  <c r="G31" i="2"/>
  <c r="D111" i="2" l="1"/>
  <c r="D77" i="2" l="1"/>
  <c r="D83" i="2"/>
  <c r="D71" i="2"/>
  <c r="D62" i="2"/>
  <c r="D55" i="2"/>
  <c r="D48" i="2"/>
  <c r="D35" i="2"/>
  <c r="D31" i="2"/>
  <c r="D20" i="2"/>
  <c r="D15" i="2"/>
  <c r="D12" i="2"/>
  <c r="D5" i="2"/>
  <c r="AS60" i="1" l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C29" i="1"/>
  <c r="C31" i="1" s="1"/>
  <c r="AS62" i="1" l="1"/>
  <c r="D91" i="2"/>
</calcChain>
</file>

<file path=xl/sharedStrings.xml><?xml version="1.0" encoding="utf-8"?>
<sst xmlns="http://schemas.openxmlformats.org/spreadsheetml/2006/main" count="157" uniqueCount="119">
  <si>
    <t> </t>
  </si>
  <si>
    <t>IHS</t>
  </si>
  <si>
    <t>Caution Fee</t>
  </si>
  <si>
    <t>Facility Rental</t>
  </si>
  <si>
    <t>Miscellaneuos Income</t>
  </si>
  <si>
    <t>Income</t>
  </si>
  <si>
    <t>Facility Rentals</t>
  </si>
  <si>
    <t>Guest Entertainment and Refreshments</t>
  </si>
  <si>
    <t>Expenses</t>
  </si>
  <si>
    <t>Bank charges</t>
  </si>
  <si>
    <t>Cleaning Service</t>
  </si>
  <si>
    <t>Facility Maintenance and Repairs</t>
  </si>
  <si>
    <t>Local Travel</t>
  </si>
  <si>
    <t>Miscellaneous Expenses - 2% of Operating Expenses</t>
  </si>
  <si>
    <t>Salaries and Wages</t>
  </si>
  <si>
    <t>Security</t>
  </si>
  <si>
    <t>Souvenirs</t>
  </si>
  <si>
    <t>Merchandise and Staff T Shirts</t>
  </si>
  <si>
    <t>Stationery and Office Supplies</t>
  </si>
  <si>
    <t>Caution Deposit Refund</t>
  </si>
  <si>
    <t>Fixed assets, at cost</t>
  </si>
  <si>
    <t>Landscaping</t>
  </si>
  <si>
    <t>Spare parts for solar, electrical, mechanical and LED Screens</t>
  </si>
  <si>
    <t>Staff email + collaboration tools (zoho one)</t>
  </si>
  <si>
    <t>Staff Professional Development</t>
  </si>
  <si>
    <t>Premium Trust Bank balance brought forward at the beginning of August</t>
  </si>
  <si>
    <t>Staff Email + Collaboration Tools (Zoho One)</t>
  </si>
  <si>
    <t>Description</t>
  </si>
  <si>
    <t>Category</t>
  </si>
  <si>
    <t>Amount</t>
  </si>
  <si>
    <t>PAYMENT FOR ZOHO CAMPAIGNS 5000CONTACTS ANNUAL</t>
  </si>
  <si>
    <t>PAYMENT FOR OUTDOOR RING PAINTING</t>
  </si>
  <si>
    <t>Cleaning</t>
  </si>
  <si>
    <t>BNG PYT FOR JULY 2025 JANITORIAL SERVICE</t>
  </si>
  <si>
    <t>Website Hosting, Cloud Servers &amp; Services</t>
  </si>
  <si>
    <t>ILORININNOVATIONHUBCOM DOMAIN RENEWAL</t>
  </si>
  <si>
    <t>Guest Entertainment &amp; Refreshments</t>
  </si>
  <si>
    <t>REIMBURSEMENT FOR SUI EVENT REFRESHMENTS</t>
  </si>
  <si>
    <t>PAYMENT FOR STAFF BIRTHDAY CAKE TOSIN</t>
  </si>
  <si>
    <t>Travel &amp; Conferences</t>
  </si>
  <si>
    <t>International Travel Flights</t>
  </si>
  <si>
    <t>Salaries &amp; Wages</t>
  </si>
  <si>
    <t>NHF SALARY DEDUCTION REFUND</t>
  </si>
  <si>
    <t>SECURITY DEPOSIT REFUND SUI BLOCKCHAIN</t>
  </si>
  <si>
    <t>Facility Maintenance &amp; Repairs</t>
  </si>
  <si>
    <t>ADDITIONAL 6 DAY GEN RENTAL FOR ELEVATOR INSTALL</t>
  </si>
  <si>
    <t>International Conference Registration</t>
  </si>
  <si>
    <t>BNG PYT FOR Ai4 2025 START UP PASS APPLICATION</t>
  </si>
  <si>
    <t>BNG PYT FOR BOOKING ID 2508030403119</t>
  </si>
  <si>
    <t>PAYMENT FOR 70L DIESEL</t>
  </si>
  <si>
    <t>MD ILVABV TICKET LBS AI WORKSHOP</t>
  </si>
  <si>
    <t>PAYMENT FOR NSITF JULY CONTRIB</t>
  </si>
  <si>
    <t>NIP TRSF IFO PAYOUTSUB Temiloluwa Kolawole B/O ILORIN TECH (BNG PMNT FOR Ai4 2025 STARTUP PASS APP)</t>
  </si>
  <si>
    <t>International Travel Accomodation</t>
  </si>
  <si>
    <t>REIMBURSEMENT FOR LAGOSILORIN MD</t>
  </si>
  <si>
    <t>REIMBURSEMENT ABUJA LAGOS MD</t>
  </si>
  <si>
    <t>Miscellaneous Expenses - % of Operating Exp.</t>
  </si>
  <si>
    <t>REIMBURSEMENT FOR FUEL TO MAUREEN OKEY</t>
  </si>
  <si>
    <t>REIMBURSEMENT FOR FUEL TOMD</t>
  </si>
  <si>
    <t>PAYMENT FOR ADDITIONAL GEN RENTAL FOF ELEVETOR INSTALL</t>
  </si>
  <si>
    <t>PURCHASE OF WATER 20 PACKS</t>
  </si>
  <si>
    <t>PAYMENT FOR PURCHASE OF ARTIFICIAL FLOWERS</t>
  </si>
  <si>
    <t>PAYMENT FOR PURCHASE OF DIESEL</t>
  </si>
  <si>
    <t>BNG PYT FOR JULY 2025 LANDSCAPING SERVICE</t>
  </si>
  <si>
    <t>Stationery &amp; Office Supplies</t>
  </si>
  <si>
    <t>REIMBURSEMENT FOR IT SUPPLIES DATA TO NASIRU MUHAMMED</t>
  </si>
  <si>
    <t>Local Conference Registration</t>
  </si>
  <si>
    <t>zoholics Registration</t>
  </si>
  <si>
    <t>THREE M GLOBAL DESIGNS SERVICES</t>
  </si>
  <si>
    <t>FLAGS AND AC TAG STICKERS</t>
  </si>
  <si>
    <t>TRADE FAIR TRIP LAGOS LOGISTICS</t>
  </si>
  <si>
    <t>FACILITY RUNNING COSTS AUG</t>
  </si>
  <si>
    <t>TWO NIGHTS ADEBOLA TRADE FAIR TRIP TO LAGOS</t>
  </si>
  <si>
    <t>AIRTEL WIFI SUB</t>
  </si>
  <si>
    <t>Corporate Comms &amp; PR</t>
  </si>
  <si>
    <t>Merchandise &amp; Staff T-Shirts</t>
  </si>
  <si>
    <t>IIH TRADE FAIR PRINT MATERIALS</t>
  </si>
  <si>
    <t>TWENTY PACKS OF WATER CCHUB 12 13 14 AUG</t>
  </si>
  <si>
    <t>MD GITEX TRIP FLIGHT TICKET ILV LOS</t>
  </si>
  <si>
    <t>REIMBURSEMENT FOR AUG STAFF HANGOUT</t>
  </si>
  <si>
    <t>REIMBURSEMENT FOR DRINKS PURCHASE</t>
  </si>
  <si>
    <t>Bank Charges</t>
  </si>
  <si>
    <t>016AMFV25241002Y VAT ON TRANSACTION CHARGES</t>
  </si>
  <si>
    <t>016AMFC25241003S ACCOUNT MAINTENANCE FEE</t>
  </si>
  <si>
    <t>Salary</t>
  </si>
  <si>
    <t>Allowance</t>
  </si>
  <si>
    <t>Staff Email &amp; Collaboration Tools</t>
  </si>
  <si>
    <t>Facility Rentals Refund</t>
  </si>
  <si>
    <t>Income Facility</t>
  </si>
  <si>
    <t xml:space="preserve">BOLATITO GANIYAT OLAGUNJU </t>
  </si>
  <si>
    <t>TUMISE JOHNSON HOUSEHOLD FOUNDATIO</t>
  </si>
  <si>
    <t>WEBFALA DIGITAL SKILLS FOR ALL INITIATI</t>
  </si>
  <si>
    <t>Sterling Bank</t>
  </si>
  <si>
    <t>IIH August Financial 2025 Report</t>
  </si>
  <si>
    <t>For the period from 01/08/2025 to 31/08/2025</t>
  </si>
  <si>
    <t>SECURITY DEPOSIT REFUND 3SU</t>
  </si>
  <si>
    <t>cake for henry birthday</t>
  </si>
  <si>
    <t>Premium Trust Bank Logistics Refund</t>
  </si>
  <si>
    <t>Premium Trust Bank International Travel Refund</t>
  </si>
  <si>
    <t>Premium Trust Bank</t>
  </si>
  <si>
    <t>Zenith Bank</t>
  </si>
  <si>
    <t xml:space="preserve"> BOA FOODS RESTAURANT LTD - 2/ROLEZ/</t>
  </si>
  <si>
    <t>Olawale Jimoh</t>
  </si>
  <si>
    <t>ACCOUNT MAINTENANCE FEE</t>
  </si>
  <si>
    <t>BOLATITO GANIYAT OLAGUNJU</t>
  </si>
  <si>
    <t>OLUWASEYI RACHAEL ROTIMI</t>
  </si>
  <si>
    <t>TUNMISE JOHNSON HOUSEHOLD</t>
  </si>
  <si>
    <t>IHS Ilorin Meals for meet and gree</t>
  </si>
  <si>
    <t>Total — Income (A) Premium + Zenith+ Sterling</t>
  </si>
  <si>
    <t>Sub Total</t>
  </si>
  <si>
    <t>Total — Expenses (B)  Premium + Zenith+ Sterling</t>
  </si>
  <si>
    <t>Zenith Bank balance brought forward at the beginning of August</t>
  </si>
  <si>
    <t>Sterling Bank balance brought forward at the beginning of August</t>
  </si>
  <si>
    <t>EXPENSES</t>
  </si>
  <si>
    <t>INCOME</t>
  </si>
  <si>
    <t>Balance at the end of August (Premium + Sterling + Zenith)</t>
  </si>
  <si>
    <t>Balance at the end of August Premium Trust Bank</t>
  </si>
  <si>
    <t>Balance at the end of August Zenith Bank</t>
  </si>
  <si>
    <t>Balance at the end of August Sterling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</si>
</sst>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  <xf numFmtId="164" fontId="2" fillId="0" borderId="0" xfId="0" applyNumberFormat="1" applyFont="1"/>
    <xf numFmtId="43" fontId="2" fillId="0" borderId="0" xfId="1" applyFont="1"/>
    <xf numFmtId="0" fontId="2" fillId="0" borderId="0" xfId="0" applyFont="1" applyAlignment="1">
      <alignment horizontal="right"/>
    </xf>
    <xf numFmtId="4" fontId="3" fillId="0" borderId="0" xfId="0" applyNumberFormat="1" applyFont="1" applyAlignment="1"/>
    <xf numFmtId="43" fontId="3" fillId="0" borderId="0" xfId="0" applyNumberFormat="1" applyFont="1"/>
    <xf numFmtId="2" fontId="2" fillId="0" borderId="0" xfId="0" applyNumberFormat="1" applyFont="1"/>
    <xf numFmtId="0" fontId="4" fillId="0" borderId="0" xfId="0" applyFont="1"/>
    <xf numFmtId="3" fontId="2" fillId="0" borderId="0" xfId="0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indent="1"/>
    </xf>
    <xf numFmtId="43" fontId="2" fillId="0" borderId="0" xfId="0" applyNumberFormat="1" applyFont="1"/>
    <xf numFmtId="0" fontId="3" fillId="0" borderId="0" xfId="0" applyFont="1" applyAlignment="1">
      <alignment horizontal="center"/>
    </xf>
    <xf numFmtId="2" fontId="3" fillId="0" borderId="0" xfId="0" applyNumberFormat="1" applyFont="1"/>
    <xf numFmtId="0" fontId="2" fillId="0" borderId="1" xfId="0" applyFont="1" applyBorder="1" applyAlignment="1">
      <alignment horizontal="left" wrapText="1" indent="1"/>
    </xf>
    <xf numFmtId="0" fontId="2" fillId="0" borderId="0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3" fontId="2" fillId="0" borderId="0" xfId="1" applyFont="1" applyFill="1" applyBorder="1" applyAlignment="1">
      <alignment horizontal="left" vertical="top"/>
    </xf>
    <xf numFmtId="0" fontId="2" fillId="0" borderId="1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B33" sqref="B33"/>
    </sheetView>
  </sheetViews>
  <sheetFormatPr defaultColWidth="9.1796875" defaultRowHeight="15.5" x14ac:dyDescent="0.35"/>
  <cols>
    <col min="1" max="1" width="12.1796875" style="1" bestFit="1" customWidth="1"/>
    <col min="2" max="2" width="74.7265625" style="1" bestFit="1" customWidth="1"/>
    <col min="3" max="3" width="25.6328125" style="1" bestFit="1" customWidth="1"/>
    <col min="4" max="4" width="14.7265625" style="1" bestFit="1" customWidth="1"/>
    <col min="5" max="5" width="16.26953125" style="1" bestFit="1" customWidth="1"/>
    <col min="6" max="6" width="22.453125" style="1" hidden="1" customWidth="1"/>
    <col min="7" max="7" width="15.7265625" style="1" hidden="1" customWidth="1"/>
    <col min="8" max="8" width="14" style="1" hidden="1" customWidth="1"/>
    <col min="9" max="9" width="13.81640625" style="1" hidden="1" customWidth="1"/>
    <col min="10" max="10" width="13.54296875" style="1" hidden="1" customWidth="1"/>
    <col min="11" max="11" width="21" style="1" hidden="1" customWidth="1"/>
    <col min="12" max="12" width="12.1796875" style="1" hidden="1" customWidth="1"/>
    <col min="13" max="13" width="13.81640625" style="1" hidden="1" customWidth="1"/>
    <col min="14" max="14" width="12.1796875" style="1" hidden="1" customWidth="1"/>
    <col min="15" max="15" width="13.81640625" style="1" hidden="1" customWidth="1"/>
    <col min="16" max="16" width="12.1796875" style="1" hidden="1" customWidth="1"/>
    <col min="17" max="17" width="11.1796875" style="1" hidden="1" customWidth="1"/>
    <col min="18" max="19" width="13.81640625" style="1" hidden="1" customWidth="1"/>
    <col min="20" max="33" width="12.1796875" style="1" hidden="1" customWidth="1"/>
    <col min="34" max="37" width="11.1796875" style="1" hidden="1" customWidth="1"/>
    <col min="38" max="41" width="0" style="1" hidden="1" customWidth="1"/>
    <col min="42" max="44" width="11.1796875" style="1" hidden="1" customWidth="1"/>
    <col min="45" max="45" width="15.81640625" style="1" bestFit="1" customWidth="1"/>
    <col min="46" max="46" width="12.54296875" style="1" bestFit="1" customWidth="1"/>
    <col min="47" max="47" width="11" style="1" bestFit="1" customWidth="1"/>
    <col min="48" max="16384" width="9.1796875" style="1"/>
  </cols>
  <sheetData>
    <row r="1" spans="1:47" x14ac:dyDescent="0.35">
      <c r="A1" s="18" t="s">
        <v>93</v>
      </c>
      <c r="B1" s="18"/>
      <c r="C1" s="18"/>
    </row>
    <row r="2" spans="1:47" x14ac:dyDescent="0.35">
      <c r="A2" s="18" t="s">
        <v>94</v>
      </c>
      <c r="B2" s="18"/>
      <c r="C2" s="18"/>
      <c r="D2" s="2"/>
    </row>
    <row r="3" spans="1:47" x14ac:dyDescent="0.35">
      <c r="A3" s="3"/>
      <c r="B3" s="3"/>
      <c r="C3" s="4"/>
    </row>
    <row r="4" spans="1:47" x14ac:dyDescent="0.35">
      <c r="A4" s="3" t="s">
        <v>0</v>
      </c>
      <c r="B4" s="3"/>
      <c r="D4" s="5"/>
      <c r="H4" s="1" t="s">
        <v>1</v>
      </c>
      <c r="I4" s="1" t="s">
        <v>2</v>
      </c>
      <c r="J4" s="1" t="s">
        <v>3</v>
      </c>
      <c r="K4" s="1" t="s">
        <v>4</v>
      </c>
    </row>
    <row r="5" spans="1:47" x14ac:dyDescent="0.35">
      <c r="A5" s="3" t="s">
        <v>5</v>
      </c>
      <c r="B5" s="3"/>
      <c r="C5" s="6" t="s">
        <v>99</v>
      </c>
      <c r="D5" s="6" t="s">
        <v>100</v>
      </c>
      <c r="E5" s="3" t="s">
        <v>92</v>
      </c>
    </row>
    <row r="6" spans="1:47" x14ac:dyDescent="0.35">
      <c r="H6" s="1">
        <v>6935800</v>
      </c>
      <c r="J6" s="1">
        <v>420000</v>
      </c>
    </row>
    <row r="7" spans="1:47" x14ac:dyDescent="0.35">
      <c r="B7" s="1" t="s">
        <v>6</v>
      </c>
      <c r="C7" s="5">
        <v>450000</v>
      </c>
      <c r="D7" s="5"/>
      <c r="E7" s="8">
        <v>734000</v>
      </c>
    </row>
    <row r="8" spans="1:47" x14ac:dyDescent="0.35">
      <c r="B8" s="1" t="s">
        <v>7</v>
      </c>
      <c r="C8" s="5"/>
      <c r="D8" s="5">
        <v>318000</v>
      </c>
    </row>
    <row r="9" spans="1:47" x14ac:dyDescent="0.35">
      <c r="C9" s="5"/>
      <c r="D9" s="5"/>
    </row>
    <row r="10" spans="1:47" x14ac:dyDescent="0.35">
      <c r="B10" s="9" t="s">
        <v>109</v>
      </c>
      <c r="C10" s="5">
        <v>450000</v>
      </c>
      <c r="D10" s="5">
        <v>318000</v>
      </c>
      <c r="E10" s="8">
        <v>734000</v>
      </c>
    </row>
    <row r="11" spans="1:47" x14ac:dyDescent="0.35">
      <c r="B11" s="9"/>
      <c r="C11" s="5"/>
      <c r="D11" s="5"/>
      <c r="E11" s="8"/>
    </row>
    <row r="12" spans="1:47" x14ac:dyDescent="0.35">
      <c r="B12" s="3" t="s">
        <v>108</v>
      </c>
      <c r="C12" s="10">
        <f>SUM(C10,D10,E10)</f>
        <v>1502000</v>
      </c>
      <c r="D12" s="10"/>
      <c r="E12" s="10"/>
    </row>
    <row r="13" spans="1:47" x14ac:dyDescent="0.35">
      <c r="B13" s="3"/>
      <c r="C13" s="6"/>
    </row>
    <row r="14" spans="1:47" x14ac:dyDescent="0.35">
      <c r="B14" s="3"/>
      <c r="C14" s="6" t="s">
        <v>99</v>
      </c>
      <c r="D14" s="3" t="s">
        <v>100</v>
      </c>
      <c r="E14" s="3" t="s">
        <v>92</v>
      </c>
    </row>
    <row r="15" spans="1:47" x14ac:dyDescent="0.35">
      <c r="A15" s="3" t="s">
        <v>8</v>
      </c>
      <c r="B15" s="3"/>
      <c r="C15" s="6"/>
      <c r="AT15" s="14"/>
    </row>
    <row r="16" spans="1:47" x14ac:dyDescent="0.35">
      <c r="B16" s="1" t="s">
        <v>9</v>
      </c>
      <c r="C16" s="5">
        <v>41814.76</v>
      </c>
      <c r="D16" s="23">
        <v>1081.83</v>
      </c>
      <c r="AU16" s="5"/>
    </row>
    <row r="17" spans="1:47" x14ac:dyDescent="0.35">
      <c r="B17" s="1" t="s">
        <v>10</v>
      </c>
      <c r="C17" s="5">
        <v>1300000</v>
      </c>
    </row>
    <row r="18" spans="1:47" x14ac:dyDescent="0.35">
      <c r="B18" s="1" t="s">
        <v>11</v>
      </c>
      <c r="C18" s="5">
        <v>820100</v>
      </c>
      <c r="D18" s="5">
        <v>585300</v>
      </c>
      <c r="AS18" s="5"/>
      <c r="AT18" s="5"/>
    </row>
    <row r="19" spans="1:47" x14ac:dyDescent="0.35">
      <c r="B19" s="1" t="s">
        <v>7</v>
      </c>
      <c r="C19" s="5">
        <v>394000</v>
      </c>
      <c r="D19" s="5"/>
      <c r="AS19" s="5"/>
      <c r="AT19" s="5"/>
      <c r="AU19" s="5"/>
    </row>
    <row r="20" spans="1:47" x14ac:dyDescent="0.35">
      <c r="A20" s="1" t="s">
        <v>0</v>
      </c>
      <c r="B20" s="13" t="s">
        <v>39</v>
      </c>
      <c r="C20" s="5">
        <v>9264949.8399999999</v>
      </c>
      <c r="D20" s="5"/>
      <c r="AS20" s="5"/>
    </row>
    <row r="21" spans="1:47" x14ac:dyDescent="0.35">
      <c r="B21" s="1" t="s">
        <v>13</v>
      </c>
      <c r="C21" s="5">
        <v>160000</v>
      </c>
      <c r="AS21" s="5"/>
      <c r="AT21" s="5"/>
    </row>
    <row r="22" spans="1:47" x14ac:dyDescent="0.35">
      <c r="A22" s="1" t="s">
        <v>0</v>
      </c>
      <c r="B22" s="1" t="s">
        <v>14</v>
      </c>
      <c r="C22" s="5">
        <v>11240314.9</v>
      </c>
      <c r="D22" s="5"/>
      <c r="AS22" s="5"/>
    </row>
    <row r="23" spans="1:47" x14ac:dyDescent="0.35">
      <c r="B23" s="24" t="s">
        <v>34</v>
      </c>
      <c r="C23" s="5">
        <v>36116.76</v>
      </c>
      <c r="D23" s="5"/>
      <c r="AS23" s="5"/>
    </row>
    <row r="24" spans="1:47" x14ac:dyDescent="0.35">
      <c r="B24" s="5" t="s">
        <v>17</v>
      </c>
      <c r="C24" s="5">
        <v>167500</v>
      </c>
      <c r="D24" s="5"/>
      <c r="AS24" s="5"/>
    </row>
    <row r="25" spans="1:47" x14ac:dyDescent="0.35">
      <c r="B25" s="1" t="s">
        <v>18</v>
      </c>
      <c r="C25" s="5">
        <v>167000</v>
      </c>
      <c r="D25" s="5"/>
      <c r="AS25" s="5"/>
    </row>
    <row r="26" spans="1:47" x14ac:dyDescent="0.35">
      <c r="B26" s="1" t="s">
        <v>86</v>
      </c>
      <c r="C26" s="5">
        <v>230942.25</v>
      </c>
      <c r="D26" s="5"/>
      <c r="AS26" s="5"/>
    </row>
    <row r="27" spans="1:47" x14ac:dyDescent="0.35">
      <c r="B27" s="24" t="s">
        <v>87</v>
      </c>
      <c r="C27" s="5">
        <v>180000</v>
      </c>
      <c r="D27" s="5"/>
      <c r="AS27" s="5"/>
    </row>
    <row r="28" spans="1:47" x14ac:dyDescent="0.35">
      <c r="B28" s="1" t="s">
        <v>21</v>
      </c>
      <c r="C28" s="5">
        <v>865000</v>
      </c>
      <c r="D28" s="5"/>
      <c r="AT28" s="5"/>
    </row>
    <row r="29" spans="1:47" x14ac:dyDescent="0.35">
      <c r="B29" s="9" t="s">
        <v>109</v>
      </c>
      <c r="C29" s="5">
        <f>SUM(C16:C28)</f>
        <v>24867738.510000002</v>
      </c>
      <c r="D29" s="5">
        <f t="shared" ref="D29:E29" si="0">SUM(D16:D28)</f>
        <v>586381.82999999996</v>
      </c>
      <c r="E29" s="5">
        <f t="shared" si="0"/>
        <v>0</v>
      </c>
    </row>
    <row r="31" spans="1:47" x14ac:dyDescent="0.35">
      <c r="B31" s="3" t="s">
        <v>110</v>
      </c>
      <c r="C31" s="6">
        <f>SUM(C29,D29,E29)</f>
        <v>25454120.34</v>
      </c>
      <c r="D31" s="5"/>
    </row>
    <row r="32" spans="1:47" x14ac:dyDescent="0.35">
      <c r="D32" s="5"/>
    </row>
    <row r="33" spans="2:67" x14ac:dyDescent="0.35">
      <c r="B33" s="1" t="s">
        <v>25</v>
      </c>
      <c r="C33" s="8">
        <v>79797272.060000002</v>
      </c>
    </row>
    <row r="34" spans="2:67" x14ac:dyDescent="0.35">
      <c r="B34" s="1" t="s">
        <v>111</v>
      </c>
      <c r="C34" s="8">
        <v>2276244.5099999998</v>
      </c>
    </row>
    <row r="35" spans="2:67" x14ac:dyDescent="0.35">
      <c r="B35" s="1" t="s">
        <v>112</v>
      </c>
      <c r="C35" s="8">
        <v>1693592.5</v>
      </c>
    </row>
    <row r="36" spans="2:67" x14ac:dyDescent="0.35">
      <c r="B36" s="1" t="s">
        <v>97</v>
      </c>
      <c r="C36" s="5">
        <v>20700</v>
      </c>
      <c r="D36" s="5"/>
    </row>
    <row r="37" spans="2:67" x14ac:dyDescent="0.35">
      <c r="B37" s="1" t="s">
        <v>98</v>
      </c>
      <c r="C37" s="5">
        <v>729742</v>
      </c>
      <c r="D37" s="5"/>
    </row>
    <row r="38" spans="2:67" x14ac:dyDescent="0.35">
      <c r="E38" s="7"/>
      <c r="AS38" s="7"/>
    </row>
    <row r="40" spans="2:67" x14ac:dyDescent="0.35">
      <c r="B40" s="1" t="s">
        <v>116</v>
      </c>
      <c r="C40" s="5">
        <f>(C10+C33+C36+C37)-C29</f>
        <v>56129975.549999997</v>
      </c>
    </row>
    <row r="41" spans="2:67" x14ac:dyDescent="0.35">
      <c r="B41" s="1" t="s">
        <v>117</v>
      </c>
      <c r="C41" s="5">
        <f>(C34+D10)-D29</f>
        <v>2007862.6799999997</v>
      </c>
      <c r="D41" s="5"/>
    </row>
    <row r="42" spans="2:67" x14ac:dyDescent="0.35">
      <c r="B42" s="1" t="s">
        <v>118</v>
      </c>
      <c r="C42" s="17">
        <f>C35+E10</f>
        <v>2427592.5</v>
      </c>
    </row>
    <row r="44" spans="2:67" hidden="1" x14ac:dyDescent="0.35"/>
    <row r="45" spans="2:67" hidden="1" x14ac:dyDescent="0.35">
      <c r="B45" s="1" t="s">
        <v>9</v>
      </c>
      <c r="C45" s="8">
        <v>64677.45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>
        <f t="shared" ref="AS45:AS53" si="1">SUM(C45:AR45)</f>
        <v>64677.45</v>
      </c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</row>
    <row r="46" spans="2:67" hidden="1" x14ac:dyDescent="0.35">
      <c r="B46" s="1" t="s">
        <v>19</v>
      </c>
      <c r="C46" s="8">
        <v>100000</v>
      </c>
      <c r="D46" s="8">
        <v>100000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>
        <f t="shared" si="1"/>
        <v>200000</v>
      </c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</row>
    <row r="47" spans="2:67" hidden="1" x14ac:dyDescent="0.35">
      <c r="B47" s="1" t="s">
        <v>10</v>
      </c>
      <c r="C47" s="8">
        <v>650000</v>
      </c>
      <c r="D47" s="8">
        <v>25000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>
        <f t="shared" si="1"/>
        <v>675000</v>
      </c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</row>
    <row r="48" spans="2:67" hidden="1" x14ac:dyDescent="0.35">
      <c r="B48" s="1" t="s">
        <v>11</v>
      </c>
      <c r="C48" s="8">
        <v>36000</v>
      </c>
      <c r="D48" s="8">
        <v>13000</v>
      </c>
      <c r="E48" s="8">
        <v>40000</v>
      </c>
      <c r="F48" s="8">
        <v>14700</v>
      </c>
      <c r="G48" s="8">
        <v>20000</v>
      </c>
      <c r="H48" s="8">
        <v>164000</v>
      </c>
      <c r="I48" s="8">
        <v>10400</v>
      </c>
      <c r="J48" s="8">
        <v>15000</v>
      </c>
      <c r="K48" s="8">
        <v>40000</v>
      </c>
      <c r="L48" s="8">
        <v>15000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>
        <f t="shared" si="1"/>
        <v>368100</v>
      </c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</row>
    <row r="49" spans="2:67" hidden="1" x14ac:dyDescent="0.35">
      <c r="B49" s="1" t="s">
        <v>20</v>
      </c>
      <c r="C49" s="8">
        <v>725000</v>
      </c>
      <c r="D49" s="8">
        <v>2969175.8</v>
      </c>
      <c r="E49" s="8">
        <v>902000</v>
      </c>
      <c r="F49" s="8">
        <v>2230000</v>
      </c>
      <c r="G49" s="8">
        <v>22000</v>
      </c>
      <c r="H49" s="8">
        <v>150000</v>
      </c>
      <c r="I49" s="8">
        <v>465000</v>
      </c>
      <c r="J49" s="8">
        <v>619300</v>
      </c>
      <c r="K49" s="8">
        <v>32500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>
        <f t="shared" si="1"/>
        <v>8114975.7999999998</v>
      </c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</row>
    <row r="50" spans="2:67" hidden="1" x14ac:dyDescent="0.35">
      <c r="B50" s="1" t="s">
        <v>7</v>
      </c>
      <c r="C50" s="8">
        <v>120000</v>
      </c>
      <c r="D50" s="8">
        <v>153400</v>
      </c>
      <c r="E50" s="8">
        <v>48000</v>
      </c>
      <c r="F50" s="8">
        <v>142500</v>
      </c>
      <c r="G50" s="8">
        <v>8000</v>
      </c>
      <c r="H50" s="8">
        <v>15200</v>
      </c>
      <c r="I50" s="8">
        <v>18900</v>
      </c>
      <c r="J50" s="8">
        <v>5800</v>
      </c>
      <c r="K50" s="8">
        <v>17000</v>
      </c>
      <c r="L50" s="8">
        <v>370000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>
        <f t="shared" si="1"/>
        <v>898800</v>
      </c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</row>
    <row r="51" spans="2:67" hidden="1" x14ac:dyDescent="0.35">
      <c r="B51" s="1" t="s">
        <v>21</v>
      </c>
      <c r="C51" s="8">
        <v>720000</v>
      </c>
      <c r="D51" s="8">
        <v>550000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>
        <f t="shared" si="1"/>
        <v>1270000</v>
      </c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</row>
    <row r="52" spans="2:67" hidden="1" x14ac:dyDescent="0.35">
      <c r="B52" s="1" t="s">
        <v>12</v>
      </c>
      <c r="C52" s="8">
        <v>3600</v>
      </c>
      <c r="D52" s="8">
        <v>832000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>
        <f t="shared" si="1"/>
        <v>835600</v>
      </c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</row>
    <row r="53" spans="2:67" hidden="1" x14ac:dyDescent="0.35">
      <c r="B53" s="1" t="s">
        <v>13</v>
      </c>
      <c r="C53" s="8">
        <v>25000</v>
      </c>
      <c r="D53" s="8">
        <v>100000</v>
      </c>
      <c r="E53" s="8">
        <v>162100</v>
      </c>
      <c r="F53" s="8">
        <v>12000</v>
      </c>
      <c r="G53" s="8">
        <v>320161.25</v>
      </c>
      <c r="H53" s="8">
        <v>30000</v>
      </c>
      <c r="I53" s="8">
        <v>1357550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>
        <f t="shared" si="1"/>
        <v>2006811.25</v>
      </c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</row>
    <row r="54" spans="2:67" hidden="1" x14ac:dyDescent="0.35">
      <c r="B54" s="1" t="s">
        <v>14</v>
      </c>
      <c r="C54" s="8">
        <v>249491.56</v>
      </c>
      <c r="D54" s="8">
        <v>35000</v>
      </c>
      <c r="E54" s="8">
        <v>284491.56</v>
      </c>
      <c r="F54" s="8">
        <v>3570659.44</v>
      </c>
      <c r="G54" s="8">
        <v>2070487.47</v>
      </c>
      <c r="H54" s="8">
        <v>152194.92000000001</v>
      </c>
      <c r="I54" s="8">
        <v>252957.21</v>
      </c>
      <c r="J54" s="8">
        <v>156011.73000000001</v>
      </c>
      <c r="K54" s="8">
        <v>156011.73000000001</v>
      </c>
      <c r="L54" s="8">
        <v>156011.73000000001</v>
      </c>
      <c r="M54" s="8">
        <v>3570659.43</v>
      </c>
      <c r="N54" s="8">
        <v>152194.92000000001</v>
      </c>
      <c r="O54" s="8">
        <v>3570659.43</v>
      </c>
      <c r="P54" s="8">
        <v>152194.92000000001</v>
      </c>
      <c r="Q54" s="8">
        <v>72999.33</v>
      </c>
      <c r="R54" s="8">
        <v>3570659.44</v>
      </c>
      <c r="S54" s="8">
        <v>2070487.48</v>
      </c>
      <c r="T54" s="8">
        <v>476225</v>
      </c>
      <c r="U54" s="8">
        <v>284491.57</v>
      </c>
      <c r="V54" s="8">
        <v>284491.57</v>
      </c>
      <c r="W54" s="8">
        <v>284491.57</v>
      </c>
      <c r="X54" s="8">
        <v>284491.57</v>
      </c>
      <c r="Y54" s="8">
        <v>284491.57</v>
      </c>
      <c r="Z54" s="8">
        <v>284491.57</v>
      </c>
      <c r="AA54" s="8">
        <v>284491.57</v>
      </c>
      <c r="AB54" s="8">
        <v>152226.67000000001</v>
      </c>
      <c r="AC54" s="8">
        <v>284491.57</v>
      </c>
      <c r="AD54" s="8">
        <v>152194.93</v>
      </c>
      <c r="AE54" s="8">
        <v>284491.57</v>
      </c>
      <c r="AF54" s="8">
        <v>152194.93</v>
      </c>
      <c r="AG54" s="8">
        <v>152194.93</v>
      </c>
      <c r="AH54" s="8">
        <v>75000</v>
      </c>
      <c r="AI54" s="8">
        <v>75000</v>
      </c>
      <c r="AJ54" s="8">
        <v>75000</v>
      </c>
      <c r="AK54" s="8">
        <v>66000</v>
      </c>
      <c r="AL54" s="8">
        <v>66000</v>
      </c>
      <c r="AM54" s="8">
        <v>66000</v>
      </c>
      <c r="AN54" s="8">
        <v>66000</v>
      </c>
      <c r="AO54" s="8">
        <v>66000</v>
      </c>
      <c r="AP54" s="8">
        <v>66000</v>
      </c>
      <c r="AQ54" s="8">
        <v>66000</v>
      </c>
      <c r="AR54" s="8">
        <v>66000</v>
      </c>
      <c r="AS54" s="8">
        <f>SUM(C54:AR54)</f>
        <v>24641632.890000004</v>
      </c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2:67" hidden="1" x14ac:dyDescent="0.35">
      <c r="B55" s="1" t="s">
        <v>15</v>
      </c>
      <c r="C55" s="8">
        <v>475000</v>
      </c>
      <c r="D55" s="8">
        <v>39000</v>
      </c>
      <c r="E55" s="8">
        <v>250000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>
        <f t="shared" ref="AS55:AS60" si="2">SUM(C55:AR55)</f>
        <v>764000</v>
      </c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2:67" hidden="1" x14ac:dyDescent="0.35">
      <c r="B56" s="1" t="s">
        <v>16</v>
      </c>
      <c r="C56" s="8">
        <v>50000</v>
      </c>
      <c r="D56" s="8">
        <v>1770000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>
        <f t="shared" si="2"/>
        <v>1820000</v>
      </c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2:67" hidden="1" x14ac:dyDescent="0.35">
      <c r="B57" s="1" t="s">
        <v>22</v>
      </c>
      <c r="C57" s="8">
        <v>1581325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>
        <f t="shared" si="2"/>
        <v>1581325</v>
      </c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</row>
    <row r="58" spans="2:67" hidden="1" x14ac:dyDescent="0.35">
      <c r="B58" s="1" t="s">
        <v>23</v>
      </c>
      <c r="C58" s="8">
        <v>46440</v>
      </c>
      <c r="D58" s="8">
        <v>49392.86</v>
      </c>
      <c r="E58" s="8">
        <v>715176</v>
      </c>
      <c r="F58" s="8">
        <v>198660</v>
      </c>
      <c r="G58" s="8">
        <v>9470.36</v>
      </c>
      <c r="H58" s="8">
        <v>99330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>
        <f t="shared" si="2"/>
        <v>1118469.22</v>
      </c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2:67" hidden="1" x14ac:dyDescent="0.35">
      <c r="B59" s="1" t="s">
        <v>24</v>
      </c>
      <c r="C59" s="8">
        <v>20161.25</v>
      </c>
      <c r="D59" s="8">
        <v>119811.25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>
        <f t="shared" si="2"/>
        <v>139972.5</v>
      </c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2:67" hidden="1" x14ac:dyDescent="0.35">
      <c r="B60" s="1" t="s">
        <v>18</v>
      </c>
      <c r="C60" s="8">
        <v>200000</v>
      </c>
      <c r="D60" s="8">
        <v>150000</v>
      </c>
      <c r="E60" s="8">
        <v>304000</v>
      </c>
      <c r="F60" s="8">
        <v>149000</v>
      </c>
      <c r="G60" s="8">
        <v>13600</v>
      </c>
      <c r="H60" s="8">
        <v>169000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>
        <f t="shared" si="2"/>
        <v>985600</v>
      </c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2:67" hidden="1" x14ac:dyDescent="0.35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2:67" hidden="1" x14ac:dyDescent="0.35">
      <c r="AS62" s="7">
        <f>SUM(AS45:AS61)</f>
        <v>45484964.109999999</v>
      </c>
    </row>
    <row r="65" spans="2:3" x14ac:dyDescent="0.35">
      <c r="B65" s="3" t="s">
        <v>115</v>
      </c>
      <c r="C65" s="11">
        <f>(C37+C36+C35+C34+C33+C12)-C31</f>
        <v>60565430.730000004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zoomScale="70" zoomScaleNormal="70" workbookViewId="0">
      <selection activeCell="D98" sqref="A1:XFD1048576"/>
    </sheetView>
  </sheetViews>
  <sheetFormatPr defaultRowHeight="15.5" x14ac:dyDescent="0.35"/>
  <cols>
    <col min="1" max="1" width="45.26953125" style="1" bestFit="1" customWidth="1"/>
    <col min="2" max="2" width="56.54296875" style="12" bestFit="1" customWidth="1"/>
    <col min="3" max="3" width="26.36328125" style="1" customWidth="1"/>
    <col min="4" max="4" width="16.54296875" style="3" customWidth="1"/>
    <col min="5" max="5" width="41" style="1" bestFit="1" customWidth="1"/>
    <col min="6" max="6" width="44.6328125" style="1" bestFit="1" customWidth="1"/>
    <col min="7" max="7" width="11.54296875" style="1" bestFit="1" customWidth="1"/>
    <col min="8" max="8" width="17.7265625" style="1" customWidth="1"/>
    <col min="9" max="9" width="33.6328125" style="1" bestFit="1" customWidth="1"/>
    <col min="10" max="10" width="27" style="1" bestFit="1" customWidth="1"/>
    <col min="11" max="12" width="13.1796875" style="1" bestFit="1" customWidth="1"/>
    <col min="13" max="16384" width="8.7265625" style="1"/>
  </cols>
  <sheetData>
    <row r="1" spans="1:6" x14ac:dyDescent="0.35">
      <c r="A1" s="18" t="s">
        <v>113</v>
      </c>
      <c r="B1" s="18"/>
      <c r="C1" s="18"/>
      <c r="D1" s="18"/>
      <c r="E1" s="18"/>
      <c r="F1" s="18"/>
    </row>
    <row r="2" spans="1:6" x14ac:dyDescent="0.35">
      <c r="A2" s="3"/>
      <c r="B2" s="19"/>
      <c r="C2" s="3" t="s">
        <v>99</v>
      </c>
      <c r="E2" s="3" t="s">
        <v>92</v>
      </c>
      <c r="F2" s="3" t="s">
        <v>100</v>
      </c>
    </row>
    <row r="3" spans="1:6" x14ac:dyDescent="0.35">
      <c r="A3" s="3" t="s">
        <v>28</v>
      </c>
      <c r="B3" s="19" t="s">
        <v>27</v>
      </c>
      <c r="C3" s="3" t="s">
        <v>29</v>
      </c>
      <c r="E3" s="3"/>
      <c r="F3" s="3"/>
    </row>
    <row r="4" spans="1:6" x14ac:dyDescent="0.35">
      <c r="A4" s="16" t="s">
        <v>26</v>
      </c>
    </row>
    <row r="5" spans="1:6" x14ac:dyDescent="0.35">
      <c r="B5" s="1" t="s">
        <v>30</v>
      </c>
      <c r="C5" s="5">
        <v>230942.25</v>
      </c>
      <c r="D5" s="6">
        <f>SUM(C5)</f>
        <v>230942.25</v>
      </c>
    </row>
    <row r="6" spans="1:6" x14ac:dyDescent="0.35">
      <c r="B6" s="8"/>
    </row>
    <row r="7" spans="1:6" x14ac:dyDescent="0.35">
      <c r="B7" s="8"/>
    </row>
    <row r="8" spans="1:6" x14ac:dyDescent="0.35">
      <c r="A8" s="1" t="s">
        <v>21</v>
      </c>
    </row>
    <row r="9" spans="1:6" x14ac:dyDescent="0.35">
      <c r="B9" s="1" t="s">
        <v>31</v>
      </c>
      <c r="C9" s="5">
        <v>170000</v>
      </c>
    </row>
    <row r="10" spans="1:6" x14ac:dyDescent="0.35">
      <c r="B10" s="1" t="s">
        <v>61</v>
      </c>
      <c r="C10" s="5">
        <v>295000</v>
      </c>
    </row>
    <row r="11" spans="1:6" x14ac:dyDescent="0.35">
      <c r="B11" s="1" t="s">
        <v>63</v>
      </c>
      <c r="C11" s="5">
        <v>400000</v>
      </c>
    </row>
    <row r="12" spans="1:6" x14ac:dyDescent="0.35">
      <c r="B12" s="1"/>
      <c r="C12" s="5"/>
      <c r="D12" s="6">
        <f>SUM(C9:C11)</f>
        <v>865000</v>
      </c>
    </row>
    <row r="13" spans="1:6" x14ac:dyDescent="0.35">
      <c r="A13" s="1" t="s">
        <v>32</v>
      </c>
    </row>
    <row r="14" spans="1:6" x14ac:dyDescent="0.35">
      <c r="B14" s="1" t="s">
        <v>33</v>
      </c>
      <c r="C14" s="5">
        <v>1300000</v>
      </c>
    </row>
    <row r="15" spans="1:6" x14ac:dyDescent="0.35">
      <c r="D15" s="6">
        <f>SUM(C14)</f>
        <v>1300000</v>
      </c>
    </row>
    <row r="18" spans="1:7" x14ac:dyDescent="0.35">
      <c r="A18" s="20" t="s">
        <v>34</v>
      </c>
    </row>
    <row r="19" spans="1:7" x14ac:dyDescent="0.35">
      <c r="B19" s="1" t="s">
        <v>35</v>
      </c>
      <c r="C19" s="5">
        <v>36116.76</v>
      </c>
    </row>
    <row r="20" spans="1:7" x14ac:dyDescent="0.35">
      <c r="D20" s="6">
        <f>SUM(C19)</f>
        <v>36116.76</v>
      </c>
    </row>
    <row r="22" spans="1:7" x14ac:dyDescent="0.35">
      <c r="A22" s="3" t="s">
        <v>74</v>
      </c>
    </row>
    <row r="23" spans="1:7" x14ac:dyDescent="0.35">
      <c r="A23" s="16" t="s">
        <v>36</v>
      </c>
    </row>
    <row r="24" spans="1:7" x14ac:dyDescent="0.35">
      <c r="B24" s="1" t="s">
        <v>37</v>
      </c>
      <c r="C24" s="5">
        <v>146000</v>
      </c>
      <c r="F24" s="1" t="s">
        <v>101</v>
      </c>
      <c r="G24" s="5">
        <v>49800</v>
      </c>
    </row>
    <row r="25" spans="1:7" x14ac:dyDescent="0.35">
      <c r="B25" s="1" t="s">
        <v>38</v>
      </c>
      <c r="C25" s="5">
        <v>25000</v>
      </c>
      <c r="F25" s="1" t="s">
        <v>101</v>
      </c>
      <c r="G25" s="5">
        <v>140000</v>
      </c>
    </row>
    <row r="26" spans="1:7" x14ac:dyDescent="0.35">
      <c r="B26" s="1" t="s">
        <v>60</v>
      </c>
      <c r="C26" s="5">
        <v>32000</v>
      </c>
      <c r="F26" s="1" t="s">
        <v>101</v>
      </c>
      <c r="G26" s="5">
        <v>180000</v>
      </c>
    </row>
    <row r="27" spans="1:7" x14ac:dyDescent="0.35">
      <c r="B27" s="1" t="s">
        <v>96</v>
      </c>
      <c r="C27" s="5">
        <v>25000</v>
      </c>
      <c r="F27" s="1" t="s">
        <v>101</v>
      </c>
      <c r="G27" s="5">
        <v>4000</v>
      </c>
    </row>
    <row r="28" spans="1:7" x14ac:dyDescent="0.35">
      <c r="B28" s="1" t="s">
        <v>77</v>
      </c>
      <c r="C28" s="5">
        <v>32000</v>
      </c>
      <c r="F28" s="1" t="s">
        <v>101</v>
      </c>
      <c r="G28" s="5">
        <v>146500</v>
      </c>
    </row>
    <row r="29" spans="1:7" x14ac:dyDescent="0.35">
      <c r="B29" s="1" t="s">
        <v>79</v>
      </c>
      <c r="C29" s="5">
        <v>63500</v>
      </c>
      <c r="F29" s="1" t="s">
        <v>102</v>
      </c>
      <c r="G29" s="5">
        <v>65000</v>
      </c>
    </row>
    <row r="30" spans="1:7" x14ac:dyDescent="0.35">
      <c r="B30" s="1" t="s">
        <v>80</v>
      </c>
      <c r="C30" s="5">
        <v>70500</v>
      </c>
    </row>
    <row r="31" spans="1:7" x14ac:dyDescent="0.35">
      <c r="B31" s="1"/>
      <c r="C31" s="5"/>
      <c r="D31" s="6">
        <f>SUM(C24:C30)</f>
        <v>394000</v>
      </c>
      <c r="G31" s="6">
        <f>SUM(G24:G30)</f>
        <v>585300</v>
      </c>
    </row>
    <row r="32" spans="1:7" x14ac:dyDescent="0.35">
      <c r="B32" s="1"/>
      <c r="C32" s="5"/>
    </row>
    <row r="33" spans="1:6" x14ac:dyDescent="0.35">
      <c r="A33" s="16" t="s">
        <v>75</v>
      </c>
      <c r="B33" s="1"/>
      <c r="C33" s="5"/>
    </row>
    <row r="34" spans="1:6" x14ac:dyDescent="0.35">
      <c r="A34" s="21"/>
      <c r="B34" s="1" t="s">
        <v>76</v>
      </c>
      <c r="C34" s="5">
        <v>167500</v>
      </c>
    </row>
    <row r="35" spans="1:6" x14ac:dyDescent="0.35">
      <c r="A35" s="21"/>
      <c r="B35" s="1"/>
      <c r="C35" s="5"/>
      <c r="D35" s="6">
        <f>SUM(C34)</f>
        <v>167500</v>
      </c>
    </row>
    <row r="36" spans="1:6" x14ac:dyDescent="0.35">
      <c r="A36" s="21"/>
      <c r="B36" s="1"/>
      <c r="C36" s="5"/>
    </row>
    <row r="37" spans="1:6" x14ac:dyDescent="0.35">
      <c r="A37" s="3" t="s">
        <v>39</v>
      </c>
      <c r="F37" s="14"/>
    </row>
    <row r="38" spans="1:6" x14ac:dyDescent="0.35">
      <c r="A38" s="16" t="s">
        <v>40</v>
      </c>
      <c r="B38" s="1" t="s">
        <v>48</v>
      </c>
      <c r="C38" s="5">
        <v>4791366</v>
      </c>
      <c r="F38" s="5"/>
    </row>
    <row r="39" spans="1:6" x14ac:dyDescent="0.35">
      <c r="A39" s="16" t="s">
        <v>46</v>
      </c>
      <c r="B39" s="1" t="s">
        <v>47</v>
      </c>
      <c r="C39" s="5">
        <v>2218342</v>
      </c>
    </row>
    <row r="40" spans="1:6" x14ac:dyDescent="0.35">
      <c r="A40" s="21" t="s">
        <v>12</v>
      </c>
      <c r="B40" s="1" t="s">
        <v>50</v>
      </c>
      <c r="C40" s="5">
        <v>322000</v>
      </c>
    </row>
    <row r="41" spans="1:6" ht="46.5" x14ac:dyDescent="0.35">
      <c r="A41" s="16" t="s">
        <v>53</v>
      </c>
      <c r="B41" s="15" t="s">
        <v>52</v>
      </c>
      <c r="C41" s="5">
        <v>1085847.8400000001</v>
      </c>
    </row>
    <row r="42" spans="1:6" x14ac:dyDescent="0.35">
      <c r="A42" s="21" t="s">
        <v>12</v>
      </c>
      <c r="B42" s="1" t="s">
        <v>54</v>
      </c>
      <c r="C42" s="5">
        <v>217000</v>
      </c>
    </row>
    <row r="43" spans="1:6" x14ac:dyDescent="0.35">
      <c r="A43" s="21" t="s">
        <v>12</v>
      </c>
      <c r="B43" s="1" t="s">
        <v>55</v>
      </c>
      <c r="C43" s="5">
        <v>203000</v>
      </c>
    </row>
    <row r="44" spans="1:6" x14ac:dyDescent="0.35">
      <c r="A44" s="20" t="s">
        <v>66</v>
      </c>
      <c r="B44" s="1" t="s">
        <v>67</v>
      </c>
      <c r="C44" s="5">
        <v>5394</v>
      </c>
    </row>
    <row r="45" spans="1:6" x14ac:dyDescent="0.35">
      <c r="A45" s="20" t="s">
        <v>12</v>
      </c>
      <c r="B45" s="1" t="s">
        <v>70</v>
      </c>
      <c r="C45" s="5">
        <v>100000</v>
      </c>
    </row>
    <row r="46" spans="1:6" x14ac:dyDescent="0.35">
      <c r="A46" s="20" t="s">
        <v>12</v>
      </c>
      <c r="B46" s="1" t="s">
        <v>72</v>
      </c>
      <c r="C46" s="5">
        <v>120000</v>
      </c>
    </row>
    <row r="47" spans="1:6" x14ac:dyDescent="0.35">
      <c r="A47" s="20" t="s">
        <v>12</v>
      </c>
      <c r="B47" s="1" t="s">
        <v>78</v>
      </c>
      <c r="C47" s="5">
        <v>202000</v>
      </c>
    </row>
    <row r="48" spans="1:6" x14ac:dyDescent="0.35">
      <c r="A48" s="20"/>
      <c r="B48" s="1"/>
      <c r="C48" s="5"/>
      <c r="D48" s="6">
        <f>SUM(C38:C47)</f>
        <v>9264949.8399999999</v>
      </c>
    </row>
    <row r="49" spans="1:4" x14ac:dyDescent="0.35">
      <c r="A49" s="20"/>
      <c r="B49" s="1"/>
    </row>
    <row r="50" spans="1:4" x14ac:dyDescent="0.35">
      <c r="A50" s="16" t="s">
        <v>6</v>
      </c>
    </row>
    <row r="51" spans="1:4" x14ac:dyDescent="0.35">
      <c r="B51" s="1" t="s">
        <v>95</v>
      </c>
      <c r="C51" s="5">
        <v>100000</v>
      </c>
    </row>
    <row r="52" spans="1:4" x14ac:dyDescent="0.35">
      <c r="B52" s="1" t="s">
        <v>43</v>
      </c>
      <c r="C52" s="14">
        <v>80000</v>
      </c>
    </row>
    <row r="53" spans="1:4" x14ac:dyDescent="0.35">
      <c r="B53" s="1"/>
      <c r="C53" s="14"/>
    </row>
    <row r="54" spans="1:4" x14ac:dyDescent="0.35">
      <c r="B54" s="1"/>
      <c r="C54" s="14"/>
    </row>
    <row r="55" spans="1:4" x14ac:dyDescent="0.35">
      <c r="D55" s="6">
        <f>SUM(C51:C52)</f>
        <v>180000</v>
      </c>
    </row>
    <row r="57" spans="1:4" x14ac:dyDescent="0.35">
      <c r="A57" s="22" t="s">
        <v>41</v>
      </c>
    </row>
    <row r="58" spans="1:4" x14ac:dyDescent="0.35">
      <c r="B58" s="1" t="s">
        <v>42</v>
      </c>
      <c r="C58" s="5">
        <v>15750</v>
      </c>
    </row>
    <row r="59" spans="1:4" x14ac:dyDescent="0.35">
      <c r="B59" s="1" t="s">
        <v>51</v>
      </c>
      <c r="C59" s="5">
        <v>121281.25</v>
      </c>
    </row>
    <row r="60" spans="1:4" x14ac:dyDescent="0.35">
      <c r="B60" s="12" t="s">
        <v>84</v>
      </c>
      <c r="C60" s="6">
        <v>10310783.65</v>
      </c>
    </row>
    <row r="61" spans="1:4" x14ac:dyDescent="0.35">
      <c r="B61" s="12" t="s">
        <v>85</v>
      </c>
      <c r="C61" s="1">
        <v>792500</v>
      </c>
    </row>
    <row r="62" spans="1:4" x14ac:dyDescent="0.35">
      <c r="D62" s="6">
        <f>SUM(C58:C61)</f>
        <v>11240314.9</v>
      </c>
    </row>
    <row r="65" spans="1:4" x14ac:dyDescent="0.35">
      <c r="A65" s="20" t="s">
        <v>44</v>
      </c>
    </row>
    <row r="66" spans="1:4" x14ac:dyDescent="0.35">
      <c r="B66" s="1" t="s">
        <v>45</v>
      </c>
      <c r="C66" s="5">
        <v>240000</v>
      </c>
    </row>
    <row r="67" spans="1:4" x14ac:dyDescent="0.35">
      <c r="B67" s="1" t="s">
        <v>49</v>
      </c>
      <c r="C67" s="5">
        <v>75600</v>
      </c>
    </row>
    <row r="68" spans="1:4" x14ac:dyDescent="0.35">
      <c r="B68" s="1" t="s">
        <v>59</v>
      </c>
      <c r="C68" s="5">
        <v>320000</v>
      </c>
    </row>
    <row r="69" spans="1:4" x14ac:dyDescent="0.35">
      <c r="B69" s="1" t="s">
        <v>62</v>
      </c>
      <c r="C69" s="5">
        <v>34500</v>
      </c>
    </row>
    <row r="70" spans="1:4" x14ac:dyDescent="0.35">
      <c r="B70" s="1" t="s">
        <v>71</v>
      </c>
      <c r="C70" s="5">
        <v>150000</v>
      </c>
    </row>
    <row r="71" spans="1:4" x14ac:dyDescent="0.35">
      <c r="B71" s="1"/>
      <c r="D71" s="6">
        <f>SUM(C66:C70)</f>
        <v>820100</v>
      </c>
    </row>
    <row r="72" spans="1:4" x14ac:dyDescent="0.35">
      <c r="B72" s="1"/>
    </row>
    <row r="73" spans="1:4" x14ac:dyDescent="0.35">
      <c r="A73" s="16" t="s">
        <v>56</v>
      </c>
    </row>
    <row r="74" spans="1:4" x14ac:dyDescent="0.35">
      <c r="B74" s="1" t="s">
        <v>57</v>
      </c>
      <c r="C74" s="5">
        <v>20000</v>
      </c>
    </row>
    <row r="75" spans="1:4" x14ac:dyDescent="0.35">
      <c r="B75" s="1" t="s">
        <v>58</v>
      </c>
      <c r="C75" s="5">
        <v>110000</v>
      </c>
    </row>
    <row r="76" spans="1:4" x14ac:dyDescent="0.35">
      <c r="B76" s="1" t="s">
        <v>73</v>
      </c>
      <c r="C76" s="8">
        <v>30000</v>
      </c>
    </row>
    <row r="77" spans="1:4" x14ac:dyDescent="0.35">
      <c r="D77" s="6">
        <f>SUM(C74:C76)</f>
        <v>160000</v>
      </c>
    </row>
    <row r="80" spans="1:4" x14ac:dyDescent="0.35">
      <c r="A80" s="20" t="s">
        <v>64</v>
      </c>
    </row>
    <row r="81" spans="1:8" x14ac:dyDescent="0.35">
      <c r="B81" s="1" t="s">
        <v>65</v>
      </c>
      <c r="C81" s="5">
        <v>27000</v>
      </c>
    </row>
    <row r="82" spans="1:8" x14ac:dyDescent="0.35">
      <c r="B82" s="1" t="s">
        <v>69</v>
      </c>
      <c r="C82" s="5">
        <v>140000</v>
      </c>
    </row>
    <row r="83" spans="1:8" x14ac:dyDescent="0.35">
      <c r="D83" s="6">
        <f>SUM(C81:C82)</f>
        <v>167000</v>
      </c>
    </row>
    <row r="86" spans="1:8" x14ac:dyDescent="0.35">
      <c r="A86" s="1" t="s">
        <v>81</v>
      </c>
    </row>
    <row r="87" spans="1:8" x14ac:dyDescent="0.35">
      <c r="B87" s="1" t="s">
        <v>82</v>
      </c>
      <c r="C87" s="5">
        <v>2565.21</v>
      </c>
      <c r="F87" s="1" t="s">
        <v>103</v>
      </c>
      <c r="G87" s="8">
        <v>585.29999999999995</v>
      </c>
    </row>
    <row r="88" spans="1:8" x14ac:dyDescent="0.35">
      <c r="B88" s="1" t="s">
        <v>83</v>
      </c>
      <c r="C88" s="5">
        <v>34201.699999999997</v>
      </c>
      <c r="F88" s="1" t="s">
        <v>81</v>
      </c>
      <c r="G88" s="1">
        <v>496.53</v>
      </c>
    </row>
    <row r="89" spans="1:8" x14ac:dyDescent="0.35">
      <c r="B89" s="12" t="s">
        <v>81</v>
      </c>
      <c r="C89" s="1">
        <v>5047.8500000000058</v>
      </c>
      <c r="D89" s="6"/>
      <c r="H89" s="17">
        <f>SUM(G87:G88)</f>
        <v>1081.83</v>
      </c>
    </row>
    <row r="91" spans="1:8" x14ac:dyDescent="0.35">
      <c r="D91" s="6">
        <f>SUM(C87:C89)</f>
        <v>41814.76</v>
      </c>
    </row>
    <row r="92" spans="1:8" x14ac:dyDescent="0.35">
      <c r="E92" s="5"/>
      <c r="H92" s="17"/>
    </row>
    <row r="98" spans="1:11" x14ac:dyDescent="0.35">
      <c r="D98" s="6"/>
    </row>
    <row r="104" spans="1:11" x14ac:dyDescent="0.35">
      <c r="A104" s="3" t="s">
        <v>114</v>
      </c>
    </row>
    <row r="107" spans="1:11" x14ac:dyDescent="0.35">
      <c r="A107" s="3" t="s">
        <v>88</v>
      </c>
      <c r="B107" s="18" t="s">
        <v>92</v>
      </c>
      <c r="C107" s="18"/>
      <c r="D107" s="18"/>
      <c r="E107" s="3"/>
      <c r="F107" s="18" t="s">
        <v>99</v>
      </c>
      <c r="G107" s="18"/>
      <c r="H107" s="3"/>
      <c r="I107" s="3" t="s">
        <v>100</v>
      </c>
      <c r="J107" s="3"/>
      <c r="K107" s="3"/>
    </row>
    <row r="108" spans="1:11" x14ac:dyDescent="0.35">
      <c r="B108" s="1" t="s">
        <v>89</v>
      </c>
      <c r="C108" s="8">
        <v>250000</v>
      </c>
      <c r="D108" s="1"/>
      <c r="F108" s="1" t="s">
        <v>68</v>
      </c>
      <c r="G108" s="5">
        <v>450000</v>
      </c>
      <c r="I108" s="16" t="s">
        <v>36</v>
      </c>
    </row>
    <row r="109" spans="1:11" x14ac:dyDescent="0.35">
      <c r="B109" s="15" t="s">
        <v>90</v>
      </c>
      <c r="C109" s="8">
        <v>40000</v>
      </c>
      <c r="D109" s="1"/>
      <c r="F109" s="12"/>
      <c r="J109" s="1" t="s">
        <v>104</v>
      </c>
      <c r="K109" s="8">
        <v>85000</v>
      </c>
    </row>
    <row r="110" spans="1:11" x14ac:dyDescent="0.35">
      <c r="B110" s="15" t="s">
        <v>91</v>
      </c>
      <c r="C110" s="8">
        <v>444000</v>
      </c>
      <c r="D110" s="1"/>
      <c r="J110" s="1" t="s">
        <v>105</v>
      </c>
      <c r="K110" s="8">
        <v>11000</v>
      </c>
    </row>
    <row r="111" spans="1:11" x14ac:dyDescent="0.35">
      <c r="B111" s="15"/>
      <c r="C111" s="8"/>
      <c r="D111" s="17">
        <f>SUM(C110,C108,C109)</f>
        <v>734000</v>
      </c>
      <c r="J111" s="1" t="s">
        <v>106</v>
      </c>
      <c r="K111" s="8">
        <v>54000</v>
      </c>
    </row>
    <row r="112" spans="1:11" x14ac:dyDescent="0.35">
      <c r="B112" s="1"/>
      <c r="D112" s="1"/>
      <c r="J112" s="1" t="s">
        <v>107</v>
      </c>
      <c r="K112" s="8">
        <v>168000</v>
      </c>
    </row>
    <row r="113" spans="4:12" x14ac:dyDescent="0.35">
      <c r="D113" s="1"/>
      <c r="L113" s="11">
        <f>SUM(K109:K112)</f>
        <v>318000</v>
      </c>
    </row>
    <row r="114" spans="4:12" x14ac:dyDescent="0.35">
      <c r="D114" s="1"/>
    </row>
  </sheetData>
  <mergeCells count="3">
    <mergeCell ref="B107:D107"/>
    <mergeCell ref="F107:G107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Summary</vt:lpstr>
      <vt:lpstr>Breakdown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IIH</dc:creator>
  <cp:lastModifiedBy>IIH</cp:lastModifiedBy>
  <dcterms:created xsi:type="dcterms:W3CDTF">2025-09-11T08:10:22Z</dcterms:created>
  <dcterms:modified xsi:type="dcterms:W3CDTF">2025-09-16T14:32:21Z</dcterms:modified>
</cp:coreProperties>
</file>