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hstowers-my.sharepoint.com/personal/mathias_amuta_ihstowers_com/Documents/Documents/FR&amp;P/Planning and CommFinance/2025/Others/Ilorin Inn Hub/"/>
    </mc:Choice>
  </mc:AlternateContent>
  <xr:revisionPtr revIDLastSave="0" documentId="8_{65AECA98-F6B5-41B4-807E-3E665E7385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dget" sheetId="1" r:id="rId1"/>
    <sheet name="Salaries1" sheetId="7" r:id="rId2"/>
    <sheet name="Others" sheetId="6" state="hidden" r:id="rId3"/>
    <sheet name="Membership Fees" sheetId="5" r:id="rId4"/>
    <sheet name="Diesel" sheetId="4" r:id="rId5"/>
    <sheet name="Salaries" sheetId="2" state="hidden" r:id="rId6"/>
    <sheet name="Rental, Hosting &amp; Sponsorships" sheetId="3" state="hidden" r:id="rId7"/>
  </sheets>
  <externalReferences>
    <externalReference r:id="rId8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N4" i="4"/>
  <c r="H4" i="4"/>
  <c r="I4" i="4" s="1"/>
  <c r="J4" i="4" s="1"/>
  <c r="K4" i="4" s="1"/>
  <c r="L4" i="4" s="1"/>
  <c r="M4" i="4" s="1"/>
  <c r="P19" i="1" l="1"/>
  <c r="O19" i="1"/>
  <c r="N19" i="1"/>
  <c r="M19" i="1"/>
  <c r="L19" i="1"/>
  <c r="K19" i="1"/>
  <c r="J19" i="1"/>
  <c r="I19" i="1"/>
  <c r="H19" i="1"/>
  <c r="G19" i="1"/>
  <c r="N18" i="7"/>
  <c r="M18" i="7"/>
  <c r="L18" i="7"/>
  <c r="K18" i="7"/>
  <c r="J18" i="7"/>
  <c r="I18" i="7"/>
  <c r="H18" i="7"/>
  <c r="G18" i="7"/>
  <c r="F18" i="7"/>
  <c r="E18" i="7"/>
  <c r="D18" i="7"/>
  <c r="C18" i="7"/>
  <c r="O18" i="7" s="1"/>
  <c r="N17" i="7"/>
  <c r="M17" i="7"/>
  <c r="L17" i="7"/>
  <c r="K17" i="7"/>
  <c r="J17" i="7"/>
  <c r="I17" i="7"/>
  <c r="H17" i="7"/>
  <c r="G17" i="7"/>
  <c r="F17" i="7"/>
  <c r="E17" i="7"/>
  <c r="D17" i="7"/>
  <c r="C17" i="7"/>
  <c r="O17" i="7" s="1"/>
  <c r="N16" i="7"/>
  <c r="M16" i="7"/>
  <c r="L16" i="7"/>
  <c r="K16" i="7"/>
  <c r="J16" i="7"/>
  <c r="I16" i="7"/>
  <c r="H16" i="7"/>
  <c r="G16" i="7"/>
  <c r="F16" i="7"/>
  <c r="E16" i="7"/>
  <c r="D16" i="7"/>
  <c r="C16" i="7"/>
  <c r="O16" i="7" s="1"/>
  <c r="N15" i="7"/>
  <c r="M15" i="7"/>
  <c r="L15" i="7"/>
  <c r="K15" i="7"/>
  <c r="J15" i="7"/>
  <c r="I15" i="7"/>
  <c r="H15" i="7"/>
  <c r="G15" i="7"/>
  <c r="F15" i="7"/>
  <c r="E15" i="7"/>
  <c r="D15" i="7"/>
  <c r="C15" i="7"/>
  <c r="O15" i="7" s="1"/>
  <c r="N14" i="7"/>
  <c r="M14" i="7"/>
  <c r="L14" i="7"/>
  <c r="K14" i="7"/>
  <c r="J14" i="7"/>
  <c r="I14" i="7"/>
  <c r="H14" i="7"/>
  <c r="G14" i="7"/>
  <c r="F14" i="7"/>
  <c r="E14" i="7"/>
  <c r="D14" i="7"/>
  <c r="C14" i="7"/>
  <c r="O14" i="7" s="1"/>
  <c r="N13" i="7"/>
  <c r="M13" i="7"/>
  <c r="L13" i="7"/>
  <c r="K13" i="7"/>
  <c r="J13" i="7"/>
  <c r="I13" i="7"/>
  <c r="H13" i="7"/>
  <c r="G13" i="7"/>
  <c r="F13" i="7"/>
  <c r="E13" i="7"/>
  <c r="D13" i="7"/>
  <c r="C13" i="7"/>
  <c r="O13" i="7" s="1"/>
  <c r="N12" i="7"/>
  <c r="M12" i="7"/>
  <c r="L12" i="7"/>
  <c r="K12" i="7"/>
  <c r="J12" i="7"/>
  <c r="I12" i="7"/>
  <c r="H12" i="7"/>
  <c r="G12" i="7"/>
  <c r="F12" i="7"/>
  <c r="E12" i="7"/>
  <c r="D12" i="7"/>
  <c r="C12" i="7"/>
  <c r="O12" i="7" s="1"/>
  <c r="N11" i="7"/>
  <c r="M11" i="7"/>
  <c r="L11" i="7"/>
  <c r="K11" i="7"/>
  <c r="J11" i="7"/>
  <c r="I11" i="7"/>
  <c r="H11" i="7"/>
  <c r="G11" i="7"/>
  <c r="F11" i="7"/>
  <c r="E11" i="7"/>
  <c r="D11" i="7"/>
  <c r="C11" i="7"/>
  <c r="O11" i="7" s="1"/>
  <c r="N10" i="7"/>
  <c r="M10" i="7"/>
  <c r="L10" i="7"/>
  <c r="K10" i="7"/>
  <c r="J10" i="7"/>
  <c r="I10" i="7"/>
  <c r="H10" i="7"/>
  <c r="G10" i="7"/>
  <c r="F10" i="7"/>
  <c r="E10" i="7"/>
  <c r="D10" i="7"/>
  <c r="C10" i="7"/>
  <c r="O10" i="7" s="1"/>
  <c r="N9" i="7"/>
  <c r="M9" i="7"/>
  <c r="O9" i="7" s="1"/>
  <c r="L9" i="7"/>
  <c r="K9" i="7"/>
  <c r="J9" i="7"/>
  <c r="I9" i="7"/>
  <c r="H9" i="7"/>
  <c r="G9" i="7"/>
  <c r="F9" i="7"/>
  <c r="N8" i="7"/>
  <c r="M8" i="7"/>
  <c r="L8" i="7"/>
  <c r="K8" i="7"/>
  <c r="J8" i="7"/>
  <c r="I8" i="7"/>
  <c r="H8" i="7"/>
  <c r="G8" i="7"/>
  <c r="F8" i="7"/>
  <c r="E8" i="7"/>
  <c r="D8" i="7"/>
  <c r="C8" i="7"/>
  <c r="O8" i="7" s="1"/>
  <c r="N7" i="7"/>
  <c r="M7" i="7"/>
  <c r="L7" i="7"/>
  <c r="K7" i="7"/>
  <c r="J7" i="7"/>
  <c r="I7" i="7"/>
  <c r="H7" i="7"/>
  <c r="G7" i="7"/>
  <c r="F7" i="7"/>
  <c r="E7" i="7"/>
  <c r="D7" i="7"/>
  <c r="C7" i="7"/>
  <c r="O7" i="7" s="1"/>
  <c r="N6" i="7"/>
  <c r="M6" i="7"/>
  <c r="L6" i="7"/>
  <c r="K6" i="7"/>
  <c r="J6" i="7"/>
  <c r="I6" i="7"/>
  <c r="H6" i="7"/>
  <c r="G6" i="7"/>
  <c r="F6" i="7"/>
  <c r="E6" i="7"/>
  <c r="D6" i="7"/>
  <c r="C6" i="7"/>
  <c r="O6" i="7" s="1"/>
  <c r="N5" i="7"/>
  <c r="M5" i="7"/>
  <c r="L5" i="7"/>
  <c r="K5" i="7"/>
  <c r="J5" i="7"/>
  <c r="I5" i="7"/>
  <c r="H5" i="7"/>
  <c r="G5" i="7"/>
  <c r="F5" i="7"/>
  <c r="E5" i="7"/>
  <c r="D5" i="7"/>
  <c r="C5" i="7"/>
  <c r="O5" i="7" s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N4" i="7"/>
  <c r="M4" i="7"/>
  <c r="L4" i="7"/>
  <c r="K4" i="7"/>
  <c r="J4" i="7"/>
  <c r="I4" i="7"/>
  <c r="H4" i="7"/>
  <c r="G4" i="7"/>
  <c r="F4" i="7"/>
  <c r="E4" i="7"/>
  <c r="D4" i="7"/>
  <c r="C4" i="7"/>
  <c r="O4" i="7" s="1"/>
  <c r="A4" i="7"/>
  <c r="N3" i="7"/>
  <c r="N19" i="7" s="1"/>
  <c r="M3" i="7"/>
  <c r="M19" i="7" s="1"/>
  <c r="L3" i="7"/>
  <c r="L19" i="7" s="1"/>
  <c r="K3" i="7"/>
  <c r="K19" i="7" s="1"/>
  <c r="J3" i="7"/>
  <c r="J19" i="7" s="1"/>
  <c r="I3" i="7"/>
  <c r="I19" i="7" s="1"/>
  <c r="H3" i="7"/>
  <c r="H19" i="7" s="1"/>
  <c r="G3" i="7"/>
  <c r="G19" i="7" s="1"/>
  <c r="F3" i="7"/>
  <c r="F19" i="7" s="1"/>
  <c r="E3" i="7"/>
  <c r="E19" i="7" s="1"/>
  <c r="D3" i="7"/>
  <c r="D19" i="7" s="1"/>
  <c r="C3" i="7"/>
  <c r="O3" i="7" s="1"/>
  <c r="O19" i="7" l="1"/>
  <c r="C19" i="7"/>
  <c r="M31" i="7" l="1"/>
  <c r="M30" i="7"/>
  <c r="K8" i="1" l="1"/>
  <c r="N8" i="1" s="1"/>
  <c r="Q60" i="1"/>
  <c r="P60" i="1"/>
  <c r="O60" i="1"/>
  <c r="N60" i="1"/>
  <c r="M60" i="1"/>
  <c r="L60" i="1"/>
  <c r="K60" i="1"/>
  <c r="J60" i="1"/>
  <c r="I60" i="1"/>
  <c r="H60" i="1"/>
  <c r="Q58" i="1"/>
  <c r="P37" i="1" l="1"/>
  <c r="O37" i="1"/>
  <c r="N37" i="1"/>
  <c r="M37" i="1"/>
  <c r="L37" i="1"/>
  <c r="K37" i="1"/>
  <c r="J37" i="1"/>
  <c r="I37" i="1"/>
  <c r="H37" i="1"/>
  <c r="D17" i="2"/>
  <c r="D16" i="2"/>
  <c r="D15" i="2"/>
  <c r="D14" i="2"/>
  <c r="D13" i="2"/>
  <c r="D12" i="2"/>
  <c r="D11" i="2"/>
  <c r="D10" i="2"/>
  <c r="D9" i="2"/>
  <c r="D8" i="2"/>
  <c r="D7" i="2"/>
  <c r="D6" i="2"/>
  <c r="H19" i="2" s="1"/>
  <c r="D5" i="2"/>
  <c r="D4" i="2"/>
  <c r="D3" i="2"/>
  <c r="E72" i="1"/>
  <c r="F72" i="1"/>
  <c r="E73" i="1"/>
  <c r="F73" i="1"/>
  <c r="E71" i="1"/>
  <c r="F71" i="1"/>
  <c r="G71" i="1"/>
  <c r="H71" i="1"/>
  <c r="I71" i="1"/>
  <c r="J71" i="1"/>
  <c r="K71" i="1"/>
  <c r="L71" i="1"/>
  <c r="M71" i="1"/>
  <c r="N71" i="1"/>
  <c r="O71" i="1"/>
  <c r="P71" i="1"/>
  <c r="N12" i="6"/>
  <c r="M12" i="6"/>
  <c r="L12" i="6"/>
  <c r="K12" i="6"/>
  <c r="J12" i="6"/>
  <c r="I12" i="6"/>
  <c r="H12" i="6"/>
  <c r="G12" i="6"/>
  <c r="F12" i="6"/>
  <c r="E12" i="6"/>
  <c r="F68" i="1"/>
  <c r="E68" i="1"/>
  <c r="N14" i="6"/>
  <c r="K14" i="6"/>
  <c r="H14" i="6"/>
  <c r="E14" i="6"/>
  <c r="N13" i="6"/>
  <c r="N11" i="6"/>
  <c r="K13" i="6"/>
  <c r="K11" i="6"/>
  <c r="H13" i="6"/>
  <c r="H11" i="6"/>
  <c r="E13" i="6"/>
  <c r="E11" i="6"/>
  <c r="E40" i="1"/>
  <c r="F40" i="1"/>
  <c r="E41" i="1"/>
  <c r="F41" i="1"/>
  <c r="H41" i="1"/>
  <c r="I41" i="1"/>
  <c r="K41" i="1"/>
  <c r="L41" i="1"/>
  <c r="M41" i="1"/>
  <c r="N41" i="1"/>
  <c r="O41" i="1"/>
  <c r="E42" i="1"/>
  <c r="F42" i="1"/>
  <c r="H42" i="1"/>
  <c r="I42" i="1"/>
  <c r="K42" i="1"/>
  <c r="L42" i="1"/>
  <c r="M42" i="1"/>
  <c r="N42" i="1"/>
  <c r="O42" i="1"/>
  <c r="N6" i="6"/>
  <c r="P42" i="1" s="1"/>
  <c r="N5" i="6"/>
  <c r="P41" i="1" s="1"/>
  <c r="K6" i="6"/>
  <c r="K5" i="6"/>
  <c r="H6" i="6"/>
  <c r="J42" i="1" s="1"/>
  <c r="H5" i="6"/>
  <c r="J41" i="1" s="1"/>
  <c r="E6" i="6"/>
  <c r="G42" i="1" s="1"/>
  <c r="E5" i="6"/>
  <c r="G41" i="1" s="1"/>
  <c r="N4" i="6"/>
  <c r="K4" i="6"/>
  <c r="H4" i="6"/>
  <c r="E4" i="6"/>
  <c r="E9" i="1"/>
  <c r="F9" i="1"/>
  <c r="G4" i="5"/>
  <c r="H4" i="5"/>
  <c r="H5" i="5" s="1"/>
  <c r="F4" i="5"/>
  <c r="F5" i="5" s="1"/>
  <c r="D5" i="5"/>
  <c r="E5" i="5"/>
  <c r="G5" i="5"/>
  <c r="C5" i="5"/>
  <c r="E11" i="1"/>
  <c r="F11" i="1"/>
  <c r="L11" i="1"/>
  <c r="M11" i="1"/>
  <c r="N11" i="1"/>
  <c r="O11" i="1"/>
  <c r="P11" i="1"/>
  <c r="N12" i="3"/>
  <c r="M12" i="3"/>
  <c r="L12" i="3"/>
  <c r="K12" i="3"/>
  <c r="J12" i="3"/>
  <c r="I12" i="3"/>
  <c r="K11" i="1" s="1"/>
  <c r="H12" i="3"/>
  <c r="J11" i="1" s="1"/>
  <c r="G12" i="3"/>
  <c r="I11" i="1" s="1"/>
  <c r="F12" i="3"/>
  <c r="H11" i="1" s="1"/>
  <c r="E12" i="3"/>
  <c r="G11" i="1" s="1"/>
  <c r="D12" i="3"/>
  <c r="C12" i="3"/>
  <c r="F83" i="1"/>
  <c r="E83" i="1"/>
  <c r="C5" i="4"/>
  <c r="E25" i="1" s="1"/>
  <c r="D5" i="4"/>
  <c r="F25" i="1" s="1"/>
  <c r="E5" i="4"/>
  <c r="F5" i="4"/>
  <c r="H25" i="1" s="1"/>
  <c r="G5" i="4"/>
  <c r="I25" i="1" s="1"/>
  <c r="H5" i="4"/>
  <c r="J25" i="1" s="1"/>
  <c r="I5" i="4"/>
  <c r="K25" i="1" s="1"/>
  <c r="J5" i="4"/>
  <c r="L25" i="1" s="1"/>
  <c r="K5" i="4"/>
  <c r="M25" i="1" s="1"/>
  <c r="L5" i="4"/>
  <c r="N25" i="1" s="1"/>
  <c r="M5" i="4"/>
  <c r="O25" i="1" s="1"/>
  <c r="N5" i="4"/>
  <c r="P25" i="1" s="1"/>
  <c r="I4" i="5" l="1"/>
  <c r="I5" i="5" l="1"/>
  <c r="J4" i="5"/>
  <c r="J5" i="5" l="1"/>
  <c r="K4" i="5"/>
  <c r="K5" i="5" l="1"/>
  <c r="L4" i="5"/>
  <c r="L5" i="5" l="1"/>
  <c r="M4" i="5"/>
  <c r="N4" i="5" l="1"/>
  <c r="N5" i="5" s="1"/>
  <c r="M5" i="5"/>
  <c r="E12" i="1" l="1"/>
  <c r="F12" i="1"/>
  <c r="G12" i="1"/>
  <c r="J12" i="1"/>
  <c r="K12" i="1"/>
  <c r="M12" i="1"/>
  <c r="N12" i="1"/>
  <c r="P12" i="1"/>
  <c r="D6" i="3"/>
  <c r="E6" i="3"/>
  <c r="F6" i="3"/>
  <c r="H12" i="1" s="1"/>
  <c r="G6" i="3"/>
  <c r="I12" i="1" s="1"/>
  <c r="H6" i="3"/>
  <c r="I6" i="3"/>
  <c r="J6" i="3"/>
  <c r="L12" i="1" s="1"/>
  <c r="K6" i="3"/>
  <c r="L6" i="3"/>
  <c r="M6" i="3"/>
  <c r="O12" i="1" s="1"/>
  <c r="N6" i="3"/>
  <c r="C6" i="3"/>
  <c r="G19" i="2"/>
  <c r="F19" i="1" s="1"/>
  <c r="F19" i="2"/>
  <c r="E19" i="1" s="1"/>
  <c r="P75" i="1" l="1"/>
  <c r="O75" i="1"/>
  <c r="N75" i="1"/>
  <c r="M75" i="1"/>
  <c r="L75" i="1"/>
  <c r="K75" i="1"/>
  <c r="J75" i="1"/>
  <c r="I75" i="1"/>
  <c r="H75" i="1"/>
  <c r="P54" i="1"/>
  <c r="O54" i="1"/>
  <c r="N54" i="1"/>
  <c r="M54" i="1"/>
  <c r="L54" i="1"/>
  <c r="K54" i="1"/>
  <c r="J54" i="1"/>
  <c r="I54" i="1"/>
  <c r="H54" i="1"/>
  <c r="P45" i="1"/>
  <c r="P63" i="1" s="1"/>
  <c r="O45" i="1"/>
  <c r="O63" i="1" s="1"/>
  <c r="N45" i="1"/>
  <c r="N63" i="1" s="1"/>
  <c r="M45" i="1"/>
  <c r="M63" i="1" s="1"/>
  <c r="L45" i="1"/>
  <c r="L63" i="1" s="1"/>
  <c r="K45" i="1"/>
  <c r="K63" i="1" s="1"/>
  <c r="J45" i="1"/>
  <c r="I45" i="1"/>
  <c r="H45" i="1"/>
  <c r="P30" i="1"/>
  <c r="O30" i="1"/>
  <c r="N30" i="1"/>
  <c r="M30" i="1"/>
  <c r="L30" i="1"/>
  <c r="K30" i="1"/>
  <c r="J30" i="1"/>
  <c r="I30" i="1"/>
  <c r="H30" i="1"/>
  <c r="G30" i="1"/>
  <c r="G37" i="1"/>
  <c r="G45" i="1"/>
  <c r="G63" i="1" s="1"/>
  <c r="G83" i="1" s="1"/>
  <c r="G54" i="1"/>
  <c r="G75" i="1"/>
  <c r="Q12" i="1"/>
  <c r="J63" i="1" l="1"/>
  <c r="I63" i="1"/>
  <c r="H63" i="1"/>
  <c r="L19" i="2"/>
  <c r="K83" i="1" s="1"/>
  <c r="Q13" i="1"/>
  <c r="Q11" i="1"/>
  <c r="Q10" i="1"/>
  <c r="Q9" i="1"/>
  <c r="Q7" i="1"/>
  <c r="Q35" i="1"/>
  <c r="O14" i="1"/>
  <c r="Q89" i="1"/>
  <c r="Q81" i="1"/>
  <c r="Q75" i="1"/>
  <c r="Q74" i="1"/>
  <c r="Q73" i="1"/>
  <c r="Q72" i="1"/>
  <c r="Q71" i="1"/>
  <c r="Q70" i="1"/>
  <c r="Q69" i="1"/>
  <c r="Q68" i="1"/>
  <c r="Q67" i="1"/>
  <c r="Q59" i="1"/>
  <c r="Q57" i="1"/>
  <c r="Q53" i="1"/>
  <c r="Q52" i="1"/>
  <c r="Q51" i="1"/>
  <c r="Q50" i="1"/>
  <c r="Q49" i="1"/>
  <c r="Q44" i="1"/>
  <c r="Q43" i="1"/>
  <c r="Q42" i="1"/>
  <c r="Q41" i="1"/>
  <c r="Q36" i="1"/>
  <c r="Q34" i="1"/>
  <c r="Q33" i="1"/>
  <c r="Q32" i="1"/>
  <c r="Q29" i="1"/>
  <c r="Q28" i="1"/>
  <c r="Q27" i="1"/>
  <c r="Q26" i="1"/>
  <c r="Q25" i="1"/>
  <c r="Q24" i="1"/>
  <c r="F14" i="1"/>
  <c r="E14" i="1"/>
  <c r="E82" i="1" l="1"/>
  <c r="E84" i="1" s="1"/>
  <c r="E91" i="1" s="1"/>
  <c r="E92" i="1" s="1"/>
  <c r="E90" i="1"/>
  <c r="F82" i="1"/>
  <c r="F84" i="1" s="1"/>
  <c r="F91" i="1" s="1"/>
  <c r="F92" i="1" s="1"/>
  <c r="F90" i="1"/>
  <c r="Q37" i="1"/>
  <c r="O82" i="1"/>
  <c r="O90" i="1"/>
  <c r="I19" i="2"/>
  <c r="H83" i="1" s="1"/>
  <c r="M19" i="2"/>
  <c r="L83" i="1" s="1"/>
  <c r="Q19" i="2"/>
  <c r="P83" i="1" s="1"/>
  <c r="Q54" i="1"/>
  <c r="Q30" i="1"/>
  <c r="P19" i="2"/>
  <c r="O83" i="1" s="1"/>
  <c r="N19" i="2"/>
  <c r="M83" i="1" s="1"/>
  <c r="O19" i="2"/>
  <c r="N83" i="1" s="1"/>
  <c r="J19" i="2"/>
  <c r="I83" i="1" s="1"/>
  <c r="K19" i="2"/>
  <c r="J83" i="1" s="1"/>
  <c r="Q40" i="1"/>
  <c r="Q45" i="1" s="1"/>
  <c r="H14" i="1"/>
  <c r="I14" i="1"/>
  <c r="J14" i="1"/>
  <c r="K14" i="1"/>
  <c r="L14" i="1"/>
  <c r="M14" i="1"/>
  <c r="P14" i="1"/>
  <c r="N14" i="1"/>
  <c r="O84" i="1" l="1"/>
  <c r="N82" i="1"/>
  <c r="N90" i="1"/>
  <c r="J82" i="1"/>
  <c r="J90" i="1"/>
  <c r="P82" i="1"/>
  <c r="P84" i="1" s="1"/>
  <c r="P91" i="1" s="1"/>
  <c r="P90" i="1"/>
  <c r="M82" i="1"/>
  <c r="M84" i="1" s="1"/>
  <c r="M91" i="1" s="1"/>
  <c r="M90" i="1"/>
  <c r="K82" i="1"/>
  <c r="K84" i="1" s="1"/>
  <c r="K91" i="1" s="1"/>
  <c r="K90" i="1"/>
  <c r="I82" i="1"/>
  <c r="I84" i="1" s="1"/>
  <c r="I90" i="1"/>
  <c r="L82" i="1"/>
  <c r="L90" i="1"/>
  <c r="H82" i="1"/>
  <c r="H90" i="1"/>
  <c r="L84" i="1"/>
  <c r="H84" i="1"/>
  <c r="N84" i="1"/>
  <c r="J84" i="1"/>
  <c r="Q19" i="1"/>
  <c r="G14" i="1"/>
  <c r="Q8" i="1"/>
  <c r="Q14" i="1" s="1"/>
  <c r="G90" i="1" l="1"/>
  <c r="Q90" i="1" s="1"/>
  <c r="G82" i="1"/>
  <c r="I91" i="1"/>
  <c r="N91" i="1"/>
  <c r="H91" i="1"/>
  <c r="L91" i="1"/>
  <c r="J91" i="1"/>
  <c r="O91" i="1"/>
  <c r="Q83" i="1"/>
  <c r="Q63" i="1"/>
  <c r="G84" i="1" l="1"/>
  <c r="G91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82" i="1"/>
  <c r="Q84" i="1" l="1"/>
  <c r="Q91" i="1" l="1"/>
  <c r="G4" i="1" l="1"/>
  <c r="G5" i="1" s="1"/>
  <c r="Q94" i="1"/>
  <c r="Q95" i="1" s="1"/>
  <c r="Q92" i="1"/>
</calcChain>
</file>

<file path=xl/sharedStrings.xml><?xml version="1.0" encoding="utf-8"?>
<sst xmlns="http://schemas.openxmlformats.org/spreadsheetml/2006/main" count="239" uniqueCount="125">
  <si>
    <t>Category</t>
  </si>
  <si>
    <t>Membership Fees</t>
  </si>
  <si>
    <t>Consulting &amp; Advisory Services</t>
  </si>
  <si>
    <t>Event Hosting &amp; Sponsorships</t>
  </si>
  <si>
    <t>Other Income</t>
  </si>
  <si>
    <t>Total Revenue</t>
  </si>
  <si>
    <t>Operational Expenses</t>
  </si>
  <si>
    <t>Salaries &amp; Wages</t>
  </si>
  <si>
    <t>Equipment &amp; Infrastructure</t>
  </si>
  <si>
    <t>Administrative Costs</t>
  </si>
  <si>
    <t>Total Operational Expenses</t>
  </si>
  <si>
    <t>Innovation &amp; Program Support</t>
  </si>
  <si>
    <t>Startup Funding &amp; Grants</t>
  </si>
  <si>
    <t>Training &amp; Mentorship</t>
  </si>
  <si>
    <t>Accelerator/Incubation Programs</t>
  </si>
  <si>
    <t>Total Program Support</t>
  </si>
  <si>
    <t>Contingency &amp; Sustainability</t>
  </si>
  <si>
    <t>Total Contingency</t>
  </si>
  <si>
    <t>Summary</t>
  </si>
  <si>
    <t>Total Expenses</t>
  </si>
  <si>
    <t>Net Surplus / Deficit</t>
  </si>
  <si>
    <t>Public sector funding</t>
  </si>
  <si>
    <t>Corporate partnerships &amp; sponsorships</t>
  </si>
  <si>
    <t>Fees from startups &amp; researchers</t>
  </si>
  <si>
    <t>Consulting services revenue</t>
  </si>
  <si>
    <t>Revenue from events &amp; hackathons</t>
  </si>
  <si>
    <t>Miscellaneous revenue</t>
  </si>
  <si>
    <t>Staff salaries, mentors</t>
  </si>
  <si>
    <t>Rent, utilities, internet, security</t>
  </si>
  <si>
    <t>Laptops, software, lab tools</t>
  </si>
  <si>
    <t>Branding, events, PR</t>
  </si>
  <si>
    <t>Legal, compliance, insurance</t>
  </si>
  <si>
    <t>Seed funding for incubated startups</t>
  </si>
  <si>
    <t>Workshops, training</t>
  </si>
  <si>
    <t>Startup acceleration &amp; support</t>
  </si>
  <si>
    <t>Emergency fund for sustainability</t>
  </si>
  <si>
    <t>Unexpected costs</t>
  </si>
  <si>
    <t>Electricity</t>
  </si>
  <si>
    <t>Diesel</t>
  </si>
  <si>
    <t>Cleaning &amp; Landscaping</t>
  </si>
  <si>
    <t>Facility Maintenance &amp; Repairs</t>
  </si>
  <si>
    <t>Security</t>
  </si>
  <si>
    <t>Utilities &amp; Maintenance</t>
  </si>
  <si>
    <t>Cloud Servers</t>
  </si>
  <si>
    <t>Staff Email</t>
  </si>
  <si>
    <t>Miscellaneous Software Subscriptions &amp; Licenses</t>
  </si>
  <si>
    <t>Access Control &amp; Hub Management Software</t>
  </si>
  <si>
    <t>HVAC, Solar, Elevator, Access Control &amp; LED Screen Maintenance</t>
  </si>
  <si>
    <t>Kwara State Government Grants</t>
  </si>
  <si>
    <t>IHS Operational Funds</t>
  </si>
  <si>
    <t>Staff Professional Development (Afrilabs Capacity Building etc)</t>
  </si>
  <si>
    <t>Monthly Meetups</t>
  </si>
  <si>
    <t>Field Events</t>
  </si>
  <si>
    <t>Webinars</t>
  </si>
  <si>
    <t>Legal, Regulatory, Insurance etc</t>
  </si>
  <si>
    <t>International Conference Registration</t>
  </si>
  <si>
    <t>International Travel &amp; Accomodation</t>
  </si>
  <si>
    <t>Local Conference Registration</t>
  </si>
  <si>
    <t>Local Conference Exhibition</t>
  </si>
  <si>
    <t>Local Travel</t>
  </si>
  <si>
    <t>Travel &amp; Conferences</t>
  </si>
  <si>
    <t>Corporate Comms &amp; PR</t>
  </si>
  <si>
    <t>Souvenirs</t>
  </si>
  <si>
    <t>Banners</t>
  </si>
  <si>
    <t>Staff T-Shirts</t>
  </si>
  <si>
    <t>Online &amp; Social Media Marketing</t>
  </si>
  <si>
    <t>Description</t>
  </si>
  <si>
    <t>FY 2025</t>
  </si>
  <si>
    <t>Facility Rentals</t>
  </si>
  <si>
    <t xml:space="preserve">Association &amp; Society Memberships </t>
  </si>
  <si>
    <t>Laptops</t>
  </si>
  <si>
    <t>Guest Entertainment &amp; Refreshments</t>
  </si>
  <si>
    <t>Stationery &amp; Office Supplies</t>
  </si>
  <si>
    <t>Grade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</si>
  <si>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</si>
  <si>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</si>
  <si>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</si>
  <si>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</si>
  <si>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</si>
  <si>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</si>
  <si>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</si>
  <si>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</si>
  <si>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</si>
  <si>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</si>
  <si>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</si>
  <si>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</si>
  <si>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</t>
  </si>
  <si>
    <t>Rate</t>
  </si>
  <si>
    <t>No of rentals</t>
  </si>
  <si>
    <t>Price</t>
  </si>
  <si>
    <t>Consumption</t>
  </si>
  <si>
    <t>No of events</t>
  </si>
  <si>
    <t>Fees/Member</t>
  </si>
  <si>
    <t>No of members</t>
  </si>
  <si>
    <r>
      <t>Monhly Salary Amount (</t>
    </r>
    <r>
      <rPr>
        <b/>
        <sz val="11"/>
        <color theme="0"/>
        <rFont val="Calibri"/>
        <family val="2"/>
      </rPr>
      <t>₦)</t>
    </r>
  </si>
  <si>
    <t>Managing Director</t>
  </si>
  <si>
    <t>Director of Programs</t>
  </si>
  <si>
    <t>IT Manager</t>
  </si>
  <si>
    <t>Community Manager</t>
  </si>
  <si>
    <t>Facility Associate</t>
  </si>
  <si>
    <t>Finance Associate</t>
  </si>
  <si>
    <t>Admin &amp; HR Associate</t>
  </si>
  <si>
    <t>Content &amp; Digital Marketing Lead</t>
  </si>
  <si>
    <t>Graphic &amp; Multimedia Associate</t>
  </si>
  <si>
    <t>Driver</t>
  </si>
  <si>
    <t>Front Desk Associate (x2)</t>
  </si>
  <si>
    <t>IT Support Associate (x2)</t>
  </si>
  <si>
    <t>Facility Technician (x3)</t>
  </si>
  <si>
    <t>Intern (x2)</t>
  </si>
  <si>
    <t>Intern (x3)</t>
  </si>
  <si>
    <t>Annual Package  (₦)</t>
  </si>
  <si>
    <t>Total Monthly Employee Cost</t>
  </si>
  <si>
    <t>Software Subscriptions &amp; Licenses</t>
  </si>
  <si>
    <t>Miscellaneous Expenses - % of Operating Exp.</t>
  </si>
  <si>
    <t>Reserve Fund - % of Inflows</t>
  </si>
  <si>
    <t>Inflows</t>
  </si>
  <si>
    <t>Employer Cost - aligned with the Headcount Phasing</t>
  </si>
  <si>
    <t>S/N</t>
  </si>
  <si>
    <t>Total Cost for the year 2025</t>
  </si>
  <si>
    <t>Front Desk Associate (x1)</t>
  </si>
  <si>
    <t>Front Desk Support</t>
  </si>
  <si>
    <t>NYSC Intern (x3)</t>
  </si>
  <si>
    <t>Student Intern (x3)</t>
  </si>
  <si>
    <t>Total</t>
  </si>
  <si>
    <t>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</si>
</sst>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Aptos"/>
      <family val="2"/>
    </font>
    <font>
      <sz val="11"/>
      <color rgb="FFFF0000"/>
      <name val="Calibri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00873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rgb="FF008732"/>
      </left>
      <right style="dashed">
        <color theme="0" tint="-0.14996795556505021"/>
      </right>
      <top style="thin">
        <color rgb="FF008732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rgb="FF008732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rgb="FF008732"/>
      </right>
      <top style="thin">
        <color rgb="FF008732"/>
      </top>
      <bottom style="dashed">
        <color theme="0" tint="-0.14996795556505021"/>
      </bottom>
      <diagonal/>
    </border>
    <border>
      <left style="thin">
        <color rgb="FF008732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rgb="FF008732"/>
      </right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rgb="FF008732"/>
      </left>
      <right style="dashed">
        <color theme="0" tint="-0.14996795556505021"/>
      </right>
      <top style="dashed">
        <color theme="0" tint="-0.14996795556505021"/>
      </top>
      <bottom style="thin">
        <color rgb="FF008732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thin">
        <color rgb="FF008732"/>
      </bottom>
      <diagonal/>
    </border>
    <border>
      <left style="dashed">
        <color theme="0" tint="-0.14996795556505021"/>
      </left>
      <right style="thin">
        <color rgb="FF008732"/>
      </right>
      <top style="dashed">
        <color theme="0" tint="-0.14996795556505021"/>
      </top>
      <bottom style="thin">
        <color rgb="FF008732"/>
      </bottom>
      <diagonal/>
    </border>
    <border>
      <left/>
      <right/>
      <top/>
      <bottom style="thin">
        <color rgb="FF008732"/>
      </bottom>
      <diagonal/>
    </border>
    <border>
      <left/>
      <right style="dashed">
        <color theme="0" tint="-0.14996795556505021"/>
      </right>
      <top style="dashed">
        <color theme="0" tint="-0.14996795556505021"/>
      </top>
      <bottom style="thin">
        <color rgb="FF00873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 vertical="top"/>
    </xf>
    <xf numFmtId="164" fontId="1" fillId="0" borderId="0" xfId="1" applyNumberFormat="1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164" fontId="0" fillId="0" borderId="0" xfId="1" applyNumberFormat="1" applyFont="1"/>
    <xf numFmtId="0" fontId="1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0" fontId="0" fillId="0" borderId="2" xfId="0" applyBorder="1"/>
    <xf numFmtId="0" fontId="0" fillId="0" borderId="2" xfId="0" applyBorder="1" applyAlignment="1">
      <alignment horizontal="left" indent="1"/>
    </xf>
    <xf numFmtId="164" fontId="0" fillId="0" borderId="2" xfId="1" applyNumberFormat="1" applyFont="1" applyBorder="1"/>
    <xf numFmtId="0" fontId="1" fillId="3" borderId="2" xfId="0" applyFont="1" applyFill="1" applyBorder="1"/>
    <xf numFmtId="164" fontId="1" fillId="3" borderId="2" xfId="1" applyNumberFormat="1" applyFont="1" applyFill="1" applyBorder="1"/>
    <xf numFmtId="0" fontId="3" fillId="0" borderId="2" xfId="0" applyFont="1" applyBorder="1" applyAlignment="1">
      <alignment horizontal="left" indent="1"/>
    </xf>
    <xf numFmtId="164" fontId="3" fillId="0" borderId="2" xfId="1" applyNumberFormat="1" applyFont="1" applyBorder="1"/>
    <xf numFmtId="0" fontId="3" fillId="0" borderId="2" xfId="0" applyFont="1" applyBorder="1" applyAlignment="1">
      <alignment horizontal="left" wrapText="1" indent="1"/>
    </xf>
    <xf numFmtId="0" fontId="5" fillId="4" borderId="1" xfId="0" applyFont="1" applyFill="1" applyBorder="1" applyAlignment="1">
      <alignment horizontal="center"/>
    </xf>
    <xf numFmtId="17" fontId="6" fillId="4" borderId="0" xfId="0" applyNumberFormat="1" applyFont="1" applyFill="1"/>
    <xf numFmtId="3" fontId="3" fillId="0" borderId="2" xfId="0" applyNumberFormat="1" applyFont="1" applyBorder="1"/>
    <xf numFmtId="3" fontId="0" fillId="0" borderId="0" xfId="0" applyNumberFormat="1" applyAlignment="1">
      <alignment horizontal="center"/>
    </xf>
    <xf numFmtId="3" fontId="7" fillId="4" borderId="0" xfId="0" applyNumberFormat="1" applyFont="1" applyFill="1" applyAlignment="1">
      <alignment horizontal="center"/>
    </xf>
    <xf numFmtId="3" fontId="0" fillId="5" borderId="2" xfId="0" applyNumberFormat="1" applyFill="1" applyBorder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3" fontId="1" fillId="5" borderId="3" xfId="0" applyNumberFormat="1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center"/>
    </xf>
    <xf numFmtId="3" fontId="1" fillId="5" borderId="5" xfId="0" applyNumberFormat="1" applyFont="1" applyFill="1" applyBorder="1" applyAlignment="1">
      <alignment horizontal="center"/>
    </xf>
    <xf numFmtId="37" fontId="1" fillId="3" borderId="2" xfId="1" applyNumberFormat="1" applyFont="1" applyFill="1" applyBorder="1" applyAlignment="1">
      <alignment horizontal="center"/>
    </xf>
    <xf numFmtId="0" fontId="8" fillId="0" borderId="2" xfId="0" applyFont="1" applyBorder="1"/>
    <xf numFmtId="0" fontId="9" fillId="0" borderId="2" xfId="0" applyFont="1" applyBorder="1" applyAlignment="1">
      <alignment horizontal="left" indent="1"/>
    </xf>
    <xf numFmtId="164" fontId="8" fillId="0" borderId="2" xfId="1" applyNumberFormat="1" applyFont="1" applyBorder="1"/>
    <xf numFmtId="3" fontId="10" fillId="5" borderId="2" xfId="0" applyNumberFormat="1" applyFont="1" applyFill="1" applyBorder="1" applyAlignment="1">
      <alignment horizontal="center"/>
    </xf>
    <xf numFmtId="0" fontId="8" fillId="0" borderId="0" xfId="0" applyFont="1"/>
    <xf numFmtId="164" fontId="0" fillId="0" borderId="0" xfId="0" applyNumberFormat="1"/>
    <xf numFmtId="38" fontId="0" fillId="0" borderId="0" xfId="0" applyNumberFormat="1"/>
    <xf numFmtId="0" fontId="0" fillId="0" borderId="0" xfId="0" applyAlignment="1">
      <alignment horizontal="center"/>
    </xf>
    <xf numFmtId="38" fontId="0" fillId="0" borderId="0" xfId="0" applyNumberFormat="1" applyAlignment="1">
      <alignment horizontal="center"/>
    </xf>
    <xf numFmtId="0" fontId="0" fillId="0" borderId="9" xfId="0" applyBorder="1"/>
    <xf numFmtId="38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4" borderId="6" xfId="0" applyFill="1" applyBorder="1"/>
    <xf numFmtId="0" fontId="5" fillId="4" borderId="6" xfId="0" applyFont="1" applyFill="1" applyBorder="1"/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6" borderId="7" xfId="0" applyFont="1" applyFill="1" applyBorder="1"/>
    <xf numFmtId="38" fontId="0" fillId="6" borderId="10" xfId="0" applyNumberFormat="1" applyFill="1" applyBorder="1"/>
    <xf numFmtId="38" fontId="0" fillId="0" borderId="10" xfId="0" applyNumberFormat="1" applyBorder="1" applyAlignment="1">
      <alignment horizontal="center"/>
    </xf>
    <xf numFmtId="0" fontId="1" fillId="7" borderId="12" xfId="0" applyFont="1" applyFill="1" applyBorder="1"/>
    <xf numFmtId="0" fontId="1" fillId="7" borderId="13" xfId="0" applyFont="1" applyFill="1" applyBorder="1" applyAlignment="1">
      <alignment horizontal="center"/>
    </xf>
    <xf numFmtId="0" fontId="1" fillId="7" borderId="13" xfId="0" applyFont="1" applyFill="1" applyBorder="1"/>
    <xf numFmtId="38" fontId="1" fillId="7" borderId="13" xfId="0" applyNumberFormat="1" applyFont="1" applyFill="1" applyBorder="1" applyAlignment="1">
      <alignment horizontal="center"/>
    </xf>
    <xf numFmtId="38" fontId="1" fillId="7" borderId="14" xfId="0" applyNumberFormat="1" applyFont="1" applyFill="1" applyBorder="1" applyAlignment="1">
      <alignment horizontal="center"/>
    </xf>
    <xf numFmtId="38" fontId="0" fillId="0" borderId="11" xfId="0" applyNumberFormat="1" applyBorder="1"/>
    <xf numFmtId="38" fontId="0" fillId="0" borderId="11" xfId="0" applyNumberFormat="1" applyBorder="1" applyAlignment="1">
      <alignment horizontal="center"/>
    </xf>
    <xf numFmtId="0" fontId="5" fillId="4" borderId="0" xfId="0" applyFont="1" applyFill="1" applyAlignment="1">
      <alignment horizontal="center"/>
    </xf>
    <xf numFmtId="9" fontId="0" fillId="0" borderId="2" xfId="0" applyNumberFormat="1" applyBorder="1"/>
    <xf numFmtId="0" fontId="0" fillId="0" borderId="10" xfId="0" applyBorder="1"/>
    <xf numFmtId="0" fontId="0" fillId="0" borderId="11" xfId="0" applyBorder="1"/>
    <xf numFmtId="0" fontId="13" fillId="0" borderId="2" xfId="0" applyFont="1" applyBorder="1" applyAlignment="1">
      <alignment horizontal="left" indent="1"/>
    </xf>
    <xf numFmtId="0" fontId="13" fillId="0" borderId="2" xfId="0" applyFont="1" applyBorder="1" applyAlignment="1">
      <alignment horizontal="left" wrapText="1" indent="1"/>
    </xf>
    <xf numFmtId="0" fontId="0" fillId="0" borderId="12" xfId="0" applyBorder="1" applyAlignment="1">
      <alignment wrapText="1"/>
    </xf>
    <xf numFmtId="0" fontId="0" fillId="0" borderId="9" xfId="0" applyBorder="1" applyAlignment="1">
      <alignment wrapText="1"/>
    </xf>
    <xf numFmtId="38" fontId="0" fillId="0" borderId="10" xfId="0" applyNumberFormat="1" applyBorder="1" applyAlignment="1">
      <alignment horizontal="center" vertical="center"/>
    </xf>
    <xf numFmtId="38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8" fontId="0" fillId="0" borderId="13" xfId="0" applyNumberFormat="1" applyBorder="1" applyAlignment="1">
      <alignment horizontal="center" vertical="center"/>
    </xf>
    <xf numFmtId="38" fontId="0" fillId="0" borderId="14" xfId="0" applyNumberFormat="1" applyBorder="1" applyAlignment="1">
      <alignment horizontal="center" vertical="center"/>
    </xf>
    <xf numFmtId="38" fontId="0" fillId="8" borderId="10" xfId="0" applyNumberFormat="1" applyFill="1" applyBorder="1" applyAlignment="1">
      <alignment horizontal="center"/>
    </xf>
    <xf numFmtId="0" fontId="1" fillId="0" borderId="12" xfId="0" applyFont="1" applyBorder="1"/>
    <xf numFmtId="38" fontId="1" fillId="0" borderId="13" xfId="0" applyNumberFormat="1" applyFont="1" applyBorder="1"/>
    <xf numFmtId="38" fontId="1" fillId="0" borderId="14" xfId="0" applyNumberFormat="1" applyFont="1" applyBorder="1"/>
    <xf numFmtId="38" fontId="1" fillId="0" borderId="13" xfId="0" applyNumberFormat="1" applyFont="1" applyBorder="1" applyAlignment="1">
      <alignment horizontal="center"/>
    </xf>
    <xf numFmtId="38" fontId="1" fillId="0" borderId="14" xfId="0" applyNumberFormat="1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7" borderId="16" xfId="0" applyFont="1" applyFill="1" applyBorder="1"/>
    <xf numFmtId="0" fontId="0" fillId="0" borderId="15" xfId="0" applyBorder="1" applyAlignment="1">
      <alignment horizontal="center"/>
    </xf>
    <xf numFmtId="0" fontId="5" fillId="9" borderId="0" xfId="0" applyFont="1" applyFill="1"/>
    <xf numFmtId="164" fontId="5" fillId="9" borderId="0" xfId="0" applyNumberFormat="1" applyFont="1" applyFill="1"/>
    <xf numFmtId="43" fontId="0" fillId="0" borderId="0" xfId="1" applyFont="1" applyAlignment="1">
      <alignment horizontal="center"/>
    </xf>
    <xf numFmtId="164" fontId="9" fillId="0" borderId="2" xfId="1" applyNumberFormat="1" applyFont="1" applyBorder="1"/>
    <xf numFmtId="3" fontId="10" fillId="5" borderId="4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left" wrapText="1" indent="1"/>
    </xf>
    <xf numFmtId="164" fontId="0" fillId="0" borderId="0" xfId="1" applyNumberFormat="1" applyFont="1" applyBorder="1"/>
    <xf numFmtId="0" fontId="0" fillId="0" borderId="0" xfId="0" applyAlignment="1">
      <alignment horizontal="left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5" fillId="10" borderId="0" xfId="0" applyFont="1" applyFill="1"/>
    <xf numFmtId="0" fontId="16" fillId="4" borderId="20" xfId="0" applyFont="1" applyFill="1" applyBorder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 wrapText="1"/>
    </xf>
    <xf numFmtId="0" fontId="17" fillId="0" borderId="23" xfId="0" applyFont="1" applyBorder="1" applyAlignment="1">
      <alignment horizontal="center"/>
    </xf>
    <xf numFmtId="0" fontId="17" fillId="0" borderId="23" xfId="0" applyFont="1" applyBorder="1"/>
    <xf numFmtId="166" fontId="17" fillId="0" borderId="23" xfId="1" applyNumberFormat="1" applyFont="1" applyBorder="1" applyAlignment="1">
      <alignment horizontal="center"/>
    </xf>
    <xf numFmtId="166" fontId="17" fillId="0" borderId="23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6" fontId="17" fillId="0" borderId="1" xfId="1" applyNumberFormat="1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166" fontId="17" fillId="8" borderId="1" xfId="1" applyNumberFormat="1" applyFont="1" applyFill="1" applyBorder="1" applyAlignment="1">
      <alignment horizontal="center"/>
    </xf>
    <xf numFmtId="0" fontId="17" fillId="0" borderId="0" xfId="0" applyFont="1"/>
    <xf numFmtId="0" fontId="18" fillId="0" borderId="23" xfId="0" applyFont="1" applyBorder="1"/>
    <xf numFmtId="166" fontId="18" fillId="0" borderId="23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7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hias.amuta.ctr\AppData\Local\Microsoft\Windows\INetCache\Content.Outlook\E4OIHG0I\Updated%20IIH%20Structured%20Salary%20Breakdown%20(1).xlsx" TargetMode="External"/><Relationship Id="rId1" Type="http://schemas.openxmlformats.org/officeDocument/2006/relationships/externalLinkPath" Target="file:///C:\Users\mathias.amuta.ctr\AppData\Local\Microsoft\Windows\INetCache\Content.Outlook\E4OIHG0I\Updated%20IIH%20Structured%20Salary%20Breakdow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 on Changes"/>
      <sheetName val="Month on Month HC Cost"/>
      <sheetName val="Headcount Phasing"/>
      <sheetName val="Annual Cost Summary"/>
      <sheetName val="Annual Employer Cost per Grade"/>
      <sheetName val="Payroll breakdown per role"/>
      <sheetName val="Bonus suggestion table"/>
    </sheetNames>
    <sheetDataSet>
      <sheetData sheetId="0"/>
      <sheetData sheetId="1"/>
      <sheetData sheetId="2">
        <row r="2">
          <cell r="B2" t="str">
            <v>Jan</v>
          </cell>
          <cell r="C2" t="str">
            <v>Feb</v>
          </cell>
          <cell r="D2" t="str">
            <v>Mar</v>
          </cell>
          <cell r="E2" t="str">
            <v>Apr</v>
          </cell>
          <cell r="F2" t="str">
            <v>May</v>
          </cell>
          <cell r="G2" t="str">
            <v>Jun</v>
          </cell>
          <cell r="H2" t="str">
            <v>Jul</v>
          </cell>
          <cell r="I2" t="str">
            <v>Aug</v>
          </cell>
          <cell r="J2" t="str">
            <v>Sep</v>
          </cell>
          <cell r="K2" t="str">
            <v>Oct</v>
          </cell>
          <cell r="L2" t="str">
            <v>Nov</v>
          </cell>
          <cell r="M2" t="str">
            <v>Dec</v>
          </cell>
        </row>
        <row r="3">
          <cell r="A3" t="str">
            <v>Managing Director</v>
          </cell>
          <cell r="B3">
            <v>0</v>
          </cell>
          <cell r="C3">
            <v>0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</row>
        <row r="4">
          <cell r="A4" t="str">
            <v>Director of Programs</v>
          </cell>
          <cell r="B4">
            <v>0</v>
          </cell>
          <cell r="C4">
            <v>0</v>
          </cell>
          <cell r="D4">
            <v>0</v>
          </cell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</row>
        <row r="5">
          <cell r="A5" t="str">
            <v>IT Manager</v>
          </cell>
          <cell r="B5">
            <v>0</v>
          </cell>
          <cell r="C5">
            <v>0</v>
          </cell>
          <cell r="D5">
            <v>0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</row>
        <row r="6">
          <cell r="A6" t="str">
            <v>Community Manager</v>
          </cell>
          <cell r="B6">
            <v>0</v>
          </cell>
          <cell r="C6">
            <v>0</v>
          </cell>
          <cell r="D6">
            <v>0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A7" t="str">
            <v>Facility Associate</v>
          </cell>
          <cell r="B7">
            <v>0</v>
          </cell>
          <cell r="C7">
            <v>0</v>
          </cell>
          <cell r="D7">
            <v>0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</row>
        <row r="8">
          <cell r="A8" t="str">
            <v>Front Desk Associate (x1)</v>
          </cell>
          <cell r="B8">
            <v>0</v>
          </cell>
          <cell r="C8">
            <v>0</v>
          </cell>
          <cell r="D8">
            <v>0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</row>
        <row r="9">
          <cell r="A9" t="str">
            <v>Front Desk Support</v>
          </cell>
          <cell r="B9">
            <v>0</v>
          </cell>
          <cell r="C9">
            <v>0</v>
          </cell>
          <cell r="D9">
            <v>0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</row>
        <row r="10">
          <cell r="A10" t="str">
            <v>Finance Associate</v>
          </cell>
          <cell r="B10">
            <v>0</v>
          </cell>
          <cell r="C10">
            <v>0</v>
          </cell>
          <cell r="D10">
            <v>0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</row>
        <row r="11">
          <cell r="A11" t="str">
            <v>Admin &amp; HR Associate</v>
          </cell>
          <cell r="B11">
            <v>0</v>
          </cell>
          <cell r="C11">
            <v>0</v>
          </cell>
          <cell r="D11">
            <v>0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</row>
        <row r="12">
          <cell r="A12" t="str">
            <v>IT Support Associate (x2)</v>
          </cell>
          <cell r="B12">
            <v>0</v>
          </cell>
          <cell r="C12">
            <v>0</v>
          </cell>
          <cell r="D12">
            <v>0</v>
          </cell>
          <cell r="E12">
            <v>2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2</v>
          </cell>
          <cell r="L12">
            <v>2</v>
          </cell>
          <cell r="M12">
            <v>2</v>
          </cell>
        </row>
        <row r="13">
          <cell r="A13" t="str">
            <v>Content &amp; Digital Marketing Lead</v>
          </cell>
          <cell r="B13">
            <v>0</v>
          </cell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</row>
        <row r="14">
          <cell r="A14" t="str">
            <v>Graphic &amp; Multimedia Associate</v>
          </cell>
          <cell r="B14">
            <v>0</v>
          </cell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</row>
        <row r="15">
          <cell r="A15" t="str">
            <v>Facility Technician (x3)</v>
          </cell>
          <cell r="B15">
            <v>0</v>
          </cell>
          <cell r="C15">
            <v>0</v>
          </cell>
          <cell r="D15">
            <v>0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</row>
        <row r="16">
          <cell r="A16" t="str">
            <v>Driver</v>
          </cell>
          <cell r="B16">
            <v>0</v>
          </cell>
          <cell r="C16">
            <v>0</v>
          </cell>
          <cell r="D16">
            <v>1</v>
          </cell>
          <cell r="E16">
            <v>1</v>
          </cell>
          <cell r="F16">
            <v>2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</row>
        <row r="17">
          <cell r="A17" t="str">
            <v>NYSC Intern (x3)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2</v>
          </cell>
          <cell r="H17">
            <v>2</v>
          </cell>
          <cell r="I17">
            <v>2</v>
          </cell>
          <cell r="J17">
            <v>2</v>
          </cell>
          <cell r="K17">
            <v>2</v>
          </cell>
          <cell r="L17">
            <v>2</v>
          </cell>
          <cell r="M17">
            <v>2</v>
          </cell>
        </row>
        <row r="18">
          <cell r="A18" t="str">
            <v>Student Intern (x3)</v>
          </cell>
          <cell r="B18">
            <v>0</v>
          </cell>
          <cell r="C18">
            <v>0</v>
          </cell>
          <cell r="D18">
            <v>0</v>
          </cell>
          <cell r="E18">
            <v>3</v>
          </cell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</row>
      </sheetData>
      <sheetData sheetId="3"/>
      <sheetData sheetId="4">
        <row r="2">
          <cell r="C2" t="str">
            <v>Managing Director</v>
          </cell>
          <cell r="U2">
            <v>6187666.666666667</v>
          </cell>
        </row>
        <row r="3">
          <cell r="C3" t="str">
            <v>Director of Programs</v>
          </cell>
          <cell r="U3">
            <v>3555487.9166666665</v>
          </cell>
        </row>
        <row r="4">
          <cell r="C4" t="str">
            <v>IT Manager</v>
          </cell>
          <cell r="U4">
            <v>779030.5</v>
          </cell>
        </row>
        <row r="5">
          <cell r="C5" t="str">
            <v>Community Manager</v>
          </cell>
          <cell r="U5">
            <v>474470.5</v>
          </cell>
        </row>
        <row r="6">
          <cell r="C6" t="str">
            <v>Facility Associate</v>
          </cell>
          <cell r="U6">
            <v>458050.875</v>
          </cell>
        </row>
        <row r="7">
          <cell r="C7" t="str">
            <v>Front Desk Associate (x1)</v>
          </cell>
          <cell r="U7">
            <v>458050.875</v>
          </cell>
        </row>
        <row r="8">
          <cell r="C8" t="str">
            <v>Front Desk Support</v>
          </cell>
          <cell r="U8">
            <v>231183.14583333334</v>
          </cell>
        </row>
        <row r="9">
          <cell r="C9" t="str">
            <v>Finance Associate</v>
          </cell>
          <cell r="U9">
            <v>458050.875</v>
          </cell>
        </row>
        <row r="10">
          <cell r="C10" t="str">
            <v>Admin &amp; HR Associate</v>
          </cell>
          <cell r="U10">
            <v>458050.875</v>
          </cell>
        </row>
        <row r="11">
          <cell r="C11" t="str">
            <v>IT Support Associate (x2)</v>
          </cell>
          <cell r="U11">
            <v>458050.875</v>
          </cell>
        </row>
        <row r="12">
          <cell r="C12" t="str">
            <v>Content &amp; Digital Marketing Lead</v>
          </cell>
          <cell r="U12">
            <v>465550.875</v>
          </cell>
        </row>
        <row r="13">
          <cell r="C13" t="str">
            <v>Graphic &amp; Multimedia Associate</v>
          </cell>
          <cell r="U13">
            <v>465550.875</v>
          </cell>
        </row>
        <row r="14">
          <cell r="C14" t="str">
            <v>Facility Technician (x3)</v>
          </cell>
          <cell r="U14">
            <v>231183.14583333334</v>
          </cell>
        </row>
        <row r="15">
          <cell r="C15" t="str">
            <v>Driver</v>
          </cell>
          <cell r="U15">
            <v>231183.14583333334</v>
          </cell>
        </row>
        <row r="16">
          <cell r="C16" t="str">
            <v>NYSC Intern (x3)</v>
          </cell>
          <cell r="U16">
            <v>99594.8125</v>
          </cell>
        </row>
        <row r="17">
          <cell r="C17" t="str">
            <v>Student Intern (x3)</v>
          </cell>
          <cell r="U17">
            <v>80234.000000000015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95"/>
  <sheetViews>
    <sheetView showGridLines="0" tabSelected="1" zoomScale="78" zoomScaleNormal="78" workbookViewId="0">
      <pane xSplit="2" ySplit="2" topLeftCell="D71" activePane="bottomRight" state="frozen"/>
      <selection pane="topRight" activeCell="C1" sqref="C1"/>
      <selection pane="bottomLeft" activeCell="A7" sqref="A7"/>
      <selection pane="bottomRight" activeCell="G96" sqref="G96"/>
    </sheetView>
  </sheetViews>
  <sheetFormatPr defaultColWidth="8.77734375" defaultRowHeight="14.4" x14ac:dyDescent="0.3"/>
  <cols>
    <col min="1" max="1" width="2.6640625" customWidth="1"/>
    <col min="2" max="2" width="49.109375" customWidth="1"/>
    <col min="3" max="3" width="36.33203125" customWidth="1"/>
    <col min="4" max="4" width="11.33203125" customWidth="1"/>
    <col min="5" max="5" width="12.77734375" customWidth="1"/>
    <col min="6" max="6" width="11.6640625" customWidth="1"/>
    <col min="7" max="7" width="14.109375" bestFit="1" customWidth="1"/>
    <col min="8" max="16" width="14.44140625" customWidth="1"/>
    <col min="17" max="17" width="23.6640625" style="22" customWidth="1"/>
    <col min="19" max="19" width="10" bestFit="1" customWidth="1"/>
  </cols>
  <sheetData>
    <row r="2" spans="1:17" x14ac:dyDescent="0.3">
      <c r="A2" s="19"/>
      <c r="B2" s="19" t="s">
        <v>0</v>
      </c>
      <c r="C2" s="19" t="s">
        <v>66</v>
      </c>
      <c r="D2" s="58"/>
      <c r="E2" s="20">
        <v>45658</v>
      </c>
      <c r="F2" s="20">
        <v>45689</v>
      </c>
      <c r="G2" s="20">
        <v>45717</v>
      </c>
      <c r="H2" s="20">
        <v>45748</v>
      </c>
      <c r="I2" s="20">
        <v>45778</v>
      </c>
      <c r="J2" s="20">
        <v>45809</v>
      </c>
      <c r="K2" s="20">
        <v>45839</v>
      </c>
      <c r="L2" s="20">
        <v>45870</v>
      </c>
      <c r="M2" s="20">
        <v>45901</v>
      </c>
      <c r="N2" s="20">
        <v>45931</v>
      </c>
      <c r="O2" s="20">
        <v>45962</v>
      </c>
      <c r="P2" s="20">
        <v>45992</v>
      </c>
      <c r="Q2" s="23" t="s">
        <v>67</v>
      </c>
    </row>
    <row r="3" spans="1:17" x14ac:dyDescent="0.3">
      <c r="B3" s="4"/>
      <c r="C3" s="4"/>
      <c r="D3" s="4"/>
    </row>
    <row r="4" spans="1:17" x14ac:dyDescent="0.3">
      <c r="B4" s="4"/>
      <c r="C4" s="4"/>
      <c r="D4" s="4"/>
      <c r="G4" s="35">
        <f>Q91</f>
        <v>-619831012.54917955</v>
      </c>
    </row>
    <row r="5" spans="1:17" x14ac:dyDescent="0.3">
      <c r="B5" s="4"/>
      <c r="C5" s="4"/>
      <c r="D5" s="4"/>
      <c r="F5" s="7"/>
      <c r="G5" s="5">
        <f>G4/9</f>
        <v>-68870112.50546439</v>
      </c>
      <c r="H5" s="7"/>
      <c r="I5" s="7"/>
      <c r="J5" s="7"/>
      <c r="K5" s="7"/>
      <c r="L5" s="7"/>
      <c r="M5" s="7"/>
      <c r="N5" s="7"/>
      <c r="O5" s="7"/>
      <c r="P5" s="7"/>
    </row>
    <row r="6" spans="1:17" x14ac:dyDescent="0.3">
      <c r="A6" s="8" t="s">
        <v>115</v>
      </c>
      <c r="B6" s="9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11"/>
      <c r="B7" s="12" t="s">
        <v>48</v>
      </c>
      <c r="C7" s="11" t="s">
        <v>21</v>
      </c>
      <c r="D7" s="11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26">
        <f t="shared" ref="Q7:Q74" si="0">SUM(E7:P7)</f>
        <v>0</v>
      </c>
    </row>
    <row r="8" spans="1:17" x14ac:dyDescent="0.3">
      <c r="A8" s="11"/>
      <c r="B8" s="12" t="s">
        <v>49</v>
      </c>
      <c r="C8" s="11" t="s">
        <v>22</v>
      </c>
      <c r="D8" s="11"/>
      <c r="E8" s="13"/>
      <c r="F8" s="13"/>
      <c r="G8" s="13"/>
      <c r="H8" s="13">
        <f>69000000*3</f>
        <v>207000000</v>
      </c>
      <c r="I8" s="13"/>
      <c r="J8" s="13"/>
      <c r="K8" s="13">
        <f>H8</f>
        <v>207000000</v>
      </c>
      <c r="L8" s="13"/>
      <c r="M8" s="13"/>
      <c r="N8" s="13">
        <f>K8</f>
        <v>207000000</v>
      </c>
      <c r="O8" s="13"/>
      <c r="P8" s="13"/>
      <c r="Q8" s="26">
        <f t="shared" si="0"/>
        <v>621000000</v>
      </c>
    </row>
    <row r="9" spans="1:17" x14ac:dyDescent="0.3">
      <c r="A9" s="11"/>
      <c r="B9" s="12" t="s">
        <v>1</v>
      </c>
      <c r="C9" s="11" t="s">
        <v>23</v>
      </c>
      <c r="D9" s="11"/>
      <c r="E9" s="13">
        <f>'Membership Fees'!C5</f>
        <v>0</v>
      </c>
      <c r="F9" s="13">
        <f>'Membership Fees'!D5</f>
        <v>0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26">
        <f t="shared" si="0"/>
        <v>0</v>
      </c>
    </row>
    <row r="10" spans="1:17" x14ac:dyDescent="0.3">
      <c r="A10" s="11"/>
      <c r="B10" s="12" t="s">
        <v>2</v>
      </c>
      <c r="C10" s="11" t="s">
        <v>24</v>
      </c>
      <c r="D10" s="11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26">
        <f t="shared" si="0"/>
        <v>0</v>
      </c>
    </row>
    <row r="11" spans="1:17" x14ac:dyDescent="0.3">
      <c r="A11" s="11"/>
      <c r="B11" s="12" t="s">
        <v>3</v>
      </c>
      <c r="C11" s="11" t="s">
        <v>25</v>
      </c>
      <c r="D11" s="11"/>
      <c r="E11" s="13">
        <f>'Rental, Hosting &amp; Sponsorships'!C12</f>
        <v>0</v>
      </c>
      <c r="F11" s="13">
        <f>'Rental, Hosting &amp; Sponsorships'!D12</f>
        <v>0</v>
      </c>
      <c r="G11" s="13">
        <f>'Rental, Hosting &amp; Sponsorships'!E12</f>
        <v>0</v>
      </c>
      <c r="H11" s="13">
        <f>'Rental, Hosting &amp; Sponsorships'!F12</f>
        <v>0</v>
      </c>
      <c r="I11" s="13">
        <f>'Rental, Hosting &amp; Sponsorships'!G12</f>
        <v>0</v>
      </c>
      <c r="J11" s="13">
        <f>'Rental, Hosting &amp; Sponsorships'!H12</f>
        <v>0</v>
      </c>
      <c r="K11" s="13">
        <f>'Rental, Hosting &amp; Sponsorships'!I12</f>
        <v>0</v>
      </c>
      <c r="L11" s="13">
        <f>'Rental, Hosting &amp; Sponsorships'!J12</f>
        <v>0</v>
      </c>
      <c r="M11" s="13">
        <f>'Rental, Hosting &amp; Sponsorships'!K12</f>
        <v>0</v>
      </c>
      <c r="N11" s="13">
        <f>'Rental, Hosting &amp; Sponsorships'!L12</f>
        <v>0</v>
      </c>
      <c r="O11" s="13">
        <f>'Rental, Hosting &amp; Sponsorships'!M12</f>
        <v>0</v>
      </c>
      <c r="P11" s="13">
        <f>'Rental, Hosting &amp; Sponsorships'!N12</f>
        <v>0</v>
      </c>
      <c r="Q11" s="26">
        <f t="shared" si="0"/>
        <v>0</v>
      </c>
    </row>
    <row r="12" spans="1:17" x14ac:dyDescent="0.3">
      <c r="A12" s="11"/>
      <c r="B12" s="12" t="s">
        <v>68</v>
      </c>
      <c r="C12" s="11"/>
      <c r="D12" s="11"/>
      <c r="E12" s="13">
        <f>'Rental, Hosting &amp; Sponsorships'!C6</f>
        <v>0</v>
      </c>
      <c r="F12" s="13">
        <f>'Rental, Hosting &amp; Sponsorships'!D6</f>
        <v>0</v>
      </c>
      <c r="G12" s="13">
        <f>'Rental, Hosting &amp; Sponsorships'!E6</f>
        <v>0</v>
      </c>
      <c r="H12" s="13">
        <f>'Rental, Hosting &amp; Sponsorships'!F6</f>
        <v>0</v>
      </c>
      <c r="I12" s="13">
        <f>'Rental, Hosting &amp; Sponsorships'!G6</f>
        <v>0</v>
      </c>
      <c r="J12" s="13">
        <f>'Rental, Hosting &amp; Sponsorships'!H6</f>
        <v>0</v>
      </c>
      <c r="K12" s="13">
        <f>'Rental, Hosting &amp; Sponsorships'!I6</f>
        <v>0</v>
      </c>
      <c r="L12" s="13">
        <f>'Rental, Hosting &amp; Sponsorships'!J6</f>
        <v>0</v>
      </c>
      <c r="M12" s="13">
        <f>'Rental, Hosting &amp; Sponsorships'!K6</f>
        <v>0</v>
      </c>
      <c r="N12" s="13">
        <f>'Rental, Hosting &amp; Sponsorships'!L6</f>
        <v>0</v>
      </c>
      <c r="O12" s="13">
        <f>'Rental, Hosting &amp; Sponsorships'!M6</f>
        <v>0</v>
      </c>
      <c r="P12" s="13">
        <f>'Rental, Hosting &amp; Sponsorships'!N6</f>
        <v>0</v>
      </c>
      <c r="Q12" s="26">
        <f t="shared" si="0"/>
        <v>0</v>
      </c>
    </row>
    <row r="13" spans="1:17" x14ac:dyDescent="0.3">
      <c r="A13" s="11"/>
      <c r="B13" s="12" t="s">
        <v>4</v>
      </c>
      <c r="C13" s="11" t="s">
        <v>26</v>
      </c>
      <c r="D13" s="11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6">
        <f t="shared" si="0"/>
        <v>0</v>
      </c>
    </row>
    <row r="14" spans="1:17" s="3" customFormat="1" x14ac:dyDescent="0.3">
      <c r="A14" s="14" t="s">
        <v>5</v>
      </c>
      <c r="B14" s="14"/>
      <c r="C14" s="14"/>
      <c r="D14" s="14"/>
      <c r="E14" s="15">
        <f t="shared" ref="E14:F14" si="1">SUM(E6:E13)</f>
        <v>0</v>
      </c>
      <c r="F14" s="15">
        <f t="shared" si="1"/>
        <v>0</v>
      </c>
      <c r="G14" s="15">
        <f>SUM(G6:G13)</f>
        <v>0</v>
      </c>
      <c r="H14" s="15">
        <f t="shared" ref="H14:Q14" si="2">SUM(H6:H13)</f>
        <v>207000000</v>
      </c>
      <c r="I14" s="15">
        <f t="shared" si="2"/>
        <v>0</v>
      </c>
      <c r="J14" s="15">
        <f t="shared" si="2"/>
        <v>0</v>
      </c>
      <c r="K14" s="15">
        <f t="shared" si="2"/>
        <v>207000000</v>
      </c>
      <c r="L14" s="15">
        <f t="shared" si="2"/>
        <v>0</v>
      </c>
      <c r="M14" s="15">
        <f t="shared" si="2"/>
        <v>0</v>
      </c>
      <c r="N14" s="15">
        <f t="shared" si="2"/>
        <v>207000000</v>
      </c>
      <c r="O14" s="15">
        <f t="shared" si="2"/>
        <v>0</v>
      </c>
      <c r="P14" s="15">
        <f t="shared" si="2"/>
        <v>0</v>
      </c>
      <c r="Q14" s="29">
        <f t="shared" si="2"/>
        <v>621000000</v>
      </c>
    </row>
    <row r="15" spans="1:17" x14ac:dyDescent="0.3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7" x14ac:dyDescent="0.3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7" x14ac:dyDescent="0.3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7" x14ac:dyDescent="0.3">
      <c r="A18" s="8" t="s">
        <v>6</v>
      </c>
      <c r="B18" s="9"/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s="34" customFormat="1" x14ac:dyDescent="0.3">
      <c r="A19" s="30"/>
      <c r="B19" s="87" t="s">
        <v>7</v>
      </c>
      <c r="C19" s="30" t="s">
        <v>27</v>
      </c>
      <c r="D19" s="30"/>
      <c r="E19" s="32">
        <f>Salaries!F19</f>
        <v>0</v>
      </c>
      <c r="F19" s="32">
        <f>Salaries!G19</f>
        <v>0</v>
      </c>
      <c r="G19" s="32">
        <f>Salaries1!E19</f>
        <v>6418849.8125</v>
      </c>
      <c r="H19" s="32">
        <f>Salaries1!F19</f>
        <v>15610314.020833336</v>
      </c>
      <c r="I19" s="32">
        <f>Salaries1!G19</f>
        <v>16040686.791666668</v>
      </c>
      <c r="J19" s="32">
        <f>Salaries1!H19</f>
        <v>16040686.791666668</v>
      </c>
      <c r="K19" s="32">
        <f>Salaries1!I19</f>
        <v>16040686.791666668</v>
      </c>
      <c r="L19" s="32">
        <f>Salaries1!J19</f>
        <v>16040686.791666668</v>
      </c>
      <c r="M19" s="32">
        <f>Salaries1!K19</f>
        <v>16040686.791666668</v>
      </c>
      <c r="N19" s="32">
        <f>Salaries1!L19</f>
        <v>16040686.791666668</v>
      </c>
      <c r="O19" s="32">
        <f>Salaries1!M19</f>
        <v>16040686.791666668</v>
      </c>
      <c r="P19" s="32">
        <f>Salaries1!N19</f>
        <v>16040686.791666668</v>
      </c>
      <c r="Q19" s="32">
        <f t="shared" si="0"/>
        <v>150354658.16666669</v>
      </c>
    </row>
    <row r="20" spans="1:17" x14ac:dyDescent="0.3">
      <c r="B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7" x14ac:dyDescent="0.3">
      <c r="B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7" x14ac:dyDescent="0.3">
      <c r="B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7" x14ac:dyDescent="0.3">
      <c r="B23" s="2" t="s">
        <v>42</v>
      </c>
      <c r="C23" t="s">
        <v>28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7" x14ac:dyDescent="0.3">
      <c r="A24" s="11"/>
      <c r="B24" s="16" t="s">
        <v>37</v>
      </c>
      <c r="C24" s="11"/>
      <c r="D24" s="11"/>
      <c r="E24" s="13"/>
      <c r="F24" s="13"/>
      <c r="G24" s="17"/>
      <c r="H24" s="17">
        <v>800000</v>
      </c>
      <c r="I24" s="17">
        <v>800000</v>
      </c>
      <c r="J24" s="17">
        <v>800000</v>
      </c>
      <c r="K24" s="17">
        <v>800000</v>
      </c>
      <c r="L24" s="17">
        <v>800000</v>
      </c>
      <c r="M24" s="17">
        <v>800000</v>
      </c>
      <c r="N24" s="17">
        <v>800000</v>
      </c>
      <c r="O24" s="17">
        <v>800000</v>
      </c>
      <c r="P24" s="17">
        <v>800000</v>
      </c>
      <c r="Q24" s="26">
        <f t="shared" si="0"/>
        <v>7200000</v>
      </c>
    </row>
    <row r="25" spans="1:17" s="34" customFormat="1" x14ac:dyDescent="0.3">
      <c r="A25" s="30"/>
      <c r="B25" s="31" t="s">
        <v>38</v>
      </c>
      <c r="C25" s="30"/>
      <c r="D25" s="30"/>
      <c r="E25" s="32">
        <f>Diesel!C5</f>
        <v>0</v>
      </c>
      <c r="F25" s="32">
        <f>Diesel!D5</f>
        <v>0</v>
      </c>
      <c r="G25" s="85"/>
      <c r="H25" s="85">
        <f>Diesel!F5</f>
        <v>0</v>
      </c>
      <c r="I25" s="85">
        <f>Diesel!G5</f>
        <v>921669.93384332326</v>
      </c>
      <c r="J25" s="85">
        <f>Diesel!H5</f>
        <v>949239.3384972997</v>
      </c>
      <c r="K25" s="85">
        <f>Diesel!I5</f>
        <v>1039803.9596905103</v>
      </c>
      <c r="L25" s="85">
        <f>Diesel!J5</f>
        <v>1064298.3812420128</v>
      </c>
      <c r="M25" s="85">
        <f>Diesel!K5</f>
        <v>1074617.7305918168</v>
      </c>
      <c r="N25" s="85">
        <f>Diesel!L5</f>
        <v>1087452.2177380621</v>
      </c>
      <c r="O25" s="85">
        <f>Diesel!M5</f>
        <v>1103002.0699747039</v>
      </c>
      <c r="P25" s="85">
        <f>Diesel!N5</f>
        <v>1116730.2261018851</v>
      </c>
      <c r="Q25" s="86">
        <f t="shared" si="0"/>
        <v>8356813.8576796129</v>
      </c>
    </row>
    <row r="26" spans="1:17" x14ac:dyDescent="0.3">
      <c r="A26" s="11"/>
      <c r="B26" s="18" t="s">
        <v>39</v>
      </c>
      <c r="C26" s="11"/>
      <c r="D26" s="11"/>
      <c r="E26" s="13"/>
      <c r="F26" s="13"/>
      <c r="G26" s="17">
        <v>500000</v>
      </c>
      <c r="H26" s="17">
        <v>1300000</v>
      </c>
      <c r="I26" s="17">
        <v>1300000</v>
      </c>
      <c r="J26" s="17">
        <v>1300000</v>
      </c>
      <c r="K26" s="17">
        <v>1300000</v>
      </c>
      <c r="L26" s="17">
        <v>1300000</v>
      </c>
      <c r="M26" s="17">
        <v>1300000</v>
      </c>
      <c r="N26" s="17">
        <v>1300000</v>
      </c>
      <c r="O26" s="17">
        <v>1300000</v>
      </c>
      <c r="P26" s="17">
        <v>1300000</v>
      </c>
      <c r="Q26" s="27">
        <f t="shared" si="0"/>
        <v>12200000</v>
      </c>
    </row>
    <row r="27" spans="1:17" x14ac:dyDescent="0.3">
      <c r="A27" s="11"/>
      <c r="B27" s="18" t="s">
        <v>40</v>
      </c>
      <c r="C27" s="11"/>
      <c r="D27" s="11"/>
      <c r="E27" s="13"/>
      <c r="F27" s="13"/>
      <c r="G27" s="17"/>
      <c r="H27" s="17">
        <v>833333.33333333337</v>
      </c>
      <c r="I27" s="17">
        <v>833333.33333333337</v>
      </c>
      <c r="J27" s="17">
        <v>833333.33333333337</v>
      </c>
      <c r="K27" s="17">
        <v>833333.33333333337</v>
      </c>
      <c r="L27" s="17">
        <v>833333.33333333337</v>
      </c>
      <c r="M27" s="17">
        <v>833333.33333333337</v>
      </c>
      <c r="N27" s="17">
        <v>833333.33333333337</v>
      </c>
      <c r="O27" s="17">
        <v>833333.33333333337</v>
      </c>
      <c r="P27" s="17">
        <v>833333.33333333337</v>
      </c>
      <c r="Q27" s="27">
        <f t="shared" si="0"/>
        <v>7499999.9999999991</v>
      </c>
    </row>
    <row r="28" spans="1:17" ht="15.45" customHeight="1" x14ac:dyDescent="0.3">
      <c r="A28" s="11"/>
      <c r="B28" s="18" t="s">
        <v>41</v>
      </c>
      <c r="C28" s="11"/>
      <c r="D28" s="11"/>
      <c r="E28" s="13"/>
      <c r="F28" s="13"/>
      <c r="G28" s="17"/>
      <c r="H28" s="17">
        <v>1000000</v>
      </c>
      <c r="I28" s="17">
        <v>1000000</v>
      </c>
      <c r="J28" s="17">
        <v>1000000</v>
      </c>
      <c r="K28" s="17">
        <v>1000000</v>
      </c>
      <c r="L28" s="17">
        <v>1000000</v>
      </c>
      <c r="M28" s="17">
        <v>1000000</v>
      </c>
      <c r="N28" s="17">
        <v>1000000</v>
      </c>
      <c r="O28" s="17">
        <v>1000000</v>
      </c>
      <c r="P28" s="17">
        <v>1000000</v>
      </c>
      <c r="Q28" s="27">
        <f t="shared" si="0"/>
        <v>9000000</v>
      </c>
    </row>
    <row r="29" spans="1:17" ht="31.05" customHeight="1" x14ac:dyDescent="0.3">
      <c r="A29" s="11"/>
      <c r="B29" s="18" t="s">
        <v>47</v>
      </c>
      <c r="C29" s="11"/>
      <c r="D29" s="11"/>
      <c r="E29" s="13"/>
      <c r="F29" s="13"/>
      <c r="G29" s="17"/>
      <c r="H29" s="17">
        <v>1666666.6666666667</v>
      </c>
      <c r="I29" s="17">
        <v>1666666.6666666667</v>
      </c>
      <c r="J29" s="17">
        <v>1666666.6666666667</v>
      </c>
      <c r="K29" s="17">
        <v>1666666.6666666667</v>
      </c>
      <c r="L29" s="17">
        <v>1666666.6666666667</v>
      </c>
      <c r="M29" s="17">
        <v>1666666.6666666667</v>
      </c>
      <c r="N29" s="17">
        <v>1666666.6666666667</v>
      </c>
      <c r="O29" s="17">
        <v>1666666.6666666667</v>
      </c>
      <c r="P29" s="17">
        <v>1666666.6666666667</v>
      </c>
      <c r="Q29" s="28">
        <f t="shared" si="0"/>
        <v>14999999.999999998</v>
      </c>
    </row>
    <row r="30" spans="1:17" s="3" customFormat="1" x14ac:dyDescent="0.3">
      <c r="A30" s="14"/>
      <c r="B30" s="14"/>
      <c r="C30" s="14"/>
      <c r="D30" s="14"/>
      <c r="E30" s="15"/>
      <c r="F30" s="15"/>
      <c r="G30" s="15">
        <f>SUM(G24:G29)</f>
        <v>500000</v>
      </c>
      <c r="H30" s="15">
        <f t="shared" ref="H30:Q30" si="3">SUM(H24:H29)</f>
        <v>5600000</v>
      </c>
      <c r="I30" s="15">
        <f t="shared" si="3"/>
        <v>6521669.933843323</v>
      </c>
      <c r="J30" s="15">
        <f t="shared" si="3"/>
        <v>6549239.3384973006</v>
      </c>
      <c r="K30" s="15">
        <f t="shared" si="3"/>
        <v>6639803.9596905103</v>
      </c>
      <c r="L30" s="15">
        <f t="shared" si="3"/>
        <v>6664298.3812420135</v>
      </c>
      <c r="M30" s="15">
        <f t="shared" si="3"/>
        <v>6674617.7305918178</v>
      </c>
      <c r="N30" s="15">
        <f t="shared" si="3"/>
        <v>6687452.2177380631</v>
      </c>
      <c r="O30" s="15">
        <f t="shared" si="3"/>
        <v>6703002.0699747046</v>
      </c>
      <c r="P30" s="15">
        <f t="shared" si="3"/>
        <v>6716730.2261018855</v>
      </c>
      <c r="Q30" s="29">
        <f t="shared" si="3"/>
        <v>59256813.857679613</v>
      </c>
    </row>
    <row r="31" spans="1:17" x14ac:dyDescent="0.3">
      <c r="B31" s="2" t="s">
        <v>60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7" x14ac:dyDescent="0.3">
      <c r="A32" s="11"/>
      <c r="B32" s="16" t="s">
        <v>55</v>
      </c>
      <c r="C32" s="11"/>
      <c r="D32" s="11"/>
      <c r="E32" s="13"/>
      <c r="F32" s="13"/>
      <c r="G32" s="21"/>
      <c r="H32" s="21"/>
      <c r="I32" s="21"/>
      <c r="J32" s="21">
        <v>3000000</v>
      </c>
      <c r="K32" s="21"/>
      <c r="L32" s="21"/>
      <c r="M32" s="21"/>
      <c r="N32" s="21"/>
      <c r="O32" s="21"/>
      <c r="P32" s="21"/>
      <c r="Q32" s="24">
        <f t="shared" si="0"/>
        <v>3000000</v>
      </c>
    </row>
    <row r="33" spans="1:17" x14ac:dyDescent="0.3">
      <c r="A33" s="11"/>
      <c r="B33" s="16" t="s">
        <v>56</v>
      </c>
      <c r="C33" s="11"/>
      <c r="D33" s="11"/>
      <c r="E33" s="13"/>
      <c r="F33" s="13"/>
      <c r="G33" s="21"/>
      <c r="H33" s="21"/>
      <c r="I33" s="21"/>
      <c r="J33" s="21">
        <v>7000000</v>
      </c>
      <c r="K33" s="21"/>
      <c r="L33" s="21"/>
      <c r="M33" s="21">
        <v>7000000</v>
      </c>
      <c r="N33" s="21"/>
      <c r="O33" s="21"/>
      <c r="P33" s="21">
        <v>7000000</v>
      </c>
      <c r="Q33" s="24">
        <f t="shared" si="0"/>
        <v>21000000</v>
      </c>
    </row>
    <row r="34" spans="1:17" x14ac:dyDescent="0.3">
      <c r="A34" s="11"/>
      <c r="B34" s="18" t="s">
        <v>57</v>
      </c>
      <c r="C34" s="11"/>
      <c r="D34" s="11"/>
      <c r="E34" s="13"/>
      <c r="F34" s="13"/>
      <c r="G34" s="21"/>
      <c r="H34" s="21"/>
      <c r="I34" s="21"/>
      <c r="J34" s="21">
        <v>750000</v>
      </c>
      <c r="K34" s="21"/>
      <c r="L34" s="21"/>
      <c r="M34" s="21">
        <v>750000</v>
      </c>
      <c r="N34" s="21"/>
      <c r="O34" s="21"/>
      <c r="P34" s="21">
        <v>750000</v>
      </c>
      <c r="Q34" s="24">
        <f t="shared" si="0"/>
        <v>2250000</v>
      </c>
    </row>
    <row r="35" spans="1:17" x14ac:dyDescent="0.3">
      <c r="A35" s="11"/>
      <c r="B35" s="18" t="s">
        <v>58</v>
      </c>
      <c r="C35" s="11"/>
      <c r="D35" s="11"/>
      <c r="E35" s="13"/>
      <c r="F35" s="13"/>
      <c r="G35" s="21"/>
      <c r="H35" s="21">
        <v>666666.66666666663</v>
      </c>
      <c r="I35" s="21">
        <v>666666.66666666663</v>
      </c>
      <c r="J35" s="21">
        <v>666666.66666666663</v>
      </c>
      <c r="K35" s="21">
        <v>666666.66666666663</v>
      </c>
      <c r="L35" s="21">
        <v>666666.66666666663</v>
      </c>
      <c r="M35" s="21">
        <v>666666.66666666663</v>
      </c>
      <c r="N35" s="21">
        <v>666666.66666666663</v>
      </c>
      <c r="O35" s="21">
        <v>666666.66666666663</v>
      </c>
      <c r="P35" s="21">
        <v>666666.66666666663</v>
      </c>
      <c r="Q35" s="24">
        <f t="shared" si="0"/>
        <v>6000000</v>
      </c>
    </row>
    <row r="36" spans="1:17" x14ac:dyDescent="0.3">
      <c r="A36" s="11"/>
      <c r="B36" s="18" t="s">
        <v>59</v>
      </c>
      <c r="C36" s="11"/>
      <c r="D36" s="11"/>
      <c r="E36" s="13"/>
      <c r="F36" s="13"/>
      <c r="G36" s="21">
        <v>1000000</v>
      </c>
      <c r="H36" s="21">
        <v>1000000</v>
      </c>
      <c r="I36" s="21">
        <v>1000000</v>
      </c>
      <c r="J36" s="21">
        <v>1000000</v>
      </c>
      <c r="K36" s="21">
        <v>1000000</v>
      </c>
      <c r="L36" s="21">
        <v>1000000</v>
      </c>
      <c r="M36" s="21">
        <v>1000000</v>
      </c>
      <c r="N36" s="21">
        <v>1000000</v>
      </c>
      <c r="O36" s="21">
        <v>1000000</v>
      </c>
      <c r="P36" s="21">
        <v>1000000</v>
      </c>
      <c r="Q36" s="24">
        <f t="shared" si="0"/>
        <v>10000000</v>
      </c>
    </row>
    <row r="37" spans="1:17" s="3" customFormat="1" x14ac:dyDescent="0.3">
      <c r="A37" s="14"/>
      <c r="B37" s="14"/>
      <c r="C37" s="14"/>
      <c r="D37" s="14"/>
      <c r="E37" s="15"/>
      <c r="F37" s="15"/>
      <c r="G37" s="15">
        <f>SUM(G32:G36)</f>
        <v>1000000</v>
      </c>
      <c r="H37" s="15">
        <f t="shared" ref="H37:Q37" si="4">SUM(H32:H36)</f>
        <v>1666666.6666666665</v>
      </c>
      <c r="I37" s="15">
        <f t="shared" si="4"/>
        <v>1666666.6666666665</v>
      </c>
      <c r="J37" s="15">
        <f t="shared" si="4"/>
        <v>12416666.666666666</v>
      </c>
      <c r="K37" s="15">
        <f t="shared" si="4"/>
        <v>1666666.6666666665</v>
      </c>
      <c r="L37" s="15">
        <f t="shared" si="4"/>
        <v>1666666.6666666665</v>
      </c>
      <c r="M37" s="15">
        <f t="shared" si="4"/>
        <v>9416666.666666666</v>
      </c>
      <c r="N37" s="15">
        <f t="shared" si="4"/>
        <v>1666666.6666666665</v>
      </c>
      <c r="O37" s="15">
        <f t="shared" si="4"/>
        <v>1666666.6666666665</v>
      </c>
      <c r="P37" s="15">
        <f t="shared" si="4"/>
        <v>9416666.666666666</v>
      </c>
      <c r="Q37" s="29">
        <f t="shared" si="4"/>
        <v>42250000</v>
      </c>
    </row>
    <row r="38" spans="1:17" x14ac:dyDescent="0.3"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7" x14ac:dyDescent="0.3">
      <c r="B39" s="3" t="s">
        <v>8</v>
      </c>
      <c r="C39" t="s">
        <v>29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7" x14ac:dyDescent="0.3">
      <c r="A40" s="11"/>
      <c r="B40" s="63" t="s">
        <v>43</v>
      </c>
      <c r="C40" s="11"/>
      <c r="D40" s="11"/>
      <c r="E40" s="13">
        <f>Others!C4</f>
        <v>0</v>
      </c>
      <c r="F40" s="13">
        <f>Others!D4</f>
        <v>0</v>
      </c>
      <c r="G40" s="13"/>
      <c r="H40" s="13">
        <v>416666.66666666669</v>
      </c>
      <c r="I40" s="13">
        <v>416666.66666666669</v>
      </c>
      <c r="J40" s="13">
        <v>416666.66666666669</v>
      </c>
      <c r="K40" s="13">
        <v>416666.66666666669</v>
      </c>
      <c r="L40" s="13">
        <v>416666.66666666669</v>
      </c>
      <c r="M40" s="13">
        <v>416666.66666666669</v>
      </c>
      <c r="N40" s="13">
        <v>416666.66666666669</v>
      </c>
      <c r="O40" s="13">
        <v>416666.66666666669</v>
      </c>
      <c r="P40" s="13">
        <v>416666.66666666669</v>
      </c>
      <c r="Q40" s="25">
        <f t="shared" si="0"/>
        <v>3749999.9999999995</v>
      </c>
    </row>
    <row r="41" spans="1:17" x14ac:dyDescent="0.3">
      <c r="A41" s="11"/>
      <c r="B41" s="62" t="s">
        <v>44</v>
      </c>
      <c r="C41" s="11"/>
      <c r="D41" s="11"/>
      <c r="E41" s="13">
        <f>Others!C5</f>
        <v>0</v>
      </c>
      <c r="F41" s="13">
        <f>Others!D5</f>
        <v>0</v>
      </c>
      <c r="G41" s="13">
        <f>Others!E5</f>
        <v>729166.66666666663</v>
      </c>
      <c r="H41" s="13">
        <f>Others!F5</f>
        <v>0</v>
      </c>
      <c r="I41" s="13">
        <f>Others!G5</f>
        <v>0</v>
      </c>
      <c r="J41" s="13">
        <f>Others!H5</f>
        <v>729166.66666666663</v>
      </c>
      <c r="K41" s="13">
        <f>Others!I5</f>
        <v>0</v>
      </c>
      <c r="L41" s="13">
        <f>Others!J5</f>
        <v>0</v>
      </c>
      <c r="M41" s="13">
        <f>Others!K5</f>
        <v>729166.66666666663</v>
      </c>
      <c r="N41" s="13">
        <f>Others!L5</f>
        <v>0</v>
      </c>
      <c r="O41" s="13">
        <f>Others!M5</f>
        <v>0</v>
      </c>
      <c r="P41" s="13">
        <f>Others!N5</f>
        <v>729166.66666666663</v>
      </c>
      <c r="Q41" s="25">
        <f t="shared" si="0"/>
        <v>2916666.6666666665</v>
      </c>
    </row>
    <row r="42" spans="1:17" x14ac:dyDescent="0.3">
      <c r="A42" s="11"/>
      <c r="B42" s="62" t="s">
        <v>112</v>
      </c>
      <c r="C42" s="11"/>
      <c r="D42" s="11"/>
      <c r="E42" s="13">
        <f>Others!C6</f>
        <v>0</v>
      </c>
      <c r="F42" s="13">
        <f>Others!D6</f>
        <v>0</v>
      </c>
      <c r="G42" s="13">
        <f>Others!E6</f>
        <v>416666.66666666669</v>
      </c>
      <c r="H42" s="13">
        <f>Others!F6</f>
        <v>0</v>
      </c>
      <c r="I42" s="13">
        <f>Others!G6</f>
        <v>0</v>
      </c>
      <c r="J42" s="13">
        <f>Others!H6</f>
        <v>416666.66666666669</v>
      </c>
      <c r="K42" s="13">
        <f>Others!I6</f>
        <v>0</v>
      </c>
      <c r="L42" s="13">
        <f>Others!J6</f>
        <v>0</v>
      </c>
      <c r="M42" s="13">
        <f>Others!K6</f>
        <v>416666.66666666669</v>
      </c>
      <c r="N42" s="13">
        <f>Others!L6</f>
        <v>0</v>
      </c>
      <c r="O42" s="13">
        <f>Others!M6</f>
        <v>0</v>
      </c>
      <c r="P42" s="13">
        <f>Others!N6</f>
        <v>416666.66666666669</v>
      </c>
      <c r="Q42" s="25">
        <f t="shared" si="0"/>
        <v>1666666.6666666667</v>
      </c>
    </row>
    <row r="43" spans="1:17" x14ac:dyDescent="0.3">
      <c r="A43" s="11"/>
      <c r="B43" s="62" t="s">
        <v>46</v>
      </c>
      <c r="C43" s="11"/>
      <c r="D43" s="11"/>
      <c r="E43" s="13"/>
      <c r="F43" s="13"/>
      <c r="G43" s="13"/>
      <c r="H43" s="13">
        <v>6500000</v>
      </c>
      <c r="I43" s="13"/>
      <c r="J43" s="13"/>
      <c r="K43" s="13"/>
      <c r="L43" s="13"/>
      <c r="M43" s="13"/>
      <c r="N43" s="13"/>
      <c r="O43" s="13"/>
      <c r="P43" s="13"/>
      <c r="Q43" s="25">
        <f t="shared" si="0"/>
        <v>6500000</v>
      </c>
    </row>
    <row r="44" spans="1:17" x14ac:dyDescent="0.3">
      <c r="A44" s="11"/>
      <c r="B44" s="62" t="s">
        <v>70</v>
      </c>
      <c r="C44" s="11"/>
      <c r="D44" s="11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25">
        <f t="shared" si="0"/>
        <v>0</v>
      </c>
    </row>
    <row r="45" spans="1:17" s="3" customFormat="1" x14ac:dyDescent="0.3">
      <c r="A45" s="14"/>
      <c r="B45" s="14"/>
      <c r="C45" s="14"/>
      <c r="D45" s="14"/>
      <c r="E45" s="15"/>
      <c r="F45" s="15"/>
      <c r="G45" s="15">
        <f>SUM(G40:G44)</f>
        <v>1145833.3333333333</v>
      </c>
      <c r="H45" s="15">
        <f t="shared" ref="H45:Q45" si="5">SUM(H40:H44)</f>
        <v>6916666.666666667</v>
      </c>
      <c r="I45" s="15">
        <f t="shared" si="5"/>
        <v>416666.66666666669</v>
      </c>
      <c r="J45" s="15">
        <f t="shared" si="5"/>
        <v>1562500</v>
      </c>
      <c r="K45" s="15">
        <f t="shared" si="5"/>
        <v>416666.66666666669</v>
      </c>
      <c r="L45" s="15">
        <f t="shared" si="5"/>
        <v>416666.66666666669</v>
      </c>
      <c r="M45" s="15">
        <f t="shared" si="5"/>
        <v>1562500</v>
      </c>
      <c r="N45" s="15">
        <f t="shared" si="5"/>
        <v>416666.66666666669</v>
      </c>
      <c r="O45" s="15">
        <f t="shared" si="5"/>
        <v>416666.66666666669</v>
      </c>
      <c r="P45" s="15">
        <f t="shared" si="5"/>
        <v>1562500</v>
      </c>
      <c r="Q45" s="29">
        <f t="shared" si="5"/>
        <v>14833333.333333332</v>
      </c>
    </row>
    <row r="46" spans="1:17" x14ac:dyDescent="0.3">
      <c r="B46" s="1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7" x14ac:dyDescent="0.3"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7" x14ac:dyDescent="0.3">
      <c r="B48" s="2" t="s">
        <v>61</v>
      </c>
      <c r="C48" t="s">
        <v>30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7" x14ac:dyDescent="0.3">
      <c r="A49" s="11"/>
      <c r="B49" s="18" t="s">
        <v>62</v>
      </c>
      <c r="C49" s="11"/>
      <c r="D49" s="11"/>
      <c r="E49" s="13"/>
      <c r="F49" s="13"/>
      <c r="G49" s="13"/>
      <c r="H49" s="13">
        <v>833333.33333333337</v>
      </c>
      <c r="I49" s="13">
        <v>833333.33333333337</v>
      </c>
      <c r="J49" s="13">
        <v>833333.33333333337</v>
      </c>
      <c r="K49" s="13">
        <v>833333.33333333337</v>
      </c>
      <c r="L49" s="13">
        <v>833333.33333333337</v>
      </c>
      <c r="M49" s="13">
        <v>833333.33333333337</v>
      </c>
      <c r="N49" s="13">
        <v>833333.33333333337</v>
      </c>
      <c r="O49" s="13">
        <v>833333.33333333337</v>
      </c>
      <c r="P49" s="13">
        <v>833333.33333333337</v>
      </c>
      <c r="Q49" s="25">
        <f t="shared" si="0"/>
        <v>7499999.9999999991</v>
      </c>
    </row>
    <row r="50" spans="1:17" x14ac:dyDescent="0.3">
      <c r="A50" s="11"/>
      <c r="B50" s="16" t="s">
        <v>71</v>
      </c>
      <c r="C50" s="11"/>
      <c r="D50" s="11"/>
      <c r="E50" s="13"/>
      <c r="F50" s="13"/>
      <c r="G50" s="13"/>
      <c r="H50" s="13">
        <v>350000</v>
      </c>
      <c r="I50" s="13">
        <v>350000</v>
      </c>
      <c r="J50" s="13">
        <v>350000</v>
      </c>
      <c r="K50" s="13">
        <v>350000</v>
      </c>
      <c r="L50" s="13">
        <v>350000</v>
      </c>
      <c r="M50" s="13">
        <v>350000</v>
      </c>
      <c r="N50" s="13">
        <v>350000</v>
      </c>
      <c r="O50" s="13">
        <v>350000</v>
      </c>
      <c r="P50" s="13">
        <v>350000</v>
      </c>
      <c r="Q50" s="25">
        <f t="shared" si="0"/>
        <v>3150000</v>
      </c>
    </row>
    <row r="51" spans="1:17" x14ac:dyDescent="0.3">
      <c r="A51" s="11"/>
      <c r="B51" s="16" t="s">
        <v>63</v>
      </c>
      <c r="C51" s="11"/>
      <c r="D51" s="11"/>
      <c r="E51" s="13"/>
      <c r="F51" s="13"/>
      <c r="G51" s="13"/>
      <c r="H51" s="13">
        <v>125000</v>
      </c>
      <c r="I51" s="13">
        <v>125000</v>
      </c>
      <c r="J51" s="13">
        <v>125000</v>
      </c>
      <c r="K51" s="13">
        <v>125000</v>
      </c>
      <c r="L51" s="13">
        <v>125000</v>
      </c>
      <c r="M51" s="13">
        <v>125000</v>
      </c>
      <c r="N51" s="13">
        <v>125000</v>
      </c>
      <c r="O51" s="13">
        <v>125000</v>
      </c>
      <c r="P51" s="13">
        <v>125000</v>
      </c>
      <c r="Q51" s="25">
        <f t="shared" si="0"/>
        <v>1125000</v>
      </c>
    </row>
    <row r="52" spans="1:17" x14ac:dyDescent="0.3">
      <c r="A52" s="11"/>
      <c r="B52" s="16" t="s">
        <v>64</v>
      </c>
      <c r="C52" s="11"/>
      <c r="D52" s="11"/>
      <c r="E52" s="13"/>
      <c r="F52" s="13"/>
      <c r="G52" s="13"/>
      <c r="H52" s="13">
        <v>250000</v>
      </c>
      <c r="I52" s="13"/>
      <c r="J52" s="13"/>
      <c r="K52" s="13">
        <v>250000</v>
      </c>
      <c r="L52" s="13"/>
      <c r="M52" s="13"/>
      <c r="N52" s="13">
        <v>250000</v>
      </c>
      <c r="O52" s="13"/>
      <c r="P52" s="13"/>
      <c r="Q52" s="25">
        <f t="shared" si="0"/>
        <v>750000</v>
      </c>
    </row>
    <row r="53" spans="1:17" x14ac:dyDescent="0.3">
      <c r="A53" s="11"/>
      <c r="B53" s="16" t="s">
        <v>65</v>
      </c>
      <c r="C53" s="11"/>
      <c r="D53" s="11"/>
      <c r="E53" s="13"/>
      <c r="F53" s="13"/>
      <c r="G53" s="13"/>
      <c r="H53" s="13">
        <v>166666.66666666666</v>
      </c>
      <c r="I53" s="13">
        <v>166666.66666666666</v>
      </c>
      <c r="J53" s="13">
        <v>166666.66666666666</v>
      </c>
      <c r="K53" s="13">
        <v>166666.66666666666</v>
      </c>
      <c r="L53" s="13">
        <v>166666.66666666666</v>
      </c>
      <c r="M53" s="13">
        <v>166666.66666666666</v>
      </c>
      <c r="N53" s="13">
        <v>166666.66666666666</v>
      </c>
      <c r="O53" s="13">
        <v>166666.66666666666</v>
      </c>
      <c r="P53" s="13">
        <v>166666.66666666666</v>
      </c>
      <c r="Q53" s="25">
        <f t="shared" si="0"/>
        <v>1500000</v>
      </c>
    </row>
    <row r="54" spans="1:17" s="3" customFormat="1" x14ac:dyDescent="0.3">
      <c r="A54" s="14"/>
      <c r="B54" s="14"/>
      <c r="C54" s="14"/>
      <c r="D54" s="14"/>
      <c r="E54" s="15"/>
      <c r="F54" s="15"/>
      <c r="G54" s="15">
        <f>SUM(G49:G53)</f>
        <v>0</v>
      </c>
      <c r="H54" s="15">
        <f t="shared" ref="H54:Q54" si="6">SUM(H49:H53)</f>
        <v>1725000.0000000002</v>
      </c>
      <c r="I54" s="15">
        <f t="shared" si="6"/>
        <v>1475000.0000000002</v>
      </c>
      <c r="J54" s="15">
        <f t="shared" si="6"/>
        <v>1475000.0000000002</v>
      </c>
      <c r="K54" s="15">
        <f t="shared" si="6"/>
        <v>1725000.0000000002</v>
      </c>
      <c r="L54" s="15">
        <f t="shared" si="6"/>
        <v>1475000.0000000002</v>
      </c>
      <c r="M54" s="15">
        <f t="shared" si="6"/>
        <v>1475000.0000000002</v>
      </c>
      <c r="N54" s="15">
        <f t="shared" si="6"/>
        <v>1725000.0000000002</v>
      </c>
      <c r="O54" s="15">
        <f t="shared" si="6"/>
        <v>1475000.0000000002</v>
      </c>
      <c r="P54" s="15">
        <f t="shared" si="6"/>
        <v>1475000.0000000002</v>
      </c>
      <c r="Q54" s="29">
        <f t="shared" si="6"/>
        <v>14025000</v>
      </c>
    </row>
    <row r="55" spans="1:17" x14ac:dyDescent="0.3"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7" x14ac:dyDescent="0.3">
      <c r="B56" s="3" t="s">
        <v>9</v>
      </c>
      <c r="C56" t="s">
        <v>31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7" x14ac:dyDescent="0.3">
      <c r="A57" s="11"/>
      <c r="B57" s="18" t="s">
        <v>54</v>
      </c>
      <c r="C57" s="11"/>
      <c r="D57" s="11"/>
      <c r="E57" s="13"/>
      <c r="F57" s="13"/>
      <c r="G57" s="13"/>
      <c r="H57" s="13">
        <v>1666667</v>
      </c>
      <c r="I57" s="13">
        <v>1666667</v>
      </c>
      <c r="J57" s="13">
        <v>1666667</v>
      </c>
      <c r="K57" s="13">
        <v>1666667</v>
      </c>
      <c r="L57" s="13">
        <v>1666667</v>
      </c>
      <c r="M57" s="13">
        <v>1666667</v>
      </c>
      <c r="N57" s="13">
        <v>1666667</v>
      </c>
      <c r="O57" s="13">
        <v>1666667</v>
      </c>
      <c r="P57" s="13">
        <v>1666667</v>
      </c>
      <c r="Q57" s="25">
        <f t="shared" si="0"/>
        <v>15000003</v>
      </c>
    </row>
    <row r="58" spans="1:17" x14ac:dyDescent="0.3">
      <c r="A58" s="11"/>
      <c r="B58" s="18" t="s">
        <v>72</v>
      </c>
      <c r="C58" s="11"/>
      <c r="D58" s="11"/>
      <c r="E58" s="13"/>
      <c r="F58" s="13"/>
      <c r="G58" s="13"/>
      <c r="H58" s="13">
        <v>150000</v>
      </c>
      <c r="I58" s="13">
        <v>150000</v>
      </c>
      <c r="J58" s="13">
        <v>150000</v>
      </c>
      <c r="K58" s="13">
        <v>150000</v>
      </c>
      <c r="L58" s="13">
        <v>150000</v>
      </c>
      <c r="M58" s="13">
        <v>150000</v>
      </c>
      <c r="N58" s="13">
        <v>150000</v>
      </c>
      <c r="O58" s="13">
        <v>150000</v>
      </c>
      <c r="P58" s="13">
        <v>150000</v>
      </c>
      <c r="Q58" s="25">
        <f t="shared" si="0"/>
        <v>1350000</v>
      </c>
    </row>
    <row r="59" spans="1:17" x14ac:dyDescent="0.3">
      <c r="A59" s="11"/>
      <c r="B59" s="18" t="s">
        <v>69</v>
      </c>
      <c r="C59" s="11"/>
      <c r="D59" s="11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>
        <v>2000000</v>
      </c>
      <c r="Q59" s="25">
        <f t="shared" si="0"/>
        <v>2000000</v>
      </c>
    </row>
    <row r="60" spans="1:17" s="3" customFormat="1" x14ac:dyDescent="0.3">
      <c r="A60" s="14"/>
      <c r="B60" s="14"/>
      <c r="C60" s="14"/>
      <c r="D60" s="14"/>
      <c r="E60" s="15"/>
      <c r="F60" s="15"/>
      <c r="G60" s="15"/>
      <c r="H60" s="15">
        <f>SUM(H57:H59)</f>
        <v>1816667</v>
      </c>
      <c r="I60" s="15">
        <f t="shared" ref="I60:Q60" si="7">SUM(I57:I59)</f>
        <v>1816667</v>
      </c>
      <c r="J60" s="15">
        <f t="shared" si="7"/>
        <v>1816667</v>
      </c>
      <c r="K60" s="15">
        <f t="shared" si="7"/>
        <v>1816667</v>
      </c>
      <c r="L60" s="15">
        <f t="shared" si="7"/>
        <v>1816667</v>
      </c>
      <c r="M60" s="15">
        <f t="shared" si="7"/>
        <v>1816667</v>
      </c>
      <c r="N60" s="15">
        <f t="shared" si="7"/>
        <v>1816667</v>
      </c>
      <c r="O60" s="15">
        <f t="shared" si="7"/>
        <v>1816667</v>
      </c>
      <c r="P60" s="15">
        <f t="shared" si="7"/>
        <v>3816667</v>
      </c>
      <c r="Q60" s="29">
        <f t="shared" si="7"/>
        <v>18350003</v>
      </c>
    </row>
    <row r="61" spans="1:17" x14ac:dyDescent="0.3">
      <c r="A61" s="88"/>
      <c r="B61" s="89"/>
      <c r="C61" s="88"/>
      <c r="D61" s="88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</row>
    <row r="62" spans="1:17" x14ac:dyDescent="0.3"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7" s="3" customFormat="1" x14ac:dyDescent="0.3">
      <c r="A63" s="14"/>
      <c r="B63" s="14" t="s">
        <v>10</v>
      </c>
      <c r="C63" s="14"/>
      <c r="D63" s="14"/>
      <c r="E63" s="15"/>
      <c r="F63" s="15"/>
      <c r="G63" s="15">
        <f>SUM(G60,G54,G45,G37,G30,G19)</f>
        <v>9064683.1458333321</v>
      </c>
      <c r="H63" s="15">
        <f t="shared" ref="H63:P63" si="8">SUM(H60,H54,H45,H37,H30,H19)</f>
        <v>33335314.354166672</v>
      </c>
      <c r="I63" s="15">
        <f t="shared" si="8"/>
        <v>27937357.058843322</v>
      </c>
      <c r="J63" s="15">
        <f t="shared" si="8"/>
        <v>39860759.796830632</v>
      </c>
      <c r="K63" s="15">
        <f t="shared" si="8"/>
        <v>28305491.084690511</v>
      </c>
      <c r="L63" s="15">
        <f t="shared" si="8"/>
        <v>28079985.506242014</v>
      </c>
      <c r="M63" s="15">
        <f t="shared" si="8"/>
        <v>36986138.188925147</v>
      </c>
      <c r="N63" s="15">
        <f t="shared" si="8"/>
        <v>28353139.342738062</v>
      </c>
      <c r="O63" s="15">
        <f t="shared" si="8"/>
        <v>28118689.194974706</v>
      </c>
      <c r="P63" s="15">
        <f t="shared" si="8"/>
        <v>39028250.684435219</v>
      </c>
      <c r="Q63" s="29">
        <f t="shared" si="0"/>
        <v>299069808.35767961</v>
      </c>
    </row>
    <row r="64" spans="1:17" x14ac:dyDescent="0.3"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7" x14ac:dyDescent="0.3"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7" x14ac:dyDescent="0.3"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7" x14ac:dyDescent="0.3">
      <c r="A67" s="8" t="s">
        <v>11</v>
      </c>
      <c r="B67" s="9"/>
      <c r="C67" s="9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>
        <f t="shared" si="0"/>
        <v>0</v>
      </c>
    </row>
    <row r="68" spans="1:17" x14ac:dyDescent="0.3">
      <c r="A68" s="11"/>
      <c r="B68" s="16" t="s">
        <v>50</v>
      </c>
      <c r="C68" s="11"/>
      <c r="D68" s="11"/>
      <c r="E68" s="13">
        <f>Others!C11</f>
        <v>0</v>
      </c>
      <c r="F68" s="13">
        <f>Others!D11</f>
        <v>0</v>
      </c>
      <c r="G68" s="13"/>
      <c r="H68" s="13">
        <v>333333.33333333331</v>
      </c>
      <c r="I68" s="13">
        <v>333333.33333333331</v>
      </c>
      <c r="J68" s="13">
        <v>333333.33333333331</v>
      </c>
      <c r="K68" s="13">
        <v>333333.33333333331</v>
      </c>
      <c r="L68" s="13">
        <v>333333.33333333331</v>
      </c>
      <c r="M68" s="13">
        <v>333333.33333333331</v>
      </c>
      <c r="N68" s="13">
        <v>333333.33333333331</v>
      </c>
      <c r="O68" s="13">
        <v>333333.33333333331</v>
      </c>
      <c r="P68" s="13">
        <v>1333333</v>
      </c>
      <c r="Q68" s="25">
        <f t="shared" si="0"/>
        <v>3999999.6666666665</v>
      </c>
    </row>
    <row r="69" spans="1:17" s="34" customFormat="1" x14ac:dyDescent="0.3">
      <c r="A69" s="30"/>
      <c r="B69" s="31" t="s">
        <v>12</v>
      </c>
      <c r="C69" s="30" t="s">
        <v>32</v>
      </c>
      <c r="D69" s="30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3">
        <f t="shared" si="0"/>
        <v>0</v>
      </c>
    </row>
    <row r="70" spans="1:17" s="34" customFormat="1" x14ac:dyDescent="0.3">
      <c r="A70" s="30"/>
      <c r="B70" s="31" t="s">
        <v>14</v>
      </c>
      <c r="C70" s="30" t="s">
        <v>33</v>
      </c>
      <c r="D70" s="30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3">
        <f t="shared" si="0"/>
        <v>0</v>
      </c>
    </row>
    <row r="71" spans="1:17" x14ac:dyDescent="0.3">
      <c r="A71" s="11"/>
      <c r="B71" s="16" t="s">
        <v>51</v>
      </c>
      <c r="C71" s="11" t="s">
        <v>34</v>
      </c>
      <c r="D71" s="11"/>
      <c r="E71" s="13">
        <f>Others!C12</f>
        <v>0</v>
      </c>
      <c r="F71" s="13">
        <f>Others!D12</f>
        <v>0</v>
      </c>
      <c r="G71" s="13">
        <f>Others!E12</f>
        <v>250000</v>
      </c>
      <c r="H71" s="13">
        <f>Others!F12</f>
        <v>250000</v>
      </c>
      <c r="I71" s="13">
        <f>Others!G12</f>
        <v>250000</v>
      </c>
      <c r="J71" s="13">
        <f>Others!H12</f>
        <v>250000</v>
      </c>
      <c r="K71" s="13">
        <f>Others!I12</f>
        <v>250000</v>
      </c>
      <c r="L71" s="13">
        <f>Others!J12</f>
        <v>250000</v>
      </c>
      <c r="M71" s="13">
        <f>Others!K12</f>
        <v>250000</v>
      </c>
      <c r="N71" s="13">
        <f>Others!L12</f>
        <v>250000</v>
      </c>
      <c r="O71" s="13">
        <f>Others!M12</f>
        <v>250000</v>
      </c>
      <c r="P71" s="13">
        <f>Others!N12</f>
        <v>250000</v>
      </c>
      <c r="Q71" s="25">
        <f t="shared" si="0"/>
        <v>2500000</v>
      </c>
    </row>
    <row r="72" spans="1:17" x14ac:dyDescent="0.3">
      <c r="A72" s="11"/>
      <c r="B72" s="16" t="s">
        <v>52</v>
      </c>
      <c r="C72" s="11"/>
      <c r="D72" s="11"/>
      <c r="E72" s="13">
        <f>Others!C13</f>
        <v>0</v>
      </c>
      <c r="F72" s="13">
        <f>Others!D13</f>
        <v>0</v>
      </c>
      <c r="G72" s="13"/>
      <c r="H72" s="13">
        <v>208333.33333333334</v>
      </c>
      <c r="I72" s="13">
        <v>208333.33333333334</v>
      </c>
      <c r="J72" s="13">
        <v>208333.33333333334</v>
      </c>
      <c r="K72" s="13">
        <v>208333.33333333334</v>
      </c>
      <c r="L72" s="13">
        <v>208333.33333333334</v>
      </c>
      <c r="M72" s="13">
        <v>208333.33333333334</v>
      </c>
      <c r="N72" s="13">
        <v>208333.33333333334</v>
      </c>
      <c r="O72" s="13">
        <v>208333.33333333334</v>
      </c>
      <c r="P72" s="13">
        <v>208333.33333333334</v>
      </c>
      <c r="Q72" s="25">
        <f t="shared" si="0"/>
        <v>1874999.9999999998</v>
      </c>
    </row>
    <row r="73" spans="1:17" x14ac:dyDescent="0.3">
      <c r="A73" s="11"/>
      <c r="B73" s="16" t="s">
        <v>53</v>
      </c>
      <c r="C73" s="11"/>
      <c r="D73" s="11"/>
      <c r="E73" s="13">
        <f>Others!C14</f>
        <v>0</v>
      </c>
      <c r="F73" s="13">
        <f>Others!D14</f>
        <v>0</v>
      </c>
      <c r="G73" s="13"/>
      <c r="H73" s="13">
        <v>125000</v>
      </c>
      <c r="I73" s="13">
        <v>125000</v>
      </c>
      <c r="J73" s="13">
        <v>125000</v>
      </c>
      <c r="K73" s="13">
        <v>125000</v>
      </c>
      <c r="L73" s="13">
        <v>125000</v>
      </c>
      <c r="M73" s="13">
        <v>125000</v>
      </c>
      <c r="N73" s="13">
        <v>125000</v>
      </c>
      <c r="O73" s="13">
        <v>125000</v>
      </c>
      <c r="P73" s="13">
        <v>125000</v>
      </c>
      <c r="Q73" s="25">
        <f t="shared" si="0"/>
        <v>1125000</v>
      </c>
    </row>
    <row r="74" spans="1:17" x14ac:dyDescent="0.3">
      <c r="A74" s="11"/>
      <c r="B74" s="16" t="s">
        <v>13</v>
      </c>
      <c r="C74" s="11"/>
      <c r="D74" s="11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25">
        <f t="shared" si="0"/>
        <v>0</v>
      </c>
    </row>
    <row r="75" spans="1:17" s="3" customFormat="1" x14ac:dyDescent="0.3">
      <c r="A75" s="14"/>
      <c r="B75" s="14" t="s">
        <v>15</v>
      </c>
      <c r="C75" s="14"/>
      <c r="D75" s="14"/>
      <c r="E75" s="15"/>
      <c r="F75" s="15"/>
      <c r="G75" s="15">
        <f>SUM(G68:G74)</f>
        <v>250000</v>
      </c>
      <c r="H75" s="15">
        <f t="shared" ref="H75:P75" si="9">SUM(H68:H74)</f>
        <v>916666.66666666663</v>
      </c>
      <c r="I75" s="15">
        <f t="shared" si="9"/>
        <v>916666.66666666663</v>
      </c>
      <c r="J75" s="15">
        <f t="shared" si="9"/>
        <v>916666.66666666663</v>
      </c>
      <c r="K75" s="15">
        <f t="shared" si="9"/>
        <v>916666.66666666663</v>
      </c>
      <c r="L75" s="15">
        <f t="shared" si="9"/>
        <v>916666.66666666663</v>
      </c>
      <c r="M75" s="15">
        <f t="shared" si="9"/>
        <v>916666.66666666663</v>
      </c>
      <c r="N75" s="15">
        <f t="shared" si="9"/>
        <v>916666.66666666663</v>
      </c>
      <c r="O75" s="15">
        <f t="shared" si="9"/>
        <v>916666.66666666663</v>
      </c>
      <c r="P75" s="15">
        <f t="shared" si="9"/>
        <v>1916666.3333333333</v>
      </c>
      <c r="Q75" s="29">
        <f t="shared" ref="Q75:Q89" si="10">SUM(E75:P75)</f>
        <v>9499999.6666666679</v>
      </c>
    </row>
    <row r="76" spans="1:17" x14ac:dyDescent="0.3"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81" spans="1:17" x14ac:dyDescent="0.3">
      <c r="A81" s="8"/>
      <c r="B81" s="8" t="s">
        <v>16</v>
      </c>
      <c r="C81" s="9"/>
      <c r="D81" s="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>
        <f t="shared" si="10"/>
        <v>0</v>
      </c>
    </row>
    <row r="82" spans="1:17" x14ac:dyDescent="0.3">
      <c r="A82" s="11"/>
      <c r="B82" s="16" t="s">
        <v>114</v>
      </c>
      <c r="C82" s="11" t="s">
        <v>35</v>
      </c>
      <c r="D82" s="59">
        <v>0.01</v>
      </c>
      <c r="E82" s="13">
        <f>E14*$D$82</f>
        <v>0</v>
      </c>
      <c r="F82" s="13">
        <f t="shared" ref="F82:P82" si="11">F14*$D$82</f>
        <v>0</v>
      </c>
      <c r="G82" s="13">
        <f>G14*$D$82</f>
        <v>0</v>
      </c>
      <c r="H82" s="13">
        <f t="shared" si="11"/>
        <v>2070000</v>
      </c>
      <c r="I82" s="13">
        <f t="shared" si="11"/>
        <v>0</v>
      </c>
      <c r="J82" s="13">
        <f t="shared" si="11"/>
        <v>0</v>
      </c>
      <c r="K82" s="13">
        <f t="shared" si="11"/>
        <v>2070000</v>
      </c>
      <c r="L82" s="13">
        <f t="shared" si="11"/>
        <v>0</v>
      </c>
      <c r="M82" s="13">
        <f t="shared" si="11"/>
        <v>0</v>
      </c>
      <c r="N82" s="13">
        <f t="shared" si="11"/>
        <v>2070000</v>
      </c>
      <c r="O82" s="13">
        <f t="shared" si="11"/>
        <v>0</v>
      </c>
      <c r="P82" s="13">
        <f t="shared" si="11"/>
        <v>0</v>
      </c>
      <c r="Q82" s="25">
        <f t="shared" si="10"/>
        <v>6210000</v>
      </c>
    </row>
    <row r="83" spans="1:17" x14ac:dyDescent="0.3">
      <c r="A83" s="11"/>
      <c r="B83" s="16" t="s">
        <v>113</v>
      </c>
      <c r="C83" s="11" t="s">
        <v>36</v>
      </c>
      <c r="D83" s="59">
        <v>0.02</v>
      </c>
      <c r="E83" s="13">
        <f>E63*$D$83</f>
        <v>0</v>
      </c>
      <c r="F83" s="13">
        <f t="shared" ref="F83:P83" si="12">F63*$D$83</f>
        <v>0</v>
      </c>
      <c r="G83" s="13">
        <f>G63*$D$83</f>
        <v>181293.66291666665</v>
      </c>
      <c r="H83" s="13">
        <f t="shared" si="12"/>
        <v>666706.28708333347</v>
      </c>
      <c r="I83" s="13">
        <f t="shared" si="12"/>
        <v>558747.14117686648</v>
      </c>
      <c r="J83" s="13">
        <f t="shared" si="12"/>
        <v>797215.19593661267</v>
      </c>
      <c r="K83" s="13">
        <f t="shared" si="12"/>
        <v>566109.82169381029</v>
      </c>
      <c r="L83" s="13">
        <f t="shared" si="12"/>
        <v>561599.71012484026</v>
      </c>
      <c r="M83" s="13">
        <f t="shared" si="12"/>
        <v>739722.76377850294</v>
      </c>
      <c r="N83" s="13">
        <f t="shared" si="12"/>
        <v>567062.7868547613</v>
      </c>
      <c r="O83" s="13">
        <f t="shared" si="12"/>
        <v>562373.7838994941</v>
      </c>
      <c r="P83" s="13">
        <f t="shared" si="12"/>
        <v>780565.01368870435</v>
      </c>
      <c r="Q83" s="25">
        <f t="shared" si="10"/>
        <v>5981396.1671535932</v>
      </c>
    </row>
    <row r="84" spans="1:17" s="3" customFormat="1" x14ac:dyDescent="0.3">
      <c r="A84" s="14"/>
      <c r="B84" s="14" t="s">
        <v>17</v>
      </c>
      <c r="C84" s="14"/>
      <c r="D84" s="14"/>
      <c r="E84" s="15">
        <f>SUM(E82:E83)</f>
        <v>0</v>
      </c>
      <c r="F84" s="15">
        <f t="shared" ref="F84:P84" si="13">SUM(F82:F83)</f>
        <v>0</v>
      </c>
      <c r="G84" s="15">
        <f t="shared" si="13"/>
        <v>181293.66291666665</v>
      </c>
      <c r="H84" s="15">
        <f t="shared" si="13"/>
        <v>2736706.2870833334</v>
      </c>
      <c r="I84" s="15">
        <f t="shared" si="13"/>
        <v>558747.14117686648</v>
      </c>
      <c r="J84" s="15">
        <f t="shared" si="13"/>
        <v>797215.19593661267</v>
      </c>
      <c r="K84" s="15">
        <f t="shared" si="13"/>
        <v>2636109.8216938102</v>
      </c>
      <c r="L84" s="15">
        <f t="shared" si="13"/>
        <v>561599.71012484026</v>
      </c>
      <c r="M84" s="15">
        <f t="shared" si="13"/>
        <v>739722.76377850294</v>
      </c>
      <c r="N84" s="15">
        <f t="shared" si="13"/>
        <v>2637062.7868547612</v>
      </c>
      <c r="O84" s="15">
        <f t="shared" si="13"/>
        <v>562373.7838994941</v>
      </c>
      <c r="P84" s="15">
        <f t="shared" si="13"/>
        <v>780565.01368870435</v>
      </c>
      <c r="Q84" s="29">
        <f t="shared" si="10"/>
        <v>12191396.167153591</v>
      </c>
    </row>
    <row r="89" spans="1:17" x14ac:dyDescent="0.3">
      <c r="A89" s="8"/>
      <c r="B89" s="8" t="s">
        <v>18</v>
      </c>
      <c r="C89" s="9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>
        <f t="shared" si="10"/>
        <v>0</v>
      </c>
    </row>
    <row r="90" spans="1:17" x14ac:dyDescent="0.3">
      <c r="B90" t="s">
        <v>5</v>
      </c>
      <c r="E90" s="35">
        <f t="shared" ref="E90:F90" si="14">SUM(E14)</f>
        <v>0</v>
      </c>
      <c r="F90" s="35">
        <f t="shared" si="14"/>
        <v>0</v>
      </c>
      <c r="G90" s="35">
        <f>SUM(G14)</f>
        <v>0</v>
      </c>
      <c r="H90" s="35">
        <f t="shared" ref="H90:Q90" si="15">SUM(H14)</f>
        <v>207000000</v>
      </c>
      <c r="I90" s="35">
        <f t="shared" si="15"/>
        <v>0</v>
      </c>
      <c r="J90" s="35">
        <f t="shared" si="15"/>
        <v>0</v>
      </c>
      <c r="K90" s="35">
        <f t="shared" si="15"/>
        <v>207000000</v>
      </c>
      <c r="L90" s="35">
        <f t="shared" si="15"/>
        <v>0</v>
      </c>
      <c r="M90" s="35">
        <f t="shared" si="15"/>
        <v>0</v>
      </c>
      <c r="N90" s="35">
        <f t="shared" si="15"/>
        <v>207000000</v>
      </c>
      <c r="O90" s="35">
        <f t="shared" si="15"/>
        <v>0</v>
      </c>
      <c r="P90" s="35">
        <f t="shared" si="15"/>
        <v>0</v>
      </c>
      <c r="Q90" s="35">
        <f>SUM(G90:P90)</f>
        <v>621000000</v>
      </c>
    </row>
    <row r="91" spans="1:17" x14ac:dyDescent="0.3">
      <c r="B91" t="s">
        <v>19</v>
      </c>
      <c r="E91" s="35">
        <f t="shared" ref="E91:F91" si="16">-SUM(E84,E75,E63,E54,E45,E37,E30,E19)</f>
        <v>0</v>
      </c>
      <c r="F91" s="35">
        <f t="shared" si="16"/>
        <v>0</v>
      </c>
      <c r="G91" s="35">
        <f>-SUM(G84,G75,G63,G54,G45,G37,G30,G19,G60)</f>
        <v>-18560659.954583332</v>
      </c>
      <c r="H91" s="35">
        <f t="shared" ref="H91:Q91" si="17">-SUM(H84,H75,H63,H54,H45,H37,H30,H19,H60)</f>
        <v>-70324001.662083328</v>
      </c>
      <c r="I91" s="35">
        <f t="shared" si="17"/>
        <v>-57350127.92553018</v>
      </c>
      <c r="J91" s="35">
        <f t="shared" si="17"/>
        <v>-81435401.456264541</v>
      </c>
      <c r="K91" s="35">
        <f t="shared" si="17"/>
        <v>-60163758.657741502</v>
      </c>
      <c r="L91" s="35">
        <f t="shared" si="17"/>
        <v>-57638237.389275536</v>
      </c>
      <c r="M91" s="35">
        <f t="shared" si="17"/>
        <v>-75628665.808295473</v>
      </c>
      <c r="N91" s="35">
        <f t="shared" si="17"/>
        <v>-60260008.138997555</v>
      </c>
      <c r="O91" s="35">
        <f t="shared" si="17"/>
        <v>-57716418.840515569</v>
      </c>
      <c r="P91" s="35">
        <f t="shared" si="17"/>
        <v>-80753732.715892464</v>
      </c>
      <c r="Q91" s="35">
        <f t="shared" si="17"/>
        <v>-619831012.54917955</v>
      </c>
    </row>
    <row r="92" spans="1:17" s="3" customFormat="1" x14ac:dyDescent="0.3">
      <c r="A92" s="82"/>
      <c r="B92" s="82" t="s">
        <v>20</v>
      </c>
      <c r="C92" s="82"/>
      <c r="D92" s="82"/>
      <c r="E92" s="83">
        <f t="shared" ref="E92:F92" si="18">E90+E91</f>
        <v>0</v>
      </c>
      <c r="F92" s="83">
        <f t="shared" si="18"/>
        <v>0</v>
      </c>
      <c r="G92" s="83">
        <f>G90+G91+F92</f>
        <v>-18560659.954583332</v>
      </c>
      <c r="H92" s="83">
        <f>H90+H91+G92</f>
        <v>118115338.38333334</v>
      </c>
      <c r="I92" s="83">
        <f>I90+I91+H92</f>
        <v>60765210.45780316</v>
      </c>
      <c r="J92" s="83">
        <f t="shared" ref="J92:P92" si="19">J90+J91+I92</f>
        <v>-20670190.998461381</v>
      </c>
      <c r="K92" s="83">
        <f t="shared" si="19"/>
        <v>126166050.34379713</v>
      </c>
      <c r="L92" s="83">
        <f t="shared" si="19"/>
        <v>68527812.954521596</v>
      </c>
      <c r="M92" s="83">
        <f t="shared" si="19"/>
        <v>-7100852.853773877</v>
      </c>
      <c r="N92" s="83">
        <f t="shared" si="19"/>
        <v>139639139.00722855</v>
      </c>
      <c r="O92" s="83">
        <f t="shared" si="19"/>
        <v>81922720.166712984</v>
      </c>
      <c r="P92" s="83">
        <f t="shared" si="19"/>
        <v>1168987.4508205205</v>
      </c>
      <c r="Q92" s="83">
        <f t="shared" ref="H92:Q92" si="20">Q90+Q91</f>
        <v>1168987.450820446</v>
      </c>
    </row>
    <row r="94" spans="1:17" x14ac:dyDescent="0.3">
      <c r="Q94" s="22">
        <f>Q91/10</f>
        <v>-61983101.254917957</v>
      </c>
    </row>
    <row r="95" spans="1:17" x14ac:dyDescent="0.3">
      <c r="Q95" s="22">
        <f>Q94*3</f>
        <v>-185949303.76475388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3BF7-C895-4066-8F4B-45B70F118F80}">
  <dimension ref="A1:O31"/>
  <sheetViews>
    <sheetView workbookViewId="0">
      <selection activeCell="B22" sqref="B22"/>
    </sheetView>
  </sheetViews>
  <sheetFormatPr defaultColWidth="8.77734375" defaultRowHeight="14.4" x14ac:dyDescent="0.3"/>
  <cols>
    <col min="2" max="2" width="29.77734375" customWidth="1"/>
    <col min="3" max="4" width="11.21875" style="37" bestFit="1" customWidth="1"/>
    <col min="5" max="5" width="12.5546875" style="37" customWidth="1"/>
    <col min="6" max="6" width="12.33203125" style="37" customWidth="1"/>
    <col min="7" max="7" width="12.5546875" style="37" customWidth="1"/>
    <col min="8" max="8" width="13.77734375" style="37" customWidth="1"/>
    <col min="9" max="9" width="13.33203125" style="37" customWidth="1"/>
    <col min="10" max="10" width="12.5546875" style="37" customWidth="1"/>
    <col min="11" max="11" width="12.77734375" style="37" customWidth="1"/>
    <col min="12" max="12" width="15.21875" style="37" customWidth="1"/>
    <col min="13" max="13" width="14.77734375" style="37" customWidth="1"/>
    <col min="14" max="14" width="14.109375" style="37" customWidth="1"/>
    <col min="15" max="15" width="14.6640625" customWidth="1"/>
  </cols>
  <sheetData>
    <row r="1" spans="1:15" ht="16.2" thickBot="1" x14ac:dyDescent="0.35">
      <c r="C1" s="91"/>
      <c r="E1" s="92" t="s">
        <v>116</v>
      </c>
      <c r="F1" s="93"/>
      <c r="G1" s="93"/>
      <c r="H1" s="93"/>
      <c r="I1" s="93"/>
      <c r="J1" s="93"/>
      <c r="K1" s="93"/>
      <c r="L1" s="93"/>
      <c r="M1" s="93"/>
      <c r="N1" s="94"/>
      <c r="O1" s="95"/>
    </row>
    <row r="2" spans="1:15" ht="29.4" thickBot="1" x14ac:dyDescent="0.35">
      <c r="A2" s="96" t="s">
        <v>117</v>
      </c>
      <c r="B2" s="97" t="s">
        <v>73</v>
      </c>
      <c r="C2" s="98" t="s">
        <v>74</v>
      </c>
      <c r="D2" s="98" t="s">
        <v>75</v>
      </c>
      <c r="E2" s="98" t="s">
        <v>76</v>
      </c>
      <c r="F2" s="98" t="s">
        <v>77</v>
      </c>
      <c r="G2" s="98" t="s">
        <v>78</v>
      </c>
      <c r="H2" s="98" t="s">
        <v>79</v>
      </c>
      <c r="I2" s="98" t="s">
        <v>80</v>
      </c>
      <c r="J2" s="98" t="s">
        <v>81</v>
      </c>
      <c r="K2" s="98" t="s">
        <v>82</v>
      </c>
      <c r="L2" s="98" t="s">
        <v>83</v>
      </c>
      <c r="M2" s="98" t="s">
        <v>84</v>
      </c>
      <c r="N2" s="98" t="s">
        <v>85</v>
      </c>
      <c r="O2" s="99" t="s">
        <v>118</v>
      </c>
    </row>
    <row r="3" spans="1:15" x14ac:dyDescent="0.3">
      <c r="A3" s="100">
        <v>1</v>
      </c>
      <c r="B3" s="101" t="s">
        <v>95</v>
      </c>
      <c r="C3" s="102">
        <f>(_xlfn.XLOOKUP(B3,'[1]Annual Employer Cost per Grade'!$C$2:$C$17,'[1]Annual Employer Cost per Grade'!$U$2:$U$17,0,0))*(INDEX('[1]Headcount Phasing'!$B$3:$M$18,MATCH(B3,'[1]Headcount Phasing'!$A$3:$A$18,0),MATCH($C$2,'[1]Headcount Phasing'!$B$2:$M$2,0)))</f>
        <v>0</v>
      </c>
      <c r="D3" s="102">
        <f>(_xlfn.XLOOKUP(B3,'[1]Annual Employer Cost per Grade'!$C$2:$C$17,'[1]Annual Employer Cost per Grade'!$U$2:$U$17,0,0))*(INDEX('[1]Headcount Phasing'!$B$3:$M$18,MATCH(B3,'[1]Headcount Phasing'!$A$3:$A$18,0),MATCH($D$2,'[1]Headcount Phasing'!$B$2:$M$2,0)))</f>
        <v>0</v>
      </c>
      <c r="E3" s="102">
        <f>(_xlfn.XLOOKUP(B3,'[1]Annual Employer Cost per Grade'!$C$2:$C$17,'[1]Annual Employer Cost per Grade'!$U$2:$U$17,0,0))*(INDEX('[1]Headcount Phasing'!$B$3:$M$18,MATCH(B3,'[1]Headcount Phasing'!$A$3:$A$18,0),MATCH($E$2,'[1]Headcount Phasing'!$B$2:$M$2,0)))</f>
        <v>6187666.666666667</v>
      </c>
      <c r="F3" s="102">
        <f>(_xlfn.XLOOKUP(B3,'[1]Annual Employer Cost per Grade'!$C$2:$C$17,'[1]Annual Employer Cost per Grade'!$U$2:$U$17,0,0))*(INDEX('[1]Headcount Phasing'!$B$3:$M$18,MATCH(B3,'[1]Headcount Phasing'!$A$3:$A$18,0),MATCH($F$2,'[1]Headcount Phasing'!$B$2:$M$2,0)))</f>
        <v>6187666.666666667</v>
      </c>
      <c r="G3" s="102">
        <f>(_xlfn.XLOOKUP(B3,'[1]Annual Employer Cost per Grade'!$C$2:$C$17,'[1]Annual Employer Cost per Grade'!$U$2:$U$17,0,0))*(INDEX('[1]Headcount Phasing'!$B$3:$M$18,MATCH(B3,'[1]Headcount Phasing'!$A$3:$A$18,0),MATCH($G$2,'[1]Headcount Phasing'!$B$2:$M$2,0)))</f>
        <v>6187666.666666667</v>
      </c>
      <c r="H3" s="102">
        <f>(_xlfn.XLOOKUP(B3,'[1]Annual Employer Cost per Grade'!$C$2:$C$17,'[1]Annual Employer Cost per Grade'!$U$2:$U$17,0,0))*(INDEX('[1]Headcount Phasing'!$B$3:$M$18,MATCH(B3,'[1]Headcount Phasing'!$A$3:$A$18,0),MATCH($H$2,'[1]Headcount Phasing'!$B$2:$M$2,0)))</f>
        <v>6187666.666666667</v>
      </c>
      <c r="I3" s="102">
        <f>(_xlfn.XLOOKUP(B3,'[1]Annual Employer Cost per Grade'!$C$2:$C$17,'[1]Annual Employer Cost per Grade'!$U$2:$U$17,0,0))*(INDEX('[1]Headcount Phasing'!$B$3:$M$18,MATCH(B3,'[1]Headcount Phasing'!$A$3:$A$18,0),MATCH($I$2,'[1]Headcount Phasing'!$B$2:$M$2,0)))</f>
        <v>6187666.666666667</v>
      </c>
      <c r="J3" s="102">
        <f>(_xlfn.XLOOKUP(B3,'[1]Annual Employer Cost per Grade'!$C$2:$C$17,'[1]Annual Employer Cost per Grade'!$U$2:$U$17,0,0))*(INDEX('[1]Headcount Phasing'!$B$3:$M$18,MATCH(B3,'[1]Headcount Phasing'!$A$3:$A$18,0),MATCH($J$2,'[1]Headcount Phasing'!$B$2:$M$2,0)))</f>
        <v>6187666.666666667</v>
      </c>
      <c r="K3" s="102">
        <f>(_xlfn.XLOOKUP(B3,'[1]Annual Employer Cost per Grade'!$C$2:$C$17,'[1]Annual Employer Cost per Grade'!$U$2:$U$17,0,0))*(INDEX('[1]Headcount Phasing'!$B$3:$M$18,MATCH(B3,'[1]Headcount Phasing'!$A$3:$A$18,0),MATCH($K$2,'[1]Headcount Phasing'!$B$2:$M$2,0)))</f>
        <v>6187666.666666667</v>
      </c>
      <c r="L3" s="102">
        <f>(_xlfn.XLOOKUP(B3,'[1]Annual Employer Cost per Grade'!$C$2:$C$17,'[1]Annual Employer Cost per Grade'!$U$2:$U$17,0,0))*(INDEX('[1]Headcount Phasing'!$B$3:$M$18,MATCH(B3,'[1]Headcount Phasing'!$A$3:$A$18,0),MATCH($L$2,'[1]Headcount Phasing'!$B$2:$M$2,0)))</f>
        <v>6187666.666666667</v>
      </c>
      <c r="M3" s="102">
        <f>(_xlfn.XLOOKUP(B3,'[1]Annual Employer Cost per Grade'!$C$2:$C$17,'[1]Annual Employer Cost per Grade'!$U$2:$U$17,0,0))*(INDEX('[1]Headcount Phasing'!$B$3:$M$18,MATCH(B3,'[1]Headcount Phasing'!$A$3:$A$18,0),MATCH($M$2,'[1]Headcount Phasing'!$B$2:$M$2,0)))</f>
        <v>6187666.666666667</v>
      </c>
      <c r="N3" s="102">
        <f>(_xlfn.XLOOKUP(B3,'[1]Annual Employer Cost per Grade'!$C$2:$C$17,'[1]Annual Employer Cost per Grade'!$U$2:$U$17,0,0))*(INDEX('[1]Headcount Phasing'!$B$3:$M$18,MATCH(B3,'[1]Headcount Phasing'!$A$3:$A$18,0),MATCH($N$2,'[1]Headcount Phasing'!$B$2:$M$2,0)))</f>
        <v>6187666.666666667</v>
      </c>
      <c r="O3" s="103">
        <f>SUM(C3:N3)</f>
        <v>61876666.666666657</v>
      </c>
    </row>
    <row r="4" spans="1:15" x14ac:dyDescent="0.3">
      <c r="A4" s="104">
        <f>A3+1</f>
        <v>2</v>
      </c>
      <c r="B4" s="105" t="s">
        <v>96</v>
      </c>
      <c r="C4" s="106">
        <f>(_xlfn.XLOOKUP(B4,'[1]Annual Employer Cost per Grade'!$C$2:$C$17,'[1]Annual Employer Cost per Grade'!$U$2:$U$17,0,0))*(INDEX('[1]Headcount Phasing'!$B$3:$M$18,MATCH(B4,'[1]Headcount Phasing'!$A$3:$A$18,0),MATCH($C$2,'[1]Headcount Phasing'!$B$2:$M$2,0)))</f>
        <v>0</v>
      </c>
      <c r="D4" s="106">
        <f>(_xlfn.XLOOKUP(B4,'[1]Annual Employer Cost per Grade'!$C$2:$C$17,'[1]Annual Employer Cost per Grade'!$U$2:$U$17,0,0))*(INDEX('[1]Headcount Phasing'!$B$3:$M$18,MATCH(B4,'[1]Headcount Phasing'!$A$3:$A$18,0),MATCH($D$2,'[1]Headcount Phasing'!$B$2:$M$2,0)))</f>
        <v>0</v>
      </c>
      <c r="E4" s="102">
        <f>(_xlfn.XLOOKUP(B4,'[1]Annual Employer Cost per Grade'!$C$2:$C$17,'[1]Annual Employer Cost per Grade'!$U$2:$U$17,0,0))*(INDEX('[1]Headcount Phasing'!$B$3:$M$18,MATCH(B4,'[1]Headcount Phasing'!$A$3:$A$18,0),MATCH($E$2,'[1]Headcount Phasing'!$B$2:$M$2,0)))</f>
        <v>0</v>
      </c>
      <c r="F4" s="106">
        <f>(_xlfn.XLOOKUP(B4,'[1]Annual Employer Cost per Grade'!$C$2:$C$17,'[1]Annual Employer Cost per Grade'!$U$2:$U$17,0,0))*(INDEX('[1]Headcount Phasing'!$B$3:$M$18,MATCH(B4,'[1]Headcount Phasing'!$A$3:$A$18,0),MATCH($F$2,'[1]Headcount Phasing'!$B$2:$M$2,0)))</f>
        <v>3555487.9166666665</v>
      </c>
      <c r="G4" s="106">
        <f>(_xlfn.XLOOKUP(B4,'[1]Annual Employer Cost per Grade'!$C$2:$C$17,'[1]Annual Employer Cost per Grade'!$U$2:$U$17,0,0))*(INDEX('[1]Headcount Phasing'!$B$3:$M$18,MATCH(B4,'[1]Headcount Phasing'!$A$3:$A$18,0),MATCH($G$2,'[1]Headcount Phasing'!$B$2:$M$2,0)))</f>
        <v>3555487.9166666665</v>
      </c>
      <c r="H4" s="106">
        <f>(_xlfn.XLOOKUP(B4,'[1]Annual Employer Cost per Grade'!$C$2:$C$17,'[1]Annual Employer Cost per Grade'!$U$2:$U$17,0,0))*(INDEX('[1]Headcount Phasing'!$B$3:$M$18,MATCH(B4,'[1]Headcount Phasing'!$A$3:$A$18,0),MATCH($H$2,'[1]Headcount Phasing'!$B$2:$M$2,0)))</f>
        <v>3555487.9166666665</v>
      </c>
      <c r="I4" s="106">
        <f>(_xlfn.XLOOKUP(B4,'[1]Annual Employer Cost per Grade'!$C$2:$C$17,'[1]Annual Employer Cost per Grade'!$U$2:$U$17,0,0))*(INDEX('[1]Headcount Phasing'!$B$3:$M$18,MATCH(B4,'[1]Headcount Phasing'!$A$3:$A$18,0),MATCH($I$2,'[1]Headcount Phasing'!$B$2:$M$2,0)))</f>
        <v>3555487.9166666665</v>
      </c>
      <c r="J4" s="106">
        <f>(_xlfn.XLOOKUP(B4,'[1]Annual Employer Cost per Grade'!$C$2:$C$17,'[1]Annual Employer Cost per Grade'!$U$2:$U$17,0,0))*(INDEX('[1]Headcount Phasing'!$B$3:$M$18,MATCH(B4,'[1]Headcount Phasing'!$A$3:$A$18,0),MATCH($J$2,'[1]Headcount Phasing'!$B$2:$M$2,0)))</f>
        <v>3555487.9166666665</v>
      </c>
      <c r="K4" s="106">
        <f>(_xlfn.XLOOKUP(B4,'[1]Annual Employer Cost per Grade'!$C$2:$C$17,'[1]Annual Employer Cost per Grade'!$U$2:$U$17,0,0))*(INDEX('[1]Headcount Phasing'!$B$3:$M$18,MATCH(B4,'[1]Headcount Phasing'!$A$3:$A$18,0),MATCH($K$2,'[1]Headcount Phasing'!$B$2:$M$2,0)))</f>
        <v>3555487.9166666665</v>
      </c>
      <c r="L4" s="106">
        <f>(_xlfn.XLOOKUP(B4,'[1]Annual Employer Cost per Grade'!$C$2:$C$17,'[1]Annual Employer Cost per Grade'!$U$2:$U$17,0,0))*(INDEX('[1]Headcount Phasing'!$B$3:$M$18,MATCH(B4,'[1]Headcount Phasing'!$A$3:$A$18,0),MATCH($L$2,'[1]Headcount Phasing'!$B$2:$M$2,0)))</f>
        <v>3555487.9166666665</v>
      </c>
      <c r="M4" s="106">
        <f>(_xlfn.XLOOKUP(B4,'[1]Annual Employer Cost per Grade'!$C$2:$C$17,'[1]Annual Employer Cost per Grade'!$U$2:$U$17,0,0))*(INDEX('[1]Headcount Phasing'!$B$3:$M$18,MATCH(B4,'[1]Headcount Phasing'!$A$3:$A$18,0),MATCH($M$2,'[1]Headcount Phasing'!$B$2:$M$2,0)))</f>
        <v>3555487.9166666665</v>
      </c>
      <c r="N4" s="106">
        <f>(_xlfn.XLOOKUP(B4,'[1]Annual Employer Cost per Grade'!$C$2:$C$17,'[1]Annual Employer Cost per Grade'!$U$2:$U$17,0,0))*(INDEX('[1]Headcount Phasing'!$B$3:$M$18,MATCH(B4,'[1]Headcount Phasing'!$A$3:$A$18,0),MATCH($N$2,'[1]Headcount Phasing'!$B$2:$M$2,0)))</f>
        <v>3555487.9166666665</v>
      </c>
      <c r="O4" s="107">
        <f t="shared" ref="O4:O18" si="0">SUM(C4:N4)</f>
        <v>31999391.250000004</v>
      </c>
    </row>
    <row r="5" spans="1:15" x14ac:dyDescent="0.3">
      <c r="A5" s="104">
        <f t="shared" ref="A5:A18" si="1">A4+1</f>
        <v>3</v>
      </c>
      <c r="B5" s="105" t="s">
        <v>97</v>
      </c>
      <c r="C5" s="106">
        <f>(_xlfn.XLOOKUP(B5,'[1]Annual Employer Cost per Grade'!$C$2:$C$17,'[1]Annual Employer Cost per Grade'!$U$2:$U$17,0,0))*(INDEX('[1]Headcount Phasing'!$B$3:$M$18,MATCH(B5,'[1]Headcount Phasing'!$A$3:$A$18,0),MATCH($C$2,'[1]Headcount Phasing'!$B$2:$M$2,0)))</f>
        <v>0</v>
      </c>
      <c r="D5" s="106">
        <f>(_xlfn.XLOOKUP(B5,'[1]Annual Employer Cost per Grade'!$C$2:$C$17,'[1]Annual Employer Cost per Grade'!$U$2:$U$17,0,0))*(INDEX('[1]Headcount Phasing'!$B$3:$M$18,MATCH(B5,'[1]Headcount Phasing'!$A$3:$A$18,0),MATCH($D$2,'[1]Headcount Phasing'!$B$2:$M$2,0)))</f>
        <v>0</v>
      </c>
      <c r="E5" s="102">
        <f>(_xlfn.XLOOKUP(B5,'[1]Annual Employer Cost per Grade'!$C$2:$C$17,'[1]Annual Employer Cost per Grade'!$U$2:$U$17,0,0))*(INDEX('[1]Headcount Phasing'!$B$3:$M$18,MATCH(B5,'[1]Headcount Phasing'!$A$3:$A$18,0),MATCH($E$2,'[1]Headcount Phasing'!$B$2:$M$2,0)))</f>
        <v>0</v>
      </c>
      <c r="F5" s="106">
        <f>(_xlfn.XLOOKUP(B5,'[1]Annual Employer Cost per Grade'!$C$2:$C$17,'[1]Annual Employer Cost per Grade'!$U$2:$U$17,0,0))*(INDEX('[1]Headcount Phasing'!$B$3:$M$18,MATCH(B5,'[1]Headcount Phasing'!$A$3:$A$18,0),MATCH($F$2,'[1]Headcount Phasing'!$B$2:$M$2,0)))</f>
        <v>779030.5</v>
      </c>
      <c r="G5" s="106">
        <f>(_xlfn.XLOOKUP(B5,'[1]Annual Employer Cost per Grade'!$C$2:$C$17,'[1]Annual Employer Cost per Grade'!$U$2:$U$17,0,0))*(INDEX('[1]Headcount Phasing'!$B$3:$M$18,MATCH(B5,'[1]Headcount Phasing'!$A$3:$A$18,0),MATCH($G$2,'[1]Headcount Phasing'!$B$2:$M$2,0)))</f>
        <v>779030.5</v>
      </c>
      <c r="H5" s="106">
        <f>(_xlfn.XLOOKUP(B5,'[1]Annual Employer Cost per Grade'!$C$2:$C$17,'[1]Annual Employer Cost per Grade'!$U$2:$U$17,0,0))*(INDEX('[1]Headcount Phasing'!$B$3:$M$18,MATCH(B5,'[1]Headcount Phasing'!$A$3:$A$18,0),MATCH($H$2,'[1]Headcount Phasing'!$B$2:$M$2,0)))</f>
        <v>779030.5</v>
      </c>
      <c r="I5" s="106">
        <f>(_xlfn.XLOOKUP(B5,'[1]Annual Employer Cost per Grade'!$C$2:$C$17,'[1]Annual Employer Cost per Grade'!$U$2:$U$17,0,0))*(INDEX('[1]Headcount Phasing'!$B$3:$M$18,MATCH(B5,'[1]Headcount Phasing'!$A$3:$A$18,0),MATCH($I$2,'[1]Headcount Phasing'!$B$2:$M$2,0)))</f>
        <v>779030.5</v>
      </c>
      <c r="J5" s="106">
        <f>(_xlfn.XLOOKUP(B5,'[1]Annual Employer Cost per Grade'!$C$2:$C$17,'[1]Annual Employer Cost per Grade'!$U$2:$U$17,0,0))*(INDEX('[1]Headcount Phasing'!$B$3:$M$18,MATCH(B5,'[1]Headcount Phasing'!$A$3:$A$18,0),MATCH($J$2,'[1]Headcount Phasing'!$B$2:$M$2,0)))</f>
        <v>779030.5</v>
      </c>
      <c r="K5" s="106">
        <f>(_xlfn.XLOOKUP(B5,'[1]Annual Employer Cost per Grade'!$C$2:$C$17,'[1]Annual Employer Cost per Grade'!$U$2:$U$17,0,0))*(INDEX('[1]Headcount Phasing'!$B$3:$M$18,MATCH(B5,'[1]Headcount Phasing'!$A$3:$A$18,0),MATCH($K$2,'[1]Headcount Phasing'!$B$2:$M$2,0)))</f>
        <v>779030.5</v>
      </c>
      <c r="L5" s="106">
        <f>(_xlfn.XLOOKUP(B5,'[1]Annual Employer Cost per Grade'!$C$2:$C$17,'[1]Annual Employer Cost per Grade'!$U$2:$U$17,0,0))*(INDEX('[1]Headcount Phasing'!$B$3:$M$18,MATCH(B5,'[1]Headcount Phasing'!$A$3:$A$18,0),MATCH($L$2,'[1]Headcount Phasing'!$B$2:$M$2,0)))</f>
        <v>779030.5</v>
      </c>
      <c r="M5" s="106">
        <f>(_xlfn.XLOOKUP(B5,'[1]Annual Employer Cost per Grade'!$C$2:$C$17,'[1]Annual Employer Cost per Grade'!$U$2:$U$17,0,0))*(INDEX('[1]Headcount Phasing'!$B$3:$M$18,MATCH(B5,'[1]Headcount Phasing'!$A$3:$A$18,0),MATCH($M$2,'[1]Headcount Phasing'!$B$2:$M$2,0)))</f>
        <v>779030.5</v>
      </c>
      <c r="N5" s="106">
        <f>(_xlfn.XLOOKUP(B5,'[1]Annual Employer Cost per Grade'!$C$2:$C$17,'[1]Annual Employer Cost per Grade'!$U$2:$U$17,0,0))*(INDEX('[1]Headcount Phasing'!$B$3:$M$18,MATCH(B5,'[1]Headcount Phasing'!$A$3:$A$18,0),MATCH($N$2,'[1]Headcount Phasing'!$B$2:$M$2,0)))</f>
        <v>779030.5</v>
      </c>
      <c r="O5" s="107">
        <f t="shared" si="0"/>
        <v>7011274.5</v>
      </c>
    </row>
    <row r="6" spans="1:15" x14ac:dyDescent="0.3">
      <c r="A6" s="104">
        <f t="shared" si="1"/>
        <v>4</v>
      </c>
      <c r="B6" s="105" t="s">
        <v>98</v>
      </c>
      <c r="C6" s="106">
        <f>(_xlfn.XLOOKUP(B6,'[1]Annual Employer Cost per Grade'!$C$2:$C$17,'[1]Annual Employer Cost per Grade'!$U$2:$U$17,0,0))*(INDEX('[1]Headcount Phasing'!$B$3:$M$18,MATCH(B6,'[1]Headcount Phasing'!$A$3:$A$18,0),MATCH($C$2,'[1]Headcount Phasing'!$B$2:$M$2,0)))</f>
        <v>0</v>
      </c>
      <c r="D6" s="106">
        <f>(_xlfn.XLOOKUP(B6,'[1]Annual Employer Cost per Grade'!$C$2:$C$17,'[1]Annual Employer Cost per Grade'!$U$2:$U$17,0,0))*(INDEX('[1]Headcount Phasing'!$B$3:$M$18,MATCH(B6,'[1]Headcount Phasing'!$A$3:$A$18,0),MATCH($D$2,'[1]Headcount Phasing'!$B$2:$M$2,0)))</f>
        <v>0</v>
      </c>
      <c r="E6" s="102">
        <f>(_xlfn.XLOOKUP(B6,'[1]Annual Employer Cost per Grade'!$C$2:$C$17,'[1]Annual Employer Cost per Grade'!$U$2:$U$17,0,0))*(INDEX('[1]Headcount Phasing'!$B$3:$M$18,MATCH(B6,'[1]Headcount Phasing'!$A$3:$A$18,0),MATCH($E$2,'[1]Headcount Phasing'!$B$2:$M$2,0)))</f>
        <v>0</v>
      </c>
      <c r="F6" s="106">
        <f>(_xlfn.XLOOKUP(B6,'[1]Annual Employer Cost per Grade'!$C$2:$C$17,'[1]Annual Employer Cost per Grade'!$U$2:$U$17,0,0))*(INDEX('[1]Headcount Phasing'!$B$3:$M$18,MATCH(B6,'[1]Headcount Phasing'!$A$3:$A$18,0),MATCH($F$2,'[1]Headcount Phasing'!$B$2:$M$2,0)))</f>
        <v>474470.5</v>
      </c>
      <c r="G6" s="106">
        <f>(_xlfn.XLOOKUP(B6,'[1]Annual Employer Cost per Grade'!$C$2:$C$17,'[1]Annual Employer Cost per Grade'!$U$2:$U$17,0,0))*(INDEX('[1]Headcount Phasing'!$B$3:$M$18,MATCH(B6,'[1]Headcount Phasing'!$A$3:$A$18,0),MATCH($G$2,'[1]Headcount Phasing'!$B$2:$M$2,0)))</f>
        <v>474470.5</v>
      </c>
      <c r="H6" s="106">
        <f>(_xlfn.XLOOKUP(B6,'[1]Annual Employer Cost per Grade'!$C$2:$C$17,'[1]Annual Employer Cost per Grade'!$U$2:$U$17,0,0))*(INDEX('[1]Headcount Phasing'!$B$3:$M$18,MATCH(B6,'[1]Headcount Phasing'!$A$3:$A$18,0),MATCH($H$2,'[1]Headcount Phasing'!$B$2:$M$2,0)))</f>
        <v>474470.5</v>
      </c>
      <c r="I6" s="106">
        <f>(_xlfn.XLOOKUP(B6,'[1]Annual Employer Cost per Grade'!$C$2:$C$17,'[1]Annual Employer Cost per Grade'!$U$2:$U$17,0,0))*(INDEX('[1]Headcount Phasing'!$B$3:$M$18,MATCH(B6,'[1]Headcount Phasing'!$A$3:$A$18,0),MATCH($I$2,'[1]Headcount Phasing'!$B$2:$M$2,0)))</f>
        <v>474470.5</v>
      </c>
      <c r="J6" s="106">
        <f>(_xlfn.XLOOKUP(B6,'[1]Annual Employer Cost per Grade'!$C$2:$C$17,'[1]Annual Employer Cost per Grade'!$U$2:$U$17,0,0))*(INDEX('[1]Headcount Phasing'!$B$3:$M$18,MATCH(B6,'[1]Headcount Phasing'!$A$3:$A$18,0),MATCH($J$2,'[1]Headcount Phasing'!$B$2:$M$2,0)))</f>
        <v>474470.5</v>
      </c>
      <c r="K6" s="106">
        <f>(_xlfn.XLOOKUP(B6,'[1]Annual Employer Cost per Grade'!$C$2:$C$17,'[1]Annual Employer Cost per Grade'!$U$2:$U$17,0,0))*(INDEX('[1]Headcount Phasing'!$B$3:$M$18,MATCH(B6,'[1]Headcount Phasing'!$A$3:$A$18,0),MATCH($K$2,'[1]Headcount Phasing'!$B$2:$M$2,0)))</f>
        <v>474470.5</v>
      </c>
      <c r="L6" s="106">
        <f>(_xlfn.XLOOKUP(B6,'[1]Annual Employer Cost per Grade'!$C$2:$C$17,'[1]Annual Employer Cost per Grade'!$U$2:$U$17,0,0))*(INDEX('[1]Headcount Phasing'!$B$3:$M$18,MATCH(B6,'[1]Headcount Phasing'!$A$3:$A$18,0),MATCH($L$2,'[1]Headcount Phasing'!$B$2:$M$2,0)))</f>
        <v>474470.5</v>
      </c>
      <c r="M6" s="106">
        <f>(_xlfn.XLOOKUP(B6,'[1]Annual Employer Cost per Grade'!$C$2:$C$17,'[1]Annual Employer Cost per Grade'!$U$2:$U$17,0,0))*(INDEX('[1]Headcount Phasing'!$B$3:$M$18,MATCH(B6,'[1]Headcount Phasing'!$A$3:$A$18,0),MATCH($M$2,'[1]Headcount Phasing'!$B$2:$M$2,0)))</f>
        <v>474470.5</v>
      </c>
      <c r="N6" s="106">
        <f>(_xlfn.XLOOKUP(B6,'[1]Annual Employer Cost per Grade'!$C$2:$C$17,'[1]Annual Employer Cost per Grade'!$U$2:$U$17,0,0))*(INDEX('[1]Headcount Phasing'!$B$3:$M$18,MATCH(B6,'[1]Headcount Phasing'!$A$3:$A$18,0),MATCH($N$2,'[1]Headcount Phasing'!$B$2:$M$2,0)))</f>
        <v>474470.5</v>
      </c>
      <c r="O6" s="107">
        <f t="shared" si="0"/>
        <v>4270234.5</v>
      </c>
    </row>
    <row r="7" spans="1:15" x14ac:dyDescent="0.3">
      <c r="A7" s="104">
        <f t="shared" si="1"/>
        <v>5</v>
      </c>
      <c r="B7" s="105" t="s">
        <v>99</v>
      </c>
      <c r="C7" s="106">
        <f>(_xlfn.XLOOKUP(B7,'[1]Annual Employer Cost per Grade'!$C$2:$C$17,'[1]Annual Employer Cost per Grade'!$U$2:$U$17,0,0))*(INDEX('[1]Headcount Phasing'!$B$3:$M$18,MATCH(B7,'[1]Headcount Phasing'!$A$3:$A$18,0),MATCH($C$2,'[1]Headcount Phasing'!$B$2:$M$2,0)))</f>
        <v>0</v>
      </c>
      <c r="D7" s="106">
        <f>(_xlfn.XLOOKUP(B7,'[1]Annual Employer Cost per Grade'!$C$2:$C$17,'[1]Annual Employer Cost per Grade'!$U$2:$U$17,0,0))*(INDEX('[1]Headcount Phasing'!$B$3:$M$18,MATCH(B7,'[1]Headcount Phasing'!$A$3:$A$18,0),MATCH($D$2,'[1]Headcount Phasing'!$B$2:$M$2,0)))</f>
        <v>0</v>
      </c>
      <c r="E7" s="102">
        <f>(_xlfn.XLOOKUP(B7,'[1]Annual Employer Cost per Grade'!$C$2:$C$17,'[1]Annual Employer Cost per Grade'!$U$2:$U$17,0,0))*(INDEX('[1]Headcount Phasing'!$B$3:$M$18,MATCH(B7,'[1]Headcount Phasing'!$A$3:$A$18,0),MATCH($E$2,'[1]Headcount Phasing'!$B$2:$M$2,0)))</f>
        <v>0</v>
      </c>
      <c r="F7" s="106">
        <f>(_xlfn.XLOOKUP(B7,'[1]Annual Employer Cost per Grade'!$C$2:$C$17,'[1]Annual Employer Cost per Grade'!$U$2:$U$17,0,0))*(INDEX('[1]Headcount Phasing'!$B$3:$M$18,MATCH(B7,'[1]Headcount Phasing'!$A$3:$A$18,0),MATCH($F$2,'[1]Headcount Phasing'!$B$2:$M$2,0)))</f>
        <v>458050.875</v>
      </c>
      <c r="G7" s="106">
        <f>(_xlfn.XLOOKUP(B7,'[1]Annual Employer Cost per Grade'!$C$2:$C$17,'[1]Annual Employer Cost per Grade'!$U$2:$U$17,0,0))*(INDEX('[1]Headcount Phasing'!$B$3:$M$18,MATCH(B7,'[1]Headcount Phasing'!$A$3:$A$18,0),MATCH($G$2,'[1]Headcount Phasing'!$B$2:$M$2,0)))</f>
        <v>458050.875</v>
      </c>
      <c r="H7" s="106">
        <f>(_xlfn.XLOOKUP(B7,'[1]Annual Employer Cost per Grade'!$C$2:$C$17,'[1]Annual Employer Cost per Grade'!$U$2:$U$17,0,0))*(INDEX('[1]Headcount Phasing'!$B$3:$M$18,MATCH(B7,'[1]Headcount Phasing'!$A$3:$A$18,0),MATCH($H$2,'[1]Headcount Phasing'!$B$2:$M$2,0)))</f>
        <v>458050.875</v>
      </c>
      <c r="I7" s="106">
        <f>(_xlfn.XLOOKUP(B7,'[1]Annual Employer Cost per Grade'!$C$2:$C$17,'[1]Annual Employer Cost per Grade'!$U$2:$U$17,0,0))*(INDEX('[1]Headcount Phasing'!$B$3:$M$18,MATCH(B7,'[1]Headcount Phasing'!$A$3:$A$18,0),MATCH($I$2,'[1]Headcount Phasing'!$B$2:$M$2,0)))</f>
        <v>458050.875</v>
      </c>
      <c r="J7" s="106">
        <f>(_xlfn.XLOOKUP(B7,'[1]Annual Employer Cost per Grade'!$C$2:$C$17,'[1]Annual Employer Cost per Grade'!$U$2:$U$17,0,0))*(INDEX('[1]Headcount Phasing'!$B$3:$M$18,MATCH(B7,'[1]Headcount Phasing'!$A$3:$A$18,0),MATCH($J$2,'[1]Headcount Phasing'!$B$2:$M$2,0)))</f>
        <v>458050.875</v>
      </c>
      <c r="K7" s="106">
        <f>(_xlfn.XLOOKUP(B7,'[1]Annual Employer Cost per Grade'!$C$2:$C$17,'[1]Annual Employer Cost per Grade'!$U$2:$U$17,0,0))*(INDEX('[1]Headcount Phasing'!$B$3:$M$18,MATCH(B7,'[1]Headcount Phasing'!$A$3:$A$18,0),MATCH($K$2,'[1]Headcount Phasing'!$B$2:$M$2,0)))</f>
        <v>458050.875</v>
      </c>
      <c r="L7" s="106">
        <f>(_xlfn.XLOOKUP(B7,'[1]Annual Employer Cost per Grade'!$C$2:$C$17,'[1]Annual Employer Cost per Grade'!$U$2:$U$17,0,0))*(INDEX('[1]Headcount Phasing'!$B$3:$M$18,MATCH(B7,'[1]Headcount Phasing'!$A$3:$A$18,0),MATCH($L$2,'[1]Headcount Phasing'!$B$2:$M$2,0)))</f>
        <v>458050.875</v>
      </c>
      <c r="M7" s="106">
        <f>(_xlfn.XLOOKUP(B7,'[1]Annual Employer Cost per Grade'!$C$2:$C$17,'[1]Annual Employer Cost per Grade'!$U$2:$U$17,0,0))*(INDEX('[1]Headcount Phasing'!$B$3:$M$18,MATCH(B7,'[1]Headcount Phasing'!$A$3:$A$18,0),MATCH($M$2,'[1]Headcount Phasing'!$B$2:$M$2,0)))</f>
        <v>458050.875</v>
      </c>
      <c r="N7" s="106">
        <f>(_xlfn.XLOOKUP(B7,'[1]Annual Employer Cost per Grade'!$C$2:$C$17,'[1]Annual Employer Cost per Grade'!$U$2:$U$17,0,0))*(INDEX('[1]Headcount Phasing'!$B$3:$M$18,MATCH(B7,'[1]Headcount Phasing'!$A$3:$A$18,0),MATCH($N$2,'[1]Headcount Phasing'!$B$2:$M$2,0)))</f>
        <v>458050.875</v>
      </c>
      <c r="O7" s="107">
        <f t="shared" si="0"/>
        <v>4122457.875</v>
      </c>
    </row>
    <row r="8" spans="1:15" x14ac:dyDescent="0.3">
      <c r="A8" s="104">
        <f t="shared" si="1"/>
        <v>6</v>
      </c>
      <c r="B8" s="105" t="s">
        <v>119</v>
      </c>
      <c r="C8" s="106">
        <f>(_xlfn.XLOOKUP(B8,'[1]Annual Employer Cost per Grade'!$C$2:$C$17,'[1]Annual Employer Cost per Grade'!$U$2:$U$17,0,0))*(INDEX('[1]Headcount Phasing'!$B$3:$M$18,MATCH(B8,'[1]Headcount Phasing'!$A$3:$A$18,0),MATCH($C$2,'[1]Headcount Phasing'!$B$2:$M$2,0)))</f>
        <v>0</v>
      </c>
      <c r="D8" s="106">
        <f>(_xlfn.XLOOKUP(B8,'[1]Annual Employer Cost per Grade'!$C$2:$C$17,'[1]Annual Employer Cost per Grade'!$U$2:$U$17,0,0))*(INDEX('[1]Headcount Phasing'!$B$3:$M$18,MATCH(B8,'[1]Headcount Phasing'!$A$3:$A$18,0),MATCH($D$2,'[1]Headcount Phasing'!$B$2:$M$2,0)))</f>
        <v>0</v>
      </c>
      <c r="E8" s="102">
        <f>(_xlfn.XLOOKUP(B8,'[1]Annual Employer Cost per Grade'!$C$2:$C$17,'[1]Annual Employer Cost per Grade'!$U$2:$U$17,0,0))*(INDEX('[1]Headcount Phasing'!$B$3:$M$18,MATCH(B8,'[1]Headcount Phasing'!$A$3:$A$18,0),MATCH($E$2,'[1]Headcount Phasing'!$B$2:$M$2,0)))</f>
        <v>0</v>
      </c>
      <c r="F8" s="108">
        <f>(_xlfn.XLOOKUP(B8,'[1]Annual Employer Cost per Grade'!$C$2:$C$17,'[1]Annual Employer Cost per Grade'!$U$2:$U$17,0,0))*(INDEX('[1]Headcount Phasing'!$B$3:$M$18,MATCH(B8,'[1]Headcount Phasing'!$A$3:$A$18,0),MATCH($F$2,'[1]Headcount Phasing'!$B$2:$M$2,0)))</f>
        <v>458050.875</v>
      </c>
      <c r="G8" s="108">
        <f>(_xlfn.XLOOKUP(B8,'[1]Annual Employer Cost per Grade'!$C$2:$C$17,'[1]Annual Employer Cost per Grade'!$U$2:$U$17,0,0))*(INDEX('[1]Headcount Phasing'!$B$3:$M$18,MATCH(B8,'[1]Headcount Phasing'!$A$3:$A$18,0),MATCH($G$2,'[1]Headcount Phasing'!$B$2:$M$2,0)))</f>
        <v>458050.875</v>
      </c>
      <c r="H8" s="108">
        <f>(_xlfn.XLOOKUP(B8,'[1]Annual Employer Cost per Grade'!$C$2:$C$17,'[1]Annual Employer Cost per Grade'!$U$2:$U$17,0,0))*(INDEX('[1]Headcount Phasing'!$B$3:$M$18,MATCH(B8,'[1]Headcount Phasing'!$A$3:$A$18,0),MATCH($H$2,'[1]Headcount Phasing'!$B$2:$M$2,0)))</f>
        <v>458050.875</v>
      </c>
      <c r="I8" s="108">
        <f>(_xlfn.XLOOKUP(B8,'[1]Annual Employer Cost per Grade'!$C$2:$C$17,'[1]Annual Employer Cost per Grade'!$U$2:$U$17,0,0))*(INDEX('[1]Headcount Phasing'!$B$3:$M$18,MATCH(B8,'[1]Headcount Phasing'!$A$3:$A$18,0),MATCH($I$2,'[1]Headcount Phasing'!$B$2:$M$2,0)))</f>
        <v>458050.875</v>
      </c>
      <c r="J8" s="108">
        <f>(_xlfn.XLOOKUP(B8,'[1]Annual Employer Cost per Grade'!$C$2:$C$17,'[1]Annual Employer Cost per Grade'!$U$2:$U$17,0,0))*(INDEX('[1]Headcount Phasing'!$B$3:$M$18,MATCH(B8,'[1]Headcount Phasing'!$A$3:$A$18,0),MATCH($J$2,'[1]Headcount Phasing'!$B$2:$M$2,0)))</f>
        <v>458050.875</v>
      </c>
      <c r="K8" s="108">
        <f>(_xlfn.XLOOKUP(B8,'[1]Annual Employer Cost per Grade'!$C$2:$C$17,'[1]Annual Employer Cost per Grade'!$U$2:$U$17,0,0))*(INDEX('[1]Headcount Phasing'!$B$3:$M$18,MATCH(B8,'[1]Headcount Phasing'!$A$3:$A$18,0),MATCH($K$2,'[1]Headcount Phasing'!$B$2:$M$2,0)))</f>
        <v>458050.875</v>
      </c>
      <c r="L8" s="108">
        <f>(_xlfn.XLOOKUP(B8,'[1]Annual Employer Cost per Grade'!$C$2:$C$17,'[1]Annual Employer Cost per Grade'!$U$2:$U$17,0,0))*(INDEX('[1]Headcount Phasing'!$B$3:$M$18,MATCH(B8,'[1]Headcount Phasing'!$A$3:$A$18,0),MATCH($L$2,'[1]Headcount Phasing'!$B$2:$M$2,0)))</f>
        <v>458050.875</v>
      </c>
      <c r="M8" s="108">
        <f>(_xlfn.XLOOKUP(B8,'[1]Annual Employer Cost per Grade'!$C$2:$C$17,'[1]Annual Employer Cost per Grade'!$U$2:$U$17,0,0))*(INDEX('[1]Headcount Phasing'!$B$3:$M$18,MATCH(B8,'[1]Headcount Phasing'!$A$3:$A$18,0),MATCH($M$2,'[1]Headcount Phasing'!$B$2:$M$2,0)))</f>
        <v>458050.875</v>
      </c>
      <c r="N8" s="108">
        <f>(_xlfn.XLOOKUP(B8,'[1]Annual Employer Cost per Grade'!$C$2:$C$17,'[1]Annual Employer Cost per Grade'!$U$2:$U$17,0,0))*(INDEX('[1]Headcount Phasing'!$B$3:$M$18,MATCH(B8,'[1]Headcount Phasing'!$A$3:$A$18,0),MATCH($N$2,'[1]Headcount Phasing'!$B$2:$M$2,0)))</f>
        <v>458050.875</v>
      </c>
      <c r="O8" s="107">
        <f t="shared" si="0"/>
        <v>4122457.875</v>
      </c>
    </row>
    <row r="9" spans="1:15" x14ac:dyDescent="0.3">
      <c r="A9" s="104">
        <f t="shared" si="1"/>
        <v>7</v>
      </c>
      <c r="B9" s="105" t="s">
        <v>120</v>
      </c>
      <c r="C9" s="106"/>
      <c r="D9" s="106"/>
      <c r="E9" s="102"/>
      <c r="F9" s="108">
        <f>(_xlfn.XLOOKUP(B9,'[1]Annual Employer Cost per Grade'!$C$2:$C$17,'[1]Annual Employer Cost per Grade'!$U$2:$U$17,0,0))*(INDEX('[1]Headcount Phasing'!$B$3:$M$18,MATCH(B9,'[1]Headcount Phasing'!$A$3:$A$18,0),MATCH($F$2,'[1]Headcount Phasing'!$B$2:$M$2,0)))</f>
        <v>231183.14583333334</v>
      </c>
      <c r="G9" s="108">
        <f>(_xlfn.XLOOKUP(B9,'[1]Annual Employer Cost per Grade'!$C$2:$C$17,'[1]Annual Employer Cost per Grade'!$U$2:$U$17,0,0))*(INDEX('[1]Headcount Phasing'!$B$3:$M$18,MATCH(B9,'[1]Headcount Phasing'!$A$3:$A$18,0),MATCH($G$2,'[1]Headcount Phasing'!$B$2:$M$2,0)))</f>
        <v>231183.14583333334</v>
      </c>
      <c r="H9" s="108">
        <f>(_xlfn.XLOOKUP(B9,'[1]Annual Employer Cost per Grade'!$C$2:$C$17,'[1]Annual Employer Cost per Grade'!$U$2:$U$17,0,0))*(INDEX('[1]Headcount Phasing'!$B$3:$M$18,MATCH(B9,'[1]Headcount Phasing'!$A$3:$A$18,0),MATCH($H$2,'[1]Headcount Phasing'!$B$2:$M$2,0)))</f>
        <v>231183.14583333334</v>
      </c>
      <c r="I9" s="108">
        <f>(_xlfn.XLOOKUP(B9,'[1]Annual Employer Cost per Grade'!$C$2:$C$17,'[1]Annual Employer Cost per Grade'!$U$2:$U$17,0,0))*(INDEX('[1]Headcount Phasing'!$B$3:$M$18,MATCH(B9,'[1]Headcount Phasing'!$A$3:$A$18,0),MATCH($I$2,'[1]Headcount Phasing'!$B$2:$M$2,0)))</f>
        <v>231183.14583333334</v>
      </c>
      <c r="J9" s="108">
        <f>(_xlfn.XLOOKUP(B9,'[1]Annual Employer Cost per Grade'!$C$2:$C$17,'[1]Annual Employer Cost per Grade'!$U$2:$U$17,0,0))*(INDEX('[1]Headcount Phasing'!$B$3:$M$18,MATCH(B9,'[1]Headcount Phasing'!$A$3:$A$18,0),MATCH($J$2,'[1]Headcount Phasing'!$B$2:$M$2,0)))</f>
        <v>231183.14583333334</v>
      </c>
      <c r="K9" s="108">
        <f>(_xlfn.XLOOKUP(B9,'[1]Annual Employer Cost per Grade'!$C$2:$C$17,'[1]Annual Employer Cost per Grade'!$U$2:$U$17,0,0))*(INDEX('[1]Headcount Phasing'!$B$3:$M$18,MATCH(B9,'[1]Headcount Phasing'!$A$3:$A$18,0),MATCH($K$2,'[1]Headcount Phasing'!$B$2:$M$2,0)))</f>
        <v>231183.14583333334</v>
      </c>
      <c r="L9" s="108">
        <f>(_xlfn.XLOOKUP(B9,'[1]Annual Employer Cost per Grade'!$C$2:$C$17,'[1]Annual Employer Cost per Grade'!$U$2:$U$17,0,0))*(INDEX('[1]Headcount Phasing'!$B$3:$M$18,MATCH(B9,'[1]Headcount Phasing'!$A$3:$A$18,0),MATCH($L$2,'[1]Headcount Phasing'!$B$2:$M$2,0)))</f>
        <v>231183.14583333334</v>
      </c>
      <c r="M9" s="108">
        <f>(_xlfn.XLOOKUP(B9,'[1]Annual Employer Cost per Grade'!$C$2:$C$17,'[1]Annual Employer Cost per Grade'!$U$2:$U$17,0,0))*(INDEX('[1]Headcount Phasing'!$B$3:$M$18,MATCH(B9,'[1]Headcount Phasing'!$A$3:$A$18,0),MATCH($M$2,'[1]Headcount Phasing'!$B$2:$M$2,0)))</f>
        <v>231183.14583333334</v>
      </c>
      <c r="N9" s="108">
        <f>(_xlfn.XLOOKUP(B9,'[1]Annual Employer Cost per Grade'!$C$2:$C$17,'[1]Annual Employer Cost per Grade'!$U$2:$U$17,0,0))*(INDEX('[1]Headcount Phasing'!$B$3:$M$18,MATCH(B9,'[1]Headcount Phasing'!$A$3:$A$18,0),MATCH($N$2,'[1]Headcount Phasing'!$B$2:$M$2,0)))</f>
        <v>231183.14583333334</v>
      </c>
      <c r="O9" s="107">
        <f t="shared" si="0"/>
        <v>2080648.3124999998</v>
      </c>
    </row>
    <row r="10" spans="1:15" x14ac:dyDescent="0.3">
      <c r="A10" s="104">
        <f t="shared" si="1"/>
        <v>8</v>
      </c>
      <c r="B10" s="105" t="s">
        <v>100</v>
      </c>
      <c r="C10" s="106">
        <f>(_xlfn.XLOOKUP(B10,'[1]Annual Employer Cost per Grade'!$C$2:$C$17,'[1]Annual Employer Cost per Grade'!$U$2:$U$17,0,0))*(INDEX('[1]Headcount Phasing'!$B$3:$M$18,MATCH(B10,'[1]Headcount Phasing'!$A$3:$A$18,0),MATCH($C$2,'[1]Headcount Phasing'!$B$2:$M$2,0)))</f>
        <v>0</v>
      </c>
      <c r="D10" s="106">
        <f>(_xlfn.XLOOKUP(B10,'[1]Annual Employer Cost per Grade'!$C$2:$C$17,'[1]Annual Employer Cost per Grade'!$U$2:$U$17,0,0))*(INDEX('[1]Headcount Phasing'!$B$3:$M$18,MATCH(B10,'[1]Headcount Phasing'!$A$3:$A$18,0),MATCH($D$2,'[1]Headcount Phasing'!$B$2:$M$2,0)))</f>
        <v>0</v>
      </c>
      <c r="E10" s="102">
        <f>(_xlfn.XLOOKUP(B10,'[1]Annual Employer Cost per Grade'!$C$2:$C$17,'[1]Annual Employer Cost per Grade'!$U$2:$U$17,0,0))*(INDEX('[1]Headcount Phasing'!$B$3:$M$18,MATCH(B10,'[1]Headcount Phasing'!$A$3:$A$18,0),MATCH($E$2,'[1]Headcount Phasing'!$B$2:$M$2,0)))</f>
        <v>0</v>
      </c>
      <c r="F10" s="106">
        <f>(_xlfn.XLOOKUP(B10,'[1]Annual Employer Cost per Grade'!$C$2:$C$17,'[1]Annual Employer Cost per Grade'!$U$2:$U$17,0,0))*(INDEX('[1]Headcount Phasing'!$B$3:$M$18,MATCH(B10,'[1]Headcount Phasing'!$A$3:$A$18,0),MATCH($F$2,'[1]Headcount Phasing'!$B$2:$M$2,0)))</f>
        <v>458050.875</v>
      </c>
      <c r="G10" s="106">
        <f>(_xlfn.XLOOKUP(B10,'[1]Annual Employer Cost per Grade'!$C$2:$C$17,'[1]Annual Employer Cost per Grade'!$U$2:$U$17,0,0))*(INDEX('[1]Headcount Phasing'!$B$3:$M$18,MATCH(B10,'[1]Headcount Phasing'!$A$3:$A$18,0),MATCH($G$2,'[1]Headcount Phasing'!$B$2:$M$2,0)))</f>
        <v>458050.875</v>
      </c>
      <c r="H10" s="106">
        <f>(_xlfn.XLOOKUP(B10,'[1]Annual Employer Cost per Grade'!$C$2:$C$17,'[1]Annual Employer Cost per Grade'!$U$2:$U$17,0,0))*(INDEX('[1]Headcount Phasing'!$B$3:$M$18,MATCH(B10,'[1]Headcount Phasing'!$A$3:$A$18,0),MATCH($H$2,'[1]Headcount Phasing'!$B$2:$M$2,0)))</f>
        <v>458050.875</v>
      </c>
      <c r="I10" s="106">
        <f>(_xlfn.XLOOKUP(B10,'[1]Annual Employer Cost per Grade'!$C$2:$C$17,'[1]Annual Employer Cost per Grade'!$U$2:$U$17,0,0))*(INDEX('[1]Headcount Phasing'!$B$3:$M$18,MATCH(B10,'[1]Headcount Phasing'!$A$3:$A$18,0),MATCH($I$2,'[1]Headcount Phasing'!$B$2:$M$2,0)))</f>
        <v>458050.875</v>
      </c>
      <c r="J10" s="106">
        <f>(_xlfn.XLOOKUP(B10,'[1]Annual Employer Cost per Grade'!$C$2:$C$17,'[1]Annual Employer Cost per Grade'!$U$2:$U$17,0,0))*(INDEX('[1]Headcount Phasing'!$B$3:$M$18,MATCH(B10,'[1]Headcount Phasing'!$A$3:$A$18,0),MATCH($J$2,'[1]Headcount Phasing'!$B$2:$M$2,0)))</f>
        <v>458050.875</v>
      </c>
      <c r="K10" s="106">
        <f>(_xlfn.XLOOKUP(B10,'[1]Annual Employer Cost per Grade'!$C$2:$C$17,'[1]Annual Employer Cost per Grade'!$U$2:$U$17,0,0))*(INDEX('[1]Headcount Phasing'!$B$3:$M$18,MATCH(B10,'[1]Headcount Phasing'!$A$3:$A$18,0),MATCH($K$2,'[1]Headcount Phasing'!$B$2:$M$2,0)))</f>
        <v>458050.875</v>
      </c>
      <c r="L10" s="106">
        <f>(_xlfn.XLOOKUP(B10,'[1]Annual Employer Cost per Grade'!$C$2:$C$17,'[1]Annual Employer Cost per Grade'!$U$2:$U$17,0,0))*(INDEX('[1]Headcount Phasing'!$B$3:$M$18,MATCH(B10,'[1]Headcount Phasing'!$A$3:$A$18,0),MATCH($L$2,'[1]Headcount Phasing'!$B$2:$M$2,0)))</f>
        <v>458050.875</v>
      </c>
      <c r="M10" s="106">
        <f>(_xlfn.XLOOKUP(B10,'[1]Annual Employer Cost per Grade'!$C$2:$C$17,'[1]Annual Employer Cost per Grade'!$U$2:$U$17,0,0))*(INDEX('[1]Headcount Phasing'!$B$3:$M$18,MATCH(B10,'[1]Headcount Phasing'!$A$3:$A$18,0),MATCH($M$2,'[1]Headcount Phasing'!$B$2:$M$2,0)))</f>
        <v>458050.875</v>
      </c>
      <c r="N10" s="106">
        <f>(_xlfn.XLOOKUP(B10,'[1]Annual Employer Cost per Grade'!$C$2:$C$17,'[1]Annual Employer Cost per Grade'!$U$2:$U$17,0,0))*(INDEX('[1]Headcount Phasing'!$B$3:$M$18,MATCH(B10,'[1]Headcount Phasing'!$A$3:$A$18,0),MATCH($N$2,'[1]Headcount Phasing'!$B$2:$M$2,0)))</f>
        <v>458050.875</v>
      </c>
      <c r="O10" s="107">
        <f t="shared" si="0"/>
        <v>4122457.875</v>
      </c>
    </row>
    <row r="11" spans="1:15" x14ac:dyDescent="0.3">
      <c r="A11" s="104">
        <f t="shared" si="1"/>
        <v>9</v>
      </c>
      <c r="B11" s="105" t="s">
        <v>101</v>
      </c>
      <c r="C11" s="106">
        <f>(_xlfn.XLOOKUP(B11,'[1]Annual Employer Cost per Grade'!$C$2:$C$17,'[1]Annual Employer Cost per Grade'!$U$2:$U$17,0,0))*(INDEX('[1]Headcount Phasing'!$B$3:$M$18,MATCH(B11,'[1]Headcount Phasing'!$A$3:$A$18,0),MATCH($C$2,'[1]Headcount Phasing'!$B$2:$M$2,0)))</f>
        <v>0</v>
      </c>
      <c r="D11" s="106">
        <f>(_xlfn.XLOOKUP(B11,'[1]Annual Employer Cost per Grade'!$C$2:$C$17,'[1]Annual Employer Cost per Grade'!$U$2:$U$17,0,0))*(INDEX('[1]Headcount Phasing'!$B$3:$M$18,MATCH(B11,'[1]Headcount Phasing'!$A$3:$A$18,0),MATCH($D$2,'[1]Headcount Phasing'!$B$2:$M$2,0)))</f>
        <v>0</v>
      </c>
      <c r="E11" s="102">
        <f>(_xlfn.XLOOKUP(B11,'[1]Annual Employer Cost per Grade'!$C$2:$C$17,'[1]Annual Employer Cost per Grade'!$U$2:$U$17,0,0))*(INDEX('[1]Headcount Phasing'!$B$3:$M$18,MATCH(B11,'[1]Headcount Phasing'!$A$3:$A$18,0),MATCH($E$2,'[1]Headcount Phasing'!$B$2:$M$2,0)))</f>
        <v>0</v>
      </c>
      <c r="F11" s="106">
        <f>(_xlfn.XLOOKUP(B11,'[1]Annual Employer Cost per Grade'!$C$2:$C$17,'[1]Annual Employer Cost per Grade'!$U$2:$U$17,0,0))*(INDEX('[1]Headcount Phasing'!$B$3:$M$18,MATCH(B11,'[1]Headcount Phasing'!$A$3:$A$18,0),MATCH($F$2,'[1]Headcount Phasing'!$B$2:$M$2,0)))</f>
        <v>458050.875</v>
      </c>
      <c r="G11" s="106">
        <f>(_xlfn.XLOOKUP(B11,'[1]Annual Employer Cost per Grade'!$C$2:$C$17,'[1]Annual Employer Cost per Grade'!$U$2:$U$17,0,0))*(INDEX('[1]Headcount Phasing'!$B$3:$M$18,MATCH(B11,'[1]Headcount Phasing'!$A$3:$A$18,0),MATCH($G$2,'[1]Headcount Phasing'!$B$2:$M$2,0)))</f>
        <v>458050.875</v>
      </c>
      <c r="H11" s="106">
        <f>(_xlfn.XLOOKUP(B11,'[1]Annual Employer Cost per Grade'!$C$2:$C$17,'[1]Annual Employer Cost per Grade'!$U$2:$U$17,0,0))*(INDEX('[1]Headcount Phasing'!$B$3:$M$18,MATCH(B11,'[1]Headcount Phasing'!$A$3:$A$18,0),MATCH($H$2,'[1]Headcount Phasing'!$B$2:$M$2,0)))</f>
        <v>458050.875</v>
      </c>
      <c r="I11" s="106">
        <f>(_xlfn.XLOOKUP(B11,'[1]Annual Employer Cost per Grade'!$C$2:$C$17,'[1]Annual Employer Cost per Grade'!$U$2:$U$17,0,0))*(INDEX('[1]Headcount Phasing'!$B$3:$M$18,MATCH(B11,'[1]Headcount Phasing'!$A$3:$A$18,0),MATCH($I$2,'[1]Headcount Phasing'!$B$2:$M$2,0)))</f>
        <v>458050.875</v>
      </c>
      <c r="J11" s="106">
        <f>(_xlfn.XLOOKUP(B11,'[1]Annual Employer Cost per Grade'!$C$2:$C$17,'[1]Annual Employer Cost per Grade'!$U$2:$U$17,0,0))*(INDEX('[1]Headcount Phasing'!$B$3:$M$18,MATCH(B11,'[1]Headcount Phasing'!$A$3:$A$18,0),MATCH($J$2,'[1]Headcount Phasing'!$B$2:$M$2,0)))</f>
        <v>458050.875</v>
      </c>
      <c r="K11" s="106">
        <f>(_xlfn.XLOOKUP(B11,'[1]Annual Employer Cost per Grade'!$C$2:$C$17,'[1]Annual Employer Cost per Grade'!$U$2:$U$17,0,0))*(INDEX('[1]Headcount Phasing'!$B$3:$M$18,MATCH(B11,'[1]Headcount Phasing'!$A$3:$A$18,0),MATCH($K$2,'[1]Headcount Phasing'!$B$2:$M$2,0)))</f>
        <v>458050.875</v>
      </c>
      <c r="L11" s="106">
        <f>(_xlfn.XLOOKUP(B11,'[1]Annual Employer Cost per Grade'!$C$2:$C$17,'[1]Annual Employer Cost per Grade'!$U$2:$U$17,0,0))*(INDEX('[1]Headcount Phasing'!$B$3:$M$18,MATCH(B11,'[1]Headcount Phasing'!$A$3:$A$18,0),MATCH($L$2,'[1]Headcount Phasing'!$B$2:$M$2,0)))</f>
        <v>458050.875</v>
      </c>
      <c r="M11" s="106">
        <f>(_xlfn.XLOOKUP(B11,'[1]Annual Employer Cost per Grade'!$C$2:$C$17,'[1]Annual Employer Cost per Grade'!$U$2:$U$17,0,0))*(INDEX('[1]Headcount Phasing'!$B$3:$M$18,MATCH(B11,'[1]Headcount Phasing'!$A$3:$A$18,0),MATCH($M$2,'[1]Headcount Phasing'!$B$2:$M$2,0)))</f>
        <v>458050.875</v>
      </c>
      <c r="N11" s="106">
        <f>(_xlfn.XLOOKUP(B11,'[1]Annual Employer Cost per Grade'!$C$2:$C$17,'[1]Annual Employer Cost per Grade'!$U$2:$U$17,0,0))*(INDEX('[1]Headcount Phasing'!$B$3:$M$18,MATCH(B11,'[1]Headcount Phasing'!$A$3:$A$18,0),MATCH($N$2,'[1]Headcount Phasing'!$B$2:$M$2,0)))</f>
        <v>458050.875</v>
      </c>
      <c r="O11" s="107">
        <f t="shared" si="0"/>
        <v>4122457.875</v>
      </c>
    </row>
    <row r="12" spans="1:15" x14ac:dyDescent="0.3">
      <c r="A12" s="104">
        <f t="shared" si="1"/>
        <v>10</v>
      </c>
      <c r="B12" s="105" t="s">
        <v>106</v>
      </c>
      <c r="C12" s="106">
        <f>(_xlfn.XLOOKUP(B12,'[1]Annual Employer Cost per Grade'!$C$2:$C$17,'[1]Annual Employer Cost per Grade'!$U$2:$U$17,0,0))*(INDEX('[1]Headcount Phasing'!$B$3:$M$18,MATCH(B12,'[1]Headcount Phasing'!$A$3:$A$18,0),MATCH($C$2,'[1]Headcount Phasing'!$B$2:$M$2,0)))</f>
        <v>0</v>
      </c>
      <c r="D12" s="106">
        <f>(_xlfn.XLOOKUP(B12,'[1]Annual Employer Cost per Grade'!$C$2:$C$17,'[1]Annual Employer Cost per Grade'!$U$2:$U$17,0,0))*(INDEX('[1]Headcount Phasing'!$B$3:$M$18,MATCH(B12,'[1]Headcount Phasing'!$A$3:$A$18,0),MATCH($D$2,'[1]Headcount Phasing'!$B$2:$M$2,0)))</f>
        <v>0</v>
      </c>
      <c r="E12" s="102">
        <f>(_xlfn.XLOOKUP(B12,'[1]Annual Employer Cost per Grade'!$C$2:$C$17,'[1]Annual Employer Cost per Grade'!$U$2:$U$17,0,0))*(INDEX('[1]Headcount Phasing'!$B$3:$M$18,MATCH(B12,'[1]Headcount Phasing'!$A$3:$A$18,0),MATCH($E$2,'[1]Headcount Phasing'!$B$2:$M$2,0)))</f>
        <v>0</v>
      </c>
      <c r="F12" s="106">
        <f>(_xlfn.XLOOKUP(B12,'[1]Annual Employer Cost per Grade'!$C$2:$C$17,'[1]Annual Employer Cost per Grade'!$U$2:$U$17,0,0))*(INDEX('[1]Headcount Phasing'!$B$3:$M$18,MATCH(B12,'[1]Headcount Phasing'!$A$3:$A$18,0),MATCH($F$2,'[1]Headcount Phasing'!$B$2:$M$2,0)))</f>
        <v>916101.75</v>
      </c>
      <c r="G12" s="106">
        <f>(_xlfn.XLOOKUP(B12,'[1]Annual Employer Cost per Grade'!$C$2:$C$17,'[1]Annual Employer Cost per Grade'!$U$2:$U$17,0,0))*(INDEX('[1]Headcount Phasing'!$B$3:$M$18,MATCH(B12,'[1]Headcount Phasing'!$A$3:$A$18,0),MATCH($G$2,'[1]Headcount Phasing'!$B$2:$M$2,0)))</f>
        <v>916101.75</v>
      </c>
      <c r="H12" s="106">
        <f>(_xlfn.XLOOKUP(B12,'[1]Annual Employer Cost per Grade'!$C$2:$C$17,'[1]Annual Employer Cost per Grade'!$U$2:$U$17,0,0))*(INDEX('[1]Headcount Phasing'!$B$3:$M$18,MATCH(B12,'[1]Headcount Phasing'!$A$3:$A$18,0),MATCH($H$2,'[1]Headcount Phasing'!$B$2:$M$2,0)))</f>
        <v>916101.75</v>
      </c>
      <c r="I12" s="106">
        <f>(_xlfn.XLOOKUP(B12,'[1]Annual Employer Cost per Grade'!$C$2:$C$17,'[1]Annual Employer Cost per Grade'!$U$2:$U$17,0,0))*(INDEX('[1]Headcount Phasing'!$B$3:$M$18,MATCH(B12,'[1]Headcount Phasing'!$A$3:$A$18,0),MATCH($I$2,'[1]Headcount Phasing'!$B$2:$M$2,0)))</f>
        <v>916101.75</v>
      </c>
      <c r="J12" s="106">
        <f>(_xlfn.XLOOKUP(B12,'[1]Annual Employer Cost per Grade'!$C$2:$C$17,'[1]Annual Employer Cost per Grade'!$U$2:$U$17,0,0))*(INDEX('[1]Headcount Phasing'!$B$3:$M$18,MATCH(B12,'[1]Headcount Phasing'!$A$3:$A$18,0),MATCH($J$2,'[1]Headcount Phasing'!$B$2:$M$2,0)))</f>
        <v>916101.75</v>
      </c>
      <c r="K12" s="106">
        <f>(_xlfn.XLOOKUP(B12,'[1]Annual Employer Cost per Grade'!$C$2:$C$17,'[1]Annual Employer Cost per Grade'!$U$2:$U$17,0,0))*(INDEX('[1]Headcount Phasing'!$B$3:$M$18,MATCH(B12,'[1]Headcount Phasing'!$A$3:$A$18,0),MATCH($K$2,'[1]Headcount Phasing'!$B$2:$M$2,0)))</f>
        <v>916101.75</v>
      </c>
      <c r="L12" s="106">
        <f>(_xlfn.XLOOKUP(B12,'[1]Annual Employer Cost per Grade'!$C$2:$C$17,'[1]Annual Employer Cost per Grade'!$U$2:$U$17,0,0))*(INDEX('[1]Headcount Phasing'!$B$3:$M$18,MATCH(B12,'[1]Headcount Phasing'!$A$3:$A$18,0),MATCH($L$2,'[1]Headcount Phasing'!$B$2:$M$2,0)))</f>
        <v>916101.75</v>
      </c>
      <c r="M12" s="106">
        <f>(_xlfn.XLOOKUP(B12,'[1]Annual Employer Cost per Grade'!$C$2:$C$17,'[1]Annual Employer Cost per Grade'!$U$2:$U$17,0,0))*(INDEX('[1]Headcount Phasing'!$B$3:$M$18,MATCH(B12,'[1]Headcount Phasing'!$A$3:$A$18,0),MATCH($M$2,'[1]Headcount Phasing'!$B$2:$M$2,0)))</f>
        <v>916101.75</v>
      </c>
      <c r="N12" s="106">
        <f>(_xlfn.XLOOKUP(B12,'[1]Annual Employer Cost per Grade'!$C$2:$C$17,'[1]Annual Employer Cost per Grade'!$U$2:$U$17,0,0))*(INDEX('[1]Headcount Phasing'!$B$3:$M$18,MATCH(B12,'[1]Headcount Phasing'!$A$3:$A$18,0),MATCH($N$2,'[1]Headcount Phasing'!$B$2:$M$2,0)))</f>
        <v>916101.75</v>
      </c>
      <c r="O12" s="107">
        <f t="shared" si="0"/>
        <v>8244915.75</v>
      </c>
    </row>
    <row r="13" spans="1:15" x14ac:dyDescent="0.3">
      <c r="A13" s="104">
        <f t="shared" si="1"/>
        <v>11</v>
      </c>
      <c r="B13" s="105" t="s">
        <v>102</v>
      </c>
      <c r="C13" s="106">
        <f>(_xlfn.XLOOKUP(B13,'[1]Annual Employer Cost per Grade'!$C$2:$C$17,'[1]Annual Employer Cost per Grade'!$U$2:$U$17,0,0))*(INDEX('[1]Headcount Phasing'!$B$3:$M$18,MATCH(B13,'[1]Headcount Phasing'!$A$3:$A$18,0),MATCH($C$2,'[1]Headcount Phasing'!$B$2:$M$2,0)))</f>
        <v>0</v>
      </c>
      <c r="D13" s="106">
        <f>(_xlfn.XLOOKUP(B13,'[1]Annual Employer Cost per Grade'!$C$2:$C$17,'[1]Annual Employer Cost per Grade'!$U$2:$U$17,0,0))*(INDEX('[1]Headcount Phasing'!$B$3:$M$18,MATCH(B13,'[1]Headcount Phasing'!$A$3:$A$18,0),MATCH($D$2,'[1]Headcount Phasing'!$B$2:$M$2,0)))</f>
        <v>0</v>
      </c>
      <c r="E13" s="102">
        <f>(_xlfn.XLOOKUP(B13,'[1]Annual Employer Cost per Grade'!$C$2:$C$17,'[1]Annual Employer Cost per Grade'!$U$2:$U$17,0,0))*(INDEX('[1]Headcount Phasing'!$B$3:$M$18,MATCH(B13,'[1]Headcount Phasing'!$A$3:$A$18,0),MATCH($E$2,'[1]Headcount Phasing'!$B$2:$M$2,0)))</f>
        <v>0</v>
      </c>
      <c r="F13" s="106">
        <f>(_xlfn.XLOOKUP(B13,'[1]Annual Employer Cost per Grade'!$C$2:$C$17,'[1]Annual Employer Cost per Grade'!$U$2:$U$17,0,0))*(INDEX('[1]Headcount Phasing'!$B$3:$M$18,MATCH(B13,'[1]Headcount Phasing'!$A$3:$A$18,0),MATCH($F$2,'[1]Headcount Phasing'!$B$2:$M$2,0)))</f>
        <v>465550.875</v>
      </c>
      <c r="G13" s="106">
        <f>(_xlfn.XLOOKUP(B13,'[1]Annual Employer Cost per Grade'!$C$2:$C$17,'[1]Annual Employer Cost per Grade'!$U$2:$U$17,0,0))*(INDEX('[1]Headcount Phasing'!$B$3:$M$18,MATCH(B13,'[1]Headcount Phasing'!$A$3:$A$18,0),MATCH($G$2,'[1]Headcount Phasing'!$B$2:$M$2,0)))</f>
        <v>465550.875</v>
      </c>
      <c r="H13" s="106">
        <f>(_xlfn.XLOOKUP(B13,'[1]Annual Employer Cost per Grade'!$C$2:$C$17,'[1]Annual Employer Cost per Grade'!$U$2:$U$17,0,0))*(INDEX('[1]Headcount Phasing'!$B$3:$M$18,MATCH(B13,'[1]Headcount Phasing'!$A$3:$A$18,0),MATCH($H$2,'[1]Headcount Phasing'!$B$2:$M$2,0)))</f>
        <v>465550.875</v>
      </c>
      <c r="I13" s="106">
        <f>(_xlfn.XLOOKUP(B13,'[1]Annual Employer Cost per Grade'!$C$2:$C$17,'[1]Annual Employer Cost per Grade'!$U$2:$U$17,0,0))*(INDEX('[1]Headcount Phasing'!$B$3:$M$18,MATCH(B13,'[1]Headcount Phasing'!$A$3:$A$18,0),MATCH($I$2,'[1]Headcount Phasing'!$B$2:$M$2,0)))</f>
        <v>465550.875</v>
      </c>
      <c r="J13" s="106">
        <f>(_xlfn.XLOOKUP(B13,'[1]Annual Employer Cost per Grade'!$C$2:$C$17,'[1]Annual Employer Cost per Grade'!$U$2:$U$17,0,0))*(INDEX('[1]Headcount Phasing'!$B$3:$M$18,MATCH(B13,'[1]Headcount Phasing'!$A$3:$A$18,0),MATCH($J$2,'[1]Headcount Phasing'!$B$2:$M$2,0)))</f>
        <v>465550.875</v>
      </c>
      <c r="K13" s="106">
        <f>(_xlfn.XLOOKUP(B13,'[1]Annual Employer Cost per Grade'!$C$2:$C$17,'[1]Annual Employer Cost per Grade'!$U$2:$U$17,0,0))*(INDEX('[1]Headcount Phasing'!$B$3:$M$18,MATCH(B13,'[1]Headcount Phasing'!$A$3:$A$18,0),MATCH($K$2,'[1]Headcount Phasing'!$B$2:$M$2,0)))</f>
        <v>465550.875</v>
      </c>
      <c r="L13" s="106">
        <f>(_xlfn.XLOOKUP(B13,'[1]Annual Employer Cost per Grade'!$C$2:$C$17,'[1]Annual Employer Cost per Grade'!$U$2:$U$17,0,0))*(INDEX('[1]Headcount Phasing'!$B$3:$M$18,MATCH(B13,'[1]Headcount Phasing'!$A$3:$A$18,0),MATCH($L$2,'[1]Headcount Phasing'!$B$2:$M$2,0)))</f>
        <v>465550.875</v>
      </c>
      <c r="M13" s="106">
        <f>(_xlfn.XLOOKUP(B13,'[1]Annual Employer Cost per Grade'!$C$2:$C$17,'[1]Annual Employer Cost per Grade'!$U$2:$U$17,0,0))*(INDEX('[1]Headcount Phasing'!$B$3:$M$18,MATCH(B13,'[1]Headcount Phasing'!$A$3:$A$18,0),MATCH($M$2,'[1]Headcount Phasing'!$B$2:$M$2,0)))</f>
        <v>465550.875</v>
      </c>
      <c r="N13" s="106">
        <f>(_xlfn.XLOOKUP(B13,'[1]Annual Employer Cost per Grade'!$C$2:$C$17,'[1]Annual Employer Cost per Grade'!$U$2:$U$17,0,0))*(INDEX('[1]Headcount Phasing'!$B$3:$M$18,MATCH(B13,'[1]Headcount Phasing'!$A$3:$A$18,0),MATCH($N$2,'[1]Headcount Phasing'!$B$2:$M$2,0)))</f>
        <v>465550.875</v>
      </c>
      <c r="O13" s="107">
        <f t="shared" si="0"/>
        <v>4189957.875</v>
      </c>
    </row>
    <row r="14" spans="1:15" x14ac:dyDescent="0.3">
      <c r="A14" s="104">
        <f t="shared" si="1"/>
        <v>12</v>
      </c>
      <c r="B14" s="105" t="s">
        <v>103</v>
      </c>
      <c r="C14" s="106">
        <f>(_xlfn.XLOOKUP(B14,'[1]Annual Employer Cost per Grade'!$C$2:$C$17,'[1]Annual Employer Cost per Grade'!$U$2:$U$17,0,0))*(INDEX('[1]Headcount Phasing'!$B$3:$M$18,MATCH(B14,'[1]Headcount Phasing'!$A$3:$A$18,0),MATCH($C$2,'[1]Headcount Phasing'!$B$2:$M$2,0)))</f>
        <v>0</v>
      </c>
      <c r="D14" s="106">
        <f>(_xlfn.XLOOKUP(B14,'[1]Annual Employer Cost per Grade'!$C$2:$C$17,'[1]Annual Employer Cost per Grade'!$U$2:$U$17,0,0))*(INDEX('[1]Headcount Phasing'!$B$3:$M$18,MATCH(B14,'[1]Headcount Phasing'!$A$3:$A$18,0),MATCH($D$2,'[1]Headcount Phasing'!$B$2:$M$2,0)))</f>
        <v>0</v>
      </c>
      <c r="E14" s="102">
        <f>(_xlfn.XLOOKUP(B14,'[1]Annual Employer Cost per Grade'!$C$2:$C$17,'[1]Annual Employer Cost per Grade'!$U$2:$U$17,0,0))*(INDEX('[1]Headcount Phasing'!$B$3:$M$18,MATCH(B14,'[1]Headcount Phasing'!$A$3:$A$18,0),MATCH($E$2,'[1]Headcount Phasing'!$B$2:$M$2,0)))</f>
        <v>0</v>
      </c>
      <c r="F14" s="106">
        <f>(_xlfn.XLOOKUP(B14,'[1]Annual Employer Cost per Grade'!$C$2:$C$17,'[1]Annual Employer Cost per Grade'!$U$2:$U$17,0,0))*(INDEX('[1]Headcount Phasing'!$B$3:$M$18,MATCH(B14,'[1]Headcount Phasing'!$A$3:$A$18,0),MATCH($F$2,'[1]Headcount Phasing'!$B$2:$M$2,0)))</f>
        <v>465550.875</v>
      </c>
      <c r="G14" s="106">
        <f>(_xlfn.XLOOKUP(B14,'[1]Annual Employer Cost per Grade'!$C$2:$C$17,'[1]Annual Employer Cost per Grade'!$U$2:$U$17,0,0))*(INDEX('[1]Headcount Phasing'!$B$3:$M$18,MATCH(B14,'[1]Headcount Phasing'!$A$3:$A$18,0),MATCH($G$2,'[1]Headcount Phasing'!$B$2:$M$2,0)))</f>
        <v>465550.875</v>
      </c>
      <c r="H14" s="106">
        <f>(_xlfn.XLOOKUP(B14,'[1]Annual Employer Cost per Grade'!$C$2:$C$17,'[1]Annual Employer Cost per Grade'!$U$2:$U$17,0,0))*(INDEX('[1]Headcount Phasing'!$B$3:$M$18,MATCH(B14,'[1]Headcount Phasing'!$A$3:$A$18,0),MATCH($H$2,'[1]Headcount Phasing'!$B$2:$M$2,0)))</f>
        <v>465550.875</v>
      </c>
      <c r="I14" s="106">
        <f>(_xlfn.XLOOKUP(B14,'[1]Annual Employer Cost per Grade'!$C$2:$C$17,'[1]Annual Employer Cost per Grade'!$U$2:$U$17,0,0))*(INDEX('[1]Headcount Phasing'!$B$3:$M$18,MATCH(B14,'[1]Headcount Phasing'!$A$3:$A$18,0),MATCH($I$2,'[1]Headcount Phasing'!$B$2:$M$2,0)))</f>
        <v>465550.875</v>
      </c>
      <c r="J14" s="106">
        <f>(_xlfn.XLOOKUP(B14,'[1]Annual Employer Cost per Grade'!$C$2:$C$17,'[1]Annual Employer Cost per Grade'!$U$2:$U$17,0,0))*(INDEX('[1]Headcount Phasing'!$B$3:$M$18,MATCH(B14,'[1]Headcount Phasing'!$A$3:$A$18,0),MATCH($J$2,'[1]Headcount Phasing'!$B$2:$M$2,0)))</f>
        <v>465550.875</v>
      </c>
      <c r="K14" s="106">
        <f>(_xlfn.XLOOKUP(B14,'[1]Annual Employer Cost per Grade'!$C$2:$C$17,'[1]Annual Employer Cost per Grade'!$U$2:$U$17,0,0))*(INDEX('[1]Headcount Phasing'!$B$3:$M$18,MATCH(B14,'[1]Headcount Phasing'!$A$3:$A$18,0),MATCH($K$2,'[1]Headcount Phasing'!$B$2:$M$2,0)))</f>
        <v>465550.875</v>
      </c>
      <c r="L14" s="106">
        <f>(_xlfn.XLOOKUP(B14,'[1]Annual Employer Cost per Grade'!$C$2:$C$17,'[1]Annual Employer Cost per Grade'!$U$2:$U$17,0,0))*(INDEX('[1]Headcount Phasing'!$B$3:$M$18,MATCH(B14,'[1]Headcount Phasing'!$A$3:$A$18,0),MATCH($L$2,'[1]Headcount Phasing'!$B$2:$M$2,0)))</f>
        <v>465550.875</v>
      </c>
      <c r="M14" s="106">
        <f>(_xlfn.XLOOKUP(B14,'[1]Annual Employer Cost per Grade'!$C$2:$C$17,'[1]Annual Employer Cost per Grade'!$U$2:$U$17,0,0))*(INDEX('[1]Headcount Phasing'!$B$3:$M$18,MATCH(B14,'[1]Headcount Phasing'!$A$3:$A$18,0),MATCH($M$2,'[1]Headcount Phasing'!$B$2:$M$2,0)))</f>
        <v>465550.875</v>
      </c>
      <c r="N14" s="106">
        <f>(_xlfn.XLOOKUP(B14,'[1]Annual Employer Cost per Grade'!$C$2:$C$17,'[1]Annual Employer Cost per Grade'!$U$2:$U$17,0,0))*(INDEX('[1]Headcount Phasing'!$B$3:$M$18,MATCH(B14,'[1]Headcount Phasing'!$A$3:$A$18,0),MATCH($N$2,'[1]Headcount Phasing'!$B$2:$M$2,0)))</f>
        <v>465550.875</v>
      </c>
      <c r="O14" s="107">
        <f t="shared" si="0"/>
        <v>4189957.875</v>
      </c>
    </row>
    <row r="15" spans="1:15" x14ac:dyDescent="0.3">
      <c r="A15" s="104">
        <f t="shared" si="1"/>
        <v>13</v>
      </c>
      <c r="B15" s="105" t="s">
        <v>107</v>
      </c>
      <c r="C15" s="106">
        <f>(_xlfn.XLOOKUP(B15,'[1]Annual Employer Cost per Grade'!$C$2:$C$17,'[1]Annual Employer Cost per Grade'!$U$2:$U$17,0,0))*(INDEX('[1]Headcount Phasing'!$B$3:$M$18,MATCH(B15,'[1]Headcount Phasing'!$A$3:$A$18,0),MATCH($C$2,'[1]Headcount Phasing'!$B$2:$M$2,0)))</f>
        <v>0</v>
      </c>
      <c r="D15" s="106">
        <f>(_xlfn.XLOOKUP(B15,'[1]Annual Employer Cost per Grade'!$C$2:$C$17,'[1]Annual Employer Cost per Grade'!$U$2:$U$17,0,0))*(INDEX('[1]Headcount Phasing'!$B$3:$M$18,MATCH(B15,'[1]Headcount Phasing'!$A$3:$A$18,0),MATCH($D$2,'[1]Headcount Phasing'!$B$2:$M$2,0)))</f>
        <v>0</v>
      </c>
      <c r="E15" s="102">
        <f>(_xlfn.XLOOKUP(B15,'[1]Annual Employer Cost per Grade'!$C$2:$C$17,'[1]Annual Employer Cost per Grade'!$U$2:$U$17,0,0))*(INDEX('[1]Headcount Phasing'!$B$3:$M$18,MATCH(B15,'[1]Headcount Phasing'!$A$3:$A$18,0),MATCH($E$2,'[1]Headcount Phasing'!$B$2:$M$2,0)))</f>
        <v>0</v>
      </c>
      <c r="F15" s="106">
        <f>(_xlfn.XLOOKUP(B15,'[1]Annual Employer Cost per Grade'!$C$2:$C$17,'[1]Annual Employer Cost per Grade'!$U$2:$U$17,0,0))*(INDEX('[1]Headcount Phasing'!$B$3:$M$18,MATCH(B15,'[1]Headcount Phasing'!$A$3:$A$18,0),MATCH($F$2,'[1]Headcount Phasing'!$B$2:$M$2,0)))</f>
        <v>231183.14583333334</v>
      </c>
      <c r="G15" s="106">
        <f>(_xlfn.XLOOKUP(B15,'[1]Annual Employer Cost per Grade'!$C$2:$C$17,'[1]Annual Employer Cost per Grade'!$U$2:$U$17,0,0))*(INDEX('[1]Headcount Phasing'!$B$3:$M$18,MATCH(B15,'[1]Headcount Phasing'!$A$3:$A$18,0),MATCH($G$2,'[1]Headcount Phasing'!$B$2:$M$2,0)))</f>
        <v>231183.14583333334</v>
      </c>
      <c r="H15" s="106">
        <f>(_xlfn.XLOOKUP(B15,'[1]Annual Employer Cost per Grade'!$C$2:$C$17,'[1]Annual Employer Cost per Grade'!$U$2:$U$17,0,0))*(INDEX('[1]Headcount Phasing'!$B$3:$M$18,MATCH(B15,'[1]Headcount Phasing'!$A$3:$A$18,0),MATCH($H$2,'[1]Headcount Phasing'!$B$2:$M$2,0)))</f>
        <v>231183.14583333334</v>
      </c>
      <c r="I15" s="106">
        <f>(_xlfn.XLOOKUP(B15,'[1]Annual Employer Cost per Grade'!$C$2:$C$17,'[1]Annual Employer Cost per Grade'!$U$2:$U$17,0,0))*(INDEX('[1]Headcount Phasing'!$B$3:$M$18,MATCH(B15,'[1]Headcount Phasing'!$A$3:$A$18,0),MATCH($I$2,'[1]Headcount Phasing'!$B$2:$M$2,0)))</f>
        <v>231183.14583333334</v>
      </c>
      <c r="J15" s="106">
        <f>(_xlfn.XLOOKUP(B15,'[1]Annual Employer Cost per Grade'!$C$2:$C$17,'[1]Annual Employer Cost per Grade'!$U$2:$U$17,0,0))*(INDEX('[1]Headcount Phasing'!$B$3:$M$18,MATCH(B15,'[1]Headcount Phasing'!$A$3:$A$18,0),MATCH($J$2,'[1]Headcount Phasing'!$B$2:$M$2,0)))</f>
        <v>231183.14583333334</v>
      </c>
      <c r="K15" s="106">
        <f>(_xlfn.XLOOKUP(B15,'[1]Annual Employer Cost per Grade'!$C$2:$C$17,'[1]Annual Employer Cost per Grade'!$U$2:$U$17,0,0))*(INDEX('[1]Headcount Phasing'!$B$3:$M$18,MATCH(B15,'[1]Headcount Phasing'!$A$3:$A$18,0),MATCH($K$2,'[1]Headcount Phasing'!$B$2:$M$2,0)))</f>
        <v>231183.14583333334</v>
      </c>
      <c r="L15" s="106">
        <f>(_xlfn.XLOOKUP(B15,'[1]Annual Employer Cost per Grade'!$C$2:$C$17,'[1]Annual Employer Cost per Grade'!$U$2:$U$17,0,0))*(INDEX('[1]Headcount Phasing'!$B$3:$M$18,MATCH(B15,'[1]Headcount Phasing'!$A$3:$A$18,0),MATCH($L$2,'[1]Headcount Phasing'!$B$2:$M$2,0)))</f>
        <v>231183.14583333334</v>
      </c>
      <c r="M15" s="106">
        <f>(_xlfn.XLOOKUP(B15,'[1]Annual Employer Cost per Grade'!$C$2:$C$17,'[1]Annual Employer Cost per Grade'!$U$2:$U$17,0,0))*(INDEX('[1]Headcount Phasing'!$B$3:$M$18,MATCH(B15,'[1]Headcount Phasing'!$A$3:$A$18,0),MATCH($M$2,'[1]Headcount Phasing'!$B$2:$M$2,0)))</f>
        <v>231183.14583333334</v>
      </c>
      <c r="N15" s="106">
        <f>(_xlfn.XLOOKUP(B15,'[1]Annual Employer Cost per Grade'!$C$2:$C$17,'[1]Annual Employer Cost per Grade'!$U$2:$U$17,0,0))*(INDEX('[1]Headcount Phasing'!$B$3:$M$18,MATCH(B15,'[1]Headcount Phasing'!$A$3:$A$18,0),MATCH($N$2,'[1]Headcount Phasing'!$B$2:$M$2,0)))</f>
        <v>231183.14583333334</v>
      </c>
      <c r="O15" s="107">
        <f t="shared" si="0"/>
        <v>2080648.3124999998</v>
      </c>
    </row>
    <row r="16" spans="1:15" x14ac:dyDescent="0.3">
      <c r="A16" s="104">
        <f t="shared" si="1"/>
        <v>14</v>
      </c>
      <c r="B16" s="105" t="s">
        <v>104</v>
      </c>
      <c r="C16" s="106">
        <f>(_xlfn.XLOOKUP(B16,'[1]Annual Employer Cost per Grade'!$C$2:$C$17,'[1]Annual Employer Cost per Grade'!$U$2:$U$17,0,0))*(INDEX('[1]Headcount Phasing'!$B$3:$M$18,MATCH(B16,'[1]Headcount Phasing'!$A$3:$A$18,0),MATCH($C$2,'[1]Headcount Phasing'!$B$2:$M$2,0)))</f>
        <v>0</v>
      </c>
      <c r="D16" s="106">
        <f>(_xlfn.XLOOKUP(B16,'[1]Annual Employer Cost per Grade'!$C$2:$C$17,'[1]Annual Employer Cost per Grade'!$U$2:$U$17,0,0))*(INDEX('[1]Headcount Phasing'!$B$3:$M$18,MATCH(B16,'[1]Headcount Phasing'!$A$3:$A$18,0),MATCH($D$2,'[1]Headcount Phasing'!$B$2:$M$2,0)))</f>
        <v>0</v>
      </c>
      <c r="E16" s="102">
        <f>(_xlfn.XLOOKUP(B16,'[1]Annual Employer Cost per Grade'!$C$2:$C$17,'[1]Annual Employer Cost per Grade'!$U$2:$U$17,0,0))*(INDEX('[1]Headcount Phasing'!$B$3:$M$18,MATCH(B16,'[1]Headcount Phasing'!$A$3:$A$18,0),MATCH($E$2,'[1]Headcount Phasing'!$B$2:$M$2,0)))</f>
        <v>231183.14583333334</v>
      </c>
      <c r="F16" s="106">
        <f>(_xlfn.XLOOKUP(B16,'[1]Annual Employer Cost per Grade'!$C$2:$C$17,'[1]Annual Employer Cost per Grade'!$U$2:$U$17,0,0))*(INDEX('[1]Headcount Phasing'!$B$3:$M$18,MATCH(B16,'[1]Headcount Phasing'!$A$3:$A$18,0),MATCH($F$2,'[1]Headcount Phasing'!$B$2:$M$2,0)))</f>
        <v>231183.14583333334</v>
      </c>
      <c r="G16" s="108">
        <f>(_xlfn.XLOOKUP(B16,'[1]Annual Employer Cost per Grade'!$C$2:$C$17,'[1]Annual Employer Cost per Grade'!$U$2:$U$17,0,0))*(INDEX('[1]Headcount Phasing'!$B$3:$M$18,MATCH(B16,'[1]Headcount Phasing'!$A$3:$A$18,0),MATCH($G$2,'[1]Headcount Phasing'!$B$2:$M$2,0)))</f>
        <v>462366.29166666669</v>
      </c>
      <c r="H16" s="108">
        <f>(_xlfn.XLOOKUP(B16,'[1]Annual Employer Cost per Grade'!$C$2:$C$17,'[1]Annual Employer Cost per Grade'!$U$2:$U$17,0,0))*(INDEX('[1]Headcount Phasing'!$B$3:$M$18,MATCH(B16,'[1]Headcount Phasing'!$A$3:$A$18,0),MATCH($H$2,'[1]Headcount Phasing'!$B$2:$M$2,0)))</f>
        <v>462366.29166666669</v>
      </c>
      <c r="I16" s="108">
        <f>(_xlfn.XLOOKUP(B16,'[1]Annual Employer Cost per Grade'!$C$2:$C$17,'[1]Annual Employer Cost per Grade'!$U$2:$U$17,0,0))*(INDEX('[1]Headcount Phasing'!$B$3:$M$18,MATCH(B16,'[1]Headcount Phasing'!$A$3:$A$18,0),MATCH($I$2,'[1]Headcount Phasing'!$B$2:$M$2,0)))</f>
        <v>462366.29166666669</v>
      </c>
      <c r="J16" s="108">
        <f>(_xlfn.XLOOKUP(B16,'[1]Annual Employer Cost per Grade'!$C$2:$C$17,'[1]Annual Employer Cost per Grade'!$U$2:$U$17,0,0))*(INDEX('[1]Headcount Phasing'!$B$3:$M$18,MATCH(B16,'[1]Headcount Phasing'!$A$3:$A$18,0),MATCH($J$2,'[1]Headcount Phasing'!$B$2:$M$2,0)))</f>
        <v>462366.29166666669</v>
      </c>
      <c r="K16" s="108">
        <f>(_xlfn.XLOOKUP(B16,'[1]Annual Employer Cost per Grade'!$C$2:$C$17,'[1]Annual Employer Cost per Grade'!$U$2:$U$17,0,0))*(INDEX('[1]Headcount Phasing'!$B$3:$M$18,MATCH(B16,'[1]Headcount Phasing'!$A$3:$A$18,0),MATCH($K$2,'[1]Headcount Phasing'!$B$2:$M$2,0)))</f>
        <v>462366.29166666669</v>
      </c>
      <c r="L16" s="108">
        <f>(_xlfn.XLOOKUP(B16,'[1]Annual Employer Cost per Grade'!$C$2:$C$17,'[1]Annual Employer Cost per Grade'!$U$2:$U$17,0,0))*(INDEX('[1]Headcount Phasing'!$B$3:$M$18,MATCH(B16,'[1]Headcount Phasing'!$A$3:$A$18,0),MATCH($L$2,'[1]Headcount Phasing'!$B$2:$M$2,0)))</f>
        <v>462366.29166666669</v>
      </c>
      <c r="M16" s="108">
        <f>(_xlfn.XLOOKUP(B16,'[1]Annual Employer Cost per Grade'!$C$2:$C$17,'[1]Annual Employer Cost per Grade'!$U$2:$U$17,0,0))*(INDEX('[1]Headcount Phasing'!$B$3:$M$18,MATCH(B16,'[1]Headcount Phasing'!$A$3:$A$18,0),MATCH($M$2,'[1]Headcount Phasing'!$B$2:$M$2,0)))</f>
        <v>462366.29166666669</v>
      </c>
      <c r="N16" s="108">
        <f>(_xlfn.XLOOKUP(B16,'[1]Annual Employer Cost per Grade'!$C$2:$C$17,'[1]Annual Employer Cost per Grade'!$U$2:$U$17,0,0))*(INDEX('[1]Headcount Phasing'!$B$3:$M$18,MATCH(B16,'[1]Headcount Phasing'!$A$3:$A$18,0),MATCH($N$2,'[1]Headcount Phasing'!$B$2:$M$2,0)))</f>
        <v>462366.29166666669</v>
      </c>
      <c r="O16" s="107">
        <f t="shared" si="0"/>
        <v>4161296.6249999995</v>
      </c>
    </row>
    <row r="17" spans="1:15" x14ac:dyDescent="0.3">
      <c r="A17" s="104">
        <f t="shared" si="1"/>
        <v>15</v>
      </c>
      <c r="B17" s="105" t="s">
        <v>121</v>
      </c>
      <c r="C17" s="106">
        <f>(_xlfn.XLOOKUP(B17,'[1]Annual Employer Cost per Grade'!$C$2:$C$17,'[1]Annual Employer Cost per Grade'!$U$2:$U$17,0,0))*(INDEX('[1]Headcount Phasing'!$B$3:$M$18,MATCH(B17,'[1]Headcount Phasing'!$A$3:$A$18,0),MATCH($C$2,'[1]Headcount Phasing'!$B$2:$M$2,0)))</f>
        <v>0</v>
      </c>
      <c r="D17" s="106">
        <f>(_xlfn.XLOOKUP(B17,'[1]Annual Employer Cost per Grade'!$C$2:$C$17,'[1]Annual Employer Cost per Grade'!$U$2:$U$17,0,0))*(INDEX('[1]Headcount Phasing'!$B$3:$M$18,MATCH(B17,'[1]Headcount Phasing'!$A$3:$A$18,0),MATCH($D$2,'[1]Headcount Phasing'!$B$2:$M$2,0)))</f>
        <v>0</v>
      </c>
      <c r="E17" s="102">
        <f>(_xlfn.XLOOKUP(B17,'[1]Annual Employer Cost per Grade'!$C$2:$C$17,'[1]Annual Employer Cost per Grade'!$U$2:$U$17,0,0))*(INDEX('[1]Headcount Phasing'!$B$3:$M$18,MATCH(B17,'[1]Headcount Phasing'!$A$3:$A$18,0),MATCH($E$2,'[1]Headcount Phasing'!$B$2:$M$2,0)))</f>
        <v>0</v>
      </c>
      <c r="F17" s="108">
        <f>(_xlfn.XLOOKUP(B17,'[1]Annual Employer Cost per Grade'!$C$2:$C$17,'[1]Annual Employer Cost per Grade'!$U$2:$U$17,0,0))*(INDEX('[1]Headcount Phasing'!$B$3:$M$18,MATCH(B17,'[1]Headcount Phasing'!$A$3:$A$18,0),MATCH($F$2,'[1]Headcount Phasing'!$B$2:$M$2,0)))</f>
        <v>0</v>
      </c>
      <c r="G17" s="108">
        <f>(_xlfn.XLOOKUP(B17,'[1]Annual Employer Cost per Grade'!$C$2:$C$17,'[1]Annual Employer Cost per Grade'!$U$2:$U$17,0,0))*(INDEX('[1]Headcount Phasing'!$B$3:$M$18,MATCH(B17,'[1]Headcount Phasing'!$A$3:$A$18,0),MATCH($G$2,'[1]Headcount Phasing'!$B$2:$M$2,0)))</f>
        <v>199189.625</v>
      </c>
      <c r="H17" s="108">
        <f>(_xlfn.XLOOKUP(B17,'[1]Annual Employer Cost per Grade'!$C$2:$C$17,'[1]Annual Employer Cost per Grade'!$U$2:$U$17,0,0))*(INDEX('[1]Headcount Phasing'!$B$3:$M$18,MATCH(B17,'[1]Headcount Phasing'!$A$3:$A$18,0),MATCH($H$2,'[1]Headcount Phasing'!$B$2:$M$2,0)))</f>
        <v>199189.625</v>
      </c>
      <c r="I17" s="108">
        <f>(_xlfn.XLOOKUP(B17,'[1]Annual Employer Cost per Grade'!$C$2:$C$17,'[1]Annual Employer Cost per Grade'!$U$2:$U$17,0,0))*(INDEX('[1]Headcount Phasing'!$B$3:$M$18,MATCH(B17,'[1]Headcount Phasing'!$A$3:$A$18,0),MATCH($I$2,'[1]Headcount Phasing'!$B$2:$M$2,0)))</f>
        <v>199189.625</v>
      </c>
      <c r="J17" s="108">
        <f>(_xlfn.XLOOKUP(B17,'[1]Annual Employer Cost per Grade'!$C$2:$C$17,'[1]Annual Employer Cost per Grade'!$U$2:$U$17,0,0))*(INDEX('[1]Headcount Phasing'!$B$3:$M$18,MATCH(B17,'[1]Headcount Phasing'!$A$3:$A$18,0),MATCH($J$2,'[1]Headcount Phasing'!$B$2:$M$2,0)))</f>
        <v>199189.625</v>
      </c>
      <c r="K17" s="108">
        <f>(_xlfn.XLOOKUP(B17,'[1]Annual Employer Cost per Grade'!$C$2:$C$17,'[1]Annual Employer Cost per Grade'!$U$2:$U$17,0,0))*(INDEX('[1]Headcount Phasing'!$B$3:$M$18,MATCH(B17,'[1]Headcount Phasing'!$A$3:$A$18,0),MATCH($K$2,'[1]Headcount Phasing'!$B$2:$M$2,0)))</f>
        <v>199189.625</v>
      </c>
      <c r="L17" s="108">
        <f>(_xlfn.XLOOKUP(B17,'[1]Annual Employer Cost per Grade'!$C$2:$C$17,'[1]Annual Employer Cost per Grade'!$U$2:$U$17,0,0))*(INDEX('[1]Headcount Phasing'!$B$3:$M$18,MATCH(B17,'[1]Headcount Phasing'!$A$3:$A$18,0),MATCH($L$2,'[1]Headcount Phasing'!$B$2:$M$2,0)))</f>
        <v>199189.625</v>
      </c>
      <c r="M17" s="108">
        <f>(_xlfn.XLOOKUP(B17,'[1]Annual Employer Cost per Grade'!$C$2:$C$17,'[1]Annual Employer Cost per Grade'!$U$2:$U$17,0,0))*(INDEX('[1]Headcount Phasing'!$B$3:$M$18,MATCH(B17,'[1]Headcount Phasing'!$A$3:$A$18,0),MATCH($M$2,'[1]Headcount Phasing'!$B$2:$M$2,0)))</f>
        <v>199189.625</v>
      </c>
      <c r="N17" s="108">
        <f>(_xlfn.XLOOKUP(B17,'[1]Annual Employer Cost per Grade'!$C$2:$C$17,'[1]Annual Employer Cost per Grade'!$U$2:$U$17,0,0))*(INDEX('[1]Headcount Phasing'!$B$3:$M$18,MATCH(B17,'[1]Headcount Phasing'!$A$3:$A$18,0),MATCH($N$2,'[1]Headcount Phasing'!$B$2:$M$2,0)))</f>
        <v>199189.625</v>
      </c>
      <c r="O17" s="107">
        <f t="shared" si="0"/>
        <v>1593517</v>
      </c>
    </row>
    <row r="18" spans="1:15" x14ac:dyDescent="0.3">
      <c r="A18" s="104">
        <f t="shared" si="1"/>
        <v>16</v>
      </c>
      <c r="B18" s="105" t="s">
        <v>122</v>
      </c>
      <c r="C18" s="106">
        <f>(_xlfn.XLOOKUP(B18,'[1]Annual Employer Cost per Grade'!$C$2:$C$17,'[1]Annual Employer Cost per Grade'!$U$2:$U$17,0,0))*(INDEX('[1]Headcount Phasing'!$B$3:$M$18,MATCH(B18,'[1]Headcount Phasing'!$A$3:$A$18,0),MATCH($C$2,'[1]Headcount Phasing'!$B$2:$M$2,0)))</f>
        <v>0</v>
      </c>
      <c r="D18" s="106">
        <f>(_xlfn.XLOOKUP(B18,'[1]Annual Employer Cost per Grade'!$C$2:$C$17,'[1]Annual Employer Cost per Grade'!$U$2:$U$17,0,0))*(INDEX('[1]Headcount Phasing'!$B$3:$M$18,MATCH(B18,'[1]Headcount Phasing'!$A$3:$A$18,0),MATCH($D$2,'[1]Headcount Phasing'!$B$2:$M$2,0)))</f>
        <v>0</v>
      </c>
      <c r="E18" s="102">
        <f>(_xlfn.XLOOKUP(B18,'[1]Annual Employer Cost per Grade'!$C$2:$C$17,'[1]Annual Employer Cost per Grade'!$U$2:$U$17,0,0))*(INDEX('[1]Headcount Phasing'!$B$3:$M$18,MATCH(B18,'[1]Headcount Phasing'!$A$3:$A$18,0),MATCH($E$2,'[1]Headcount Phasing'!$B$2:$M$2,0)))</f>
        <v>0</v>
      </c>
      <c r="F18" s="108">
        <f>(_xlfn.XLOOKUP(B18,'[1]Annual Employer Cost per Grade'!$C$2:$C$17,'[1]Annual Employer Cost per Grade'!$U$2:$U$17,0,0))*(INDEX('[1]Headcount Phasing'!$B$3:$M$18,MATCH(B18,'[1]Headcount Phasing'!$A$3:$A$18,0),MATCH($F$2,'[1]Headcount Phasing'!$B$2:$M$2,0)))</f>
        <v>240702.00000000006</v>
      </c>
      <c r="G18" s="108">
        <f>(_xlfn.XLOOKUP(B18,'[1]Annual Employer Cost per Grade'!$C$2:$C$17,'[1]Annual Employer Cost per Grade'!$U$2:$U$17,0,0))*(INDEX('[1]Headcount Phasing'!$B$3:$M$18,MATCH(B18,'[1]Headcount Phasing'!$A$3:$A$18,0),MATCH($G$2,'[1]Headcount Phasing'!$B$2:$M$2,0)))</f>
        <v>240702.00000000006</v>
      </c>
      <c r="H18" s="108">
        <f>(_xlfn.XLOOKUP(B18,'[1]Annual Employer Cost per Grade'!$C$2:$C$17,'[1]Annual Employer Cost per Grade'!$U$2:$U$17,0,0))*(INDEX('[1]Headcount Phasing'!$B$3:$M$18,MATCH(B18,'[1]Headcount Phasing'!$A$3:$A$18,0),MATCH($H$2,'[1]Headcount Phasing'!$B$2:$M$2,0)))</f>
        <v>240702.00000000006</v>
      </c>
      <c r="I18" s="108">
        <f>(_xlfn.XLOOKUP(B18,'[1]Annual Employer Cost per Grade'!$C$2:$C$17,'[1]Annual Employer Cost per Grade'!$U$2:$U$17,0,0))*(INDEX('[1]Headcount Phasing'!$B$3:$M$18,MATCH(B18,'[1]Headcount Phasing'!$A$3:$A$18,0),MATCH($I$2,'[1]Headcount Phasing'!$B$2:$M$2,0)))</f>
        <v>240702.00000000006</v>
      </c>
      <c r="J18" s="108">
        <f>(_xlfn.XLOOKUP(B18,'[1]Annual Employer Cost per Grade'!$C$2:$C$17,'[1]Annual Employer Cost per Grade'!$U$2:$U$17,0,0))*(INDEX('[1]Headcount Phasing'!$B$3:$M$18,MATCH(B18,'[1]Headcount Phasing'!$A$3:$A$18,0),MATCH($J$2,'[1]Headcount Phasing'!$B$2:$M$2,0)))</f>
        <v>240702.00000000006</v>
      </c>
      <c r="K18" s="108">
        <f>(_xlfn.XLOOKUP(B18,'[1]Annual Employer Cost per Grade'!$C$2:$C$17,'[1]Annual Employer Cost per Grade'!$U$2:$U$17,0,0))*(INDEX('[1]Headcount Phasing'!$B$3:$M$18,MATCH(B18,'[1]Headcount Phasing'!$A$3:$A$18,0),MATCH($K$2,'[1]Headcount Phasing'!$B$2:$M$2,0)))</f>
        <v>240702.00000000006</v>
      </c>
      <c r="L18" s="108">
        <f>(_xlfn.XLOOKUP(B18,'[1]Annual Employer Cost per Grade'!$C$2:$C$17,'[1]Annual Employer Cost per Grade'!$U$2:$U$17,0,0))*(INDEX('[1]Headcount Phasing'!$B$3:$M$18,MATCH(B18,'[1]Headcount Phasing'!$A$3:$A$18,0),MATCH($L$2,'[1]Headcount Phasing'!$B$2:$M$2,0)))</f>
        <v>240702.00000000006</v>
      </c>
      <c r="M18" s="108">
        <f>(_xlfn.XLOOKUP(B18,'[1]Annual Employer Cost per Grade'!$C$2:$C$17,'[1]Annual Employer Cost per Grade'!$U$2:$U$17,0,0))*(INDEX('[1]Headcount Phasing'!$B$3:$M$18,MATCH(B18,'[1]Headcount Phasing'!$A$3:$A$18,0),MATCH($M$2,'[1]Headcount Phasing'!$B$2:$M$2,0)))</f>
        <v>240702.00000000006</v>
      </c>
      <c r="N18" s="108">
        <f>(_xlfn.XLOOKUP(B18,'[1]Annual Employer Cost per Grade'!$C$2:$C$17,'[1]Annual Employer Cost per Grade'!$U$2:$U$17,0,0))*(INDEX('[1]Headcount Phasing'!$B$3:$M$18,MATCH(B18,'[1]Headcount Phasing'!$A$3:$A$18,0),MATCH($N$2,'[1]Headcount Phasing'!$B$2:$M$2,0)))</f>
        <v>240702.00000000006</v>
      </c>
      <c r="O18" s="107">
        <f t="shared" si="0"/>
        <v>2166318.0000000005</v>
      </c>
    </row>
    <row r="19" spans="1:15" x14ac:dyDescent="0.3">
      <c r="A19" s="109"/>
      <c r="B19" s="110" t="s">
        <v>123</v>
      </c>
      <c r="C19" s="111">
        <f>SUM(C3:C18)</f>
        <v>0</v>
      </c>
      <c r="D19" s="111">
        <f>SUM(D3:D18)</f>
        <v>0</v>
      </c>
      <c r="E19" s="111">
        <f>SUM(E3:E18)</f>
        <v>6418849.8125</v>
      </c>
      <c r="F19" s="111">
        <f t="shared" ref="F19:O19" si="2">SUM(F3:F18)</f>
        <v>15610314.020833336</v>
      </c>
      <c r="G19" s="111">
        <f t="shared" si="2"/>
        <v>16040686.791666668</v>
      </c>
      <c r="H19" s="111">
        <f t="shared" si="2"/>
        <v>16040686.791666668</v>
      </c>
      <c r="I19" s="111">
        <f t="shared" si="2"/>
        <v>16040686.791666668</v>
      </c>
      <c r="J19" s="111">
        <f t="shared" si="2"/>
        <v>16040686.791666668</v>
      </c>
      <c r="K19" s="111">
        <f t="shared" si="2"/>
        <v>16040686.791666668</v>
      </c>
      <c r="L19" s="111">
        <f t="shared" si="2"/>
        <v>16040686.791666668</v>
      </c>
      <c r="M19" s="111">
        <f t="shared" si="2"/>
        <v>16040686.791666668</v>
      </c>
      <c r="N19" s="111">
        <f t="shared" si="2"/>
        <v>16040686.791666668</v>
      </c>
      <c r="O19" s="111">
        <f t="shared" si="2"/>
        <v>150354658.16666666</v>
      </c>
    </row>
    <row r="29" spans="1:15" x14ac:dyDescent="0.3">
      <c r="F29" s="112"/>
      <c r="G29" s="112"/>
      <c r="H29" s="112"/>
      <c r="I29" s="112"/>
      <c r="J29" s="112"/>
      <c r="K29" s="112"/>
      <c r="L29" s="112"/>
      <c r="M29" s="112" t="s">
        <v>124</v>
      </c>
      <c r="N29" s="112"/>
      <c r="O29" s="112"/>
    </row>
    <row r="30" spans="1:15" x14ac:dyDescent="0.3">
      <c r="F30" s="112"/>
      <c r="G30" s="112"/>
      <c r="H30" s="112"/>
      <c r="I30" s="112"/>
      <c r="J30" s="112"/>
      <c r="K30" s="112"/>
      <c r="L30" s="112">
        <v>235017335.19999999</v>
      </c>
      <c r="M30" s="112">
        <f>L30-O19</f>
        <v>84662677.033333331</v>
      </c>
      <c r="N30" s="112"/>
      <c r="O30" s="112"/>
    </row>
    <row r="31" spans="1:15" x14ac:dyDescent="0.3">
      <c r="C31" s="38"/>
      <c r="D31" s="38"/>
      <c r="E31" s="38"/>
      <c r="F31" s="38"/>
      <c r="G31" s="38"/>
      <c r="H31" s="38"/>
      <c r="I31" s="38"/>
      <c r="J31" s="38"/>
      <c r="K31" s="38"/>
      <c r="L31" s="113"/>
      <c r="M31" s="113">
        <f>(L30-O19)/L30</f>
        <v>0.36024013701493685</v>
      </c>
      <c r="N31" s="38"/>
      <c r="O31" s="114"/>
    </row>
  </sheetData>
  <mergeCells count="1">
    <mergeCell ref="E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EA67-70FC-4A1A-8630-1953A2A0DF88}">
  <dimension ref="B2:O14"/>
  <sheetViews>
    <sheetView showGridLines="0" workbookViewId="0">
      <selection activeCell="D18" sqref="D18"/>
    </sheetView>
  </sheetViews>
  <sheetFormatPr defaultRowHeight="14.4" x14ac:dyDescent="0.3"/>
  <cols>
    <col min="2" max="2" width="20" customWidth="1"/>
    <col min="5" max="5" width="9.44140625" bestFit="1" customWidth="1"/>
    <col min="8" max="8" width="9.44140625" bestFit="1" customWidth="1"/>
    <col min="11" max="11" width="9.44140625" bestFit="1" customWidth="1"/>
    <col min="14" max="15" width="9.44140625" bestFit="1" customWidth="1"/>
  </cols>
  <sheetData>
    <row r="2" spans="2:15" x14ac:dyDescent="0.3">
      <c r="B2" s="81" t="s">
        <v>8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2:15" x14ac:dyDescent="0.3">
      <c r="B3" s="44"/>
      <c r="C3" s="46" t="s">
        <v>74</v>
      </c>
      <c r="D3" s="46" t="s">
        <v>75</v>
      </c>
      <c r="E3" s="46" t="s">
        <v>76</v>
      </c>
      <c r="F3" s="46" t="s">
        <v>77</v>
      </c>
      <c r="G3" s="46" t="s">
        <v>78</v>
      </c>
      <c r="H3" s="46" t="s">
        <v>79</v>
      </c>
      <c r="I3" s="46" t="s">
        <v>80</v>
      </c>
      <c r="J3" s="46" t="s">
        <v>81</v>
      </c>
      <c r="K3" s="46" t="s">
        <v>82</v>
      </c>
      <c r="L3" s="46" t="s">
        <v>83</v>
      </c>
      <c r="M3" s="46" t="s">
        <v>84</v>
      </c>
      <c r="N3" s="46" t="s">
        <v>85</v>
      </c>
      <c r="O3" s="47" t="s">
        <v>86</v>
      </c>
    </row>
    <row r="4" spans="2:15" x14ac:dyDescent="0.3">
      <c r="B4" s="39" t="s">
        <v>43</v>
      </c>
      <c r="C4" s="66"/>
      <c r="D4" s="66"/>
      <c r="E4" s="66">
        <f>$O$4/4</f>
        <v>1041666.6666666665</v>
      </c>
      <c r="F4" s="66"/>
      <c r="G4" s="66"/>
      <c r="H4" s="66">
        <f>$O$4/4</f>
        <v>1041666.6666666665</v>
      </c>
      <c r="I4" s="66"/>
      <c r="J4" s="66"/>
      <c r="K4" s="66">
        <f>$O$4/4</f>
        <v>1041666.6666666665</v>
      </c>
      <c r="L4" s="66"/>
      <c r="M4" s="66"/>
      <c r="N4" s="66">
        <f>$O$4/4</f>
        <v>1041666.6666666665</v>
      </c>
      <c r="O4" s="67">
        <v>4166666.666666666</v>
      </c>
    </row>
    <row r="5" spans="2:15" x14ac:dyDescent="0.3">
      <c r="B5" s="39" t="s">
        <v>44</v>
      </c>
      <c r="C5" s="66"/>
      <c r="D5" s="66"/>
      <c r="E5" s="66">
        <f>$O$5/4</f>
        <v>729166.66666666663</v>
      </c>
      <c r="F5" s="66"/>
      <c r="G5" s="66"/>
      <c r="H5" s="66">
        <f>$O$5/4</f>
        <v>729166.66666666663</v>
      </c>
      <c r="I5" s="66"/>
      <c r="J5" s="66"/>
      <c r="K5" s="66">
        <f>$O$5/4</f>
        <v>729166.66666666663</v>
      </c>
      <c r="L5" s="66"/>
      <c r="M5" s="66"/>
      <c r="N5" s="66">
        <f>$O$5/4</f>
        <v>729166.66666666663</v>
      </c>
      <c r="O5" s="67">
        <v>2916666.6666666665</v>
      </c>
    </row>
    <row r="6" spans="2:15" ht="43.2" x14ac:dyDescent="0.3">
      <c r="B6" s="64" t="s">
        <v>45</v>
      </c>
      <c r="C6" s="70"/>
      <c r="D6" s="70"/>
      <c r="E6" s="70">
        <f>$O$6/4</f>
        <v>416666.66666666669</v>
      </c>
      <c r="F6" s="70"/>
      <c r="G6" s="70"/>
      <c r="H6" s="70">
        <f>$O$6/4</f>
        <v>416666.66666666669</v>
      </c>
      <c r="I6" s="70"/>
      <c r="J6" s="70"/>
      <c r="K6" s="70">
        <f>$O$6/4</f>
        <v>416666.66666666669</v>
      </c>
      <c r="L6" s="70"/>
      <c r="M6" s="70"/>
      <c r="N6" s="70">
        <f>$O$6/4</f>
        <v>416666.66666666669</v>
      </c>
      <c r="O6" s="71">
        <v>1666666.6666666667</v>
      </c>
    </row>
    <row r="9" spans="2:15" x14ac:dyDescent="0.3">
      <c r="B9" s="81" t="s">
        <v>11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</row>
    <row r="10" spans="2:15" x14ac:dyDescent="0.3">
      <c r="B10" s="44"/>
      <c r="C10" s="46" t="s">
        <v>74</v>
      </c>
      <c r="D10" s="46" t="s">
        <v>75</v>
      </c>
      <c r="E10" s="46" t="s">
        <v>76</v>
      </c>
      <c r="F10" s="46" t="s">
        <v>77</v>
      </c>
      <c r="G10" s="46" t="s">
        <v>78</v>
      </c>
      <c r="H10" s="46" t="s">
        <v>79</v>
      </c>
      <c r="I10" s="46" t="s">
        <v>80</v>
      </c>
      <c r="J10" s="46" t="s">
        <v>81</v>
      </c>
      <c r="K10" s="46" t="s">
        <v>82</v>
      </c>
      <c r="L10" s="46" t="s">
        <v>83</v>
      </c>
      <c r="M10" s="46" t="s">
        <v>84</v>
      </c>
      <c r="N10" s="46" t="s">
        <v>85</v>
      </c>
      <c r="O10" s="47" t="s">
        <v>86</v>
      </c>
    </row>
    <row r="11" spans="2:15" ht="43.2" x14ac:dyDescent="0.3">
      <c r="B11" s="65" t="s">
        <v>50</v>
      </c>
      <c r="C11" s="66"/>
      <c r="D11" s="66"/>
      <c r="E11" s="66">
        <f>$O11/4</f>
        <v>1000000</v>
      </c>
      <c r="F11" s="66"/>
      <c r="G11" s="66"/>
      <c r="H11" s="66">
        <f t="shared" ref="H11:H13" si="0">$O11/4</f>
        <v>1000000</v>
      </c>
      <c r="I11" s="66"/>
      <c r="J11" s="66"/>
      <c r="K11" s="66">
        <f t="shared" ref="K11:K13" si="1">$O11/4</f>
        <v>1000000</v>
      </c>
      <c r="L11" s="66"/>
      <c r="M11" s="66"/>
      <c r="N11" s="66">
        <f t="shared" ref="N11:N13" si="2">$O11/4</f>
        <v>1000000</v>
      </c>
      <c r="O11" s="67">
        <v>4000000</v>
      </c>
    </row>
    <row r="12" spans="2:15" x14ac:dyDescent="0.3">
      <c r="B12" s="39" t="s">
        <v>51</v>
      </c>
      <c r="C12" s="66"/>
      <c r="D12" s="66"/>
      <c r="E12" s="66">
        <f>$O12/10</f>
        <v>250000</v>
      </c>
      <c r="F12" s="66">
        <f t="shared" ref="F12:N12" si="3">$O12/10</f>
        <v>250000</v>
      </c>
      <c r="G12" s="66">
        <f t="shared" si="3"/>
        <v>250000</v>
      </c>
      <c r="H12" s="66">
        <f t="shared" si="3"/>
        <v>250000</v>
      </c>
      <c r="I12" s="66">
        <f t="shared" si="3"/>
        <v>250000</v>
      </c>
      <c r="J12" s="66">
        <f t="shared" si="3"/>
        <v>250000</v>
      </c>
      <c r="K12" s="66">
        <f t="shared" si="3"/>
        <v>250000</v>
      </c>
      <c r="L12" s="66">
        <f t="shared" si="3"/>
        <v>250000</v>
      </c>
      <c r="M12" s="66">
        <f t="shared" si="3"/>
        <v>250000</v>
      </c>
      <c r="N12" s="66">
        <f t="shared" si="3"/>
        <v>250000</v>
      </c>
      <c r="O12" s="67">
        <v>2500000</v>
      </c>
    </row>
    <row r="13" spans="2:15" x14ac:dyDescent="0.3">
      <c r="B13" s="65" t="s">
        <v>52</v>
      </c>
      <c r="C13" s="66"/>
      <c r="D13" s="66"/>
      <c r="E13" s="66">
        <f t="shared" ref="E13" si="4">$O13/4</f>
        <v>520833.33333333326</v>
      </c>
      <c r="F13" s="66"/>
      <c r="G13" s="66"/>
      <c r="H13" s="66">
        <f t="shared" si="0"/>
        <v>520833.33333333326</v>
      </c>
      <c r="I13" s="66"/>
      <c r="J13" s="66"/>
      <c r="K13" s="66">
        <f t="shared" si="1"/>
        <v>520833.33333333326</v>
      </c>
      <c r="L13" s="66"/>
      <c r="M13" s="66"/>
      <c r="N13" s="66">
        <f t="shared" si="2"/>
        <v>520833.33333333326</v>
      </c>
      <c r="O13" s="67">
        <v>2083333.333333333</v>
      </c>
    </row>
    <row r="14" spans="2:15" x14ac:dyDescent="0.3">
      <c r="B14" s="43" t="s">
        <v>53</v>
      </c>
      <c r="C14" s="68"/>
      <c r="D14" s="68"/>
      <c r="E14" s="68">
        <f>$O14/4</f>
        <v>312500</v>
      </c>
      <c r="F14" s="68"/>
      <c r="G14" s="68"/>
      <c r="H14" s="68">
        <f>$O14/4</f>
        <v>312500</v>
      </c>
      <c r="I14" s="68"/>
      <c r="J14" s="68"/>
      <c r="K14" s="68">
        <f>$O14/4</f>
        <v>312500</v>
      </c>
      <c r="L14" s="68"/>
      <c r="M14" s="68"/>
      <c r="N14" s="68">
        <f>$O14/4</f>
        <v>312500</v>
      </c>
      <c r="O14" s="69">
        <v>1250000</v>
      </c>
    </row>
  </sheetData>
  <mergeCells count="2">
    <mergeCell ref="B2:O2"/>
    <mergeCell ref="B9:O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2AF1-1208-405C-8449-46D4BF7DA6FC}">
  <dimension ref="B2:N5"/>
  <sheetViews>
    <sheetView showGridLines="0" workbookViewId="0">
      <selection activeCell="C6" sqref="C6"/>
    </sheetView>
  </sheetViews>
  <sheetFormatPr defaultRowHeight="14.4" x14ac:dyDescent="0.3"/>
  <cols>
    <col min="2" max="2" width="14.44140625" bestFit="1" customWidth="1"/>
  </cols>
  <sheetData>
    <row r="2" spans="2:14" x14ac:dyDescent="0.3">
      <c r="B2" s="44"/>
      <c r="C2" s="46" t="s">
        <v>74</v>
      </c>
      <c r="D2" s="46" t="s">
        <v>75</v>
      </c>
      <c r="E2" s="46" t="s">
        <v>76</v>
      </c>
      <c r="F2" s="46" t="s">
        <v>77</v>
      </c>
      <c r="G2" s="46" t="s">
        <v>78</v>
      </c>
      <c r="H2" s="46" t="s">
        <v>79</v>
      </c>
      <c r="I2" s="46" t="s">
        <v>80</v>
      </c>
      <c r="J2" s="46" t="s">
        <v>81</v>
      </c>
      <c r="K2" s="46" t="s">
        <v>82</v>
      </c>
      <c r="L2" s="46" t="s">
        <v>83</v>
      </c>
      <c r="M2" s="46" t="s">
        <v>84</v>
      </c>
      <c r="N2" s="47" t="s">
        <v>85</v>
      </c>
    </row>
    <row r="3" spans="2:14" x14ac:dyDescent="0.3">
      <c r="B3" s="39" t="s">
        <v>92</v>
      </c>
      <c r="C3" s="60">
        <v>5000</v>
      </c>
      <c r="D3" s="60">
        <v>5000</v>
      </c>
      <c r="E3" s="60">
        <v>5000</v>
      </c>
      <c r="F3" s="60">
        <v>5000</v>
      </c>
      <c r="G3" s="60">
        <v>5000</v>
      </c>
      <c r="H3" s="60">
        <v>5000</v>
      </c>
      <c r="I3" s="60">
        <v>5000</v>
      </c>
      <c r="J3" s="60">
        <v>5000</v>
      </c>
      <c r="K3" s="60">
        <v>5000</v>
      </c>
      <c r="L3" s="60">
        <v>5000</v>
      </c>
      <c r="M3" s="60">
        <v>5000</v>
      </c>
      <c r="N3" s="61">
        <v>5000</v>
      </c>
    </row>
    <row r="4" spans="2:14" x14ac:dyDescent="0.3">
      <c r="B4" s="39" t="s">
        <v>93</v>
      </c>
      <c r="C4" s="60">
        <v>0</v>
      </c>
      <c r="D4" s="60">
        <v>0</v>
      </c>
      <c r="E4" s="60">
        <v>5</v>
      </c>
      <c r="F4" s="60">
        <f>E4+10</f>
        <v>15</v>
      </c>
      <c r="G4" s="60">
        <f t="shared" ref="G4:N4" si="0">F4+10</f>
        <v>25</v>
      </c>
      <c r="H4" s="60">
        <f t="shared" si="0"/>
        <v>35</v>
      </c>
      <c r="I4" s="60">
        <f t="shared" si="0"/>
        <v>45</v>
      </c>
      <c r="J4" s="60">
        <f t="shared" si="0"/>
        <v>55</v>
      </c>
      <c r="K4" s="60">
        <f t="shared" si="0"/>
        <v>65</v>
      </c>
      <c r="L4" s="60">
        <f t="shared" si="0"/>
        <v>75</v>
      </c>
      <c r="M4" s="60">
        <f t="shared" si="0"/>
        <v>85</v>
      </c>
      <c r="N4" s="61">
        <f t="shared" si="0"/>
        <v>95</v>
      </c>
    </row>
    <row r="5" spans="2:14" s="3" customFormat="1" x14ac:dyDescent="0.3">
      <c r="B5" s="73" t="s">
        <v>86</v>
      </c>
      <c r="C5" s="78">
        <f>C3*C4</f>
        <v>0</v>
      </c>
      <c r="D5" s="78">
        <f t="shared" ref="D5:N5" si="1">D3*D4</f>
        <v>0</v>
      </c>
      <c r="E5" s="78">
        <f t="shared" si="1"/>
        <v>25000</v>
      </c>
      <c r="F5" s="78">
        <f t="shared" si="1"/>
        <v>75000</v>
      </c>
      <c r="G5" s="78">
        <f t="shared" si="1"/>
        <v>125000</v>
      </c>
      <c r="H5" s="78">
        <f t="shared" si="1"/>
        <v>175000</v>
      </c>
      <c r="I5" s="78">
        <f t="shared" si="1"/>
        <v>225000</v>
      </c>
      <c r="J5" s="78">
        <f t="shared" si="1"/>
        <v>275000</v>
      </c>
      <c r="K5" s="78">
        <f t="shared" si="1"/>
        <v>325000</v>
      </c>
      <c r="L5" s="78">
        <f t="shared" si="1"/>
        <v>375000</v>
      </c>
      <c r="M5" s="78">
        <f t="shared" si="1"/>
        <v>425000</v>
      </c>
      <c r="N5" s="79">
        <f t="shared" si="1"/>
        <v>475000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444B-2063-410F-8034-9E903181E1BF}">
  <dimension ref="B2:N5"/>
  <sheetViews>
    <sheetView showGridLines="0" workbookViewId="0">
      <selection activeCell="N5" sqref="N5"/>
    </sheetView>
  </sheetViews>
  <sheetFormatPr defaultRowHeight="14.4" x14ac:dyDescent="0.3"/>
  <cols>
    <col min="2" max="2" width="12.44140625" bestFit="1" customWidth="1"/>
    <col min="3" max="14" width="9.5546875" bestFit="1" customWidth="1"/>
  </cols>
  <sheetData>
    <row r="2" spans="2:14" x14ac:dyDescent="0.3">
      <c r="B2" s="44"/>
      <c r="C2" s="46" t="s">
        <v>74</v>
      </c>
      <c r="D2" s="46" t="s">
        <v>75</v>
      </c>
      <c r="E2" s="46" t="s">
        <v>76</v>
      </c>
      <c r="F2" s="46" t="s">
        <v>77</v>
      </c>
      <c r="G2" s="46" t="s">
        <v>78</v>
      </c>
      <c r="H2" s="46" t="s">
        <v>79</v>
      </c>
      <c r="I2" s="46" t="s">
        <v>80</v>
      </c>
      <c r="J2" s="46" t="s">
        <v>81</v>
      </c>
      <c r="K2" s="46" t="s">
        <v>82</v>
      </c>
      <c r="L2" s="46" t="s">
        <v>83</v>
      </c>
      <c r="M2" s="46" t="s">
        <v>84</v>
      </c>
      <c r="N2" s="47" t="s">
        <v>85</v>
      </c>
    </row>
    <row r="3" spans="2:14" x14ac:dyDescent="0.3">
      <c r="B3" s="39" t="s">
        <v>89</v>
      </c>
      <c r="C3" s="40">
        <v>1193.9811902700001</v>
      </c>
      <c r="D3" s="40">
        <v>1182.3157922205539</v>
      </c>
      <c r="E3" s="40">
        <v>1100</v>
      </c>
      <c r="F3" s="40">
        <v>1149.5996583130161</v>
      </c>
      <c r="G3" s="40">
        <v>1152.0874173041541</v>
      </c>
      <c r="H3" s="40">
        <v>1186.5491731216246</v>
      </c>
      <c r="I3" s="40">
        <v>1299.7549496131378</v>
      </c>
      <c r="J3" s="40">
        <v>1330.3729765525161</v>
      </c>
      <c r="K3" s="40">
        <v>1343.2721632397711</v>
      </c>
      <c r="L3" s="40">
        <v>1359.3152721725776</v>
      </c>
      <c r="M3" s="40">
        <v>1378.7525874683799</v>
      </c>
      <c r="N3" s="56">
        <v>1395.9127826273564</v>
      </c>
    </row>
    <row r="4" spans="2:14" x14ac:dyDescent="0.3">
      <c r="B4" s="39" t="s">
        <v>90</v>
      </c>
      <c r="C4" s="40"/>
      <c r="D4" s="40"/>
      <c r="E4" s="40"/>
      <c r="F4" s="40"/>
      <c r="G4" s="40">
        <v>800</v>
      </c>
      <c r="H4" s="40">
        <f t="shared" ref="H4:M4" si="0">G4</f>
        <v>800</v>
      </c>
      <c r="I4" s="40">
        <f t="shared" si="0"/>
        <v>800</v>
      </c>
      <c r="J4" s="40">
        <f t="shared" si="0"/>
        <v>800</v>
      </c>
      <c r="K4" s="40">
        <f t="shared" si="0"/>
        <v>800</v>
      </c>
      <c r="L4" s="40">
        <f t="shared" si="0"/>
        <v>800</v>
      </c>
      <c r="M4" s="40">
        <f t="shared" si="0"/>
        <v>800</v>
      </c>
      <c r="N4" s="56">
        <f>M4</f>
        <v>800</v>
      </c>
    </row>
    <row r="5" spans="2:14" s="3" customFormat="1" x14ac:dyDescent="0.3">
      <c r="B5" s="73" t="s">
        <v>86</v>
      </c>
      <c r="C5" s="74">
        <f t="shared" ref="C5:N5" si="1">C3*C4</f>
        <v>0</v>
      </c>
      <c r="D5" s="74">
        <f t="shared" si="1"/>
        <v>0</v>
      </c>
      <c r="E5" s="74">
        <f t="shared" si="1"/>
        <v>0</v>
      </c>
      <c r="F5" s="74">
        <f t="shared" si="1"/>
        <v>0</v>
      </c>
      <c r="G5" s="74">
        <f t="shared" si="1"/>
        <v>921669.93384332326</v>
      </c>
      <c r="H5" s="74">
        <f t="shared" si="1"/>
        <v>949239.3384972997</v>
      </c>
      <c r="I5" s="74">
        <f t="shared" si="1"/>
        <v>1039803.9596905103</v>
      </c>
      <c r="J5" s="74">
        <f t="shared" si="1"/>
        <v>1064298.3812420128</v>
      </c>
      <c r="K5" s="74">
        <f t="shared" si="1"/>
        <v>1074617.7305918168</v>
      </c>
      <c r="L5" s="74">
        <f t="shared" si="1"/>
        <v>1087452.2177380621</v>
      </c>
      <c r="M5" s="74">
        <f t="shared" si="1"/>
        <v>1103002.0699747039</v>
      </c>
      <c r="N5" s="75">
        <f t="shared" si="1"/>
        <v>1116730.2261018851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328C-A4C6-4ABB-B276-14082A076277}">
  <dimension ref="B2:Q23"/>
  <sheetViews>
    <sheetView showGridLines="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H21" sqref="H21"/>
    </sheetView>
  </sheetViews>
  <sheetFormatPr defaultColWidth="8.77734375" defaultRowHeight="14.4" x14ac:dyDescent="0.3"/>
  <cols>
    <col min="2" max="3" width="27.5546875" customWidth="1"/>
    <col min="4" max="4" width="22.6640625" style="37" customWidth="1"/>
    <col min="5" max="5" width="3.5546875" customWidth="1"/>
    <col min="6" max="7" width="11.21875" style="37" bestFit="1" customWidth="1"/>
    <col min="8" max="8" width="12.5546875" style="37" customWidth="1"/>
    <col min="9" max="9" width="15.21875" style="37" customWidth="1"/>
    <col min="10" max="17" width="13.6640625" style="37" bestFit="1" customWidth="1"/>
  </cols>
  <sheetData>
    <row r="2" spans="2:17" x14ac:dyDescent="0.3">
      <c r="B2" s="45" t="s">
        <v>73</v>
      </c>
      <c r="C2" s="46" t="s">
        <v>110</v>
      </c>
      <c r="D2" s="46" t="s">
        <v>94</v>
      </c>
      <c r="E2" s="48"/>
      <c r="F2" s="46" t="s">
        <v>74</v>
      </c>
      <c r="G2" s="46" t="s">
        <v>75</v>
      </c>
      <c r="H2" s="46" t="s">
        <v>76</v>
      </c>
      <c r="I2" s="46" t="s">
        <v>77</v>
      </c>
      <c r="J2" s="46" t="s">
        <v>78</v>
      </c>
      <c r="K2" s="46" t="s">
        <v>79</v>
      </c>
      <c r="L2" s="46" t="s">
        <v>80</v>
      </c>
      <c r="M2" s="46" t="s">
        <v>81</v>
      </c>
      <c r="N2" s="46" t="s">
        <v>82</v>
      </c>
      <c r="O2" s="46" t="s">
        <v>83</v>
      </c>
      <c r="P2" s="46" t="s">
        <v>84</v>
      </c>
      <c r="Q2" s="47" t="s">
        <v>85</v>
      </c>
    </row>
    <row r="3" spans="2:17" x14ac:dyDescent="0.3">
      <c r="B3" s="39" t="s">
        <v>95</v>
      </c>
      <c r="C3" s="72">
        <v>92560384</v>
      </c>
      <c r="D3" s="72">
        <f>C3/12</f>
        <v>7713365.333333333</v>
      </c>
      <c r="E3" s="49"/>
      <c r="F3" s="41"/>
      <c r="G3" s="41"/>
      <c r="H3" s="41">
        <v>1</v>
      </c>
      <c r="I3" s="41">
        <v>1</v>
      </c>
      <c r="J3" s="41">
        <v>1</v>
      </c>
      <c r="K3" s="41">
        <v>1</v>
      </c>
      <c r="L3" s="41">
        <v>1</v>
      </c>
      <c r="M3" s="41">
        <v>1</v>
      </c>
      <c r="N3" s="41">
        <v>1</v>
      </c>
      <c r="O3" s="41">
        <v>1</v>
      </c>
      <c r="P3" s="41">
        <v>1</v>
      </c>
      <c r="Q3" s="41">
        <v>1</v>
      </c>
    </row>
    <row r="4" spans="2:17" x14ac:dyDescent="0.3">
      <c r="B4" s="39" t="s">
        <v>96</v>
      </c>
      <c r="C4" s="72">
        <v>51528999</v>
      </c>
      <c r="D4" s="72">
        <f t="shared" ref="D4:D17" si="0">C4/12</f>
        <v>4294083.25</v>
      </c>
      <c r="E4" s="49"/>
      <c r="F4" s="41"/>
      <c r="G4" s="41"/>
      <c r="H4" s="41"/>
      <c r="I4" s="41">
        <v>1</v>
      </c>
      <c r="J4" s="41">
        <v>1</v>
      </c>
      <c r="K4" s="41">
        <v>1</v>
      </c>
      <c r="L4" s="41">
        <v>1</v>
      </c>
      <c r="M4" s="41">
        <v>1</v>
      </c>
      <c r="N4" s="41">
        <v>1</v>
      </c>
      <c r="O4" s="41">
        <v>1</v>
      </c>
      <c r="P4" s="41">
        <v>1</v>
      </c>
      <c r="Q4" s="41">
        <v>1</v>
      </c>
    </row>
    <row r="5" spans="2:17" x14ac:dyDescent="0.3">
      <c r="B5" s="39" t="s">
        <v>97</v>
      </c>
      <c r="C5" s="72">
        <v>10365498</v>
      </c>
      <c r="D5" s="72">
        <f t="shared" si="0"/>
        <v>863791.5</v>
      </c>
      <c r="E5" s="49"/>
      <c r="F5" s="41"/>
      <c r="G5" s="41"/>
      <c r="H5" s="41"/>
      <c r="I5" s="41">
        <v>1</v>
      </c>
      <c r="J5" s="41">
        <v>1</v>
      </c>
      <c r="K5" s="41">
        <v>1</v>
      </c>
      <c r="L5" s="41">
        <v>1</v>
      </c>
      <c r="M5" s="41">
        <v>1</v>
      </c>
      <c r="N5" s="41">
        <v>1</v>
      </c>
      <c r="O5" s="41">
        <v>1</v>
      </c>
      <c r="P5" s="41">
        <v>1</v>
      </c>
      <c r="Q5" s="41">
        <v>1</v>
      </c>
    </row>
    <row r="6" spans="2:17" x14ac:dyDescent="0.3">
      <c r="B6" s="39" t="s">
        <v>98</v>
      </c>
      <c r="C6" s="72">
        <v>10365498</v>
      </c>
      <c r="D6" s="72">
        <f t="shared" si="0"/>
        <v>863791.5</v>
      </c>
      <c r="E6" s="49"/>
      <c r="F6" s="41"/>
      <c r="G6" s="41"/>
      <c r="H6" s="41"/>
      <c r="I6" s="41">
        <v>1</v>
      </c>
      <c r="J6" s="41">
        <v>1</v>
      </c>
      <c r="K6" s="41">
        <v>1</v>
      </c>
      <c r="L6" s="41">
        <v>1</v>
      </c>
      <c r="M6" s="41">
        <v>1</v>
      </c>
      <c r="N6" s="41">
        <v>1</v>
      </c>
      <c r="O6" s="41">
        <v>1</v>
      </c>
      <c r="P6" s="41">
        <v>1</v>
      </c>
      <c r="Q6" s="41">
        <v>1</v>
      </c>
    </row>
    <row r="7" spans="2:17" x14ac:dyDescent="0.3">
      <c r="B7" s="39" t="s">
        <v>99</v>
      </c>
      <c r="C7" s="72">
        <v>5939986.5</v>
      </c>
      <c r="D7" s="72">
        <f t="shared" si="0"/>
        <v>494998.875</v>
      </c>
      <c r="E7" s="49"/>
      <c r="F7" s="41"/>
      <c r="G7" s="41"/>
      <c r="H7" s="41"/>
      <c r="I7" s="41">
        <v>1</v>
      </c>
      <c r="J7" s="41">
        <v>1</v>
      </c>
      <c r="K7" s="41">
        <v>1</v>
      </c>
      <c r="L7" s="41">
        <v>1</v>
      </c>
      <c r="M7" s="41">
        <v>1</v>
      </c>
      <c r="N7" s="41">
        <v>1</v>
      </c>
      <c r="O7" s="41">
        <v>1</v>
      </c>
      <c r="P7" s="41">
        <v>1</v>
      </c>
      <c r="Q7" s="41">
        <v>1</v>
      </c>
    </row>
    <row r="8" spans="2:17" x14ac:dyDescent="0.3">
      <c r="B8" s="39" t="s">
        <v>105</v>
      </c>
      <c r="C8" s="72">
        <v>11879973</v>
      </c>
      <c r="D8" s="72">
        <f t="shared" si="0"/>
        <v>989997.75</v>
      </c>
      <c r="E8" s="49"/>
      <c r="F8" s="41"/>
      <c r="G8" s="41"/>
      <c r="H8" s="41"/>
      <c r="I8" s="41">
        <v>1</v>
      </c>
      <c r="J8" s="41">
        <v>1</v>
      </c>
      <c r="K8" s="41">
        <v>2</v>
      </c>
      <c r="L8" s="41">
        <v>2</v>
      </c>
      <c r="M8" s="41">
        <v>2</v>
      </c>
      <c r="N8" s="41">
        <v>2</v>
      </c>
      <c r="O8" s="41">
        <v>2</v>
      </c>
      <c r="P8" s="41">
        <v>2</v>
      </c>
      <c r="Q8" s="41">
        <v>2</v>
      </c>
    </row>
    <row r="9" spans="2:17" x14ac:dyDescent="0.3">
      <c r="B9" s="39" t="s">
        <v>100</v>
      </c>
      <c r="C9" s="72">
        <v>5939986.5</v>
      </c>
      <c r="D9" s="72">
        <f t="shared" si="0"/>
        <v>494998.875</v>
      </c>
      <c r="E9" s="49"/>
      <c r="F9" s="41"/>
      <c r="G9" s="41"/>
      <c r="H9" s="41"/>
      <c r="I9" s="41">
        <v>1</v>
      </c>
      <c r="J9" s="41">
        <v>1</v>
      </c>
      <c r="K9" s="41">
        <v>1</v>
      </c>
      <c r="L9" s="41">
        <v>1</v>
      </c>
      <c r="M9" s="41">
        <v>1</v>
      </c>
      <c r="N9" s="41">
        <v>1</v>
      </c>
      <c r="O9" s="41">
        <v>1</v>
      </c>
      <c r="P9" s="41">
        <v>1</v>
      </c>
      <c r="Q9" s="41">
        <v>1</v>
      </c>
    </row>
    <row r="10" spans="2:17" x14ac:dyDescent="0.3">
      <c r="B10" s="39" t="s">
        <v>101</v>
      </c>
      <c r="C10" s="72">
        <v>5939986.5</v>
      </c>
      <c r="D10" s="72">
        <f t="shared" si="0"/>
        <v>494998.875</v>
      </c>
      <c r="E10" s="49"/>
      <c r="F10" s="41"/>
      <c r="G10" s="41"/>
      <c r="H10" s="41"/>
      <c r="I10" s="41">
        <v>1</v>
      </c>
      <c r="J10" s="41">
        <v>1</v>
      </c>
      <c r="K10" s="41">
        <v>1</v>
      </c>
      <c r="L10" s="41">
        <v>1</v>
      </c>
      <c r="M10" s="41">
        <v>1</v>
      </c>
      <c r="N10" s="41">
        <v>1</v>
      </c>
      <c r="O10" s="41">
        <v>1</v>
      </c>
      <c r="P10" s="41">
        <v>1</v>
      </c>
      <c r="Q10" s="41">
        <v>1</v>
      </c>
    </row>
    <row r="11" spans="2:17" x14ac:dyDescent="0.3">
      <c r="B11" s="39" t="s">
        <v>106</v>
      </c>
      <c r="C11" s="72">
        <v>11879973</v>
      </c>
      <c r="D11" s="72">
        <f t="shared" si="0"/>
        <v>989997.75</v>
      </c>
      <c r="E11" s="49"/>
      <c r="F11" s="41"/>
      <c r="G11" s="41"/>
      <c r="H11" s="41"/>
      <c r="I11" s="41">
        <v>1</v>
      </c>
      <c r="J11" s="41">
        <v>1</v>
      </c>
      <c r="K11" s="41">
        <v>1</v>
      </c>
      <c r="L11" s="41">
        <v>1</v>
      </c>
      <c r="M11" s="41">
        <v>1</v>
      </c>
      <c r="N11" s="41">
        <v>1</v>
      </c>
      <c r="O11" s="41">
        <v>1</v>
      </c>
      <c r="P11" s="41">
        <v>1</v>
      </c>
      <c r="Q11" s="41">
        <v>1</v>
      </c>
    </row>
    <row r="12" spans="2:17" x14ac:dyDescent="0.3">
      <c r="B12" s="39" t="s">
        <v>102</v>
      </c>
      <c r="C12" s="72">
        <v>5939986.5</v>
      </c>
      <c r="D12" s="72">
        <f t="shared" si="0"/>
        <v>494998.875</v>
      </c>
      <c r="E12" s="49"/>
      <c r="F12" s="41"/>
      <c r="G12" s="41"/>
      <c r="H12" s="41"/>
      <c r="I12" s="41">
        <v>1</v>
      </c>
      <c r="J12" s="41">
        <v>1</v>
      </c>
      <c r="K12" s="41">
        <v>1</v>
      </c>
      <c r="L12" s="41">
        <v>1</v>
      </c>
      <c r="M12" s="41">
        <v>1</v>
      </c>
      <c r="N12" s="41">
        <v>1</v>
      </c>
      <c r="O12" s="41">
        <v>1</v>
      </c>
      <c r="P12" s="41">
        <v>1</v>
      </c>
      <c r="Q12" s="41">
        <v>1</v>
      </c>
    </row>
    <row r="13" spans="2:17" x14ac:dyDescent="0.3">
      <c r="B13" s="39" t="s">
        <v>103</v>
      </c>
      <c r="C13" s="72">
        <v>5939986.5</v>
      </c>
      <c r="D13" s="72">
        <f t="shared" si="0"/>
        <v>494998.875</v>
      </c>
      <c r="E13" s="49"/>
      <c r="F13" s="41"/>
      <c r="G13" s="41"/>
      <c r="H13" s="41"/>
      <c r="I13" s="41">
        <v>1</v>
      </c>
      <c r="J13" s="41">
        <v>1</v>
      </c>
      <c r="K13" s="41">
        <v>1</v>
      </c>
      <c r="L13" s="41">
        <v>1</v>
      </c>
      <c r="M13" s="41">
        <v>1</v>
      </c>
      <c r="N13" s="41">
        <v>1</v>
      </c>
      <c r="O13" s="41">
        <v>1</v>
      </c>
      <c r="P13" s="41">
        <v>1</v>
      </c>
      <c r="Q13" s="41">
        <v>1</v>
      </c>
    </row>
    <row r="14" spans="2:17" x14ac:dyDescent="0.3">
      <c r="B14" s="39" t="s">
        <v>107</v>
      </c>
      <c r="C14" s="72">
        <v>8840273.25</v>
      </c>
      <c r="D14" s="72">
        <f t="shared" si="0"/>
        <v>736689.4375</v>
      </c>
      <c r="E14" s="49"/>
      <c r="F14" s="41"/>
      <c r="G14" s="41"/>
      <c r="H14" s="41"/>
      <c r="I14" s="41">
        <v>1</v>
      </c>
      <c r="J14" s="41">
        <v>1</v>
      </c>
      <c r="K14" s="41">
        <v>1</v>
      </c>
      <c r="L14" s="41">
        <v>1</v>
      </c>
      <c r="M14" s="41">
        <v>1</v>
      </c>
      <c r="N14" s="41">
        <v>1</v>
      </c>
      <c r="O14" s="41">
        <v>1</v>
      </c>
      <c r="P14" s="41">
        <v>1</v>
      </c>
      <c r="Q14" s="41">
        <v>1</v>
      </c>
    </row>
    <row r="15" spans="2:17" x14ac:dyDescent="0.3">
      <c r="B15" s="39" t="s">
        <v>104</v>
      </c>
      <c r="C15" s="72">
        <v>2946757.75</v>
      </c>
      <c r="D15" s="72">
        <f t="shared" si="0"/>
        <v>245563.14583333334</v>
      </c>
      <c r="E15" s="49"/>
      <c r="F15" s="41"/>
      <c r="G15" s="41"/>
      <c r="H15" s="41"/>
      <c r="I15" s="41">
        <v>1</v>
      </c>
      <c r="J15" s="41">
        <v>2</v>
      </c>
      <c r="K15" s="41">
        <v>2</v>
      </c>
      <c r="L15" s="41">
        <v>2</v>
      </c>
      <c r="M15" s="41">
        <v>2</v>
      </c>
      <c r="N15" s="41">
        <v>2</v>
      </c>
      <c r="O15" s="41">
        <v>2</v>
      </c>
      <c r="P15" s="41">
        <v>2</v>
      </c>
      <c r="Q15" s="41">
        <v>2</v>
      </c>
    </row>
    <row r="16" spans="2:17" x14ac:dyDescent="0.3">
      <c r="B16" s="39" t="s">
        <v>108</v>
      </c>
      <c r="C16" s="72">
        <v>2260179.5</v>
      </c>
      <c r="D16" s="72">
        <f t="shared" si="0"/>
        <v>188348.29166666666</v>
      </c>
      <c r="E16" s="49"/>
      <c r="F16" s="41"/>
      <c r="G16" s="41"/>
      <c r="H16" s="41"/>
      <c r="I16" s="41">
        <v>2</v>
      </c>
      <c r="J16" s="41">
        <v>2</v>
      </c>
      <c r="K16" s="41">
        <v>2</v>
      </c>
      <c r="L16" s="41">
        <v>2</v>
      </c>
      <c r="M16" s="41">
        <v>2</v>
      </c>
      <c r="N16" s="41">
        <v>2</v>
      </c>
      <c r="O16" s="41">
        <v>2</v>
      </c>
      <c r="P16" s="41">
        <v>2</v>
      </c>
      <c r="Q16" s="41">
        <v>2</v>
      </c>
    </row>
    <row r="17" spans="2:17" x14ac:dyDescent="0.3">
      <c r="B17" s="39" t="s">
        <v>109</v>
      </c>
      <c r="C17" s="72">
        <v>2689867.2</v>
      </c>
      <c r="D17" s="72">
        <f t="shared" si="0"/>
        <v>224155.6</v>
      </c>
      <c r="E17" s="49"/>
      <c r="F17" s="41"/>
      <c r="G17" s="41"/>
      <c r="H17" s="41"/>
      <c r="I17" s="41">
        <v>3</v>
      </c>
      <c r="J17" s="41">
        <v>3</v>
      </c>
      <c r="K17" s="41">
        <v>3</v>
      </c>
      <c r="L17" s="41">
        <v>3</v>
      </c>
      <c r="M17" s="41">
        <v>3</v>
      </c>
      <c r="N17" s="41">
        <v>3</v>
      </c>
      <c r="O17" s="41">
        <v>3</v>
      </c>
      <c r="P17" s="41">
        <v>3</v>
      </c>
      <c r="Q17" s="41">
        <v>3</v>
      </c>
    </row>
    <row r="18" spans="2:17" x14ac:dyDescent="0.3">
      <c r="B18" s="39"/>
      <c r="C18" s="72"/>
      <c r="D18" s="72"/>
      <c r="E18" s="49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2"/>
    </row>
    <row r="19" spans="2:17" x14ac:dyDescent="0.3">
      <c r="B19" s="51" t="s">
        <v>111</v>
      </c>
      <c r="C19" s="80"/>
      <c r="D19" s="52"/>
      <c r="E19" s="53"/>
      <c r="F19" s="54">
        <f>SUM(F3:F18)</f>
        <v>0</v>
      </c>
      <c r="G19" s="54">
        <f>SUM(G3:G18)</f>
        <v>0</v>
      </c>
      <c r="H19" s="54">
        <f t="shared" ref="H19:Q19" si="1">SUMPRODUCT(H3:H18,$D$3:$D$18)</f>
        <v>7713365.333333333</v>
      </c>
      <c r="I19" s="54">
        <f t="shared" si="1"/>
        <v>20221437.424999997</v>
      </c>
      <c r="J19" s="54">
        <f t="shared" si="1"/>
        <v>20467000.570833333</v>
      </c>
      <c r="K19" s="54">
        <f t="shared" si="1"/>
        <v>21456998.320833333</v>
      </c>
      <c r="L19" s="54">
        <f t="shared" si="1"/>
        <v>21456998.320833333</v>
      </c>
      <c r="M19" s="54">
        <f t="shared" si="1"/>
        <v>21456998.320833333</v>
      </c>
      <c r="N19" s="54">
        <f t="shared" si="1"/>
        <v>21456998.320833333</v>
      </c>
      <c r="O19" s="54">
        <f t="shared" si="1"/>
        <v>21456998.320833333</v>
      </c>
      <c r="P19" s="54">
        <f t="shared" si="1"/>
        <v>21456998.320833333</v>
      </c>
      <c r="Q19" s="55">
        <f t="shared" si="1"/>
        <v>21456998.320833333</v>
      </c>
    </row>
    <row r="22" spans="2:17" x14ac:dyDescent="0.3">
      <c r="H22" s="84">
        <v>6418849.8125</v>
      </c>
      <c r="I22" s="84">
        <v>15610314.020833336</v>
      </c>
      <c r="J22" s="84">
        <v>16040686.791666668</v>
      </c>
      <c r="K22" s="84">
        <v>16040686.791666668</v>
      </c>
      <c r="L22" s="84">
        <v>16040686.791666668</v>
      </c>
      <c r="M22" s="84">
        <v>16040686.791666668</v>
      </c>
      <c r="N22" s="84">
        <v>16040686.791666668</v>
      </c>
      <c r="O22" s="84">
        <v>16040686.791666668</v>
      </c>
      <c r="P22" s="84">
        <v>16040686.791666668</v>
      </c>
      <c r="Q22" s="84">
        <v>16040686.791666668</v>
      </c>
    </row>
    <row r="23" spans="2:17" x14ac:dyDescent="0.3"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3882-C0D2-49C8-BBC8-15141FF74F9E}">
  <dimension ref="B2:N14"/>
  <sheetViews>
    <sheetView showGridLines="0" workbookViewId="0">
      <selection activeCell="F17" sqref="F17"/>
    </sheetView>
  </sheetViews>
  <sheetFormatPr defaultColWidth="8.77734375" defaultRowHeight="14.4" x14ac:dyDescent="0.3"/>
  <cols>
    <col min="2" max="2" width="20.109375" customWidth="1"/>
    <col min="3" max="6" width="9.5546875" bestFit="1" customWidth="1"/>
    <col min="7" max="12" width="9.6640625" bestFit="1" customWidth="1"/>
    <col min="13" max="13" width="9.5546875" bestFit="1" customWidth="1"/>
    <col min="14" max="14" width="9.6640625" bestFit="1" customWidth="1"/>
  </cols>
  <sheetData>
    <row r="2" spans="2:14" x14ac:dyDescent="0.3">
      <c r="B2" s="81" t="s">
        <v>68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2:14" x14ac:dyDescent="0.3">
      <c r="B3" s="45"/>
      <c r="C3" s="46" t="s">
        <v>74</v>
      </c>
      <c r="D3" s="46" t="s">
        <v>75</v>
      </c>
      <c r="E3" s="46" t="s">
        <v>76</v>
      </c>
      <c r="F3" s="46" t="s">
        <v>77</v>
      </c>
      <c r="G3" s="46" t="s">
        <v>78</v>
      </c>
      <c r="H3" s="46" t="s">
        <v>79</v>
      </c>
      <c r="I3" s="46" t="s">
        <v>80</v>
      </c>
      <c r="J3" s="46" t="s">
        <v>81</v>
      </c>
      <c r="K3" s="46" t="s">
        <v>82</v>
      </c>
      <c r="L3" s="46" t="s">
        <v>83</v>
      </c>
      <c r="M3" s="46" t="s">
        <v>84</v>
      </c>
      <c r="N3" s="47" t="s">
        <v>85</v>
      </c>
    </row>
    <row r="4" spans="2:14" x14ac:dyDescent="0.3">
      <c r="B4" s="39" t="s">
        <v>87</v>
      </c>
      <c r="C4" s="50">
        <v>500000</v>
      </c>
      <c r="D4" s="50">
        <v>500000</v>
      </c>
      <c r="E4" s="50">
        <v>500000</v>
      </c>
      <c r="F4" s="50">
        <v>500000</v>
      </c>
      <c r="G4" s="50">
        <v>500000</v>
      </c>
      <c r="H4" s="50">
        <v>500000</v>
      </c>
      <c r="I4" s="50">
        <v>500000</v>
      </c>
      <c r="J4" s="50">
        <v>500000</v>
      </c>
      <c r="K4" s="50">
        <v>500000</v>
      </c>
      <c r="L4" s="50">
        <v>500000</v>
      </c>
      <c r="M4" s="50">
        <v>500000</v>
      </c>
      <c r="N4" s="57">
        <v>500000</v>
      </c>
    </row>
    <row r="5" spans="2:14" x14ac:dyDescent="0.3">
      <c r="B5" s="39" t="s">
        <v>88</v>
      </c>
      <c r="C5" s="50">
        <v>0</v>
      </c>
      <c r="D5" s="50">
        <v>0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</row>
    <row r="6" spans="2:14" s="3" customFormat="1" x14ac:dyDescent="0.3">
      <c r="B6" s="73" t="s">
        <v>86</v>
      </c>
      <c r="C6" s="76">
        <f>C4*C5</f>
        <v>0</v>
      </c>
      <c r="D6" s="76">
        <f t="shared" ref="D6:N6" si="0">D4*D5</f>
        <v>0</v>
      </c>
      <c r="E6" s="76">
        <f t="shared" si="0"/>
        <v>0</v>
      </c>
      <c r="F6" s="76">
        <f t="shared" si="0"/>
        <v>0</v>
      </c>
      <c r="G6" s="76">
        <f t="shared" si="0"/>
        <v>0</v>
      </c>
      <c r="H6" s="76">
        <f t="shared" si="0"/>
        <v>0</v>
      </c>
      <c r="I6" s="76">
        <f t="shared" si="0"/>
        <v>0</v>
      </c>
      <c r="J6" s="76">
        <f t="shared" si="0"/>
        <v>0</v>
      </c>
      <c r="K6" s="76">
        <f t="shared" si="0"/>
        <v>0</v>
      </c>
      <c r="L6" s="76">
        <f t="shared" si="0"/>
        <v>0</v>
      </c>
      <c r="M6" s="76">
        <f t="shared" si="0"/>
        <v>0</v>
      </c>
      <c r="N6" s="77">
        <f t="shared" si="0"/>
        <v>0</v>
      </c>
    </row>
    <row r="7" spans="2:14" x14ac:dyDescent="0.3"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</row>
    <row r="8" spans="2:14" x14ac:dyDescent="0.3">
      <c r="B8" s="81" t="s">
        <v>3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</row>
    <row r="9" spans="2:14" x14ac:dyDescent="0.3">
      <c r="B9" s="45"/>
      <c r="C9" s="46" t="s">
        <v>74</v>
      </c>
      <c r="D9" s="46" t="s">
        <v>75</v>
      </c>
      <c r="E9" s="46" t="s">
        <v>76</v>
      </c>
      <c r="F9" s="46" t="s">
        <v>77</v>
      </c>
      <c r="G9" s="46" t="s">
        <v>78</v>
      </c>
      <c r="H9" s="46" t="s">
        <v>79</v>
      </c>
      <c r="I9" s="46" t="s">
        <v>80</v>
      </c>
      <c r="J9" s="46" t="s">
        <v>81</v>
      </c>
      <c r="K9" s="46" t="s">
        <v>82</v>
      </c>
      <c r="L9" s="46" t="s">
        <v>83</v>
      </c>
      <c r="M9" s="46" t="s">
        <v>84</v>
      </c>
      <c r="N9" s="47" t="s">
        <v>85</v>
      </c>
    </row>
    <row r="10" spans="2:14" x14ac:dyDescent="0.3">
      <c r="B10" s="39" t="s">
        <v>87</v>
      </c>
      <c r="C10" s="50">
        <v>1000000</v>
      </c>
      <c r="D10" s="50">
        <v>1000000</v>
      </c>
      <c r="E10" s="50">
        <v>1000000</v>
      </c>
      <c r="F10" s="50">
        <v>1000000</v>
      </c>
      <c r="G10" s="50">
        <v>1000000</v>
      </c>
      <c r="H10" s="50">
        <v>1000000</v>
      </c>
      <c r="I10" s="50">
        <v>1000000</v>
      </c>
      <c r="J10" s="50">
        <v>1000000</v>
      </c>
      <c r="K10" s="50">
        <v>1000000</v>
      </c>
      <c r="L10" s="50">
        <v>1000000</v>
      </c>
      <c r="M10" s="50">
        <v>1000000</v>
      </c>
      <c r="N10" s="57">
        <v>1000000</v>
      </c>
    </row>
    <row r="11" spans="2:14" x14ac:dyDescent="0.3">
      <c r="B11" s="39" t="s">
        <v>91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7">
        <v>0</v>
      </c>
    </row>
    <row r="12" spans="2:14" s="3" customFormat="1" x14ac:dyDescent="0.3">
      <c r="B12" s="73" t="s">
        <v>86</v>
      </c>
      <c r="C12" s="76">
        <f>C10*C11</f>
        <v>0</v>
      </c>
      <c r="D12" s="76">
        <f t="shared" ref="D12" si="1">D10*D11</f>
        <v>0</v>
      </c>
      <c r="E12" s="76">
        <f t="shared" ref="E12" si="2">E10*E11</f>
        <v>0</v>
      </c>
      <c r="F12" s="76">
        <f t="shared" ref="F12" si="3">F10*F11</f>
        <v>0</v>
      </c>
      <c r="G12" s="76">
        <f t="shared" ref="G12" si="4">G10*G11</f>
        <v>0</v>
      </c>
      <c r="H12" s="76">
        <f t="shared" ref="H12" si="5">H10*H11</f>
        <v>0</v>
      </c>
      <c r="I12" s="76">
        <f t="shared" ref="I12" si="6">I10*I11</f>
        <v>0</v>
      </c>
      <c r="J12" s="76">
        <f t="shared" ref="J12" si="7">J10*J11</f>
        <v>0</v>
      </c>
      <c r="K12" s="76">
        <f t="shared" ref="K12" si="8">K10*K11</f>
        <v>0</v>
      </c>
      <c r="L12" s="76">
        <f t="shared" ref="L12" si="9">L10*L11</f>
        <v>0</v>
      </c>
      <c r="M12" s="76">
        <f t="shared" ref="M12" si="10">M10*M11</f>
        <v>0</v>
      </c>
      <c r="N12" s="77">
        <f t="shared" ref="N12" si="11">N10*N11</f>
        <v>0</v>
      </c>
    </row>
    <row r="13" spans="2:14" x14ac:dyDescent="0.3"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</row>
    <row r="14" spans="2:14" x14ac:dyDescent="0.3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</sheetData>
  <mergeCells count="2">
    <mergeCell ref="B2:N2"/>
    <mergeCell ref="B8:N8"/>
  </mergeCells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AF70E8F6F234491216CAEBD274F54" ma:contentTypeVersion="15" ma:contentTypeDescription="Create a new document." ma:contentTypeScope="" ma:versionID="9a47f3a5ac93cc9ac3060a7ea0f3fb39">
  <xsd:schema xmlns:xsd="http://www.w3.org/2001/XMLSchema" xmlns:xs="http://www.w3.org/2001/XMLSchema" xmlns:p="http://schemas.microsoft.com/office/2006/metadata/properties" xmlns:ns3="f0c70bdc-2c8e-4bb8-bbc1-d721c099d10a" xmlns:ns4="8676ec5e-4004-46b2-8d11-365c41e65125" targetNamespace="http://schemas.microsoft.com/office/2006/metadata/properties" ma:root="true" ma:fieldsID="6f53e2fb2b93e2134c53059b95be462c" ns3:_="" ns4:_="">
    <xsd:import namespace="f0c70bdc-2c8e-4bb8-bbc1-d721c099d10a"/>
    <xsd:import namespace="8676ec5e-4004-46b2-8d11-365c41e651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70bdc-2c8e-4bb8-bbc1-d721c099d1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6ec5e-4004-46b2-8d11-365c41e651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c70bdc-2c8e-4bb8-bbc1-d721c099d10a" xsi:nil="true"/>
  </documentManagement>
</p:properties>
</file>

<file path=customXml/itemProps1.xml><?xml version="1.0" encoding="utf-8"?>
<ds:datastoreItem xmlns:ds="http://schemas.openxmlformats.org/officeDocument/2006/customXml" ds:itemID="{9FA6D26D-5496-44E9-9BA0-04AC0C03BF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850806-56D1-4480-AFC6-06C1C80BD7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c70bdc-2c8e-4bb8-bbc1-d721c099d10a"/>
    <ds:schemaRef ds:uri="8676ec5e-4004-46b2-8d11-365c41e651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DE7E6E-39DE-4957-9E3A-6300C86CACC0}">
  <ds:schemaRefs>
    <ds:schemaRef ds:uri="http://schemas.microsoft.com/office/2006/metadata/properties"/>
    <ds:schemaRef ds:uri="http://www.w3.org/XML/1998/namespace"/>
    <ds:schemaRef ds:uri="http://purl.org/dc/elements/1.1/"/>
    <ds:schemaRef ds:uri="f0c70bdc-2c8e-4bb8-bbc1-d721c099d10a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8676ec5e-4004-46b2-8d11-365c41e65125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Budget</vt:lpstr>
      <vt:lpstr>Salaries1</vt:lpstr>
      <vt:lpstr>Others</vt:lpstr>
      <vt:lpstr>Membership Fees</vt:lpstr>
      <vt:lpstr>Diesel</vt:lpstr>
      <vt:lpstr>Salaries</vt:lpstr>
      <vt:lpstr>Rental, Hosting &amp; Sponsorships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Amuta</dc:creator>
  <cp:lastModifiedBy>Mathias Amuta</cp:lastModifiedBy>
  <dcterms:created xsi:type="dcterms:W3CDTF">2025-03-10T12:35:29Z</dcterms:created>
  <dcterms:modified xsi:type="dcterms:W3CDTF">2025-04-03T07:24:29Z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0x010100C01AF70E8F6F234491216CAEBD274F54</vt:lpwstr>
  </property>
</Properties>
</file>