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showInkAnnotation="0"/>
  <mc:AlternateContent xmlns:mc="http://schemas.openxmlformats.org/markup-compatibility/2006">
    <mc:Choice Requires="x15">
      <x15ac:absPath xmlns:x15ac="http://schemas.microsoft.com/office/spreadsheetml/2010/11/ac" url="/Users/dev/Documents/Ilorin Innovation Hub/"/>
    </mc:Choice>
  </mc:AlternateContent>
  <xr:revisionPtr revIDLastSave="0" documentId="13_ncr:1_{0AE1DB17-40B1-7248-8096-4051615EC610}" xr6:coauthVersionLast="47" xr6:coauthVersionMax="47" xr10:uidLastSave="{00000000-0000-0000-0000-000000000000}"/>
  <bookViews>
    <workbookView xWindow="0" yWindow="500" windowWidth="28160" windowHeight="16400" tabRatio="500" xr2:uid="{00000000-000D-0000-FFFF-FFFF00000000}"/>
  </bookViews>
  <sheets>
    <sheet name="Budget" sheetId="15" r:id="rId1"/>
    <sheet name="Software Subs" sheetId="16" r:id="rId2"/>
    <sheet name="Sheet2" sheetId="17" r:id="rId3"/>
  </sheets>
  <definedNames>
    <definedName name="_xlnm.Print_Area" localSheetId="0">Budget!$A$1:$G$85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4" i="15" l="1"/>
  <c r="F42" i="15"/>
  <c r="F54" i="15"/>
  <c r="F47" i="15"/>
  <c r="F40" i="15"/>
  <c r="F29" i="15"/>
  <c r="F60" i="15"/>
  <c r="F77" i="15" s="1"/>
  <c r="D59" i="15"/>
  <c r="E59" i="15"/>
  <c r="D46" i="15"/>
  <c r="E46" i="15"/>
  <c r="E62" i="15"/>
  <c r="E61" i="15"/>
  <c r="E56" i="15"/>
  <c r="E57" i="15"/>
  <c r="E58" i="15"/>
  <c r="E55" i="15"/>
  <c r="D62" i="15"/>
  <c r="D61" i="15"/>
  <c r="D56" i="15"/>
  <c r="D57" i="15"/>
  <c r="D58" i="15"/>
  <c r="D55" i="15"/>
  <c r="F63" i="15"/>
  <c r="F78" i="15" s="1"/>
  <c r="F67" i="15"/>
  <c r="D53" i="15"/>
  <c r="E53" i="15"/>
  <c r="D38" i="15"/>
  <c r="E38" i="15"/>
  <c r="D65" i="15"/>
  <c r="D66" i="15"/>
  <c r="D64" i="15"/>
  <c r="D49" i="15"/>
  <c r="D50" i="15"/>
  <c r="D51" i="15"/>
  <c r="D52" i="15"/>
  <c r="D48" i="15"/>
  <c r="D44" i="15"/>
  <c r="D45" i="15"/>
  <c r="D43" i="15"/>
  <c r="D41" i="15"/>
  <c r="D36" i="15"/>
  <c r="D39" i="15"/>
  <c r="D37" i="15"/>
  <c r="D35" i="15"/>
  <c r="D31" i="15"/>
  <c r="D32" i="15"/>
  <c r="D33" i="15"/>
  <c r="D28" i="15"/>
  <c r="C79" i="15"/>
  <c r="C76" i="15"/>
  <c r="C75" i="15"/>
  <c r="C74" i="15"/>
  <c r="C73" i="15"/>
  <c r="C72" i="15"/>
  <c r="C71" i="15"/>
  <c r="E45" i="15"/>
  <c r="E44" i="15"/>
  <c r="B4" i="17"/>
  <c r="E31" i="15"/>
  <c r="E64" i="15"/>
  <c r="E65" i="15"/>
  <c r="E66" i="15"/>
  <c r="E49" i="15"/>
  <c r="E50" i="15"/>
  <c r="E51" i="15"/>
  <c r="E52" i="15"/>
  <c r="E48" i="15"/>
  <c r="E43" i="15"/>
  <c r="E41" i="15"/>
  <c r="E36" i="15"/>
  <c r="E39" i="15"/>
  <c r="E37" i="15"/>
  <c r="E35" i="15"/>
  <c r="E32" i="15"/>
  <c r="E33" i="15"/>
  <c r="E28" i="15"/>
  <c r="E68" i="15" l="1"/>
  <c r="D68" i="15"/>
  <c r="F74" i="15"/>
  <c r="F79" i="15"/>
  <c r="F76" i="15"/>
  <c r="F75" i="15"/>
  <c r="F73" i="15"/>
  <c r="F72" i="15"/>
  <c r="F68" i="15" l="1"/>
  <c r="F83" i="15" s="1"/>
  <c r="F71" i="15"/>
  <c r="F81" i="15" s="1"/>
  <c r="F84" i="15" l="1"/>
  <c r="F82" i="15"/>
</calcChain>
</file>

<file path=xl/sharedStrings.xml><?xml version="1.0" encoding="utf-8"?>
<sst xmlns="http://schemas.openxmlformats.org/spreadsheetml/2006/main" count="141" uniqueCount="88">
  <si>
    <t>Travel &amp; Conferences</t>
  </si>
  <si>
    <t>Salaries</t>
  </si>
  <si>
    <t>Electricity</t>
  </si>
  <si>
    <t>Local Travel</t>
  </si>
  <si>
    <t>Diesel</t>
  </si>
  <si>
    <t>Name of Proposed Project:</t>
  </si>
  <si>
    <t xml:space="preserve">Consortium Organization Names : </t>
  </si>
  <si>
    <t>County/Country</t>
  </si>
  <si>
    <t>Currency</t>
  </si>
  <si>
    <t>PROJECT OUTPUTS/BUDGET ITEMS</t>
  </si>
  <si>
    <t>FUNDING SOURCE/S</t>
  </si>
  <si>
    <t>Budget Category/Output</t>
  </si>
  <si>
    <t>Budget Line Details</t>
  </si>
  <si>
    <t> </t>
  </si>
  <si>
    <t>Subtotal</t>
  </si>
  <si>
    <t>Legal and Accounting Services/Fees</t>
  </si>
  <si>
    <t>ILORIN INNOVATION HUB</t>
  </si>
  <si>
    <t>Ilorin, Kwara State, Nigeria</t>
  </si>
  <si>
    <t>Utilities &amp; Maintenance</t>
  </si>
  <si>
    <t>Events &amp; Ecosystem Engagement</t>
  </si>
  <si>
    <t>BUDGET TEMPLATE: OPERATIONS BUDGET TO ESTABLISH AND RUN THE ILORIN INNOVATION HUB, KWARA STATE</t>
  </si>
  <si>
    <t>Cleaning</t>
  </si>
  <si>
    <t>Security</t>
  </si>
  <si>
    <t>KWARA STATE GOVERNMENT, IHS TOWERS LTD</t>
  </si>
  <si>
    <t>Cloud &amp; Software Applications</t>
  </si>
  <si>
    <t>Cloud Servers</t>
  </si>
  <si>
    <t>Staff Email</t>
  </si>
  <si>
    <t>Total Amount</t>
  </si>
  <si>
    <t>IHS</t>
  </si>
  <si>
    <t>Staff Professional Development (Afrilabs Capacity Building etc)</t>
  </si>
  <si>
    <t>COMMENTS/FURTHER DETAILS</t>
  </si>
  <si>
    <t>Society/Association Memberships &amp; Renewals</t>
  </si>
  <si>
    <t>Monthly Meetups</t>
  </si>
  <si>
    <t>International Conference Registration</t>
  </si>
  <si>
    <t>International Travel &amp; Accomodation</t>
  </si>
  <si>
    <t>Salaries &amp; Staff Benefits</t>
  </si>
  <si>
    <t>Insurance &amp; Risk Management</t>
  </si>
  <si>
    <t>Miscellaneous</t>
  </si>
  <si>
    <t>Webinars</t>
  </si>
  <si>
    <t>Local Conference Registration</t>
  </si>
  <si>
    <t>Skills &amp; Training Programs</t>
  </si>
  <si>
    <t>TOTAL</t>
  </si>
  <si>
    <t>Facility Maintenance &amp; Repairs</t>
  </si>
  <si>
    <t>Afrilabs, ISN etc</t>
  </si>
  <si>
    <t>FY</t>
  </si>
  <si>
    <t>HY</t>
  </si>
  <si>
    <t>HALF-YEAR</t>
  </si>
  <si>
    <t>MANDATORY BUDGET ITEMS: Funding Sources, Costs for H2 2024 and Full Year 2025,  Financial Sustainability</t>
  </si>
  <si>
    <t>Current</t>
  </si>
  <si>
    <t>Previous Contractor</t>
  </si>
  <si>
    <t>Naira (NGN)</t>
  </si>
  <si>
    <t>Full Year Budget</t>
  </si>
  <si>
    <t>Half-Year Budget</t>
  </si>
  <si>
    <t>Monthly</t>
  </si>
  <si>
    <t>Local Conference Exhibition</t>
  </si>
  <si>
    <t>Quarter Budget</t>
  </si>
  <si>
    <t>Monthly Budget</t>
  </si>
  <si>
    <t>(Averages)</t>
  </si>
  <si>
    <t>Main Launch Event Activities ?</t>
  </si>
  <si>
    <t>Miscellaneous Software Subscriptions &amp; Licenses</t>
  </si>
  <si>
    <t>Access Control &amp; Hub Management Software</t>
  </si>
  <si>
    <t>HVAC, Solar, Elevator, Access Control &amp; LED Screen Maintenance</t>
  </si>
  <si>
    <t>Corporate Affairs &amp; PR</t>
  </si>
  <si>
    <t>Souvenirs</t>
  </si>
  <si>
    <t>Guest Entertainment</t>
  </si>
  <si>
    <t>Banners</t>
  </si>
  <si>
    <t>Staff T-Shirts</t>
  </si>
  <si>
    <t>Office Supplies</t>
  </si>
  <si>
    <t>Stationery</t>
  </si>
  <si>
    <t>Water, Tea, Coffee &amp; Refreshments</t>
  </si>
  <si>
    <t>Online &amp; Social Media Marketing</t>
  </si>
  <si>
    <t>Corporate Comms &amp; PR</t>
  </si>
  <si>
    <t>Field Events</t>
  </si>
  <si>
    <t>Item</t>
  </si>
  <si>
    <t>Vendor</t>
  </si>
  <si>
    <t>Cost</t>
  </si>
  <si>
    <t>Billing</t>
  </si>
  <si>
    <t>Annual</t>
  </si>
  <si>
    <t>Staff Email &amp; Collaboration</t>
  </si>
  <si>
    <t>Project Management</t>
  </si>
  <si>
    <t>Spacebring</t>
  </si>
  <si>
    <t>Seamless HR</t>
  </si>
  <si>
    <t>Video Conferencing</t>
  </si>
  <si>
    <t>Zoom</t>
  </si>
  <si>
    <t>Asana</t>
  </si>
  <si>
    <t>HR &amp; Payroll Software</t>
  </si>
  <si>
    <t>Employee Benefits</t>
  </si>
  <si>
    <t>Motherboard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</si>
</sst>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GN]\ #,##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ED7D3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222222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3" borderId="0" xfId="0" applyFont="1" applyFill="1"/>
    <xf numFmtId="3" fontId="8" fillId="3" borderId="0" xfId="0" applyNumberFormat="1" applyFont="1" applyFill="1"/>
    <xf numFmtId="3" fontId="8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right" wrapText="1"/>
    </xf>
    <xf numFmtId="0" fontId="6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8" fillId="3" borderId="0" xfId="0" applyFont="1" applyFill="1" applyAlignment="1">
      <alignment horizontal="right" wrapText="1"/>
    </xf>
    <xf numFmtId="4" fontId="0" fillId="0" borderId="0" xfId="0" applyNumberFormat="1"/>
    <xf numFmtId="4" fontId="9" fillId="0" borderId="0" xfId="0" applyNumberFormat="1" applyFont="1"/>
    <xf numFmtId="3" fontId="6" fillId="0" borderId="0" xfId="0" applyNumberFormat="1" applyFont="1"/>
    <xf numFmtId="0" fontId="6" fillId="0" borderId="0" xfId="0" applyFont="1" applyAlignment="1">
      <alignment horizontal="right"/>
    </xf>
    <xf numFmtId="164" fontId="6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8" fillId="4" borderId="0" xfId="0" applyFont="1" applyFill="1"/>
    <xf numFmtId="0" fontId="2" fillId="4" borderId="0" xfId="0" applyFont="1" applyFill="1"/>
    <xf numFmtId="3" fontId="8" fillId="4" borderId="0" xfId="0" applyNumberFormat="1" applyFont="1" applyFill="1"/>
    <xf numFmtId="0" fontId="8" fillId="4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2159000</xdr:colOff>
      <xdr:row>1</xdr:row>
      <xdr:rowOff>47625</xdr:rowOff>
    </xdr:from>
    <xdr:to>
      <xdr:col>1</xdr:col>
      <xdr:colOff>933739</xdr:colOff>
      <xdr:row>7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44C972-8F0A-D4ED-DE75-CC1C0C4D5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206375"/>
          <a:ext cx="1841500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285749</xdr:colOff>
      <xdr:row>0</xdr:row>
      <xdr:rowOff>111124</xdr:rowOff>
    </xdr:from>
    <xdr:to>
      <xdr:col>0</xdr:col>
      <xdr:colOff>1381124</xdr:colOff>
      <xdr:row>7</xdr:row>
      <xdr:rowOff>95249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12DD06-B02D-6DF9-B3CA-F34E036FC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111124"/>
          <a:ext cx="10953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1698625</xdr:colOff>
      <xdr:row>1</xdr:row>
      <xdr:rowOff>8659</xdr:rowOff>
    </xdr:from>
    <xdr:to>
      <xdr:col>2</xdr:col>
      <xdr:colOff>164949</xdr:colOff>
      <xdr:row>6</xdr:row>
      <xdr:rowOff>154421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9BB306-BCFF-A326-5705-C450E1540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9716" y="170295"/>
          <a:ext cx="2230142" cy="953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0EB8-DE0B-E041-B9DC-9105DFBFF36E}">
  <sheetPr>
    <pageSetUpPr fitToPage="1"/>
  </sheetPr>
  <dimension ref="A1:G85"/>
  <sheetViews>
    <sheetView tabSelected="1" topLeftCell="A25" zoomScale="130" zoomScaleNormal="130" workbookViewId="0">
      <selection activeCell="F50" sqref="F50"/>
    </sheetView>
  </sheetViews>
  <sheetFormatPr baseColWidth="10" defaultColWidth="8.83203125" defaultRowHeight="15" customHeight="1" x14ac:dyDescent="0.15"/>
  <cols>
    <col min="1" max="1" width="40.33203125" style="2" customWidth="1"/>
    <col min="2" max="2" width="49.33203125" style="2" customWidth="1"/>
    <col min="3" max="3" width="33" style="2" customWidth="1"/>
    <col min="4" max="4" width="11.6640625" style="2" customWidth="1"/>
    <col min="5" max="5" width="15" style="2" customWidth="1"/>
    <col min="6" max="6" width="15.33203125" style="2" bestFit="1" customWidth="1"/>
    <col min="7" max="7" width="10.1640625" style="19" hidden="1" customWidth="1"/>
    <col min="8" max="16384" width="8.83203125" style="2"/>
  </cols>
  <sheetData>
    <row r="1" spans="1:7" ht="13" x14ac:dyDescent="0.15">
      <c r="E1" s="30"/>
      <c r="F1" s="30"/>
      <c r="G1" s="30"/>
    </row>
    <row r="2" spans="1:7" ht="13" x14ac:dyDescent="0.15">
      <c r="E2" s="30"/>
      <c r="F2" s="30"/>
      <c r="G2" s="30"/>
    </row>
    <row r="3" spans="1:7" ht="13" x14ac:dyDescent="0.15">
      <c r="E3" s="30"/>
      <c r="F3" s="30"/>
      <c r="G3" s="30"/>
    </row>
    <row r="4" spans="1:7" ht="13" x14ac:dyDescent="0.15">
      <c r="E4" s="30"/>
      <c r="F4" s="30"/>
      <c r="G4" s="30"/>
    </row>
    <row r="5" spans="1:7" ht="13" x14ac:dyDescent="0.15">
      <c r="E5" s="30"/>
      <c r="F5" s="30"/>
      <c r="G5" s="30"/>
    </row>
    <row r="6" spans="1:7" ht="13" x14ac:dyDescent="0.15">
      <c r="E6" s="30"/>
      <c r="F6" s="30"/>
      <c r="G6" s="30"/>
    </row>
    <row r="7" spans="1:7" ht="13" x14ac:dyDescent="0.15">
      <c r="E7" s="30"/>
      <c r="F7" s="30"/>
      <c r="G7" s="30"/>
    </row>
    <row r="9" spans="1:7" ht="13" x14ac:dyDescent="0.15">
      <c r="A9" s="7" t="s">
        <v>20</v>
      </c>
    </row>
    <row r="10" spans="1:7" ht="13" x14ac:dyDescent="0.15">
      <c r="A10" s="7"/>
    </row>
    <row r="11" spans="1:7" ht="30.75" customHeight="1" x14ac:dyDescent="0.15">
      <c r="A11" s="31"/>
      <c r="B11" s="31"/>
      <c r="C11" s="31"/>
      <c r="D11" s="31"/>
      <c r="E11" s="31"/>
      <c r="F11" s="31"/>
      <c r="G11" s="31"/>
    </row>
    <row r="12" spans="1:7" s="1" customFormat="1" ht="30.75" customHeight="1" x14ac:dyDescent="0.15">
      <c r="A12" s="32" t="s">
        <v>47</v>
      </c>
      <c r="B12" s="32"/>
      <c r="C12" s="32"/>
      <c r="D12" s="32"/>
      <c r="E12" s="32"/>
      <c r="F12" s="32"/>
      <c r="G12" s="32"/>
    </row>
    <row r="14" spans="1:7" ht="13" x14ac:dyDescent="0.15">
      <c r="A14" s="8" t="s">
        <v>5</v>
      </c>
      <c r="B14" s="30" t="s">
        <v>16</v>
      </c>
      <c r="C14" s="30"/>
      <c r="D14" s="30"/>
      <c r="E14" s="30"/>
      <c r="F14" s="30"/>
      <c r="G14" s="30"/>
    </row>
    <row r="15" spans="1:7" ht="13" x14ac:dyDescent="0.15">
      <c r="A15" s="8" t="s">
        <v>6</v>
      </c>
      <c r="B15" s="30" t="s">
        <v>23</v>
      </c>
      <c r="C15" s="30"/>
      <c r="D15" s="30"/>
      <c r="E15" s="30"/>
      <c r="F15" s="30"/>
      <c r="G15" s="30"/>
    </row>
    <row r="16" spans="1:7" ht="13" x14ac:dyDescent="0.15">
      <c r="A16" s="8" t="s">
        <v>7</v>
      </c>
      <c r="B16" s="30" t="s">
        <v>17</v>
      </c>
      <c r="C16" s="30"/>
      <c r="D16" s="30"/>
      <c r="E16" s="30"/>
      <c r="F16" s="30"/>
      <c r="G16" s="30"/>
    </row>
    <row r="17" spans="1:7" ht="13" x14ac:dyDescent="0.15">
      <c r="A17" s="8" t="s">
        <v>8</v>
      </c>
      <c r="B17" s="30" t="s">
        <v>50</v>
      </c>
      <c r="C17" s="30"/>
      <c r="D17" s="30"/>
      <c r="E17" s="30"/>
      <c r="F17" s="30"/>
      <c r="G17" s="30"/>
    </row>
    <row r="20" spans="1:7" s="1" customFormat="1" ht="45" x14ac:dyDescent="0.15">
      <c r="A20" s="3" t="s">
        <v>9</v>
      </c>
      <c r="B20" s="3"/>
      <c r="C20" s="3" t="s">
        <v>30</v>
      </c>
      <c r="D20" s="3"/>
      <c r="E20" s="4" t="s">
        <v>46</v>
      </c>
      <c r="F20" s="4" t="s">
        <v>27</v>
      </c>
      <c r="G20" s="20" t="s">
        <v>10</v>
      </c>
    </row>
    <row r="21" spans="1:7" s="1" customFormat="1" ht="14" x14ac:dyDescent="0.15">
      <c r="A21" s="3"/>
      <c r="B21" s="3"/>
      <c r="C21" s="3"/>
      <c r="D21" s="3"/>
      <c r="E21" s="4"/>
      <c r="F21" s="4"/>
      <c r="G21" s="20"/>
    </row>
    <row r="22" spans="1:7" s="1" customFormat="1" ht="14" x14ac:dyDescent="0.15">
      <c r="A22" s="3"/>
      <c r="B22" s="3"/>
      <c r="C22" s="3"/>
      <c r="D22" s="3"/>
      <c r="E22" s="4"/>
      <c r="F22" s="4"/>
      <c r="G22" s="20"/>
    </row>
    <row r="23" spans="1:7" ht="13" x14ac:dyDescent="0.15">
      <c r="A23" s="9"/>
      <c r="B23" s="9"/>
      <c r="C23" s="9"/>
      <c r="D23" s="9"/>
      <c r="E23" s="10"/>
      <c r="F23" s="10"/>
      <c r="G23" s="21"/>
    </row>
    <row r="24" spans="1:7" ht="14.25" customHeight="1" x14ac:dyDescent="0.15">
      <c r="A24" s="9"/>
      <c r="B24" s="9"/>
      <c r="C24" s="9"/>
      <c r="D24" s="9"/>
      <c r="E24" s="10"/>
      <c r="F24" s="10"/>
      <c r="G24" s="21"/>
    </row>
    <row r="25" spans="1:7" s="1" customFormat="1" x14ac:dyDescent="0.15">
      <c r="A25" s="5" t="s">
        <v>11</v>
      </c>
      <c r="B25" s="6" t="s">
        <v>12</v>
      </c>
      <c r="C25" s="6"/>
      <c r="D25" s="6" t="s">
        <v>53</v>
      </c>
      <c r="E25" s="6" t="s">
        <v>45</v>
      </c>
      <c r="F25" s="6" t="s">
        <v>44</v>
      </c>
      <c r="G25" s="22"/>
    </row>
    <row r="27" spans="1:7" ht="13" x14ac:dyDescent="0.15">
      <c r="A27" s="13"/>
      <c r="B27" s="14"/>
      <c r="C27" s="14"/>
      <c r="D27" s="13"/>
      <c r="E27" s="17"/>
      <c r="F27" s="17"/>
      <c r="G27" s="23"/>
    </row>
    <row r="28" spans="1:7" ht="28" x14ac:dyDescent="0.15">
      <c r="A28" s="12" t="s">
        <v>40</v>
      </c>
      <c r="B28" s="14" t="s">
        <v>29</v>
      </c>
      <c r="C28" s="14"/>
      <c r="D28" s="17">
        <f>F28/12</f>
        <v>416666.66666666669</v>
      </c>
      <c r="E28" s="17">
        <f>F28/2</f>
        <v>2500000</v>
      </c>
      <c r="F28" s="17">
        <v>5000000</v>
      </c>
      <c r="G28" s="23" t="s">
        <v>28</v>
      </c>
    </row>
    <row r="29" spans="1:7" ht="15" customHeight="1" x14ac:dyDescent="0.15">
      <c r="A29" s="15" t="s">
        <v>13</v>
      </c>
      <c r="B29" s="15" t="s">
        <v>14</v>
      </c>
      <c r="C29" s="15"/>
      <c r="D29" s="16"/>
      <c r="E29" s="16"/>
      <c r="F29" s="16">
        <f>SUM(F28:F28)</f>
        <v>5000000</v>
      </c>
      <c r="G29" s="24" t="s">
        <v>13</v>
      </c>
    </row>
    <row r="30" spans="1:7" ht="14" x14ac:dyDescent="0.15">
      <c r="A30" s="11" t="s">
        <v>19</v>
      </c>
      <c r="B30" s="33" t="s">
        <v>58</v>
      </c>
      <c r="C30" s="14"/>
      <c r="D30" s="17"/>
      <c r="E30" s="17"/>
      <c r="F30" s="17"/>
      <c r="G30" s="23" t="s">
        <v>28</v>
      </c>
    </row>
    <row r="31" spans="1:7" s="35" customFormat="1" ht="15" customHeight="1" x14ac:dyDescent="0.15">
      <c r="A31" s="34"/>
      <c r="B31" s="35" t="s">
        <v>32</v>
      </c>
      <c r="D31" s="36">
        <f t="shared" ref="D31:D66" si="0">F31/12</f>
        <v>250000</v>
      </c>
      <c r="E31" s="36">
        <f t="shared" ref="E31:E62" si="1">F31/2</f>
        <v>1500000</v>
      </c>
      <c r="F31" s="36">
        <v>3000000</v>
      </c>
      <c r="G31" s="37" t="s">
        <v>28</v>
      </c>
    </row>
    <row r="32" spans="1:7" ht="14" x14ac:dyDescent="0.15">
      <c r="A32" s="13"/>
      <c r="B32" s="2" t="s">
        <v>72</v>
      </c>
      <c r="C32" s="14"/>
      <c r="D32" s="17">
        <f t="shared" si="0"/>
        <v>208333.33333333334</v>
      </c>
      <c r="E32" s="17">
        <f t="shared" si="1"/>
        <v>1250000</v>
      </c>
      <c r="F32" s="17">
        <v>2500000</v>
      </c>
      <c r="G32" s="23" t="s">
        <v>28</v>
      </c>
    </row>
    <row r="33" spans="1:7" ht="14" x14ac:dyDescent="0.15">
      <c r="A33" s="13"/>
      <c r="B33" s="14" t="s">
        <v>38</v>
      </c>
      <c r="D33" s="17">
        <f t="shared" si="0"/>
        <v>125000</v>
      </c>
      <c r="E33" s="17">
        <f t="shared" si="1"/>
        <v>750000</v>
      </c>
      <c r="F33" s="17">
        <v>1500000</v>
      </c>
      <c r="G33" s="23" t="s">
        <v>28</v>
      </c>
    </row>
    <row r="34" spans="1:7" ht="15" customHeight="1" x14ac:dyDescent="0.15">
      <c r="A34" s="15" t="s">
        <v>13</v>
      </c>
      <c r="B34" s="15" t="s">
        <v>14</v>
      </c>
      <c r="C34" s="15"/>
      <c r="D34" s="15"/>
      <c r="E34" s="16"/>
      <c r="F34" s="16">
        <f>SUM(F30:F33)</f>
        <v>7000000</v>
      </c>
      <c r="G34" s="24"/>
    </row>
    <row r="35" spans="1:7" ht="14" x14ac:dyDescent="0.15">
      <c r="A35" s="12" t="s">
        <v>0</v>
      </c>
      <c r="B35" s="13" t="s">
        <v>33</v>
      </c>
      <c r="C35" s="13"/>
      <c r="D35" s="17">
        <f t="shared" si="0"/>
        <v>250000</v>
      </c>
      <c r="E35" s="17">
        <f t="shared" si="1"/>
        <v>1500000</v>
      </c>
      <c r="F35" s="17">
        <v>3000000</v>
      </c>
      <c r="G35" s="23" t="s">
        <v>28</v>
      </c>
    </row>
    <row r="36" spans="1:7" ht="14" x14ac:dyDescent="0.15">
      <c r="A36" s="13"/>
      <c r="B36" s="13" t="s">
        <v>34</v>
      </c>
      <c r="C36" s="13"/>
      <c r="D36" s="17">
        <f t="shared" si="0"/>
        <v>666666.66666666663</v>
      </c>
      <c r="E36" s="17">
        <f t="shared" si="1"/>
        <v>4000000</v>
      </c>
      <c r="F36" s="17">
        <v>8000000</v>
      </c>
      <c r="G36" s="23" t="s">
        <v>28</v>
      </c>
    </row>
    <row r="37" spans="1:7" ht="14" x14ac:dyDescent="0.15">
      <c r="A37" s="13"/>
      <c r="B37" s="14" t="s">
        <v>39</v>
      </c>
      <c r="C37" s="14"/>
      <c r="D37" s="17">
        <f t="shared" si="0"/>
        <v>250000</v>
      </c>
      <c r="E37" s="17">
        <f t="shared" si="1"/>
        <v>1500000</v>
      </c>
      <c r="F37" s="17">
        <v>3000000</v>
      </c>
      <c r="G37" s="23" t="s">
        <v>28</v>
      </c>
    </row>
    <row r="38" spans="1:7" ht="14" x14ac:dyDescent="0.15">
      <c r="A38" s="13"/>
      <c r="B38" s="14" t="s">
        <v>54</v>
      </c>
      <c r="C38" s="14"/>
      <c r="D38" s="17">
        <f t="shared" si="0"/>
        <v>666666.66666666663</v>
      </c>
      <c r="E38" s="17">
        <f t="shared" si="1"/>
        <v>4000000</v>
      </c>
      <c r="F38" s="17">
        <v>8000000</v>
      </c>
      <c r="G38" s="23" t="s">
        <v>28</v>
      </c>
    </row>
    <row r="39" spans="1:7" ht="14" x14ac:dyDescent="0.15">
      <c r="A39" s="13"/>
      <c r="B39" s="14" t="s">
        <v>3</v>
      </c>
      <c r="C39" s="14"/>
      <c r="D39" s="17">
        <f>F39/12</f>
        <v>291666.66666666669</v>
      </c>
      <c r="E39" s="17">
        <f>F39/2</f>
        <v>1750000</v>
      </c>
      <c r="F39" s="17">
        <v>3500000</v>
      </c>
      <c r="G39" s="23" t="s">
        <v>28</v>
      </c>
    </row>
    <row r="40" spans="1:7" ht="13" x14ac:dyDescent="0.15">
      <c r="A40" s="15" t="s">
        <v>13</v>
      </c>
      <c r="B40" s="15" t="s">
        <v>14</v>
      </c>
      <c r="C40" s="15"/>
      <c r="D40" s="16"/>
      <c r="E40" s="16"/>
      <c r="F40" s="16">
        <f>SUM(F35:F39)</f>
        <v>25500000</v>
      </c>
      <c r="G40" s="24"/>
    </row>
    <row r="41" spans="1:7" ht="14" x14ac:dyDescent="0.15">
      <c r="A41" s="12" t="s">
        <v>35</v>
      </c>
      <c r="B41" s="13" t="s">
        <v>1</v>
      </c>
      <c r="C41" s="13"/>
      <c r="D41" s="17">
        <f t="shared" si="0"/>
        <v>8333333.333333333</v>
      </c>
      <c r="E41" s="17">
        <f t="shared" si="1"/>
        <v>50000000</v>
      </c>
      <c r="F41" s="18">
        <v>100000000</v>
      </c>
      <c r="G41" s="23" t="s">
        <v>28</v>
      </c>
    </row>
    <row r="42" spans="1:7" ht="13" x14ac:dyDescent="0.15">
      <c r="A42" s="15" t="s">
        <v>13</v>
      </c>
      <c r="B42" s="15" t="s">
        <v>14</v>
      </c>
      <c r="C42" s="15"/>
      <c r="D42" s="16"/>
      <c r="E42" s="16"/>
      <c r="F42" s="16">
        <f>SUM(F41:F41)</f>
        <v>100000000</v>
      </c>
      <c r="G42" s="24"/>
    </row>
    <row r="43" spans="1:7" ht="14" x14ac:dyDescent="0.15">
      <c r="A43" s="12" t="s">
        <v>24</v>
      </c>
      <c r="B43" s="14" t="s">
        <v>25</v>
      </c>
      <c r="C43" s="14"/>
      <c r="D43" s="17">
        <f t="shared" si="0"/>
        <v>416666.66666666669</v>
      </c>
      <c r="E43" s="17">
        <f t="shared" si="1"/>
        <v>2500000</v>
      </c>
      <c r="F43" s="17">
        <v>5000000</v>
      </c>
      <c r="G43" s="23" t="s">
        <v>28</v>
      </c>
    </row>
    <row r="44" spans="1:7" ht="14" x14ac:dyDescent="0.15">
      <c r="A44" s="13"/>
      <c r="B44" s="13" t="s">
        <v>26</v>
      </c>
      <c r="C44" s="13"/>
      <c r="D44" s="17">
        <f t="shared" si="0"/>
        <v>291666.66666666669</v>
      </c>
      <c r="E44" s="17">
        <f t="shared" si="1"/>
        <v>1750000</v>
      </c>
      <c r="F44" s="17">
        <v>3500000</v>
      </c>
      <c r="G44" s="23" t="s">
        <v>28</v>
      </c>
    </row>
    <row r="45" spans="1:7" ht="14" x14ac:dyDescent="0.15">
      <c r="A45" s="13"/>
      <c r="B45" s="13" t="s">
        <v>59</v>
      </c>
      <c r="C45" s="13"/>
      <c r="D45" s="17">
        <f t="shared" si="0"/>
        <v>166666.66666666666</v>
      </c>
      <c r="E45" s="17">
        <f t="shared" si="1"/>
        <v>1000000</v>
      </c>
      <c r="F45" s="17">
        <v>2000000</v>
      </c>
      <c r="G45" s="23" t="s">
        <v>28</v>
      </c>
    </row>
    <row r="46" spans="1:7" ht="13" x14ac:dyDescent="0.15">
      <c r="A46" s="13"/>
      <c r="B46" s="13" t="s">
        <v>60</v>
      </c>
      <c r="C46" s="13"/>
      <c r="D46" s="17">
        <f t="shared" si="0"/>
        <v>541666.66666666663</v>
      </c>
      <c r="E46" s="17">
        <f t="shared" si="1"/>
        <v>3250000</v>
      </c>
      <c r="F46" s="17">
        <v>6500000</v>
      </c>
      <c r="G46" s="23"/>
    </row>
    <row r="47" spans="1:7" ht="14" x14ac:dyDescent="0.15">
      <c r="A47" s="15" t="s">
        <v>13</v>
      </c>
      <c r="B47" s="15" t="s">
        <v>14</v>
      </c>
      <c r="C47" s="15"/>
      <c r="D47" s="16"/>
      <c r="E47" s="16"/>
      <c r="F47" s="16">
        <f>SUM(F43:F46)</f>
        <v>17000000</v>
      </c>
      <c r="G47" s="24" t="s">
        <v>13</v>
      </c>
    </row>
    <row r="48" spans="1:7" ht="14" x14ac:dyDescent="0.15">
      <c r="A48" s="12" t="s">
        <v>18</v>
      </c>
      <c r="B48" s="13" t="s">
        <v>2</v>
      </c>
      <c r="C48" s="13"/>
      <c r="D48" s="17">
        <f t="shared" si="0"/>
        <v>800000</v>
      </c>
      <c r="E48" s="17">
        <f t="shared" si="1"/>
        <v>4800000</v>
      </c>
      <c r="F48" s="17">
        <v>9600000</v>
      </c>
      <c r="G48" s="23" t="s">
        <v>28</v>
      </c>
    </row>
    <row r="49" spans="1:7" ht="15" customHeight="1" x14ac:dyDescent="0.15">
      <c r="A49" s="13"/>
      <c r="B49" s="13" t="s">
        <v>4</v>
      </c>
      <c r="C49" s="13"/>
      <c r="D49" s="17">
        <f t="shared" si="0"/>
        <v>1250000</v>
      </c>
      <c r="E49" s="17">
        <f t="shared" si="1"/>
        <v>7500000</v>
      </c>
      <c r="F49" s="17">
        <v>15000000</v>
      </c>
      <c r="G49" s="23" t="s">
        <v>28</v>
      </c>
    </row>
    <row r="50" spans="1:7" ht="14" x14ac:dyDescent="0.15">
      <c r="A50" s="13"/>
      <c r="B50" s="14" t="s">
        <v>21</v>
      </c>
      <c r="C50" s="14"/>
      <c r="D50" s="17">
        <f t="shared" si="0"/>
        <v>416666.66666666669</v>
      </c>
      <c r="E50" s="17">
        <f t="shared" si="1"/>
        <v>2500000</v>
      </c>
      <c r="F50" s="17">
        <v>5000000</v>
      </c>
      <c r="G50" s="23" t="s">
        <v>28</v>
      </c>
    </row>
    <row r="51" spans="1:7" ht="14" x14ac:dyDescent="0.15">
      <c r="A51" s="13"/>
      <c r="B51" s="14" t="s">
        <v>42</v>
      </c>
      <c r="C51" s="14"/>
      <c r="D51" s="17">
        <f t="shared" si="0"/>
        <v>833333.33333333337</v>
      </c>
      <c r="E51" s="17">
        <f t="shared" si="1"/>
        <v>5000000</v>
      </c>
      <c r="F51" s="17">
        <v>10000000</v>
      </c>
      <c r="G51" s="23" t="s">
        <v>28</v>
      </c>
    </row>
    <row r="52" spans="1:7" ht="14" x14ac:dyDescent="0.15">
      <c r="A52" s="13"/>
      <c r="B52" s="14" t="s">
        <v>22</v>
      </c>
      <c r="C52" s="14"/>
      <c r="D52" s="17">
        <f t="shared" si="0"/>
        <v>500000</v>
      </c>
      <c r="E52" s="17">
        <f t="shared" si="1"/>
        <v>3000000</v>
      </c>
      <c r="F52" s="17">
        <v>6000000</v>
      </c>
      <c r="G52" s="23" t="s">
        <v>28</v>
      </c>
    </row>
    <row r="53" spans="1:7" ht="27" customHeight="1" x14ac:dyDescent="0.15">
      <c r="A53" s="13"/>
      <c r="B53" s="14" t="s">
        <v>61</v>
      </c>
      <c r="C53" s="14"/>
      <c r="D53" s="17">
        <f t="shared" si="0"/>
        <v>1666666.6666666667</v>
      </c>
      <c r="E53" s="17">
        <f t="shared" si="1"/>
        <v>10000000</v>
      </c>
      <c r="F53" s="17">
        <v>20000000</v>
      </c>
      <c r="G53" s="23"/>
    </row>
    <row r="54" spans="1:7" ht="14" x14ac:dyDescent="0.15">
      <c r="A54" s="15" t="s">
        <v>13</v>
      </c>
      <c r="B54" s="15" t="s">
        <v>14</v>
      </c>
      <c r="C54" s="15"/>
      <c r="D54" s="16"/>
      <c r="E54" s="16"/>
      <c r="F54" s="16">
        <f>SUM(F48:F53)</f>
        <v>65600000</v>
      </c>
      <c r="G54" s="24" t="s">
        <v>13</v>
      </c>
    </row>
    <row r="55" spans="1:7" ht="14" x14ac:dyDescent="0.15">
      <c r="A55" s="12" t="s">
        <v>71</v>
      </c>
      <c r="B55" s="14" t="s">
        <v>63</v>
      </c>
      <c r="C55" s="14"/>
      <c r="D55" s="17">
        <f t="shared" si="0"/>
        <v>833333.33333333337</v>
      </c>
      <c r="E55" s="17">
        <f t="shared" si="1"/>
        <v>5000000</v>
      </c>
      <c r="F55" s="17">
        <v>10000000</v>
      </c>
      <c r="G55" s="23" t="s">
        <v>28</v>
      </c>
    </row>
    <row r="56" spans="1:7" ht="14" x14ac:dyDescent="0.15">
      <c r="A56" s="13"/>
      <c r="B56" s="13" t="s">
        <v>64</v>
      </c>
      <c r="C56" s="14"/>
      <c r="D56" s="17">
        <f t="shared" si="0"/>
        <v>250000</v>
      </c>
      <c r="E56" s="17">
        <f t="shared" si="1"/>
        <v>1500000</v>
      </c>
      <c r="F56" s="17">
        <v>3000000</v>
      </c>
      <c r="G56" s="23" t="s">
        <v>28</v>
      </c>
    </row>
    <row r="57" spans="1:7" ht="14" x14ac:dyDescent="0.15">
      <c r="A57" s="13"/>
      <c r="B57" s="13" t="s">
        <v>65</v>
      </c>
      <c r="C57" s="14"/>
      <c r="D57" s="17">
        <f t="shared" si="0"/>
        <v>125000</v>
      </c>
      <c r="E57" s="17">
        <f t="shared" si="1"/>
        <v>750000</v>
      </c>
      <c r="F57" s="17">
        <v>1500000</v>
      </c>
      <c r="G57" s="23" t="s">
        <v>28</v>
      </c>
    </row>
    <row r="58" spans="1:7" ht="14" x14ac:dyDescent="0.15">
      <c r="A58" s="13"/>
      <c r="B58" s="13" t="s">
        <v>66</v>
      </c>
      <c r="D58" s="17">
        <f t="shared" si="0"/>
        <v>25000</v>
      </c>
      <c r="E58" s="17">
        <f t="shared" si="1"/>
        <v>150000</v>
      </c>
      <c r="F58" s="17">
        <v>300000</v>
      </c>
      <c r="G58" s="23" t="s">
        <v>28</v>
      </c>
    </row>
    <row r="59" spans="1:7" ht="13" x14ac:dyDescent="0.15">
      <c r="A59" s="13"/>
      <c r="B59" s="13" t="s">
        <v>70</v>
      </c>
      <c r="C59" s="13"/>
      <c r="D59" s="17">
        <f t="shared" si="0"/>
        <v>166666.66666666666</v>
      </c>
      <c r="E59" s="17">
        <f t="shared" si="1"/>
        <v>1000000</v>
      </c>
      <c r="F59" s="17">
        <v>2000000</v>
      </c>
      <c r="G59" s="23"/>
    </row>
    <row r="60" spans="1:7" ht="14" x14ac:dyDescent="0.15">
      <c r="A60" s="15" t="s">
        <v>13</v>
      </c>
      <c r="B60" s="15" t="s">
        <v>14</v>
      </c>
      <c r="C60" s="15"/>
      <c r="D60" s="16"/>
      <c r="E60" s="16"/>
      <c r="F60" s="16">
        <f>SUM(F55:F59)</f>
        <v>16800000</v>
      </c>
      <c r="G60" s="24" t="s">
        <v>13</v>
      </c>
    </row>
    <row r="61" spans="1:7" ht="14" x14ac:dyDescent="0.15">
      <c r="A61" s="12" t="s">
        <v>67</v>
      </c>
      <c r="B61" s="14" t="s">
        <v>69</v>
      </c>
      <c r="C61" s="14"/>
      <c r="D61" s="17">
        <f t="shared" si="0"/>
        <v>100000</v>
      </c>
      <c r="E61" s="17">
        <f t="shared" si="1"/>
        <v>600000</v>
      </c>
      <c r="F61" s="17">
        <v>1200000</v>
      </c>
      <c r="G61" s="23" t="s">
        <v>28</v>
      </c>
    </row>
    <row r="62" spans="1:7" ht="14" x14ac:dyDescent="0.15">
      <c r="A62" s="13"/>
      <c r="B62" s="13" t="s">
        <v>68</v>
      </c>
      <c r="C62" s="14"/>
      <c r="D62" s="17">
        <f t="shared" si="0"/>
        <v>75000</v>
      </c>
      <c r="E62" s="17">
        <f t="shared" si="1"/>
        <v>450000</v>
      </c>
      <c r="F62" s="17">
        <v>900000</v>
      </c>
      <c r="G62" s="23" t="s">
        <v>28</v>
      </c>
    </row>
    <row r="63" spans="1:7" ht="14" x14ac:dyDescent="0.15">
      <c r="A63" s="15" t="s">
        <v>13</v>
      </c>
      <c r="B63" s="15" t="s">
        <v>14</v>
      </c>
      <c r="C63" s="15"/>
      <c r="D63" s="16"/>
      <c r="E63" s="16"/>
      <c r="F63" s="16">
        <f>SUM(F61:F62)</f>
        <v>2100000</v>
      </c>
      <c r="G63" s="24" t="s">
        <v>13</v>
      </c>
    </row>
    <row r="64" spans="1:7" ht="14" x14ac:dyDescent="0.15">
      <c r="A64" s="12" t="s">
        <v>37</v>
      </c>
      <c r="B64" s="14" t="s">
        <v>36</v>
      </c>
      <c r="C64" s="14"/>
      <c r="D64" s="17">
        <f t="shared" si="0"/>
        <v>500000</v>
      </c>
      <c r="E64" s="17">
        <f>F64/2</f>
        <v>3000000</v>
      </c>
      <c r="F64" s="17">
        <v>6000000</v>
      </c>
      <c r="G64" s="23" t="s">
        <v>28</v>
      </c>
    </row>
    <row r="65" spans="1:7" ht="14" x14ac:dyDescent="0.15">
      <c r="A65" s="13"/>
      <c r="B65" s="13" t="s">
        <v>15</v>
      </c>
      <c r="C65" s="14"/>
      <c r="D65" s="17">
        <f t="shared" si="0"/>
        <v>250000</v>
      </c>
      <c r="E65" s="17">
        <f t="shared" ref="E65:E66" si="2">F65/2</f>
        <v>1500000</v>
      </c>
      <c r="F65" s="17">
        <v>3000000</v>
      </c>
      <c r="G65" s="23" t="s">
        <v>28</v>
      </c>
    </row>
    <row r="66" spans="1:7" ht="14" x14ac:dyDescent="0.15">
      <c r="A66" s="13"/>
      <c r="B66" s="13" t="s">
        <v>31</v>
      </c>
      <c r="C66" s="13" t="s">
        <v>43</v>
      </c>
      <c r="D66" s="17">
        <f t="shared" si="0"/>
        <v>166666.66666666666</v>
      </c>
      <c r="E66" s="17">
        <f t="shared" si="2"/>
        <v>1000000</v>
      </c>
      <c r="F66" s="17">
        <v>2000000</v>
      </c>
      <c r="G66" s="23" t="s">
        <v>28</v>
      </c>
    </row>
    <row r="67" spans="1:7" ht="14" x14ac:dyDescent="0.15">
      <c r="A67" s="15" t="s">
        <v>13</v>
      </c>
      <c r="B67" s="15" t="s">
        <v>14</v>
      </c>
      <c r="C67" s="15"/>
      <c r="D67" s="16"/>
      <c r="E67" s="16"/>
      <c r="F67" s="16">
        <f>SUM(F64:F66)</f>
        <v>11000000</v>
      </c>
      <c r="G67" s="24" t="s">
        <v>13</v>
      </c>
    </row>
    <row r="68" spans="1:7" ht="14" x14ac:dyDescent="0.15">
      <c r="A68" s="15" t="s">
        <v>13</v>
      </c>
      <c r="B68" s="15" t="s">
        <v>41</v>
      </c>
      <c r="C68" s="15"/>
      <c r="D68" s="16">
        <f>SUM(D28:D66)</f>
        <v>20833333.333333332</v>
      </c>
      <c r="E68" s="16">
        <f>SUM(E28:E66)</f>
        <v>125000000</v>
      </c>
      <c r="F68" s="16">
        <f>SUM(F29+F34+F40+F42+F47+F54+F60+F63+F67)</f>
        <v>250000000</v>
      </c>
      <c r="G68" s="24" t="s">
        <v>13</v>
      </c>
    </row>
    <row r="69" spans="1:7" ht="15" customHeight="1" x14ac:dyDescent="0.15">
      <c r="E69" s="17"/>
      <c r="F69" s="18"/>
    </row>
    <row r="71" spans="1:7" ht="15" customHeight="1" x14ac:dyDescent="0.15">
      <c r="C71" s="9" t="str">
        <f>A28</f>
        <v>Skills &amp; Training Programs</v>
      </c>
      <c r="F71" s="27">
        <f>F29</f>
        <v>5000000</v>
      </c>
    </row>
    <row r="72" spans="1:7" ht="15" customHeight="1" x14ac:dyDescent="0.15">
      <c r="C72" s="9" t="str">
        <f>A30</f>
        <v>Events &amp; Ecosystem Engagement</v>
      </c>
      <c r="F72" s="27">
        <f>F34</f>
        <v>7000000</v>
      </c>
    </row>
    <row r="73" spans="1:7" ht="15" customHeight="1" x14ac:dyDescent="0.15">
      <c r="C73" s="9" t="str">
        <f>A35</f>
        <v>Travel &amp; Conferences</v>
      </c>
      <c r="F73" s="27">
        <f>F40</f>
        <v>25500000</v>
      </c>
    </row>
    <row r="74" spans="1:7" ht="15" customHeight="1" x14ac:dyDescent="0.15">
      <c r="C74" s="9" t="str">
        <f>A41</f>
        <v>Salaries &amp; Staff Benefits</v>
      </c>
      <c r="F74" s="27">
        <f>F42</f>
        <v>100000000</v>
      </c>
    </row>
    <row r="75" spans="1:7" ht="15" customHeight="1" x14ac:dyDescent="0.15">
      <c r="C75" s="9" t="str">
        <f>A43</f>
        <v>Cloud &amp; Software Applications</v>
      </c>
      <c r="F75" s="27">
        <f>F47</f>
        <v>17000000</v>
      </c>
    </row>
    <row r="76" spans="1:7" ht="15" customHeight="1" x14ac:dyDescent="0.15">
      <c r="C76" s="9" t="str">
        <f>A48</f>
        <v>Utilities &amp; Maintenance</v>
      </c>
      <c r="F76" s="27">
        <f>F54</f>
        <v>65600000</v>
      </c>
    </row>
    <row r="77" spans="1:7" ht="15" customHeight="1" x14ac:dyDescent="0.15">
      <c r="C77" s="9" t="s">
        <v>62</v>
      </c>
      <c r="F77" s="27">
        <f>F60</f>
        <v>16800000</v>
      </c>
    </row>
    <row r="78" spans="1:7" ht="15" customHeight="1" x14ac:dyDescent="0.15">
      <c r="C78" s="9" t="s">
        <v>67</v>
      </c>
      <c r="F78" s="27">
        <f>F63</f>
        <v>2100000</v>
      </c>
    </row>
    <row r="79" spans="1:7" ht="15" customHeight="1" x14ac:dyDescent="0.15">
      <c r="C79" s="9" t="str">
        <f>A64</f>
        <v>Miscellaneous</v>
      </c>
      <c r="F79" s="27">
        <f>F67</f>
        <v>11000000</v>
      </c>
    </row>
    <row r="81" spans="3:7" s="9" customFormat="1" ht="15" customHeight="1" x14ac:dyDescent="0.15">
      <c r="C81" s="9" t="s">
        <v>51</v>
      </c>
      <c r="F81" s="29">
        <f>SUM(F71:F80)</f>
        <v>250000000</v>
      </c>
      <c r="G81" s="28"/>
    </row>
    <row r="82" spans="3:7" s="9" customFormat="1" ht="15" customHeight="1" x14ac:dyDescent="0.15">
      <c r="C82" s="9" t="s">
        <v>52</v>
      </c>
      <c r="F82" s="29">
        <f>E68</f>
        <v>125000000</v>
      </c>
      <c r="G82" s="28"/>
    </row>
    <row r="83" spans="3:7" ht="15" customHeight="1" x14ac:dyDescent="0.15">
      <c r="C83" s="9" t="s">
        <v>55</v>
      </c>
      <c r="F83" s="29">
        <f>F68/4</f>
        <v>62500000</v>
      </c>
    </row>
    <row r="84" spans="3:7" ht="15" customHeight="1" x14ac:dyDescent="0.15">
      <c r="C84" s="9" t="s">
        <v>56</v>
      </c>
      <c r="D84" s="18"/>
      <c r="F84" s="29">
        <f>D68</f>
        <v>20833333.333333332</v>
      </c>
    </row>
    <row r="85" spans="3:7" ht="15" customHeight="1" x14ac:dyDescent="0.15">
      <c r="C85" s="2" t="s">
        <v>57</v>
      </c>
    </row>
  </sheetData>
  <mergeCells count="7">
    <mergeCell ref="B16:G16"/>
    <mergeCell ref="B17:G17"/>
    <mergeCell ref="E1:G7"/>
    <mergeCell ref="A11:G11"/>
    <mergeCell ref="A12:G12"/>
    <mergeCell ref="B14:G14"/>
    <mergeCell ref="B15:G15"/>
  </mergeCells>
  <pageMargins left="0.7" right="0.7" top="0.75" bottom="0.75" header="0.3" footer="0.3"/>
  <pageSetup paperSize="9" scale="47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5E37-063D-DD42-A948-CE965F8F0B72}">
  <dimension ref="A1:E8"/>
  <sheetViews>
    <sheetView workbookViewId="0">
      <selection activeCell="B8" sqref="B8"/>
    </sheetView>
  </sheetViews>
  <sheetFormatPr baseColWidth="10" defaultRowHeight="16" x14ac:dyDescent="0.2"/>
  <cols>
    <col min="1" max="1" width="38.83203125" bestFit="1" customWidth="1"/>
    <col min="2" max="2" width="11.83203125" bestFit="1" customWidth="1"/>
  </cols>
  <sheetData>
    <row r="1" spans="1:5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3" spans="1:5" x14ac:dyDescent="0.2">
      <c r="A3" t="s">
        <v>85</v>
      </c>
      <c r="B3" t="s">
        <v>81</v>
      </c>
    </row>
    <row r="4" spans="1:5" x14ac:dyDescent="0.2">
      <c r="A4" t="s">
        <v>86</v>
      </c>
      <c r="B4" t="s">
        <v>87</v>
      </c>
    </row>
    <row r="5" spans="1:5" x14ac:dyDescent="0.2">
      <c r="A5" t="s">
        <v>60</v>
      </c>
      <c r="B5" t="s">
        <v>80</v>
      </c>
    </row>
    <row r="6" spans="1:5" x14ac:dyDescent="0.2">
      <c r="A6" s="14" t="s">
        <v>82</v>
      </c>
      <c r="B6" t="s">
        <v>83</v>
      </c>
    </row>
    <row r="7" spans="1:5" x14ac:dyDescent="0.2">
      <c r="A7" t="s">
        <v>78</v>
      </c>
    </row>
    <row r="8" spans="1:5" x14ac:dyDescent="0.2">
      <c r="A8" t="s">
        <v>79</v>
      </c>
      <c r="B8" t="s">
        <v>84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84B7-3E65-1547-BD86-F15BBA5657D5}">
  <dimension ref="A2:B9"/>
  <sheetViews>
    <sheetView workbookViewId="0">
      <selection activeCell="B12" sqref="A2:B12"/>
    </sheetView>
  </sheetViews>
  <sheetFormatPr baseColWidth="10" defaultRowHeight="16" x14ac:dyDescent="0.2"/>
  <cols>
    <col min="1" max="1" width="20.33203125" customWidth="1"/>
    <col min="2" max="2" width="21.83203125" customWidth="1"/>
  </cols>
  <sheetData>
    <row r="2" spans="1:2" x14ac:dyDescent="0.2">
      <c r="A2" t="s">
        <v>49</v>
      </c>
      <c r="B2" s="26">
        <v>1348750911.24</v>
      </c>
    </row>
    <row r="3" spans="1:2" x14ac:dyDescent="0.2">
      <c r="B3" s="26">
        <v>81697003.569999993</v>
      </c>
    </row>
    <row r="4" spans="1:2" x14ac:dyDescent="0.2">
      <c r="B4" s="25">
        <f>SUM(B2:B3)</f>
        <v>1430447914.8099999</v>
      </c>
    </row>
    <row r="7" spans="1:2" x14ac:dyDescent="0.2">
      <c r="A7" t="s">
        <v>48</v>
      </c>
      <c r="B7" s="26">
        <v>336281060.06</v>
      </c>
    </row>
    <row r="8" spans="1:2" x14ac:dyDescent="0.2">
      <c r="B8" s="26">
        <v>47750213.82</v>
      </c>
    </row>
    <row r="9" spans="1:2" x14ac:dyDescent="0.2">
      <c r="B9" s="26">
        <v>238000000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</vt:lpstr>
      <vt:lpstr>Software Subs</vt:lpstr>
      <vt:lpstr>Sheet2</vt:lpstr>
      <vt:lpstr>Budget!Print_Area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 Kolawole</dc:creator>
  <cp:lastModifiedBy>Temi Kolawole</cp:lastModifiedBy>
  <cp:lastPrinted>2024-04-02T10:40:00Z</cp:lastPrinted>
  <dcterms:created xsi:type="dcterms:W3CDTF">2020-03-14T14:01:12Z</dcterms:created>
  <dcterms:modified xsi:type="dcterms:W3CDTF">2024-08-20T09:05:25Z</dcterms:modified>
</cp:coreProperties>
</file>