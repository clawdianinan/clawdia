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7CE39B83-B70D-FE42-B436-7DBA17B60715}" xr6:coauthVersionLast="47" xr6:coauthVersionMax="47" xr10:uidLastSave="{00000000-0000-0000-0000-000000000000}"/>
  <bookViews>
    <workbookView xWindow="0" yWindow="620" windowWidth="28800" windowHeight="16260" xr2:uid="{00000000-000D-0000-FFFF-FFFF00000000}"/>
  </bookViews>
  <sheets>
    <sheet name="Summary" sheetId="1" r:id="rId1"/>
    <sheet name="Revised" sheetId="2" r:id="rId2"/>
    <sheet name="Managing Director" sheetId="3" r:id="rId3"/>
    <sheet name="Director of Programs" sheetId="4" r:id="rId4"/>
    <sheet name="Director of Operations" sheetId="5" r:id="rId5"/>
    <sheet name="Project Manager" sheetId="6" r:id="rId6"/>
    <sheet name="IT Manager" sheetId="7" r:id="rId7"/>
    <sheet name="Program Manager" sheetId="8" r:id="rId8"/>
    <sheet name="Community Manager" sheetId="9" r:id="rId9"/>
    <sheet name="Content Lead" sheetId="10" r:id="rId10"/>
    <sheet name="Social Media Manager" sheetId="11" r:id="rId11"/>
    <sheet name="Finance Associate" sheetId="12" r:id="rId12"/>
    <sheet name="Program Associate" sheetId="13" r:id="rId13"/>
    <sheet name="Admin Associate" sheetId="14" r:id="rId14"/>
    <sheet name="HR Associate" sheetId="15" r:id="rId15"/>
    <sheet name="Facility Associate" sheetId="16" r:id="rId16"/>
    <sheet name="IT Associate" sheetId="17" r:id="rId17"/>
    <sheet name="Graphic &amp; Multimedia Designer" sheetId="18" r:id="rId18"/>
    <sheet name="IT Support" sheetId="19" r:id="rId19"/>
    <sheet name="Facility Support" sheetId="20" r:id="rId20"/>
    <sheet name="Front Desk Support" sheetId="21" r:id="rId21"/>
    <sheet name="Hospitality Support" sheetId="22" r:id="rId22"/>
    <sheet name="Driver" sheetId="23" r:id="rId23"/>
    <sheet name="Sheet1" sheetId="24" r:id="rId24"/>
  </sheets>
  <definedNames>
    <definedName name="_xlnm._FilterDatabase" localSheetId="1" hidden="1">Revised!$A$1:$M$22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25" i="1" s="1"/>
  <c r="C18" i="1"/>
  <c r="B18" i="1"/>
  <c r="F18" i="1" s="1"/>
  <c r="C17" i="1"/>
  <c r="B17" i="1"/>
  <c r="C13" i="1"/>
  <c r="B13" i="1"/>
  <c r="C12" i="1"/>
  <c r="B12" i="1"/>
  <c r="B7" i="1"/>
  <c r="B6" i="1"/>
  <c r="B5" i="1"/>
  <c r="F17" i="1" l="1"/>
  <c r="E18" i="1"/>
  <c r="D17" i="1"/>
  <c r="E17" i="1"/>
  <c r="D12" i="1"/>
  <c r="B26" i="1"/>
  <c r="B27" i="1" s="1"/>
  <c r="B28" i="1" s="1"/>
  <c r="B8" i="1"/>
  <c r="D18" i="1" l="1"/>
  <c r="D13" i="1"/>
  <c r="C27" i="1"/>
</calcChain>
</file>

<file path=xl/sharedStrings.xml><?xml version="1.0" encoding="utf-8"?>
<sst xmlns="http://schemas.openxmlformats.org/spreadsheetml/2006/main" count="919" uniqueCount="549">
  <si>
    <t>IIH Role</t>
  </si>
  <si>
    <t>Proposed Role</t>
  </si>
  <si>
    <t>Proposed Grade</t>
  </si>
  <si>
    <t>Important to have</t>
  </si>
  <si>
    <t>Vacant</t>
  </si>
  <si>
    <t>Function</t>
  </si>
  <si>
    <t>Name</t>
  </si>
  <si>
    <t>Gender</t>
  </si>
  <si>
    <t>Origin</t>
  </si>
  <si>
    <t>LGA</t>
  </si>
  <si>
    <t>Why this Grade is Appropriate (Justification)</t>
  </si>
  <si>
    <t>Key “Descriptor Fit” Keywords</t>
  </si>
  <si>
    <t>Required Experience 
(Extracted from JD)</t>
  </si>
  <si>
    <t>Managing Director</t>
  </si>
  <si>
    <t>Hub Director</t>
  </si>
  <si>
    <t>1b</t>
  </si>
  <si>
    <t>Yes</t>
  </si>
  <si>
    <t>No</t>
  </si>
  <si>
    <t>Temi Kolawole</t>
  </si>
  <si>
    <t>M</t>
  </si>
  <si>
    <t>Kwara</t>
  </si>
  <si>
    <t>Irepodun</t>
  </si>
  <si>
    <t>Overall accountable head of IIH with enterprise-level leadership, strategic direction, results ownership and external influence.</t>
  </si>
  <si>
    <t>Enterprise accountability; strategic influence; resource ownership; executive leadership</t>
  </si>
  <si>
    <t>Minimum 10 years senior leadership experience in innovation/tech/development sector.</t>
  </si>
  <si>
    <t>Director of Programs</t>
  </si>
  <si>
    <t>Head of Programs</t>
  </si>
  <si>
    <t>3B</t>
  </si>
  <si>
    <t>Programs</t>
  </si>
  <si>
    <t>Zumah Yahaya</t>
  </si>
  <si>
    <t>F</t>
  </si>
  <si>
    <t>Functional lead accountable for programme delivery outcomes, planning, governance and performance results across the portfolio.</t>
  </si>
  <si>
    <t>Functional accountability; operational planning; delivery leadership; stakeholder influence</t>
  </si>
  <si>
    <t>Minimum 8 years program management experience (innovation/education preferred).</t>
  </si>
  <si>
    <t>Director of Operations</t>
  </si>
  <si>
    <t>Assistant Director of Operations</t>
  </si>
  <si>
    <t>Operations</t>
  </si>
  <si>
    <t>To be filled</t>
  </si>
  <si>
    <t>Functional lead accountable for operational execution, service outcomes, controls, and process efficiency across IIH operations.</t>
  </si>
  <si>
    <t>Cross-functional execution; operational excellence; performance accountability</t>
  </si>
  <si>
    <t>Minimum 8 years operations management experience; multi-function oversight.</t>
  </si>
  <si>
    <t>Project Manager</t>
  </si>
  <si>
    <t>MD's Office</t>
  </si>
  <si>
    <t>High autonomy role that drives planning/execution of strategic priorities, coordinates multi-stakeholder workstreams and supports exec delivery.</t>
  </si>
  <si>
    <t>Independent execution; project ownership; influence without authority; complexity handling</t>
  </si>
  <si>
    <t>Minimum 5 years executive support + project management experience.</t>
  </si>
  <si>
    <t>IT Manager</t>
  </si>
  <si>
    <t>4B</t>
  </si>
  <si>
    <t>Nasiru Muhammed</t>
  </si>
  <si>
    <t>Owns IT service delivery, manages support and vendors, ensures uptime/service performance and improvement of IT processes.</t>
  </si>
  <si>
    <t>Operational ownership; process improvement; team/vendor oversight</t>
  </si>
  <si>
    <t>5–7 years IT management experience.</t>
  </si>
  <si>
    <t>Program Manager</t>
  </si>
  <si>
    <t>Program Delivery Manager</t>
  </si>
  <si>
    <t>Adebola Oladipo</t>
  </si>
  <si>
    <t>Owns execution of programmes, timelines, partners and deliverables; manages resources and delivery risks.</t>
  </si>
  <si>
    <t>Delivery accountability; planning; cross-stakeholder coordination</t>
  </si>
  <si>
    <t>Minimum 5 years program management experience.</t>
  </si>
  <si>
    <t>Community Manager</t>
  </si>
  <si>
    <t>Community Officer</t>
  </si>
  <si>
    <t>5C</t>
  </si>
  <si>
    <t>Responsible for community activation strategy execution, engagement performance, and consistent delivery of community experience.</t>
  </si>
  <si>
    <t>Execution leadership; outcome accountability; operational influence</t>
  </si>
  <si>
    <t>Minimum 5 years community management/coworking experience.</t>
  </si>
  <si>
    <t>Content Lead</t>
  </si>
  <si>
    <t>Content &amp; Communications Specialist</t>
  </si>
  <si>
    <t>5B</t>
  </si>
  <si>
    <t>Abdulraman Yusuf</t>
  </si>
  <si>
    <t>Specialist lead role responsible for content strategy execution, quality assurance and brand consistency; guides execution without being a full manager.</t>
  </si>
  <si>
    <t>Specialist leadership; independent delivery; influencing others</t>
  </si>
  <si>
    <t>Minimum 5 years content creation &amp; content management experience.</t>
  </si>
  <si>
    <t>Social Media Manager</t>
  </si>
  <si>
    <t>Digital Engagement Specialist</t>
  </si>
  <si>
    <t>6A</t>
  </si>
  <si>
    <t>Amidat Olalere</t>
  </si>
  <si>
    <t>TBD</t>
  </si>
  <si>
    <t>Owns social engagement performance, content execution, campaigns and analytics; operates as a specialist with high accountability.</t>
  </si>
  <si>
    <t>Independent specialist; performance outputs; brand impact</t>
  </si>
  <si>
    <t>3–5 years social media management experience.</t>
  </si>
  <si>
    <t>Finance Associate</t>
  </si>
  <si>
    <t>Finance &amp; Compliance Officer</t>
  </si>
  <si>
    <t>Adminstration</t>
  </si>
  <si>
    <t>Khadijat Bello</t>
  </si>
  <si>
    <t>Executes defined finance processes, reporting and reconciliations under supervision; applies professional knowledge to routine objectives.</t>
  </si>
  <si>
    <t>Professional execution; supervised; standard procedures</t>
  </si>
  <si>
    <t>Minimum 5 years accounting/finance experience.</t>
  </si>
  <si>
    <t>Program Associate</t>
  </si>
  <si>
    <t>Program Officer</t>
  </si>
  <si>
    <t>Supports programme delivery administration, documentation and tracking; defined scope and supervised work.</t>
  </si>
  <si>
    <t>Execution support; routine complexity; process-based delivery</t>
  </si>
  <si>
    <t>2–3 years program support/coordination experience.</t>
  </si>
  <si>
    <t>Admin Associate</t>
  </si>
  <si>
    <t>Admin Officer</t>
  </si>
  <si>
    <t>Maureen Okey</t>
  </si>
  <si>
    <t>Non-Kwara</t>
  </si>
  <si>
    <t>Coordinates admin processes, documentation, scheduling, and support services under set procedures and guidance.</t>
  </si>
  <si>
    <t>Administrative/professional support; predictable scope</t>
  </si>
  <si>
    <t>3–5 years administrative experience.</t>
  </si>
  <si>
    <t>HR Associate</t>
  </si>
  <si>
    <t>HR Officer</t>
  </si>
  <si>
    <t>Sinachi Onuchukwu</t>
  </si>
  <si>
    <t>Supports HR operations and processes; manages defined tasks with guidance and structured procedures.</t>
  </si>
  <si>
    <t>HR process delivery; functional support role</t>
  </si>
  <si>
    <t>3–5 years HR experience.</t>
  </si>
  <si>
    <t>Facility Associate</t>
  </si>
  <si>
    <t>Facilities Officer</t>
  </si>
  <si>
    <t>Kamil Ahmed</t>
  </si>
  <si>
    <t>Supports facility coordination, vendors, and service tickets; applies standard procedures with supervised decision-making.</t>
  </si>
  <si>
    <t>Operational support; procedure-driven work</t>
  </si>
  <si>
    <t>3–5 years facility management experience.</t>
  </si>
  <si>
    <t>Graphic &amp; Multimedia Designer</t>
  </si>
  <si>
    <t>Graphic &amp; Multimedia Specialist</t>
  </si>
  <si>
    <t>Damilare Oloyede</t>
  </si>
  <si>
    <t>Produces design outputs to briefs and standards, delivering professional work products with defined requirements and supervision.</t>
  </si>
  <si>
    <t>Professional specialist output; defined briefs; quality execution</t>
  </si>
  <si>
    <t>3–5 years graphic design experience.</t>
  </si>
  <si>
    <t>IT Associate</t>
  </si>
  <si>
    <t>IT Support Analyst</t>
  </si>
  <si>
    <t>Henry Mgbechi</t>
  </si>
  <si>
    <t>Support role with technical troubleshooting responsibilities; higher technical depth and complexity than general support service roles.</t>
  </si>
  <si>
    <t>Technical troubleshooting; service delivery; defined standards</t>
  </si>
  <si>
    <t>1–2 years customer service/hospitality experience.</t>
  </si>
  <si>
    <t>IT Assistant</t>
  </si>
  <si>
    <t>Supports event production, sound, and daily technical operations for hub programs and events.</t>
  </si>
  <si>
    <t>Technical support; event production; execution support</t>
  </si>
  <si>
    <t>2-3 years IT support/event tech experience.</t>
  </si>
  <si>
    <t>Temilola Akande</t>
  </si>
  <si>
    <t>Facility Support</t>
  </si>
  <si>
    <t>Facilities Assistant</t>
  </si>
  <si>
    <t>6B</t>
  </si>
  <si>
    <t>Sulyman Yusuf Alao</t>
  </si>
  <si>
    <t>Provides day-to-day facility services support; executes practical support tasks under supervision.</t>
  </si>
  <si>
    <t>Support services; routine delivery; supervision required</t>
  </si>
  <si>
    <t>1–2 years facility/maintenance experience.</t>
  </si>
  <si>
    <t>Facility Assistant</t>
  </si>
  <si>
    <t>Benjamin Okolie</t>
  </si>
  <si>
    <t>Delta</t>
  </si>
  <si>
    <t>Additional facility assistant absorbed from existing corper pool; no incremental payroll planned.</t>
  </si>
  <si>
    <t>Ahmed Habeeb</t>
  </si>
  <si>
    <t>Jimoh Faruq</t>
  </si>
  <si>
    <t>Front Desk Support</t>
  </si>
  <si>
    <t>Muinat Bello</t>
  </si>
  <si>
    <t>Customer-facing support role with structured service delivery and routine coordination responsibilities.</t>
  </si>
  <si>
    <t>Front-of-house support; routine service tasks</t>
  </si>
  <si>
    <t>1–2 years reception/customer service experience.</t>
  </si>
  <si>
    <t>Hospitality Assistant</t>
  </si>
  <si>
    <t>Joan Oware</t>
  </si>
  <si>
    <t>Edo</t>
  </si>
  <si>
    <t>Absorbed from existing corper pool; supports hospitality and event execution.</t>
  </si>
  <si>
    <t>Provides hospitality and workplace support, event/basic service execution under supervision and standard procedures.</t>
  </si>
  <si>
    <t>Service delivery; routine tasks; supervised</t>
  </si>
  <si>
    <t>1–2 years hospitality/service experience.</t>
  </si>
  <si>
    <t>Driver</t>
  </si>
  <si>
    <t>6C</t>
  </si>
  <si>
    <t>Kayode Olaleye</t>
  </si>
  <si>
    <t>Explicitly aligned to entry-level technical/support roles such as drivers within the IHS career framework.</t>
  </si>
  <si>
    <t>Entry support; service delivery role (driver track)</t>
  </si>
  <si>
    <t>3–5 years professional driving experience.</t>
  </si>
  <si>
    <t>Emmanuel Farayade</t>
  </si>
  <si>
    <t>Corper</t>
  </si>
  <si>
    <t>Sulyman Kaowthar</t>
  </si>
  <si>
    <t>Aisha Shittu</t>
  </si>
  <si>
    <t>Intern</t>
  </si>
  <si>
    <t>Otaro Iyanuoluwa</t>
  </si>
  <si>
    <t>Samuel Hapiness</t>
  </si>
  <si>
    <t>Hamzat Muhammad</t>
  </si>
  <si>
    <t>Ogunlana Ismaila</t>
  </si>
  <si>
    <t>Grade 6</t>
  </si>
  <si>
    <t>IT Support → 6B</t>
  </si>
  <si>
    <t>Community Support → 6B</t>
  </si>
  <si>
    <t>Facility Support → 6B</t>
  </si>
  <si>
    <t>Front Desk → 6B</t>
  </si>
  <si>
    <t>Hospitality Support → 6C</t>
  </si>
  <si>
    <t>Driver → 6B</t>
  </si>
  <si>
    <t>IIH STAFF SUMMARY</t>
  </si>
  <si>
    <t>Population Counts</t>
  </si>
  <si>
    <t>Metric</t>
  </si>
  <si>
    <t>Count</t>
  </si>
  <si>
    <t>Total Core Staff</t>
  </si>
  <si>
    <t>Total Interns</t>
  </si>
  <si>
    <t>Total Corpers</t>
  </si>
  <si>
    <t>Total People (All)</t>
  </si>
  <si>
    <t>Gender Distribution</t>
  </si>
  <si>
    <t>Group</t>
  </si>
  <si>
    <t>Male</t>
  </si>
  <si>
    <t>Female</t>
  </si>
  <si>
    <t>Core Staff</t>
  </si>
  <si>
    <t>All (Core+Interns+Corpers)</t>
  </si>
  <si>
    <t>Origin Distribution (Kwara vs Non-Kwara)</t>
  </si>
  <si>
    <t>Kwara %</t>
  </si>
  <si>
    <t>Non-Kwara %</t>
  </si>
  <si>
    <t>Notes</t>
  </si>
  <si>
    <t>1) Kwara/Non-Kwara percentages requested are shown for Core Staff and for All population.</t>
  </si>
  <si>
    <t>Quota Planning (70% Kwara target)</t>
  </si>
  <si>
    <t>Core vacancies (to be filled)</t>
  </si>
  <si>
    <t>✅ Target achieved: 82.4% Kwara staff in filled positions (≥70% target)</t>
  </si>
  <si>
    <t>Total unresolved origin slots (vacancies + TBD)</t>
  </si>
  <si>
    <t>Minimum additional Kwara needed across unresolved slots</t>
  </si>
  <si>
    <t>Proposed origin spread for unresolved slots (Kwara / Non-Kwara)</t>
  </si>
  <si>
    <t>(Target: &gt;=70% Kwara)</t>
  </si>
  <si>
    <t>Quota status after proposed spread</t>
  </si>
  <si>
    <t>Dimension</t>
  </si>
  <si>
    <t>Objective</t>
  </si>
  <si>
    <t>Key Result Areas (KRAs)</t>
  </si>
  <si>
    <t>Enterprise Goals (Common)</t>
  </si>
  <si>
    <t>Deliver IIH mission outcomes and institutional credibility</t>
  </si>
  <si>
    <t>KR-E1, KR-E2, KR-E3 (common)</t>
  </si>
  <si>
    <t>Financial</t>
  </si>
  <si>
    <t>Ensure financial sustainability through diversified revenue and partnerships</t>
  </si>
  <si>
    <t>(1) Secure ₦X in grants/sponsorship/revenue (2) Maintain annual budget adherence within ±X% (3) Establish at least 2 sustainable revenue lines</t>
  </si>
  <si>
    <t>Operational Efficiency</t>
  </si>
  <si>
    <t>Strengthen governance rhythm and enterprise execution quality</t>
  </si>
  <si>
    <t>(1) Monthly leadership dashboard published on time (2) At least 95% strategic milestone delivery rate (3) Reduce critical escalations by X%</t>
  </si>
  <si>
    <t>Innovation &amp; Learning</t>
  </si>
  <si>
    <t>Expand IIH relevance through new innovation programs</t>
  </si>
  <si>
    <t>(1) Launch at least 2 flagship initiatives in 2026 (2) Run quarterly improvement reviews and implement actions</t>
  </si>
  <si>
    <t>Customer Service</t>
  </si>
  <si>
    <t>Improve stakeholder confidence and user experience</t>
  </si>
  <si>
    <t>(1) Achieve target user satisfaction/NPS (2) Increase positive PR/stakeholder feedback by X%</t>
  </si>
  <si>
    <t>Drive measurable ecosystem and program outcomes</t>
  </si>
  <si>
    <t>Improve program financial sustainability</t>
  </si>
  <si>
    <t>(1) Secure support/sponsorship for at least X programs (2) Reduce cost per participant/startup by X% without quality loss</t>
  </si>
  <si>
    <t>Deliver programs consistently and on schedule</t>
  </si>
  <si>
    <t>(1) At least 95% adherence to annual program calendar (2) 100% quarterly M&amp;E reporting compliance</t>
  </si>
  <si>
    <t>Keep offerings relevant and future-facing</t>
  </si>
  <si>
    <t>(1) Refresh program design/curriculum at least 2 times yearly (2) Pilot at least 1 new high-impact program</t>
  </si>
  <si>
    <t>Improve participant and partner experience</t>
  </si>
  <si>
    <t>(1) Participant satisfaction at or above X% (2) Program completion/retention rate at or above X%</t>
  </si>
  <si>
    <t>Enable mission delivery through reliable operations</t>
  </si>
  <si>
    <t>Deliver cost discipline and value-for-money operations</t>
  </si>
  <si>
    <t>(1) Keep controllable opex within approved threshold (2) Achieve measurable procurement savings of X%</t>
  </si>
  <si>
    <t>Improve reliability and service quality</t>
  </si>
  <si>
    <t>(1) Achieve at least 95% SLA performance across core services (2) Facility uptime at or above X% (3) Vendor scorecard at or above X%</t>
  </si>
  <si>
    <t>Digitize and standardize operations</t>
  </si>
  <si>
    <t>(1) Implement at least 3 operations automation/process improvements (2) Reduce key process cycle times by X%</t>
  </si>
  <si>
    <t>Improve internal and external service experience</t>
  </si>
  <si>
    <t>(1) Improve service satisfaction score to at least X% (2) Reduce complaint resolution time by X%</t>
  </si>
  <si>
    <t>Enterprise Goals</t>
  </si>
  <si>
    <t>Drive governance and reporting discipline</t>
  </si>
  <si>
    <t>(1) QBR pack produced monthly with 100% timeliness (2) ≥95% action closure rate on MD/leadership actions</t>
  </si>
  <si>
    <t>Improve project execution efficiency</t>
  </si>
  <si>
    <t>(1) Track project spend variance monthly (2) Reduce avoidable execution delays/cost overruns by X%</t>
  </si>
  <si>
    <t>Strengthen cross-functional coordination cadence</t>
  </si>
  <si>
    <t>(1) Meeting notes and action logs issued within 24 hours (2) Cross-team dependencies resolved within agreed SLAs</t>
  </si>
  <si>
    <t>Improve delivery systems and reporting quality</t>
  </si>
  <si>
    <t>(1) Implement at least 2 project governance/process upgrades (2) Standardize reporting templates across workstreams</t>
  </si>
  <si>
    <t>Improve leadership and team service responsiveness</t>
  </si>
  <si>
    <t>(1) Executive stakeholder satisfaction at or above X% (2) Reduce turnaround time for critical requests by X%</t>
  </si>
  <si>
    <t>Provide stable tech backbone for hub success</t>
  </si>
  <si>
    <t>(1) Maintain ≥99% uptime for core systems (2) Zero critical tech outages impacting programs</t>
  </si>
  <si>
    <t>Optimize IT spend and vendor value</t>
  </si>
  <si>
    <t>(1) Keep IT spend within approved budget (2) Deliver X% savings through license/vendor optimization</t>
  </si>
  <si>
    <t>Improve IT support reliability and speed</t>
  </si>
  <si>
    <t>(1) Ticket SLA compliance at or above X% (2) Mean resolution time at or below target</t>
  </si>
  <si>
    <t>Modernize digital systems and controls</t>
  </si>
  <si>
    <t>(1) Deliver at least 2 priority IT improvements (2) Complete periodic security/compliance checks</t>
  </si>
  <si>
    <t>Improve user technology experience</t>
  </si>
  <si>
    <t>(1) User satisfaction score at or above X% (2) Reduce repeat support issues by X%</t>
  </si>
  <si>
    <t>Deliver high-performing cohorts &amp; measurable outcomes</t>
  </si>
  <si>
    <t>(1) Achieve cohort outcomes targets (2) Produce monthly impact report</t>
  </si>
  <si>
    <t>Manage program budgets efficiently</t>
  </si>
  <si>
    <t>(1) Keep program budget variance within ±X% (2) Improve cost effectiveness per cohort by X%</t>
  </si>
  <si>
    <t>Deliver programs on time and to standard</t>
  </si>
  <si>
    <t>(1) At least 95% activity-level schedule adherence (2) Timely issue/risk escalation and closure</t>
  </si>
  <si>
    <t>Improve program design through evidence</t>
  </si>
  <si>
    <t>(1) Implement at least 2 improvements based on participant/partner feedback</t>
  </si>
  <si>
    <t>(1) Participant satisfaction at or above X% (2) Partner feedback score at or above X%</t>
  </si>
  <si>
    <t>Grow and activate IIH community ecosystem</t>
  </si>
  <si>
    <t>(1) Increase active community participation by X% year-on-year</t>
  </si>
  <si>
    <t>Support revenue and retention through community value</t>
  </si>
  <si>
    <t>(1) Improve paying member retention by X% (2) Support conversion pipeline from community activities</t>
  </si>
  <si>
    <t>Deliver consistent community operations</t>
  </si>
  <si>
    <t>(1) Execute planned community calendar at or above 95% adherence (2) Maintain accurate engagement reporting monthly</t>
  </si>
  <si>
    <t>Experiment with new engagement formats</t>
  </si>
  <si>
    <t>(1) Pilot at least 2 new engagement formats with documented outcomes</t>
  </si>
  <si>
    <t>Improve member/community satisfaction</t>
  </si>
  <si>
    <t>(1) Achieve target community satisfaction score (2) Reduce response time to member queries by X%</t>
  </si>
  <si>
    <t>Elevate IIH visibility and strategic messaging</t>
  </si>
  <si>
    <t>(1) Publish quarterly impact storytelling reports (2) Improve media/PR outcomes by X%</t>
  </si>
  <si>
    <t>Support business development with content assets</t>
  </si>
  <si>
    <t>(1) Produce at least X sponsor/investor-ready content packs per quarter</t>
  </si>
  <si>
    <t>Improve content production consistency</t>
  </si>
  <si>
    <t>(1) Maintain content calendar adherence at or above 95% (2) Reduce turnaround time by X%</t>
  </si>
  <si>
    <t>Expand formats and quality standards</t>
  </si>
  <si>
    <t>(1) Introduce at least 2 new storytelling formats (2) Maintain quality review process compliance</t>
  </si>
  <si>
    <t>Improve stakeholder communication quality</t>
  </si>
  <si>
    <t>(1) Stakeholder communication quality score at or above X%</t>
  </si>
  <si>
    <t>Grow IIH digital footprint and brand relevance</t>
  </si>
  <si>
    <t>(1) Reach growth +X% (2) Engagement rate ≥X%</t>
  </si>
  <si>
    <t>Support sponsorship visibility and campaign outcomes</t>
  </si>
  <si>
    <t>(1) Deliver campaign visibility commitments for at least X partners</t>
  </si>
  <si>
    <t>Ensure disciplined digital publishing operations</t>
  </si>
  <si>
    <t>(1) Weekly analytics reports delivered 100% on time (2) Posting cadence adherence at or above 95%</t>
  </si>
  <si>
    <t>Test and optimize channel performance</t>
  </si>
  <si>
    <t>(1) Run at least 2 structured experiments per quarter and apply learnings</t>
  </si>
  <si>
    <t>Improve responsiveness and audience trust</t>
  </si>
  <si>
    <t>(1) Community response-time SLA met at or above X%</t>
  </si>
  <si>
    <t>Ensure financial integrity supporting mission</t>
  </si>
  <si>
    <t>(1) 100% accurate monthly reports submitted on time</t>
  </si>
  <si>
    <t>Strengthen controls and compliance</t>
  </si>
  <si>
    <t>(1) Zero preventable reconciliation breaks (2) Budget variance tracking completed monthly</t>
  </si>
  <si>
    <t>Improve finance process turnaround</t>
  </si>
  <si>
    <t>(1) Payment processing within agreed SLA (2) Payroll/input accuracy at 100%</t>
  </si>
  <si>
    <t>Improve tooling and reporting workflows</t>
  </si>
  <si>
    <t>(1) Implement at least 2 finance process improvements/automations</t>
  </si>
  <si>
    <t>Improve service quality to staff/vendors</t>
  </si>
  <si>
    <t>(1) Internal finance service satisfaction at or above X%</t>
  </si>
  <si>
    <t>Support smooth delivery of program operations</t>
  </si>
  <si>
    <t>(1) Program documentation and trackers maintained at 100% completeness</t>
  </si>
  <si>
    <t>Support efficient use of program resources</t>
  </si>
  <si>
    <t>(1) Timely and accurate support for budget/input documentation</t>
  </si>
  <si>
    <t>Improve administrative reliability</t>
  </si>
  <si>
    <t>(1) Logistics/readiness checklist compliance at or above 95%</t>
  </si>
  <si>
    <t>Improve execution support methods</t>
  </si>
  <si>
    <t>(1) Implement at least 1 improvement to coordination workflow each quarter</t>
  </si>
  <si>
    <t>Support positive participant experience</t>
  </si>
  <si>
    <t>(1) Resolve participant/admin requests within agreed SLA</t>
  </si>
  <si>
    <t>Ensure hub admin stability</t>
  </si>
  <si>
    <t>(1) 95% SLA achievement for admin requests</t>
  </si>
  <si>
    <t>Support administrative cost control</t>
  </si>
  <si>
    <t>(1) Track and report admin cost efficiency opportunities monthly</t>
  </si>
  <si>
    <t>Improve records, scheduling and coordination</t>
  </si>
  <si>
    <t>(1) Administrative cycle time reduced by X% (2) Documentation accuracy maintained at high standard</t>
  </si>
  <si>
    <t>Digitize and standardize admin operations</t>
  </si>
  <si>
    <t>(1) Maintain up-to-date digital registers/logs for key admin processes</t>
  </si>
  <si>
    <t>Improve internal service satisfaction</t>
  </si>
  <si>
    <t>(1) Internal admin service satisfaction at or above X%</t>
  </si>
  <si>
    <t>Enable people stability and culture</t>
  </si>
  <si>
    <t>(1) Hiring cycle delivery within X days</t>
  </si>
  <si>
    <t>Improve HR process efficiency</t>
  </si>
  <si>
    <t>(1) Track recruitment/process cost efficiency and reduce avoidable delays</t>
  </si>
  <si>
    <t>Improve HR process compliance</t>
  </si>
  <si>
    <t>(1) Employee records completeness at 100% (2) Hiring/admin process SLA adherence at or above X%</t>
  </si>
  <si>
    <t>Strengthen HR systems and templates</t>
  </si>
  <si>
    <t>(1) Implement at least 2 HR process/document improvements</t>
  </si>
  <si>
    <t>Improve employee HR service experience</t>
  </si>
  <si>
    <t>(1) Employee HR service satisfaction at or above X%</t>
  </si>
  <si>
    <t>Support reliable facility operations and safety</t>
  </si>
  <si>
    <t>(1) Maintain safe, functional environment for staff/users</t>
  </si>
  <si>
    <t>Improve facility cost efficiency</t>
  </si>
  <si>
    <t>(1) Track maintenance spend and reduce avoidable costs by X%</t>
  </si>
  <si>
    <t>Improve maintenance and service responsiveness</t>
  </si>
  <si>
    <t>(1) Work-order closure within SLA at or above X% (2) Preventive maintenance adherence at or above X%</t>
  </si>
  <si>
    <t>Improve maintenance planning and vendor coordination</t>
  </si>
  <si>
    <t>(1) Introduce and maintain preventive maintenance tracker and scorecards</t>
  </si>
  <si>
    <t>Improve facility service experience</t>
  </si>
  <si>
    <t>(1) User complaints related to facilities reduced by X%</t>
  </si>
  <si>
    <t>Provide dependable first-line technical support</t>
  </si>
  <si>
    <t>(1) Support continuity of digital operations with timely issue handling</t>
  </si>
  <si>
    <t>Support efficient use of IT resources</t>
  </si>
  <si>
    <t>(1) Assist in inventory/license tracking with minimal losses/waste</t>
  </si>
  <si>
    <t>Improve support performance</t>
  </si>
  <si>
    <t>(1) Ticket handling SLA at or above X% (2) First-contact resolution improved by X%</t>
  </si>
  <si>
    <t>Build technical troubleshooting capability</t>
  </si>
  <si>
    <t>(1) Complete agreed technical upskilling milestones and apply to support tasks</t>
  </si>
  <si>
    <t>Improve end-user support experience</t>
  </si>
  <si>
    <t>(1) End-user support satisfaction at or above X%</t>
  </si>
  <si>
    <t>Produce high-quality visual outputs for IIH priorities</t>
  </si>
  <si>
    <t>(1) Deliver priority design assets aligned to program and brand goals</t>
  </si>
  <si>
    <t>Improve value from media/design outputs</t>
  </si>
  <si>
    <t>(1) Reduce external design dependency cost by X% via in-house delivery</t>
  </si>
  <si>
    <t>Improve production workflow and predictability</t>
  </si>
  <si>
    <t>(1) Deliver approved briefs within agreed timelines at or above X%</t>
  </si>
  <si>
    <t>Expand design and multimedia capabilities</t>
  </si>
  <si>
    <t>(1) Introduce at least 2 improved visual formats/styles with measurable engagement lift</t>
  </si>
  <si>
    <t>Improve stakeholder experience with design support</t>
  </si>
  <si>
    <t>(1) Internal stakeholder satisfaction with design support at or above X%</t>
  </si>
  <si>
    <t>IT Support</t>
  </si>
  <si>
    <t>Maintain day-to-day IT service continuity</t>
  </si>
  <si>
    <t>(1) Ensure stable support coverage for core user needs</t>
  </si>
  <si>
    <t>Support cost-conscious operations</t>
  </si>
  <si>
    <t>(1) Minimize repeat issues and avoidable replacement costs by X%</t>
  </si>
  <si>
    <t>Deliver responsive support service</t>
  </si>
  <si>
    <t>(1) Ticket response and resolution SLAs achieved at or above X%</t>
  </si>
  <si>
    <t>Improve troubleshooting and documentation quality</t>
  </si>
  <si>
    <t>(1) Maintain updated knowledge base for recurring issues</t>
  </si>
  <si>
    <t>Improve user confidence in support services</t>
  </si>
  <si>
    <t>(1) User support satisfaction at or above X%</t>
  </si>
  <si>
    <t>Support day-to-day facility readiness and hygiene</t>
  </si>
  <si>
    <t>(1) Maintain operational readiness of assigned facility areas</t>
  </si>
  <si>
    <t>Support efficient consumables and service usage</t>
  </si>
  <si>
    <t>(1) Reduce avoidable wastage in consumables/utilities by X%</t>
  </si>
  <si>
    <t>Deliver routine support tasks consistently</t>
  </si>
  <si>
    <t>(1) Assigned task completion rate at or above 95%</t>
  </si>
  <si>
    <t>Improve practical work methods and safety practice</t>
  </si>
  <si>
    <t>(1) Follow and improve standard operating procedures with supervisor guidance</t>
  </si>
  <si>
    <t>Improve facility user experience</t>
  </si>
  <si>
    <t>(1) Facility-related complaints in assigned areas reduced by X%</t>
  </si>
  <si>
    <t>Provide professional first-point engagement for IIH</t>
  </si>
  <si>
    <t>(1) Maintain high-quality reception and visitor handling standards</t>
  </si>
  <si>
    <t>Support accurate records for service utilization</t>
  </si>
  <si>
    <t>(1) Maintain complete and accurate front-desk logs/reporting</t>
  </si>
  <si>
    <t>Improve front-desk process consistency</t>
  </si>
  <si>
    <t>(1) Visitor check-in/check-out SLA at or above X%</t>
  </si>
  <si>
    <t>Improve service and communication practices</t>
  </si>
  <si>
    <t>(1) Implement agreed service-improvement actions each quarter</t>
  </si>
  <si>
    <t>Improve visitor and stakeholder experience</t>
  </si>
  <si>
    <t>(1) Front-desk satisfaction score at or above X%</t>
  </si>
  <si>
    <t>Hospitality Support</t>
  </si>
  <si>
    <t>Deliver consistent hospitality support for events and daily operations</t>
  </si>
  <si>
    <t>(1) Ensure readiness and service standards for all assigned sessions/events</t>
  </si>
  <si>
    <t>Support cost-effective hospitality operations</t>
  </si>
  <si>
    <t>(1) Minimize avoidable hospitality waste by X%</t>
  </si>
  <si>
    <t>Improve service execution consistency</t>
  </si>
  <si>
    <t>(1) Task completion and setup readiness at or above 95%</t>
  </si>
  <si>
    <t>Improve service quality practices</t>
  </si>
  <si>
    <t>(1) Adopt and maintain service SOP/checklist standards</t>
  </si>
  <si>
    <t>Improve participant/guest service experience</t>
  </si>
  <si>
    <t>(1) Hospitality service satisfaction at or above X%</t>
  </si>
  <si>
    <t>Provide safe and reliable transport support</t>
  </si>
  <si>
    <t>(1) Maintain punctual and incident-free transport operations</t>
  </si>
  <si>
    <t>Support transport cost discipline</t>
  </si>
  <si>
    <t>(1) Improve route/fuel efficiency by X% while maintaining service quality</t>
  </si>
  <si>
    <t>Improve transport planning and compliance</t>
  </si>
  <si>
    <t>(1) On-time trip completion at or above X% (2) Vehicle logbook and maintenance compliance at 100%</t>
  </si>
  <si>
    <t>Improve safety and service professionalism</t>
  </si>
  <si>
    <t>(1) Complete required safety/compliance refreshers and apply standards consistently</t>
  </si>
  <si>
    <t>Improve transport service experience</t>
  </si>
  <si>
    <t>(1) Internal customer transport satisfaction at or above X%</t>
  </si>
  <si>
    <t>Excellent. We’ll do this properly and build a complete, board-ready grading architecture for IIH using:</t>
  </si>
  <si>
    <t>Grades 1–6</t>
  </si>
  <si>
    <t>Sub-bands A / B / C</t>
  </si>
  <si>
    <t>Promotion logic</t>
  </si>
  <si>
    <t>Salary band logic (no figures)</t>
  </si>
  <si>
    <t>Mapping current roles</t>
  </si>
  <si>
    <t>Governance guardrails</t>
  </si>
  <si>
    <t>This will be clean, scalable, and defensible.</t>
  </si>
  <si>
    <t>PART 1 — FINAL IIH GRADING ARCHITECTURE</t>
  </si>
  <si>
    <t>Direction of Scale</t>
  </si>
  <si>
    <t>Grade 1A = Most senior</t>
  </si>
  <si>
    <t>Grade 6C = Entry level</t>
  </si>
  <si>
    <t>There are 18 total progression levels.</t>
  </si>
  <si>
    <t>Grade Framework (Structural Meaning)</t>
  </si>
  <si>
    <t>🔵 Grade 1 — Enterprise Leadership</t>
  </si>
  <si>
    <t>Owns strategy, funding, institutional reputation.</t>
  </si>
  <si>
    <t>1A – Mature institutional leader</t>
  </si>
  <si>
    <t>1B – Established enterprise lead</t>
  </si>
  <si>
    <t>1C – Scaling enterprise leader</t>
  </si>
  <si>
    <t>🔷 Grade 2 — Department Heads</t>
  </si>
  <si>
    <t>Own budgets, people, and departmental outcomes.</t>
  </si>
  <si>
    <t>2A – High-performing department head</t>
  </si>
  <si>
    <t>2B – Stable department leader</t>
  </si>
  <si>
    <t>2C – Newly appointed department head</t>
  </si>
  <si>
    <t>🟢 Grade 3 — Function / Delivery Owners</t>
  </si>
  <si>
    <t>Own execution engines; may manage teams.</t>
  </si>
  <si>
    <t>3A – Mature function owner managing managers</t>
  </si>
  <si>
    <t>3B – Established manager</t>
  </si>
  <si>
    <t>3C – New manager</t>
  </si>
  <si>
    <t>🟣 Grade 4 — Senior Specialists</t>
  </si>
  <si>
    <t>High expertise, high autonomy, limited people management.</t>
  </si>
  <si>
    <t>4A – Cross-functional influence</t>
  </si>
  <si>
    <t>4B – Independent specialist</t>
  </si>
  <si>
    <t>4C – Developing specialist</t>
  </si>
  <si>
    <t>🟡 Grade 5 — Associates</t>
  </si>
  <si>
    <t>Execution support with growing autonomy.</t>
  </si>
  <si>
    <t>5A – Highly independent associate</t>
  </si>
  <si>
    <t>5B – Competent associate</t>
  </si>
  <si>
    <t>5C – Entry associate</t>
  </si>
  <si>
    <t>⚪ Grade 6 — Support</t>
  </si>
  <si>
    <t>Operational support roles.</t>
  </si>
  <si>
    <t>6A – Experienced support</t>
  </si>
  <si>
    <t>6B – Trained support</t>
  </si>
  <si>
    <t>6C – Entry support</t>
  </si>
  <si>
    <t>PART 2 — SALARY BAND LOGIC (WITHOUT NUMBERS)</t>
  </si>
  <si>
    <t>Each grade has a salary range. A/B/C represent position within that range.</t>
  </si>
  <si>
    <t>Structure</t>
  </si>
  <si>
    <t>Each grade has a band width</t>
  </si>
  <si>
    <t>C = 80–90% of band midpoint</t>
  </si>
  <si>
    <t>B = 90–105%</t>
  </si>
  <si>
    <t>A = 105–120%</t>
  </si>
  <si>
    <t>Promotion from:</t>
  </si>
  <si>
    <t>4A → 3C (new grade reset to lower band)</t>
  </si>
  <si>
    <t>Not 4A → 3B automatically</t>
  </si>
  <si>
    <t>Important rule:</t>
  </si>
  <si>
    <t>No Grade 6A earns more than Grade 5C.</t>
  </si>
  <si>
    <t>That protects structural integrity.</t>
  </si>
  <si>
    <t>PART 3 — PROMOTION CRITERIA MATRIX</t>
  </si>
  <si>
    <t>Promotion must be based on capability expansion, not tenure.</t>
  </si>
  <si>
    <t>Movement Within Same Grade (C → B → A)</t>
  </si>
  <si>
    <t>Requires:</t>
  </si>
  <si>
    <t>1. 2 consecutive strong performance cycles</t>
  </si>
  <si>
    <t>2. Demonstrated autonomy increase</t>
  </si>
  <si>
    <t>3. Expanded complexity handled</t>
  </si>
  <si>
    <t>4. No compliance issues</t>
  </si>
  <si>
    <t>Movement Across Grades</t>
  </si>
  <si>
    <t>1. Role redesign or scope expansion</t>
  </si>
  <si>
    <t>2. Budget or people management increase</t>
  </si>
  <si>
    <t>3. Higher decision authority</t>
  </si>
  <si>
    <t>4. Approval from MD + Admin Head</t>
  </si>
  <si>
    <t>No automatic promotion for years served.</t>
  </si>
  <si>
    <t>PART 4 — MAPPING CURRENT IIH ROLES INTO NEW STRUCTURE</t>
  </si>
  <si>
    <t>Grade 1</t>
  </si>
  <si>
    <t>Managing Director → 1B (until institution fully mature)</t>
  </si>
  <si>
    <t>Grade 2</t>
  </si>
  <si>
    <t>Programs Lead → 2B</t>
  </si>
  <si>
    <t>Operations Lead → 2B</t>
  </si>
  <si>
    <t>Admin Lead (if exists) → 2B</t>
  </si>
  <si>
    <t>Grade 3</t>
  </si>
  <si>
    <t>Program Manager → 3B</t>
  </si>
  <si>
    <t>IT Manager → 3B</t>
  </si>
  <si>
    <t>Community Manager → 3B</t>
  </si>
  <si>
    <t>Executive Assistant &amp; Project Manager → 3C–3B</t>
  </si>
  <si>
    <t>Grade 4</t>
  </si>
  <si>
    <t>Finance Associate → 4B</t>
  </si>
  <si>
    <t>Content Lead → 4B</t>
  </si>
  <si>
    <t>Social Media Manager → 4C</t>
  </si>
  <si>
    <t>HR Associate → 4C</t>
  </si>
  <si>
    <t>Grade 5</t>
  </si>
  <si>
    <t>Program Associate → 5B</t>
  </si>
  <si>
    <t>Admin Associate → 5B</t>
  </si>
  <si>
    <t>IT Associate → 5B</t>
  </si>
  <si>
    <t>Graphic Designer → 5B</t>
  </si>
  <si>
    <t>Facility Associate → 5B</t>
  </si>
  <si>
    <t>PART 5 — GOVERNANCE RULES (CRITICAL)</t>
  </si>
  <si>
    <t>To prevent grade inflation:</t>
  </si>
  <si>
    <t>1. Only MD + Head of Admin approve grade changes.</t>
  </si>
  <si>
    <t>2. Titles cannot be created without grade mapping.</t>
  </si>
  <si>
    <t>3. Annual grade audit required.</t>
  </si>
  <si>
    <t>4. Any new role must be point-scored before approval.</t>
  </si>
  <si>
    <t>5. Sub-band movement limited to once per year.</t>
  </si>
  <si>
    <t>PART 6 — WHY THIS SYSTEM WORKS</t>
  </si>
  <si>
    <t>It:</t>
  </si>
  <si>
    <t>Prevents title inflation</t>
  </si>
  <si>
    <t>Protects cost structure</t>
  </si>
  <si>
    <t>Encourages performance progression</t>
  </si>
  <si>
    <t>Creates transparent promotion pathways</t>
  </si>
  <si>
    <t>Supports NGO governance requirements</t>
  </si>
  <si>
    <t>Scales without redesign</t>
  </si>
  <si>
    <t>PART 7 — WHAT THIS DOES FOR A START-UP HUB</t>
  </si>
  <si>
    <t>Allows growth without chaos</t>
  </si>
  <si>
    <t>Avoids premature hierarchy</t>
  </si>
  <si>
    <t>Makes cost forecasting predictable</t>
  </si>
  <si>
    <t>Keeps structure lean</t>
  </si>
  <si>
    <t>Aligns with donor scrutiny</t>
  </si>
  <si>
    <t>FINAL STRUCTURE SNAPSHOT</t>
  </si>
  <si>
    <t>Grade 1A–C  → Enterprise</t>
  </si>
  <si>
    <t>Grade 2A–C  → Department Heads</t>
  </si>
  <si>
    <t>Grade 3A–C  → Managers</t>
  </si>
  <si>
    <t>Grade 4A–C  → Senior Specialists</t>
  </si>
  <si>
    <t>Grade 5A–C  → Associates</t>
  </si>
  <si>
    <t>Grade 6A–C  → Support</t>
  </si>
  <si>
    <t>If you want next, I can:</t>
  </si>
  <si>
    <t>Draft the formal grading policy document (board-ready)</t>
  </si>
  <si>
    <t>Create a salary modelling worksheet structure</t>
  </si>
  <si>
    <t>Build a promotion eligibility checklist template</t>
  </si>
  <si>
    <t>Or stress-test whether IIH is top-heavy under this system</t>
  </si>
  <si>
    <t>Tell me which direction you want next.</t>
  </si>
  <si>
    <t>4C</t>
  </si>
  <si>
    <t>Front Desk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</si>
</sst>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24"/>
      <color theme="1"/>
      <name val="Calibri"/>
      <family val="2"/>
    </font>
    <font>
      <b/>
      <sz val="18"/>
      <color theme="1"/>
      <name val="Calibri"/>
      <family val="2"/>
    </font>
    <font>
      <sz val="10"/>
      <color theme="1"/>
      <name val="Arimo"/>
    </font>
    <font>
      <b/>
      <sz val="11"/>
      <name val="Calibri"/>
      <family val="2"/>
    </font>
    <font>
      <sz val="10"/>
      <color rgb="FF000000"/>
      <name val="Avenir Book"/>
      <family val="2"/>
    </font>
    <font>
      <b/>
      <sz val="12"/>
      <color theme="1"/>
      <name val="Avenir Book"/>
      <family val="2"/>
    </font>
    <font>
      <b/>
      <sz val="11"/>
      <color theme="1"/>
      <name val="Avenir Book"/>
      <family val="2"/>
    </font>
    <font>
      <sz val="11"/>
      <color theme="1"/>
      <name val="Avenir Book"/>
      <family val="2"/>
    </font>
    <font>
      <sz val="12"/>
      <color theme="1"/>
      <name val="Avenir Book"/>
      <family val="2"/>
    </font>
    <font>
      <b/>
      <sz val="13"/>
      <color theme="1"/>
      <name val="Avenir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1"/>
  </cellStyleXfs>
  <cellXfs count="73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2" fontId="1" fillId="0" borderId="0" xfId="0" applyNumberFormat="1" applyFont="1" applyBorder="1"/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/>
    <xf numFmtId="2" fontId="2" fillId="0" borderId="0" xfId="0" applyNumberFormat="1" applyFont="1" applyBorder="1"/>
    <xf numFmtId="0" fontId="8" fillId="3" borderId="0" xfId="0" applyFont="1" applyFill="1" applyBorder="1"/>
    <xf numFmtId="0" fontId="9" fillId="0" borderId="0" xfId="0" applyFont="1" applyBorder="1"/>
    <xf numFmtId="0" fontId="10" fillId="2" borderId="1" xfId="0" applyFont="1" applyFill="1" applyAlignment="1">
      <alignment horizontal="left" vertical="center" wrapText="1"/>
    </xf>
    <xf numFmtId="0" fontId="11" fillId="2" borderId="1" xfId="0" applyFont="1" applyFill="1" applyAlignment="1">
      <alignment horizontal="left" vertical="center" wrapText="1"/>
    </xf>
    <xf numFmtId="0" fontId="11" fillId="2" borderId="1" xfId="0" applyFont="1" applyFill="1" applyAlignment="1">
      <alignment horizontal="center" vertical="center" wrapText="1"/>
    </xf>
    <xf numFmtId="0" fontId="12" fillId="0" borderId="0" xfId="0" applyFont="1" applyBorder="1"/>
    <xf numFmtId="0" fontId="13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4" fillId="0" borderId="0" xfId="0" applyFont="1" applyBorder="1" applyAlignment="1">
      <alignment vertical="center"/>
    </xf>
    <xf numFmtId="0" fontId="13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0" xfId="0" applyFont="1" applyBorder="1" applyAlignment="1">
      <alignment wrapText="1"/>
    </xf>
    <xf numFmtId="0" fontId="13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3" fillId="0" borderId="1" xfId="0" applyFont="1" applyAlignment="1">
      <alignment vertical="center" wrapText="1"/>
    </xf>
    <xf numFmtId="0" fontId="12" fillId="0" borderId="1" xfId="0" applyFont="1" applyAlignment="1">
      <alignment vertical="center" wrapText="1"/>
    </xf>
    <xf numFmtId="0" fontId="12" fillId="0" borderId="1" xfId="0" applyFont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13" fillId="0" borderId="0" xfId="0" applyFont="1" applyBorder="1"/>
    <xf numFmtId="0" fontId="12" fillId="0" borderId="0" xfId="0" applyFont="1" applyBorder="1" applyAlignment="1">
      <alignment horizontal="center"/>
    </xf>
    <xf numFmtId="0" fontId="13" fillId="4" borderId="6" xfId="0" applyFont="1" applyFill="1" applyBorder="1" applyAlignment="1">
      <alignment vertical="center" wrapText="1"/>
    </xf>
    <xf numFmtId="0" fontId="12" fillId="4" borderId="7" xfId="0" applyFont="1" applyFill="1" applyBorder="1" applyAlignment="1">
      <alignment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vertical="center" wrapText="1"/>
    </xf>
    <xf numFmtId="0" fontId="12" fillId="4" borderId="10" xfId="0" applyFont="1" applyFill="1" applyBorder="1" applyAlignment="1">
      <alignment vertical="center" wrapText="1"/>
    </xf>
    <xf numFmtId="0" fontId="12" fillId="4" borderId="0" xfId="0" applyFont="1" applyFill="1" applyBorder="1"/>
    <xf numFmtId="0" fontId="14" fillId="4" borderId="0" xfId="0" applyFont="1" applyFill="1" applyBorder="1" applyAlignment="1">
      <alignment vertical="center"/>
    </xf>
    <xf numFmtId="0" fontId="13" fillId="5" borderId="6" xfId="0" applyFont="1" applyFill="1" applyBorder="1" applyAlignment="1">
      <alignment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vertical="center" wrapText="1"/>
    </xf>
    <xf numFmtId="0" fontId="12" fillId="5" borderId="10" xfId="0" applyFont="1" applyFill="1" applyBorder="1" applyAlignment="1">
      <alignment vertical="center" wrapText="1"/>
    </xf>
    <xf numFmtId="0" fontId="12" fillId="5" borderId="1" xfId="0" applyFont="1" applyFill="1"/>
    <xf numFmtId="0" fontId="13" fillId="6" borderId="6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wrapText="1"/>
    </xf>
    <xf numFmtId="0" fontId="12" fillId="6" borderId="10" xfId="0" applyFont="1" applyFill="1" applyBorder="1" applyAlignment="1">
      <alignment vertical="center" wrapText="1"/>
    </xf>
    <xf numFmtId="0" fontId="12" fillId="6" borderId="0" xfId="0" applyFont="1" applyFill="1" applyBorder="1"/>
    <xf numFmtId="0" fontId="12" fillId="6" borderId="0" xfId="0" applyFont="1" applyFill="1" applyBorder="1" applyAlignment="1">
      <alignment wrapText="1"/>
    </xf>
    <xf numFmtId="0" fontId="13" fillId="7" borderId="6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vertical="center" wrapText="1"/>
    </xf>
    <xf numFmtId="0" fontId="12" fillId="7" borderId="10" xfId="0" applyFont="1" applyFill="1" applyBorder="1" applyAlignment="1">
      <alignment vertical="center" wrapText="1"/>
    </xf>
    <xf numFmtId="0" fontId="12" fillId="7" borderId="0" xfId="0" applyFont="1" applyFill="1" applyBorder="1"/>
    <xf numFmtId="0" fontId="14" fillId="7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5" sqref="B5"/>
    </sheetView>
  </sheetViews>
  <sheetFormatPr baseColWidth="10" defaultColWidth="14.5" defaultRowHeight="15" customHeight="1"/>
  <cols>
    <col min="1" max="1" width="65.6640625" customWidth="1"/>
    <col min="2" max="4" width="14" customWidth="1"/>
    <col min="5" max="6" width="12" customWidth="1"/>
  </cols>
  <sheetData>
    <row r="1" spans="1:26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175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176</v>
      </c>
      <c r="B4" s="1" t="s">
        <v>177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178</v>
      </c>
      <c r="B5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"&amp;Revised!G2:G1000))))</f>
        <v>26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 t="s">
        <v>179</v>
      </c>
      <c r="B6" s="1">
        <f>SUMPRODUCT(--(Revised!G2:G1000&lt;&gt;""),--(ISNUMBER(SEARCH("intern",LOWER(Revised!A2:A1000&amp;" "&amp;Revised!B2:B1000&amp;" "&amp;Revised!C2:C1000&amp;" "&amp;Revised!G2:G1000)))))</f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 t="s">
        <v>180</v>
      </c>
      <c r="B7" s="1">
        <f>SUMPRODUCT(--(Revised!G2:G1000&lt;&gt;""),--(ISNUMBER(SEARCH("corper",LOWER(Revised!A2:A1000&amp;" "&amp;Revised!B2:B1000&amp;" "&amp;Revised!C2:C1000&amp;" "&amp;Revised!G2:G1000)))+ISNUMBER(SEARCH("corp",LOWER(Revised!A2:A1000&amp;" "&amp;Revised!B2:B1000&amp;" "&amp;Revised!C2:C1000&amp;" "&amp;Revised!G2:G1000)))&gt;0),--ISERROR(SEARCH("intern",LOWER(Revised!A2:A1000&amp;" "&amp;Revised!B2:B1000&amp;" "&amp;Revised!C2:C1000&amp;" "&amp;Revised!G2:G1000))))</f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 t="s">
        <v>181</v>
      </c>
      <c r="B8" s="1">
        <f>B5+B6+B7</f>
        <v>32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182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 t="s">
        <v>183</v>
      </c>
      <c r="B11" s="1" t="s">
        <v>184</v>
      </c>
      <c r="C11" s="1" t="s">
        <v>185</v>
      </c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 t="s">
        <v>186</v>
      </c>
      <c r="B12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"&amp;Revised!G2:G1000))),--(LEFT(UPPER(Revised!H2:H1000),1)="M"))</f>
        <v>12</v>
      </c>
      <c r="C12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"&amp;Revised!G2:G1000))),--(LEFT(UPPER(Revised!H2:H1000),1)="F"))</f>
        <v>8</v>
      </c>
      <c r="D12" s="1">
        <f>B5-B12-C12</f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187</v>
      </c>
      <c r="B13" s="1">
        <f>SUMPRODUCT(--(Revised!G2:G1000&lt;&gt;""),--(LEFT(UPPER(Revised!H2:H1000),1)="M"))</f>
        <v>16</v>
      </c>
      <c r="C13" s="1">
        <f>SUMPRODUCT(--(Revised!G2:G1000&lt;&gt;""),--(LEFT(UPPER(Revised!H2:H1000),1)="F"))</f>
        <v>10</v>
      </c>
      <c r="D13" s="1">
        <f>B8-B13-C13</f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188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 t="s">
        <v>183</v>
      </c>
      <c r="B16" s="1" t="s">
        <v>20</v>
      </c>
      <c r="C16" s="1" t="s">
        <v>94</v>
      </c>
      <c r="D16" s="1"/>
      <c r="E16" s="1" t="s">
        <v>189</v>
      </c>
      <c r="F16" s="1" t="s">
        <v>190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 t="s">
        <v>186</v>
      </c>
      <c r="B17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"&amp;Revised!G2:G1000))),--ISNUMBER(SEARCH("kwara",LOWER(Revised!I2:I1000))),--ISERROR(SEARCH("non",LOWER(Revised!I2:I1000))))</f>
        <v>14</v>
      </c>
      <c r="C17" s="1">
        <f>SUMPRODUCT(--(Revised!G2:G1000&lt;&gt;""),--ISERROR(SEARCH("intern",LOWER(Revised!A2:A1000&amp;" "&amp;Revised!B2:B1000&amp;" "&amp;Revised!C2:C1000&amp;" "&amp;Revised!G2:G1000))),--ISERROR(SEARCH("corper",LOWER(Revised!A2:A1000&amp;" "&amp;Revised!B2:B1000&amp;" "&amp;Revised!C2:C1000&amp;" "&amp;Revised!G2:G1000))),--ISERROR(SEARCH("corp",LOWER(Revised!A2:A1000&amp;" "&amp;Revised!B2:B1000&amp;" "&amp;Revised!C2:C1000&amp;" "&amp;Revised!G2:G1000))),--ISNUMBER(SEARCH("non",LOWER(Revised!I2:I1000))),--ISNUMBER(SEARCH("kwara",LOWER(Revised!I2:I1000))))</f>
        <v>3</v>
      </c>
      <c r="D17" s="1">
        <f>B5-B17-C17</f>
        <v>9</v>
      </c>
      <c r="E17" s="4">
        <f>IF((B17+C17)=0,0,B17/(B17+C17)*100)</f>
        <v>82.35294117647058</v>
      </c>
      <c r="F17" s="4">
        <f>IF((B17+C17)=0,0,C17/(B17+C17)*100)</f>
        <v>17.647058823529413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187</v>
      </c>
      <c r="B18" s="1">
        <f>SUMPRODUCT(--(Revised!G2:G1000&lt;&gt;""),--ISNUMBER(SEARCH("kwara",LOWER(Revised!I2:I1000))),--ISERROR(SEARCH("non",LOWER(Revised!I2:I1000))))</f>
        <v>20</v>
      </c>
      <c r="C18" s="1">
        <f>SUMPRODUCT(--(Revised!G2:G1000&lt;&gt;""),--ISNUMBER(SEARCH("non",LOWER(Revised!I2:I1000))),--ISNUMBER(SEARCH("kwara",LOWER(Revised!I2:I1000))))</f>
        <v>3</v>
      </c>
      <c r="D18" s="1">
        <f>B8-B18-C18</f>
        <v>9</v>
      </c>
      <c r="E18" s="4">
        <f>IF((B18+C18)=0,0,B18/(B18+C18)*100)</f>
        <v>86.956521739130437</v>
      </c>
      <c r="F18" s="4">
        <f>IF((B18+C18)=0,0,C18/(B18+C18)*100)</f>
        <v>13.043478260869565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191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 t="s">
        <v>192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5" t="s">
        <v>193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" t="s">
        <v>194</v>
      </c>
      <c r="B23" s="2">
        <f>SUMPRODUCT(--(LOWER(Revised!E2:E1001)="yes"),--ISERROR(SEARCH("intern",LOWER(Revised!A2:A1001&amp;" "&amp;Revised!C2:C1001))),--ISERROR(SEARCH("corper",LOWER(Revised!A2:A1001&amp;" "&amp;Revised!C2:C1001))),--ISERROR(SEARCH("corp",LOWER(Revised!A2:A1001&amp;" "&amp;Revised!C2:C1001))))</f>
        <v>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 t="s">
        <v>195</v>
      </c>
      <c r="B24" s="2"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 t="s">
        <v>196</v>
      </c>
      <c r="B25" s="2">
        <f>B23</f>
        <v>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 t="s">
        <v>197</v>
      </c>
      <c r="B26" s="2">
        <f>MAX(0,ROUNDUP(0.7*(B5+B23),0)-B17)</f>
        <v>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 t="s">
        <v>198</v>
      </c>
      <c r="B27" s="2">
        <f>B26</f>
        <v>8</v>
      </c>
      <c r="C27" s="2">
        <f>MAX(0,B25-B26)</f>
        <v>0</v>
      </c>
      <c r="D27" s="2" t="s">
        <v>199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 t="s">
        <v>200</v>
      </c>
      <c r="B28" s="16">
        <f>IF((B5+B23)=0,0,(B17+B27)/(B5+B23)*100)</f>
        <v>70.967741935483872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4"/>
  <sheetViews>
    <sheetView topLeftCell="A10" workbookViewId="0">
      <selection activeCell="G19" sqref="G19"/>
    </sheetView>
  </sheetViews>
  <sheetFormatPr baseColWidth="10" defaultColWidth="14.5" defaultRowHeight="15" customHeight="1"/>
  <cols>
    <col min="1" max="1" width="33.1640625" style="22" customWidth="1"/>
    <col min="2" max="2" width="21.5" style="22" customWidth="1"/>
    <col min="3" max="3" width="14.5" style="22" customWidth="1"/>
    <col min="4" max="4" width="6.6640625" style="22" customWidth="1"/>
    <col min="5" max="5" width="6.83203125" style="22" customWidth="1"/>
    <col min="6" max="6" width="13.83203125" style="22" customWidth="1"/>
    <col min="7" max="7" width="37.5" style="22" customWidth="1"/>
    <col min="8" max="9" width="13.83203125" style="22" customWidth="1"/>
    <col min="10" max="10" width="27.33203125" style="22" customWidth="1"/>
    <col min="11" max="11" width="67.6640625" style="22" customWidth="1"/>
    <col min="12" max="12" width="64.1640625" style="22" hidden="1" customWidth="1"/>
    <col min="13" max="13" width="33.83203125" style="22" customWidth="1"/>
    <col min="14" max="14" width="13" style="22" customWidth="1"/>
    <col min="15" max="16" width="8.83203125" style="22" customWidth="1"/>
    <col min="17" max="17" width="24.1640625" style="22" customWidth="1"/>
    <col min="18" max="27" width="8.83203125" style="22" customWidth="1"/>
    <col min="28" max="28" width="14.5" style="22" customWidth="1"/>
    <col min="29" max="16384" width="14.5" style="22"/>
  </cols>
  <sheetData>
    <row r="1" spans="1:27" ht="65.25" customHeight="1">
      <c r="A1" s="19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spans="1:27" ht="15.75" customHeight="1">
      <c r="A2" s="23" t="s">
        <v>13</v>
      </c>
      <c r="B2" s="24" t="s">
        <v>14</v>
      </c>
      <c r="C2" s="25" t="s">
        <v>15</v>
      </c>
      <c r="D2" s="25" t="s">
        <v>16</v>
      </c>
      <c r="E2" s="25" t="s">
        <v>17</v>
      </c>
      <c r="F2" s="26"/>
      <c r="G2" s="26" t="s">
        <v>18</v>
      </c>
      <c r="H2" s="26" t="s">
        <v>19</v>
      </c>
      <c r="I2" s="26" t="s">
        <v>20</v>
      </c>
      <c r="J2" s="26" t="s">
        <v>21</v>
      </c>
      <c r="K2" s="26" t="s">
        <v>22</v>
      </c>
      <c r="L2" s="27" t="s">
        <v>23</v>
      </c>
      <c r="M2" s="26" t="s">
        <v>24</v>
      </c>
      <c r="Q2" s="28"/>
    </row>
    <row r="3" spans="1:27" ht="15.75" customHeight="1">
      <c r="A3" s="29" t="s">
        <v>25</v>
      </c>
      <c r="B3" s="30" t="s">
        <v>26</v>
      </c>
      <c r="C3" s="31" t="s">
        <v>27</v>
      </c>
      <c r="D3" s="31" t="s">
        <v>16</v>
      </c>
      <c r="E3" s="31" t="s">
        <v>17</v>
      </c>
      <c r="F3" s="32" t="s">
        <v>28</v>
      </c>
      <c r="G3" s="32" t="s">
        <v>29</v>
      </c>
      <c r="H3" s="32" t="s">
        <v>30</v>
      </c>
      <c r="I3" s="26" t="s">
        <v>20</v>
      </c>
      <c r="J3" s="33"/>
      <c r="K3" s="32" t="s">
        <v>31</v>
      </c>
      <c r="L3" s="34" t="s">
        <v>32</v>
      </c>
      <c r="M3" s="32" t="s">
        <v>33</v>
      </c>
    </row>
    <row r="4" spans="1:27" s="52" customFormat="1" ht="15.75" customHeight="1">
      <c r="A4" s="47" t="s">
        <v>34</v>
      </c>
      <c r="B4" s="48" t="s">
        <v>35</v>
      </c>
      <c r="C4" s="49" t="s">
        <v>27</v>
      </c>
      <c r="D4" s="49" t="s">
        <v>16</v>
      </c>
      <c r="E4" s="49" t="s">
        <v>16</v>
      </c>
      <c r="F4" s="50" t="s">
        <v>36</v>
      </c>
      <c r="G4" s="50" t="s">
        <v>37</v>
      </c>
      <c r="H4" s="50"/>
      <c r="I4" s="50"/>
      <c r="J4" s="50"/>
      <c r="K4" s="50" t="s">
        <v>38</v>
      </c>
      <c r="L4" s="51" t="s">
        <v>39</v>
      </c>
      <c r="M4" s="50" t="s">
        <v>40</v>
      </c>
      <c r="Q4" s="53"/>
    </row>
    <row r="5" spans="1:27" s="52" customFormat="1" ht="15.75" customHeight="1">
      <c r="A5" s="54" t="s">
        <v>41</v>
      </c>
      <c r="B5" s="54" t="s">
        <v>41</v>
      </c>
      <c r="C5" s="55" t="s">
        <v>547</v>
      </c>
      <c r="D5" s="55" t="s">
        <v>16</v>
      </c>
      <c r="E5" s="55" t="s">
        <v>16</v>
      </c>
      <c r="F5" s="56" t="s">
        <v>42</v>
      </c>
      <c r="G5" s="56" t="s">
        <v>37</v>
      </c>
      <c r="H5" s="56"/>
      <c r="I5" s="56"/>
      <c r="J5" s="56"/>
      <c r="K5" s="56" t="s">
        <v>43</v>
      </c>
      <c r="L5" s="57" t="s">
        <v>44</v>
      </c>
      <c r="M5" s="56" t="s">
        <v>45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spans="1:27" ht="15.75" customHeight="1">
      <c r="A6" s="29" t="s">
        <v>46</v>
      </c>
      <c r="B6" s="30" t="s">
        <v>46</v>
      </c>
      <c r="C6" s="31" t="s">
        <v>47</v>
      </c>
      <c r="D6" s="31" t="s">
        <v>16</v>
      </c>
      <c r="E6" s="31" t="s">
        <v>17</v>
      </c>
      <c r="F6" s="32" t="s">
        <v>36</v>
      </c>
      <c r="G6" s="32" t="s">
        <v>48</v>
      </c>
      <c r="H6" s="32" t="s">
        <v>19</v>
      </c>
      <c r="I6" s="32" t="s">
        <v>20</v>
      </c>
      <c r="J6" s="32"/>
      <c r="K6" s="32" t="s">
        <v>49</v>
      </c>
      <c r="L6" s="34" t="s">
        <v>50</v>
      </c>
      <c r="M6" s="32" t="s">
        <v>51</v>
      </c>
    </row>
    <row r="7" spans="1:27" ht="34" customHeight="1">
      <c r="A7" s="29" t="s">
        <v>52</v>
      </c>
      <c r="B7" s="30" t="s">
        <v>53</v>
      </c>
      <c r="C7" s="31" t="s">
        <v>47</v>
      </c>
      <c r="D7" s="31" t="s">
        <v>16</v>
      </c>
      <c r="E7" s="31" t="s">
        <v>17</v>
      </c>
      <c r="F7" s="32" t="s">
        <v>28</v>
      </c>
      <c r="G7" s="32" t="s">
        <v>54</v>
      </c>
      <c r="H7" s="32" t="s">
        <v>19</v>
      </c>
      <c r="I7" s="32" t="s">
        <v>20</v>
      </c>
      <c r="J7" s="32"/>
      <c r="K7" s="32" t="s">
        <v>55</v>
      </c>
      <c r="L7" s="34" t="s">
        <v>56</v>
      </c>
      <c r="M7" s="32" t="s">
        <v>57</v>
      </c>
    </row>
    <row r="8" spans="1:27" s="71" customFormat="1" ht="15.75" customHeight="1">
      <c r="A8" s="66" t="s">
        <v>58</v>
      </c>
      <c r="B8" s="67" t="s">
        <v>59</v>
      </c>
      <c r="C8" s="68" t="s">
        <v>60</v>
      </c>
      <c r="D8" s="68" t="s">
        <v>17</v>
      </c>
      <c r="E8" s="68" t="s">
        <v>16</v>
      </c>
      <c r="F8" s="69" t="s">
        <v>28</v>
      </c>
      <c r="G8" s="69" t="s">
        <v>37</v>
      </c>
      <c r="H8" s="69"/>
      <c r="I8" s="69"/>
      <c r="J8" s="69"/>
      <c r="K8" s="69" t="s">
        <v>61</v>
      </c>
      <c r="L8" s="70" t="s">
        <v>62</v>
      </c>
      <c r="M8" s="69" t="s">
        <v>63</v>
      </c>
      <c r="Q8" s="72"/>
    </row>
    <row r="9" spans="1:27" ht="51" customHeight="1">
      <c r="A9" s="29" t="s">
        <v>64</v>
      </c>
      <c r="B9" s="30" t="s">
        <v>65</v>
      </c>
      <c r="C9" s="31" t="s">
        <v>66</v>
      </c>
      <c r="D9" s="31" t="s">
        <v>16</v>
      </c>
      <c r="E9" s="31" t="s">
        <v>17</v>
      </c>
      <c r="F9" s="32" t="s">
        <v>28</v>
      </c>
      <c r="G9" s="32" t="s">
        <v>67</v>
      </c>
      <c r="H9" s="32" t="s">
        <v>19</v>
      </c>
      <c r="I9" s="32" t="s">
        <v>20</v>
      </c>
      <c r="J9" s="32"/>
      <c r="K9" s="32" t="s">
        <v>68</v>
      </c>
      <c r="L9" s="34" t="s">
        <v>69</v>
      </c>
      <c r="M9" s="32" t="s">
        <v>70</v>
      </c>
    </row>
    <row r="10" spans="1:27" ht="34" customHeight="1">
      <c r="A10" s="29" t="s">
        <v>71</v>
      </c>
      <c r="B10" s="30" t="s">
        <v>72</v>
      </c>
      <c r="C10" s="31" t="s">
        <v>73</v>
      </c>
      <c r="D10" s="31" t="s">
        <v>16</v>
      </c>
      <c r="E10" s="31" t="s">
        <v>17</v>
      </c>
      <c r="F10" s="32" t="s">
        <v>28</v>
      </c>
      <c r="G10" s="32" t="s">
        <v>74</v>
      </c>
      <c r="H10" s="32" t="s">
        <v>30</v>
      </c>
      <c r="I10" s="32" t="s">
        <v>75</v>
      </c>
      <c r="J10" s="32"/>
      <c r="K10" s="32" t="s">
        <v>76</v>
      </c>
      <c r="L10" s="34" t="s">
        <v>77</v>
      </c>
      <c r="M10" s="32" t="s">
        <v>78</v>
      </c>
    </row>
    <row r="11" spans="1:27" ht="34" customHeight="1">
      <c r="A11" s="29" t="s">
        <v>79</v>
      </c>
      <c r="B11" s="30" t="s">
        <v>80</v>
      </c>
      <c r="C11" s="31" t="s">
        <v>60</v>
      </c>
      <c r="D11" s="31" t="s">
        <v>16</v>
      </c>
      <c r="E11" s="31" t="s">
        <v>17</v>
      </c>
      <c r="F11" s="32" t="s">
        <v>81</v>
      </c>
      <c r="G11" s="32" t="s">
        <v>82</v>
      </c>
      <c r="H11" s="32" t="s">
        <v>30</v>
      </c>
      <c r="I11" s="32" t="s">
        <v>20</v>
      </c>
      <c r="J11" s="32"/>
      <c r="K11" s="32" t="s">
        <v>83</v>
      </c>
      <c r="L11" s="34" t="s">
        <v>84</v>
      </c>
      <c r="M11" s="32" t="s">
        <v>85</v>
      </c>
    </row>
    <row r="12" spans="1:27" s="52" customFormat="1" ht="15.75" customHeight="1">
      <c r="A12" s="47" t="s">
        <v>86</v>
      </c>
      <c r="B12" s="48" t="s">
        <v>87</v>
      </c>
      <c r="C12" s="49" t="s">
        <v>60</v>
      </c>
      <c r="D12" s="49" t="s">
        <v>16</v>
      </c>
      <c r="E12" s="49" t="s">
        <v>16</v>
      </c>
      <c r="F12" s="50" t="s">
        <v>28</v>
      </c>
      <c r="G12" s="50" t="s">
        <v>37</v>
      </c>
      <c r="H12" s="50"/>
      <c r="I12" s="50"/>
      <c r="J12" s="50"/>
      <c r="K12" s="50" t="s">
        <v>88</v>
      </c>
      <c r="L12" s="51" t="s">
        <v>89</v>
      </c>
      <c r="M12" s="50" t="s">
        <v>90</v>
      </c>
    </row>
    <row r="13" spans="1:27" ht="15.75" customHeight="1">
      <c r="A13" s="29" t="s">
        <v>91</v>
      </c>
      <c r="B13" s="30" t="s">
        <v>92</v>
      </c>
      <c r="C13" s="31" t="s">
        <v>60</v>
      </c>
      <c r="D13" s="31" t="s">
        <v>16</v>
      </c>
      <c r="E13" s="31" t="s">
        <v>17</v>
      </c>
      <c r="F13" s="32" t="s">
        <v>81</v>
      </c>
      <c r="G13" s="32" t="s">
        <v>93</v>
      </c>
      <c r="H13" s="32" t="s">
        <v>30</v>
      </c>
      <c r="I13" s="32" t="s">
        <v>94</v>
      </c>
      <c r="J13" s="32"/>
      <c r="K13" s="32" t="s">
        <v>95</v>
      </c>
      <c r="L13" s="34" t="s">
        <v>96</v>
      </c>
      <c r="M13" s="32" t="s">
        <v>97</v>
      </c>
      <c r="Q13" s="28"/>
    </row>
    <row r="14" spans="1:27" ht="15.75" customHeight="1">
      <c r="A14" s="29" t="s">
        <v>98</v>
      </c>
      <c r="B14" s="30" t="s">
        <v>99</v>
      </c>
      <c r="C14" s="31" t="s">
        <v>60</v>
      </c>
      <c r="D14" s="31" t="s">
        <v>16</v>
      </c>
      <c r="E14" s="31" t="s">
        <v>17</v>
      </c>
      <c r="F14" s="32" t="s">
        <v>81</v>
      </c>
      <c r="G14" s="32" t="s">
        <v>100</v>
      </c>
      <c r="H14" s="32" t="s">
        <v>30</v>
      </c>
      <c r="I14" s="32" t="s">
        <v>94</v>
      </c>
      <c r="J14" s="32"/>
      <c r="K14" s="32" t="s">
        <v>101</v>
      </c>
      <c r="L14" s="34" t="s">
        <v>102</v>
      </c>
      <c r="M14" s="32" t="s">
        <v>103</v>
      </c>
    </row>
    <row r="15" spans="1:27" ht="15.75" customHeight="1">
      <c r="A15" s="29" t="s">
        <v>104</v>
      </c>
      <c r="B15" s="30" t="s">
        <v>105</v>
      </c>
      <c r="C15" s="31" t="s">
        <v>60</v>
      </c>
      <c r="D15" s="31" t="s">
        <v>16</v>
      </c>
      <c r="E15" s="31" t="s">
        <v>17</v>
      </c>
      <c r="F15" s="32" t="s">
        <v>36</v>
      </c>
      <c r="G15" s="32" t="s">
        <v>106</v>
      </c>
      <c r="H15" s="32" t="s">
        <v>19</v>
      </c>
      <c r="I15" s="32" t="s">
        <v>20</v>
      </c>
      <c r="J15" s="32"/>
      <c r="K15" s="32" t="s">
        <v>107</v>
      </c>
      <c r="L15" s="34" t="s">
        <v>108</v>
      </c>
      <c r="M15" s="32" t="s">
        <v>109</v>
      </c>
    </row>
    <row r="16" spans="1:27" ht="34" customHeight="1">
      <c r="A16" s="29" t="s">
        <v>110</v>
      </c>
      <c r="B16" s="30" t="s">
        <v>111</v>
      </c>
      <c r="C16" s="31" t="s">
        <v>66</v>
      </c>
      <c r="D16" s="31" t="s">
        <v>16</v>
      </c>
      <c r="E16" s="31" t="s">
        <v>17</v>
      </c>
      <c r="F16" s="32" t="s">
        <v>28</v>
      </c>
      <c r="G16" s="32" t="s">
        <v>112</v>
      </c>
      <c r="H16" s="32" t="s">
        <v>19</v>
      </c>
      <c r="I16" s="32" t="s">
        <v>20</v>
      </c>
      <c r="J16" s="32"/>
      <c r="K16" s="32" t="s">
        <v>113</v>
      </c>
      <c r="L16" s="34" t="s">
        <v>114</v>
      </c>
      <c r="M16" s="32" t="s">
        <v>115</v>
      </c>
    </row>
    <row r="17" spans="1:17" ht="15.75" customHeight="1">
      <c r="A17" s="29" t="s">
        <v>116</v>
      </c>
      <c r="B17" s="30" t="s">
        <v>117</v>
      </c>
      <c r="C17" s="31" t="s">
        <v>66</v>
      </c>
      <c r="D17" s="31" t="s">
        <v>16</v>
      </c>
      <c r="E17" s="31" t="s">
        <v>17</v>
      </c>
      <c r="F17" s="32" t="s">
        <v>36</v>
      </c>
      <c r="G17" s="32" t="s">
        <v>118</v>
      </c>
      <c r="H17" s="32" t="s">
        <v>19</v>
      </c>
      <c r="I17" s="32" t="s">
        <v>94</v>
      </c>
      <c r="J17" s="32"/>
      <c r="K17" s="32" t="s">
        <v>119</v>
      </c>
      <c r="L17" s="34" t="s">
        <v>120</v>
      </c>
      <c r="M17" s="32" t="s">
        <v>121</v>
      </c>
      <c r="Q17" s="28"/>
    </row>
    <row r="18" spans="1:17" s="52" customFormat="1" ht="68" customHeight="1">
      <c r="A18" s="47" t="s">
        <v>122</v>
      </c>
      <c r="B18" s="48" t="s">
        <v>122</v>
      </c>
      <c r="C18" s="49" t="s">
        <v>73</v>
      </c>
      <c r="D18" s="49" t="s">
        <v>16</v>
      </c>
      <c r="E18" s="49" t="s">
        <v>16</v>
      </c>
      <c r="F18" s="50" t="s">
        <v>36</v>
      </c>
      <c r="G18" s="50" t="s">
        <v>37</v>
      </c>
      <c r="H18" s="50"/>
      <c r="I18" s="50"/>
      <c r="J18" s="50" t="s">
        <v>123</v>
      </c>
      <c r="K18" s="50" t="s">
        <v>124</v>
      </c>
      <c r="L18" s="51" t="s">
        <v>125</v>
      </c>
    </row>
    <row r="19" spans="1:17" ht="15.75" customHeight="1">
      <c r="A19" s="29" t="s">
        <v>116</v>
      </c>
      <c r="B19" s="30" t="s">
        <v>117</v>
      </c>
      <c r="C19" s="31" t="s">
        <v>66</v>
      </c>
      <c r="D19" s="31" t="s">
        <v>16</v>
      </c>
      <c r="E19" s="31" t="s">
        <v>17</v>
      </c>
      <c r="F19" s="32" t="s">
        <v>36</v>
      </c>
      <c r="G19" s="32" t="s">
        <v>126</v>
      </c>
      <c r="H19" s="32" t="s">
        <v>30</v>
      </c>
      <c r="I19" s="32" t="s">
        <v>20</v>
      </c>
      <c r="J19" s="32"/>
      <c r="K19" s="32" t="s">
        <v>119</v>
      </c>
      <c r="L19" s="34" t="s">
        <v>120</v>
      </c>
      <c r="M19" s="32" t="s">
        <v>121</v>
      </c>
    </row>
    <row r="20" spans="1:17" ht="15.75" customHeight="1">
      <c r="A20" s="29" t="s">
        <v>127</v>
      </c>
      <c r="B20" s="35" t="s">
        <v>128</v>
      </c>
      <c r="C20" s="31" t="s">
        <v>129</v>
      </c>
      <c r="D20" s="31" t="s">
        <v>16</v>
      </c>
      <c r="E20" s="31" t="s">
        <v>17</v>
      </c>
      <c r="F20" s="32" t="s">
        <v>36</v>
      </c>
      <c r="G20" s="32" t="s">
        <v>130</v>
      </c>
      <c r="H20" s="32" t="s">
        <v>19</v>
      </c>
      <c r="I20" s="32" t="s">
        <v>20</v>
      </c>
      <c r="J20" s="32"/>
      <c r="K20" s="32" t="s">
        <v>131</v>
      </c>
      <c r="L20" s="34" t="s">
        <v>132</v>
      </c>
      <c r="M20" s="32" t="s">
        <v>133</v>
      </c>
    </row>
    <row r="21" spans="1:17" s="64" customFormat="1" ht="68" customHeight="1">
      <c r="A21" s="59" t="s">
        <v>134</v>
      </c>
      <c r="B21" s="65" t="s">
        <v>134</v>
      </c>
      <c r="C21" s="61" t="s">
        <v>129</v>
      </c>
      <c r="D21" s="61" t="s">
        <v>16</v>
      </c>
      <c r="E21" s="61" t="s">
        <v>17</v>
      </c>
      <c r="F21" s="62" t="s">
        <v>36</v>
      </c>
      <c r="G21" s="62" t="s">
        <v>135</v>
      </c>
      <c r="H21" s="62"/>
      <c r="I21" s="62" t="s">
        <v>136</v>
      </c>
      <c r="J21" s="62" t="s">
        <v>137</v>
      </c>
      <c r="K21" s="62" t="s">
        <v>131</v>
      </c>
      <c r="L21" s="63" t="s">
        <v>132</v>
      </c>
    </row>
    <row r="22" spans="1:17" ht="15.75" customHeight="1">
      <c r="A22" s="29" t="s">
        <v>127</v>
      </c>
      <c r="B22" s="35" t="s">
        <v>128</v>
      </c>
      <c r="C22" s="31" t="s">
        <v>129</v>
      </c>
      <c r="D22" s="31" t="s">
        <v>16</v>
      </c>
      <c r="E22" s="31" t="s">
        <v>17</v>
      </c>
      <c r="F22" s="32" t="s">
        <v>36</v>
      </c>
      <c r="G22" s="32" t="s">
        <v>138</v>
      </c>
      <c r="H22" s="32" t="s">
        <v>19</v>
      </c>
      <c r="I22" s="32" t="s">
        <v>20</v>
      </c>
      <c r="J22" s="32"/>
      <c r="K22" s="32" t="s">
        <v>131</v>
      </c>
      <c r="L22" s="34" t="s">
        <v>132</v>
      </c>
      <c r="M22" s="32" t="s">
        <v>133</v>
      </c>
    </row>
    <row r="23" spans="1:17" ht="15.75" customHeight="1">
      <c r="A23" s="29" t="s">
        <v>127</v>
      </c>
      <c r="B23" s="35" t="s">
        <v>128</v>
      </c>
      <c r="C23" s="31" t="s">
        <v>129</v>
      </c>
      <c r="D23" s="31" t="s">
        <v>16</v>
      </c>
      <c r="E23" s="31" t="s">
        <v>17</v>
      </c>
      <c r="F23" s="32" t="s">
        <v>36</v>
      </c>
      <c r="G23" s="32" t="s">
        <v>139</v>
      </c>
      <c r="H23" s="32" t="s">
        <v>19</v>
      </c>
      <c r="I23" s="32" t="s">
        <v>20</v>
      </c>
      <c r="J23" s="32"/>
      <c r="K23" s="32" t="s">
        <v>131</v>
      </c>
      <c r="L23" s="34" t="s">
        <v>132</v>
      </c>
      <c r="M23" s="32" t="s">
        <v>133</v>
      </c>
    </row>
    <row r="24" spans="1:17" ht="15.75" customHeight="1">
      <c r="A24" s="29" t="s">
        <v>140</v>
      </c>
      <c r="B24" s="30" t="s">
        <v>548</v>
      </c>
      <c r="C24" s="31" t="s">
        <v>129</v>
      </c>
      <c r="D24" s="31" t="s">
        <v>16</v>
      </c>
      <c r="E24" s="31" t="s">
        <v>17</v>
      </c>
      <c r="F24" s="32" t="s">
        <v>81</v>
      </c>
      <c r="G24" s="32" t="s">
        <v>141</v>
      </c>
      <c r="H24" s="32" t="s">
        <v>30</v>
      </c>
      <c r="I24" s="32" t="s">
        <v>20</v>
      </c>
      <c r="J24" s="32"/>
      <c r="K24" s="32" t="s">
        <v>142</v>
      </c>
      <c r="L24" s="34" t="s">
        <v>143</v>
      </c>
      <c r="M24" s="32" t="s">
        <v>144</v>
      </c>
    </row>
    <row r="25" spans="1:17" s="64" customFormat="1" ht="68" customHeight="1">
      <c r="A25" s="59" t="s">
        <v>145</v>
      </c>
      <c r="B25" s="60" t="s">
        <v>145</v>
      </c>
      <c r="C25" s="61" t="s">
        <v>129</v>
      </c>
      <c r="D25" s="61" t="s">
        <v>16</v>
      </c>
      <c r="E25" s="61" t="s">
        <v>17</v>
      </c>
      <c r="F25" s="62" t="s">
        <v>81</v>
      </c>
      <c r="G25" s="62" t="s">
        <v>146</v>
      </c>
      <c r="H25" s="62" t="s">
        <v>30</v>
      </c>
      <c r="I25" s="62" t="s">
        <v>147</v>
      </c>
      <c r="J25" s="62" t="s">
        <v>148</v>
      </c>
      <c r="K25" s="62" t="s">
        <v>149</v>
      </c>
      <c r="L25" s="63" t="s">
        <v>150</v>
      </c>
      <c r="M25" s="62" t="s">
        <v>151</v>
      </c>
    </row>
    <row r="26" spans="1:17" ht="15.75" customHeight="1">
      <c r="A26" s="36" t="s">
        <v>152</v>
      </c>
      <c r="B26" s="37" t="s">
        <v>152</v>
      </c>
      <c r="C26" s="38" t="s">
        <v>153</v>
      </c>
      <c r="D26" s="31" t="s">
        <v>16</v>
      </c>
      <c r="E26" s="31" t="s">
        <v>17</v>
      </c>
      <c r="F26" s="39" t="s">
        <v>81</v>
      </c>
      <c r="G26" s="39" t="s">
        <v>154</v>
      </c>
      <c r="H26" s="39" t="s">
        <v>19</v>
      </c>
      <c r="I26" s="39" t="s">
        <v>20</v>
      </c>
      <c r="J26" s="39"/>
      <c r="K26" s="39" t="s">
        <v>155</v>
      </c>
      <c r="L26" s="40" t="s">
        <v>156</v>
      </c>
      <c r="M26" s="39" t="s">
        <v>157</v>
      </c>
    </row>
    <row r="27" spans="1:17" ht="15.75" customHeight="1" thickBot="1">
      <c r="A27" s="36" t="s">
        <v>152</v>
      </c>
      <c r="B27" s="37" t="s">
        <v>152</v>
      </c>
      <c r="C27" s="38" t="s">
        <v>153</v>
      </c>
      <c r="D27" s="31" t="s">
        <v>16</v>
      </c>
      <c r="E27" s="31" t="s">
        <v>17</v>
      </c>
      <c r="F27" s="39" t="s">
        <v>81</v>
      </c>
      <c r="G27" s="39" t="s">
        <v>158</v>
      </c>
      <c r="H27" s="39" t="s">
        <v>19</v>
      </c>
      <c r="I27" s="39" t="s">
        <v>75</v>
      </c>
      <c r="J27" s="39"/>
      <c r="K27" s="39" t="s">
        <v>155</v>
      </c>
      <c r="L27" s="40" t="s">
        <v>156</v>
      </c>
      <c r="M27" s="39" t="s">
        <v>157</v>
      </c>
    </row>
    <row r="28" spans="1:17" ht="15.75" customHeight="1">
      <c r="A28" s="41"/>
      <c r="B28" s="42"/>
      <c r="C28" s="43"/>
      <c r="D28" s="43"/>
      <c r="E28" s="43"/>
      <c r="F28" s="42"/>
      <c r="G28" s="42"/>
      <c r="H28" s="44"/>
      <c r="I28" s="44"/>
      <c r="J28" s="42"/>
      <c r="K28" s="42"/>
      <c r="L28" s="42"/>
      <c r="M28" s="42"/>
    </row>
    <row r="29" spans="1:17" ht="15.75" customHeight="1">
      <c r="A29" s="45" t="s">
        <v>159</v>
      </c>
      <c r="B29" s="45" t="s">
        <v>159</v>
      </c>
      <c r="C29" s="46"/>
      <c r="D29" s="46"/>
      <c r="E29" s="46"/>
      <c r="G29" s="18" t="s">
        <v>160</v>
      </c>
      <c r="H29" s="44" t="s">
        <v>30</v>
      </c>
      <c r="I29" s="44" t="s">
        <v>20</v>
      </c>
    </row>
    <row r="30" spans="1:17" ht="15.75" customHeight="1">
      <c r="A30" s="45" t="s">
        <v>159</v>
      </c>
      <c r="B30" s="45" t="s">
        <v>159</v>
      </c>
      <c r="C30" s="46"/>
      <c r="D30" s="46"/>
      <c r="E30" s="46"/>
      <c r="G30" s="18" t="s">
        <v>161</v>
      </c>
      <c r="H30" s="44" t="s">
        <v>30</v>
      </c>
      <c r="I30" s="44" t="s">
        <v>20</v>
      </c>
    </row>
    <row r="31" spans="1:17" ht="15.75" customHeight="1">
      <c r="A31" s="45"/>
      <c r="B31" s="45"/>
      <c r="C31" s="46"/>
      <c r="D31" s="46"/>
      <c r="E31" s="46"/>
      <c r="G31" s="18"/>
      <c r="H31" s="42"/>
      <c r="I31" s="42"/>
    </row>
    <row r="32" spans="1:17" ht="15.75" customHeight="1">
      <c r="A32" s="45" t="s">
        <v>162</v>
      </c>
      <c r="B32" s="45" t="s">
        <v>162</v>
      </c>
      <c r="C32" s="46"/>
      <c r="D32" s="46"/>
      <c r="E32" s="46"/>
      <c r="G32" s="18" t="s">
        <v>163</v>
      </c>
      <c r="H32" s="22" t="s">
        <v>19</v>
      </c>
      <c r="I32" s="22" t="s">
        <v>20</v>
      </c>
    </row>
    <row r="33" spans="1:17" ht="15.75" customHeight="1">
      <c r="A33" s="45" t="s">
        <v>162</v>
      </c>
      <c r="B33" s="45" t="s">
        <v>162</v>
      </c>
      <c r="C33" s="46"/>
      <c r="D33" s="46"/>
      <c r="E33" s="46"/>
      <c r="G33" s="18" t="s">
        <v>164</v>
      </c>
      <c r="H33" s="22" t="s">
        <v>19</v>
      </c>
      <c r="I33" s="22" t="s">
        <v>20</v>
      </c>
    </row>
    <row r="34" spans="1:17" ht="15.75" customHeight="1">
      <c r="A34" s="45" t="s">
        <v>162</v>
      </c>
      <c r="B34" s="45" t="s">
        <v>162</v>
      </c>
      <c r="C34" s="46"/>
      <c r="D34" s="46"/>
      <c r="E34" s="46"/>
      <c r="G34" s="18" t="s">
        <v>165</v>
      </c>
      <c r="H34" s="22" t="s">
        <v>19</v>
      </c>
      <c r="I34" s="22" t="s">
        <v>20</v>
      </c>
    </row>
    <row r="35" spans="1:17" ht="15.75" customHeight="1">
      <c r="A35" s="45" t="s">
        <v>162</v>
      </c>
      <c r="B35" s="45" t="s">
        <v>162</v>
      </c>
      <c r="C35" s="46"/>
      <c r="D35" s="46"/>
      <c r="E35" s="46"/>
      <c r="G35" s="18" t="s">
        <v>166</v>
      </c>
      <c r="H35" s="22" t="s">
        <v>19</v>
      </c>
      <c r="I35" s="22" t="s">
        <v>20</v>
      </c>
    </row>
    <row r="36" spans="1:17" ht="15.75" customHeight="1">
      <c r="A36" s="45"/>
      <c r="B36" s="35"/>
      <c r="C36" s="46"/>
      <c r="D36" s="46"/>
      <c r="E36" s="46"/>
    </row>
    <row r="37" spans="1:17" ht="15.75" customHeight="1">
      <c r="A37" s="45"/>
      <c r="B37" s="35"/>
      <c r="C37" s="46"/>
      <c r="D37" s="46"/>
      <c r="E37" s="46"/>
    </row>
    <row r="38" spans="1:17" ht="15.75" customHeight="1">
      <c r="A38" s="45"/>
      <c r="B38" s="35"/>
      <c r="C38" s="46"/>
      <c r="D38" s="46"/>
      <c r="E38" s="46"/>
      <c r="Q38" s="28" t="s">
        <v>167</v>
      </c>
    </row>
    <row r="39" spans="1:17" ht="15.75" customHeight="1">
      <c r="A39" s="45"/>
      <c r="B39" s="35"/>
      <c r="C39" s="46"/>
      <c r="D39" s="46"/>
      <c r="E39" s="46"/>
    </row>
    <row r="40" spans="1:17" ht="15.75" customHeight="1">
      <c r="A40" s="45"/>
      <c r="B40" s="35"/>
      <c r="C40" s="46"/>
      <c r="D40" s="46"/>
      <c r="E40" s="46"/>
      <c r="Q40" s="22" t="s">
        <v>168</v>
      </c>
    </row>
    <row r="41" spans="1:17" ht="15.75" customHeight="1">
      <c r="A41" s="45"/>
      <c r="B41" s="35"/>
      <c r="C41" s="46"/>
      <c r="D41" s="46"/>
      <c r="E41" s="46"/>
      <c r="Q41" s="22" t="s">
        <v>169</v>
      </c>
    </row>
    <row r="42" spans="1:17" ht="15.75" customHeight="1">
      <c r="A42" s="45"/>
      <c r="B42" s="35"/>
      <c r="C42" s="46"/>
      <c r="D42" s="46"/>
      <c r="E42" s="46"/>
      <c r="Q42" s="22" t="s">
        <v>170</v>
      </c>
    </row>
    <row r="43" spans="1:17" ht="15.75" customHeight="1">
      <c r="A43" s="45"/>
      <c r="B43" s="35"/>
      <c r="C43" s="46"/>
      <c r="D43" s="46"/>
      <c r="E43" s="46"/>
      <c r="Q43" s="22" t="s">
        <v>171</v>
      </c>
    </row>
    <row r="44" spans="1:17" ht="15.75" customHeight="1">
      <c r="A44" s="45"/>
      <c r="B44" s="35"/>
      <c r="C44" s="46"/>
      <c r="D44" s="46"/>
      <c r="E44" s="46"/>
      <c r="Q44" s="22" t="s">
        <v>172</v>
      </c>
    </row>
    <row r="45" spans="1:17" ht="15.75" customHeight="1">
      <c r="A45" s="45"/>
      <c r="B45" s="35"/>
      <c r="C45" s="46"/>
      <c r="D45" s="46"/>
      <c r="E45" s="46"/>
      <c r="Q45" s="22" t="s">
        <v>173</v>
      </c>
    </row>
    <row r="46" spans="1:17" ht="15.75" customHeight="1">
      <c r="A46" s="45"/>
      <c r="B46" s="35"/>
      <c r="C46" s="46"/>
      <c r="D46" s="46"/>
      <c r="E46" s="46"/>
    </row>
    <row r="47" spans="1:17" ht="15.75" customHeight="1">
      <c r="A47" s="45"/>
      <c r="B47" s="35"/>
      <c r="C47" s="46"/>
      <c r="D47" s="46"/>
      <c r="E47" s="46"/>
    </row>
    <row r="48" spans="1:17" ht="15.75" customHeight="1">
      <c r="A48" s="45"/>
      <c r="B48" s="35"/>
      <c r="C48" s="46"/>
      <c r="D48" s="46"/>
      <c r="E48" s="46"/>
    </row>
    <row r="49" spans="1:5" ht="15.75" customHeight="1">
      <c r="A49" s="45"/>
      <c r="B49" s="35"/>
      <c r="C49" s="46"/>
      <c r="D49" s="46"/>
      <c r="E49" s="46"/>
    </row>
    <row r="50" spans="1:5" ht="15.75" customHeight="1">
      <c r="A50" s="45"/>
      <c r="B50" s="35"/>
      <c r="C50" s="46"/>
      <c r="D50" s="46"/>
      <c r="E50" s="46"/>
    </row>
    <row r="51" spans="1:5" ht="15.75" customHeight="1">
      <c r="A51" s="45"/>
      <c r="B51" s="35"/>
      <c r="C51" s="46"/>
      <c r="D51" s="46"/>
      <c r="E51" s="46"/>
    </row>
    <row r="52" spans="1:5" ht="15.75" customHeight="1">
      <c r="A52" s="45"/>
      <c r="B52" s="35"/>
      <c r="C52" s="46"/>
      <c r="D52" s="46"/>
      <c r="E52" s="46"/>
    </row>
    <row r="53" spans="1:5" ht="15.75" customHeight="1">
      <c r="A53" s="45"/>
      <c r="B53" s="35"/>
      <c r="C53" s="46"/>
      <c r="D53" s="46"/>
      <c r="E53" s="46"/>
    </row>
    <row r="54" spans="1:5" ht="15.75" customHeight="1">
      <c r="A54" s="45"/>
      <c r="B54" s="35"/>
      <c r="C54" s="46"/>
      <c r="D54" s="46"/>
      <c r="E54" s="46"/>
    </row>
    <row r="55" spans="1:5" ht="15.75" customHeight="1">
      <c r="A55" s="45"/>
      <c r="B55" s="35"/>
      <c r="C55" s="46"/>
      <c r="D55" s="46"/>
      <c r="E55" s="46"/>
    </row>
    <row r="56" spans="1:5" ht="15.75" customHeight="1">
      <c r="A56" s="45"/>
      <c r="B56" s="35"/>
      <c r="C56" s="46"/>
      <c r="D56" s="46"/>
      <c r="E56" s="46"/>
    </row>
    <row r="57" spans="1:5" ht="15.75" customHeight="1">
      <c r="A57" s="45"/>
      <c r="B57" s="35"/>
      <c r="C57" s="46"/>
      <c r="D57" s="46"/>
      <c r="E57" s="46"/>
    </row>
    <row r="58" spans="1:5" ht="15.75" customHeight="1">
      <c r="A58" s="45"/>
      <c r="B58" s="35"/>
      <c r="C58" s="46"/>
      <c r="D58" s="46"/>
      <c r="E58" s="46"/>
    </row>
    <row r="59" spans="1:5" ht="15.75" customHeight="1">
      <c r="A59" s="45"/>
      <c r="B59" s="35"/>
      <c r="C59" s="46"/>
      <c r="D59" s="46"/>
      <c r="E59" s="46"/>
    </row>
    <row r="60" spans="1:5" ht="15.75" customHeight="1">
      <c r="A60" s="45"/>
      <c r="B60" s="35"/>
      <c r="C60" s="46"/>
      <c r="D60" s="46"/>
      <c r="E60" s="46"/>
    </row>
    <row r="61" spans="1:5" ht="15.75" customHeight="1">
      <c r="A61" s="45"/>
      <c r="B61" s="35"/>
      <c r="C61" s="46"/>
      <c r="D61" s="46"/>
      <c r="E61" s="46"/>
    </row>
    <row r="62" spans="1:5" ht="15.75" customHeight="1">
      <c r="A62" s="45"/>
      <c r="B62" s="35"/>
      <c r="C62" s="46"/>
      <c r="D62" s="46"/>
      <c r="E62" s="46"/>
    </row>
    <row r="63" spans="1:5" ht="15.75" customHeight="1">
      <c r="A63" s="45"/>
      <c r="B63" s="35"/>
      <c r="C63" s="46"/>
      <c r="D63" s="46"/>
      <c r="E63" s="46"/>
    </row>
    <row r="64" spans="1:5" ht="15.75" customHeight="1">
      <c r="A64" s="45"/>
      <c r="B64" s="35"/>
      <c r="C64" s="46"/>
      <c r="D64" s="46"/>
      <c r="E64" s="46"/>
    </row>
    <row r="65" spans="1:5" ht="15.75" customHeight="1">
      <c r="A65" s="45"/>
      <c r="B65" s="35"/>
      <c r="C65" s="46"/>
      <c r="D65" s="46"/>
      <c r="E65" s="46"/>
    </row>
    <row r="66" spans="1:5" ht="15.75" customHeight="1">
      <c r="A66" s="45"/>
      <c r="B66" s="35"/>
      <c r="C66" s="46"/>
      <c r="D66" s="46"/>
      <c r="E66" s="46"/>
    </row>
    <row r="67" spans="1:5" ht="15.75" customHeight="1">
      <c r="A67" s="45"/>
      <c r="B67" s="35"/>
      <c r="C67" s="46"/>
      <c r="D67" s="46"/>
      <c r="E67" s="46"/>
    </row>
    <row r="68" spans="1:5" ht="15.75" customHeight="1">
      <c r="A68" s="45"/>
      <c r="B68" s="35"/>
      <c r="C68" s="46"/>
      <c r="D68" s="46"/>
      <c r="E68" s="46"/>
    </row>
    <row r="69" spans="1:5" ht="15.75" customHeight="1">
      <c r="A69" s="45"/>
      <c r="B69" s="35"/>
      <c r="C69" s="46"/>
      <c r="D69" s="46"/>
      <c r="E69" s="46"/>
    </row>
    <row r="70" spans="1:5" ht="15.75" customHeight="1">
      <c r="A70" s="45"/>
      <c r="B70" s="35"/>
      <c r="C70" s="46"/>
      <c r="D70" s="46"/>
      <c r="E70" s="46"/>
    </row>
    <row r="71" spans="1:5" ht="15.75" customHeight="1">
      <c r="A71" s="45"/>
      <c r="B71" s="35"/>
      <c r="C71" s="46"/>
      <c r="D71" s="46"/>
      <c r="E71" s="46"/>
    </row>
    <row r="72" spans="1:5" ht="15.75" customHeight="1">
      <c r="A72" s="45"/>
      <c r="B72" s="35"/>
      <c r="C72" s="46"/>
      <c r="D72" s="46"/>
      <c r="E72" s="46"/>
    </row>
    <row r="73" spans="1:5" ht="15.75" customHeight="1">
      <c r="A73" s="45"/>
      <c r="B73" s="35"/>
      <c r="C73" s="46"/>
      <c r="D73" s="46"/>
      <c r="E73" s="46"/>
    </row>
    <row r="74" spans="1:5" ht="15.75" customHeight="1">
      <c r="A74" s="45"/>
      <c r="B74" s="35"/>
      <c r="C74" s="46"/>
      <c r="D74" s="46"/>
      <c r="E74" s="46"/>
    </row>
    <row r="75" spans="1:5" ht="15.75" customHeight="1">
      <c r="A75" s="45"/>
      <c r="B75" s="35"/>
      <c r="C75" s="46"/>
      <c r="D75" s="46"/>
      <c r="E75" s="46"/>
    </row>
    <row r="76" spans="1:5" ht="15.75" customHeight="1">
      <c r="A76" s="45"/>
      <c r="B76" s="35"/>
      <c r="C76" s="46"/>
      <c r="D76" s="46"/>
      <c r="E76" s="46"/>
    </row>
    <row r="77" spans="1:5" ht="15.75" customHeight="1">
      <c r="A77" s="45"/>
      <c r="B77" s="35"/>
      <c r="C77" s="46"/>
      <c r="D77" s="46"/>
      <c r="E77" s="46"/>
    </row>
    <row r="78" spans="1:5" ht="15.75" customHeight="1">
      <c r="A78" s="45"/>
      <c r="B78" s="35"/>
      <c r="C78" s="46"/>
      <c r="D78" s="46"/>
      <c r="E78" s="46"/>
    </row>
    <row r="79" spans="1:5" ht="15.75" customHeight="1">
      <c r="A79" s="45"/>
      <c r="B79" s="35"/>
      <c r="C79" s="46"/>
      <c r="D79" s="46"/>
      <c r="E79" s="46"/>
    </row>
    <row r="80" spans="1:5" ht="15.75" customHeight="1">
      <c r="A80" s="45"/>
      <c r="B80" s="35"/>
      <c r="C80" s="46"/>
      <c r="D80" s="46"/>
      <c r="E80" s="46"/>
    </row>
    <row r="81" spans="1:5" ht="15.75" customHeight="1">
      <c r="A81" s="45"/>
      <c r="B81" s="35"/>
      <c r="C81" s="46"/>
      <c r="D81" s="46"/>
      <c r="E81" s="46"/>
    </row>
    <row r="82" spans="1:5" ht="15.75" customHeight="1">
      <c r="A82" s="45"/>
      <c r="B82" s="35"/>
      <c r="C82" s="46"/>
      <c r="D82" s="46"/>
      <c r="E82" s="46"/>
    </row>
    <row r="83" spans="1:5" ht="15.75" customHeight="1">
      <c r="A83" s="45"/>
      <c r="B83" s="35"/>
      <c r="C83" s="46"/>
      <c r="D83" s="46"/>
      <c r="E83" s="46"/>
    </row>
    <row r="84" spans="1:5" ht="15.75" customHeight="1">
      <c r="A84" s="45"/>
      <c r="B84" s="35"/>
      <c r="C84" s="46"/>
      <c r="D84" s="46"/>
      <c r="E84" s="46"/>
    </row>
    <row r="85" spans="1:5" ht="15.75" customHeight="1">
      <c r="A85" s="45"/>
      <c r="B85" s="35"/>
      <c r="C85" s="46"/>
      <c r="D85" s="46"/>
      <c r="E85" s="46"/>
    </row>
    <row r="86" spans="1:5" ht="15.75" customHeight="1">
      <c r="A86" s="45"/>
      <c r="B86" s="35"/>
      <c r="C86" s="46"/>
      <c r="D86" s="46"/>
      <c r="E86" s="46"/>
    </row>
    <row r="87" spans="1:5" ht="15.75" customHeight="1">
      <c r="A87" s="45"/>
      <c r="B87" s="35"/>
      <c r="C87" s="46"/>
      <c r="D87" s="46"/>
      <c r="E87" s="46"/>
    </row>
    <row r="88" spans="1:5" ht="15.75" customHeight="1">
      <c r="A88" s="45"/>
      <c r="B88" s="35"/>
      <c r="C88" s="46"/>
      <c r="D88" s="46"/>
      <c r="E88" s="46"/>
    </row>
    <row r="89" spans="1:5" ht="15.75" customHeight="1">
      <c r="A89" s="45"/>
      <c r="B89" s="35"/>
      <c r="C89" s="46"/>
      <c r="D89" s="46"/>
      <c r="E89" s="46"/>
    </row>
    <row r="90" spans="1:5" ht="15.75" customHeight="1">
      <c r="A90" s="45"/>
      <c r="B90" s="35"/>
      <c r="C90" s="46"/>
      <c r="D90" s="46"/>
      <c r="E90" s="46"/>
    </row>
    <row r="91" spans="1:5" ht="15.75" customHeight="1">
      <c r="A91" s="45"/>
      <c r="B91" s="35"/>
      <c r="C91" s="46"/>
      <c r="D91" s="46"/>
      <c r="E91" s="46"/>
    </row>
    <row r="92" spans="1:5" ht="15.75" customHeight="1">
      <c r="A92" s="45"/>
      <c r="B92" s="35"/>
      <c r="C92" s="46"/>
      <c r="D92" s="46"/>
      <c r="E92" s="46"/>
    </row>
    <row r="93" spans="1:5" ht="15.75" customHeight="1">
      <c r="A93" s="45"/>
      <c r="B93" s="35"/>
      <c r="C93" s="46"/>
      <c r="D93" s="46"/>
      <c r="E93" s="46"/>
    </row>
    <row r="94" spans="1:5" ht="15.75" customHeight="1">
      <c r="A94" s="45"/>
      <c r="B94" s="35"/>
      <c r="C94" s="46"/>
      <c r="D94" s="46"/>
      <c r="E94" s="46"/>
    </row>
    <row r="95" spans="1:5" ht="15.75" customHeight="1">
      <c r="A95" s="45"/>
      <c r="B95" s="35"/>
      <c r="C95" s="46"/>
      <c r="D95" s="46"/>
      <c r="E95" s="46"/>
    </row>
    <row r="96" spans="1:5" ht="15.75" customHeight="1">
      <c r="A96" s="45"/>
      <c r="B96" s="35"/>
      <c r="C96" s="46"/>
      <c r="D96" s="46"/>
      <c r="E96" s="46"/>
    </row>
    <row r="97" spans="1:5" ht="15.75" customHeight="1">
      <c r="A97" s="45"/>
      <c r="B97" s="35"/>
      <c r="C97" s="46"/>
      <c r="D97" s="46"/>
      <c r="E97" s="46"/>
    </row>
    <row r="98" spans="1:5" ht="15.75" customHeight="1">
      <c r="A98" s="45"/>
      <c r="B98" s="35"/>
      <c r="C98" s="46"/>
      <c r="D98" s="46"/>
      <c r="E98" s="46"/>
    </row>
    <row r="99" spans="1:5" ht="15.75" customHeight="1">
      <c r="A99" s="45"/>
      <c r="B99" s="35"/>
      <c r="C99" s="46"/>
      <c r="D99" s="46"/>
      <c r="E99" s="46"/>
    </row>
    <row r="100" spans="1:5" ht="15.75" customHeight="1">
      <c r="A100" s="45"/>
      <c r="B100" s="35"/>
      <c r="C100" s="46"/>
      <c r="D100" s="46"/>
      <c r="E100" s="46"/>
    </row>
    <row r="101" spans="1:5" ht="15.75" customHeight="1">
      <c r="A101" s="45"/>
      <c r="B101" s="35"/>
      <c r="C101" s="46"/>
      <c r="D101" s="46"/>
      <c r="E101" s="46"/>
    </row>
    <row r="102" spans="1:5" ht="15.75" customHeight="1">
      <c r="A102" s="45"/>
      <c r="B102" s="35"/>
      <c r="C102" s="46"/>
      <c r="D102" s="46"/>
      <c r="E102" s="46"/>
    </row>
    <row r="103" spans="1:5" ht="15.75" customHeight="1">
      <c r="A103" s="45"/>
      <c r="B103" s="35"/>
      <c r="C103" s="46"/>
      <c r="D103" s="46"/>
      <c r="E103" s="46"/>
    </row>
    <row r="104" spans="1:5" ht="15.75" customHeight="1">
      <c r="A104" s="45"/>
      <c r="B104" s="35"/>
      <c r="C104" s="46"/>
      <c r="D104" s="46"/>
      <c r="E104" s="46"/>
    </row>
    <row r="105" spans="1:5" ht="15.75" customHeight="1">
      <c r="A105" s="45"/>
      <c r="B105" s="35"/>
      <c r="C105" s="46"/>
      <c r="D105" s="46"/>
      <c r="E105" s="46"/>
    </row>
    <row r="106" spans="1:5" ht="15.75" customHeight="1">
      <c r="A106" s="45"/>
      <c r="B106" s="35"/>
      <c r="C106" s="46"/>
      <c r="D106" s="46"/>
      <c r="E106" s="46"/>
    </row>
    <row r="107" spans="1:5" ht="15.75" customHeight="1">
      <c r="A107" s="45"/>
      <c r="B107" s="35"/>
      <c r="C107" s="46"/>
      <c r="D107" s="46"/>
      <c r="E107" s="46"/>
    </row>
    <row r="108" spans="1:5" ht="15.75" customHeight="1">
      <c r="A108" s="45"/>
      <c r="B108" s="35"/>
      <c r="C108" s="46"/>
      <c r="D108" s="46"/>
      <c r="E108" s="46"/>
    </row>
    <row r="109" spans="1:5" ht="15.75" customHeight="1">
      <c r="A109" s="45"/>
      <c r="B109" s="35"/>
      <c r="C109" s="46"/>
      <c r="D109" s="46"/>
      <c r="E109" s="46"/>
    </row>
    <row r="110" spans="1:5" ht="15.75" customHeight="1">
      <c r="A110" s="45"/>
      <c r="B110" s="35"/>
      <c r="C110" s="46"/>
      <c r="D110" s="46"/>
      <c r="E110" s="46"/>
    </row>
    <row r="111" spans="1:5" ht="15.75" customHeight="1">
      <c r="A111" s="45"/>
      <c r="B111" s="35"/>
      <c r="C111" s="46"/>
      <c r="D111" s="46"/>
      <c r="E111" s="46"/>
    </row>
    <row r="112" spans="1:5" ht="15.75" customHeight="1">
      <c r="A112" s="45"/>
      <c r="B112" s="35"/>
      <c r="C112" s="46"/>
      <c r="D112" s="46"/>
      <c r="E112" s="46"/>
    </row>
    <row r="113" spans="1:5" ht="15.75" customHeight="1">
      <c r="A113" s="45"/>
      <c r="B113" s="35"/>
      <c r="C113" s="46"/>
      <c r="D113" s="46"/>
      <c r="E113" s="46"/>
    </row>
    <row r="114" spans="1:5" ht="15.75" customHeight="1">
      <c r="A114" s="45"/>
      <c r="B114" s="35"/>
      <c r="C114" s="46"/>
      <c r="D114" s="46"/>
      <c r="E114" s="46"/>
    </row>
    <row r="115" spans="1:5" ht="15.75" customHeight="1">
      <c r="A115" s="45"/>
      <c r="B115" s="35"/>
      <c r="C115" s="46"/>
      <c r="D115" s="46"/>
      <c r="E115" s="46"/>
    </row>
    <row r="116" spans="1:5" ht="15.75" customHeight="1">
      <c r="A116" s="45"/>
      <c r="B116" s="35"/>
      <c r="C116" s="46"/>
      <c r="D116" s="46"/>
      <c r="E116" s="46"/>
    </row>
    <row r="117" spans="1:5" ht="15.75" customHeight="1">
      <c r="A117" s="45"/>
      <c r="B117" s="35"/>
      <c r="C117" s="46"/>
      <c r="D117" s="46"/>
      <c r="E117" s="46"/>
    </row>
    <row r="118" spans="1:5" ht="15.75" customHeight="1">
      <c r="A118" s="45"/>
      <c r="B118" s="35"/>
      <c r="C118" s="46"/>
      <c r="D118" s="46"/>
      <c r="E118" s="46"/>
    </row>
    <row r="119" spans="1:5" ht="15.75" customHeight="1">
      <c r="A119" s="45"/>
      <c r="B119" s="35"/>
      <c r="C119" s="46"/>
      <c r="D119" s="46"/>
      <c r="E119" s="46"/>
    </row>
    <row r="120" spans="1:5" ht="15.75" customHeight="1">
      <c r="A120" s="45"/>
      <c r="B120" s="35"/>
      <c r="C120" s="46"/>
      <c r="D120" s="46"/>
      <c r="E120" s="46"/>
    </row>
    <row r="121" spans="1:5" ht="15.75" customHeight="1">
      <c r="A121" s="45"/>
      <c r="B121" s="35"/>
      <c r="C121" s="46"/>
      <c r="D121" s="46"/>
      <c r="E121" s="46"/>
    </row>
    <row r="122" spans="1:5" ht="15.75" customHeight="1">
      <c r="A122" s="45"/>
      <c r="B122" s="35"/>
      <c r="C122" s="46"/>
      <c r="D122" s="46"/>
      <c r="E122" s="46"/>
    </row>
    <row r="123" spans="1:5" ht="15.75" customHeight="1">
      <c r="A123" s="45"/>
      <c r="B123" s="35"/>
      <c r="C123" s="46"/>
      <c r="D123" s="46"/>
      <c r="E123" s="46"/>
    </row>
    <row r="124" spans="1:5" ht="15.75" customHeight="1">
      <c r="A124" s="45"/>
      <c r="B124" s="35"/>
      <c r="C124" s="46"/>
      <c r="D124" s="46"/>
      <c r="E124" s="46"/>
    </row>
    <row r="125" spans="1:5" ht="15.75" customHeight="1">
      <c r="A125" s="45"/>
      <c r="B125" s="35"/>
      <c r="C125" s="46"/>
      <c r="D125" s="46"/>
      <c r="E125" s="46"/>
    </row>
    <row r="126" spans="1:5" ht="15.75" customHeight="1">
      <c r="A126" s="45"/>
      <c r="B126" s="35"/>
      <c r="C126" s="46"/>
      <c r="D126" s="46"/>
      <c r="E126" s="46"/>
    </row>
    <row r="127" spans="1:5" ht="15.75" customHeight="1">
      <c r="A127" s="45"/>
      <c r="B127" s="35"/>
      <c r="C127" s="46"/>
      <c r="D127" s="46"/>
      <c r="E127" s="46"/>
    </row>
    <row r="128" spans="1:5" ht="15.75" customHeight="1">
      <c r="A128" s="45"/>
      <c r="B128" s="35"/>
      <c r="C128" s="46"/>
      <c r="D128" s="46"/>
      <c r="E128" s="46"/>
    </row>
    <row r="129" spans="1:5" ht="15.75" customHeight="1">
      <c r="A129" s="45"/>
      <c r="B129" s="35"/>
      <c r="C129" s="46"/>
      <c r="D129" s="46"/>
      <c r="E129" s="46"/>
    </row>
    <row r="130" spans="1:5" ht="15.75" customHeight="1">
      <c r="A130" s="45"/>
      <c r="B130" s="35"/>
      <c r="C130" s="46"/>
      <c r="D130" s="46"/>
      <c r="E130" s="46"/>
    </row>
    <row r="131" spans="1:5" ht="15.75" customHeight="1">
      <c r="A131" s="45"/>
      <c r="B131" s="35"/>
      <c r="C131" s="46"/>
      <c r="D131" s="46"/>
      <c r="E131" s="46"/>
    </row>
    <row r="132" spans="1:5" ht="15.75" customHeight="1">
      <c r="A132" s="45"/>
      <c r="B132" s="35"/>
      <c r="C132" s="46"/>
      <c r="D132" s="46"/>
      <c r="E132" s="46"/>
    </row>
    <row r="133" spans="1:5" ht="15.75" customHeight="1">
      <c r="A133" s="45"/>
      <c r="B133" s="35"/>
      <c r="C133" s="46"/>
      <c r="D133" s="46"/>
      <c r="E133" s="46"/>
    </row>
    <row r="134" spans="1:5" ht="15.75" customHeight="1">
      <c r="A134" s="45"/>
      <c r="B134" s="35"/>
      <c r="C134" s="46"/>
      <c r="D134" s="46"/>
      <c r="E134" s="46"/>
    </row>
    <row r="135" spans="1:5" ht="15.75" customHeight="1">
      <c r="A135" s="45"/>
      <c r="B135" s="35"/>
      <c r="C135" s="46"/>
      <c r="D135" s="46"/>
      <c r="E135" s="46"/>
    </row>
    <row r="136" spans="1:5" ht="15.75" customHeight="1">
      <c r="A136" s="45"/>
      <c r="B136" s="35"/>
      <c r="C136" s="46"/>
      <c r="D136" s="46"/>
      <c r="E136" s="46"/>
    </row>
    <row r="137" spans="1:5" ht="15.75" customHeight="1">
      <c r="A137" s="45"/>
      <c r="B137" s="35"/>
      <c r="C137" s="46"/>
      <c r="D137" s="46"/>
      <c r="E137" s="46"/>
    </row>
    <row r="138" spans="1:5" ht="15.75" customHeight="1">
      <c r="A138" s="45"/>
      <c r="B138" s="35"/>
      <c r="C138" s="46"/>
      <c r="D138" s="46"/>
      <c r="E138" s="46"/>
    </row>
    <row r="139" spans="1:5" ht="15.75" customHeight="1">
      <c r="A139" s="45"/>
      <c r="B139" s="35"/>
      <c r="C139" s="46"/>
      <c r="D139" s="46"/>
      <c r="E139" s="46"/>
    </row>
    <row r="140" spans="1:5" ht="15.75" customHeight="1">
      <c r="A140" s="45"/>
      <c r="B140" s="35"/>
      <c r="C140" s="46"/>
      <c r="D140" s="46"/>
      <c r="E140" s="46"/>
    </row>
    <row r="141" spans="1:5" ht="15.75" customHeight="1">
      <c r="A141" s="45"/>
      <c r="B141" s="35"/>
      <c r="C141" s="46"/>
      <c r="D141" s="46"/>
      <c r="E141" s="46"/>
    </row>
    <row r="142" spans="1:5" ht="15.75" customHeight="1">
      <c r="A142" s="45"/>
      <c r="B142" s="35"/>
      <c r="C142" s="46"/>
      <c r="D142" s="46"/>
      <c r="E142" s="46"/>
    </row>
    <row r="143" spans="1:5" ht="15.75" customHeight="1">
      <c r="A143" s="45"/>
      <c r="B143" s="35"/>
      <c r="C143" s="46"/>
      <c r="D143" s="46"/>
      <c r="E143" s="46"/>
    </row>
    <row r="144" spans="1:5" ht="15.75" customHeight="1">
      <c r="A144" s="45"/>
      <c r="B144" s="35"/>
      <c r="C144" s="46"/>
      <c r="D144" s="46"/>
      <c r="E144" s="46"/>
    </row>
    <row r="145" spans="1:5" ht="15.75" customHeight="1">
      <c r="A145" s="45"/>
      <c r="B145" s="35"/>
      <c r="C145" s="46"/>
      <c r="D145" s="46"/>
      <c r="E145" s="46"/>
    </row>
    <row r="146" spans="1:5" ht="15.75" customHeight="1">
      <c r="A146" s="45"/>
      <c r="B146" s="35"/>
      <c r="C146" s="46"/>
      <c r="D146" s="46"/>
      <c r="E146" s="46"/>
    </row>
    <row r="147" spans="1:5" ht="15.75" customHeight="1">
      <c r="A147" s="45"/>
      <c r="B147" s="35"/>
      <c r="C147" s="46"/>
      <c r="D147" s="46"/>
      <c r="E147" s="46"/>
    </row>
    <row r="148" spans="1:5" ht="15.75" customHeight="1">
      <c r="A148" s="45"/>
      <c r="B148" s="35"/>
      <c r="C148" s="46"/>
      <c r="D148" s="46"/>
      <c r="E148" s="46"/>
    </row>
    <row r="149" spans="1:5" ht="15.75" customHeight="1">
      <c r="A149" s="45"/>
      <c r="B149" s="35"/>
      <c r="C149" s="46"/>
      <c r="D149" s="46"/>
      <c r="E149" s="46"/>
    </row>
    <row r="150" spans="1:5" ht="15.75" customHeight="1">
      <c r="A150" s="45"/>
      <c r="B150" s="35"/>
      <c r="C150" s="46"/>
      <c r="D150" s="46"/>
      <c r="E150" s="46"/>
    </row>
    <row r="151" spans="1:5" ht="15.75" customHeight="1">
      <c r="A151" s="45"/>
      <c r="B151" s="35"/>
      <c r="C151" s="46"/>
      <c r="D151" s="46"/>
      <c r="E151" s="46"/>
    </row>
    <row r="152" spans="1:5" ht="15.75" customHeight="1">
      <c r="A152" s="45"/>
      <c r="B152" s="35"/>
      <c r="C152" s="46"/>
      <c r="D152" s="46"/>
      <c r="E152" s="46"/>
    </row>
    <row r="153" spans="1:5" ht="15.75" customHeight="1">
      <c r="A153" s="45"/>
      <c r="B153" s="35"/>
      <c r="C153" s="46"/>
      <c r="D153" s="46"/>
      <c r="E153" s="46"/>
    </row>
    <row r="154" spans="1:5" ht="15.75" customHeight="1">
      <c r="A154" s="45"/>
      <c r="B154" s="35"/>
      <c r="C154" s="46"/>
      <c r="D154" s="46"/>
      <c r="E154" s="46"/>
    </row>
    <row r="155" spans="1:5" ht="15.75" customHeight="1">
      <c r="A155" s="45"/>
      <c r="B155" s="35"/>
      <c r="C155" s="46"/>
      <c r="D155" s="46"/>
      <c r="E155" s="46"/>
    </row>
    <row r="156" spans="1:5" ht="15.75" customHeight="1">
      <c r="A156" s="45"/>
      <c r="B156" s="35"/>
      <c r="C156" s="46"/>
      <c r="D156" s="46"/>
      <c r="E156" s="46"/>
    </row>
    <row r="157" spans="1:5" ht="15.75" customHeight="1">
      <c r="A157" s="45"/>
      <c r="B157" s="35"/>
      <c r="C157" s="46"/>
      <c r="D157" s="46"/>
      <c r="E157" s="46"/>
    </row>
    <row r="158" spans="1:5" ht="15.75" customHeight="1">
      <c r="A158" s="45"/>
      <c r="B158" s="35"/>
      <c r="C158" s="46"/>
      <c r="D158" s="46"/>
      <c r="E158" s="46"/>
    </row>
    <row r="159" spans="1:5" ht="15.75" customHeight="1">
      <c r="A159" s="45"/>
      <c r="B159" s="35"/>
      <c r="C159" s="46"/>
      <c r="D159" s="46"/>
      <c r="E159" s="46"/>
    </row>
    <row r="160" spans="1:5" ht="15.75" customHeight="1">
      <c r="A160" s="45"/>
      <c r="B160" s="35"/>
      <c r="C160" s="46"/>
      <c r="D160" s="46"/>
      <c r="E160" s="46"/>
    </row>
    <row r="161" spans="1:5" ht="15.75" customHeight="1">
      <c r="A161" s="45"/>
      <c r="B161" s="35"/>
      <c r="C161" s="46"/>
      <c r="D161" s="46"/>
      <c r="E161" s="46"/>
    </row>
    <row r="162" spans="1:5" ht="15.75" customHeight="1">
      <c r="A162" s="45"/>
      <c r="B162" s="35"/>
      <c r="C162" s="46"/>
      <c r="D162" s="46"/>
      <c r="E162" s="46"/>
    </row>
    <row r="163" spans="1:5" ht="15.75" customHeight="1">
      <c r="A163" s="45"/>
      <c r="B163" s="35"/>
      <c r="C163" s="46"/>
      <c r="D163" s="46"/>
      <c r="E163" s="46"/>
    </row>
    <row r="164" spans="1:5" ht="15.75" customHeight="1">
      <c r="A164" s="45"/>
      <c r="B164" s="35"/>
      <c r="C164" s="46"/>
      <c r="D164" s="46"/>
      <c r="E164" s="46"/>
    </row>
    <row r="165" spans="1:5" ht="15.75" customHeight="1">
      <c r="A165" s="45"/>
      <c r="B165" s="35"/>
      <c r="C165" s="46"/>
      <c r="D165" s="46"/>
      <c r="E165" s="46"/>
    </row>
    <row r="166" spans="1:5" ht="15.75" customHeight="1">
      <c r="A166" s="45"/>
      <c r="B166" s="35"/>
      <c r="C166" s="46"/>
      <c r="D166" s="46"/>
      <c r="E166" s="46"/>
    </row>
    <row r="167" spans="1:5" ht="15.75" customHeight="1">
      <c r="A167" s="45"/>
      <c r="B167" s="35"/>
      <c r="C167" s="46"/>
      <c r="D167" s="46"/>
      <c r="E167" s="46"/>
    </row>
    <row r="168" spans="1:5" ht="15.75" customHeight="1">
      <c r="A168" s="45"/>
      <c r="B168" s="35"/>
      <c r="C168" s="46"/>
      <c r="D168" s="46"/>
      <c r="E168" s="46"/>
    </row>
    <row r="169" spans="1:5" ht="15.75" customHeight="1">
      <c r="A169" s="45"/>
      <c r="B169" s="35"/>
      <c r="C169" s="46"/>
      <c r="D169" s="46"/>
      <c r="E169" s="46"/>
    </row>
    <row r="170" spans="1:5" ht="15.75" customHeight="1">
      <c r="A170" s="45"/>
      <c r="B170" s="35"/>
      <c r="C170" s="46"/>
      <c r="D170" s="46"/>
      <c r="E170" s="46"/>
    </row>
    <row r="171" spans="1:5" ht="15.75" customHeight="1">
      <c r="A171" s="45"/>
      <c r="B171" s="35"/>
      <c r="C171" s="46"/>
      <c r="D171" s="46"/>
      <c r="E171" s="46"/>
    </row>
    <row r="172" spans="1:5" ht="15.75" customHeight="1">
      <c r="A172" s="45"/>
      <c r="B172" s="35"/>
      <c r="C172" s="46"/>
      <c r="D172" s="46"/>
      <c r="E172" s="46"/>
    </row>
    <row r="173" spans="1:5" ht="15.75" customHeight="1">
      <c r="A173" s="45"/>
      <c r="B173" s="35"/>
      <c r="C173" s="46"/>
      <c r="D173" s="46"/>
      <c r="E173" s="46"/>
    </row>
    <row r="174" spans="1:5" ht="15.75" customHeight="1">
      <c r="A174" s="45"/>
      <c r="B174" s="35"/>
      <c r="C174" s="46"/>
      <c r="D174" s="46"/>
      <c r="E174" s="46"/>
    </row>
    <row r="175" spans="1:5" ht="15.75" customHeight="1">
      <c r="A175" s="45"/>
      <c r="B175" s="35"/>
      <c r="C175" s="46"/>
      <c r="D175" s="46"/>
      <c r="E175" s="46"/>
    </row>
    <row r="176" spans="1:5" ht="15.75" customHeight="1">
      <c r="A176" s="45"/>
      <c r="B176" s="35"/>
      <c r="C176" s="46"/>
      <c r="D176" s="46"/>
      <c r="E176" s="46"/>
    </row>
    <row r="177" spans="1:5" ht="15.75" customHeight="1">
      <c r="A177" s="45"/>
      <c r="B177" s="35"/>
      <c r="C177" s="46"/>
      <c r="D177" s="46"/>
      <c r="E177" s="46"/>
    </row>
    <row r="178" spans="1:5" ht="15.75" customHeight="1">
      <c r="A178" s="45"/>
      <c r="B178" s="35"/>
      <c r="C178" s="46"/>
      <c r="D178" s="46"/>
      <c r="E178" s="46"/>
    </row>
    <row r="179" spans="1:5" ht="15.75" customHeight="1">
      <c r="A179" s="45"/>
      <c r="B179" s="35"/>
      <c r="C179" s="46"/>
      <c r="D179" s="46"/>
      <c r="E179" s="46"/>
    </row>
    <row r="180" spans="1:5" ht="15.75" customHeight="1">
      <c r="A180" s="45"/>
      <c r="B180" s="35"/>
      <c r="C180" s="46"/>
      <c r="D180" s="46"/>
      <c r="E180" s="46"/>
    </row>
    <row r="181" spans="1:5" ht="15.75" customHeight="1">
      <c r="A181" s="45"/>
      <c r="B181" s="35"/>
      <c r="C181" s="46"/>
      <c r="D181" s="46"/>
      <c r="E181" s="46"/>
    </row>
    <row r="182" spans="1:5" ht="15.75" customHeight="1">
      <c r="A182" s="45"/>
      <c r="B182" s="35"/>
      <c r="C182" s="46"/>
      <c r="D182" s="46"/>
      <c r="E182" s="46"/>
    </row>
    <row r="183" spans="1:5" ht="15.75" customHeight="1">
      <c r="A183" s="45"/>
      <c r="B183" s="35"/>
      <c r="C183" s="46"/>
      <c r="D183" s="46"/>
      <c r="E183" s="46"/>
    </row>
    <row r="184" spans="1:5" ht="15.75" customHeight="1">
      <c r="A184" s="45"/>
      <c r="B184" s="35"/>
      <c r="C184" s="46"/>
      <c r="D184" s="46"/>
      <c r="E184" s="46"/>
    </row>
    <row r="185" spans="1:5" ht="15.75" customHeight="1">
      <c r="A185" s="45"/>
      <c r="B185" s="35"/>
      <c r="C185" s="46"/>
      <c r="D185" s="46"/>
      <c r="E185" s="46"/>
    </row>
    <row r="186" spans="1:5" ht="15.75" customHeight="1">
      <c r="A186" s="45"/>
      <c r="B186" s="35"/>
      <c r="C186" s="46"/>
      <c r="D186" s="46"/>
      <c r="E186" s="46"/>
    </row>
    <row r="187" spans="1:5" ht="15.75" customHeight="1">
      <c r="A187" s="45"/>
      <c r="B187" s="35"/>
      <c r="C187" s="46"/>
      <c r="D187" s="46"/>
      <c r="E187" s="46"/>
    </row>
    <row r="188" spans="1:5" ht="15.75" customHeight="1">
      <c r="A188" s="45"/>
      <c r="B188" s="35"/>
      <c r="C188" s="46"/>
      <c r="D188" s="46"/>
      <c r="E188" s="46"/>
    </row>
    <row r="189" spans="1:5" ht="15.75" customHeight="1">
      <c r="A189" s="45"/>
      <c r="B189" s="35"/>
      <c r="C189" s="46"/>
      <c r="D189" s="46"/>
      <c r="E189" s="46"/>
    </row>
    <row r="190" spans="1:5" ht="15.75" customHeight="1">
      <c r="A190" s="45"/>
      <c r="B190" s="35"/>
      <c r="C190" s="46"/>
      <c r="D190" s="46"/>
      <c r="E190" s="46"/>
    </row>
    <row r="191" spans="1:5" ht="15.75" customHeight="1">
      <c r="A191" s="45"/>
      <c r="B191" s="35"/>
      <c r="C191" s="46"/>
      <c r="D191" s="46"/>
      <c r="E191" s="46"/>
    </row>
    <row r="192" spans="1:5" ht="15.75" customHeight="1">
      <c r="A192" s="45"/>
      <c r="B192" s="35"/>
      <c r="C192" s="46"/>
      <c r="D192" s="46"/>
      <c r="E192" s="46"/>
    </row>
    <row r="193" spans="1:5" ht="15.75" customHeight="1">
      <c r="A193" s="45"/>
      <c r="B193" s="35"/>
      <c r="C193" s="46"/>
      <c r="D193" s="46"/>
      <c r="E193" s="46"/>
    </row>
    <row r="194" spans="1:5" ht="15.75" customHeight="1">
      <c r="A194" s="45"/>
      <c r="B194" s="35"/>
      <c r="C194" s="46"/>
      <c r="D194" s="46"/>
      <c r="E194" s="46"/>
    </row>
    <row r="195" spans="1:5" ht="15.75" customHeight="1">
      <c r="A195" s="45"/>
      <c r="B195" s="35"/>
      <c r="C195" s="46"/>
      <c r="D195" s="46"/>
      <c r="E195" s="46"/>
    </row>
    <row r="196" spans="1:5" ht="15.75" customHeight="1">
      <c r="A196" s="45"/>
      <c r="B196" s="35"/>
      <c r="C196" s="46"/>
      <c r="D196" s="46"/>
      <c r="E196" s="46"/>
    </row>
    <row r="197" spans="1:5" ht="15.75" customHeight="1">
      <c r="A197" s="45"/>
      <c r="B197" s="35"/>
      <c r="C197" s="46"/>
      <c r="D197" s="46"/>
      <c r="E197" s="46"/>
    </row>
    <row r="198" spans="1:5" ht="15.75" customHeight="1">
      <c r="A198" s="45"/>
      <c r="B198" s="35"/>
      <c r="C198" s="46"/>
      <c r="D198" s="46"/>
      <c r="E198" s="46"/>
    </row>
    <row r="199" spans="1:5" ht="15.75" customHeight="1">
      <c r="A199" s="45"/>
      <c r="B199" s="35"/>
      <c r="C199" s="46"/>
      <c r="D199" s="46"/>
      <c r="E199" s="46"/>
    </row>
    <row r="200" spans="1:5" ht="15.75" customHeight="1">
      <c r="A200" s="45"/>
      <c r="B200" s="35"/>
      <c r="C200" s="46"/>
      <c r="D200" s="46"/>
      <c r="E200" s="46"/>
    </row>
    <row r="201" spans="1:5" ht="15.75" customHeight="1">
      <c r="A201" s="45"/>
      <c r="B201" s="35"/>
      <c r="C201" s="46"/>
      <c r="D201" s="46"/>
      <c r="E201" s="46"/>
    </row>
    <row r="202" spans="1:5" ht="15.75" customHeight="1">
      <c r="A202" s="45"/>
      <c r="B202" s="35"/>
      <c r="C202" s="46"/>
      <c r="D202" s="46"/>
      <c r="E202" s="46"/>
    </row>
    <row r="203" spans="1:5" ht="15.75" customHeight="1">
      <c r="A203" s="45"/>
      <c r="B203" s="35"/>
      <c r="C203" s="46"/>
      <c r="D203" s="46"/>
      <c r="E203" s="46"/>
    </row>
    <row r="204" spans="1:5" ht="15.75" customHeight="1">
      <c r="A204" s="45"/>
      <c r="B204" s="35"/>
      <c r="C204" s="46"/>
      <c r="D204" s="46"/>
      <c r="E204" s="46"/>
    </row>
    <row r="205" spans="1:5" ht="15.75" customHeight="1">
      <c r="A205" s="45"/>
      <c r="B205" s="35"/>
      <c r="C205" s="46"/>
      <c r="D205" s="46"/>
      <c r="E205" s="46"/>
    </row>
    <row r="206" spans="1:5" ht="15.75" customHeight="1">
      <c r="A206" s="45"/>
      <c r="B206" s="35"/>
      <c r="C206" s="46"/>
      <c r="D206" s="46"/>
      <c r="E206" s="46"/>
    </row>
    <row r="207" spans="1:5" ht="15.75" customHeight="1">
      <c r="A207" s="45"/>
      <c r="B207" s="35"/>
      <c r="C207" s="46"/>
      <c r="D207" s="46"/>
      <c r="E207" s="46"/>
    </row>
    <row r="208" spans="1:5" ht="15.75" customHeight="1">
      <c r="A208" s="45"/>
      <c r="B208" s="35"/>
      <c r="C208" s="46"/>
      <c r="D208" s="46"/>
      <c r="E208" s="46"/>
    </row>
    <row r="209" spans="1:5" ht="15.75" customHeight="1">
      <c r="A209" s="45"/>
      <c r="B209" s="35"/>
      <c r="C209" s="46"/>
      <c r="D209" s="46"/>
      <c r="E209" s="46"/>
    </row>
    <row r="210" spans="1:5" ht="15.75" customHeight="1">
      <c r="A210" s="45"/>
      <c r="B210" s="35"/>
      <c r="C210" s="46"/>
      <c r="D210" s="46"/>
      <c r="E210" s="46"/>
    </row>
    <row r="211" spans="1:5" ht="15.75" customHeight="1">
      <c r="A211" s="45"/>
      <c r="B211" s="35"/>
      <c r="C211" s="46"/>
      <c r="D211" s="46"/>
      <c r="E211" s="46"/>
    </row>
    <row r="212" spans="1:5" ht="15.75" customHeight="1">
      <c r="A212" s="45"/>
      <c r="B212" s="35"/>
      <c r="C212" s="46"/>
      <c r="D212" s="46"/>
      <c r="E212" s="46"/>
    </row>
    <row r="213" spans="1:5" ht="15.75" customHeight="1">
      <c r="A213" s="45"/>
      <c r="B213" s="35"/>
      <c r="C213" s="46"/>
      <c r="D213" s="46"/>
      <c r="E213" s="46"/>
    </row>
    <row r="214" spans="1:5" ht="15.75" customHeight="1">
      <c r="A214" s="45"/>
      <c r="B214" s="35"/>
      <c r="C214" s="46"/>
      <c r="D214" s="46"/>
      <c r="E214" s="46"/>
    </row>
    <row r="215" spans="1:5" ht="15.75" customHeight="1">
      <c r="A215" s="45"/>
      <c r="B215" s="35"/>
      <c r="C215" s="46"/>
      <c r="D215" s="46"/>
      <c r="E215" s="46"/>
    </row>
    <row r="216" spans="1:5" ht="15.75" customHeight="1">
      <c r="A216" s="45"/>
      <c r="B216" s="35"/>
      <c r="C216" s="46"/>
      <c r="D216" s="46"/>
      <c r="E216" s="46"/>
    </row>
    <row r="217" spans="1:5" ht="15.75" customHeight="1">
      <c r="A217" s="45"/>
      <c r="B217" s="35"/>
      <c r="C217" s="46"/>
      <c r="D217" s="46"/>
      <c r="E217" s="46"/>
    </row>
    <row r="218" spans="1:5" ht="15.75" customHeight="1">
      <c r="A218" s="45"/>
      <c r="B218" s="35"/>
      <c r="C218" s="46"/>
      <c r="D218" s="46"/>
      <c r="E218" s="46"/>
    </row>
    <row r="219" spans="1:5" ht="15.75" customHeight="1">
      <c r="A219" s="45"/>
      <c r="B219" s="35"/>
      <c r="C219" s="46"/>
      <c r="D219" s="46"/>
      <c r="E219" s="46"/>
    </row>
    <row r="220" spans="1:5" ht="15.75" customHeight="1">
      <c r="A220" s="45"/>
      <c r="B220" s="35"/>
      <c r="C220" s="46"/>
      <c r="D220" s="46"/>
      <c r="E220" s="46"/>
    </row>
    <row r="221" spans="1:5" ht="15.75" customHeight="1">
      <c r="A221" s="45"/>
      <c r="B221" s="35"/>
      <c r="C221" s="46"/>
      <c r="D221" s="46"/>
      <c r="E221" s="46"/>
    </row>
    <row r="222" spans="1:5" ht="15.75" customHeight="1">
      <c r="A222" s="45"/>
      <c r="B222" s="35"/>
      <c r="C222" s="46"/>
      <c r="D222" s="46"/>
      <c r="E222" s="46"/>
    </row>
    <row r="223" spans="1:5" ht="15.75" customHeight="1">
      <c r="A223" s="45"/>
      <c r="B223" s="35"/>
      <c r="C223" s="46"/>
      <c r="D223" s="46"/>
      <c r="E223" s="46"/>
    </row>
    <row r="224" spans="1:5" ht="15.75" customHeight="1">
      <c r="A224" s="45"/>
      <c r="B224" s="35"/>
      <c r="C224" s="46"/>
      <c r="D224" s="46"/>
      <c r="E224" s="46"/>
    </row>
    <row r="225" spans="1:5" ht="15.75" customHeight="1">
      <c r="A225" s="45"/>
      <c r="B225" s="35"/>
      <c r="C225" s="46"/>
      <c r="D225" s="46"/>
      <c r="E225" s="46"/>
    </row>
    <row r="226" spans="1:5" ht="15.75" customHeight="1">
      <c r="A226" s="45"/>
      <c r="B226" s="35"/>
      <c r="C226" s="46"/>
      <c r="D226" s="46"/>
      <c r="E226" s="46"/>
    </row>
    <row r="227" spans="1:5" ht="15.75" customHeight="1">
      <c r="A227" s="45"/>
      <c r="B227" s="35"/>
      <c r="C227" s="46"/>
      <c r="D227" s="46"/>
      <c r="E227" s="46"/>
    </row>
    <row r="228" spans="1:5" ht="15.75" customHeight="1">
      <c r="A228" s="45"/>
      <c r="B228" s="35"/>
      <c r="C228" s="46"/>
      <c r="D228" s="46"/>
      <c r="E228" s="46"/>
    </row>
    <row r="229" spans="1:5" ht="15.75" customHeight="1">
      <c r="A229" s="45"/>
      <c r="B229" s="35"/>
      <c r="C229" s="46"/>
      <c r="D229" s="46"/>
      <c r="E229" s="46"/>
    </row>
    <row r="230" spans="1:5" ht="15.75" customHeight="1">
      <c r="A230" s="45"/>
      <c r="B230" s="35"/>
      <c r="C230" s="46"/>
      <c r="D230" s="46"/>
      <c r="E230" s="46"/>
    </row>
    <row r="231" spans="1:5" ht="15.75" customHeight="1">
      <c r="A231" s="45"/>
      <c r="B231" s="35"/>
      <c r="C231" s="46"/>
      <c r="D231" s="46"/>
      <c r="E231" s="46"/>
    </row>
    <row r="232" spans="1:5" ht="15.75" customHeight="1">
      <c r="A232" s="45"/>
      <c r="B232" s="35"/>
      <c r="C232" s="46"/>
      <c r="D232" s="46"/>
      <c r="E232" s="46"/>
    </row>
    <row r="233" spans="1:5" ht="15.75" customHeight="1">
      <c r="A233" s="45"/>
      <c r="B233" s="35"/>
      <c r="C233" s="46"/>
      <c r="D233" s="46"/>
      <c r="E233" s="46"/>
    </row>
    <row r="234" spans="1:5" ht="15.75" customHeight="1">
      <c r="A234" s="45"/>
      <c r="B234" s="35"/>
      <c r="C234" s="46"/>
      <c r="D234" s="46"/>
      <c r="E234" s="46"/>
    </row>
    <row r="235" spans="1:5" ht="15.75" customHeight="1">
      <c r="A235" s="45"/>
      <c r="B235" s="35"/>
      <c r="C235" s="46"/>
      <c r="D235" s="46"/>
      <c r="E235" s="46"/>
    </row>
    <row r="236" spans="1:5" ht="15.75" customHeight="1">
      <c r="A236" s="45"/>
      <c r="B236" s="35"/>
      <c r="C236" s="46"/>
      <c r="D236" s="46"/>
      <c r="E236" s="46"/>
    </row>
    <row r="237" spans="1:5" ht="15.75" customHeight="1">
      <c r="A237" s="45"/>
      <c r="B237" s="35"/>
      <c r="C237" s="46"/>
      <c r="D237" s="46"/>
      <c r="E237" s="46"/>
    </row>
    <row r="238" spans="1:5" ht="15.75" customHeight="1">
      <c r="A238" s="45"/>
      <c r="B238" s="35"/>
      <c r="C238" s="46"/>
      <c r="D238" s="46"/>
      <c r="E238" s="46"/>
    </row>
    <row r="239" spans="1:5" ht="15.75" customHeight="1">
      <c r="A239" s="45"/>
      <c r="B239" s="35"/>
      <c r="C239" s="46"/>
      <c r="D239" s="46"/>
      <c r="E239" s="46"/>
    </row>
    <row r="240" spans="1:5" ht="15.75" customHeight="1">
      <c r="A240" s="45"/>
      <c r="B240" s="35"/>
      <c r="C240" s="46"/>
      <c r="D240" s="46"/>
      <c r="E240" s="46"/>
    </row>
    <row r="241" spans="1:5" ht="15.75" customHeight="1">
      <c r="A241" s="45"/>
      <c r="B241" s="35"/>
      <c r="C241" s="46"/>
      <c r="D241" s="46"/>
      <c r="E241" s="46"/>
    </row>
    <row r="242" spans="1:5" ht="15.75" customHeight="1">
      <c r="A242" s="45"/>
      <c r="B242" s="35"/>
      <c r="C242" s="46"/>
      <c r="D242" s="46"/>
      <c r="E242" s="46"/>
    </row>
    <row r="243" spans="1:5" ht="15.75" customHeight="1">
      <c r="A243" s="45"/>
      <c r="B243" s="35"/>
      <c r="C243" s="46"/>
      <c r="D243" s="46"/>
      <c r="E243" s="46"/>
    </row>
    <row r="244" spans="1:5" ht="15.75" customHeight="1">
      <c r="A244" s="45"/>
      <c r="B244" s="35"/>
      <c r="C244" s="46"/>
      <c r="D244" s="46"/>
      <c r="E244" s="46"/>
    </row>
    <row r="245" spans="1:5" ht="15.75" customHeight="1">
      <c r="A245" s="45"/>
      <c r="B245" s="35"/>
      <c r="C245" s="46"/>
      <c r="D245" s="46"/>
      <c r="E245" s="46"/>
    </row>
    <row r="246" spans="1:5" ht="15.75" customHeight="1"/>
    <row r="247" spans="1:5" ht="15.75" customHeight="1"/>
    <row r="248" spans="1:5" ht="15.75" customHeight="1"/>
    <row r="249" spans="1:5" ht="15.75" customHeight="1"/>
    <row r="250" spans="1:5" ht="15.75" customHeight="1"/>
    <row r="251" spans="1:5" ht="15.75" customHeight="1"/>
    <row r="252" spans="1:5" ht="15.75" customHeight="1"/>
    <row r="253" spans="1:5" ht="15.75" customHeight="1"/>
    <row r="254" spans="1:5" ht="15.75" customHeight="1"/>
    <row r="255" spans="1:5" ht="15.75" customHeight="1"/>
    <row r="256" spans="1: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6" customHeight="1"/>
    <row r="1004" ht="16" customHeight="1"/>
  </sheetData>
  <autoFilter ref="A1:M22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13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205</v>
      </c>
      <c r="D3" s="8" t="s">
        <v>206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 customHeight="1">
      <c r="A4" s="2"/>
      <c r="B4" s="9" t="s">
        <v>207</v>
      </c>
      <c r="C4" s="9" t="s">
        <v>208</v>
      </c>
      <c r="D4" s="8" t="s">
        <v>209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211</v>
      </c>
      <c r="D5" s="8" t="s">
        <v>212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 customHeight="1">
      <c r="A6" s="2"/>
      <c r="B6" s="9" t="s">
        <v>213</v>
      </c>
      <c r="C6" s="9" t="s">
        <v>214</v>
      </c>
      <c r="D6" s="8" t="s">
        <v>215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 customHeight="1">
      <c r="A7" s="2"/>
      <c r="B7" s="9" t="s">
        <v>216</v>
      </c>
      <c r="C7" s="9" t="s">
        <v>217</v>
      </c>
      <c r="D7" s="8" t="s">
        <v>218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25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219</v>
      </c>
      <c r="D3" s="8" t="s">
        <v>206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 customHeight="1">
      <c r="A4" s="2"/>
      <c r="B4" s="9" t="s">
        <v>207</v>
      </c>
      <c r="C4" s="9" t="s">
        <v>220</v>
      </c>
      <c r="D4" s="8" t="s">
        <v>221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222</v>
      </c>
      <c r="D5" s="8" t="s">
        <v>223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 customHeight="1">
      <c r="A6" s="2"/>
      <c r="B6" s="9" t="s">
        <v>213</v>
      </c>
      <c r="C6" s="9" t="s">
        <v>224</v>
      </c>
      <c r="D6" s="8" t="s">
        <v>225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 customHeight="1">
      <c r="A7" s="2"/>
      <c r="B7" s="9" t="s">
        <v>216</v>
      </c>
      <c r="C7" s="9" t="s">
        <v>226</v>
      </c>
      <c r="D7" s="8" t="s">
        <v>227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34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228</v>
      </c>
      <c r="D3" s="8" t="s">
        <v>206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 customHeight="1">
      <c r="A4" s="2"/>
      <c r="B4" s="9" t="s">
        <v>207</v>
      </c>
      <c r="C4" s="9" t="s">
        <v>229</v>
      </c>
      <c r="D4" s="8" t="s">
        <v>230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231</v>
      </c>
      <c r="D5" s="8" t="s">
        <v>232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 customHeight="1">
      <c r="A6" s="2"/>
      <c r="B6" s="9" t="s">
        <v>213</v>
      </c>
      <c r="C6" s="9" t="s">
        <v>233</v>
      </c>
      <c r="D6" s="8" t="s">
        <v>234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 customHeight="1">
      <c r="A7" s="2"/>
      <c r="B7" s="9" t="s">
        <v>216</v>
      </c>
      <c r="C7" s="9" t="s">
        <v>235</v>
      </c>
      <c r="D7" s="8" t="s">
        <v>236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41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" customHeight="1">
      <c r="A3" s="2"/>
      <c r="B3" s="9" t="s">
        <v>237</v>
      </c>
      <c r="C3" s="9" t="s">
        <v>238</v>
      </c>
      <c r="D3" s="8" t="s">
        <v>239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 customHeight="1">
      <c r="A4" s="2"/>
      <c r="B4" s="9" t="s">
        <v>207</v>
      </c>
      <c r="C4" s="9" t="s">
        <v>240</v>
      </c>
      <c r="D4" s="8" t="s">
        <v>241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242</v>
      </c>
      <c r="D5" s="8" t="s">
        <v>243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 customHeight="1">
      <c r="A6" s="2"/>
      <c r="B6" s="9" t="s">
        <v>213</v>
      </c>
      <c r="C6" s="9" t="s">
        <v>244</v>
      </c>
      <c r="D6" s="8" t="s">
        <v>245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 customHeight="1">
      <c r="A7" s="2"/>
      <c r="B7" s="9" t="s">
        <v>216</v>
      </c>
      <c r="C7" s="9" t="s">
        <v>246</v>
      </c>
      <c r="D7" s="8" t="s">
        <v>247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46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" customHeight="1">
      <c r="A3" s="2"/>
      <c r="B3" s="9" t="s">
        <v>237</v>
      </c>
      <c r="C3" s="9" t="s">
        <v>248</v>
      </c>
      <c r="D3" s="8" t="s">
        <v>249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 customHeight="1">
      <c r="A4" s="2"/>
      <c r="B4" s="9" t="s">
        <v>207</v>
      </c>
      <c r="C4" s="9" t="s">
        <v>250</v>
      </c>
      <c r="D4" s="8" t="s">
        <v>251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customHeight="1">
      <c r="A5" s="2"/>
      <c r="B5" s="9" t="s">
        <v>210</v>
      </c>
      <c r="C5" s="9" t="s">
        <v>252</v>
      </c>
      <c r="D5" s="8" t="s">
        <v>253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 customHeight="1">
      <c r="A6" s="2"/>
      <c r="B6" s="9" t="s">
        <v>213</v>
      </c>
      <c r="C6" s="9" t="s">
        <v>254</v>
      </c>
      <c r="D6" s="8" t="s">
        <v>255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256</v>
      </c>
      <c r="D7" s="8" t="s">
        <v>257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52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237</v>
      </c>
      <c r="C3" s="9" t="s">
        <v>258</v>
      </c>
      <c r="D3" s="8" t="s">
        <v>259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 customHeight="1">
      <c r="A4" s="2"/>
      <c r="B4" s="9" t="s">
        <v>207</v>
      </c>
      <c r="C4" s="9" t="s">
        <v>260</v>
      </c>
      <c r="D4" s="8" t="s">
        <v>261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262</v>
      </c>
      <c r="D5" s="8" t="s">
        <v>263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264</v>
      </c>
      <c r="D6" s="8" t="s">
        <v>265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226</v>
      </c>
      <c r="D7" s="8" t="s">
        <v>266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58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267</v>
      </c>
      <c r="D3" s="8" t="s">
        <v>268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 customHeight="1">
      <c r="A4" s="2"/>
      <c r="B4" s="9" t="s">
        <v>207</v>
      </c>
      <c r="C4" s="9" t="s">
        <v>269</v>
      </c>
      <c r="D4" s="8" t="s">
        <v>270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271</v>
      </c>
      <c r="D5" s="8" t="s">
        <v>272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273</v>
      </c>
      <c r="D6" s="8" t="s">
        <v>274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 customHeight="1">
      <c r="A7" s="2"/>
      <c r="B7" s="9" t="s">
        <v>216</v>
      </c>
      <c r="C7" s="9" t="s">
        <v>275</v>
      </c>
      <c r="D7" s="8" t="s">
        <v>276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64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" customHeight="1">
      <c r="A3" s="2"/>
      <c r="B3" s="9" t="s">
        <v>237</v>
      </c>
      <c r="C3" s="9" t="s">
        <v>277</v>
      </c>
      <c r="D3" s="8" t="s">
        <v>278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279</v>
      </c>
      <c r="D4" s="8" t="s">
        <v>280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281</v>
      </c>
      <c r="D5" s="8" t="s">
        <v>282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 customHeight="1">
      <c r="A6" s="2"/>
      <c r="B6" s="9" t="s">
        <v>213</v>
      </c>
      <c r="C6" s="9" t="s">
        <v>283</v>
      </c>
      <c r="D6" s="8" t="s">
        <v>284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285</v>
      </c>
      <c r="D7" s="8" t="s">
        <v>286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71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237</v>
      </c>
      <c r="C3" s="9" t="s">
        <v>287</v>
      </c>
      <c r="D3" s="8" t="s">
        <v>288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289</v>
      </c>
      <c r="D4" s="8" t="s">
        <v>290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291</v>
      </c>
      <c r="D5" s="8" t="s">
        <v>292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293</v>
      </c>
      <c r="D6" s="8" t="s">
        <v>294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295</v>
      </c>
      <c r="D7" s="8" t="s">
        <v>296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79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237</v>
      </c>
      <c r="C3" s="9" t="s">
        <v>297</v>
      </c>
      <c r="D3" s="8" t="s">
        <v>298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" customHeight="1">
      <c r="A4" s="2"/>
      <c r="B4" s="9" t="s">
        <v>207</v>
      </c>
      <c r="C4" s="9" t="s">
        <v>299</v>
      </c>
      <c r="D4" s="8" t="s">
        <v>300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customHeight="1">
      <c r="A5" s="2"/>
      <c r="B5" s="9" t="s">
        <v>210</v>
      </c>
      <c r="C5" s="9" t="s">
        <v>301</v>
      </c>
      <c r="D5" s="8" t="s">
        <v>302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303</v>
      </c>
      <c r="D6" s="8" t="s">
        <v>304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305</v>
      </c>
      <c r="D7" s="8" t="s">
        <v>306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selection activeCell="B1" sqref="B1:D7"/>
    </sheetView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86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307</v>
      </c>
      <c r="D3" s="8" t="s">
        <v>308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309</v>
      </c>
      <c r="D4" s="8" t="s">
        <v>310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customHeight="1">
      <c r="A5" s="2"/>
      <c r="B5" s="9" t="s">
        <v>210</v>
      </c>
      <c r="C5" s="9" t="s">
        <v>311</v>
      </c>
      <c r="D5" s="8" t="s">
        <v>312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313</v>
      </c>
      <c r="D6" s="8" t="s">
        <v>314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315</v>
      </c>
      <c r="D7" s="8" t="s">
        <v>316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91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237</v>
      </c>
      <c r="C3" s="9" t="s">
        <v>317</v>
      </c>
      <c r="D3" s="8" t="s">
        <v>318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319</v>
      </c>
      <c r="D4" s="8" t="s">
        <v>320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321</v>
      </c>
      <c r="D5" s="8" t="s">
        <v>322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323</v>
      </c>
      <c r="D6" s="8" t="s">
        <v>324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325</v>
      </c>
      <c r="D7" s="8" t="s">
        <v>326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98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237</v>
      </c>
      <c r="C3" s="9" t="s">
        <v>327</v>
      </c>
      <c r="D3" s="8" t="s">
        <v>328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329</v>
      </c>
      <c r="D4" s="8" t="s">
        <v>330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331</v>
      </c>
      <c r="D5" s="8" t="s">
        <v>332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333</v>
      </c>
      <c r="D6" s="8" t="s">
        <v>334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335</v>
      </c>
      <c r="D7" s="8" t="s">
        <v>336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104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337</v>
      </c>
      <c r="D3" s="8" t="s">
        <v>338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339</v>
      </c>
      <c r="D4" s="8" t="s">
        <v>340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341</v>
      </c>
      <c r="D5" s="8" t="s">
        <v>342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343</v>
      </c>
      <c r="D6" s="8" t="s">
        <v>344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345</v>
      </c>
      <c r="D7" s="8" t="s">
        <v>346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116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347</v>
      </c>
      <c r="D3" s="8" t="s">
        <v>348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349</v>
      </c>
      <c r="D4" s="8" t="s">
        <v>350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customHeight="1">
      <c r="A5" s="2"/>
      <c r="B5" s="9" t="s">
        <v>210</v>
      </c>
      <c r="C5" s="9" t="s">
        <v>351</v>
      </c>
      <c r="D5" s="8" t="s">
        <v>352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353</v>
      </c>
      <c r="D6" s="8" t="s">
        <v>354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355</v>
      </c>
      <c r="D7" s="8" t="s">
        <v>356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110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357</v>
      </c>
      <c r="D3" s="8" t="s">
        <v>358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359</v>
      </c>
      <c r="D4" s="8" t="s">
        <v>360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customHeight="1">
      <c r="A5" s="2"/>
      <c r="B5" s="9" t="s">
        <v>210</v>
      </c>
      <c r="C5" s="9" t="s">
        <v>361</v>
      </c>
      <c r="D5" s="8" t="s">
        <v>362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" customHeight="1">
      <c r="A6" s="2"/>
      <c r="B6" s="9" t="s">
        <v>213</v>
      </c>
      <c r="C6" s="9" t="s">
        <v>363</v>
      </c>
      <c r="D6" s="8" t="s">
        <v>364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365</v>
      </c>
      <c r="D7" s="8" t="s">
        <v>366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367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368</v>
      </c>
      <c r="D3" s="8" t="s">
        <v>369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370</v>
      </c>
      <c r="D4" s="8" t="s">
        <v>371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customHeight="1">
      <c r="A5" s="2"/>
      <c r="B5" s="9" t="s">
        <v>210</v>
      </c>
      <c r="C5" s="9" t="s">
        <v>372</v>
      </c>
      <c r="D5" s="8" t="s">
        <v>373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374</v>
      </c>
      <c r="D6" s="8" t="s">
        <v>375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376</v>
      </c>
      <c r="D7" s="8" t="s">
        <v>377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127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378</v>
      </c>
      <c r="D3" s="8" t="s">
        <v>379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380</v>
      </c>
      <c r="D4" s="8" t="s">
        <v>381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customHeight="1">
      <c r="A5" s="2"/>
      <c r="B5" s="9" t="s">
        <v>210</v>
      </c>
      <c r="C5" s="9" t="s">
        <v>382</v>
      </c>
      <c r="D5" s="8" t="s">
        <v>383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384</v>
      </c>
      <c r="D6" s="8" t="s">
        <v>385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386</v>
      </c>
      <c r="D7" s="8" t="s">
        <v>387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140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388</v>
      </c>
      <c r="D3" s="8" t="s">
        <v>389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390</v>
      </c>
      <c r="D4" s="8" t="s">
        <v>391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customHeight="1">
      <c r="A5" s="2"/>
      <c r="B5" s="9" t="s">
        <v>210</v>
      </c>
      <c r="C5" s="9" t="s">
        <v>392</v>
      </c>
      <c r="D5" s="8" t="s">
        <v>393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394</v>
      </c>
      <c r="D6" s="8" t="s">
        <v>395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396</v>
      </c>
      <c r="D7" s="8" t="s">
        <v>397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398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2" customHeight="1">
      <c r="A3" s="2"/>
      <c r="B3" s="9" t="s">
        <v>204</v>
      </c>
      <c r="C3" s="9" t="s">
        <v>399</v>
      </c>
      <c r="D3" s="8" t="s">
        <v>400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401</v>
      </c>
      <c r="D4" s="8" t="s">
        <v>402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customHeight="1">
      <c r="A5" s="2"/>
      <c r="B5" s="9" t="s">
        <v>210</v>
      </c>
      <c r="C5" s="9" t="s">
        <v>403</v>
      </c>
      <c r="D5" s="8" t="s">
        <v>404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405</v>
      </c>
      <c r="D6" s="8" t="s">
        <v>406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407</v>
      </c>
      <c r="D7" s="8" t="s">
        <v>408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baseColWidth="10" defaultColWidth="14.5" defaultRowHeight="15" customHeight="1"/>
  <cols>
    <col min="1" max="1" width="8.6640625" customWidth="1"/>
    <col min="2" max="2" width="34" customWidth="1"/>
    <col min="3" max="3" width="48" customWidth="1"/>
    <col min="4" max="4" width="68" customWidth="1"/>
    <col min="5" max="6" width="8.6640625" customWidth="1"/>
  </cols>
  <sheetData>
    <row r="1" spans="1:26" ht="16" customHeight="1">
      <c r="A1" s="2"/>
      <c r="B1" s="6" t="s">
        <v>152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customHeight="1">
      <c r="A2" s="2"/>
      <c r="B2" s="7" t="s">
        <v>201</v>
      </c>
      <c r="C2" s="7" t="s">
        <v>202</v>
      </c>
      <c r="D2" s="8" t="s">
        <v>203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customHeight="1">
      <c r="A3" s="2"/>
      <c r="B3" s="9" t="s">
        <v>204</v>
      </c>
      <c r="C3" s="9" t="s">
        <v>409</v>
      </c>
      <c r="D3" s="8" t="s">
        <v>410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customHeight="1">
      <c r="A4" s="2"/>
      <c r="B4" s="9" t="s">
        <v>207</v>
      </c>
      <c r="C4" s="9" t="s">
        <v>411</v>
      </c>
      <c r="D4" s="8" t="s">
        <v>412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" customHeight="1">
      <c r="A5" s="2"/>
      <c r="B5" s="9" t="s">
        <v>210</v>
      </c>
      <c r="C5" s="9" t="s">
        <v>413</v>
      </c>
      <c r="D5" s="8" t="s">
        <v>414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customHeight="1">
      <c r="A6" s="2"/>
      <c r="B6" s="9" t="s">
        <v>213</v>
      </c>
      <c r="C6" s="9" t="s">
        <v>415</v>
      </c>
      <c r="D6" s="8" t="s">
        <v>416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customHeight="1">
      <c r="A7" s="2"/>
      <c r="B7" s="9" t="s">
        <v>216</v>
      </c>
      <c r="C7" s="9" t="s">
        <v>417</v>
      </c>
      <c r="D7" s="8" t="s">
        <v>418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</row>
    <row r="222" spans="1:26" ht="15.75" customHeight="1">
      <c r="A222" s="2"/>
      <c r="B222" s="2"/>
      <c r="C222" s="2"/>
      <c r="D222" s="2"/>
      <c r="E222" s="2"/>
      <c r="F222" s="2"/>
    </row>
    <row r="223" spans="1:26" ht="15.75" customHeight="1">
      <c r="A223" s="2"/>
      <c r="B223" s="2"/>
      <c r="C223" s="2"/>
      <c r="D223" s="2"/>
      <c r="E223" s="2"/>
      <c r="F223" s="2"/>
    </row>
    <row r="224" spans="1:2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  <row r="999" spans="1:6" ht="15.75" customHeight="1">
      <c r="A999" s="2"/>
      <c r="B999" s="2"/>
      <c r="C999" s="2"/>
      <c r="D999" s="2"/>
      <c r="E999" s="2"/>
      <c r="F999" s="2"/>
    </row>
    <row r="1000" spans="1:6" ht="15.75" customHeight="1">
      <c r="A1000" s="2"/>
      <c r="B1000" s="2"/>
      <c r="C1000" s="2"/>
      <c r="D1000" s="2"/>
      <c r="E1000" s="2"/>
      <c r="F1000" s="2"/>
    </row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4.5" defaultRowHeight="15" customHeight="1"/>
  <cols>
    <col min="1" max="1" width="8.83203125" customWidth="1"/>
    <col min="2" max="24" width="8.664062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1" t="s">
        <v>419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1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11" t="s">
        <v>420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11" t="s">
        <v>421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1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10" t="s">
        <v>422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10" t="s">
        <v>423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10" t="s">
        <v>424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10" t="s">
        <v>425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1" t="s">
        <v>426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1" customHeight="1">
      <c r="A20" s="2"/>
      <c r="B20" s="2"/>
      <c r="C20" s="2"/>
      <c r="D20" s="12" t="s">
        <v>427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13" t="s">
        <v>428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11" t="s">
        <v>429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1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11" t="s">
        <v>430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1" t="s">
        <v>431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13" t="s">
        <v>432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5" t="s">
        <v>433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1" t="s">
        <v>434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1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10" t="s">
        <v>435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1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10" t="s">
        <v>436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1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10" t="s">
        <v>437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5" t="s">
        <v>438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1" t="s">
        <v>439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1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10" t="s">
        <v>440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1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10" t="s">
        <v>441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1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10" t="s">
        <v>442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5" t="s">
        <v>443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1" t="s">
        <v>444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1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10" t="s">
        <v>445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1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10" t="s">
        <v>446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1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10" t="s">
        <v>447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5" t="s">
        <v>448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1" t="s">
        <v>449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1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10" t="s">
        <v>450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1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10" t="s">
        <v>451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1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10" t="s">
        <v>452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5" t="s">
        <v>453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1" t="s">
        <v>454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1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10" t="s">
        <v>455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1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10" t="s">
        <v>456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1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10" t="s">
        <v>457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5" t="s">
        <v>458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1" t="s">
        <v>459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1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10" t="s">
        <v>460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1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10" t="s">
        <v>461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1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10" t="s">
        <v>462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12" t="s">
        <v>463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1" t="s">
        <v>464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13" t="s">
        <v>465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1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10" t="s">
        <v>466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1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10" t="s">
        <v>467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1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10" t="s">
        <v>468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1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10" t="s">
        <v>469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1" t="s">
        <v>470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1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10" t="s">
        <v>471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1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10" t="s">
        <v>472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1" t="s">
        <v>473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1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10" t="s">
        <v>474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1" t="s">
        <v>475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12" t="s">
        <v>476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1" t="s">
        <v>477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13" t="s">
        <v>478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1" t="s">
        <v>479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1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10" t="s">
        <v>480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1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10" t="s">
        <v>481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1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10" t="s">
        <v>482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1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10" t="s">
        <v>483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13" t="s">
        <v>484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1" t="s">
        <v>479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1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10" t="s">
        <v>485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1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10" t="s">
        <v>486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1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10" t="s">
        <v>487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1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10" t="s">
        <v>488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1" t="s">
        <v>489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12" t="s">
        <v>490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5" t="s">
        <v>491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1" t="s">
        <v>492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5" t="s">
        <v>493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1" t="s">
        <v>494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1" t="s">
        <v>495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1" t="s">
        <v>496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5" t="s">
        <v>497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1" t="s">
        <v>498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1" t="s">
        <v>499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1" t="s">
        <v>500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1" t="s">
        <v>501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5" t="s">
        <v>502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1" t="s">
        <v>503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1" t="s">
        <v>504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1" t="s">
        <v>505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1" t="s">
        <v>506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5" t="s">
        <v>507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1" t="s">
        <v>508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1" t="s">
        <v>509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1" t="s">
        <v>510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1" t="s">
        <v>511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1" t="s">
        <v>512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5" t="s">
        <v>167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1" t="s">
        <v>168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1" t="s">
        <v>169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1" t="s">
        <v>170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1" t="s">
        <v>171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1" t="s">
        <v>172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1" t="s">
        <v>173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12" t="s">
        <v>513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1" t="s">
        <v>514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1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10" t="s">
        <v>515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1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10" t="s">
        <v>516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1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10" t="s">
        <v>517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1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10" t="s">
        <v>518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1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10" t="s">
        <v>519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12" t="s">
        <v>520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1" t="s">
        <v>521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1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10" t="s">
        <v>522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1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10" t="s">
        <v>523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1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10" t="s">
        <v>524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1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10" t="s">
        <v>525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1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10" t="s">
        <v>526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1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10" t="s">
        <v>527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12" t="s">
        <v>528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1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10" t="s">
        <v>529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1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10" t="s">
        <v>530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1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10" t="s">
        <v>531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1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10" t="s">
        <v>532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1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10" t="s">
        <v>533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12" t="s">
        <v>534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14" t="s">
        <v>535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14" t="s">
        <v>536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14" t="s">
        <v>537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14" t="s">
        <v>538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14" t="s">
        <v>539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14" t="s">
        <v>540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1" t="s">
        <v>541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1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10" t="s">
        <v>542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1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10" t="s">
        <v>543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1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10" t="s">
        <v>544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1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10" t="s">
        <v>545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1" t="s">
        <v>546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</vt:lpstr>
      <vt:lpstr>Revised</vt:lpstr>
      <vt:lpstr>Managing Director</vt:lpstr>
      <vt:lpstr>Director of Programs</vt:lpstr>
      <vt:lpstr>Director of Operations</vt:lpstr>
      <vt:lpstr>Project Manager</vt:lpstr>
      <vt:lpstr>IT Manager</vt:lpstr>
      <vt:lpstr>Program Manager</vt:lpstr>
      <vt:lpstr>Community Manager</vt:lpstr>
      <vt:lpstr>Content Lead</vt:lpstr>
      <vt:lpstr>Social Media Manager</vt:lpstr>
      <vt:lpstr>Finance Associate</vt:lpstr>
      <vt:lpstr>Program Associate</vt:lpstr>
      <vt:lpstr>Admin Associate</vt:lpstr>
      <vt:lpstr>HR Associate</vt:lpstr>
      <vt:lpstr>Facility Associate</vt:lpstr>
      <vt:lpstr>IT Associate</vt:lpstr>
      <vt:lpstr>Graphic &amp; Multimedia Designer</vt:lpstr>
      <vt:lpstr>IT Support</vt:lpstr>
      <vt:lpstr>Facility Support</vt:lpstr>
      <vt:lpstr>Front Desk Support</vt:lpstr>
      <vt:lpstr>Hospitality Support</vt:lpstr>
      <vt:lpstr>Driver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Temi Kolawole</cp:lastModifiedBy>
  <dcterms:created xsi:type="dcterms:W3CDTF">2026-01-21T10:30:55Z</dcterms:created>
  <dcterms:modified xsi:type="dcterms:W3CDTF">2026-02-27T03:16:38Z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0x010100BF74ADF3E0D7234AB135BD976B53C994</vt:lpwstr>
  </property>
  <property fmtid="{D5CDD505-2E9C-101B-9397-08002B2CF9AE}" pid="4" name="MSIP_Label_e3b90c06-e7c4-4c73-a336-43ba8a9e9e19_Removed">
    <vt:lpwstr>False</vt:lpwstr>
  </property>
  <property fmtid="{D5CDD505-2E9C-101B-9397-08002B2CF9AE}" pid="5" name="MSIP_Label_e3b90c06-e7c4-4c73-a336-43ba8a9e9e19_ActionId">
    <vt:lpwstr>aa7cff5f-183c-404e-94b1-0423627a0e82</vt:lpwstr>
  </property>
  <property fmtid="{D5CDD505-2E9C-101B-9397-08002B2CF9AE}" pid="6" name="MSIP_Label_e3b90c06-e7c4-4c73-a336-43ba8a9e9e19_Name">
    <vt:lpwstr>Confidential</vt:lpwstr>
  </property>
  <property fmtid="{D5CDD505-2E9C-101B-9397-08002B2CF9AE}" pid="7" name="MSIP_Label_e3b90c06-e7c4-4c73-a336-43ba8a9e9e19_SetDate">
    <vt:lpwstr>2026-02-04T22:18:48Z</vt:lpwstr>
  </property>
  <property fmtid="{D5CDD505-2E9C-101B-9397-08002B2CF9AE}" pid="8" name="MSIP_Label_e3b90c06-e7c4-4c73-a336-43ba8a9e9e19_SiteId">
    <vt:lpwstr>5dadcdcb-ea32-47fe-84b2-0f6cc63c2e0f</vt:lpwstr>
  </property>
  <property fmtid="{D5CDD505-2E9C-101B-9397-08002B2CF9AE}" pid="9" name="MSIP_Label_e3b90c06-e7c4-4c73-a336-43ba8a9e9e19_Enabled">
    <vt:lpwstr>True</vt:lpwstr>
  </property>
  <property fmtid="{D5CDD505-2E9C-101B-9397-08002B2CF9AE}" pid="10" name="MSIP_Label_e3b90c06-e7c4-4c73-a336-43ba8a9e9e19_Extended_MSFT_Method">
    <vt:lpwstr>Standard</vt:lpwstr>
  </property>
  <property fmtid="{D5CDD505-2E9C-101B-9397-08002B2CF9AE}" pid="11" name="Sensitivity">
    <vt:lpwstr>Confidential</vt:lpwstr>
  </property>
</Properties>
</file>