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v/Documents/Ilorin Innovation Hub/"/>
    </mc:Choice>
  </mc:AlternateContent>
  <xr:revisionPtr revIDLastSave="0" documentId="13_ncr:1_{40C51327-9EA0-E64B-B855-366479D99601}" xr6:coauthVersionLast="47" xr6:coauthVersionMax="47" xr10:uidLastSave="{00000000-0000-0000-0000-000000000000}"/>
  <bookViews>
    <workbookView xWindow="1180" yWindow="1500" windowWidth="27240" windowHeight="15440" xr2:uid="{F5421C27-4150-7B43-9AEC-E3B48350FA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E23" i="1" s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5" i="1"/>
  <c r="G22" i="1" s="1"/>
  <c r="G23" i="1" s="1"/>
</calcChain>
</file>

<file path=xl/sharedStrings.xml><?xml version="1.0" encoding="utf-8"?>
<sst xmlns="http://schemas.openxmlformats.org/spreadsheetml/2006/main" count="23" uniqueCount="23">
  <si>
    <t>Managing Director</t>
  </si>
  <si>
    <t>Admin &amp; HR Manager</t>
  </si>
  <si>
    <t>Training Manager</t>
  </si>
  <si>
    <t>Program Manager (s)</t>
  </si>
  <si>
    <t>HR Manager</t>
  </si>
  <si>
    <t>Facility Manager</t>
  </si>
  <si>
    <t>Marketing &amp; PR Manager</t>
  </si>
  <si>
    <t>Accounts Manager</t>
  </si>
  <si>
    <t>IIH STAFF SALARIES</t>
  </si>
  <si>
    <t>Training Coordinator</t>
  </si>
  <si>
    <t>Training &amp; Talent Officer</t>
  </si>
  <si>
    <t>Front Desk Officer</t>
  </si>
  <si>
    <t>Graphic Designer</t>
  </si>
  <si>
    <t>Social Media Officer</t>
  </si>
  <si>
    <t>IT Support Officers</t>
  </si>
  <si>
    <t>Legal Officer</t>
  </si>
  <si>
    <t>Maintenance Officers</t>
  </si>
  <si>
    <t>Drivers</t>
  </si>
  <si>
    <t>Salary</t>
  </si>
  <si>
    <t>No of Staff</t>
  </si>
  <si>
    <t>Health Insurance</t>
  </si>
  <si>
    <t>Total Monthly</t>
  </si>
  <si>
    <t>Annually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</si>
</sst>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justify" vertical="center" readingOrder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 readingOrder="1"/>
    </xf>
    <xf numFmtId="3" fontId="1" fillId="0" borderId="0" xfId="0" applyNumberFormat="1" applyFont="1"/>
    <xf numFmtId="3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2CBF9-C3C6-0145-8B57-36E1321E4663}">
  <dimension ref="A2:H23"/>
  <sheetViews>
    <sheetView tabSelected="1" workbookViewId="0">
      <selection activeCell="G20" sqref="G20"/>
    </sheetView>
  </sheetViews>
  <sheetFormatPr baseColWidth="10" defaultRowHeight="13" x14ac:dyDescent="0.15"/>
  <cols>
    <col min="1" max="1" width="48.6640625" style="1" customWidth="1"/>
    <col min="2" max="2" width="15.83203125" style="3" customWidth="1"/>
    <col min="3" max="4" width="10.83203125" style="1"/>
    <col min="5" max="5" width="14.83203125" style="1" bestFit="1" customWidth="1"/>
    <col min="6" max="6" width="14.83203125" style="1" customWidth="1"/>
    <col min="7" max="7" width="12.5" style="1" bestFit="1" customWidth="1"/>
    <col min="8" max="16384" width="10.83203125" style="1"/>
  </cols>
  <sheetData>
    <row r="2" spans="1:8" s="7" customFormat="1" x14ac:dyDescent="0.15">
      <c r="A2" s="7" t="s">
        <v>8</v>
      </c>
      <c r="B2" s="8"/>
    </row>
    <row r="4" spans="1:8" s="7" customFormat="1" x14ac:dyDescent="0.15">
      <c r="B4" s="8" t="s">
        <v>19</v>
      </c>
      <c r="C4" s="7" t="s">
        <v>18</v>
      </c>
      <c r="E4" s="7" t="s">
        <v>20</v>
      </c>
      <c r="G4" s="7" t="s">
        <v>21</v>
      </c>
    </row>
    <row r="5" spans="1:8" x14ac:dyDescent="0.15">
      <c r="A5" s="1" t="s">
        <v>0</v>
      </c>
      <c r="B5" s="3">
        <v>1</v>
      </c>
      <c r="C5" s="5">
        <v>3000000</v>
      </c>
      <c r="D5" s="5"/>
      <c r="E5" s="5">
        <v>35000</v>
      </c>
      <c r="F5" s="5"/>
      <c r="G5" s="5">
        <f>B5*C5+E5</f>
        <v>3035000</v>
      </c>
      <c r="H5" s="5"/>
    </row>
    <row r="6" spans="1:8" ht="14" x14ac:dyDescent="0.15">
      <c r="A6" s="2" t="s">
        <v>1</v>
      </c>
      <c r="B6" s="4">
        <v>1</v>
      </c>
      <c r="C6" s="5">
        <v>200000</v>
      </c>
      <c r="D6" s="5"/>
      <c r="E6" s="5">
        <v>20000</v>
      </c>
      <c r="F6" s="5"/>
      <c r="G6" s="5">
        <f>B6*C6+E6</f>
        <v>220000</v>
      </c>
      <c r="H6" s="5"/>
    </row>
    <row r="7" spans="1:8" ht="14" x14ac:dyDescent="0.15">
      <c r="A7" s="2" t="s">
        <v>2</v>
      </c>
      <c r="B7" s="4">
        <v>1</v>
      </c>
      <c r="C7" s="5">
        <v>200000</v>
      </c>
      <c r="D7" s="5"/>
      <c r="E7" s="5">
        <v>20000</v>
      </c>
      <c r="F7" s="5"/>
      <c r="G7" s="5">
        <f>B7*C7+E7</f>
        <v>220000</v>
      </c>
      <c r="H7" s="5"/>
    </row>
    <row r="8" spans="1:8" ht="14" x14ac:dyDescent="0.15">
      <c r="A8" s="2" t="s">
        <v>3</v>
      </c>
      <c r="B8" s="4">
        <v>1</v>
      </c>
      <c r="C8" s="5">
        <v>200000</v>
      </c>
      <c r="D8" s="5"/>
      <c r="E8" s="5">
        <v>20000</v>
      </c>
      <c r="F8" s="5"/>
      <c r="G8" s="5">
        <f>B8*C8+E8</f>
        <v>220000</v>
      </c>
      <c r="H8" s="5"/>
    </row>
    <row r="9" spans="1:8" ht="14" x14ac:dyDescent="0.15">
      <c r="A9" s="2" t="s">
        <v>4</v>
      </c>
      <c r="B9" s="4">
        <v>1</v>
      </c>
      <c r="C9" s="5">
        <v>200000</v>
      </c>
      <c r="D9" s="5"/>
      <c r="E9" s="5">
        <v>20000</v>
      </c>
      <c r="F9" s="5"/>
      <c r="G9" s="5">
        <f>B9*C9+E9</f>
        <v>220000</v>
      </c>
      <c r="H9" s="5"/>
    </row>
    <row r="10" spans="1:8" ht="14" x14ac:dyDescent="0.15">
      <c r="A10" s="2" t="s">
        <v>5</v>
      </c>
      <c r="B10" s="4">
        <v>1</v>
      </c>
      <c r="C10" s="5">
        <v>200000</v>
      </c>
      <c r="D10" s="5"/>
      <c r="E10" s="5">
        <v>20000</v>
      </c>
      <c r="F10" s="5"/>
      <c r="G10" s="5">
        <f>B10*C10+E10</f>
        <v>220000</v>
      </c>
      <c r="H10" s="5"/>
    </row>
    <row r="11" spans="1:8" ht="14" x14ac:dyDescent="0.15">
      <c r="A11" s="2" t="s">
        <v>6</v>
      </c>
      <c r="B11" s="4">
        <v>1</v>
      </c>
      <c r="C11" s="5">
        <v>200000</v>
      </c>
      <c r="D11" s="5"/>
      <c r="E11" s="5">
        <v>20000</v>
      </c>
      <c r="F11" s="5"/>
      <c r="G11" s="5">
        <f>B11*C11+E11</f>
        <v>220000</v>
      </c>
      <c r="H11" s="5"/>
    </row>
    <row r="12" spans="1:8" ht="14" x14ac:dyDescent="0.15">
      <c r="A12" s="2" t="s">
        <v>7</v>
      </c>
      <c r="B12" s="4">
        <v>1</v>
      </c>
      <c r="C12" s="5">
        <v>200000</v>
      </c>
      <c r="D12" s="5"/>
      <c r="E12" s="5">
        <v>20000</v>
      </c>
      <c r="F12" s="5"/>
      <c r="G12" s="5">
        <f>B12*C12+E12</f>
        <v>220000</v>
      </c>
      <c r="H12" s="5"/>
    </row>
    <row r="13" spans="1:8" ht="14" x14ac:dyDescent="0.15">
      <c r="A13" s="2" t="s">
        <v>10</v>
      </c>
      <c r="B13" s="4">
        <v>1</v>
      </c>
      <c r="C13" s="5">
        <v>70000</v>
      </c>
      <c r="D13" s="5"/>
      <c r="E13" s="5">
        <v>10000</v>
      </c>
      <c r="F13" s="5"/>
      <c r="G13" s="5">
        <f>B13*C13+E13</f>
        <v>80000</v>
      </c>
      <c r="H13" s="5"/>
    </row>
    <row r="14" spans="1:8" ht="14" x14ac:dyDescent="0.15">
      <c r="A14" s="2" t="s">
        <v>9</v>
      </c>
      <c r="B14" s="4">
        <v>1</v>
      </c>
      <c r="C14" s="5">
        <v>150000</v>
      </c>
      <c r="D14" s="5"/>
      <c r="E14" s="5">
        <v>10000</v>
      </c>
      <c r="F14" s="5"/>
      <c r="G14" s="5">
        <f>B14*C14+E14</f>
        <v>160000</v>
      </c>
      <c r="H14" s="5"/>
    </row>
    <row r="15" spans="1:8" ht="14" x14ac:dyDescent="0.15">
      <c r="A15" s="2" t="s">
        <v>11</v>
      </c>
      <c r="B15" s="4">
        <v>2</v>
      </c>
      <c r="C15" s="5">
        <v>70000</v>
      </c>
      <c r="D15" s="5"/>
      <c r="E15" s="5">
        <v>10000</v>
      </c>
      <c r="F15" s="5"/>
      <c r="G15" s="5">
        <f>B15*C15+E15</f>
        <v>150000</v>
      </c>
      <c r="H15" s="5"/>
    </row>
    <row r="16" spans="1:8" ht="14" x14ac:dyDescent="0.15">
      <c r="A16" s="2" t="s">
        <v>12</v>
      </c>
      <c r="B16" s="4">
        <v>1</v>
      </c>
      <c r="C16" s="5">
        <v>70000</v>
      </c>
      <c r="D16" s="5"/>
      <c r="E16" s="5">
        <v>10000</v>
      </c>
      <c r="F16" s="5"/>
      <c r="G16" s="5">
        <f>B16*C16+E16</f>
        <v>80000</v>
      </c>
      <c r="H16" s="5"/>
    </row>
    <row r="17" spans="1:8" ht="14" x14ac:dyDescent="0.15">
      <c r="A17" s="2" t="s">
        <v>13</v>
      </c>
      <c r="B17" s="4">
        <v>1</v>
      </c>
      <c r="C17" s="5">
        <v>70000</v>
      </c>
      <c r="D17" s="5"/>
      <c r="E17" s="5">
        <v>10000</v>
      </c>
      <c r="F17" s="5"/>
      <c r="G17" s="5">
        <f>B17*C17+E17</f>
        <v>80000</v>
      </c>
      <c r="H17" s="5"/>
    </row>
    <row r="18" spans="1:8" ht="14" x14ac:dyDescent="0.15">
      <c r="A18" s="2" t="s">
        <v>14</v>
      </c>
      <c r="B18" s="4">
        <v>2</v>
      </c>
      <c r="C18" s="5">
        <v>70000</v>
      </c>
      <c r="D18" s="5"/>
      <c r="E18" s="5">
        <v>10000</v>
      </c>
      <c r="F18" s="5"/>
      <c r="G18" s="5">
        <f>B18*C18+E18</f>
        <v>150000</v>
      </c>
      <c r="H18" s="5"/>
    </row>
    <row r="19" spans="1:8" ht="14" x14ac:dyDescent="0.15">
      <c r="A19" s="2" t="s">
        <v>15</v>
      </c>
      <c r="B19" s="4">
        <v>1</v>
      </c>
      <c r="C19" s="5">
        <v>70000</v>
      </c>
      <c r="D19" s="5"/>
      <c r="E19" s="5">
        <v>10000</v>
      </c>
      <c r="F19" s="5"/>
      <c r="G19" s="5">
        <f>B19*C19+E19</f>
        <v>80000</v>
      </c>
      <c r="H19" s="5"/>
    </row>
    <row r="20" spans="1:8" ht="14" x14ac:dyDescent="0.15">
      <c r="A20" s="2" t="s">
        <v>16</v>
      </c>
      <c r="B20" s="4">
        <v>1</v>
      </c>
      <c r="C20" s="5">
        <v>50000</v>
      </c>
      <c r="D20" s="5"/>
      <c r="E20" s="5">
        <v>10000</v>
      </c>
      <c r="F20" s="5"/>
      <c r="G20" s="5">
        <f>B20*C20+E20</f>
        <v>60000</v>
      </c>
      <c r="H20" s="5"/>
    </row>
    <row r="21" spans="1:8" ht="14" x14ac:dyDescent="0.15">
      <c r="A21" s="2" t="s">
        <v>17</v>
      </c>
      <c r="B21" s="4">
        <v>1</v>
      </c>
      <c r="C21" s="5">
        <v>50000</v>
      </c>
      <c r="D21" s="5"/>
      <c r="E21" s="5">
        <v>10000</v>
      </c>
      <c r="F21" s="5"/>
      <c r="G21" s="5">
        <f>B21*C21+E21</f>
        <v>60000</v>
      </c>
      <c r="H21" s="5"/>
    </row>
    <row r="22" spans="1:8" s="7" customFormat="1" x14ac:dyDescent="0.15">
      <c r="B22" s="8"/>
      <c r="C22" s="6"/>
      <c r="D22" s="6"/>
      <c r="E22" s="6">
        <f>SUM(E5:E21)</f>
        <v>265000</v>
      </c>
      <c r="F22" s="6"/>
      <c r="G22" s="6">
        <f>SUM(G5:G21)</f>
        <v>5475000</v>
      </c>
      <c r="H22" s="6"/>
    </row>
    <row r="23" spans="1:8" s="7" customFormat="1" x14ac:dyDescent="0.15">
      <c r="A23" s="7" t="s">
        <v>22</v>
      </c>
      <c r="B23" s="8"/>
      <c r="E23" s="6">
        <f>E22*12</f>
        <v>3180000</v>
      </c>
      <c r="G23" s="6">
        <f>G22*12</f>
        <v>65700000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Temi Kolawole</dc:creator>
  <cp:lastModifiedBy>Temi Kolawole</cp:lastModifiedBy>
  <dcterms:created xsi:type="dcterms:W3CDTF">2024-02-27T12:59:06Z</dcterms:created>
  <dcterms:modified xsi:type="dcterms:W3CDTF">2024-02-27T18:42:36Z</dcterms:modified>
</cp:coreProperties>
</file>