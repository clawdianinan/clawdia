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dev/Documents/Ilorin Innovation Hub/"/>
    </mc:Choice>
  </mc:AlternateContent>
  <xr:revisionPtr revIDLastSave="0" documentId="13_ncr:1_{06326811-DF95-0E4B-90CF-4BF345D6A77D}" xr6:coauthVersionLast="47" xr6:coauthVersionMax="47" xr10:uidLastSave="{00000000-0000-0000-0000-000000000000}"/>
  <bookViews>
    <workbookView xWindow="0" yWindow="500" windowWidth="28160" windowHeight="16180" activeTab="1" xr2:uid="{CC508598-5AA6-48F0-83C2-5296FD3286D6}"/>
  </bookViews>
  <sheets>
    <sheet name="Notes on Changes" sheetId="7" r:id="rId1"/>
    <sheet name="Month on Month HC Cost" sheetId="6" r:id="rId2"/>
    <sheet name="Headcount Phasing" sheetId="5" r:id="rId3"/>
    <sheet name="Annual Cost Summary" sheetId="3" state="hidden" r:id="rId4"/>
    <sheet name="Annual Employer Cost per Grade" sheetId="1" r:id="rId5"/>
    <sheet name="Payroll breakdown per role" sheetId="2" r:id="rId6"/>
    <sheet name="Bonus suggestion table" sheetId="4" r:id="rId7"/>
  </sheets>
  <externalReferences>
    <externalReference r:id="rId8"/>
  </externalReferences>
  <definedNames>
    <definedName name="_xlnm._FilterDatabase" localSheetId="3" hidden="1">'Annual Cost Summary'!$A$1:$V$17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N9" i="6"/>
  <c r="M9" i="6"/>
  <c r="L9" i="6"/>
  <c r="K9" i="6"/>
  <c r="J9" i="6"/>
  <c r="I9" i="6"/>
  <c r="H9" i="6"/>
  <c r="G9" i="6"/>
  <c r="F9" i="6"/>
  <c r="U8" i="1"/>
  <c r="S8" i="1"/>
  <c r="R8" i="1"/>
  <c r="Q8" i="1"/>
  <c r="P8" i="1"/>
  <c r="O8" i="1"/>
  <c r="M8" i="1"/>
  <c r="K8" i="1"/>
  <c r="H8" i="1"/>
  <c r="G8" i="1"/>
  <c r="F8" i="1"/>
  <c r="D8" i="1"/>
  <c r="D9" i="1"/>
  <c r="M9" i="2"/>
  <c r="L9" i="2"/>
  <c r="K9" i="2"/>
  <c r="J9" i="2"/>
  <c r="N9" i="2" s="1"/>
  <c r="I9" i="2"/>
  <c r="H9" i="2"/>
  <c r="T9" i="2" s="1"/>
  <c r="A9" i="2"/>
  <c r="A10" i="2"/>
  <c r="A11" i="2"/>
  <c r="A12" i="2"/>
  <c r="A9" i="6"/>
  <c r="A10" i="6"/>
  <c r="A11" i="6" s="1"/>
  <c r="A12" i="6" s="1"/>
  <c r="B5" i="7"/>
  <c r="B6" i="7"/>
  <c r="B7" i="7"/>
  <c r="B8" i="7" s="1"/>
  <c r="B9" i="7" s="1"/>
  <c r="B10" i="7" s="1"/>
  <c r="B4" i="7"/>
  <c r="F9" i="7"/>
  <c r="F8" i="7"/>
  <c r="F7" i="7"/>
  <c r="F5" i="7"/>
  <c r="F3" i="7"/>
  <c r="L18" i="1"/>
  <c r="N18" i="1"/>
  <c r="H2" i="3"/>
  <c r="I2" i="3"/>
  <c r="K2" i="3"/>
  <c r="M2" i="3"/>
  <c r="K20" i="1"/>
  <c r="O9" i="6" l="1"/>
  <c r="P9" i="2"/>
  <c r="AA9" i="2" s="1"/>
  <c r="X9" i="2"/>
  <c r="Y9" i="2" s="1"/>
  <c r="AB9" i="2" s="1"/>
  <c r="AC9" i="2" s="1"/>
  <c r="O9" i="2"/>
  <c r="Z9" i="2" s="1"/>
  <c r="M3" i="1"/>
  <c r="M4" i="1"/>
  <c r="M5" i="1"/>
  <c r="M6" i="1"/>
  <c r="M7" i="1"/>
  <c r="M9" i="1"/>
  <c r="M10" i="1"/>
  <c r="M11" i="1"/>
  <c r="M12" i="1"/>
  <c r="M13" i="1"/>
  <c r="M14" i="1"/>
  <c r="M15" i="1"/>
  <c r="M16" i="1"/>
  <c r="M17" i="1"/>
  <c r="K15" i="1"/>
  <c r="K14" i="1"/>
  <c r="K13" i="1"/>
  <c r="K12" i="1"/>
  <c r="K11" i="1"/>
  <c r="K10" i="1"/>
  <c r="K9" i="1"/>
  <c r="K7" i="1"/>
  <c r="K6" i="1"/>
  <c r="K5" i="1"/>
  <c r="K4" i="1"/>
  <c r="K3" i="1"/>
  <c r="K2" i="1"/>
  <c r="M2" i="1"/>
  <c r="AJ9" i="2" l="1"/>
  <c r="AI9" i="2"/>
  <c r="AH9" i="2"/>
  <c r="AG9" i="2"/>
  <c r="AL9" i="2"/>
  <c r="AK9" i="2"/>
  <c r="K18" i="1"/>
  <c r="K21" i="1" s="1"/>
  <c r="J2" i="3"/>
  <c r="M18" i="1"/>
  <c r="L2" i="3"/>
  <c r="A4" i="6"/>
  <c r="A5" i="6" s="1"/>
  <c r="A6" i="6" s="1"/>
  <c r="A7" i="6" s="1"/>
  <c r="A8" i="6" s="1"/>
  <c r="A13" i="6" s="1"/>
  <c r="A14" i="6" s="1"/>
  <c r="A15" i="6" s="1"/>
  <c r="A16" i="6" s="1"/>
  <c r="A17" i="6" s="1"/>
  <c r="A18" i="6" s="1"/>
  <c r="AM9" i="2" l="1"/>
  <c r="Q9" i="2" s="1"/>
  <c r="R9" i="2" s="1"/>
  <c r="U3" i="3"/>
  <c r="U4" i="3"/>
  <c r="U5" i="3"/>
  <c r="U6" i="3"/>
  <c r="U8" i="3"/>
  <c r="U9" i="3"/>
  <c r="U10" i="3"/>
  <c r="U11" i="3"/>
  <c r="U12" i="3"/>
  <c r="U14" i="3"/>
  <c r="U15" i="3"/>
  <c r="U2" i="3"/>
  <c r="H3" i="3" l="1"/>
  <c r="H4" i="3"/>
  <c r="H5" i="3"/>
  <c r="H6" i="3"/>
  <c r="H7" i="3"/>
  <c r="H8" i="3"/>
  <c r="H9" i="3"/>
  <c r="H10" i="3"/>
  <c r="H11" i="3"/>
  <c r="H12" i="3"/>
  <c r="H13" i="3"/>
  <c r="H14" i="3"/>
  <c r="H15" i="3"/>
  <c r="H16" i="3"/>
  <c r="A3" i="1" l="1"/>
  <c r="A4" i="1" s="1"/>
  <c r="A5" i="1" s="1"/>
  <c r="A6" i="1" s="1"/>
  <c r="A7" i="1" s="1"/>
  <c r="A9" i="1" s="1"/>
  <c r="A10" i="1" s="1"/>
  <c r="A11" i="1" s="1"/>
  <c r="A12" i="1" s="1"/>
  <c r="A13" i="1" s="1"/>
  <c r="A14" i="1" s="1"/>
  <c r="A15" i="1" s="1"/>
  <c r="A16" i="1" s="1"/>
  <c r="A17" i="1" s="1"/>
  <c r="D17" i="3"/>
  <c r="N15" i="3"/>
  <c r="N16" i="3"/>
  <c r="L3" i="3"/>
  <c r="L4" i="3"/>
  <c r="L5" i="3"/>
  <c r="L6" i="3"/>
  <c r="L7" i="3"/>
  <c r="L8" i="3"/>
  <c r="L9" i="3"/>
  <c r="L10" i="3"/>
  <c r="L11" i="3"/>
  <c r="L12" i="3"/>
  <c r="L13" i="3"/>
  <c r="L14" i="3"/>
  <c r="L15" i="3"/>
  <c r="L16" i="3"/>
  <c r="K3" i="3"/>
  <c r="K4" i="3"/>
  <c r="K5" i="3"/>
  <c r="K6" i="3"/>
  <c r="K7" i="3"/>
  <c r="K8" i="3"/>
  <c r="K9" i="3"/>
  <c r="K10" i="3"/>
  <c r="K11" i="3"/>
  <c r="K12" i="3"/>
  <c r="K13" i="3"/>
  <c r="K14" i="3"/>
  <c r="K15" i="3"/>
  <c r="K16" i="3"/>
  <c r="J3" i="3"/>
  <c r="J4" i="3"/>
  <c r="J5" i="3"/>
  <c r="J6" i="3"/>
  <c r="J7" i="3"/>
  <c r="J8" i="3"/>
  <c r="J9" i="3"/>
  <c r="J10" i="3"/>
  <c r="J11" i="3"/>
  <c r="J12" i="3"/>
  <c r="J13" i="3"/>
  <c r="J14" i="3"/>
  <c r="J15" i="3"/>
  <c r="J16" i="3"/>
  <c r="I3" i="3"/>
  <c r="I4" i="3"/>
  <c r="I5" i="3"/>
  <c r="I6" i="3"/>
  <c r="I7" i="3"/>
  <c r="I8" i="3"/>
  <c r="I9" i="3"/>
  <c r="I10" i="3"/>
  <c r="I11" i="3"/>
  <c r="I12" i="3"/>
  <c r="I13" i="3"/>
  <c r="I14" i="3"/>
  <c r="I15" i="3"/>
  <c r="I16" i="3"/>
  <c r="M3" i="3"/>
  <c r="M4" i="3"/>
  <c r="M5" i="3"/>
  <c r="M6" i="3"/>
  <c r="M7" i="3"/>
  <c r="M8" i="3"/>
  <c r="M9" i="3"/>
  <c r="M10" i="3"/>
  <c r="M11" i="3"/>
  <c r="M12" i="3"/>
  <c r="M13" i="3"/>
  <c r="M14" i="3"/>
  <c r="M15" i="3"/>
  <c r="M16" i="3"/>
  <c r="E11" i="3"/>
  <c r="A3" i="3"/>
  <c r="A4" i="3" s="1"/>
  <c r="A5" i="3" s="1"/>
  <c r="A6" i="3" s="1"/>
  <c r="A7" i="3" s="1"/>
  <c r="A8" i="3" s="1"/>
  <c r="A9" i="3" s="1"/>
  <c r="A10" i="3" s="1"/>
  <c r="A11" i="3" s="1"/>
  <c r="A12" i="3" s="1"/>
  <c r="A13" i="3" s="1"/>
  <c r="A14" i="3" s="1"/>
  <c r="A15" i="3" s="1"/>
  <c r="A16" i="3" s="1"/>
  <c r="F19" i="2"/>
  <c r="M4" i="2"/>
  <c r="M5" i="2"/>
  <c r="M6" i="2"/>
  <c r="M7" i="2"/>
  <c r="M8" i="2"/>
  <c r="M10" i="2"/>
  <c r="M11" i="2"/>
  <c r="M12" i="2"/>
  <c r="M13" i="2"/>
  <c r="M14" i="2"/>
  <c r="M15" i="2"/>
  <c r="M16" i="2"/>
  <c r="M17" i="2"/>
  <c r="M18" i="2"/>
  <c r="M3" i="2"/>
  <c r="L3" i="2"/>
  <c r="L4" i="2"/>
  <c r="L5" i="2"/>
  <c r="L6" i="2"/>
  <c r="L7" i="2"/>
  <c r="L8" i="2"/>
  <c r="L10" i="2"/>
  <c r="L11" i="2"/>
  <c r="L12" i="2"/>
  <c r="L13" i="2"/>
  <c r="L14" i="2"/>
  <c r="L15" i="2"/>
  <c r="L16" i="2"/>
  <c r="L17" i="2"/>
  <c r="L18" i="2"/>
  <c r="K3" i="2"/>
  <c r="K4" i="2"/>
  <c r="K5" i="2"/>
  <c r="K6" i="2"/>
  <c r="K7" i="2"/>
  <c r="K8" i="2"/>
  <c r="K10" i="2"/>
  <c r="K11" i="2"/>
  <c r="K12" i="2"/>
  <c r="K13" i="2"/>
  <c r="K14" i="2"/>
  <c r="K15" i="2"/>
  <c r="K16" i="2"/>
  <c r="K17" i="2"/>
  <c r="K18" i="2"/>
  <c r="J4" i="2"/>
  <c r="J5" i="2"/>
  <c r="J6" i="2"/>
  <c r="J7" i="2"/>
  <c r="J8" i="2"/>
  <c r="J10" i="2"/>
  <c r="J11" i="2"/>
  <c r="J12" i="2"/>
  <c r="J13" i="2"/>
  <c r="J14" i="2"/>
  <c r="J15" i="2"/>
  <c r="J16" i="2"/>
  <c r="J17" i="2"/>
  <c r="J18" i="2"/>
  <c r="J3" i="2"/>
  <c r="I4" i="2"/>
  <c r="I3" i="2"/>
  <c r="I5" i="2"/>
  <c r="I6" i="2"/>
  <c r="I7" i="2"/>
  <c r="I8" i="2"/>
  <c r="I10" i="2"/>
  <c r="I11" i="2"/>
  <c r="I12" i="2"/>
  <c r="I13" i="2"/>
  <c r="I14" i="2"/>
  <c r="I15" i="2"/>
  <c r="I16" i="2"/>
  <c r="I17" i="2"/>
  <c r="I18" i="2"/>
  <c r="H4" i="2"/>
  <c r="H5" i="2"/>
  <c r="H6" i="2"/>
  <c r="H7" i="2"/>
  <c r="H8" i="2"/>
  <c r="H10" i="2"/>
  <c r="H11" i="2"/>
  <c r="H12" i="2"/>
  <c r="H13" i="2"/>
  <c r="H14" i="2"/>
  <c r="H15" i="2"/>
  <c r="H16" i="2"/>
  <c r="H17" i="2"/>
  <c r="H18" i="2"/>
  <c r="H3" i="2"/>
  <c r="B3" i="1"/>
  <c r="B4" i="1"/>
  <c r="B5" i="1"/>
  <c r="B6" i="1"/>
  <c r="B7" i="1"/>
  <c r="B9" i="1"/>
  <c r="B10" i="1"/>
  <c r="B11" i="1"/>
  <c r="B12" i="1"/>
  <c r="B13" i="1"/>
  <c r="B14" i="1"/>
  <c r="B15" i="1"/>
  <c r="B16" i="1"/>
  <c r="B17" i="1"/>
  <c r="B2" i="1"/>
  <c r="C3" i="1"/>
  <c r="C4" i="1"/>
  <c r="C5" i="1"/>
  <c r="C6" i="1"/>
  <c r="C7" i="1"/>
  <c r="C9" i="1"/>
  <c r="C10" i="1"/>
  <c r="C11" i="1"/>
  <c r="C12" i="1"/>
  <c r="C13" i="1"/>
  <c r="C14" i="1"/>
  <c r="C15" i="1"/>
  <c r="C2" i="1"/>
  <c r="D3" i="1"/>
  <c r="F3" i="1" s="1"/>
  <c r="D4" i="1"/>
  <c r="F4" i="1" s="1"/>
  <c r="F5" i="1"/>
  <c r="D6" i="1"/>
  <c r="F6" i="1" s="1"/>
  <c r="D7" i="1"/>
  <c r="F7" i="1" s="1"/>
  <c r="F9" i="1"/>
  <c r="D10" i="1"/>
  <c r="F10" i="1" s="1"/>
  <c r="D11" i="1"/>
  <c r="F11" i="1" s="1"/>
  <c r="D12" i="1"/>
  <c r="F12" i="1" s="1"/>
  <c r="D13" i="1"/>
  <c r="F13" i="1" s="1"/>
  <c r="D14" i="1"/>
  <c r="F14" i="1" s="1"/>
  <c r="D15" i="1"/>
  <c r="F15" i="1" s="1"/>
  <c r="D16" i="1"/>
  <c r="F16" i="1" s="1"/>
  <c r="D17" i="1"/>
  <c r="F17" i="1" s="1"/>
  <c r="D2" i="1"/>
  <c r="F2" i="1" s="1"/>
  <c r="AA17" i="2"/>
  <c r="AA18" i="2"/>
  <c r="Z17" i="2"/>
  <c r="Z18" i="2"/>
  <c r="AG1" i="2"/>
  <c r="F18" i="1" l="1"/>
  <c r="H15" i="1"/>
  <c r="H14" i="1"/>
  <c r="H11" i="1"/>
  <c r="H4" i="1"/>
  <c r="H12" i="1"/>
  <c r="H10" i="1"/>
  <c r="H5" i="1"/>
  <c r="E2" i="3"/>
  <c r="G2" i="1"/>
  <c r="H2" i="1"/>
  <c r="H16" i="1"/>
  <c r="H9" i="1"/>
  <c r="E7" i="3"/>
  <c r="H7" i="1"/>
  <c r="H3" i="1"/>
  <c r="H17" i="1"/>
  <c r="H13" i="1"/>
  <c r="H6" i="1"/>
  <c r="O10" i="1"/>
  <c r="N9" i="3" s="1"/>
  <c r="P10" i="1"/>
  <c r="O12" i="1"/>
  <c r="N11" i="3" s="1"/>
  <c r="P12" i="1"/>
  <c r="E10" i="3"/>
  <c r="O11" i="1"/>
  <c r="N10" i="3" s="1"/>
  <c r="P11" i="1"/>
  <c r="O9" i="1"/>
  <c r="N8" i="3" s="1"/>
  <c r="P9" i="1"/>
  <c r="O14" i="1"/>
  <c r="N13" i="3" s="1"/>
  <c r="P14" i="1"/>
  <c r="O15" i="1"/>
  <c r="N14" i="3" s="1"/>
  <c r="P15" i="1"/>
  <c r="O13" i="1"/>
  <c r="P13" i="1"/>
  <c r="P7" i="1"/>
  <c r="O7" i="1"/>
  <c r="N7" i="3" s="1"/>
  <c r="E6" i="3"/>
  <c r="O6" i="1"/>
  <c r="N6" i="3" s="1"/>
  <c r="P6" i="1"/>
  <c r="O2" i="1"/>
  <c r="P2" i="1"/>
  <c r="O5" i="1"/>
  <c r="N5" i="3" s="1"/>
  <c r="P5" i="1"/>
  <c r="E16" i="3"/>
  <c r="P17" i="1"/>
  <c r="E4" i="3"/>
  <c r="O4" i="1"/>
  <c r="N4" i="3" s="1"/>
  <c r="P4" i="1"/>
  <c r="E15" i="3"/>
  <c r="P16" i="1"/>
  <c r="O3" i="1"/>
  <c r="N3" i="3" s="1"/>
  <c r="P3" i="1"/>
  <c r="E5" i="3"/>
  <c r="E9" i="3"/>
  <c r="E8" i="3"/>
  <c r="N12" i="3"/>
  <c r="J19" i="2"/>
  <c r="M19" i="2"/>
  <c r="L19" i="2"/>
  <c r="K19" i="2"/>
  <c r="E3" i="3"/>
  <c r="I19" i="2"/>
  <c r="T3" i="2"/>
  <c r="N3" i="2"/>
  <c r="E14" i="3"/>
  <c r="E13" i="3"/>
  <c r="H19" i="2"/>
  <c r="E12" i="3"/>
  <c r="L17" i="3"/>
  <c r="J17" i="3"/>
  <c r="M17" i="3"/>
  <c r="K17" i="3"/>
  <c r="I17" i="3"/>
  <c r="A4" i="2"/>
  <c r="A5" i="2" s="1"/>
  <c r="A6" i="2" s="1"/>
  <c r="A7" i="2" s="1"/>
  <c r="A8" i="2" s="1"/>
  <c r="A13" i="2" s="1"/>
  <c r="A14" i="2" s="1"/>
  <c r="A15" i="2" s="1"/>
  <c r="A16" i="2" s="1"/>
  <c r="A17" i="2" s="1"/>
  <c r="A18" i="2" s="1"/>
  <c r="G2" i="3" l="1"/>
  <c r="H18" i="1"/>
  <c r="F2" i="3"/>
  <c r="N2" i="3"/>
  <c r="O18" i="1"/>
  <c r="R2" i="1"/>
  <c r="Q2" i="1"/>
  <c r="O2" i="3"/>
  <c r="P18" i="1"/>
  <c r="E17" i="3"/>
  <c r="T13" i="2"/>
  <c r="T15" i="2"/>
  <c r="O4" i="2"/>
  <c r="Z4" i="2" s="1"/>
  <c r="T7" i="2"/>
  <c r="N13" i="2"/>
  <c r="O13" i="2"/>
  <c r="Z13" i="2" s="1"/>
  <c r="N12" i="2"/>
  <c r="O12" i="2"/>
  <c r="Z12" i="2" s="1"/>
  <c r="O6" i="2"/>
  <c r="Z6" i="2" s="1"/>
  <c r="O5" i="2"/>
  <c r="Z5" i="2" s="1"/>
  <c r="O3" i="2"/>
  <c r="O15" i="2"/>
  <c r="Z15" i="2" s="1"/>
  <c r="N15" i="2"/>
  <c r="N18" i="2"/>
  <c r="N17" i="2"/>
  <c r="G16" i="1"/>
  <c r="G17" i="1"/>
  <c r="F15" i="3" l="1"/>
  <c r="R16" i="1"/>
  <c r="Q16" i="1"/>
  <c r="F16" i="3"/>
  <c r="Q17" i="1"/>
  <c r="R17" i="1"/>
  <c r="P2" i="3"/>
  <c r="S2" i="1"/>
  <c r="Z3" i="2"/>
  <c r="O8" i="2"/>
  <c r="Z8" i="2" s="1"/>
  <c r="T8" i="2"/>
  <c r="N4" i="2"/>
  <c r="T4" i="2"/>
  <c r="N8" i="2"/>
  <c r="P8" i="2" s="1"/>
  <c r="AA8" i="2" s="1"/>
  <c r="N10" i="2"/>
  <c r="P10" i="2" s="1"/>
  <c r="AA10" i="2" s="1"/>
  <c r="T10" i="2"/>
  <c r="N5" i="2"/>
  <c r="P5" i="2" s="1"/>
  <c r="T5" i="2"/>
  <c r="T11" i="2"/>
  <c r="N6" i="2"/>
  <c r="P6" i="2" s="1"/>
  <c r="AA6" i="2" s="1"/>
  <c r="T6" i="2"/>
  <c r="O11" i="2"/>
  <c r="Z11" i="2" s="1"/>
  <c r="N16" i="2"/>
  <c r="P16" i="2" s="1"/>
  <c r="AA16" i="2" s="1"/>
  <c r="T16" i="2"/>
  <c r="N11" i="2"/>
  <c r="P11" i="2" s="1"/>
  <c r="AA11" i="2" s="1"/>
  <c r="N14" i="2"/>
  <c r="T14" i="2"/>
  <c r="T12" i="2"/>
  <c r="O14" i="2"/>
  <c r="Z14" i="2" s="1"/>
  <c r="G13" i="1"/>
  <c r="G14" i="1"/>
  <c r="G10" i="1"/>
  <c r="O16" i="2"/>
  <c r="Z16" i="2" s="1"/>
  <c r="O10" i="2"/>
  <c r="Z10" i="2" s="1"/>
  <c r="G4" i="3"/>
  <c r="G3" i="3"/>
  <c r="G6" i="3"/>
  <c r="G15" i="1"/>
  <c r="G12" i="1"/>
  <c r="O10" i="3"/>
  <c r="G9" i="1"/>
  <c r="G5" i="3"/>
  <c r="N17" i="3"/>
  <c r="G11" i="1"/>
  <c r="O9" i="3"/>
  <c r="G7" i="3"/>
  <c r="O8" i="3"/>
  <c r="O7" i="3"/>
  <c r="O6" i="3"/>
  <c r="O5" i="3"/>
  <c r="O4" i="3"/>
  <c r="O3" i="3"/>
  <c r="G14" i="3"/>
  <c r="G16" i="3"/>
  <c r="G15" i="3"/>
  <c r="G13" i="3"/>
  <c r="O16" i="3"/>
  <c r="G11" i="3"/>
  <c r="G10" i="3"/>
  <c r="O15" i="3"/>
  <c r="G9" i="3"/>
  <c r="O14" i="3"/>
  <c r="G12" i="3"/>
  <c r="O13" i="3"/>
  <c r="O12" i="3"/>
  <c r="O11" i="3"/>
  <c r="P3" i="2"/>
  <c r="X17" i="2"/>
  <c r="Y17" i="2" s="1"/>
  <c r="AB17" i="2" s="1"/>
  <c r="AC17" i="2" s="1"/>
  <c r="X18" i="2"/>
  <c r="Y18" i="2" s="1"/>
  <c r="AB18" i="2" s="1"/>
  <c r="AC18" i="2" s="1"/>
  <c r="P15" i="2"/>
  <c r="AA15" i="2" s="1"/>
  <c r="P13" i="2"/>
  <c r="AA13" i="2" s="1"/>
  <c r="O7" i="2"/>
  <c r="Z7" i="2" s="1"/>
  <c r="N7" i="2"/>
  <c r="P12" i="2"/>
  <c r="AA12" i="2" s="1"/>
  <c r="G7" i="1"/>
  <c r="G8" i="3"/>
  <c r="G6" i="1"/>
  <c r="G3" i="1"/>
  <c r="G5" i="1"/>
  <c r="G4" i="1"/>
  <c r="G18" i="1" l="1"/>
  <c r="F13" i="3"/>
  <c r="Q14" i="1"/>
  <c r="R14" i="1"/>
  <c r="F9" i="3"/>
  <c r="Q10" i="1"/>
  <c r="R10" i="1"/>
  <c r="F3" i="3"/>
  <c r="Q3" i="1"/>
  <c r="P3" i="3" s="1"/>
  <c r="R3" i="1"/>
  <c r="F6" i="3"/>
  <c r="R6" i="1"/>
  <c r="Q6" i="3" s="1"/>
  <c r="Q6" i="1"/>
  <c r="F14" i="3"/>
  <c r="Q15" i="1"/>
  <c r="P14" i="3" s="1"/>
  <c r="R15" i="1"/>
  <c r="Q14" i="3" s="1"/>
  <c r="F12" i="3"/>
  <c r="Q13" i="1"/>
  <c r="P12" i="3" s="1"/>
  <c r="R13" i="1"/>
  <c r="F8" i="3"/>
  <c r="Q9" i="1"/>
  <c r="P8" i="3" s="1"/>
  <c r="R9" i="1"/>
  <c r="Q8" i="3" s="1"/>
  <c r="F7" i="3"/>
  <c r="Q7" i="1"/>
  <c r="R7" i="1"/>
  <c r="F10" i="3"/>
  <c r="Q11" i="1"/>
  <c r="R11" i="1"/>
  <c r="Q10" i="3" s="1"/>
  <c r="F4" i="3"/>
  <c r="Q4" i="1"/>
  <c r="P4" i="3" s="1"/>
  <c r="R4" i="1"/>
  <c r="Q4" i="3" s="1"/>
  <c r="F5" i="3"/>
  <c r="Q5" i="1"/>
  <c r="P5" i="3" s="1"/>
  <c r="R5" i="1"/>
  <c r="Q5" i="3" s="1"/>
  <c r="F11" i="3"/>
  <c r="Q12" i="1"/>
  <c r="P11" i="3" s="1"/>
  <c r="R12" i="1"/>
  <c r="Q11" i="3" s="1"/>
  <c r="Q13" i="3"/>
  <c r="AA3" i="2"/>
  <c r="G17" i="3"/>
  <c r="O19" i="2"/>
  <c r="T19" i="2"/>
  <c r="O17" i="3"/>
  <c r="P4" i="2"/>
  <c r="AA4" i="2" s="1"/>
  <c r="N19" i="2"/>
  <c r="X8" i="2"/>
  <c r="Y8" i="2" s="1"/>
  <c r="AB8" i="2" s="1"/>
  <c r="AC8" i="2" s="1"/>
  <c r="AJ8" i="2" s="1"/>
  <c r="AA5" i="2"/>
  <c r="X5" i="2"/>
  <c r="Y5" i="2" s="1"/>
  <c r="X10" i="2"/>
  <c r="Y10" i="2" s="1"/>
  <c r="AB10" i="2" s="1"/>
  <c r="AC10" i="2" s="1"/>
  <c r="AK10" i="2" s="1"/>
  <c r="X11" i="2"/>
  <c r="Y11" i="2" s="1"/>
  <c r="AB11" i="2" s="1"/>
  <c r="AC11" i="2" s="1"/>
  <c r="AJ11" i="2" s="1"/>
  <c r="P14" i="2"/>
  <c r="AA14" i="2" s="1"/>
  <c r="X16" i="2"/>
  <c r="Y16" i="2" s="1"/>
  <c r="AB16" i="2" s="1"/>
  <c r="AC16" i="2" s="1"/>
  <c r="AI16" i="2" s="1"/>
  <c r="X15" i="2"/>
  <c r="Y15" i="2" s="1"/>
  <c r="AB15" i="2" s="1"/>
  <c r="AC15" i="2" s="1"/>
  <c r="AL15" i="2" s="1"/>
  <c r="Q15" i="3"/>
  <c r="Q9" i="3"/>
  <c r="P9" i="3"/>
  <c r="Q16" i="3"/>
  <c r="P16" i="3"/>
  <c r="Q7" i="3"/>
  <c r="Q2" i="3"/>
  <c r="P7" i="2"/>
  <c r="AA7" i="2" s="1"/>
  <c r="AG18" i="2"/>
  <c r="AI18" i="2"/>
  <c r="AL18" i="2"/>
  <c r="AH18" i="2"/>
  <c r="AK18" i="2"/>
  <c r="AJ18" i="2"/>
  <c r="X6" i="2"/>
  <c r="Y6" i="2" s="1"/>
  <c r="AB6" i="2" s="1"/>
  <c r="AC6" i="2" s="1"/>
  <c r="X13" i="2"/>
  <c r="Y13" i="2" s="1"/>
  <c r="AB13" i="2" s="1"/>
  <c r="AC13" i="2" s="1"/>
  <c r="AI17" i="2"/>
  <c r="AJ17" i="2"/>
  <c r="AH17" i="2"/>
  <c r="AK17" i="2"/>
  <c r="AG17" i="2"/>
  <c r="AL17" i="2"/>
  <c r="X3" i="2"/>
  <c r="Y3" i="2" s="1"/>
  <c r="X12" i="2"/>
  <c r="Y12" i="2" s="1"/>
  <c r="AB12" i="2" s="1"/>
  <c r="AC12" i="2" s="1"/>
  <c r="F17" i="3" l="1"/>
  <c r="R18" i="1"/>
  <c r="Q18" i="1"/>
  <c r="Q3" i="3"/>
  <c r="AB3" i="2"/>
  <c r="AC3" i="2" s="1"/>
  <c r="R14" i="3"/>
  <c r="T14" i="3" s="1"/>
  <c r="V14" i="3" s="1"/>
  <c r="R9" i="3"/>
  <c r="T9" i="3" s="1"/>
  <c r="R4" i="3"/>
  <c r="T4" i="3" s="1"/>
  <c r="R11" i="3"/>
  <c r="T11" i="3" s="1"/>
  <c r="R3" i="3"/>
  <c r="T3" i="3" s="1"/>
  <c r="R5" i="3"/>
  <c r="T5" i="3" s="1"/>
  <c r="R16" i="3"/>
  <c r="T16" i="3" s="1"/>
  <c r="V16" i="3" s="1"/>
  <c r="R8" i="3"/>
  <c r="T8" i="3" s="1"/>
  <c r="H17" i="3"/>
  <c r="S6" i="1"/>
  <c r="U6" i="1" s="1"/>
  <c r="E7" i="6" s="1"/>
  <c r="P6" i="3"/>
  <c r="R6" i="3" s="1"/>
  <c r="T6" i="3" s="1"/>
  <c r="P19" i="2"/>
  <c r="X4" i="2"/>
  <c r="Y4" i="2" s="1"/>
  <c r="AB4" i="2" s="1"/>
  <c r="AC4" i="2" s="1"/>
  <c r="AH4" i="2" s="1"/>
  <c r="S13" i="1"/>
  <c r="U13" i="1" s="1"/>
  <c r="E14" i="6" s="1"/>
  <c r="Q12" i="3"/>
  <c r="R12" i="3" s="1"/>
  <c r="T12" i="3" s="1"/>
  <c r="S7" i="1"/>
  <c r="U7" i="1" s="1"/>
  <c r="E8" i="6" s="1"/>
  <c r="P7" i="3"/>
  <c r="R7" i="3" s="1"/>
  <c r="T7" i="3" s="1"/>
  <c r="S11" i="1"/>
  <c r="U11" i="1" s="1"/>
  <c r="E12" i="6" s="1"/>
  <c r="P10" i="3"/>
  <c r="R10" i="3" s="1"/>
  <c r="T10" i="3" s="1"/>
  <c r="S12" i="1"/>
  <c r="U12" i="1" s="1"/>
  <c r="E13" i="6" s="1"/>
  <c r="S16" i="1"/>
  <c r="U16" i="1" s="1"/>
  <c r="E17" i="6" s="1"/>
  <c r="P15" i="3"/>
  <c r="R15" i="3" s="1"/>
  <c r="AM17" i="2"/>
  <c r="Q17" i="2" s="1"/>
  <c r="R17" i="2" s="1"/>
  <c r="S14" i="1"/>
  <c r="U14" i="1" s="1"/>
  <c r="E15" i="6" s="1"/>
  <c r="P13" i="3"/>
  <c r="R13" i="3" s="1"/>
  <c r="T13" i="3" s="1"/>
  <c r="V13" i="3" s="1"/>
  <c r="U2" i="1"/>
  <c r="E3" i="6" s="1"/>
  <c r="AB5" i="2"/>
  <c r="AC5" i="2" s="1"/>
  <c r="AK5" i="2" s="1"/>
  <c r="AI15" i="2"/>
  <c r="AL16" i="2"/>
  <c r="X14" i="2"/>
  <c r="Y14" i="2" s="1"/>
  <c r="AB14" i="2" s="1"/>
  <c r="AC14" i="2" s="1"/>
  <c r="AK14" i="2" s="1"/>
  <c r="AH15" i="2"/>
  <c r="AJ15" i="2"/>
  <c r="AG15" i="2"/>
  <c r="AH10" i="2"/>
  <c r="AJ10" i="2"/>
  <c r="AG8" i="2"/>
  <c r="AK15" i="2"/>
  <c r="AK16" i="2"/>
  <c r="AI8" i="2"/>
  <c r="AH16" i="2"/>
  <c r="AK8" i="2"/>
  <c r="AL8" i="2"/>
  <c r="AH8" i="2"/>
  <c r="AJ16" i="2"/>
  <c r="AG16" i="2"/>
  <c r="AI10" i="2"/>
  <c r="AH5" i="2"/>
  <c r="AH11" i="2"/>
  <c r="AI11" i="2"/>
  <c r="AL11" i="2"/>
  <c r="AK11" i="2"/>
  <c r="AG11" i="2"/>
  <c r="AL10" i="2"/>
  <c r="AG10" i="2"/>
  <c r="AJ14" i="2"/>
  <c r="S4" i="1"/>
  <c r="U4" i="1" s="1"/>
  <c r="E5" i="6" s="1"/>
  <c r="S3" i="1"/>
  <c r="U3" i="1" s="1"/>
  <c r="E4" i="6" s="1"/>
  <c r="S9" i="1"/>
  <c r="U9" i="1" s="1"/>
  <c r="E10" i="6" s="1"/>
  <c r="S17" i="1"/>
  <c r="S10" i="1"/>
  <c r="U10" i="1" s="1"/>
  <c r="E11" i="6" s="1"/>
  <c r="S5" i="1"/>
  <c r="U5" i="1" s="1"/>
  <c r="E6" i="6" s="1"/>
  <c r="S15" i="1"/>
  <c r="U15" i="1" s="1"/>
  <c r="E16" i="6" s="1"/>
  <c r="AM18" i="2"/>
  <c r="Q18" i="2" s="1"/>
  <c r="R18" i="2" s="1"/>
  <c r="AK12" i="2"/>
  <c r="AG12" i="2"/>
  <c r="AI12" i="2"/>
  <c r="AJ12" i="2"/>
  <c r="AL12" i="2"/>
  <c r="AH12" i="2"/>
  <c r="AI6" i="2"/>
  <c r="AL6" i="2"/>
  <c r="AJ6" i="2"/>
  <c r="AK6" i="2"/>
  <c r="AH6" i="2"/>
  <c r="AG6" i="2"/>
  <c r="AI3" i="2"/>
  <c r="AH3" i="2"/>
  <c r="AJ3" i="2"/>
  <c r="AG3" i="2"/>
  <c r="AL3" i="2"/>
  <c r="AK3" i="2"/>
  <c r="AI13" i="2"/>
  <c r="AJ13" i="2"/>
  <c r="AG13" i="2"/>
  <c r="AH13" i="2"/>
  <c r="AK13" i="2"/>
  <c r="AL13" i="2"/>
  <c r="X7" i="2"/>
  <c r="Y7" i="2" s="1"/>
  <c r="AB7" i="2" s="1"/>
  <c r="AC7" i="2" s="1"/>
  <c r="Y7" i="3" l="1"/>
  <c r="V7" i="3"/>
  <c r="U17" i="1"/>
  <c r="S18" i="1"/>
  <c r="T15" i="3"/>
  <c r="V15" i="3" s="1"/>
  <c r="C7" i="6"/>
  <c r="I7" i="6"/>
  <c r="D7" i="6"/>
  <c r="L7" i="6"/>
  <c r="N7" i="6"/>
  <c r="K7" i="6"/>
  <c r="H7" i="6"/>
  <c r="F7" i="6"/>
  <c r="M7" i="6"/>
  <c r="G7" i="6"/>
  <c r="J7" i="6"/>
  <c r="M10" i="6"/>
  <c r="F10" i="6"/>
  <c r="H10" i="6"/>
  <c r="N10" i="6"/>
  <c r="J10" i="6"/>
  <c r="K10" i="6"/>
  <c r="I10" i="6"/>
  <c r="C10" i="6"/>
  <c r="G10" i="6"/>
  <c r="L10" i="6"/>
  <c r="D10" i="6"/>
  <c r="N8" i="6"/>
  <c r="J8" i="6"/>
  <c r="G8" i="6"/>
  <c r="F8" i="6"/>
  <c r="H8" i="6"/>
  <c r="C8" i="6"/>
  <c r="M8" i="6"/>
  <c r="K8" i="6"/>
  <c r="L8" i="6"/>
  <c r="D8" i="6"/>
  <c r="I8" i="6"/>
  <c r="D12" i="6"/>
  <c r="N12" i="6"/>
  <c r="C12" i="6"/>
  <c r="J12" i="6"/>
  <c r="H12" i="6"/>
  <c r="G12" i="6"/>
  <c r="M12" i="6"/>
  <c r="K12" i="6"/>
  <c r="I12" i="6"/>
  <c r="L12" i="6"/>
  <c r="F12" i="6"/>
  <c r="K14" i="6"/>
  <c r="G14" i="6"/>
  <c r="D14" i="6"/>
  <c r="M14" i="6"/>
  <c r="N14" i="6"/>
  <c r="I14" i="6"/>
  <c r="H14" i="6"/>
  <c r="F14" i="6"/>
  <c r="L14" i="6"/>
  <c r="C14" i="6"/>
  <c r="J14" i="6"/>
  <c r="L15" i="6"/>
  <c r="D15" i="6"/>
  <c r="M15" i="6"/>
  <c r="H15" i="6"/>
  <c r="N15" i="6"/>
  <c r="K15" i="6"/>
  <c r="G15" i="6"/>
  <c r="F15" i="6"/>
  <c r="J15" i="6"/>
  <c r="C15" i="6"/>
  <c r="I15" i="6"/>
  <c r="D16" i="6"/>
  <c r="K16" i="6"/>
  <c r="L16" i="6"/>
  <c r="N16" i="6"/>
  <c r="F16" i="6"/>
  <c r="M16" i="6"/>
  <c r="I16" i="6"/>
  <c r="J16" i="6"/>
  <c r="C16" i="6"/>
  <c r="G16" i="6"/>
  <c r="H16" i="6"/>
  <c r="N6" i="6"/>
  <c r="M6" i="6"/>
  <c r="D6" i="6"/>
  <c r="K6" i="6"/>
  <c r="H6" i="6"/>
  <c r="F6" i="6"/>
  <c r="I6" i="6"/>
  <c r="G6" i="6"/>
  <c r="J6" i="6"/>
  <c r="C6" i="6"/>
  <c r="L6" i="6"/>
  <c r="N5" i="6"/>
  <c r="H5" i="6"/>
  <c r="F5" i="6"/>
  <c r="I5" i="6"/>
  <c r="J5" i="6"/>
  <c r="K5" i="6"/>
  <c r="M5" i="6"/>
  <c r="C5" i="6"/>
  <c r="L5" i="6"/>
  <c r="G5" i="6"/>
  <c r="D5" i="6"/>
  <c r="J3" i="6"/>
  <c r="L3" i="6"/>
  <c r="D3" i="6"/>
  <c r="F3" i="6"/>
  <c r="G3" i="6"/>
  <c r="M3" i="6"/>
  <c r="H3" i="6"/>
  <c r="C3" i="6"/>
  <c r="I3" i="6"/>
  <c r="N3" i="6"/>
  <c r="K3" i="6"/>
  <c r="I11" i="6"/>
  <c r="H11" i="6"/>
  <c r="G11" i="6"/>
  <c r="L11" i="6"/>
  <c r="N11" i="6"/>
  <c r="F11" i="6"/>
  <c r="C11" i="6"/>
  <c r="J11" i="6"/>
  <c r="K11" i="6"/>
  <c r="D11" i="6"/>
  <c r="M11" i="6"/>
  <c r="K17" i="6"/>
  <c r="F17" i="6"/>
  <c r="M17" i="6"/>
  <c r="H17" i="6"/>
  <c r="N17" i="6"/>
  <c r="I17" i="6"/>
  <c r="J17" i="6"/>
  <c r="G17" i="6"/>
  <c r="L17" i="6"/>
  <c r="C17" i="6"/>
  <c r="D17" i="6"/>
  <c r="C4" i="6"/>
  <c r="H4" i="6"/>
  <c r="I4" i="6"/>
  <c r="N4" i="6"/>
  <c r="F4" i="6"/>
  <c r="G4" i="6"/>
  <c r="J4" i="6"/>
  <c r="D4" i="6"/>
  <c r="L4" i="6"/>
  <c r="M4" i="6"/>
  <c r="K4" i="6"/>
  <c r="H18" i="6"/>
  <c r="L18" i="6"/>
  <c r="D18" i="6"/>
  <c r="K18" i="6"/>
  <c r="F18" i="6"/>
  <c r="M18" i="6"/>
  <c r="I18" i="6"/>
  <c r="N18" i="6"/>
  <c r="J18" i="6"/>
  <c r="G18" i="6"/>
  <c r="C18" i="6"/>
  <c r="H13" i="6"/>
  <c r="D13" i="6"/>
  <c r="F13" i="6"/>
  <c r="K13" i="6"/>
  <c r="N13" i="6"/>
  <c r="M13" i="6"/>
  <c r="I13" i="6"/>
  <c r="G13" i="6"/>
  <c r="C13" i="6"/>
  <c r="L13" i="6"/>
  <c r="J13" i="6"/>
  <c r="V12" i="3"/>
  <c r="V10" i="3"/>
  <c r="V4" i="3"/>
  <c r="V9" i="3"/>
  <c r="V6" i="3"/>
  <c r="V8" i="3"/>
  <c r="V5" i="3"/>
  <c r="V3" i="3"/>
  <c r="V11" i="3"/>
  <c r="AM16" i="2"/>
  <c r="Q16" i="2" s="1"/>
  <c r="R16" i="2" s="1"/>
  <c r="AG5" i="2"/>
  <c r="AL5" i="2"/>
  <c r="AI5" i="2"/>
  <c r="AJ5" i="2"/>
  <c r="AG14" i="2"/>
  <c r="AM8" i="2"/>
  <c r="Q8" i="2" s="1"/>
  <c r="R8" i="2" s="1"/>
  <c r="Q17" i="3"/>
  <c r="AG4" i="2"/>
  <c r="AJ4" i="2"/>
  <c r="AL4" i="2"/>
  <c r="AK4" i="2"/>
  <c r="AI4" i="2"/>
  <c r="P17" i="3"/>
  <c r="R2" i="3"/>
  <c r="T2" i="3" s="1"/>
  <c r="AI14" i="2"/>
  <c r="AH14" i="2"/>
  <c r="AL14" i="2"/>
  <c r="AM15" i="2"/>
  <c r="Q15" i="2" s="1"/>
  <c r="R15" i="2" s="1"/>
  <c r="AM5" i="2"/>
  <c r="Q5" i="2" s="1"/>
  <c r="R5" i="2" s="1"/>
  <c r="AM10" i="2"/>
  <c r="Q10" i="2" s="1"/>
  <c r="R10" i="2" s="1"/>
  <c r="AM11" i="2"/>
  <c r="Q11" i="2" s="1"/>
  <c r="R11" i="2" s="1"/>
  <c r="AM13" i="2"/>
  <c r="Q13" i="2" s="1"/>
  <c r="R13" i="2" s="1"/>
  <c r="AM3" i="2"/>
  <c r="Q3" i="2" s="1"/>
  <c r="AI7" i="2"/>
  <c r="AG7" i="2"/>
  <c r="AJ7" i="2"/>
  <c r="AH7" i="2"/>
  <c r="AK7" i="2"/>
  <c r="AL7" i="2"/>
  <c r="AM6" i="2"/>
  <c r="Q6" i="2" s="1"/>
  <c r="R6" i="2" s="1"/>
  <c r="AM12" i="2"/>
  <c r="Q12" i="2" s="1"/>
  <c r="R12" i="2" s="1"/>
  <c r="U18" i="1" l="1"/>
  <c r="E18" i="6"/>
  <c r="E19" i="6" s="1"/>
  <c r="O6" i="6"/>
  <c r="O12" i="6"/>
  <c r="O11" i="6"/>
  <c r="O4" i="6"/>
  <c r="O14" i="6"/>
  <c r="O5" i="6"/>
  <c r="O13" i="6"/>
  <c r="O17" i="6"/>
  <c r="O8" i="6"/>
  <c r="O15" i="6"/>
  <c r="O16" i="6"/>
  <c r="O10" i="6"/>
  <c r="O7" i="6"/>
  <c r="F19" i="6"/>
  <c r="T17" i="3"/>
  <c r="N19" i="6"/>
  <c r="D19" i="6"/>
  <c r="J19" i="6"/>
  <c r="K19" i="6"/>
  <c r="C19" i="6"/>
  <c r="G19" i="6"/>
  <c r="H19" i="6"/>
  <c r="I19" i="6"/>
  <c r="L19" i="6"/>
  <c r="M19" i="6"/>
  <c r="V2" i="3"/>
  <c r="AM4" i="2"/>
  <c r="Q4" i="2" s="1"/>
  <c r="R4" i="2" s="1"/>
  <c r="R17" i="3"/>
  <c r="AM14" i="2"/>
  <c r="Q14" i="2" s="1"/>
  <c r="R14" i="2" s="1"/>
  <c r="R3" i="2"/>
  <c r="AM7" i="2"/>
  <c r="Q7" i="2" s="1"/>
  <c r="R7" i="2" s="1"/>
  <c r="O18" i="6" l="1"/>
  <c r="V17" i="3"/>
  <c r="O3" i="6"/>
  <c r="Q19" i="2"/>
  <c r="R19" i="2"/>
  <c r="O19" i="6" l="1"/>
  <c r="E10" i="7" s="1"/>
  <c r="F10" i="7" s="1"/>
  <c r="M30" i="6" l="1"/>
  <c r="M3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C2" authorId="0" shapeId="0" xr:uid="{C7FA7CAB-000D-4234-9A3A-F5773D3C78B2}">
      <text>
        <r>
          <rPr>
            <b/>
            <sz val="9"/>
            <color indexed="81"/>
            <rFont val="Tahoma"/>
            <family val="2"/>
          </rPr>
          <t>Total Emolument minus Total Relief/Tax Free Pay</t>
        </r>
      </text>
    </comment>
  </commentList>
</comments>
</file>

<file path=xl/sharedStrings.xml><?xml version="1.0" encoding="utf-8"?>
<sst xmlns="http://schemas.openxmlformats.org/spreadsheetml/2006/main" count="310" uniqueCount="158">
  <si>
    <t>Annual Gross Salary</t>
  </si>
  <si>
    <t>Annual Leave Allowance</t>
  </si>
  <si>
    <t>13th Month</t>
  </si>
  <si>
    <t>Telephone</t>
  </si>
  <si>
    <t>Airtime</t>
  </si>
  <si>
    <t>Mobile Data Plan</t>
  </si>
  <si>
    <t>Employer Pension Contribution</t>
  </si>
  <si>
    <t>ITF Cost</t>
  </si>
  <si>
    <t>NSITF (ECS)</t>
  </si>
  <si>
    <t>Employer Cost</t>
  </si>
  <si>
    <t>Grade</t>
  </si>
  <si>
    <t xml:space="preserve">Gross Salary </t>
  </si>
  <si>
    <t>A1</t>
  </si>
  <si>
    <t>Managing Director</t>
  </si>
  <si>
    <t>B1</t>
  </si>
  <si>
    <t>Director 1</t>
  </si>
  <si>
    <t>G1</t>
  </si>
  <si>
    <t>Senior Associate 1</t>
  </si>
  <si>
    <t>H1</t>
  </si>
  <si>
    <t>Associate 1</t>
  </si>
  <si>
    <t>I1</t>
  </si>
  <si>
    <t>Support Staff 1</t>
  </si>
  <si>
    <t>J2</t>
  </si>
  <si>
    <t>Intern 2</t>
  </si>
  <si>
    <t>J1</t>
  </si>
  <si>
    <t>Intern 1</t>
  </si>
  <si>
    <t>Group Life Insurance Premium Cost</t>
  </si>
  <si>
    <t xml:space="preserve">Monthly Gross Salary </t>
  </si>
  <si>
    <t>Annual Bonus (Tentative)</t>
  </si>
  <si>
    <t>Job Role</t>
  </si>
  <si>
    <t>Description</t>
  </si>
  <si>
    <t>Grade Name</t>
  </si>
  <si>
    <t>Director of Programs</t>
  </si>
  <si>
    <t>IT Manager</t>
  </si>
  <si>
    <t>Community Manager</t>
  </si>
  <si>
    <t>Facility Associate</t>
  </si>
  <si>
    <t>Finance Associate</t>
  </si>
  <si>
    <t>Admin &amp; HR Associate</t>
  </si>
  <si>
    <t>Graphic &amp; Multimedia Associate</t>
  </si>
  <si>
    <t>Driver</t>
  </si>
  <si>
    <t>NYSC</t>
  </si>
  <si>
    <t>SIWES</t>
  </si>
  <si>
    <t>Basic Salary (70%)</t>
  </si>
  <si>
    <t>Transport Allowance (10%)</t>
  </si>
  <si>
    <t>Housing Allowance (10%)</t>
  </si>
  <si>
    <t>Meal Allowance (3.33%)</t>
  </si>
  <si>
    <t>Utility Allowance (3.33%)</t>
  </si>
  <si>
    <t>Entertainment Allowance (3.34%)</t>
  </si>
  <si>
    <t>Gross Pay</t>
  </si>
  <si>
    <t>S/N</t>
  </si>
  <si>
    <r>
      <t>Front Desk Associate</t>
    </r>
    <r>
      <rPr>
        <b/>
        <sz val="12"/>
        <color rgb="FF000000"/>
        <rFont val="Aptos"/>
        <family val="2"/>
      </rPr>
      <t xml:space="preserve"> (x2)</t>
    </r>
  </si>
  <si>
    <r>
      <t>IT Support Associate</t>
    </r>
    <r>
      <rPr>
        <b/>
        <sz val="12"/>
        <color rgb="FF000000"/>
        <rFont val="Aptos"/>
        <family val="2"/>
      </rPr>
      <t xml:space="preserve"> (x2)</t>
    </r>
  </si>
  <si>
    <r>
      <t>Facility Technician</t>
    </r>
    <r>
      <rPr>
        <b/>
        <sz val="12"/>
        <color rgb="FF000000"/>
        <rFont val="Aptos"/>
        <family val="2"/>
      </rPr>
      <t xml:space="preserve"> (x3)</t>
    </r>
  </si>
  <si>
    <r>
      <t>Intern</t>
    </r>
    <r>
      <rPr>
        <b/>
        <sz val="12"/>
        <color rgb="FF000000"/>
        <rFont val="Aptos"/>
        <family val="2"/>
      </rPr>
      <t xml:space="preserve"> (x2)</t>
    </r>
  </si>
  <si>
    <r>
      <t>Intern</t>
    </r>
    <r>
      <rPr>
        <b/>
        <sz val="12"/>
        <color rgb="FF000000"/>
        <rFont val="Aptos"/>
        <family val="2"/>
      </rPr>
      <t xml:space="preserve"> (x3)</t>
    </r>
  </si>
  <si>
    <t>Pension Contribution (8%)</t>
  </si>
  <si>
    <t>NHF Contribution (2.5%)</t>
  </si>
  <si>
    <t>PAYE (Tax) -</t>
  </si>
  <si>
    <t>8% of B+T+H</t>
  </si>
  <si>
    <t>Gross Income for CRA</t>
  </si>
  <si>
    <t>Consolidated Relief Allowance</t>
  </si>
  <si>
    <t>Employee Pension</t>
  </si>
  <si>
    <t>National Housing Fund</t>
  </si>
  <si>
    <t>Total Relief / Tax Free Pay</t>
  </si>
  <si>
    <t>Amount Taxable</t>
  </si>
  <si>
    <t>Monthly</t>
  </si>
  <si>
    <t>Monthly Tax Payable</t>
  </si>
  <si>
    <t>Do not touch the figures</t>
  </si>
  <si>
    <t>Tax Table</t>
  </si>
  <si>
    <t>Role</t>
  </si>
  <si>
    <t>HMO (Health Insurance)</t>
  </si>
  <si>
    <t>Net Pay (Monthly Take home)</t>
  </si>
  <si>
    <t>Optional</t>
  </si>
  <si>
    <t>Total</t>
  </si>
  <si>
    <t>Total Annual Gross</t>
  </si>
  <si>
    <t>Total Leave Allowance</t>
  </si>
  <si>
    <t>Total 13th Month</t>
  </si>
  <si>
    <t>Total Bonus Pot</t>
  </si>
  <si>
    <t xml:space="preserve">Total Health Insurance </t>
  </si>
  <si>
    <t>Total Cafeteria Subsidy</t>
  </si>
  <si>
    <t>Employer Pension Contr.</t>
  </si>
  <si>
    <t>Headcount</t>
  </si>
  <si>
    <t>% of Bonus on Base Pay (Gross)</t>
  </si>
  <si>
    <t>Manager</t>
  </si>
  <si>
    <t>Associate</t>
  </si>
  <si>
    <t>Technician &amp; Driver</t>
  </si>
  <si>
    <t>Telephone Cost One off</t>
  </si>
  <si>
    <t>Content &amp; Digital Marketing Lead</t>
  </si>
  <si>
    <t>Jan</t>
  </si>
  <si>
    <t>Feb</t>
  </si>
  <si>
    <t>Mar</t>
  </si>
  <si>
    <t>Apr</t>
  </si>
  <si>
    <t>May</t>
  </si>
  <si>
    <t>Jun</t>
  </si>
  <si>
    <t>Jul</t>
  </si>
  <si>
    <t>Aug</t>
  </si>
  <si>
    <t>Sep</t>
  </si>
  <si>
    <t>Oct</t>
  </si>
  <si>
    <t>Nov</t>
  </si>
  <si>
    <t>Dec</t>
  </si>
  <si>
    <t>IT Support Associate (x2)</t>
  </si>
  <si>
    <t>Facility Technician (x3)</t>
  </si>
  <si>
    <t>Range</t>
  </si>
  <si>
    <t>G4</t>
  </si>
  <si>
    <t>G5</t>
  </si>
  <si>
    <t>G7</t>
  </si>
  <si>
    <t>G9</t>
  </si>
  <si>
    <t>G6</t>
  </si>
  <si>
    <t>G8</t>
  </si>
  <si>
    <t>G10</t>
  </si>
  <si>
    <t>70m</t>
  </si>
  <si>
    <t>47m</t>
  </si>
  <si>
    <t>13m</t>
  </si>
  <si>
    <t>N/A</t>
  </si>
  <si>
    <t>7.8m</t>
  </si>
  <si>
    <t>Range @100%</t>
  </si>
  <si>
    <t>5.2m</t>
  </si>
  <si>
    <t>Range @75%</t>
  </si>
  <si>
    <t>53m</t>
  </si>
  <si>
    <t>35m</t>
  </si>
  <si>
    <t>10.6m</t>
  </si>
  <si>
    <t>6.5m</t>
  </si>
  <si>
    <t>4.5m</t>
  </si>
  <si>
    <t>Total Number of Months</t>
  </si>
  <si>
    <t>Annual Employer Cost</t>
  </si>
  <si>
    <t>Monthly Employer Cost</t>
  </si>
  <si>
    <t>Total Nos. of Months</t>
  </si>
  <si>
    <t>Total Cost For 2025</t>
  </si>
  <si>
    <t>Total Cost for the year 2025</t>
  </si>
  <si>
    <t>Unit HC</t>
  </si>
  <si>
    <t>reduction</t>
  </si>
  <si>
    <t>Employer Cost - aligned with the Headcount Phasing</t>
  </si>
  <si>
    <t>Previously</t>
  </si>
  <si>
    <t>Updated</t>
  </si>
  <si>
    <t>Annual Bonus</t>
  </si>
  <si>
    <t>Item</t>
  </si>
  <si>
    <t>Adjustment</t>
  </si>
  <si>
    <t>Notes/Remarks</t>
  </si>
  <si>
    <t>-100%</t>
  </si>
  <si>
    <t>Removed, given the startup phase of the organization.</t>
  </si>
  <si>
    <t>Combined Airtime &amp; Data into one line item.</t>
  </si>
  <si>
    <t xml:space="preserve">	Eliminated; merged into Airtime above.</t>
  </si>
  <si>
    <t>Standardized to 1,200/day per employee.</t>
  </si>
  <si>
    <t xml:space="preserve">	Adjusted to reflect 1% of payroll cost.</t>
  </si>
  <si>
    <t>Headcount phased in over 12 months rather than all at once.</t>
  </si>
  <si>
    <t>Now 10% of Annual Basic Salary vs. 1 month Gross Pay.</t>
  </si>
  <si>
    <t>Rational</t>
  </si>
  <si>
    <t>Given the startup phase, the organization needs to conserve funds and ensure financial stability first.
We felt it was prudent to suspend the bonus until the IIH is more established.</t>
  </si>
  <si>
    <t>Adopted IHS approach</t>
  </si>
  <si>
    <t>Yes, the revised figures reflect 1% of the current payroll costs, which aligns with statutory obligations</t>
  </si>
  <si>
    <t>The largest driver is that we’re no longer budgeting for all employees from the start of the year. We phased in new hires throughout the year, which reduces the total annual payroll and associated costs.</t>
  </si>
  <si>
    <t>We benchmarked practices among similar-sized startups and assessed what could be sustain financially.</t>
  </si>
  <si>
    <t>This figure ensures that all employees still receive a reasonable meal subsidy.</t>
  </si>
  <si>
    <t>NYSC Intern (x3)</t>
  </si>
  <si>
    <t>Student Intern (x3)</t>
  </si>
  <si>
    <r>
      <t>Front Desk Associate</t>
    </r>
    <r>
      <rPr>
        <b/>
        <sz val="12"/>
        <color rgb="FF000000"/>
        <rFont val="Aptos"/>
        <family val="2"/>
      </rPr>
      <t xml:space="preserve"> (x1)</t>
    </r>
  </si>
  <si>
    <t>Front Desk Associate (x1)</t>
  </si>
  <si>
    <t>Front Desk Support (Tech Grade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</si>
</sst>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 #,##0.00_-;_-* &quot;-&quot;??_-;_-@_-"/>
    <numFmt numFmtId="165" formatCode="_-* #,##0_-;\-* #,##0_-;_-* &quot;-&quot;??_-;_-@_-"/>
  </numFmts>
  <fonts count="29" x14ac:knownFonts="1">
    <font>
      <sz val="11"/>
      <color theme="1"/>
      <name val="Calibri"/>
      <family val="2"/>
    </font>
    <font>
      <sz val="11"/>
      <color theme="1"/>
      <name val="Calibri"/>
      <family val="2"/>
    </font>
    <font>
      <b/>
      <sz val="11"/>
      <color theme="0"/>
      <name val="Calibri"/>
      <family val="2"/>
    </font>
    <font>
      <b/>
      <sz val="11"/>
      <color theme="0"/>
      <name val="Aptos"/>
      <family val="2"/>
    </font>
    <font>
      <sz val="11"/>
      <color rgb="FF000000"/>
      <name val="Aptos"/>
      <family val="2"/>
    </font>
    <font>
      <sz val="11"/>
      <color theme="1"/>
      <name val="Aptos"/>
      <family val="2"/>
    </font>
    <font>
      <b/>
      <sz val="12"/>
      <color theme="1"/>
      <name val="Arial"/>
      <family val="2"/>
    </font>
    <font>
      <sz val="12"/>
      <color theme="1"/>
      <name val="Arial"/>
      <family val="2"/>
    </font>
    <font>
      <b/>
      <sz val="12"/>
      <color theme="1"/>
      <name val="Aptos"/>
      <family val="2"/>
    </font>
    <font>
      <b/>
      <sz val="12"/>
      <color rgb="FF000000"/>
      <name val="Aptos"/>
      <family val="2"/>
    </font>
    <font>
      <sz val="12"/>
      <color theme="1"/>
      <name val="Aptos"/>
      <family val="2"/>
    </font>
    <font>
      <sz val="12"/>
      <color rgb="FF000000"/>
      <name val="Aptos"/>
      <family val="2"/>
    </font>
    <font>
      <sz val="14"/>
      <color theme="0"/>
      <name val="Aptos Narrow"/>
      <family val="2"/>
      <scheme val="minor"/>
    </font>
    <font>
      <b/>
      <sz val="11"/>
      <color theme="6"/>
      <name val="Calibri"/>
      <family val="2"/>
    </font>
    <font>
      <b/>
      <sz val="11"/>
      <color rgb="FFFFFFFF"/>
      <name val="Calibri"/>
      <family val="2"/>
    </font>
    <font>
      <sz val="12"/>
      <color theme="1"/>
      <name val="Aptos Display"/>
      <family val="2"/>
      <scheme val="major"/>
    </font>
    <font>
      <b/>
      <sz val="9"/>
      <color indexed="81"/>
      <name val="Tahoma"/>
      <family val="2"/>
    </font>
    <font>
      <b/>
      <sz val="11"/>
      <color rgb="FFFF0000"/>
      <name val="Calibri"/>
      <family val="2"/>
    </font>
    <font>
      <b/>
      <sz val="11"/>
      <color rgb="FFFF0000"/>
      <name val="Aptos"/>
      <family val="2"/>
    </font>
    <font>
      <b/>
      <sz val="12"/>
      <color theme="0"/>
      <name val="Aptos"/>
      <family val="2"/>
    </font>
    <font>
      <sz val="12"/>
      <color theme="0"/>
      <name val="Aptos"/>
      <family val="2"/>
    </font>
    <font>
      <b/>
      <sz val="12"/>
      <color rgb="FFFF0000"/>
      <name val="Aptos"/>
      <family val="2"/>
    </font>
    <font>
      <sz val="10"/>
      <color theme="1"/>
      <name val="Trebuchet MS"/>
      <family val="2"/>
    </font>
    <font>
      <b/>
      <sz val="10"/>
      <color theme="0"/>
      <name val="Aptos"/>
      <family val="2"/>
    </font>
    <font>
      <b/>
      <sz val="11"/>
      <color theme="0"/>
      <name val="Aptos Narrow"/>
      <family val="2"/>
      <scheme val="minor"/>
    </font>
    <font>
      <sz val="8"/>
      <name val="Calibri"/>
      <family val="2"/>
    </font>
    <font>
      <sz val="11"/>
      <color rgb="FFFF0000"/>
      <name val="Calibri"/>
      <family val="2"/>
    </font>
    <font>
      <b/>
      <sz val="11"/>
      <color theme="1"/>
      <name val="Aptos"/>
      <family val="2"/>
    </font>
    <font>
      <sz val="12"/>
      <color rgb="FFFF0000"/>
      <name val="Aptos"/>
      <family val="2"/>
    </font>
  </fonts>
  <fills count="15">
    <fill>
      <patternFill patternType="none"/>
    </fill>
    <fill>
      <patternFill patternType="gray125"/>
    </fill>
    <fill>
      <patternFill patternType="solid">
        <fgColor rgb="FF008732"/>
        <bgColor rgb="FF1F3864"/>
      </patternFill>
    </fill>
    <fill>
      <patternFill patternType="solid">
        <fgColor theme="4" tint="0.59999389629810485"/>
        <bgColor indexed="64"/>
      </patternFill>
    </fill>
    <fill>
      <patternFill patternType="solid">
        <fgColor rgb="FFFFFF00"/>
        <bgColor indexed="64"/>
      </patternFill>
    </fill>
    <fill>
      <patternFill patternType="solid">
        <fgColor rgb="FFFFFF00"/>
        <bgColor rgb="FF1F3864"/>
      </patternFill>
    </fill>
    <fill>
      <patternFill patternType="solid">
        <fgColor rgb="FF1F3864"/>
        <bgColor rgb="FF1F3864"/>
      </patternFill>
    </fill>
    <fill>
      <patternFill patternType="solid">
        <fgColor rgb="FFFF0000"/>
        <bgColor rgb="FF1F3864"/>
      </patternFill>
    </fill>
    <fill>
      <patternFill patternType="solid">
        <fgColor theme="0" tint="-0.14999847407452621"/>
        <bgColor indexed="64"/>
      </patternFill>
    </fill>
    <fill>
      <patternFill patternType="solid">
        <fgColor rgb="FFFF0000"/>
        <bgColor indexed="64"/>
      </patternFill>
    </fill>
    <fill>
      <patternFill patternType="solid">
        <fgColor rgb="FF00B050"/>
        <bgColor indexed="64"/>
      </patternFill>
    </fill>
    <fill>
      <patternFill patternType="solid">
        <fgColor rgb="FF00873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rgb="FF008732"/>
      </left>
      <right style="dashed">
        <color theme="0" tint="-0.14996795556505021"/>
      </right>
      <top/>
      <bottom style="dashed">
        <color theme="0" tint="-0.14996795556505021"/>
      </bottom>
      <diagonal/>
    </border>
    <border>
      <left style="dashed">
        <color theme="0" tint="-0.14996795556505021"/>
      </left>
      <right style="dashed">
        <color theme="0" tint="-0.14996795556505021"/>
      </right>
      <top/>
      <bottom style="dashed">
        <color theme="0" tint="-0.14996795556505021"/>
      </bottom>
      <diagonal/>
    </border>
    <border>
      <left style="dashed">
        <color theme="0" tint="-0.14996795556505021"/>
      </left>
      <right style="thin">
        <color rgb="FF008732"/>
      </right>
      <top/>
      <bottom style="dashed">
        <color theme="0" tint="-0.149967955565050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style="medium">
        <color indexed="64"/>
      </top>
      <bottom style="medium">
        <color indexed="64"/>
      </bottom>
      <diagonal/>
    </border>
  </borders>
  <cellStyleXfs count="4">
    <xf numFmtId="0" fontId="0" fillId="0" borderId="0"/>
    <xf numFmtId="164" fontId="1" fillId="0" borderId="0" applyFont="0" applyFill="0" applyBorder="0" applyAlignment="0" applyProtection="0"/>
    <xf numFmtId="0" fontId="22" fillId="0" borderId="0"/>
    <xf numFmtId="9" fontId="1" fillId="0" borderId="0" applyFont="0" applyFill="0" applyBorder="0" applyAlignment="0" applyProtection="0"/>
  </cellStyleXfs>
  <cellXfs count="133">
    <xf numFmtId="0" fontId="0" fillId="0" borderId="0" xfId="0"/>
    <xf numFmtId="0" fontId="3" fillId="2" borderId="1" xfId="0" applyFont="1" applyFill="1" applyBorder="1" applyAlignment="1">
      <alignment horizontal="center" vertical="center" wrapText="1" readingOrder="1"/>
    </xf>
    <xf numFmtId="164" fontId="4" fillId="0" borderId="1" xfId="1" applyFont="1" applyBorder="1" applyAlignment="1">
      <alignment horizontal="right" wrapText="1" readingOrder="1"/>
    </xf>
    <xf numFmtId="164" fontId="5" fillId="0" borderId="1" xfId="1" applyFont="1" applyBorder="1"/>
    <xf numFmtId="0" fontId="7" fillId="0" borderId="0" xfId="0" applyFont="1"/>
    <xf numFmtId="164" fontId="0" fillId="0" borderId="0" xfId="0" applyNumberFormat="1"/>
    <xf numFmtId="164" fontId="0" fillId="0" borderId="1" xfId="0" applyNumberFormat="1" applyBorder="1"/>
    <xf numFmtId="0" fontId="0" fillId="0" borderId="1" xfId="0" applyBorder="1"/>
    <xf numFmtId="0" fontId="8" fillId="0" borderId="1" xfId="0" applyFont="1" applyBorder="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vertical="center"/>
    </xf>
    <xf numFmtId="0" fontId="11" fillId="0" borderId="1" xfId="0" applyFont="1" applyBorder="1" applyAlignment="1">
      <alignment vertical="center"/>
    </xf>
    <xf numFmtId="0" fontId="5" fillId="0" borderId="1" xfId="0" applyFont="1" applyBorder="1"/>
    <xf numFmtId="0" fontId="10" fillId="0" borderId="1" xfId="0" applyFont="1" applyBorder="1"/>
    <xf numFmtId="0" fontId="11" fillId="0" borderId="1" xfId="0" applyFont="1" applyBorder="1"/>
    <xf numFmtId="0" fontId="10" fillId="0" borderId="0" xfId="0" applyFont="1"/>
    <xf numFmtId="164" fontId="10" fillId="0" borderId="1" xfId="0" applyNumberFormat="1" applyFont="1" applyBorder="1"/>
    <xf numFmtId="0" fontId="9" fillId="4"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9" fontId="10" fillId="0" borderId="2" xfId="0" applyNumberFormat="1" applyFont="1" applyBorder="1" applyAlignment="1">
      <alignment horizontal="center"/>
    </xf>
    <xf numFmtId="10" fontId="10" fillId="0" borderId="2" xfId="0" applyNumberFormat="1" applyFont="1" applyBorder="1" applyAlignment="1">
      <alignment horizontal="center"/>
    </xf>
    <xf numFmtId="0" fontId="0" fillId="0" borderId="0" xfId="0" applyAlignment="1">
      <alignment horizontal="center"/>
    </xf>
    <xf numFmtId="0" fontId="13" fillId="5" borderId="1" xfId="0" applyFont="1" applyFill="1" applyBorder="1" applyAlignment="1">
      <alignment horizontal="center" vertical="center" wrapText="1" readingOrder="1"/>
    </xf>
    <xf numFmtId="0" fontId="14" fillId="6" borderId="1" xfId="0" applyFont="1" applyFill="1" applyBorder="1" applyAlignment="1">
      <alignment horizontal="center" vertical="center" wrapText="1" readingOrder="1"/>
    </xf>
    <xf numFmtId="0" fontId="2" fillId="2" borderId="1" xfId="0" applyFont="1" applyFill="1" applyBorder="1" applyAlignment="1">
      <alignment horizontal="center" vertical="center" wrapText="1" readingOrder="1"/>
    </xf>
    <xf numFmtId="0" fontId="2" fillId="7" borderId="1" xfId="0" applyFont="1" applyFill="1" applyBorder="1" applyAlignment="1">
      <alignment horizontal="center" vertical="center" wrapText="1" readingOrder="1"/>
    </xf>
    <xf numFmtId="9" fontId="15" fillId="8" borderId="1" xfId="0" applyNumberFormat="1" applyFont="1" applyFill="1" applyBorder="1" applyAlignment="1">
      <alignment horizontal="center"/>
    </xf>
    <xf numFmtId="165" fontId="0" fillId="0" borderId="1" xfId="1" applyNumberFormat="1" applyFont="1" applyBorder="1"/>
    <xf numFmtId="0" fontId="2" fillId="0" borderId="0" xfId="0" applyFont="1" applyAlignment="1">
      <alignment horizontal="center" vertical="center" wrapText="1" readingOrder="1"/>
    </xf>
    <xf numFmtId="164" fontId="12" fillId="9" borderId="0" xfId="1" applyFont="1" applyFill="1"/>
    <xf numFmtId="0" fontId="0" fillId="9" borderId="0" xfId="0" applyFill="1"/>
    <xf numFmtId="0" fontId="17" fillId="0" borderId="1" xfId="0" applyFont="1" applyBorder="1" applyAlignment="1">
      <alignment horizontal="center" vertical="center" wrapText="1" readingOrder="1"/>
    </xf>
    <xf numFmtId="164" fontId="11" fillId="0" borderId="1" xfId="1" applyFont="1" applyBorder="1" applyAlignment="1">
      <alignment vertical="center"/>
    </xf>
    <xf numFmtId="0" fontId="18" fillId="5" borderId="1" xfId="0" applyFont="1" applyFill="1" applyBorder="1" applyAlignment="1">
      <alignment horizontal="center" vertical="center" wrapText="1" readingOrder="1"/>
    </xf>
    <xf numFmtId="0" fontId="19" fillId="10" borderId="1" xfId="0" applyFont="1" applyFill="1" applyBorder="1" applyAlignment="1">
      <alignment horizontal="center" vertical="center" wrapText="1"/>
    </xf>
    <xf numFmtId="0" fontId="17" fillId="0" borderId="0" xfId="0" applyFont="1" applyAlignment="1">
      <alignment horizontal="center"/>
    </xf>
    <xf numFmtId="0" fontId="6" fillId="0" borderId="0" xfId="0" applyFont="1" applyAlignment="1">
      <alignment horizontal="center"/>
    </xf>
    <xf numFmtId="0" fontId="19" fillId="2" borderId="1" xfId="0" applyFont="1" applyFill="1" applyBorder="1" applyAlignment="1">
      <alignment horizontal="center" vertical="center" wrapText="1" readingOrder="1"/>
    </xf>
    <xf numFmtId="165" fontId="10" fillId="0" borderId="1" xfId="1" applyNumberFormat="1" applyFont="1" applyBorder="1"/>
    <xf numFmtId="0" fontId="10" fillId="0" borderId="1" xfId="0" applyFont="1" applyBorder="1" applyAlignment="1">
      <alignment wrapText="1"/>
    </xf>
    <xf numFmtId="0" fontId="11" fillId="0" borderId="1" xfId="0" applyFont="1" applyBorder="1" applyAlignment="1">
      <alignment vertical="center" wrapText="1"/>
    </xf>
    <xf numFmtId="165" fontId="8" fillId="0" borderId="1" xfId="1" applyNumberFormat="1" applyFont="1" applyBorder="1"/>
    <xf numFmtId="165" fontId="4" fillId="0" borderId="1" xfId="1" applyNumberFormat="1" applyFont="1" applyBorder="1" applyAlignment="1">
      <alignment horizontal="right" wrapText="1" readingOrder="1"/>
    </xf>
    <xf numFmtId="0" fontId="9" fillId="0" borderId="1" xfId="0" applyFont="1" applyBorder="1" applyAlignment="1">
      <alignment vertical="center" wrapText="1"/>
    </xf>
    <xf numFmtId="0" fontId="21" fillId="0" borderId="1" xfId="0" applyFont="1" applyBorder="1" applyAlignment="1">
      <alignment horizontal="center" vertical="center" wrapText="1"/>
    </xf>
    <xf numFmtId="0" fontId="20" fillId="10" borderId="1" xfId="0" applyFont="1" applyFill="1" applyBorder="1" applyAlignment="1">
      <alignment vertical="center" wrapText="1"/>
    </xf>
    <xf numFmtId="0" fontId="19" fillId="10" borderId="1" xfId="0" applyFont="1" applyFill="1" applyBorder="1" applyAlignment="1">
      <alignment vertical="center" wrapText="1"/>
    </xf>
    <xf numFmtId="0" fontId="0" fillId="0" borderId="0" xfId="0" applyAlignment="1">
      <alignment wrapText="1"/>
    </xf>
    <xf numFmtId="0" fontId="9" fillId="0" borderId="1" xfId="0" applyFont="1" applyBorder="1"/>
    <xf numFmtId="0" fontId="23" fillId="11" borderId="1" xfId="2" applyFont="1" applyFill="1" applyBorder="1" applyAlignment="1">
      <alignment horizontal="center" vertical="center" wrapText="1"/>
    </xf>
    <xf numFmtId="9" fontId="0" fillId="0" borderId="1" xfId="0" applyNumberFormat="1" applyBorder="1"/>
    <xf numFmtId="3" fontId="5" fillId="0" borderId="1" xfId="0" applyNumberFormat="1" applyFont="1" applyBorder="1"/>
    <xf numFmtId="38" fontId="0" fillId="0" borderId="0" xfId="0" applyNumberFormat="1" applyAlignment="1">
      <alignment horizontal="center"/>
    </xf>
    <xf numFmtId="0" fontId="19" fillId="2" borderId="3" xfId="0" applyFont="1" applyFill="1" applyBorder="1" applyAlignment="1">
      <alignment horizontal="center" vertical="center" wrapText="1" readingOrder="1"/>
    </xf>
    <xf numFmtId="0" fontId="0" fillId="12" borderId="0" xfId="0" applyFill="1"/>
    <xf numFmtId="0" fontId="0" fillId="13" borderId="0" xfId="0" applyFill="1"/>
    <xf numFmtId="0" fontId="10" fillId="4" borderId="1" xfId="0" applyFont="1" applyFill="1" applyBorder="1"/>
    <xf numFmtId="0" fontId="3" fillId="2" borderId="0" xfId="0" applyFont="1" applyFill="1" applyAlignment="1">
      <alignment horizontal="center" vertical="center" wrapText="1" readingOrder="1"/>
    </xf>
    <xf numFmtId="164" fontId="5" fillId="0" borderId="0" xfId="1" applyFont="1" applyBorder="1"/>
    <xf numFmtId="164" fontId="0" fillId="0" borderId="0" xfId="0" applyNumberFormat="1" applyAlignment="1">
      <alignment horizontal="right"/>
    </xf>
    <xf numFmtId="0" fontId="3" fillId="0" borderId="0" xfId="0" applyFont="1" applyAlignment="1">
      <alignment horizontal="center" vertical="center" wrapText="1" readingOrder="1"/>
    </xf>
    <xf numFmtId="0" fontId="0" fillId="0" borderId="5" xfId="0" applyBorder="1"/>
    <xf numFmtId="0" fontId="0" fillId="0" borderId="6" xfId="0" applyBorder="1" applyAlignment="1">
      <alignment horizontal="center"/>
    </xf>
    <xf numFmtId="0" fontId="0" fillId="0" borderId="7" xfId="0" applyBorder="1" applyAlignment="1">
      <alignment horizontal="center"/>
    </xf>
    <xf numFmtId="0" fontId="24" fillId="11" borderId="1" xfId="0" applyFont="1" applyFill="1" applyBorder="1"/>
    <xf numFmtId="0" fontId="24" fillId="11" borderId="1" xfId="0" applyFont="1" applyFill="1" applyBorder="1" applyAlignment="1">
      <alignment horizontal="center"/>
    </xf>
    <xf numFmtId="0" fontId="24" fillId="11" borderId="1" xfId="0" applyFont="1" applyFill="1" applyBorder="1" applyAlignment="1">
      <alignment horizontal="center" wrapText="1"/>
    </xf>
    <xf numFmtId="0" fontId="0" fillId="0" borderId="1" xfId="0" applyBorder="1" applyAlignment="1">
      <alignment horizontal="center"/>
    </xf>
    <xf numFmtId="0" fontId="0" fillId="0" borderId="0" xfId="0" applyAlignment="1">
      <alignment horizontal="left" vertical="center"/>
    </xf>
    <xf numFmtId="165" fontId="0" fillId="0" borderId="1" xfId="1" applyNumberFormat="1" applyFont="1" applyBorder="1" applyAlignment="1">
      <alignment horizontal="center"/>
    </xf>
    <xf numFmtId="165" fontId="0" fillId="0" borderId="0" xfId="0" applyNumberFormat="1"/>
    <xf numFmtId="165" fontId="0" fillId="4" borderId="1" xfId="1" applyNumberFormat="1" applyFont="1" applyFill="1" applyBorder="1" applyAlignment="1">
      <alignment horizontal="center"/>
    </xf>
    <xf numFmtId="165" fontId="5" fillId="0" borderId="1" xfId="1" applyNumberFormat="1" applyFont="1" applyBorder="1" applyAlignment="1">
      <alignment horizontal="center"/>
    </xf>
    <xf numFmtId="165" fontId="5" fillId="0" borderId="1" xfId="0" applyNumberFormat="1" applyFont="1" applyBorder="1" applyAlignment="1">
      <alignment horizontal="center"/>
    </xf>
    <xf numFmtId="0" fontId="5" fillId="0" borderId="0" xfId="0" applyFont="1"/>
    <xf numFmtId="0" fontId="5" fillId="0" borderId="1" xfId="0" applyFont="1" applyBorder="1" applyAlignment="1">
      <alignment horizontal="center"/>
    </xf>
    <xf numFmtId="0" fontId="27" fillId="0" borderId="4" xfId="0" applyFont="1" applyBorder="1"/>
    <xf numFmtId="165" fontId="27" fillId="0" borderId="4" xfId="0" applyNumberFormat="1" applyFont="1" applyBorder="1" applyAlignment="1">
      <alignment horizontal="center"/>
    </xf>
    <xf numFmtId="164" fontId="0" fillId="0" borderId="0" xfId="0" applyNumberFormat="1" applyAlignment="1">
      <alignment horizontal="center"/>
    </xf>
    <xf numFmtId="165" fontId="5" fillId="4" borderId="1" xfId="1" applyNumberFormat="1" applyFont="1" applyFill="1" applyBorder="1" applyAlignment="1">
      <alignment horizontal="center"/>
    </xf>
    <xf numFmtId="9" fontId="0" fillId="0" borderId="0" xfId="3" applyFont="1" applyAlignment="1">
      <alignment horizontal="center"/>
    </xf>
    <xf numFmtId="165" fontId="5" fillId="0" borderId="1" xfId="1" applyNumberFormat="1" applyFont="1" applyBorder="1"/>
    <xf numFmtId="0" fontId="26" fillId="9" borderId="0" xfId="0" applyFont="1" applyFill="1"/>
    <xf numFmtId="0" fontId="5" fillId="0" borderId="4" xfId="0" applyFont="1" applyBorder="1" applyAlignment="1">
      <alignment horizontal="center"/>
    </xf>
    <xf numFmtId="0" fontId="5" fillId="0" borderId="4" xfId="0" applyFont="1" applyBorder="1"/>
    <xf numFmtId="165" fontId="5" fillId="0" borderId="4" xfId="1" applyNumberFormat="1" applyFont="1" applyBorder="1" applyAlignment="1">
      <alignment horizontal="center"/>
    </xf>
    <xf numFmtId="165" fontId="5" fillId="0" borderId="4" xfId="0" applyNumberFormat="1" applyFont="1" applyBorder="1" applyAlignment="1">
      <alignment horizontal="center"/>
    </xf>
    <xf numFmtId="0" fontId="3" fillId="11" borderId="11" xfId="0" applyFont="1" applyFill="1" applyBorder="1" applyAlignment="1">
      <alignment vertical="center"/>
    </xf>
    <xf numFmtId="0" fontId="3" fillId="11" borderId="12" xfId="0" applyFont="1" applyFill="1" applyBorder="1" applyAlignment="1">
      <alignment vertical="center"/>
    </xf>
    <xf numFmtId="0" fontId="3" fillId="11" borderId="12" xfId="0" applyFont="1" applyFill="1" applyBorder="1" applyAlignment="1">
      <alignment horizontal="center" vertical="center"/>
    </xf>
    <xf numFmtId="0" fontId="3" fillId="11" borderId="13" xfId="0" applyFont="1" applyFill="1" applyBorder="1" applyAlignment="1">
      <alignment horizontal="center" vertical="center" wrapText="1"/>
    </xf>
    <xf numFmtId="0" fontId="21" fillId="5" borderId="1" xfId="0" applyFont="1" applyFill="1" applyBorder="1" applyAlignment="1">
      <alignment horizontal="center" vertical="center" wrapText="1" readingOrder="1"/>
    </xf>
    <xf numFmtId="9" fontId="0" fillId="0" borderId="0" xfId="3" applyFont="1"/>
    <xf numFmtId="165" fontId="10" fillId="4" borderId="1" xfId="1" applyNumberFormat="1" applyFont="1" applyFill="1" applyBorder="1"/>
    <xf numFmtId="164" fontId="5" fillId="0" borderId="0" xfId="0" applyNumberFormat="1" applyFont="1"/>
    <xf numFmtId="0" fontId="3" fillId="7" borderId="0" xfId="0" applyFont="1" applyFill="1" applyAlignment="1">
      <alignment horizontal="center" vertical="center" wrapText="1" readingOrder="1"/>
    </xf>
    <xf numFmtId="165" fontId="27" fillId="0" borderId="1" xfId="1" applyNumberFormat="1" applyFont="1" applyBorder="1"/>
    <xf numFmtId="0" fontId="19" fillId="11" borderId="11" xfId="0" applyFont="1" applyFill="1" applyBorder="1" applyAlignment="1">
      <alignment horizontal="center"/>
    </xf>
    <xf numFmtId="0" fontId="19" fillId="11" borderId="12" xfId="0" applyFont="1" applyFill="1" applyBorder="1" applyAlignment="1">
      <alignment horizontal="center"/>
    </xf>
    <xf numFmtId="0" fontId="19" fillId="11" borderId="13" xfId="0" applyFont="1" applyFill="1" applyBorder="1" applyAlignment="1">
      <alignment horizontal="center"/>
    </xf>
    <xf numFmtId="0" fontId="10" fillId="11" borderId="27" xfId="0" applyFont="1" applyFill="1" applyBorder="1"/>
    <xf numFmtId="0" fontId="19" fillId="11" borderId="14" xfId="0" applyFont="1" applyFill="1" applyBorder="1" applyAlignment="1">
      <alignment horizontal="center"/>
    </xf>
    <xf numFmtId="0" fontId="10" fillId="0" borderId="26" xfId="0" applyFont="1" applyBorder="1" applyAlignment="1">
      <alignment horizontal="center"/>
    </xf>
    <xf numFmtId="9" fontId="28" fillId="0" borderId="4" xfId="3" applyFont="1" applyBorder="1" applyAlignment="1"/>
    <xf numFmtId="0" fontId="10" fillId="0" borderId="17" xfId="0" applyFont="1" applyBorder="1" applyAlignment="1">
      <alignment horizontal="center" wrapText="1"/>
    </xf>
    <xf numFmtId="0" fontId="10" fillId="0" borderId="24" xfId="0" applyFont="1" applyBorder="1" applyAlignment="1">
      <alignment horizontal="center" vertical="center" wrapText="1"/>
    </xf>
    <xf numFmtId="0" fontId="10" fillId="0" borderId="15" xfId="0" applyFont="1" applyBorder="1" applyAlignment="1">
      <alignment horizontal="center"/>
    </xf>
    <xf numFmtId="9" fontId="28" fillId="0" borderId="1" xfId="3" quotePrefix="1" applyFont="1" applyBorder="1" applyAlignment="1">
      <alignment horizontal="right"/>
    </xf>
    <xf numFmtId="0" fontId="10" fillId="0" borderId="16" xfId="0" applyFont="1" applyBorder="1" applyAlignment="1">
      <alignment horizontal="center" wrapText="1"/>
    </xf>
    <xf numFmtId="0" fontId="10" fillId="0" borderId="22" xfId="0" applyFont="1" applyBorder="1" applyAlignment="1">
      <alignment horizontal="center" vertical="center" wrapText="1"/>
    </xf>
    <xf numFmtId="9" fontId="10" fillId="0" borderId="1" xfId="3" applyFont="1" applyBorder="1" applyAlignment="1"/>
    <xf numFmtId="9" fontId="28" fillId="0" borderId="1" xfId="3" applyFont="1" applyBorder="1" applyAlignment="1"/>
    <xf numFmtId="0" fontId="8" fillId="0" borderId="18" xfId="0" applyFont="1" applyBorder="1" applyAlignment="1">
      <alignment horizontal="center"/>
    </xf>
    <xf numFmtId="9" fontId="21" fillId="14" borderId="19" xfId="3" applyFont="1" applyFill="1" applyBorder="1" applyAlignment="1"/>
    <xf numFmtId="0" fontId="8" fillId="0" borderId="21" xfId="0" applyFont="1" applyBorder="1" applyAlignment="1">
      <alignment horizontal="center" wrapText="1"/>
    </xf>
    <xf numFmtId="0" fontId="10" fillId="0" borderId="20" xfId="0" applyFont="1" applyBorder="1"/>
    <xf numFmtId="0" fontId="10" fillId="0" borderId="25" xfId="0" applyFont="1" applyBorder="1" applyAlignment="1">
      <alignment horizontal="center" vertical="center" wrapText="1"/>
    </xf>
    <xf numFmtId="3" fontId="8" fillId="0" borderId="1" xfId="0" applyNumberFormat="1" applyFont="1" applyBorder="1"/>
    <xf numFmtId="165" fontId="11" fillId="0" borderId="1" xfId="1" applyNumberFormat="1" applyFont="1" applyBorder="1"/>
    <xf numFmtId="165" fontId="10" fillId="0" borderId="4" xfId="1" applyNumberFormat="1" applyFont="1" applyBorder="1" applyAlignment="1"/>
    <xf numFmtId="165" fontId="10" fillId="0" borderId="1" xfId="1" applyNumberFormat="1" applyFont="1" applyBorder="1" applyAlignment="1"/>
    <xf numFmtId="165" fontId="8" fillId="0" borderId="19" xfId="1" applyNumberFormat="1" applyFont="1" applyBorder="1" applyAlignment="1"/>
    <xf numFmtId="0" fontId="0" fillId="4" borderId="1" xfId="0" applyFill="1" applyBorder="1" applyAlignment="1">
      <alignment wrapText="1"/>
    </xf>
    <xf numFmtId="0" fontId="10" fillId="0" borderId="4" xfId="0" applyFont="1" applyBorder="1" applyAlignment="1">
      <alignment wrapText="1"/>
    </xf>
    <xf numFmtId="0" fontId="8" fillId="0" borderId="19" xfId="0" applyFont="1" applyBorder="1" applyAlignment="1">
      <alignment wrapText="1"/>
    </xf>
    <xf numFmtId="0" fontId="10" fillId="0" borderId="23"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cellXfs>
  <cellStyles count="4">
    <cellStyle name="Comma" xfId="1" builtinId="3"/>
    <cellStyle name="Normal" xfId="0" builtinId="0"/>
    <cellStyle name="Normal 2" xfId="2" xr:uid="{5A90CBC9-2F10-4886-908D-B9302EE9E28F}"/>
    <cellStyle name="Percent" xfId="3" builtinId="5"/>
  </cellStyles>
  <dxfs count="0"/>
  <tableStyles count="1" defaultTableStyle="TableStyleMedium2" defaultPivotStyle="PivotStyleLight16">
    <tableStyle name="Invisible" pivot="0" table="0" count="0" xr9:uid="{EA14DF02-5AFB-4DA8-81C0-EF84B4BAD0FD}"/>
  </tableStyles>
  <colors>
    <mruColors>
      <color rgb="FF0087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luwafemi.ogunlaja/AppData/Local/Microsoft/Windows/INetCache/Content.Outlook/ZB5T3L8L/IIH%20Structured%20Salary%20Breakdown.xlsx" TargetMode="External"/><Relationship Id="rId1" Type="http://schemas.openxmlformats.org/officeDocument/2006/relationships/externalLinkPath" Target="IIH%20Structured%20Salary%20Breakdow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nual Cost Summary"/>
      <sheetName val="Payroll breakdown per role"/>
      <sheetName val="Annual Employer Cost per Grade"/>
      <sheetName val="Bonus suggestion table"/>
    </sheetNames>
    <sheetDataSet>
      <sheetData sheetId="0"/>
      <sheetData sheetId="1"/>
      <sheetData sheetId="2">
        <row r="17">
          <cell r="K17">
            <v>840000</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2295-9644-477C-80FC-73B3A3414335}">
  <dimension ref="B1:I13"/>
  <sheetViews>
    <sheetView topLeftCell="A5" zoomScale="65" zoomScaleNormal="65" workbookViewId="0">
      <selection activeCell="G16" sqref="G16"/>
    </sheetView>
  </sheetViews>
  <sheetFormatPr baseColWidth="10" defaultColWidth="8.83203125" defaultRowHeight="15" x14ac:dyDescent="0.2"/>
  <cols>
    <col min="3" max="3" width="20.83203125" bestFit="1" customWidth="1"/>
    <col min="4" max="4" width="23.33203125" customWidth="1"/>
    <col min="5" max="5" width="17.5" customWidth="1"/>
    <col min="6" max="6" width="12.33203125" customWidth="1"/>
    <col min="7" max="7" width="30.6640625" bestFit="1" customWidth="1"/>
    <col min="8" max="8" width="3" customWidth="1"/>
    <col min="9" max="9" width="34.5" customWidth="1"/>
  </cols>
  <sheetData>
    <row r="1" spans="2:9" ht="16" thickBot="1" x14ac:dyDescent="0.25"/>
    <row r="2" spans="2:9" ht="17" thickBot="1" x14ac:dyDescent="0.25">
      <c r="B2" s="98" t="s">
        <v>49</v>
      </c>
      <c r="C2" s="99" t="s">
        <v>135</v>
      </c>
      <c r="D2" s="99" t="s">
        <v>132</v>
      </c>
      <c r="E2" s="99" t="s">
        <v>133</v>
      </c>
      <c r="F2" s="99" t="s">
        <v>136</v>
      </c>
      <c r="G2" s="100" t="s">
        <v>137</v>
      </c>
      <c r="H2" s="101"/>
      <c r="I2" s="102" t="s">
        <v>146</v>
      </c>
    </row>
    <row r="3" spans="2:9" ht="51" x14ac:dyDescent="0.2">
      <c r="B3" s="103">
        <v>1</v>
      </c>
      <c r="C3" s="124" t="s">
        <v>2</v>
      </c>
      <c r="D3" s="120">
        <v>12263000</v>
      </c>
      <c r="E3" s="120">
        <v>9396240</v>
      </c>
      <c r="F3" s="104">
        <f>E3/D3-1</f>
        <v>-0.23377313870994043</v>
      </c>
      <c r="G3" s="105" t="s">
        <v>145</v>
      </c>
      <c r="H3" s="16"/>
      <c r="I3" s="106" t="s">
        <v>151</v>
      </c>
    </row>
    <row r="4" spans="2:9" ht="119" x14ac:dyDescent="0.2">
      <c r="B4" s="107">
        <f>B3+1</f>
        <v>2</v>
      </c>
      <c r="C4" s="40" t="s">
        <v>134</v>
      </c>
      <c r="D4" s="121">
        <v>30270000</v>
      </c>
      <c r="E4" s="121">
        <v>0</v>
      </c>
      <c r="F4" s="108" t="s">
        <v>138</v>
      </c>
      <c r="G4" s="109" t="s">
        <v>139</v>
      </c>
      <c r="H4" s="16"/>
      <c r="I4" s="110" t="s">
        <v>147</v>
      </c>
    </row>
    <row r="5" spans="2:9" ht="34" x14ac:dyDescent="0.2">
      <c r="B5" s="107">
        <f t="shared" ref="B5:B10" si="0">B4+1</f>
        <v>3</v>
      </c>
      <c r="C5" s="40" t="s">
        <v>4</v>
      </c>
      <c r="D5" s="121">
        <v>840000</v>
      </c>
      <c r="E5" s="121">
        <v>1866000</v>
      </c>
      <c r="F5" s="111">
        <f>E5/D5-1</f>
        <v>1.2214285714285715</v>
      </c>
      <c r="G5" s="109" t="s">
        <v>140</v>
      </c>
      <c r="H5" s="16"/>
      <c r="I5" s="128" t="s">
        <v>148</v>
      </c>
    </row>
    <row r="6" spans="2:9" ht="34" x14ac:dyDescent="0.2">
      <c r="B6" s="107">
        <f t="shared" si="0"/>
        <v>4</v>
      </c>
      <c r="C6" s="40" t="s">
        <v>5</v>
      </c>
      <c r="D6" s="121">
        <v>2040000</v>
      </c>
      <c r="E6" s="121">
        <v>0</v>
      </c>
      <c r="F6" s="108" t="s">
        <v>138</v>
      </c>
      <c r="G6" s="109" t="s">
        <v>141</v>
      </c>
      <c r="H6" s="16"/>
      <c r="I6" s="129"/>
    </row>
    <row r="7" spans="2:9" ht="51" x14ac:dyDescent="0.2">
      <c r="B7" s="107">
        <f t="shared" si="0"/>
        <v>5</v>
      </c>
      <c r="C7" s="40" t="s">
        <v>79</v>
      </c>
      <c r="D7" s="121">
        <v>5760000</v>
      </c>
      <c r="E7" s="121">
        <v>4680000</v>
      </c>
      <c r="F7" s="112">
        <f>E7/D7-1</f>
        <v>-0.1875</v>
      </c>
      <c r="G7" s="109" t="s">
        <v>142</v>
      </c>
      <c r="H7" s="16"/>
      <c r="I7" s="110" t="s">
        <v>152</v>
      </c>
    </row>
    <row r="8" spans="2:9" ht="43.5" customHeight="1" x14ac:dyDescent="0.2">
      <c r="B8" s="107">
        <f t="shared" si="0"/>
        <v>6</v>
      </c>
      <c r="C8" s="40" t="s">
        <v>7</v>
      </c>
      <c r="D8" s="121">
        <v>1785420</v>
      </c>
      <c r="E8" s="121">
        <v>1530244.8</v>
      </c>
      <c r="F8" s="112">
        <f>E8/D8-1</f>
        <v>-0.1429216654904728</v>
      </c>
      <c r="G8" s="109" t="s">
        <v>143</v>
      </c>
      <c r="H8" s="16"/>
      <c r="I8" s="126" t="s">
        <v>149</v>
      </c>
    </row>
    <row r="9" spans="2:9" ht="43.5" customHeight="1" x14ac:dyDescent="0.2">
      <c r="B9" s="107">
        <f t="shared" si="0"/>
        <v>7</v>
      </c>
      <c r="C9" s="40" t="s">
        <v>8</v>
      </c>
      <c r="D9" s="121">
        <v>1785420</v>
      </c>
      <c r="E9" s="121">
        <v>1530244.8</v>
      </c>
      <c r="F9" s="112">
        <f>E9/D9-1</f>
        <v>-0.1429216654904728</v>
      </c>
      <c r="G9" s="109" t="s">
        <v>143</v>
      </c>
      <c r="H9" s="16"/>
      <c r="I9" s="127"/>
    </row>
    <row r="10" spans="2:9" ht="103" thickBot="1" x14ac:dyDescent="0.25">
      <c r="B10" s="113">
        <f t="shared" si="0"/>
        <v>8</v>
      </c>
      <c r="C10" s="125" t="s">
        <v>9</v>
      </c>
      <c r="D10" s="122">
        <v>235017335.19999999</v>
      </c>
      <c r="E10" s="122">
        <f>'Month on Month HC Cost'!O19</f>
        <v>146232200.29166666</v>
      </c>
      <c r="F10" s="114">
        <f>E10/D10-1</f>
        <v>-0.3777812170016186</v>
      </c>
      <c r="G10" s="115" t="s">
        <v>144</v>
      </c>
      <c r="H10" s="116"/>
      <c r="I10" s="117" t="s">
        <v>150</v>
      </c>
    </row>
    <row r="11" spans="2:9" x14ac:dyDescent="0.2">
      <c r="C11" s="75"/>
      <c r="D11" s="95"/>
      <c r="E11" s="75"/>
      <c r="F11" s="75"/>
    </row>
    <row r="12" spans="2:9" x14ac:dyDescent="0.2">
      <c r="C12" s="75"/>
      <c r="D12" s="95"/>
      <c r="E12" s="75"/>
      <c r="F12" s="75"/>
    </row>
    <row r="13" spans="2:9" x14ac:dyDescent="0.2">
      <c r="C13" s="75"/>
      <c r="D13" s="75"/>
      <c r="E13" s="75"/>
      <c r="F13" s="75"/>
    </row>
  </sheetData>
  <mergeCells count="2">
    <mergeCell ref="I8:I9"/>
    <mergeCell ref="I5:I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3E70-A95B-4A3D-A0FB-5AC920C5CD37}">
  <dimension ref="A1:O31"/>
  <sheetViews>
    <sheetView tabSelected="1" workbookViewId="0">
      <pane xSplit="2" ySplit="2" topLeftCell="C3" activePane="bottomRight" state="frozen"/>
      <selection pane="topRight" activeCell="C1" sqref="C1"/>
      <selection pane="bottomLeft" activeCell="A3" sqref="A3"/>
      <selection pane="bottomRight" activeCell="O8" sqref="O8"/>
    </sheetView>
  </sheetViews>
  <sheetFormatPr baseColWidth="10" defaultColWidth="8.83203125" defaultRowHeight="15" x14ac:dyDescent="0.2"/>
  <cols>
    <col min="2" max="2" width="29.83203125" customWidth="1"/>
    <col min="3" max="4" width="11.1640625" style="22" bestFit="1" customWidth="1"/>
    <col min="5" max="5" width="12.5" style="22" customWidth="1"/>
    <col min="6" max="6" width="12.33203125" style="22" customWidth="1"/>
    <col min="7" max="7" width="12.5" style="22" customWidth="1"/>
    <col min="8" max="8" width="13.83203125" style="22" customWidth="1"/>
    <col min="9" max="9" width="13.33203125" style="22" customWidth="1"/>
    <col min="10" max="10" width="12.5" style="22" customWidth="1"/>
    <col min="11" max="11" width="12.6640625" style="22" customWidth="1"/>
    <col min="12" max="12" width="15.33203125" style="22" customWidth="1"/>
    <col min="13" max="13" width="14.83203125" style="22" customWidth="1"/>
    <col min="14" max="14" width="14.1640625" style="22" customWidth="1"/>
    <col min="15" max="15" width="14.6640625" customWidth="1"/>
  </cols>
  <sheetData>
    <row r="1" spans="1:15" ht="41" customHeight="1" thickBot="1" x14ac:dyDescent="0.25">
      <c r="C1" s="69"/>
      <c r="E1" s="130" t="s">
        <v>131</v>
      </c>
      <c r="F1" s="131"/>
      <c r="G1" s="131"/>
      <c r="H1" s="131"/>
      <c r="I1" s="131"/>
      <c r="J1" s="131"/>
      <c r="K1" s="131"/>
      <c r="L1" s="131"/>
      <c r="M1" s="131"/>
      <c r="N1" s="132"/>
      <c r="O1" s="83"/>
    </row>
    <row r="2" spans="1:15" ht="33" thickBot="1" x14ac:dyDescent="0.25">
      <c r="A2" s="88" t="s">
        <v>49</v>
      </c>
      <c r="B2" s="89" t="s">
        <v>10</v>
      </c>
      <c r="C2" s="90" t="s">
        <v>88</v>
      </c>
      <c r="D2" s="90" t="s">
        <v>89</v>
      </c>
      <c r="E2" s="90" t="s">
        <v>90</v>
      </c>
      <c r="F2" s="90" t="s">
        <v>91</v>
      </c>
      <c r="G2" s="90" t="s">
        <v>92</v>
      </c>
      <c r="H2" s="90" t="s">
        <v>93</v>
      </c>
      <c r="I2" s="90" t="s">
        <v>94</v>
      </c>
      <c r="J2" s="90" t="s">
        <v>95</v>
      </c>
      <c r="K2" s="90" t="s">
        <v>96</v>
      </c>
      <c r="L2" s="90" t="s">
        <v>97</v>
      </c>
      <c r="M2" s="90" t="s">
        <v>98</v>
      </c>
      <c r="N2" s="90" t="s">
        <v>99</v>
      </c>
      <c r="O2" s="91" t="s">
        <v>128</v>
      </c>
    </row>
    <row r="3" spans="1:15" x14ac:dyDescent="0.2">
      <c r="A3" s="84">
        <v>1</v>
      </c>
      <c r="B3" s="85" t="s">
        <v>13</v>
      </c>
      <c r="C3" s="86">
        <f>(_xlfn.XLOOKUP(B3,'Annual Employer Cost per Grade'!$C$2:$C$17,'Annual Employer Cost per Grade'!$U$2:$U$17,0,0))*(INDEX('Headcount Phasing'!$B$3:$M$18,MATCH(B3,'Headcount Phasing'!$A$3:$A$18,0),MATCH($C$2,'Headcount Phasing'!$B$2:$M$2,0)))</f>
        <v>0</v>
      </c>
      <c r="D3" s="86">
        <f>(_xlfn.XLOOKUP(B3,'Annual Employer Cost per Grade'!$C$2:$C$17,'Annual Employer Cost per Grade'!$U$2:$U$17,0,0))*(INDEX('Headcount Phasing'!$B$3:$M$18,MATCH(B3,'Headcount Phasing'!$A$3:$A$18,0),MATCH($D$2,'Headcount Phasing'!$B$2:$M$2,0)))</f>
        <v>0</v>
      </c>
      <c r="E3" s="86">
        <f>(_xlfn.XLOOKUP(B3,'Annual Employer Cost per Grade'!$C$2:$C$17,'Annual Employer Cost per Grade'!$U$2:$U$17,0,0))*(INDEX('Headcount Phasing'!$B$3:$M$18,MATCH(B3,'Headcount Phasing'!$A$3:$A$18,0),MATCH($E$2,'Headcount Phasing'!$B$2:$M$2,0)))</f>
        <v>6187666.666666667</v>
      </c>
      <c r="F3" s="86">
        <f>(_xlfn.XLOOKUP(B3,'Annual Employer Cost per Grade'!$C$2:$C$17,'Annual Employer Cost per Grade'!$U$2:$U$17,0,0))*(INDEX('Headcount Phasing'!$B$3:$M$18,MATCH(B3,'Headcount Phasing'!$A$3:$A$18,0),MATCH($F$2,'Headcount Phasing'!$B$2:$M$2,0)))</f>
        <v>6187666.666666667</v>
      </c>
      <c r="G3" s="86">
        <f>(_xlfn.XLOOKUP(B3,'Annual Employer Cost per Grade'!$C$2:$C$17,'Annual Employer Cost per Grade'!$U$2:$U$17,0,0))*(INDEX('Headcount Phasing'!$B$3:$M$18,MATCH(B3,'Headcount Phasing'!$A$3:$A$18,0),MATCH($G$2,'Headcount Phasing'!$B$2:$M$2,0)))</f>
        <v>6187666.666666667</v>
      </c>
      <c r="H3" s="86">
        <f>(_xlfn.XLOOKUP(B3,'Annual Employer Cost per Grade'!$C$2:$C$17,'Annual Employer Cost per Grade'!$U$2:$U$17,0,0))*(INDEX('Headcount Phasing'!$B$3:$M$18,MATCH(B3,'Headcount Phasing'!$A$3:$A$18,0),MATCH($H$2,'Headcount Phasing'!$B$2:$M$2,0)))</f>
        <v>6187666.666666667</v>
      </c>
      <c r="I3" s="86">
        <f>(_xlfn.XLOOKUP(B3,'Annual Employer Cost per Grade'!$C$2:$C$17,'Annual Employer Cost per Grade'!$U$2:$U$17,0,0))*(INDEX('Headcount Phasing'!$B$3:$M$18,MATCH(B3,'Headcount Phasing'!$A$3:$A$18,0),MATCH($I$2,'Headcount Phasing'!$B$2:$M$2,0)))</f>
        <v>6187666.666666667</v>
      </c>
      <c r="J3" s="86">
        <f>(_xlfn.XLOOKUP(B3,'Annual Employer Cost per Grade'!$C$2:$C$17,'Annual Employer Cost per Grade'!$U$2:$U$17,0,0))*(INDEX('Headcount Phasing'!$B$3:$M$18,MATCH(B3,'Headcount Phasing'!$A$3:$A$18,0),MATCH($J$2,'Headcount Phasing'!$B$2:$M$2,0)))</f>
        <v>6187666.666666667</v>
      </c>
      <c r="K3" s="86">
        <f>(_xlfn.XLOOKUP(B3,'Annual Employer Cost per Grade'!$C$2:$C$17,'Annual Employer Cost per Grade'!$U$2:$U$17,0,0))*(INDEX('Headcount Phasing'!$B$3:$M$18,MATCH(B3,'Headcount Phasing'!$A$3:$A$18,0),MATCH($K$2,'Headcount Phasing'!$B$2:$M$2,0)))</f>
        <v>6187666.666666667</v>
      </c>
      <c r="L3" s="86">
        <f>(_xlfn.XLOOKUP(B3,'Annual Employer Cost per Grade'!$C$2:$C$17,'Annual Employer Cost per Grade'!$U$2:$U$17,0,0))*(INDEX('Headcount Phasing'!$B$3:$M$18,MATCH(B3,'Headcount Phasing'!$A$3:$A$18,0),MATCH($L$2,'Headcount Phasing'!$B$2:$M$2,0)))</f>
        <v>6187666.666666667</v>
      </c>
      <c r="M3" s="86">
        <f>(_xlfn.XLOOKUP(B3,'Annual Employer Cost per Grade'!$C$2:$C$17,'Annual Employer Cost per Grade'!$U$2:$U$17,0,0))*(INDEX('Headcount Phasing'!$B$3:$M$18,MATCH(B3,'Headcount Phasing'!$A$3:$A$18,0),MATCH($M$2,'Headcount Phasing'!$B$2:$M$2,0)))</f>
        <v>6187666.666666667</v>
      </c>
      <c r="N3" s="86">
        <f>(_xlfn.XLOOKUP(B3,'Annual Employer Cost per Grade'!$C$2:$C$17,'Annual Employer Cost per Grade'!$U$2:$U$17,0,0))*(INDEX('Headcount Phasing'!$B$3:$M$18,MATCH(B3,'Headcount Phasing'!$A$3:$A$18,0),MATCH($N$2,'Headcount Phasing'!$B$2:$M$2,0)))</f>
        <v>6187666.666666667</v>
      </c>
      <c r="O3" s="87">
        <f>SUM(C3:N3)</f>
        <v>61876666.666666657</v>
      </c>
    </row>
    <row r="4" spans="1:15" x14ac:dyDescent="0.2">
      <c r="A4" s="76">
        <f>A3+1</f>
        <v>2</v>
      </c>
      <c r="B4" s="13" t="s">
        <v>32</v>
      </c>
      <c r="C4" s="73">
        <f>(_xlfn.XLOOKUP(B4,'Annual Employer Cost per Grade'!$C$2:$C$17,'Annual Employer Cost per Grade'!$U$2:$U$17,0,0))*(INDEX('Headcount Phasing'!$B$3:$M$18,MATCH(B4,'Headcount Phasing'!$A$3:$A$18,0),MATCH($C$2,'Headcount Phasing'!$B$2:$M$2,0)))</f>
        <v>0</v>
      </c>
      <c r="D4" s="73">
        <f>(_xlfn.XLOOKUP(B4,'Annual Employer Cost per Grade'!$C$2:$C$17,'Annual Employer Cost per Grade'!$U$2:$U$17,0,0))*(INDEX('Headcount Phasing'!$B$3:$M$18,MATCH(B4,'Headcount Phasing'!$A$3:$A$18,0),MATCH($D$2,'Headcount Phasing'!$B$2:$M$2,0)))</f>
        <v>0</v>
      </c>
      <c r="E4" s="86">
        <f>(_xlfn.XLOOKUP(B4,'Annual Employer Cost per Grade'!$C$2:$C$17,'Annual Employer Cost per Grade'!$U$2:$U$17,0,0))*(INDEX('Headcount Phasing'!$B$3:$M$18,MATCH(B4,'Headcount Phasing'!$A$3:$A$18,0),MATCH($E$2,'Headcount Phasing'!$B$2:$M$2,0)))</f>
        <v>0</v>
      </c>
      <c r="F4" s="73">
        <f>(_xlfn.XLOOKUP(B4,'Annual Employer Cost per Grade'!$C$2:$C$17,'Annual Employer Cost per Grade'!$U$2:$U$17,0,0))*(INDEX('Headcount Phasing'!$B$3:$M$18,MATCH(B4,'Headcount Phasing'!$A$3:$A$18,0),MATCH($F$2,'Headcount Phasing'!$B$2:$M$2,0)))</f>
        <v>3555487.9166666665</v>
      </c>
      <c r="G4" s="73">
        <f>(_xlfn.XLOOKUP(B4,'Annual Employer Cost per Grade'!$C$2:$C$17,'Annual Employer Cost per Grade'!$U$2:$U$17,0,0))*(INDEX('Headcount Phasing'!$B$3:$M$18,MATCH(B4,'Headcount Phasing'!$A$3:$A$18,0),MATCH($G$2,'Headcount Phasing'!$B$2:$M$2,0)))</f>
        <v>3555487.9166666665</v>
      </c>
      <c r="H4" s="73">
        <f>(_xlfn.XLOOKUP(B4,'Annual Employer Cost per Grade'!$C$2:$C$17,'Annual Employer Cost per Grade'!$U$2:$U$17,0,0))*(INDEX('Headcount Phasing'!$B$3:$M$18,MATCH(B4,'Headcount Phasing'!$A$3:$A$18,0),MATCH($H$2,'Headcount Phasing'!$B$2:$M$2,0)))</f>
        <v>3555487.9166666665</v>
      </c>
      <c r="I4" s="73">
        <f>(_xlfn.XLOOKUP(B4,'Annual Employer Cost per Grade'!$C$2:$C$17,'Annual Employer Cost per Grade'!$U$2:$U$17,0,0))*(INDEX('Headcount Phasing'!$B$3:$M$18,MATCH(B4,'Headcount Phasing'!$A$3:$A$18,0),MATCH($I$2,'Headcount Phasing'!$B$2:$M$2,0)))</f>
        <v>3555487.9166666665</v>
      </c>
      <c r="J4" s="73">
        <f>(_xlfn.XLOOKUP(B4,'Annual Employer Cost per Grade'!$C$2:$C$17,'Annual Employer Cost per Grade'!$U$2:$U$17,0,0))*(INDEX('Headcount Phasing'!$B$3:$M$18,MATCH(B4,'Headcount Phasing'!$A$3:$A$18,0),MATCH($J$2,'Headcount Phasing'!$B$2:$M$2,0)))</f>
        <v>3555487.9166666665</v>
      </c>
      <c r="K4" s="73">
        <f>(_xlfn.XLOOKUP(B4,'Annual Employer Cost per Grade'!$C$2:$C$17,'Annual Employer Cost per Grade'!$U$2:$U$17,0,0))*(INDEX('Headcount Phasing'!$B$3:$M$18,MATCH(B4,'Headcount Phasing'!$A$3:$A$18,0),MATCH($K$2,'Headcount Phasing'!$B$2:$M$2,0)))</f>
        <v>3555487.9166666665</v>
      </c>
      <c r="L4" s="73">
        <f>(_xlfn.XLOOKUP(B4,'Annual Employer Cost per Grade'!$C$2:$C$17,'Annual Employer Cost per Grade'!$U$2:$U$17,0,0))*(INDEX('Headcount Phasing'!$B$3:$M$18,MATCH(B4,'Headcount Phasing'!$A$3:$A$18,0),MATCH($L$2,'Headcount Phasing'!$B$2:$M$2,0)))</f>
        <v>3555487.9166666665</v>
      </c>
      <c r="M4" s="73">
        <f>(_xlfn.XLOOKUP(B4,'Annual Employer Cost per Grade'!$C$2:$C$17,'Annual Employer Cost per Grade'!$U$2:$U$17,0,0))*(INDEX('Headcount Phasing'!$B$3:$M$18,MATCH(B4,'Headcount Phasing'!$A$3:$A$18,0),MATCH($M$2,'Headcount Phasing'!$B$2:$M$2,0)))</f>
        <v>3555487.9166666665</v>
      </c>
      <c r="N4" s="73">
        <f>(_xlfn.XLOOKUP(B4,'Annual Employer Cost per Grade'!$C$2:$C$17,'Annual Employer Cost per Grade'!$U$2:$U$17,0,0))*(INDEX('Headcount Phasing'!$B$3:$M$18,MATCH(B4,'Headcount Phasing'!$A$3:$A$18,0),MATCH($N$2,'Headcount Phasing'!$B$2:$M$2,0)))</f>
        <v>3555487.9166666665</v>
      </c>
      <c r="O4" s="74">
        <f t="shared" ref="O4:O18" si="0">SUM(C4:N4)</f>
        <v>31999391.250000004</v>
      </c>
    </row>
    <row r="5" spans="1:15" x14ac:dyDescent="0.2">
      <c r="A5" s="76">
        <f t="shared" ref="A5:A18" si="1">A4+1</f>
        <v>3</v>
      </c>
      <c r="B5" s="13" t="s">
        <v>33</v>
      </c>
      <c r="C5" s="73">
        <f>(_xlfn.XLOOKUP(B5,'Annual Employer Cost per Grade'!$C$2:$C$17,'Annual Employer Cost per Grade'!$U$2:$U$17,0,0))*(INDEX('Headcount Phasing'!$B$3:$M$18,MATCH(B5,'Headcount Phasing'!$A$3:$A$18,0),MATCH($C$2,'Headcount Phasing'!$B$2:$M$2,0)))</f>
        <v>0</v>
      </c>
      <c r="D5" s="73">
        <f>(_xlfn.XLOOKUP(B5,'Annual Employer Cost per Grade'!$C$2:$C$17,'Annual Employer Cost per Grade'!$U$2:$U$17,0,0))*(INDEX('Headcount Phasing'!$B$3:$M$18,MATCH(B5,'Headcount Phasing'!$A$3:$A$18,0),MATCH($D$2,'Headcount Phasing'!$B$2:$M$2,0)))</f>
        <v>0</v>
      </c>
      <c r="E5" s="86">
        <f>(_xlfn.XLOOKUP(B5,'Annual Employer Cost per Grade'!$C$2:$C$17,'Annual Employer Cost per Grade'!$U$2:$U$17,0,0))*(INDEX('Headcount Phasing'!$B$3:$M$18,MATCH(B5,'Headcount Phasing'!$A$3:$A$18,0),MATCH($E$2,'Headcount Phasing'!$B$2:$M$2,0)))</f>
        <v>0</v>
      </c>
      <c r="F5" s="73">
        <f>(_xlfn.XLOOKUP(B5,'Annual Employer Cost per Grade'!$C$2:$C$17,'Annual Employer Cost per Grade'!$U$2:$U$17,0,0))*(INDEX('Headcount Phasing'!$B$3:$M$18,MATCH(B5,'Headcount Phasing'!$A$3:$A$18,0),MATCH($F$2,'Headcount Phasing'!$B$2:$M$2,0)))</f>
        <v>779030.5</v>
      </c>
      <c r="G5" s="73">
        <f>(_xlfn.XLOOKUP(B5,'Annual Employer Cost per Grade'!$C$2:$C$17,'Annual Employer Cost per Grade'!$U$2:$U$17,0,0))*(INDEX('Headcount Phasing'!$B$3:$M$18,MATCH(B5,'Headcount Phasing'!$A$3:$A$18,0),MATCH($G$2,'Headcount Phasing'!$B$2:$M$2,0)))</f>
        <v>779030.5</v>
      </c>
      <c r="H5" s="73">
        <f>(_xlfn.XLOOKUP(B5,'Annual Employer Cost per Grade'!$C$2:$C$17,'Annual Employer Cost per Grade'!$U$2:$U$17,0,0))*(INDEX('Headcount Phasing'!$B$3:$M$18,MATCH(B5,'Headcount Phasing'!$A$3:$A$18,0),MATCH($H$2,'Headcount Phasing'!$B$2:$M$2,0)))</f>
        <v>779030.5</v>
      </c>
      <c r="I5" s="73">
        <f>(_xlfn.XLOOKUP(B5,'Annual Employer Cost per Grade'!$C$2:$C$17,'Annual Employer Cost per Grade'!$U$2:$U$17,0,0))*(INDEX('Headcount Phasing'!$B$3:$M$18,MATCH(B5,'Headcount Phasing'!$A$3:$A$18,0),MATCH($I$2,'Headcount Phasing'!$B$2:$M$2,0)))</f>
        <v>779030.5</v>
      </c>
      <c r="J5" s="73">
        <f>(_xlfn.XLOOKUP(B5,'Annual Employer Cost per Grade'!$C$2:$C$17,'Annual Employer Cost per Grade'!$U$2:$U$17,0,0))*(INDEX('Headcount Phasing'!$B$3:$M$18,MATCH(B5,'Headcount Phasing'!$A$3:$A$18,0),MATCH($J$2,'Headcount Phasing'!$B$2:$M$2,0)))</f>
        <v>779030.5</v>
      </c>
      <c r="K5" s="73">
        <f>(_xlfn.XLOOKUP(B5,'Annual Employer Cost per Grade'!$C$2:$C$17,'Annual Employer Cost per Grade'!$U$2:$U$17,0,0))*(INDEX('Headcount Phasing'!$B$3:$M$18,MATCH(B5,'Headcount Phasing'!$A$3:$A$18,0),MATCH($K$2,'Headcount Phasing'!$B$2:$M$2,0)))</f>
        <v>779030.5</v>
      </c>
      <c r="L5" s="73">
        <f>(_xlfn.XLOOKUP(B5,'Annual Employer Cost per Grade'!$C$2:$C$17,'Annual Employer Cost per Grade'!$U$2:$U$17,0,0))*(INDEX('Headcount Phasing'!$B$3:$M$18,MATCH(B5,'Headcount Phasing'!$A$3:$A$18,0),MATCH($L$2,'Headcount Phasing'!$B$2:$M$2,0)))</f>
        <v>779030.5</v>
      </c>
      <c r="M5" s="73">
        <f>(_xlfn.XLOOKUP(B5,'Annual Employer Cost per Grade'!$C$2:$C$17,'Annual Employer Cost per Grade'!$U$2:$U$17,0,0))*(INDEX('Headcount Phasing'!$B$3:$M$18,MATCH(B5,'Headcount Phasing'!$A$3:$A$18,0),MATCH($M$2,'Headcount Phasing'!$B$2:$M$2,0)))</f>
        <v>779030.5</v>
      </c>
      <c r="N5" s="73">
        <f>(_xlfn.XLOOKUP(B5,'Annual Employer Cost per Grade'!$C$2:$C$17,'Annual Employer Cost per Grade'!$U$2:$U$17,0,0))*(INDEX('Headcount Phasing'!$B$3:$M$18,MATCH(B5,'Headcount Phasing'!$A$3:$A$18,0),MATCH($N$2,'Headcount Phasing'!$B$2:$M$2,0)))</f>
        <v>779030.5</v>
      </c>
      <c r="O5" s="74">
        <f t="shared" si="0"/>
        <v>7011274.5</v>
      </c>
    </row>
    <row r="6" spans="1:15" x14ac:dyDescent="0.2">
      <c r="A6" s="76">
        <f t="shared" si="1"/>
        <v>4</v>
      </c>
      <c r="B6" s="13" t="s">
        <v>34</v>
      </c>
      <c r="C6" s="73">
        <f>(_xlfn.XLOOKUP(B6,'Annual Employer Cost per Grade'!$C$2:$C$17,'Annual Employer Cost per Grade'!$U$2:$U$17,0,0))*(INDEX('Headcount Phasing'!$B$3:$M$18,MATCH(B6,'Headcount Phasing'!$A$3:$A$18,0),MATCH($C$2,'Headcount Phasing'!$B$2:$M$2,0)))</f>
        <v>0</v>
      </c>
      <c r="D6" s="73">
        <f>(_xlfn.XLOOKUP(B6,'Annual Employer Cost per Grade'!$C$2:$C$17,'Annual Employer Cost per Grade'!$U$2:$U$17,0,0))*(INDEX('Headcount Phasing'!$B$3:$M$18,MATCH(B6,'Headcount Phasing'!$A$3:$A$18,0),MATCH($D$2,'Headcount Phasing'!$B$2:$M$2,0)))</f>
        <v>0</v>
      </c>
      <c r="E6" s="86">
        <f>(_xlfn.XLOOKUP(B6,'Annual Employer Cost per Grade'!$C$2:$C$17,'Annual Employer Cost per Grade'!$U$2:$U$17,0,0))*(INDEX('Headcount Phasing'!$B$3:$M$18,MATCH(B6,'Headcount Phasing'!$A$3:$A$18,0),MATCH($E$2,'Headcount Phasing'!$B$2:$M$2,0)))</f>
        <v>0</v>
      </c>
      <c r="F6" s="73">
        <f>(_xlfn.XLOOKUP(B6,'Annual Employer Cost per Grade'!$C$2:$C$17,'Annual Employer Cost per Grade'!$U$2:$U$17,0,0))*(INDEX('Headcount Phasing'!$B$3:$M$18,MATCH(B6,'Headcount Phasing'!$A$3:$A$18,0),MATCH($F$2,'Headcount Phasing'!$B$2:$M$2,0)))</f>
        <v>474470.5</v>
      </c>
      <c r="G6" s="73">
        <f>(_xlfn.XLOOKUP(B6,'Annual Employer Cost per Grade'!$C$2:$C$17,'Annual Employer Cost per Grade'!$U$2:$U$17,0,0))*(INDEX('Headcount Phasing'!$B$3:$M$18,MATCH(B6,'Headcount Phasing'!$A$3:$A$18,0),MATCH($G$2,'Headcount Phasing'!$B$2:$M$2,0)))</f>
        <v>474470.5</v>
      </c>
      <c r="H6" s="73">
        <f>(_xlfn.XLOOKUP(B6,'Annual Employer Cost per Grade'!$C$2:$C$17,'Annual Employer Cost per Grade'!$U$2:$U$17,0,0))*(INDEX('Headcount Phasing'!$B$3:$M$18,MATCH(B6,'Headcount Phasing'!$A$3:$A$18,0),MATCH($H$2,'Headcount Phasing'!$B$2:$M$2,0)))</f>
        <v>474470.5</v>
      </c>
      <c r="I6" s="73">
        <f>(_xlfn.XLOOKUP(B6,'Annual Employer Cost per Grade'!$C$2:$C$17,'Annual Employer Cost per Grade'!$U$2:$U$17,0,0))*(INDEX('Headcount Phasing'!$B$3:$M$18,MATCH(B6,'Headcount Phasing'!$A$3:$A$18,0),MATCH($I$2,'Headcount Phasing'!$B$2:$M$2,0)))</f>
        <v>474470.5</v>
      </c>
      <c r="J6" s="73">
        <f>(_xlfn.XLOOKUP(B6,'Annual Employer Cost per Grade'!$C$2:$C$17,'Annual Employer Cost per Grade'!$U$2:$U$17,0,0))*(INDEX('Headcount Phasing'!$B$3:$M$18,MATCH(B6,'Headcount Phasing'!$A$3:$A$18,0),MATCH($J$2,'Headcount Phasing'!$B$2:$M$2,0)))</f>
        <v>474470.5</v>
      </c>
      <c r="K6" s="73">
        <f>(_xlfn.XLOOKUP(B6,'Annual Employer Cost per Grade'!$C$2:$C$17,'Annual Employer Cost per Grade'!$U$2:$U$17,0,0))*(INDEX('Headcount Phasing'!$B$3:$M$18,MATCH(B6,'Headcount Phasing'!$A$3:$A$18,0),MATCH($K$2,'Headcount Phasing'!$B$2:$M$2,0)))</f>
        <v>474470.5</v>
      </c>
      <c r="L6" s="73">
        <f>(_xlfn.XLOOKUP(B6,'Annual Employer Cost per Grade'!$C$2:$C$17,'Annual Employer Cost per Grade'!$U$2:$U$17,0,0))*(INDEX('Headcount Phasing'!$B$3:$M$18,MATCH(B6,'Headcount Phasing'!$A$3:$A$18,0),MATCH($L$2,'Headcount Phasing'!$B$2:$M$2,0)))</f>
        <v>474470.5</v>
      </c>
      <c r="M6" s="73">
        <f>(_xlfn.XLOOKUP(B6,'Annual Employer Cost per Grade'!$C$2:$C$17,'Annual Employer Cost per Grade'!$U$2:$U$17,0,0))*(INDEX('Headcount Phasing'!$B$3:$M$18,MATCH(B6,'Headcount Phasing'!$A$3:$A$18,0),MATCH($M$2,'Headcount Phasing'!$B$2:$M$2,0)))</f>
        <v>474470.5</v>
      </c>
      <c r="N6" s="73">
        <f>(_xlfn.XLOOKUP(B6,'Annual Employer Cost per Grade'!$C$2:$C$17,'Annual Employer Cost per Grade'!$U$2:$U$17,0,0))*(INDEX('Headcount Phasing'!$B$3:$M$18,MATCH(B6,'Headcount Phasing'!$A$3:$A$18,0),MATCH($N$2,'Headcount Phasing'!$B$2:$M$2,0)))</f>
        <v>474470.5</v>
      </c>
      <c r="O6" s="74">
        <f t="shared" si="0"/>
        <v>4270234.5</v>
      </c>
    </row>
    <row r="7" spans="1:15" x14ac:dyDescent="0.2">
      <c r="A7" s="76">
        <f t="shared" si="1"/>
        <v>5</v>
      </c>
      <c r="B7" s="13" t="s">
        <v>35</v>
      </c>
      <c r="C7" s="73">
        <f>(_xlfn.XLOOKUP(B7,'Annual Employer Cost per Grade'!$C$2:$C$17,'Annual Employer Cost per Grade'!$U$2:$U$17,0,0))*(INDEX('Headcount Phasing'!$B$3:$M$18,MATCH(B7,'Headcount Phasing'!$A$3:$A$18,0),MATCH($C$2,'Headcount Phasing'!$B$2:$M$2,0)))</f>
        <v>0</v>
      </c>
      <c r="D7" s="73">
        <f>(_xlfn.XLOOKUP(B7,'Annual Employer Cost per Grade'!$C$2:$C$17,'Annual Employer Cost per Grade'!$U$2:$U$17,0,0))*(INDEX('Headcount Phasing'!$B$3:$M$18,MATCH(B7,'Headcount Phasing'!$A$3:$A$18,0),MATCH($D$2,'Headcount Phasing'!$B$2:$M$2,0)))</f>
        <v>0</v>
      </c>
      <c r="E7" s="86">
        <f>(_xlfn.XLOOKUP(B7,'Annual Employer Cost per Grade'!$C$2:$C$17,'Annual Employer Cost per Grade'!$U$2:$U$17,0,0))*(INDEX('Headcount Phasing'!$B$3:$M$18,MATCH(B7,'Headcount Phasing'!$A$3:$A$18,0),MATCH($E$2,'Headcount Phasing'!$B$2:$M$2,0)))</f>
        <v>0</v>
      </c>
      <c r="F7" s="73">
        <f>(_xlfn.XLOOKUP(B7,'Annual Employer Cost per Grade'!$C$2:$C$17,'Annual Employer Cost per Grade'!$U$2:$U$17,0,0))*(INDEX('Headcount Phasing'!$B$3:$M$18,MATCH(B7,'Headcount Phasing'!$A$3:$A$18,0),MATCH($F$2,'Headcount Phasing'!$B$2:$M$2,0)))</f>
        <v>458050.875</v>
      </c>
      <c r="G7" s="73">
        <f>(_xlfn.XLOOKUP(B7,'Annual Employer Cost per Grade'!$C$2:$C$17,'Annual Employer Cost per Grade'!$U$2:$U$17,0,0))*(INDEX('Headcount Phasing'!$B$3:$M$18,MATCH(B7,'Headcount Phasing'!$A$3:$A$18,0),MATCH($G$2,'Headcount Phasing'!$B$2:$M$2,0)))</f>
        <v>458050.875</v>
      </c>
      <c r="H7" s="73">
        <f>(_xlfn.XLOOKUP(B7,'Annual Employer Cost per Grade'!$C$2:$C$17,'Annual Employer Cost per Grade'!$U$2:$U$17,0,0))*(INDEX('Headcount Phasing'!$B$3:$M$18,MATCH(B7,'Headcount Phasing'!$A$3:$A$18,0),MATCH($H$2,'Headcount Phasing'!$B$2:$M$2,0)))</f>
        <v>458050.875</v>
      </c>
      <c r="I7" s="73">
        <f>(_xlfn.XLOOKUP(B7,'Annual Employer Cost per Grade'!$C$2:$C$17,'Annual Employer Cost per Grade'!$U$2:$U$17,0,0))*(INDEX('Headcount Phasing'!$B$3:$M$18,MATCH(B7,'Headcount Phasing'!$A$3:$A$18,0),MATCH($I$2,'Headcount Phasing'!$B$2:$M$2,0)))</f>
        <v>458050.875</v>
      </c>
      <c r="J7" s="73">
        <f>(_xlfn.XLOOKUP(B7,'Annual Employer Cost per Grade'!$C$2:$C$17,'Annual Employer Cost per Grade'!$U$2:$U$17,0,0))*(INDEX('Headcount Phasing'!$B$3:$M$18,MATCH(B7,'Headcount Phasing'!$A$3:$A$18,0),MATCH($J$2,'Headcount Phasing'!$B$2:$M$2,0)))</f>
        <v>458050.875</v>
      </c>
      <c r="K7" s="73">
        <f>(_xlfn.XLOOKUP(B7,'Annual Employer Cost per Grade'!$C$2:$C$17,'Annual Employer Cost per Grade'!$U$2:$U$17,0,0))*(INDEX('Headcount Phasing'!$B$3:$M$18,MATCH(B7,'Headcount Phasing'!$A$3:$A$18,0),MATCH($K$2,'Headcount Phasing'!$B$2:$M$2,0)))</f>
        <v>458050.875</v>
      </c>
      <c r="L7" s="73">
        <f>(_xlfn.XLOOKUP(B7,'Annual Employer Cost per Grade'!$C$2:$C$17,'Annual Employer Cost per Grade'!$U$2:$U$17,0,0))*(INDEX('Headcount Phasing'!$B$3:$M$18,MATCH(B7,'Headcount Phasing'!$A$3:$A$18,0),MATCH($L$2,'Headcount Phasing'!$B$2:$M$2,0)))</f>
        <v>458050.875</v>
      </c>
      <c r="M7" s="73">
        <f>(_xlfn.XLOOKUP(B7,'Annual Employer Cost per Grade'!$C$2:$C$17,'Annual Employer Cost per Grade'!$U$2:$U$17,0,0))*(INDEX('Headcount Phasing'!$B$3:$M$18,MATCH(B7,'Headcount Phasing'!$A$3:$A$18,0),MATCH($M$2,'Headcount Phasing'!$B$2:$M$2,0)))</f>
        <v>458050.875</v>
      </c>
      <c r="N7" s="73">
        <f>(_xlfn.XLOOKUP(B7,'Annual Employer Cost per Grade'!$C$2:$C$17,'Annual Employer Cost per Grade'!$U$2:$U$17,0,0))*(INDEX('Headcount Phasing'!$B$3:$M$18,MATCH(B7,'Headcount Phasing'!$A$3:$A$18,0),MATCH($N$2,'Headcount Phasing'!$B$2:$M$2,0)))</f>
        <v>458050.875</v>
      </c>
      <c r="O7" s="74">
        <f t="shared" si="0"/>
        <v>4122457.875</v>
      </c>
    </row>
    <row r="8" spans="1:15" x14ac:dyDescent="0.2">
      <c r="A8" s="76">
        <f t="shared" si="1"/>
        <v>6</v>
      </c>
      <c r="B8" s="13" t="s">
        <v>156</v>
      </c>
      <c r="C8" s="73">
        <f>(_xlfn.XLOOKUP(B8,'Annual Employer Cost per Grade'!$C$2:$C$17,'Annual Employer Cost per Grade'!$U$2:$U$17,0,0))*(INDEX('Headcount Phasing'!$B$3:$M$18,MATCH(B8,'Headcount Phasing'!$A$3:$A$18,0),MATCH($C$2,'Headcount Phasing'!$B$2:$M$2,0)))</f>
        <v>0</v>
      </c>
      <c r="D8" s="73">
        <f>(_xlfn.XLOOKUP(B8,'Annual Employer Cost per Grade'!$C$2:$C$17,'Annual Employer Cost per Grade'!$U$2:$U$17,0,0))*(INDEX('Headcount Phasing'!$B$3:$M$18,MATCH(B8,'Headcount Phasing'!$A$3:$A$18,0),MATCH($D$2,'Headcount Phasing'!$B$2:$M$2,0)))</f>
        <v>0</v>
      </c>
      <c r="E8" s="86">
        <f>(_xlfn.XLOOKUP(B8,'Annual Employer Cost per Grade'!$C$2:$C$17,'Annual Employer Cost per Grade'!$U$2:$U$17,0,0))*(INDEX('Headcount Phasing'!$B$3:$M$18,MATCH(B8,'Headcount Phasing'!$A$3:$A$18,0),MATCH($E$2,'Headcount Phasing'!$B$2:$M$2,0)))</f>
        <v>0</v>
      </c>
      <c r="F8" s="80">
        <f>(_xlfn.XLOOKUP(B8,'Annual Employer Cost per Grade'!$C$2:$C$17,'Annual Employer Cost per Grade'!$U$2:$U$17,0,0))*(INDEX('Headcount Phasing'!$B$3:$M$18,MATCH(B8,'Headcount Phasing'!$A$3:$A$18,0),MATCH($F$2,'Headcount Phasing'!$B$2:$M$2,0)))</f>
        <v>458050.875</v>
      </c>
      <c r="G8" s="80">
        <f>(_xlfn.XLOOKUP(B8,'Annual Employer Cost per Grade'!$C$2:$C$17,'Annual Employer Cost per Grade'!$U$2:$U$17,0,0))*(INDEX('Headcount Phasing'!$B$3:$M$18,MATCH(B8,'Headcount Phasing'!$A$3:$A$18,0),MATCH($G$2,'Headcount Phasing'!$B$2:$M$2,0)))</f>
        <v>458050.875</v>
      </c>
      <c r="H8" s="80">
        <f>(_xlfn.XLOOKUP(B8,'Annual Employer Cost per Grade'!$C$2:$C$17,'Annual Employer Cost per Grade'!$U$2:$U$17,0,0))*(INDEX('Headcount Phasing'!$B$3:$M$18,MATCH(B8,'Headcount Phasing'!$A$3:$A$18,0),MATCH($H$2,'Headcount Phasing'!$B$2:$M$2,0)))</f>
        <v>458050.875</v>
      </c>
      <c r="I8" s="80">
        <f>(_xlfn.XLOOKUP(B8,'Annual Employer Cost per Grade'!$C$2:$C$17,'Annual Employer Cost per Grade'!$U$2:$U$17,0,0))*(INDEX('Headcount Phasing'!$B$3:$M$18,MATCH(B8,'Headcount Phasing'!$A$3:$A$18,0),MATCH($I$2,'Headcount Phasing'!$B$2:$M$2,0)))</f>
        <v>458050.875</v>
      </c>
      <c r="J8" s="80">
        <f>(_xlfn.XLOOKUP(B8,'Annual Employer Cost per Grade'!$C$2:$C$17,'Annual Employer Cost per Grade'!$U$2:$U$17,0,0))*(INDEX('Headcount Phasing'!$B$3:$M$18,MATCH(B8,'Headcount Phasing'!$A$3:$A$18,0),MATCH($J$2,'Headcount Phasing'!$B$2:$M$2,0)))</f>
        <v>458050.875</v>
      </c>
      <c r="K8" s="80">
        <f>(_xlfn.XLOOKUP(B8,'Annual Employer Cost per Grade'!$C$2:$C$17,'Annual Employer Cost per Grade'!$U$2:$U$17,0,0))*(INDEX('Headcount Phasing'!$B$3:$M$18,MATCH(B8,'Headcount Phasing'!$A$3:$A$18,0),MATCH($K$2,'Headcount Phasing'!$B$2:$M$2,0)))</f>
        <v>458050.875</v>
      </c>
      <c r="L8" s="80">
        <f>(_xlfn.XLOOKUP(B8,'Annual Employer Cost per Grade'!$C$2:$C$17,'Annual Employer Cost per Grade'!$U$2:$U$17,0,0))*(INDEX('Headcount Phasing'!$B$3:$M$18,MATCH(B8,'Headcount Phasing'!$A$3:$A$18,0),MATCH($L$2,'Headcount Phasing'!$B$2:$M$2,0)))</f>
        <v>458050.875</v>
      </c>
      <c r="M8" s="80">
        <f>(_xlfn.XLOOKUP(B8,'Annual Employer Cost per Grade'!$C$2:$C$17,'Annual Employer Cost per Grade'!$U$2:$U$17,0,0))*(INDEX('Headcount Phasing'!$B$3:$M$18,MATCH(B8,'Headcount Phasing'!$A$3:$A$18,0),MATCH($M$2,'Headcount Phasing'!$B$2:$M$2,0)))</f>
        <v>458050.875</v>
      </c>
      <c r="N8" s="80">
        <f>(_xlfn.XLOOKUP(B8,'Annual Employer Cost per Grade'!$C$2:$C$17,'Annual Employer Cost per Grade'!$U$2:$U$17,0,0))*(INDEX('Headcount Phasing'!$B$3:$M$18,MATCH(B8,'Headcount Phasing'!$A$3:$A$18,0),MATCH($N$2,'Headcount Phasing'!$B$2:$M$2,0)))</f>
        <v>458050.875</v>
      </c>
      <c r="O8" s="74">
        <f t="shared" si="0"/>
        <v>4122457.875</v>
      </c>
    </row>
    <row r="9" spans="1:15" x14ac:dyDescent="0.2">
      <c r="A9" s="76">
        <f t="shared" si="1"/>
        <v>7</v>
      </c>
      <c r="B9" s="13" t="s">
        <v>157</v>
      </c>
      <c r="C9" s="73"/>
      <c r="D9" s="73"/>
      <c r="E9" s="86"/>
      <c r="F9" s="80">
        <f>(_xlfn.XLOOKUP(B9,'Annual Employer Cost per Grade'!$C$2:$C$17,'Annual Employer Cost per Grade'!$U$2:$U$17,0,0))*(INDEX('Headcount Phasing'!$B$3:$M$18,MATCH(B9,'Headcount Phasing'!$A$3:$A$18,0),MATCH($F$2,'Headcount Phasing'!$B$2:$M$2,0)))</f>
        <v>231183.14583333334</v>
      </c>
      <c r="G9" s="80">
        <f>(_xlfn.XLOOKUP(B9,'Annual Employer Cost per Grade'!$C$2:$C$17,'Annual Employer Cost per Grade'!$U$2:$U$17,0,0))*(INDEX('Headcount Phasing'!$B$3:$M$18,MATCH(B9,'Headcount Phasing'!$A$3:$A$18,0),MATCH($G$2,'Headcount Phasing'!$B$2:$M$2,0)))</f>
        <v>231183.14583333334</v>
      </c>
      <c r="H9" s="80">
        <f>(_xlfn.XLOOKUP(B9,'Annual Employer Cost per Grade'!$C$2:$C$17,'Annual Employer Cost per Grade'!$U$2:$U$17,0,0))*(INDEX('Headcount Phasing'!$B$3:$M$18,MATCH(B9,'Headcount Phasing'!$A$3:$A$18,0),MATCH($H$2,'Headcount Phasing'!$B$2:$M$2,0)))</f>
        <v>231183.14583333334</v>
      </c>
      <c r="I9" s="80">
        <f>(_xlfn.XLOOKUP(B9,'Annual Employer Cost per Grade'!$C$2:$C$17,'Annual Employer Cost per Grade'!$U$2:$U$17,0,0))*(INDEX('Headcount Phasing'!$B$3:$M$18,MATCH(B9,'Headcount Phasing'!$A$3:$A$18,0),MATCH($I$2,'Headcount Phasing'!$B$2:$M$2,0)))</f>
        <v>231183.14583333334</v>
      </c>
      <c r="J9" s="80">
        <f>(_xlfn.XLOOKUP(B9,'Annual Employer Cost per Grade'!$C$2:$C$17,'Annual Employer Cost per Grade'!$U$2:$U$17,0,0))*(INDEX('Headcount Phasing'!$B$3:$M$18,MATCH(B9,'Headcount Phasing'!$A$3:$A$18,0),MATCH($J$2,'Headcount Phasing'!$B$2:$M$2,0)))</f>
        <v>231183.14583333334</v>
      </c>
      <c r="K9" s="80">
        <f>(_xlfn.XLOOKUP(B9,'Annual Employer Cost per Grade'!$C$2:$C$17,'Annual Employer Cost per Grade'!$U$2:$U$17,0,0))*(INDEX('Headcount Phasing'!$B$3:$M$18,MATCH(B9,'Headcount Phasing'!$A$3:$A$18,0),MATCH($K$2,'Headcount Phasing'!$B$2:$M$2,0)))</f>
        <v>231183.14583333334</v>
      </c>
      <c r="L9" s="80">
        <f>(_xlfn.XLOOKUP(B9,'Annual Employer Cost per Grade'!$C$2:$C$17,'Annual Employer Cost per Grade'!$U$2:$U$17,0,0))*(INDEX('Headcount Phasing'!$B$3:$M$18,MATCH(B9,'Headcount Phasing'!$A$3:$A$18,0),MATCH($L$2,'Headcount Phasing'!$B$2:$M$2,0)))</f>
        <v>231183.14583333334</v>
      </c>
      <c r="M9" s="80">
        <f>(_xlfn.XLOOKUP(B9,'Annual Employer Cost per Grade'!$C$2:$C$17,'Annual Employer Cost per Grade'!$U$2:$U$17,0,0))*(INDEX('Headcount Phasing'!$B$3:$M$18,MATCH(B9,'Headcount Phasing'!$A$3:$A$18,0),MATCH($M$2,'Headcount Phasing'!$B$2:$M$2,0)))</f>
        <v>231183.14583333334</v>
      </c>
      <c r="N9" s="80">
        <f>(_xlfn.XLOOKUP(B9,'Annual Employer Cost per Grade'!$C$2:$C$17,'Annual Employer Cost per Grade'!$U$2:$U$17,0,0))*(INDEX('Headcount Phasing'!$B$3:$M$18,MATCH(B9,'Headcount Phasing'!$A$3:$A$18,0),MATCH($N$2,'Headcount Phasing'!$B$2:$M$2,0)))</f>
        <v>231183.14583333334</v>
      </c>
      <c r="O9" s="74">
        <f t="shared" si="0"/>
        <v>2080648.3124999998</v>
      </c>
    </row>
    <row r="10" spans="1:15" x14ac:dyDescent="0.2">
      <c r="A10" s="76">
        <f t="shared" si="1"/>
        <v>8</v>
      </c>
      <c r="B10" s="13" t="s">
        <v>36</v>
      </c>
      <c r="C10" s="73">
        <f>(_xlfn.XLOOKUP(B10,'Annual Employer Cost per Grade'!$C$2:$C$17,'Annual Employer Cost per Grade'!$U$2:$U$17,0,0))*(INDEX('Headcount Phasing'!$B$3:$M$18,MATCH(B10,'Headcount Phasing'!$A$3:$A$18,0),MATCH($C$2,'Headcount Phasing'!$B$2:$M$2,0)))</f>
        <v>0</v>
      </c>
      <c r="D10" s="73">
        <f>(_xlfn.XLOOKUP(B10,'Annual Employer Cost per Grade'!$C$2:$C$17,'Annual Employer Cost per Grade'!$U$2:$U$17,0,0))*(INDEX('Headcount Phasing'!$B$3:$M$18,MATCH(B10,'Headcount Phasing'!$A$3:$A$18,0),MATCH($D$2,'Headcount Phasing'!$B$2:$M$2,0)))</f>
        <v>0</v>
      </c>
      <c r="E10" s="86">
        <f>(_xlfn.XLOOKUP(B10,'Annual Employer Cost per Grade'!$C$2:$C$17,'Annual Employer Cost per Grade'!$U$2:$U$17,0,0))*(INDEX('Headcount Phasing'!$B$3:$M$18,MATCH(B10,'Headcount Phasing'!$A$3:$A$18,0),MATCH($E$2,'Headcount Phasing'!$B$2:$M$2,0)))</f>
        <v>0</v>
      </c>
      <c r="F10" s="73">
        <f>(_xlfn.XLOOKUP(B10,'Annual Employer Cost per Grade'!$C$2:$C$17,'Annual Employer Cost per Grade'!$U$2:$U$17,0,0))*(INDEX('Headcount Phasing'!$B$3:$M$18,MATCH(B10,'Headcount Phasing'!$A$3:$A$18,0),MATCH($F$2,'Headcount Phasing'!$B$2:$M$2,0)))</f>
        <v>458050.875</v>
      </c>
      <c r="G10" s="73">
        <f>(_xlfn.XLOOKUP(B10,'Annual Employer Cost per Grade'!$C$2:$C$17,'Annual Employer Cost per Grade'!$U$2:$U$17,0,0))*(INDEX('Headcount Phasing'!$B$3:$M$18,MATCH(B10,'Headcount Phasing'!$A$3:$A$18,0),MATCH($G$2,'Headcount Phasing'!$B$2:$M$2,0)))</f>
        <v>458050.875</v>
      </c>
      <c r="H10" s="73">
        <f>(_xlfn.XLOOKUP(B10,'Annual Employer Cost per Grade'!$C$2:$C$17,'Annual Employer Cost per Grade'!$U$2:$U$17,0,0))*(INDEX('Headcount Phasing'!$B$3:$M$18,MATCH(B10,'Headcount Phasing'!$A$3:$A$18,0),MATCH($H$2,'Headcount Phasing'!$B$2:$M$2,0)))</f>
        <v>458050.875</v>
      </c>
      <c r="I10" s="73">
        <f>(_xlfn.XLOOKUP(B10,'Annual Employer Cost per Grade'!$C$2:$C$17,'Annual Employer Cost per Grade'!$U$2:$U$17,0,0))*(INDEX('Headcount Phasing'!$B$3:$M$18,MATCH(B10,'Headcount Phasing'!$A$3:$A$18,0),MATCH($I$2,'Headcount Phasing'!$B$2:$M$2,0)))</f>
        <v>458050.875</v>
      </c>
      <c r="J10" s="73">
        <f>(_xlfn.XLOOKUP(B10,'Annual Employer Cost per Grade'!$C$2:$C$17,'Annual Employer Cost per Grade'!$U$2:$U$17,0,0))*(INDEX('Headcount Phasing'!$B$3:$M$18,MATCH(B10,'Headcount Phasing'!$A$3:$A$18,0),MATCH($J$2,'Headcount Phasing'!$B$2:$M$2,0)))</f>
        <v>458050.875</v>
      </c>
      <c r="K10" s="73">
        <f>(_xlfn.XLOOKUP(B10,'Annual Employer Cost per Grade'!$C$2:$C$17,'Annual Employer Cost per Grade'!$U$2:$U$17,0,0))*(INDEX('Headcount Phasing'!$B$3:$M$18,MATCH(B10,'Headcount Phasing'!$A$3:$A$18,0),MATCH($K$2,'Headcount Phasing'!$B$2:$M$2,0)))</f>
        <v>458050.875</v>
      </c>
      <c r="L10" s="73">
        <f>(_xlfn.XLOOKUP(B10,'Annual Employer Cost per Grade'!$C$2:$C$17,'Annual Employer Cost per Grade'!$U$2:$U$17,0,0))*(INDEX('Headcount Phasing'!$B$3:$M$18,MATCH(B10,'Headcount Phasing'!$A$3:$A$18,0),MATCH($L$2,'Headcount Phasing'!$B$2:$M$2,0)))</f>
        <v>458050.875</v>
      </c>
      <c r="M10" s="73">
        <f>(_xlfn.XLOOKUP(B10,'Annual Employer Cost per Grade'!$C$2:$C$17,'Annual Employer Cost per Grade'!$U$2:$U$17,0,0))*(INDEX('Headcount Phasing'!$B$3:$M$18,MATCH(B10,'Headcount Phasing'!$A$3:$A$18,0),MATCH($M$2,'Headcount Phasing'!$B$2:$M$2,0)))</f>
        <v>458050.875</v>
      </c>
      <c r="N10" s="73">
        <f>(_xlfn.XLOOKUP(B10,'Annual Employer Cost per Grade'!$C$2:$C$17,'Annual Employer Cost per Grade'!$U$2:$U$17,0,0))*(INDEX('Headcount Phasing'!$B$3:$M$18,MATCH(B10,'Headcount Phasing'!$A$3:$A$18,0),MATCH($N$2,'Headcount Phasing'!$B$2:$M$2,0)))</f>
        <v>458050.875</v>
      </c>
      <c r="O10" s="74">
        <f t="shared" si="0"/>
        <v>4122457.875</v>
      </c>
    </row>
    <row r="11" spans="1:15" x14ac:dyDescent="0.2">
      <c r="A11" s="76">
        <f t="shared" si="1"/>
        <v>9</v>
      </c>
      <c r="B11" s="13" t="s">
        <v>37</v>
      </c>
      <c r="C11" s="73">
        <f>(_xlfn.XLOOKUP(B11,'Annual Employer Cost per Grade'!$C$2:$C$17,'Annual Employer Cost per Grade'!$U$2:$U$17,0,0))*(INDEX('Headcount Phasing'!$B$3:$M$18,MATCH(B11,'Headcount Phasing'!$A$3:$A$18,0),MATCH($C$2,'Headcount Phasing'!$B$2:$M$2,0)))</f>
        <v>0</v>
      </c>
      <c r="D11" s="73">
        <f>(_xlfn.XLOOKUP(B11,'Annual Employer Cost per Grade'!$C$2:$C$17,'Annual Employer Cost per Grade'!$U$2:$U$17,0,0))*(INDEX('Headcount Phasing'!$B$3:$M$18,MATCH(B11,'Headcount Phasing'!$A$3:$A$18,0),MATCH($D$2,'Headcount Phasing'!$B$2:$M$2,0)))</f>
        <v>0</v>
      </c>
      <c r="E11" s="86">
        <f>(_xlfn.XLOOKUP(B11,'Annual Employer Cost per Grade'!$C$2:$C$17,'Annual Employer Cost per Grade'!$U$2:$U$17,0,0))*(INDEX('Headcount Phasing'!$B$3:$M$18,MATCH(B11,'Headcount Phasing'!$A$3:$A$18,0),MATCH($E$2,'Headcount Phasing'!$B$2:$M$2,0)))</f>
        <v>0</v>
      </c>
      <c r="F11" s="73">
        <f>(_xlfn.XLOOKUP(B11,'Annual Employer Cost per Grade'!$C$2:$C$17,'Annual Employer Cost per Grade'!$U$2:$U$17,0,0))*(INDEX('Headcount Phasing'!$B$3:$M$18,MATCH(B11,'Headcount Phasing'!$A$3:$A$18,0),MATCH($F$2,'Headcount Phasing'!$B$2:$M$2,0)))</f>
        <v>458050.875</v>
      </c>
      <c r="G11" s="73">
        <f>(_xlfn.XLOOKUP(B11,'Annual Employer Cost per Grade'!$C$2:$C$17,'Annual Employer Cost per Grade'!$U$2:$U$17,0,0))*(INDEX('Headcount Phasing'!$B$3:$M$18,MATCH(B11,'Headcount Phasing'!$A$3:$A$18,0),MATCH($G$2,'Headcount Phasing'!$B$2:$M$2,0)))</f>
        <v>458050.875</v>
      </c>
      <c r="H11" s="73">
        <f>(_xlfn.XLOOKUP(B11,'Annual Employer Cost per Grade'!$C$2:$C$17,'Annual Employer Cost per Grade'!$U$2:$U$17,0,0))*(INDEX('Headcount Phasing'!$B$3:$M$18,MATCH(B11,'Headcount Phasing'!$A$3:$A$18,0),MATCH($H$2,'Headcount Phasing'!$B$2:$M$2,0)))</f>
        <v>458050.875</v>
      </c>
      <c r="I11" s="73">
        <f>(_xlfn.XLOOKUP(B11,'Annual Employer Cost per Grade'!$C$2:$C$17,'Annual Employer Cost per Grade'!$U$2:$U$17,0,0))*(INDEX('Headcount Phasing'!$B$3:$M$18,MATCH(B11,'Headcount Phasing'!$A$3:$A$18,0),MATCH($I$2,'Headcount Phasing'!$B$2:$M$2,0)))</f>
        <v>458050.875</v>
      </c>
      <c r="J11" s="73">
        <f>(_xlfn.XLOOKUP(B11,'Annual Employer Cost per Grade'!$C$2:$C$17,'Annual Employer Cost per Grade'!$U$2:$U$17,0,0))*(INDEX('Headcount Phasing'!$B$3:$M$18,MATCH(B11,'Headcount Phasing'!$A$3:$A$18,0),MATCH($J$2,'Headcount Phasing'!$B$2:$M$2,0)))</f>
        <v>458050.875</v>
      </c>
      <c r="K11" s="73">
        <f>(_xlfn.XLOOKUP(B11,'Annual Employer Cost per Grade'!$C$2:$C$17,'Annual Employer Cost per Grade'!$U$2:$U$17,0,0))*(INDEX('Headcount Phasing'!$B$3:$M$18,MATCH(B11,'Headcount Phasing'!$A$3:$A$18,0),MATCH($K$2,'Headcount Phasing'!$B$2:$M$2,0)))</f>
        <v>458050.875</v>
      </c>
      <c r="L11" s="73">
        <f>(_xlfn.XLOOKUP(B11,'Annual Employer Cost per Grade'!$C$2:$C$17,'Annual Employer Cost per Grade'!$U$2:$U$17,0,0))*(INDEX('Headcount Phasing'!$B$3:$M$18,MATCH(B11,'Headcount Phasing'!$A$3:$A$18,0),MATCH($L$2,'Headcount Phasing'!$B$2:$M$2,0)))</f>
        <v>458050.875</v>
      </c>
      <c r="M11" s="73">
        <f>(_xlfn.XLOOKUP(B11,'Annual Employer Cost per Grade'!$C$2:$C$17,'Annual Employer Cost per Grade'!$U$2:$U$17,0,0))*(INDEX('Headcount Phasing'!$B$3:$M$18,MATCH(B11,'Headcount Phasing'!$A$3:$A$18,0),MATCH($M$2,'Headcount Phasing'!$B$2:$M$2,0)))</f>
        <v>458050.875</v>
      </c>
      <c r="N11" s="73">
        <f>(_xlfn.XLOOKUP(B11,'Annual Employer Cost per Grade'!$C$2:$C$17,'Annual Employer Cost per Grade'!$U$2:$U$17,0,0))*(INDEX('Headcount Phasing'!$B$3:$M$18,MATCH(B11,'Headcount Phasing'!$A$3:$A$18,0),MATCH($N$2,'Headcount Phasing'!$B$2:$M$2,0)))</f>
        <v>458050.875</v>
      </c>
      <c r="O11" s="74">
        <f t="shared" si="0"/>
        <v>4122457.875</v>
      </c>
    </row>
    <row r="12" spans="1:15" x14ac:dyDescent="0.2">
      <c r="A12" s="76">
        <f t="shared" si="1"/>
        <v>10</v>
      </c>
      <c r="B12" s="13" t="s">
        <v>100</v>
      </c>
      <c r="C12" s="73">
        <f>(_xlfn.XLOOKUP(B12,'Annual Employer Cost per Grade'!$C$2:$C$17,'Annual Employer Cost per Grade'!$U$2:$U$17,0,0))*(INDEX('Headcount Phasing'!$B$3:$M$18,MATCH(B12,'Headcount Phasing'!$A$3:$A$18,0),MATCH($C$2,'Headcount Phasing'!$B$2:$M$2,0)))</f>
        <v>0</v>
      </c>
      <c r="D12" s="73">
        <f>(_xlfn.XLOOKUP(B12,'Annual Employer Cost per Grade'!$C$2:$C$17,'Annual Employer Cost per Grade'!$U$2:$U$17,0,0))*(INDEX('Headcount Phasing'!$B$3:$M$18,MATCH(B12,'Headcount Phasing'!$A$3:$A$18,0),MATCH($D$2,'Headcount Phasing'!$B$2:$M$2,0)))</f>
        <v>0</v>
      </c>
      <c r="E12" s="86">
        <f>(_xlfn.XLOOKUP(B12,'Annual Employer Cost per Grade'!$C$2:$C$17,'Annual Employer Cost per Grade'!$U$2:$U$17,0,0))*(INDEX('Headcount Phasing'!$B$3:$M$18,MATCH(B12,'Headcount Phasing'!$A$3:$A$18,0),MATCH($E$2,'Headcount Phasing'!$B$2:$M$2,0)))</f>
        <v>0</v>
      </c>
      <c r="F12" s="73">
        <f>(_xlfn.XLOOKUP(B12,'Annual Employer Cost per Grade'!$C$2:$C$17,'Annual Employer Cost per Grade'!$U$2:$U$17,0,0))*(INDEX('Headcount Phasing'!$B$3:$M$18,MATCH(B12,'Headcount Phasing'!$A$3:$A$18,0),MATCH($F$2,'Headcount Phasing'!$B$2:$M$2,0)))</f>
        <v>458050.875</v>
      </c>
      <c r="G12" s="73">
        <f>(_xlfn.XLOOKUP(B12,'Annual Employer Cost per Grade'!$C$2:$C$17,'Annual Employer Cost per Grade'!$U$2:$U$17,0,0))*(INDEX('Headcount Phasing'!$B$3:$M$18,MATCH(B12,'Headcount Phasing'!$A$3:$A$18,0),MATCH($G$2,'Headcount Phasing'!$B$2:$M$2,0)))</f>
        <v>458050.875</v>
      </c>
      <c r="H12" s="73">
        <f>(_xlfn.XLOOKUP(B12,'Annual Employer Cost per Grade'!$C$2:$C$17,'Annual Employer Cost per Grade'!$U$2:$U$17,0,0))*(INDEX('Headcount Phasing'!$B$3:$M$18,MATCH(B12,'Headcount Phasing'!$A$3:$A$18,0),MATCH($H$2,'Headcount Phasing'!$B$2:$M$2,0)))</f>
        <v>458050.875</v>
      </c>
      <c r="I12" s="73">
        <f>(_xlfn.XLOOKUP(B12,'Annual Employer Cost per Grade'!$C$2:$C$17,'Annual Employer Cost per Grade'!$U$2:$U$17,0,0))*(INDEX('Headcount Phasing'!$B$3:$M$18,MATCH(B12,'Headcount Phasing'!$A$3:$A$18,0),MATCH($I$2,'Headcount Phasing'!$B$2:$M$2,0)))</f>
        <v>458050.875</v>
      </c>
      <c r="J12" s="73">
        <f>(_xlfn.XLOOKUP(B12,'Annual Employer Cost per Grade'!$C$2:$C$17,'Annual Employer Cost per Grade'!$U$2:$U$17,0,0))*(INDEX('Headcount Phasing'!$B$3:$M$18,MATCH(B12,'Headcount Phasing'!$A$3:$A$18,0),MATCH($J$2,'Headcount Phasing'!$B$2:$M$2,0)))</f>
        <v>458050.875</v>
      </c>
      <c r="K12" s="73">
        <f>(_xlfn.XLOOKUP(B12,'Annual Employer Cost per Grade'!$C$2:$C$17,'Annual Employer Cost per Grade'!$U$2:$U$17,0,0))*(INDEX('Headcount Phasing'!$B$3:$M$18,MATCH(B12,'Headcount Phasing'!$A$3:$A$18,0),MATCH($K$2,'Headcount Phasing'!$B$2:$M$2,0)))</f>
        <v>458050.875</v>
      </c>
      <c r="L12" s="73">
        <f>(_xlfn.XLOOKUP(B12,'Annual Employer Cost per Grade'!$C$2:$C$17,'Annual Employer Cost per Grade'!$U$2:$U$17,0,0))*(INDEX('Headcount Phasing'!$B$3:$M$18,MATCH(B12,'Headcount Phasing'!$A$3:$A$18,0),MATCH($L$2,'Headcount Phasing'!$B$2:$M$2,0)))</f>
        <v>458050.875</v>
      </c>
      <c r="M12" s="73">
        <f>(_xlfn.XLOOKUP(B12,'Annual Employer Cost per Grade'!$C$2:$C$17,'Annual Employer Cost per Grade'!$U$2:$U$17,0,0))*(INDEX('Headcount Phasing'!$B$3:$M$18,MATCH(B12,'Headcount Phasing'!$A$3:$A$18,0),MATCH($M$2,'Headcount Phasing'!$B$2:$M$2,0)))</f>
        <v>458050.875</v>
      </c>
      <c r="N12" s="73">
        <f>(_xlfn.XLOOKUP(B12,'Annual Employer Cost per Grade'!$C$2:$C$17,'Annual Employer Cost per Grade'!$U$2:$U$17,0,0))*(INDEX('Headcount Phasing'!$B$3:$M$18,MATCH(B12,'Headcount Phasing'!$A$3:$A$18,0),MATCH($N$2,'Headcount Phasing'!$B$2:$M$2,0)))</f>
        <v>458050.875</v>
      </c>
      <c r="O12" s="74">
        <f t="shared" si="0"/>
        <v>4122457.875</v>
      </c>
    </row>
    <row r="13" spans="1:15" x14ac:dyDescent="0.2">
      <c r="A13" s="76">
        <f t="shared" si="1"/>
        <v>11</v>
      </c>
      <c r="B13" s="13" t="s">
        <v>87</v>
      </c>
      <c r="C13" s="73">
        <f>(_xlfn.XLOOKUP(B13,'Annual Employer Cost per Grade'!$C$2:$C$17,'Annual Employer Cost per Grade'!$U$2:$U$17,0,0))*(INDEX('Headcount Phasing'!$B$3:$M$18,MATCH(B13,'Headcount Phasing'!$A$3:$A$18,0),MATCH($C$2,'Headcount Phasing'!$B$2:$M$2,0)))</f>
        <v>0</v>
      </c>
      <c r="D13" s="73">
        <f>(_xlfn.XLOOKUP(B13,'Annual Employer Cost per Grade'!$C$2:$C$17,'Annual Employer Cost per Grade'!$U$2:$U$17,0,0))*(INDEX('Headcount Phasing'!$B$3:$M$18,MATCH(B13,'Headcount Phasing'!$A$3:$A$18,0),MATCH($D$2,'Headcount Phasing'!$B$2:$M$2,0)))</f>
        <v>0</v>
      </c>
      <c r="E13" s="86">
        <f>(_xlfn.XLOOKUP(B13,'Annual Employer Cost per Grade'!$C$2:$C$17,'Annual Employer Cost per Grade'!$U$2:$U$17,0,0))*(INDEX('Headcount Phasing'!$B$3:$M$18,MATCH(B13,'Headcount Phasing'!$A$3:$A$18,0),MATCH($E$2,'Headcount Phasing'!$B$2:$M$2,0)))</f>
        <v>0</v>
      </c>
      <c r="F13" s="73">
        <f>(_xlfn.XLOOKUP(B13,'Annual Employer Cost per Grade'!$C$2:$C$17,'Annual Employer Cost per Grade'!$U$2:$U$17,0,0))*(INDEX('Headcount Phasing'!$B$3:$M$18,MATCH(B13,'Headcount Phasing'!$A$3:$A$18,0),MATCH($F$2,'Headcount Phasing'!$B$2:$M$2,0)))</f>
        <v>465550.875</v>
      </c>
      <c r="G13" s="73">
        <f>(_xlfn.XLOOKUP(B13,'Annual Employer Cost per Grade'!$C$2:$C$17,'Annual Employer Cost per Grade'!$U$2:$U$17,0,0))*(INDEX('Headcount Phasing'!$B$3:$M$18,MATCH(B13,'Headcount Phasing'!$A$3:$A$18,0),MATCH($G$2,'Headcount Phasing'!$B$2:$M$2,0)))</f>
        <v>465550.875</v>
      </c>
      <c r="H13" s="73">
        <f>(_xlfn.XLOOKUP(B13,'Annual Employer Cost per Grade'!$C$2:$C$17,'Annual Employer Cost per Grade'!$U$2:$U$17,0,0))*(INDEX('Headcount Phasing'!$B$3:$M$18,MATCH(B13,'Headcount Phasing'!$A$3:$A$18,0),MATCH($H$2,'Headcount Phasing'!$B$2:$M$2,0)))</f>
        <v>465550.875</v>
      </c>
      <c r="I13" s="73">
        <f>(_xlfn.XLOOKUP(B13,'Annual Employer Cost per Grade'!$C$2:$C$17,'Annual Employer Cost per Grade'!$U$2:$U$17,0,0))*(INDEX('Headcount Phasing'!$B$3:$M$18,MATCH(B13,'Headcount Phasing'!$A$3:$A$18,0),MATCH($I$2,'Headcount Phasing'!$B$2:$M$2,0)))</f>
        <v>465550.875</v>
      </c>
      <c r="J13" s="73">
        <f>(_xlfn.XLOOKUP(B13,'Annual Employer Cost per Grade'!$C$2:$C$17,'Annual Employer Cost per Grade'!$U$2:$U$17,0,0))*(INDEX('Headcount Phasing'!$B$3:$M$18,MATCH(B13,'Headcount Phasing'!$A$3:$A$18,0),MATCH($J$2,'Headcount Phasing'!$B$2:$M$2,0)))</f>
        <v>465550.875</v>
      </c>
      <c r="K13" s="73">
        <f>(_xlfn.XLOOKUP(B13,'Annual Employer Cost per Grade'!$C$2:$C$17,'Annual Employer Cost per Grade'!$U$2:$U$17,0,0))*(INDEX('Headcount Phasing'!$B$3:$M$18,MATCH(B13,'Headcount Phasing'!$A$3:$A$18,0),MATCH($K$2,'Headcount Phasing'!$B$2:$M$2,0)))</f>
        <v>465550.875</v>
      </c>
      <c r="L13" s="73">
        <f>(_xlfn.XLOOKUP(B13,'Annual Employer Cost per Grade'!$C$2:$C$17,'Annual Employer Cost per Grade'!$U$2:$U$17,0,0))*(INDEX('Headcount Phasing'!$B$3:$M$18,MATCH(B13,'Headcount Phasing'!$A$3:$A$18,0),MATCH($L$2,'Headcount Phasing'!$B$2:$M$2,0)))</f>
        <v>465550.875</v>
      </c>
      <c r="M13" s="73">
        <f>(_xlfn.XLOOKUP(B13,'Annual Employer Cost per Grade'!$C$2:$C$17,'Annual Employer Cost per Grade'!$U$2:$U$17,0,0))*(INDEX('Headcount Phasing'!$B$3:$M$18,MATCH(B13,'Headcount Phasing'!$A$3:$A$18,0),MATCH($M$2,'Headcount Phasing'!$B$2:$M$2,0)))</f>
        <v>465550.875</v>
      </c>
      <c r="N13" s="73">
        <f>(_xlfn.XLOOKUP(B13,'Annual Employer Cost per Grade'!$C$2:$C$17,'Annual Employer Cost per Grade'!$U$2:$U$17,0,0))*(INDEX('Headcount Phasing'!$B$3:$M$18,MATCH(B13,'Headcount Phasing'!$A$3:$A$18,0),MATCH($N$2,'Headcount Phasing'!$B$2:$M$2,0)))</f>
        <v>465550.875</v>
      </c>
      <c r="O13" s="74">
        <f t="shared" si="0"/>
        <v>4189957.875</v>
      </c>
    </row>
    <row r="14" spans="1:15" x14ac:dyDescent="0.2">
      <c r="A14" s="76">
        <f t="shared" si="1"/>
        <v>12</v>
      </c>
      <c r="B14" s="13" t="s">
        <v>38</v>
      </c>
      <c r="C14" s="73">
        <f>(_xlfn.XLOOKUP(B14,'Annual Employer Cost per Grade'!$C$2:$C$17,'Annual Employer Cost per Grade'!$U$2:$U$17,0,0))*(INDEX('Headcount Phasing'!$B$3:$M$18,MATCH(B14,'Headcount Phasing'!$A$3:$A$18,0),MATCH($C$2,'Headcount Phasing'!$B$2:$M$2,0)))</f>
        <v>0</v>
      </c>
      <c r="D14" s="73">
        <f>(_xlfn.XLOOKUP(B14,'Annual Employer Cost per Grade'!$C$2:$C$17,'Annual Employer Cost per Grade'!$U$2:$U$17,0,0))*(INDEX('Headcount Phasing'!$B$3:$M$18,MATCH(B14,'Headcount Phasing'!$A$3:$A$18,0),MATCH($D$2,'Headcount Phasing'!$B$2:$M$2,0)))</f>
        <v>0</v>
      </c>
      <c r="E14" s="86">
        <f>(_xlfn.XLOOKUP(B14,'Annual Employer Cost per Grade'!$C$2:$C$17,'Annual Employer Cost per Grade'!$U$2:$U$17,0,0))*(INDEX('Headcount Phasing'!$B$3:$M$18,MATCH(B14,'Headcount Phasing'!$A$3:$A$18,0),MATCH($E$2,'Headcount Phasing'!$B$2:$M$2,0)))</f>
        <v>0</v>
      </c>
      <c r="F14" s="73">
        <f>(_xlfn.XLOOKUP(B14,'Annual Employer Cost per Grade'!$C$2:$C$17,'Annual Employer Cost per Grade'!$U$2:$U$17,0,0))*(INDEX('Headcount Phasing'!$B$3:$M$18,MATCH(B14,'Headcount Phasing'!$A$3:$A$18,0),MATCH($F$2,'Headcount Phasing'!$B$2:$M$2,0)))</f>
        <v>465550.875</v>
      </c>
      <c r="G14" s="73">
        <f>(_xlfn.XLOOKUP(B14,'Annual Employer Cost per Grade'!$C$2:$C$17,'Annual Employer Cost per Grade'!$U$2:$U$17,0,0))*(INDEX('Headcount Phasing'!$B$3:$M$18,MATCH(B14,'Headcount Phasing'!$A$3:$A$18,0),MATCH($G$2,'Headcount Phasing'!$B$2:$M$2,0)))</f>
        <v>465550.875</v>
      </c>
      <c r="H14" s="73">
        <f>(_xlfn.XLOOKUP(B14,'Annual Employer Cost per Grade'!$C$2:$C$17,'Annual Employer Cost per Grade'!$U$2:$U$17,0,0))*(INDEX('Headcount Phasing'!$B$3:$M$18,MATCH(B14,'Headcount Phasing'!$A$3:$A$18,0),MATCH($H$2,'Headcount Phasing'!$B$2:$M$2,0)))</f>
        <v>465550.875</v>
      </c>
      <c r="I14" s="73">
        <f>(_xlfn.XLOOKUP(B14,'Annual Employer Cost per Grade'!$C$2:$C$17,'Annual Employer Cost per Grade'!$U$2:$U$17,0,0))*(INDEX('Headcount Phasing'!$B$3:$M$18,MATCH(B14,'Headcount Phasing'!$A$3:$A$18,0),MATCH($I$2,'Headcount Phasing'!$B$2:$M$2,0)))</f>
        <v>465550.875</v>
      </c>
      <c r="J14" s="73">
        <f>(_xlfn.XLOOKUP(B14,'Annual Employer Cost per Grade'!$C$2:$C$17,'Annual Employer Cost per Grade'!$U$2:$U$17,0,0))*(INDEX('Headcount Phasing'!$B$3:$M$18,MATCH(B14,'Headcount Phasing'!$A$3:$A$18,0),MATCH($J$2,'Headcount Phasing'!$B$2:$M$2,0)))</f>
        <v>465550.875</v>
      </c>
      <c r="K14" s="73">
        <f>(_xlfn.XLOOKUP(B14,'Annual Employer Cost per Grade'!$C$2:$C$17,'Annual Employer Cost per Grade'!$U$2:$U$17,0,0))*(INDEX('Headcount Phasing'!$B$3:$M$18,MATCH(B14,'Headcount Phasing'!$A$3:$A$18,0),MATCH($K$2,'Headcount Phasing'!$B$2:$M$2,0)))</f>
        <v>465550.875</v>
      </c>
      <c r="L14" s="73">
        <f>(_xlfn.XLOOKUP(B14,'Annual Employer Cost per Grade'!$C$2:$C$17,'Annual Employer Cost per Grade'!$U$2:$U$17,0,0))*(INDEX('Headcount Phasing'!$B$3:$M$18,MATCH(B14,'Headcount Phasing'!$A$3:$A$18,0),MATCH($L$2,'Headcount Phasing'!$B$2:$M$2,0)))</f>
        <v>465550.875</v>
      </c>
      <c r="M14" s="73">
        <f>(_xlfn.XLOOKUP(B14,'Annual Employer Cost per Grade'!$C$2:$C$17,'Annual Employer Cost per Grade'!$U$2:$U$17,0,0))*(INDEX('Headcount Phasing'!$B$3:$M$18,MATCH(B14,'Headcount Phasing'!$A$3:$A$18,0),MATCH($M$2,'Headcount Phasing'!$B$2:$M$2,0)))</f>
        <v>465550.875</v>
      </c>
      <c r="N14" s="73">
        <f>(_xlfn.XLOOKUP(B14,'Annual Employer Cost per Grade'!$C$2:$C$17,'Annual Employer Cost per Grade'!$U$2:$U$17,0,0))*(INDEX('Headcount Phasing'!$B$3:$M$18,MATCH(B14,'Headcount Phasing'!$A$3:$A$18,0),MATCH($N$2,'Headcount Phasing'!$B$2:$M$2,0)))</f>
        <v>465550.875</v>
      </c>
      <c r="O14" s="74">
        <f t="shared" si="0"/>
        <v>4189957.875</v>
      </c>
    </row>
    <row r="15" spans="1:15" x14ac:dyDescent="0.2">
      <c r="A15" s="76">
        <f t="shared" si="1"/>
        <v>13</v>
      </c>
      <c r="B15" s="13" t="s">
        <v>101</v>
      </c>
      <c r="C15" s="73">
        <f>(_xlfn.XLOOKUP(B15,'Annual Employer Cost per Grade'!$C$2:$C$17,'Annual Employer Cost per Grade'!$U$2:$U$17,0,0))*(INDEX('Headcount Phasing'!$B$3:$M$18,MATCH(B15,'Headcount Phasing'!$A$3:$A$18,0),MATCH($C$2,'Headcount Phasing'!$B$2:$M$2,0)))</f>
        <v>0</v>
      </c>
      <c r="D15" s="73">
        <f>(_xlfn.XLOOKUP(B15,'Annual Employer Cost per Grade'!$C$2:$C$17,'Annual Employer Cost per Grade'!$U$2:$U$17,0,0))*(INDEX('Headcount Phasing'!$B$3:$M$18,MATCH(B15,'Headcount Phasing'!$A$3:$A$18,0),MATCH($D$2,'Headcount Phasing'!$B$2:$M$2,0)))</f>
        <v>0</v>
      </c>
      <c r="E15" s="86">
        <f>(_xlfn.XLOOKUP(B15,'Annual Employer Cost per Grade'!$C$2:$C$17,'Annual Employer Cost per Grade'!$U$2:$U$17,0,0))*(INDEX('Headcount Phasing'!$B$3:$M$18,MATCH(B15,'Headcount Phasing'!$A$3:$A$18,0),MATCH($E$2,'Headcount Phasing'!$B$2:$M$2,0)))</f>
        <v>0</v>
      </c>
      <c r="F15" s="73">
        <f>(_xlfn.XLOOKUP(B15,'Annual Employer Cost per Grade'!$C$2:$C$17,'Annual Employer Cost per Grade'!$U$2:$U$17,0,0))*(INDEX('Headcount Phasing'!$B$3:$M$18,MATCH(B15,'Headcount Phasing'!$A$3:$A$18,0),MATCH($F$2,'Headcount Phasing'!$B$2:$M$2,0)))</f>
        <v>231183.14583333334</v>
      </c>
      <c r="G15" s="73">
        <f>(_xlfn.XLOOKUP(B15,'Annual Employer Cost per Grade'!$C$2:$C$17,'Annual Employer Cost per Grade'!$U$2:$U$17,0,0))*(INDEX('Headcount Phasing'!$B$3:$M$18,MATCH(B15,'Headcount Phasing'!$A$3:$A$18,0),MATCH($G$2,'Headcount Phasing'!$B$2:$M$2,0)))</f>
        <v>231183.14583333334</v>
      </c>
      <c r="H15" s="73">
        <f>(_xlfn.XLOOKUP(B15,'Annual Employer Cost per Grade'!$C$2:$C$17,'Annual Employer Cost per Grade'!$U$2:$U$17,0,0))*(INDEX('Headcount Phasing'!$B$3:$M$18,MATCH(B15,'Headcount Phasing'!$A$3:$A$18,0),MATCH($H$2,'Headcount Phasing'!$B$2:$M$2,0)))</f>
        <v>231183.14583333334</v>
      </c>
      <c r="I15" s="73">
        <f>(_xlfn.XLOOKUP(B15,'Annual Employer Cost per Grade'!$C$2:$C$17,'Annual Employer Cost per Grade'!$U$2:$U$17,0,0))*(INDEX('Headcount Phasing'!$B$3:$M$18,MATCH(B15,'Headcount Phasing'!$A$3:$A$18,0),MATCH($I$2,'Headcount Phasing'!$B$2:$M$2,0)))</f>
        <v>231183.14583333334</v>
      </c>
      <c r="J15" s="73">
        <f>(_xlfn.XLOOKUP(B15,'Annual Employer Cost per Grade'!$C$2:$C$17,'Annual Employer Cost per Grade'!$U$2:$U$17,0,0))*(INDEX('Headcount Phasing'!$B$3:$M$18,MATCH(B15,'Headcount Phasing'!$A$3:$A$18,0),MATCH($J$2,'Headcount Phasing'!$B$2:$M$2,0)))</f>
        <v>231183.14583333334</v>
      </c>
      <c r="K15" s="73">
        <f>(_xlfn.XLOOKUP(B15,'Annual Employer Cost per Grade'!$C$2:$C$17,'Annual Employer Cost per Grade'!$U$2:$U$17,0,0))*(INDEX('Headcount Phasing'!$B$3:$M$18,MATCH(B15,'Headcount Phasing'!$A$3:$A$18,0),MATCH($K$2,'Headcount Phasing'!$B$2:$M$2,0)))</f>
        <v>231183.14583333334</v>
      </c>
      <c r="L15" s="73">
        <f>(_xlfn.XLOOKUP(B15,'Annual Employer Cost per Grade'!$C$2:$C$17,'Annual Employer Cost per Grade'!$U$2:$U$17,0,0))*(INDEX('Headcount Phasing'!$B$3:$M$18,MATCH(B15,'Headcount Phasing'!$A$3:$A$18,0),MATCH($L$2,'Headcount Phasing'!$B$2:$M$2,0)))</f>
        <v>231183.14583333334</v>
      </c>
      <c r="M15" s="73">
        <f>(_xlfn.XLOOKUP(B15,'Annual Employer Cost per Grade'!$C$2:$C$17,'Annual Employer Cost per Grade'!$U$2:$U$17,0,0))*(INDEX('Headcount Phasing'!$B$3:$M$18,MATCH(B15,'Headcount Phasing'!$A$3:$A$18,0),MATCH($M$2,'Headcount Phasing'!$B$2:$M$2,0)))</f>
        <v>231183.14583333334</v>
      </c>
      <c r="N15" s="73">
        <f>(_xlfn.XLOOKUP(B15,'Annual Employer Cost per Grade'!$C$2:$C$17,'Annual Employer Cost per Grade'!$U$2:$U$17,0,0))*(INDEX('Headcount Phasing'!$B$3:$M$18,MATCH(B15,'Headcount Phasing'!$A$3:$A$18,0),MATCH($N$2,'Headcount Phasing'!$B$2:$M$2,0)))</f>
        <v>231183.14583333334</v>
      </c>
      <c r="O15" s="74">
        <f t="shared" si="0"/>
        <v>2080648.3124999998</v>
      </c>
    </row>
    <row r="16" spans="1:15" x14ac:dyDescent="0.2">
      <c r="A16" s="76">
        <f t="shared" si="1"/>
        <v>14</v>
      </c>
      <c r="B16" s="13" t="s">
        <v>39</v>
      </c>
      <c r="C16" s="73">
        <f>(_xlfn.XLOOKUP(B16,'Annual Employer Cost per Grade'!$C$2:$C$17,'Annual Employer Cost per Grade'!$U$2:$U$17,0,0))*(INDEX('Headcount Phasing'!$B$3:$M$18,MATCH(B16,'Headcount Phasing'!$A$3:$A$18,0),MATCH($C$2,'Headcount Phasing'!$B$2:$M$2,0)))</f>
        <v>0</v>
      </c>
      <c r="D16" s="73">
        <f>(_xlfn.XLOOKUP(B16,'Annual Employer Cost per Grade'!$C$2:$C$17,'Annual Employer Cost per Grade'!$U$2:$U$17,0,0))*(INDEX('Headcount Phasing'!$B$3:$M$18,MATCH(B16,'Headcount Phasing'!$A$3:$A$18,0),MATCH($D$2,'Headcount Phasing'!$B$2:$M$2,0)))</f>
        <v>0</v>
      </c>
      <c r="E16" s="86">
        <f>(_xlfn.XLOOKUP(B16,'Annual Employer Cost per Grade'!$C$2:$C$17,'Annual Employer Cost per Grade'!$U$2:$U$17,0,0))*(INDEX('Headcount Phasing'!$B$3:$M$18,MATCH(B16,'Headcount Phasing'!$A$3:$A$18,0),MATCH($E$2,'Headcount Phasing'!$B$2:$M$2,0)))</f>
        <v>231183.14583333334</v>
      </c>
      <c r="F16" s="73">
        <f>(_xlfn.XLOOKUP(B16,'Annual Employer Cost per Grade'!$C$2:$C$17,'Annual Employer Cost per Grade'!$U$2:$U$17,0,0))*(INDEX('Headcount Phasing'!$B$3:$M$18,MATCH(B16,'Headcount Phasing'!$A$3:$A$18,0),MATCH($F$2,'Headcount Phasing'!$B$2:$M$2,0)))</f>
        <v>231183.14583333334</v>
      </c>
      <c r="G16" s="80">
        <f>(_xlfn.XLOOKUP(B16,'Annual Employer Cost per Grade'!$C$2:$C$17,'Annual Employer Cost per Grade'!$U$2:$U$17,0,0))*(INDEX('Headcount Phasing'!$B$3:$M$18,MATCH(B16,'Headcount Phasing'!$A$3:$A$18,0),MATCH($G$2,'Headcount Phasing'!$B$2:$M$2,0)))</f>
        <v>462366.29166666669</v>
      </c>
      <c r="H16" s="80">
        <f>(_xlfn.XLOOKUP(B16,'Annual Employer Cost per Grade'!$C$2:$C$17,'Annual Employer Cost per Grade'!$U$2:$U$17,0,0))*(INDEX('Headcount Phasing'!$B$3:$M$18,MATCH(B16,'Headcount Phasing'!$A$3:$A$18,0),MATCH($H$2,'Headcount Phasing'!$B$2:$M$2,0)))</f>
        <v>462366.29166666669</v>
      </c>
      <c r="I16" s="80">
        <f>(_xlfn.XLOOKUP(B16,'Annual Employer Cost per Grade'!$C$2:$C$17,'Annual Employer Cost per Grade'!$U$2:$U$17,0,0))*(INDEX('Headcount Phasing'!$B$3:$M$18,MATCH(B16,'Headcount Phasing'!$A$3:$A$18,0),MATCH($I$2,'Headcount Phasing'!$B$2:$M$2,0)))</f>
        <v>462366.29166666669</v>
      </c>
      <c r="J16" s="80">
        <f>(_xlfn.XLOOKUP(B16,'Annual Employer Cost per Grade'!$C$2:$C$17,'Annual Employer Cost per Grade'!$U$2:$U$17,0,0))*(INDEX('Headcount Phasing'!$B$3:$M$18,MATCH(B16,'Headcount Phasing'!$A$3:$A$18,0),MATCH($J$2,'Headcount Phasing'!$B$2:$M$2,0)))</f>
        <v>462366.29166666669</v>
      </c>
      <c r="K16" s="80">
        <f>(_xlfn.XLOOKUP(B16,'Annual Employer Cost per Grade'!$C$2:$C$17,'Annual Employer Cost per Grade'!$U$2:$U$17,0,0))*(INDEX('Headcount Phasing'!$B$3:$M$18,MATCH(B16,'Headcount Phasing'!$A$3:$A$18,0),MATCH($K$2,'Headcount Phasing'!$B$2:$M$2,0)))</f>
        <v>462366.29166666669</v>
      </c>
      <c r="L16" s="80">
        <f>(_xlfn.XLOOKUP(B16,'Annual Employer Cost per Grade'!$C$2:$C$17,'Annual Employer Cost per Grade'!$U$2:$U$17,0,0))*(INDEX('Headcount Phasing'!$B$3:$M$18,MATCH(B16,'Headcount Phasing'!$A$3:$A$18,0),MATCH($L$2,'Headcount Phasing'!$B$2:$M$2,0)))</f>
        <v>462366.29166666669</v>
      </c>
      <c r="M16" s="80">
        <f>(_xlfn.XLOOKUP(B16,'Annual Employer Cost per Grade'!$C$2:$C$17,'Annual Employer Cost per Grade'!$U$2:$U$17,0,0))*(INDEX('Headcount Phasing'!$B$3:$M$18,MATCH(B16,'Headcount Phasing'!$A$3:$A$18,0),MATCH($M$2,'Headcount Phasing'!$B$2:$M$2,0)))</f>
        <v>462366.29166666669</v>
      </c>
      <c r="N16" s="80">
        <f>(_xlfn.XLOOKUP(B16,'Annual Employer Cost per Grade'!$C$2:$C$17,'Annual Employer Cost per Grade'!$U$2:$U$17,0,0))*(INDEX('Headcount Phasing'!$B$3:$M$18,MATCH(B16,'Headcount Phasing'!$A$3:$A$18,0),MATCH($N$2,'Headcount Phasing'!$B$2:$M$2,0)))</f>
        <v>462366.29166666669</v>
      </c>
      <c r="O16" s="74">
        <f t="shared" si="0"/>
        <v>4161296.6249999995</v>
      </c>
    </row>
    <row r="17" spans="1:15" x14ac:dyDescent="0.2">
      <c r="A17" s="76">
        <f t="shared" si="1"/>
        <v>15</v>
      </c>
      <c r="B17" s="13" t="s">
        <v>153</v>
      </c>
      <c r="C17" s="73">
        <f>(_xlfn.XLOOKUP(B17,'Annual Employer Cost per Grade'!$C$2:$C$17,'Annual Employer Cost per Grade'!$U$2:$U$17,0,0))*(INDEX('Headcount Phasing'!$B$3:$M$18,MATCH(B17,'Headcount Phasing'!$A$3:$A$18,0),MATCH($C$2,'Headcount Phasing'!$B$2:$M$2,0)))</f>
        <v>0</v>
      </c>
      <c r="D17" s="73">
        <f>(_xlfn.XLOOKUP(B17,'Annual Employer Cost per Grade'!$C$2:$C$17,'Annual Employer Cost per Grade'!$U$2:$U$17,0,0))*(INDEX('Headcount Phasing'!$B$3:$M$18,MATCH(B17,'Headcount Phasing'!$A$3:$A$18,0),MATCH($D$2,'Headcount Phasing'!$B$2:$M$2,0)))</f>
        <v>0</v>
      </c>
      <c r="E17" s="86">
        <f>(_xlfn.XLOOKUP(B17,'Annual Employer Cost per Grade'!$C$2:$C$17,'Annual Employer Cost per Grade'!$U$2:$U$17,0,0))*(INDEX('Headcount Phasing'!$B$3:$M$18,MATCH(B17,'Headcount Phasing'!$A$3:$A$18,0),MATCH($E$2,'Headcount Phasing'!$B$2:$M$2,0)))</f>
        <v>0</v>
      </c>
      <c r="F17" s="80">
        <f>(_xlfn.XLOOKUP(B17,'Annual Employer Cost per Grade'!$C$2:$C$17,'Annual Employer Cost per Grade'!$U$2:$U$17,0,0))*(INDEX('Headcount Phasing'!$B$3:$M$18,MATCH(B17,'Headcount Phasing'!$A$3:$A$18,0),MATCH($F$2,'Headcount Phasing'!$B$2:$M$2,0)))</f>
        <v>0</v>
      </c>
      <c r="G17" s="80">
        <f>(_xlfn.XLOOKUP(B17,'Annual Employer Cost per Grade'!$C$2:$C$17,'Annual Employer Cost per Grade'!$U$2:$U$17,0,0))*(INDEX('Headcount Phasing'!$B$3:$M$18,MATCH(B17,'Headcount Phasing'!$A$3:$A$18,0),MATCH($G$2,'Headcount Phasing'!$B$2:$M$2,0)))</f>
        <v>199189.625</v>
      </c>
      <c r="H17" s="80">
        <f>(_xlfn.XLOOKUP(B17,'Annual Employer Cost per Grade'!$C$2:$C$17,'Annual Employer Cost per Grade'!$U$2:$U$17,0,0))*(INDEX('Headcount Phasing'!$B$3:$M$18,MATCH(B17,'Headcount Phasing'!$A$3:$A$18,0),MATCH($H$2,'Headcount Phasing'!$B$2:$M$2,0)))</f>
        <v>199189.625</v>
      </c>
      <c r="I17" s="80">
        <f>(_xlfn.XLOOKUP(B17,'Annual Employer Cost per Grade'!$C$2:$C$17,'Annual Employer Cost per Grade'!$U$2:$U$17,0,0))*(INDEX('Headcount Phasing'!$B$3:$M$18,MATCH(B17,'Headcount Phasing'!$A$3:$A$18,0),MATCH($I$2,'Headcount Phasing'!$B$2:$M$2,0)))</f>
        <v>199189.625</v>
      </c>
      <c r="J17" s="80">
        <f>(_xlfn.XLOOKUP(B17,'Annual Employer Cost per Grade'!$C$2:$C$17,'Annual Employer Cost per Grade'!$U$2:$U$17,0,0))*(INDEX('Headcount Phasing'!$B$3:$M$18,MATCH(B17,'Headcount Phasing'!$A$3:$A$18,0),MATCH($J$2,'Headcount Phasing'!$B$2:$M$2,0)))</f>
        <v>199189.625</v>
      </c>
      <c r="K17" s="80">
        <f>(_xlfn.XLOOKUP(B17,'Annual Employer Cost per Grade'!$C$2:$C$17,'Annual Employer Cost per Grade'!$U$2:$U$17,0,0))*(INDEX('Headcount Phasing'!$B$3:$M$18,MATCH(B17,'Headcount Phasing'!$A$3:$A$18,0),MATCH($K$2,'Headcount Phasing'!$B$2:$M$2,0)))</f>
        <v>199189.625</v>
      </c>
      <c r="L17" s="80">
        <f>(_xlfn.XLOOKUP(B17,'Annual Employer Cost per Grade'!$C$2:$C$17,'Annual Employer Cost per Grade'!$U$2:$U$17,0,0))*(INDEX('Headcount Phasing'!$B$3:$M$18,MATCH(B17,'Headcount Phasing'!$A$3:$A$18,0),MATCH($L$2,'Headcount Phasing'!$B$2:$M$2,0)))</f>
        <v>199189.625</v>
      </c>
      <c r="M17" s="80">
        <f>(_xlfn.XLOOKUP(B17,'Annual Employer Cost per Grade'!$C$2:$C$17,'Annual Employer Cost per Grade'!$U$2:$U$17,0,0))*(INDEX('Headcount Phasing'!$B$3:$M$18,MATCH(B17,'Headcount Phasing'!$A$3:$A$18,0),MATCH($M$2,'Headcount Phasing'!$B$2:$M$2,0)))</f>
        <v>199189.625</v>
      </c>
      <c r="N17" s="80">
        <f>(_xlfn.XLOOKUP(B17,'Annual Employer Cost per Grade'!$C$2:$C$17,'Annual Employer Cost per Grade'!$U$2:$U$17,0,0))*(INDEX('Headcount Phasing'!$B$3:$M$18,MATCH(B17,'Headcount Phasing'!$A$3:$A$18,0),MATCH($N$2,'Headcount Phasing'!$B$2:$M$2,0)))</f>
        <v>199189.625</v>
      </c>
      <c r="O17" s="74">
        <f t="shared" si="0"/>
        <v>1593517</v>
      </c>
    </row>
    <row r="18" spans="1:15" x14ac:dyDescent="0.2">
      <c r="A18" s="76">
        <f t="shared" si="1"/>
        <v>16</v>
      </c>
      <c r="B18" s="13" t="s">
        <v>154</v>
      </c>
      <c r="C18" s="73">
        <f>(_xlfn.XLOOKUP(B18,'Annual Employer Cost per Grade'!$C$2:$C$17,'Annual Employer Cost per Grade'!$U$2:$U$17,0,0))*(INDEX('Headcount Phasing'!$B$3:$M$18,MATCH(B18,'Headcount Phasing'!$A$3:$A$18,0),MATCH($C$2,'Headcount Phasing'!$B$2:$M$2,0)))</f>
        <v>0</v>
      </c>
      <c r="D18" s="73">
        <f>(_xlfn.XLOOKUP(B18,'Annual Employer Cost per Grade'!$C$2:$C$17,'Annual Employer Cost per Grade'!$U$2:$U$17,0,0))*(INDEX('Headcount Phasing'!$B$3:$M$18,MATCH(B18,'Headcount Phasing'!$A$3:$A$18,0),MATCH($D$2,'Headcount Phasing'!$B$2:$M$2,0)))</f>
        <v>0</v>
      </c>
      <c r="E18" s="86">
        <f>(_xlfn.XLOOKUP(B18,'Annual Employer Cost per Grade'!$C$2:$C$17,'Annual Employer Cost per Grade'!$U$2:$U$17,0,0))*(INDEX('Headcount Phasing'!$B$3:$M$18,MATCH(B18,'Headcount Phasing'!$A$3:$A$18,0),MATCH($E$2,'Headcount Phasing'!$B$2:$M$2,0)))</f>
        <v>0</v>
      </c>
      <c r="F18" s="80">
        <f>(_xlfn.XLOOKUP(B18,'Annual Employer Cost per Grade'!$C$2:$C$17,'Annual Employer Cost per Grade'!$U$2:$U$17,0,0))*(INDEX('Headcount Phasing'!$B$3:$M$18,MATCH(B18,'Headcount Phasing'!$A$3:$A$18,0),MATCH($F$2,'Headcount Phasing'!$B$2:$M$2,0)))</f>
        <v>240702.00000000006</v>
      </c>
      <c r="G18" s="80">
        <f>(_xlfn.XLOOKUP(B18,'Annual Employer Cost per Grade'!$C$2:$C$17,'Annual Employer Cost per Grade'!$U$2:$U$17,0,0))*(INDEX('Headcount Phasing'!$B$3:$M$18,MATCH(B18,'Headcount Phasing'!$A$3:$A$18,0),MATCH($G$2,'Headcount Phasing'!$B$2:$M$2,0)))</f>
        <v>240702.00000000006</v>
      </c>
      <c r="H18" s="80">
        <f>(_xlfn.XLOOKUP(B18,'Annual Employer Cost per Grade'!$C$2:$C$17,'Annual Employer Cost per Grade'!$U$2:$U$17,0,0))*(INDEX('Headcount Phasing'!$B$3:$M$18,MATCH(B18,'Headcount Phasing'!$A$3:$A$18,0),MATCH($H$2,'Headcount Phasing'!$B$2:$M$2,0)))</f>
        <v>240702.00000000006</v>
      </c>
      <c r="I18" s="80">
        <f>(_xlfn.XLOOKUP(B18,'Annual Employer Cost per Grade'!$C$2:$C$17,'Annual Employer Cost per Grade'!$U$2:$U$17,0,0))*(INDEX('Headcount Phasing'!$B$3:$M$18,MATCH(B18,'Headcount Phasing'!$A$3:$A$18,0),MATCH($I$2,'Headcount Phasing'!$B$2:$M$2,0)))</f>
        <v>240702.00000000006</v>
      </c>
      <c r="J18" s="80">
        <f>(_xlfn.XLOOKUP(B18,'Annual Employer Cost per Grade'!$C$2:$C$17,'Annual Employer Cost per Grade'!$U$2:$U$17,0,0))*(INDEX('Headcount Phasing'!$B$3:$M$18,MATCH(B18,'Headcount Phasing'!$A$3:$A$18,0),MATCH($J$2,'Headcount Phasing'!$B$2:$M$2,0)))</f>
        <v>240702.00000000006</v>
      </c>
      <c r="K18" s="80">
        <f>(_xlfn.XLOOKUP(B18,'Annual Employer Cost per Grade'!$C$2:$C$17,'Annual Employer Cost per Grade'!$U$2:$U$17,0,0))*(INDEX('Headcount Phasing'!$B$3:$M$18,MATCH(B18,'Headcount Phasing'!$A$3:$A$18,0),MATCH($K$2,'Headcount Phasing'!$B$2:$M$2,0)))</f>
        <v>240702.00000000006</v>
      </c>
      <c r="L18" s="80">
        <f>(_xlfn.XLOOKUP(B18,'Annual Employer Cost per Grade'!$C$2:$C$17,'Annual Employer Cost per Grade'!$U$2:$U$17,0,0))*(INDEX('Headcount Phasing'!$B$3:$M$18,MATCH(B18,'Headcount Phasing'!$A$3:$A$18,0),MATCH($L$2,'Headcount Phasing'!$B$2:$M$2,0)))</f>
        <v>240702.00000000006</v>
      </c>
      <c r="M18" s="80">
        <f>(_xlfn.XLOOKUP(B18,'Annual Employer Cost per Grade'!$C$2:$C$17,'Annual Employer Cost per Grade'!$U$2:$U$17,0,0))*(INDEX('Headcount Phasing'!$B$3:$M$18,MATCH(B18,'Headcount Phasing'!$A$3:$A$18,0),MATCH($M$2,'Headcount Phasing'!$B$2:$M$2,0)))</f>
        <v>240702.00000000006</v>
      </c>
      <c r="N18" s="80">
        <f>(_xlfn.XLOOKUP(B18,'Annual Employer Cost per Grade'!$C$2:$C$17,'Annual Employer Cost per Grade'!$U$2:$U$17,0,0))*(INDEX('Headcount Phasing'!$B$3:$M$18,MATCH(B18,'Headcount Phasing'!$A$3:$A$18,0),MATCH($N$2,'Headcount Phasing'!$B$2:$M$2,0)))</f>
        <v>240702.00000000006</v>
      </c>
      <c r="O18" s="74">
        <f t="shared" si="0"/>
        <v>2166318.0000000005</v>
      </c>
    </row>
    <row r="19" spans="1:15" x14ac:dyDescent="0.2">
      <c r="A19" s="75"/>
      <c r="B19" s="77" t="s">
        <v>73</v>
      </c>
      <c r="C19" s="78">
        <f>SUM(C3:C18)</f>
        <v>0</v>
      </c>
      <c r="D19" s="78">
        <f>SUM(D3:D18)</f>
        <v>0</v>
      </c>
      <c r="E19" s="78">
        <f>SUM(E3:E18)</f>
        <v>6418849.8125</v>
      </c>
      <c r="F19" s="78">
        <f t="shared" ref="F19:O19" si="2">SUM(F3:F18)</f>
        <v>15152263.145833336</v>
      </c>
      <c r="G19" s="78">
        <f t="shared" si="2"/>
        <v>15582635.916666668</v>
      </c>
      <c r="H19" s="78">
        <f t="shared" si="2"/>
        <v>15582635.916666668</v>
      </c>
      <c r="I19" s="78">
        <f t="shared" si="2"/>
        <v>15582635.916666668</v>
      </c>
      <c r="J19" s="78">
        <f t="shared" si="2"/>
        <v>15582635.916666668</v>
      </c>
      <c r="K19" s="78">
        <f t="shared" si="2"/>
        <v>15582635.916666668</v>
      </c>
      <c r="L19" s="78">
        <f t="shared" si="2"/>
        <v>15582635.916666668</v>
      </c>
      <c r="M19" s="78">
        <f t="shared" si="2"/>
        <v>15582635.916666668</v>
      </c>
      <c r="N19" s="78">
        <f t="shared" si="2"/>
        <v>15582635.916666668</v>
      </c>
      <c r="O19" s="78">
        <f t="shared" si="2"/>
        <v>146232200.29166666</v>
      </c>
    </row>
    <row r="29" spans="1:15" x14ac:dyDescent="0.2">
      <c r="F29" s="79"/>
      <c r="G29" s="79"/>
      <c r="H29" s="79"/>
      <c r="I29" s="79"/>
      <c r="J29" s="79"/>
      <c r="K29" s="79"/>
      <c r="L29" s="79"/>
      <c r="M29" s="79" t="s">
        <v>130</v>
      </c>
      <c r="N29" s="79"/>
      <c r="O29" s="79"/>
    </row>
    <row r="30" spans="1:15" x14ac:dyDescent="0.2">
      <c r="F30" s="79"/>
      <c r="G30" s="79"/>
      <c r="H30" s="79"/>
      <c r="I30" s="79"/>
      <c r="J30" s="79"/>
      <c r="K30" s="79"/>
      <c r="L30" s="79">
        <v>235017335.19999999</v>
      </c>
      <c r="M30" s="79">
        <f>L30-O19</f>
        <v>88785134.908333331</v>
      </c>
      <c r="N30" s="79"/>
      <c r="O30" s="79"/>
    </row>
    <row r="31" spans="1:15" x14ac:dyDescent="0.2">
      <c r="C31" s="53"/>
      <c r="D31" s="53"/>
      <c r="E31" s="53"/>
      <c r="F31" s="53"/>
      <c r="G31" s="53"/>
      <c r="H31" s="53"/>
      <c r="I31" s="53"/>
      <c r="J31" s="53"/>
      <c r="K31" s="53"/>
      <c r="L31" s="81"/>
      <c r="M31" s="81">
        <f>(L30-O19)/L30</f>
        <v>0.3777812170016186</v>
      </c>
      <c r="N31" s="53"/>
      <c r="O31" s="5"/>
    </row>
  </sheetData>
  <mergeCells count="1">
    <mergeCell ref="E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6BE3-0A41-4F9D-9AF2-BF17CEF937E4}">
  <dimension ref="A2:N23"/>
  <sheetViews>
    <sheetView workbookViewId="0">
      <selection activeCell="F22" sqref="F22"/>
    </sheetView>
  </sheetViews>
  <sheetFormatPr baseColWidth="10" defaultColWidth="8.83203125" defaultRowHeight="15" x14ac:dyDescent="0.2"/>
  <cols>
    <col min="1" max="1" width="27.5" customWidth="1"/>
    <col min="2" max="3" width="11.1640625" style="22" bestFit="1" customWidth="1"/>
    <col min="4" max="4" width="12.5" style="22" customWidth="1"/>
    <col min="5" max="5" width="12.33203125" style="22" customWidth="1"/>
    <col min="6" max="13" width="10.5" style="22" bestFit="1" customWidth="1"/>
    <col min="14" max="14" width="13" customWidth="1"/>
  </cols>
  <sheetData>
    <row r="2" spans="1:14" ht="32" x14ac:dyDescent="0.2">
      <c r="A2" s="65" t="s">
        <v>10</v>
      </c>
      <c r="B2" s="66" t="s">
        <v>88</v>
      </c>
      <c r="C2" s="66" t="s">
        <v>89</v>
      </c>
      <c r="D2" s="66" t="s">
        <v>90</v>
      </c>
      <c r="E2" s="66" t="s">
        <v>91</v>
      </c>
      <c r="F2" s="66" t="s">
        <v>92</v>
      </c>
      <c r="G2" s="66" t="s">
        <v>93</v>
      </c>
      <c r="H2" s="66" t="s">
        <v>94</v>
      </c>
      <c r="I2" s="66" t="s">
        <v>95</v>
      </c>
      <c r="J2" s="66" t="s">
        <v>96</v>
      </c>
      <c r="K2" s="66" t="s">
        <v>97</v>
      </c>
      <c r="L2" s="66" t="s">
        <v>98</v>
      </c>
      <c r="M2" s="66" t="s">
        <v>99</v>
      </c>
      <c r="N2" s="67" t="s">
        <v>123</v>
      </c>
    </row>
    <row r="3" spans="1:14" x14ac:dyDescent="0.2">
      <c r="A3" s="7" t="s">
        <v>13</v>
      </c>
      <c r="B3" s="70">
        <v>0</v>
      </c>
      <c r="C3" s="70">
        <v>0</v>
      </c>
      <c r="D3" s="70">
        <v>1</v>
      </c>
      <c r="E3" s="70">
        <v>1</v>
      </c>
      <c r="F3" s="70">
        <v>1</v>
      </c>
      <c r="G3" s="70">
        <v>1</v>
      </c>
      <c r="H3" s="70">
        <v>1</v>
      </c>
      <c r="I3" s="70">
        <v>1</v>
      </c>
      <c r="J3" s="70">
        <v>1</v>
      </c>
      <c r="K3" s="70">
        <v>1</v>
      </c>
      <c r="L3" s="70">
        <v>1</v>
      </c>
      <c r="M3" s="70">
        <v>1</v>
      </c>
      <c r="N3" s="68">
        <v>10</v>
      </c>
    </row>
    <row r="4" spans="1:14" x14ac:dyDescent="0.2">
      <c r="A4" s="7" t="s">
        <v>32</v>
      </c>
      <c r="B4" s="70">
        <v>0</v>
      </c>
      <c r="C4" s="70">
        <v>0</v>
      </c>
      <c r="D4" s="70">
        <v>0</v>
      </c>
      <c r="E4" s="70">
        <v>1</v>
      </c>
      <c r="F4" s="70">
        <v>1</v>
      </c>
      <c r="G4" s="70">
        <v>1</v>
      </c>
      <c r="H4" s="70">
        <v>1</v>
      </c>
      <c r="I4" s="70">
        <v>1</v>
      </c>
      <c r="J4" s="70">
        <v>1</v>
      </c>
      <c r="K4" s="70">
        <v>1</v>
      </c>
      <c r="L4" s="70">
        <v>1</v>
      </c>
      <c r="M4" s="70">
        <v>1</v>
      </c>
      <c r="N4" s="68">
        <v>9</v>
      </c>
    </row>
    <row r="5" spans="1:14" x14ac:dyDescent="0.2">
      <c r="A5" s="7" t="s">
        <v>33</v>
      </c>
      <c r="B5" s="70">
        <v>0</v>
      </c>
      <c r="C5" s="70">
        <v>0</v>
      </c>
      <c r="D5" s="70">
        <v>0</v>
      </c>
      <c r="E5" s="70">
        <v>1</v>
      </c>
      <c r="F5" s="70">
        <v>1</v>
      </c>
      <c r="G5" s="70">
        <v>1</v>
      </c>
      <c r="H5" s="70">
        <v>1</v>
      </c>
      <c r="I5" s="70">
        <v>1</v>
      </c>
      <c r="J5" s="70">
        <v>1</v>
      </c>
      <c r="K5" s="70">
        <v>1</v>
      </c>
      <c r="L5" s="70">
        <v>1</v>
      </c>
      <c r="M5" s="70">
        <v>1</v>
      </c>
      <c r="N5" s="68">
        <v>9</v>
      </c>
    </row>
    <row r="6" spans="1:14" x14ac:dyDescent="0.2">
      <c r="A6" s="7" t="s">
        <v>34</v>
      </c>
      <c r="B6" s="70">
        <v>0</v>
      </c>
      <c r="C6" s="70">
        <v>0</v>
      </c>
      <c r="D6" s="70">
        <v>0</v>
      </c>
      <c r="E6" s="70">
        <v>1</v>
      </c>
      <c r="F6" s="70">
        <v>1</v>
      </c>
      <c r="G6" s="70">
        <v>1</v>
      </c>
      <c r="H6" s="70">
        <v>1</v>
      </c>
      <c r="I6" s="70">
        <v>1</v>
      </c>
      <c r="J6" s="70">
        <v>1</v>
      </c>
      <c r="K6" s="70">
        <v>1</v>
      </c>
      <c r="L6" s="70">
        <v>1</v>
      </c>
      <c r="M6" s="70">
        <v>1</v>
      </c>
      <c r="N6" s="68">
        <v>9</v>
      </c>
    </row>
    <row r="7" spans="1:14" x14ac:dyDescent="0.2">
      <c r="A7" s="7" t="s">
        <v>35</v>
      </c>
      <c r="B7" s="70">
        <v>0</v>
      </c>
      <c r="C7" s="70">
        <v>0</v>
      </c>
      <c r="D7" s="70">
        <v>0</v>
      </c>
      <c r="E7" s="70">
        <v>1</v>
      </c>
      <c r="F7" s="70">
        <v>1</v>
      </c>
      <c r="G7" s="70">
        <v>1</v>
      </c>
      <c r="H7" s="70">
        <v>1</v>
      </c>
      <c r="I7" s="70">
        <v>1</v>
      </c>
      <c r="J7" s="70">
        <v>1</v>
      </c>
      <c r="K7" s="70">
        <v>1</v>
      </c>
      <c r="L7" s="70">
        <v>1</v>
      </c>
      <c r="M7" s="70">
        <v>1</v>
      </c>
      <c r="N7" s="68">
        <v>9</v>
      </c>
    </row>
    <row r="8" spans="1:14" x14ac:dyDescent="0.2">
      <c r="A8" s="7" t="s">
        <v>156</v>
      </c>
      <c r="B8" s="70">
        <v>0</v>
      </c>
      <c r="C8" s="70">
        <v>0</v>
      </c>
      <c r="D8" s="70">
        <v>0</v>
      </c>
      <c r="E8" s="72">
        <v>1</v>
      </c>
      <c r="F8" s="72">
        <v>1</v>
      </c>
      <c r="G8" s="72">
        <v>1</v>
      </c>
      <c r="H8" s="72">
        <v>1</v>
      </c>
      <c r="I8" s="72">
        <v>1</v>
      </c>
      <c r="J8" s="72">
        <v>1</v>
      </c>
      <c r="K8" s="72">
        <v>1</v>
      </c>
      <c r="L8" s="72">
        <v>1</v>
      </c>
      <c r="M8" s="72">
        <v>1</v>
      </c>
      <c r="N8" s="68">
        <v>9</v>
      </c>
    </row>
    <row r="9" spans="1:14" ht="16" x14ac:dyDescent="0.2">
      <c r="A9" s="123" t="s">
        <v>157</v>
      </c>
      <c r="B9" s="70">
        <v>0</v>
      </c>
      <c r="C9" s="70">
        <v>0</v>
      </c>
      <c r="D9" s="70">
        <v>0</v>
      </c>
      <c r="E9" s="72">
        <v>1</v>
      </c>
      <c r="F9" s="72">
        <v>1</v>
      </c>
      <c r="G9" s="72">
        <v>1</v>
      </c>
      <c r="H9" s="72">
        <v>1</v>
      </c>
      <c r="I9" s="72">
        <v>1</v>
      </c>
      <c r="J9" s="72">
        <v>1</v>
      </c>
      <c r="K9" s="72">
        <v>1</v>
      </c>
      <c r="L9" s="72">
        <v>1</v>
      </c>
      <c r="M9" s="72">
        <v>1</v>
      </c>
      <c r="N9" s="68">
        <v>9</v>
      </c>
    </row>
    <row r="10" spans="1:14" x14ac:dyDescent="0.2">
      <c r="A10" s="7" t="s">
        <v>36</v>
      </c>
      <c r="B10" s="70">
        <v>0</v>
      </c>
      <c r="C10" s="70">
        <v>0</v>
      </c>
      <c r="D10" s="70">
        <v>0</v>
      </c>
      <c r="E10" s="70">
        <v>1</v>
      </c>
      <c r="F10" s="70">
        <v>1</v>
      </c>
      <c r="G10" s="70">
        <v>1</v>
      </c>
      <c r="H10" s="70">
        <v>1</v>
      </c>
      <c r="I10" s="70">
        <v>1</v>
      </c>
      <c r="J10" s="70">
        <v>1</v>
      </c>
      <c r="K10" s="70">
        <v>1</v>
      </c>
      <c r="L10" s="70">
        <v>1</v>
      </c>
      <c r="M10" s="70">
        <v>1</v>
      </c>
      <c r="N10" s="68">
        <v>9</v>
      </c>
    </row>
    <row r="11" spans="1:14" x14ac:dyDescent="0.2">
      <c r="A11" s="7" t="s">
        <v>37</v>
      </c>
      <c r="B11" s="70">
        <v>0</v>
      </c>
      <c r="C11" s="70">
        <v>0</v>
      </c>
      <c r="D11" s="70">
        <v>0</v>
      </c>
      <c r="E11" s="70">
        <v>1</v>
      </c>
      <c r="F11" s="70">
        <v>1</v>
      </c>
      <c r="G11" s="70">
        <v>1</v>
      </c>
      <c r="H11" s="70">
        <v>1</v>
      </c>
      <c r="I11" s="70">
        <v>1</v>
      </c>
      <c r="J11" s="70">
        <v>1</v>
      </c>
      <c r="K11" s="70">
        <v>1</v>
      </c>
      <c r="L11" s="70">
        <v>1</v>
      </c>
      <c r="M11" s="70">
        <v>1</v>
      </c>
      <c r="N11" s="68">
        <v>9</v>
      </c>
    </row>
    <row r="12" spans="1:14" x14ac:dyDescent="0.2">
      <c r="A12" s="7" t="s">
        <v>100</v>
      </c>
      <c r="B12" s="70">
        <v>0</v>
      </c>
      <c r="C12" s="70">
        <v>0</v>
      </c>
      <c r="D12" s="70">
        <v>0</v>
      </c>
      <c r="E12" s="70">
        <v>1</v>
      </c>
      <c r="F12" s="70">
        <v>1</v>
      </c>
      <c r="G12" s="70">
        <v>1</v>
      </c>
      <c r="H12" s="70">
        <v>1</v>
      </c>
      <c r="I12" s="70">
        <v>1</v>
      </c>
      <c r="J12" s="70">
        <v>1</v>
      </c>
      <c r="K12" s="70">
        <v>1</v>
      </c>
      <c r="L12" s="70">
        <v>1</v>
      </c>
      <c r="M12" s="70">
        <v>1</v>
      </c>
      <c r="N12" s="68">
        <v>9</v>
      </c>
    </row>
    <row r="13" spans="1:14" x14ac:dyDescent="0.2">
      <c r="A13" s="7" t="s">
        <v>87</v>
      </c>
      <c r="B13" s="70">
        <v>0</v>
      </c>
      <c r="C13" s="70">
        <v>0</v>
      </c>
      <c r="D13" s="70">
        <v>0</v>
      </c>
      <c r="E13" s="70">
        <v>1</v>
      </c>
      <c r="F13" s="70">
        <v>1</v>
      </c>
      <c r="G13" s="70">
        <v>1</v>
      </c>
      <c r="H13" s="70">
        <v>1</v>
      </c>
      <c r="I13" s="70">
        <v>1</v>
      </c>
      <c r="J13" s="70">
        <v>1</v>
      </c>
      <c r="K13" s="70">
        <v>1</v>
      </c>
      <c r="L13" s="70">
        <v>1</v>
      </c>
      <c r="M13" s="70">
        <v>1</v>
      </c>
      <c r="N13" s="68">
        <v>9</v>
      </c>
    </row>
    <row r="14" spans="1:14" x14ac:dyDescent="0.2">
      <c r="A14" s="7" t="s">
        <v>38</v>
      </c>
      <c r="B14" s="70">
        <v>0</v>
      </c>
      <c r="C14" s="70">
        <v>0</v>
      </c>
      <c r="D14" s="70">
        <v>0</v>
      </c>
      <c r="E14" s="70">
        <v>1</v>
      </c>
      <c r="F14" s="70">
        <v>1</v>
      </c>
      <c r="G14" s="70">
        <v>1</v>
      </c>
      <c r="H14" s="70">
        <v>1</v>
      </c>
      <c r="I14" s="70">
        <v>1</v>
      </c>
      <c r="J14" s="70">
        <v>1</v>
      </c>
      <c r="K14" s="70">
        <v>1</v>
      </c>
      <c r="L14" s="70">
        <v>1</v>
      </c>
      <c r="M14" s="70">
        <v>1</v>
      </c>
      <c r="N14" s="68">
        <v>9</v>
      </c>
    </row>
    <row r="15" spans="1:14" x14ac:dyDescent="0.2">
      <c r="A15" s="7" t="s">
        <v>101</v>
      </c>
      <c r="B15" s="70">
        <v>0</v>
      </c>
      <c r="C15" s="70">
        <v>0</v>
      </c>
      <c r="D15" s="70">
        <v>0</v>
      </c>
      <c r="E15" s="72">
        <v>1</v>
      </c>
      <c r="F15" s="72">
        <v>1</v>
      </c>
      <c r="G15" s="72">
        <v>1</v>
      </c>
      <c r="H15" s="72">
        <v>1</v>
      </c>
      <c r="I15" s="72">
        <v>1</v>
      </c>
      <c r="J15" s="72">
        <v>1</v>
      </c>
      <c r="K15" s="72">
        <v>1</v>
      </c>
      <c r="L15" s="72">
        <v>1</v>
      </c>
      <c r="M15" s="72">
        <v>1</v>
      </c>
      <c r="N15" s="68">
        <v>10</v>
      </c>
    </row>
    <row r="16" spans="1:14" x14ac:dyDescent="0.2">
      <c r="A16" s="7" t="s">
        <v>39</v>
      </c>
      <c r="B16" s="70">
        <v>0</v>
      </c>
      <c r="C16" s="70">
        <v>0</v>
      </c>
      <c r="D16" s="72">
        <v>1</v>
      </c>
      <c r="E16" s="72">
        <v>1</v>
      </c>
      <c r="F16" s="72">
        <v>2</v>
      </c>
      <c r="G16" s="72">
        <v>2</v>
      </c>
      <c r="H16" s="72">
        <v>2</v>
      </c>
      <c r="I16" s="72">
        <v>2</v>
      </c>
      <c r="J16" s="72">
        <v>2</v>
      </c>
      <c r="K16" s="72">
        <v>2</v>
      </c>
      <c r="L16" s="72">
        <v>2</v>
      </c>
      <c r="M16" s="72">
        <v>2</v>
      </c>
      <c r="N16" s="68">
        <v>10</v>
      </c>
    </row>
    <row r="17" spans="1:14" x14ac:dyDescent="0.2">
      <c r="A17" s="7" t="s">
        <v>153</v>
      </c>
      <c r="B17" s="70">
        <v>0</v>
      </c>
      <c r="C17" s="70">
        <v>0</v>
      </c>
      <c r="D17" s="70">
        <v>0</v>
      </c>
      <c r="E17" s="72">
        <v>0</v>
      </c>
      <c r="F17" s="72">
        <v>2</v>
      </c>
      <c r="G17" s="72">
        <v>2</v>
      </c>
      <c r="H17" s="72">
        <v>2</v>
      </c>
      <c r="I17" s="72">
        <v>2</v>
      </c>
      <c r="J17" s="72">
        <v>2</v>
      </c>
      <c r="K17" s="72">
        <v>2</v>
      </c>
      <c r="L17" s="72">
        <v>2</v>
      </c>
      <c r="M17" s="72">
        <v>2</v>
      </c>
      <c r="N17" s="68">
        <v>10</v>
      </c>
    </row>
    <row r="18" spans="1:14" x14ac:dyDescent="0.2">
      <c r="A18" s="7" t="s">
        <v>154</v>
      </c>
      <c r="B18" s="70">
        <v>0</v>
      </c>
      <c r="C18" s="70">
        <v>0</v>
      </c>
      <c r="D18" s="70">
        <v>0</v>
      </c>
      <c r="E18" s="72">
        <v>3</v>
      </c>
      <c r="F18" s="72">
        <v>3</v>
      </c>
      <c r="G18" s="72">
        <v>3</v>
      </c>
      <c r="H18" s="72">
        <v>3</v>
      </c>
      <c r="I18" s="72">
        <v>3</v>
      </c>
      <c r="J18" s="72">
        <v>3</v>
      </c>
      <c r="K18" s="72">
        <v>3</v>
      </c>
      <c r="L18" s="72">
        <v>3</v>
      </c>
      <c r="M18" s="72">
        <v>3</v>
      </c>
      <c r="N18" s="68">
        <v>10</v>
      </c>
    </row>
    <row r="19" spans="1:14" x14ac:dyDescent="0.2">
      <c r="A19" s="62"/>
      <c r="B19" s="63"/>
      <c r="C19" s="63"/>
      <c r="D19" s="63"/>
      <c r="E19" s="63"/>
      <c r="F19" s="63"/>
      <c r="G19" s="63"/>
      <c r="H19" s="63"/>
      <c r="I19" s="63"/>
      <c r="J19" s="63"/>
      <c r="K19" s="63"/>
      <c r="L19" s="63"/>
      <c r="M19" s="64"/>
    </row>
    <row r="23" spans="1:14" x14ac:dyDescent="0.2">
      <c r="B23" s="53"/>
      <c r="C23" s="53"/>
      <c r="D23" s="53"/>
      <c r="E23" s="53"/>
      <c r="F23" s="53"/>
      <c r="G23" s="53"/>
      <c r="H23" s="53"/>
      <c r="I23" s="53"/>
      <c r="J23" s="53"/>
      <c r="K23" s="53"/>
      <c r="L23" s="53"/>
      <c r="M23" s="5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BDEED-8A11-4C61-AC8A-14DBB12A82F7}">
  <dimension ref="A1:Z20"/>
  <sheetViews>
    <sheetView workbookViewId="0">
      <pane xSplit="4" ySplit="1" topLeftCell="E10" activePane="bottomRight" state="frozen"/>
      <selection pane="topRight" activeCell="D1" sqref="D1"/>
      <selection pane="bottomLeft" activeCell="A2" sqref="A2"/>
      <selection pane="bottomRight" activeCell="X7" sqref="X7"/>
    </sheetView>
  </sheetViews>
  <sheetFormatPr baseColWidth="10" defaultColWidth="8.83203125" defaultRowHeight="15" x14ac:dyDescent="0.2"/>
  <cols>
    <col min="2" max="2" width="33.33203125" customWidth="1"/>
    <col min="3" max="3" width="15.83203125" customWidth="1"/>
    <col min="4" max="4" width="13.1640625" customWidth="1"/>
    <col min="5" max="5" width="18.33203125" customWidth="1"/>
    <col min="6" max="6" width="15.6640625" customWidth="1"/>
    <col min="7" max="11" width="15.1640625" customWidth="1"/>
    <col min="12" max="12" width="16.6640625" customWidth="1"/>
    <col min="13" max="13" width="12.5" customWidth="1"/>
    <col min="14" max="14" width="13.33203125" customWidth="1"/>
    <col min="15" max="15" width="12" customWidth="1"/>
    <col min="16" max="16" width="12.83203125" customWidth="1"/>
    <col min="17" max="17" width="12.33203125" customWidth="1"/>
    <col min="18" max="18" width="14.33203125" customWidth="1"/>
    <col min="19" max="19" width="5.1640625" customWidth="1"/>
    <col min="20" max="20" width="14.33203125" customWidth="1"/>
    <col min="21" max="21" width="12.5" customWidth="1"/>
    <col min="22" max="22" width="15.33203125" customWidth="1"/>
    <col min="24" max="25" width="12.5" bestFit="1" customWidth="1"/>
  </cols>
  <sheetData>
    <row r="1" spans="1:26" ht="68" x14ac:dyDescent="0.2">
      <c r="A1" s="38" t="s">
        <v>49</v>
      </c>
      <c r="B1" s="38" t="s">
        <v>29</v>
      </c>
      <c r="C1" s="38" t="s">
        <v>81</v>
      </c>
      <c r="D1" s="38" t="s">
        <v>129</v>
      </c>
      <c r="E1" s="38" t="s">
        <v>74</v>
      </c>
      <c r="F1" s="38" t="s">
        <v>75</v>
      </c>
      <c r="G1" s="38" t="s">
        <v>76</v>
      </c>
      <c r="H1" s="38" t="s">
        <v>77</v>
      </c>
      <c r="I1" s="38" t="s">
        <v>3</v>
      </c>
      <c r="J1" s="38" t="s">
        <v>4</v>
      </c>
      <c r="K1" s="92" t="s">
        <v>5</v>
      </c>
      <c r="L1" s="38" t="s">
        <v>79</v>
      </c>
      <c r="M1" s="38" t="s">
        <v>78</v>
      </c>
      <c r="N1" s="38" t="s">
        <v>80</v>
      </c>
      <c r="O1" s="38" t="s">
        <v>26</v>
      </c>
      <c r="P1" s="38" t="s">
        <v>7</v>
      </c>
      <c r="Q1" s="38" t="s">
        <v>8</v>
      </c>
      <c r="R1" s="38" t="s">
        <v>124</v>
      </c>
      <c r="S1" s="38"/>
      <c r="T1" s="38" t="s">
        <v>125</v>
      </c>
      <c r="U1" s="38" t="s">
        <v>126</v>
      </c>
      <c r="V1" s="38" t="s">
        <v>127</v>
      </c>
      <c r="Z1" s="54" t="s">
        <v>102</v>
      </c>
    </row>
    <row r="2" spans="1:26" ht="17" x14ac:dyDescent="0.2">
      <c r="A2" s="14">
        <v>1</v>
      </c>
      <c r="B2" s="40" t="s">
        <v>13</v>
      </c>
      <c r="C2" s="40">
        <v>1</v>
      </c>
      <c r="D2" s="14">
        <v>1</v>
      </c>
      <c r="E2" s="39">
        <f>'Annual Employer Cost per Grade'!F2*D2</f>
        <v>57120000</v>
      </c>
      <c r="F2" s="39">
        <f>'Annual Employer Cost per Grade'!G2*'Annual Cost Summary'!D2</f>
        <v>3998400</v>
      </c>
      <c r="G2" s="39">
        <f>'Annual Employer Cost per Grade'!H2*'Annual Cost Summary'!D2</f>
        <v>3998400</v>
      </c>
      <c r="H2" s="39">
        <f>'Annual Employer Cost per Grade'!I2*'Annual Cost Summary'!D2</f>
        <v>0</v>
      </c>
      <c r="I2" s="39">
        <f>'Annual Employer Cost per Grade'!J2*'Annual Cost Summary'!D2</f>
        <v>200000</v>
      </c>
      <c r="J2" s="39">
        <f>'Annual Employer Cost per Grade'!K2*'Annual Cost Summary'!D2</f>
        <v>300000</v>
      </c>
      <c r="K2" s="39">
        <f>'Annual Employer Cost per Grade'!L2*'Annual Cost Summary'!D2</f>
        <v>0</v>
      </c>
      <c r="L2" s="39">
        <f>'Annual Employer Cost per Grade'!M2*'Annual Cost Summary'!D2</f>
        <v>312000</v>
      </c>
      <c r="M2" s="39">
        <f>'Annual Employer Cost per Grade'!N2*'Annual Cost Summary'!D2</f>
        <v>954720</v>
      </c>
      <c r="N2" s="39">
        <f>'Annual Employer Cost per Grade'!O2*'Annual Cost Summary'!D2</f>
        <v>5140800</v>
      </c>
      <c r="O2" s="39">
        <f>'Annual Employer Cost per Grade'!P2*'Annual Cost Summary'!D2</f>
        <v>925344</v>
      </c>
      <c r="P2" s="39">
        <f>'Annual Employer Cost per Grade'!Q2*'Annual Cost Summary'!D2</f>
        <v>651168</v>
      </c>
      <c r="Q2" s="39">
        <f>'Annual Employer Cost per Grade'!R2*'Annual Cost Summary'!D2</f>
        <v>651168</v>
      </c>
      <c r="R2" s="39">
        <f>SUM(E2:Q2)</f>
        <v>74252000</v>
      </c>
      <c r="S2" s="39"/>
      <c r="T2" s="39">
        <f>R2/12</f>
        <v>6187666.666666667</v>
      </c>
      <c r="U2" s="39">
        <f>VLOOKUP(B2,'Headcount Phasing'!$A$3:$N$18,14,FALSE)</f>
        <v>10</v>
      </c>
      <c r="V2" s="39">
        <f>U2*T2</f>
        <v>61876666.666666672</v>
      </c>
      <c r="Z2" t="s">
        <v>103</v>
      </c>
    </row>
    <row r="3" spans="1:26" ht="17" x14ac:dyDescent="0.2">
      <c r="A3" s="14">
        <f>A2+1</f>
        <v>2</v>
      </c>
      <c r="B3" s="41" t="s">
        <v>32</v>
      </c>
      <c r="C3" s="41">
        <v>1</v>
      </c>
      <c r="D3" s="14">
        <v>1</v>
      </c>
      <c r="E3" s="39">
        <f>'Annual Employer Cost per Grade'!F3*D3</f>
        <v>32520000</v>
      </c>
      <c r="F3" s="39">
        <f>'Annual Employer Cost per Grade'!G3*'Annual Cost Summary'!D3</f>
        <v>2276400</v>
      </c>
      <c r="G3" s="39">
        <f>'Annual Employer Cost per Grade'!H3*'Annual Cost Summary'!D3</f>
        <v>2276400</v>
      </c>
      <c r="H3" s="39">
        <f>'Annual Employer Cost per Grade'!I3*'Annual Cost Summary'!D3</f>
        <v>0</v>
      </c>
      <c r="I3" s="39">
        <f>'Annual Employer Cost per Grade'!J3*'Annual Cost Summary'!D3</f>
        <v>200000</v>
      </c>
      <c r="J3" s="39">
        <f>'Annual Employer Cost per Grade'!K3*'Annual Cost Summary'!D3</f>
        <v>300000</v>
      </c>
      <c r="K3" s="39">
        <f>'Annual Employer Cost per Grade'!L3*'Annual Cost Summary'!D3</f>
        <v>0</v>
      </c>
      <c r="L3" s="39">
        <f>'Annual Employer Cost per Grade'!M3*'Annual Cost Summary'!D3</f>
        <v>312000</v>
      </c>
      <c r="M3" s="39">
        <f>'Annual Employer Cost per Grade'!N3*'Annual Cost Summary'!D3</f>
        <v>585975</v>
      </c>
      <c r="N3" s="39">
        <f>'Annual Employer Cost per Grade'!O3*'Annual Cost Summary'!D3</f>
        <v>2926800</v>
      </c>
      <c r="O3" s="39">
        <f>'Annual Employer Cost per Grade'!P3*'Annual Cost Summary'!D3</f>
        <v>526824</v>
      </c>
      <c r="P3" s="39">
        <f>'Annual Employer Cost per Grade'!Q3*'Annual Cost Summary'!D3</f>
        <v>370728</v>
      </c>
      <c r="Q3" s="39">
        <f>'Annual Employer Cost per Grade'!R3*'Annual Cost Summary'!D3</f>
        <v>370728</v>
      </c>
      <c r="R3" s="39">
        <f t="shared" ref="R3:R16" si="0">SUM(E3:Q3)</f>
        <v>42665855</v>
      </c>
      <c r="S3" s="39"/>
      <c r="T3" s="39">
        <f t="shared" ref="T3:T16" si="1">R3/12</f>
        <v>3555487.9166666665</v>
      </c>
      <c r="U3" s="39">
        <f>VLOOKUP(B3,'Headcount Phasing'!$A$3:$N$18,14,FALSE)</f>
        <v>9</v>
      </c>
      <c r="V3" s="39">
        <f>U3*T3</f>
        <v>31999391.25</v>
      </c>
      <c r="Z3" t="s">
        <v>104</v>
      </c>
    </row>
    <row r="4" spans="1:26" ht="17" x14ac:dyDescent="0.2">
      <c r="A4" s="14">
        <f t="shared" ref="A4:A16" si="2">A3+1</f>
        <v>3</v>
      </c>
      <c r="B4" s="41" t="s">
        <v>33</v>
      </c>
      <c r="C4" s="41">
        <v>1</v>
      </c>
      <c r="D4" s="14">
        <v>1</v>
      </c>
      <c r="E4" s="39">
        <f>'Annual Employer Cost per Grade'!F4*D4</f>
        <v>6660000</v>
      </c>
      <c r="F4" s="39">
        <f>'Annual Employer Cost per Grade'!G4*'Annual Cost Summary'!D4</f>
        <v>466200</v>
      </c>
      <c r="G4" s="39">
        <f>'Annual Employer Cost per Grade'!H4*'Annual Cost Summary'!D4</f>
        <v>466200</v>
      </c>
      <c r="H4" s="39">
        <f>'Annual Employer Cost per Grade'!I4*'Annual Cost Summary'!D4</f>
        <v>0</v>
      </c>
      <c r="I4" s="39">
        <f>'Annual Employer Cost per Grade'!J4*'Annual Cost Summary'!D4</f>
        <v>150000</v>
      </c>
      <c r="J4" s="39">
        <f>'Annual Employer Cost per Grade'!K4*'Annual Cost Summary'!D4</f>
        <v>180000</v>
      </c>
      <c r="K4" s="39">
        <f>'Annual Employer Cost per Grade'!L4*'Annual Cost Summary'!D4</f>
        <v>0</v>
      </c>
      <c r="L4" s="39">
        <f>'Annual Employer Cost per Grade'!M4*'Annual Cost Summary'!D4</f>
        <v>312000</v>
      </c>
      <c r="M4" s="39">
        <f>'Annual Employer Cost per Grade'!N4*'Annual Cost Summary'!D4</f>
        <v>254826</v>
      </c>
      <c r="N4" s="39">
        <f>'Annual Employer Cost per Grade'!O4*'Annual Cost Summary'!D4</f>
        <v>599400</v>
      </c>
      <c r="O4" s="39">
        <f>'Annual Employer Cost per Grade'!P4*'Annual Cost Summary'!D4</f>
        <v>107892</v>
      </c>
      <c r="P4" s="39">
        <f>'Annual Employer Cost per Grade'!Q4*'Annual Cost Summary'!D4</f>
        <v>75924</v>
      </c>
      <c r="Q4" s="39">
        <f>'Annual Employer Cost per Grade'!R4*'Annual Cost Summary'!D4</f>
        <v>75924</v>
      </c>
      <c r="R4" s="39">
        <f t="shared" si="0"/>
        <v>9348366</v>
      </c>
      <c r="S4" s="39"/>
      <c r="T4" s="39">
        <f t="shared" si="1"/>
        <v>779030.5</v>
      </c>
      <c r="U4" s="39">
        <f>VLOOKUP(B4,'Headcount Phasing'!$A$3:$N$18,14,FALSE)</f>
        <v>9</v>
      </c>
      <c r="V4" s="39">
        <f>U4*T4</f>
        <v>7011274.5</v>
      </c>
      <c r="Z4" t="s">
        <v>107</v>
      </c>
    </row>
    <row r="5" spans="1:26" ht="17" x14ac:dyDescent="0.2">
      <c r="A5" s="14">
        <f t="shared" si="2"/>
        <v>4</v>
      </c>
      <c r="B5" s="41" t="s">
        <v>34</v>
      </c>
      <c r="C5" s="41">
        <v>1</v>
      </c>
      <c r="D5" s="14">
        <v>1</v>
      </c>
      <c r="E5" s="39">
        <f>'Annual Employer Cost per Grade'!F5*D5</f>
        <v>3780000</v>
      </c>
      <c r="F5" s="39">
        <f>'Annual Employer Cost per Grade'!G5*'Annual Cost Summary'!D5</f>
        <v>264600</v>
      </c>
      <c r="G5" s="39">
        <f>'Annual Employer Cost per Grade'!H5*'Annual Cost Summary'!D5</f>
        <v>264600</v>
      </c>
      <c r="H5" s="39">
        <f>'Annual Employer Cost per Grade'!I5*'Annual Cost Summary'!D5</f>
        <v>0</v>
      </c>
      <c r="I5" s="39">
        <f>'Annual Employer Cost per Grade'!J5*'Annual Cost Summary'!D5</f>
        <v>150000</v>
      </c>
      <c r="J5" s="39">
        <f>'Annual Employer Cost per Grade'!K5*'Annual Cost Summary'!D5</f>
        <v>180000</v>
      </c>
      <c r="K5" s="39">
        <f>'Annual Employer Cost per Grade'!L5*'Annual Cost Summary'!D5</f>
        <v>0</v>
      </c>
      <c r="L5" s="39">
        <f>'Annual Employer Cost per Grade'!M5*'Annual Cost Summary'!D5</f>
        <v>312000</v>
      </c>
      <c r="M5" s="39">
        <f>'Annual Employer Cost per Grade'!N5*'Annual Cost Summary'!D5</f>
        <v>254826</v>
      </c>
      <c r="N5" s="39">
        <f>'Annual Employer Cost per Grade'!O5*'Annual Cost Summary'!D5</f>
        <v>340200</v>
      </c>
      <c r="O5" s="39">
        <f>'Annual Employer Cost per Grade'!P5*'Annual Cost Summary'!D5</f>
        <v>61236</v>
      </c>
      <c r="P5" s="39">
        <f>'Annual Employer Cost per Grade'!Q5*'Annual Cost Summary'!D5</f>
        <v>43092</v>
      </c>
      <c r="Q5" s="39">
        <f>'Annual Employer Cost per Grade'!R5*'Annual Cost Summary'!D5</f>
        <v>43092</v>
      </c>
      <c r="R5" s="39">
        <f t="shared" si="0"/>
        <v>5693646</v>
      </c>
      <c r="S5" s="39"/>
      <c r="T5" s="39">
        <f t="shared" si="1"/>
        <v>474470.5</v>
      </c>
      <c r="U5" s="39">
        <f>VLOOKUP(B5,'Headcount Phasing'!$A$3:$N$18,14,FALSE)</f>
        <v>9</v>
      </c>
      <c r="V5" s="39">
        <f>U5*T5</f>
        <v>4270234.5</v>
      </c>
      <c r="Z5" t="s">
        <v>105</v>
      </c>
    </row>
    <row r="6" spans="1:26" ht="17" x14ac:dyDescent="0.2">
      <c r="A6" s="14">
        <f t="shared" si="2"/>
        <v>5</v>
      </c>
      <c r="B6" s="41" t="s">
        <v>35</v>
      </c>
      <c r="C6" s="41">
        <v>1</v>
      </c>
      <c r="D6" s="14">
        <v>1</v>
      </c>
      <c r="E6" s="39">
        <f>'Annual Employer Cost per Grade'!F6*D6</f>
        <v>3780000</v>
      </c>
      <c r="F6" s="39">
        <f>'Annual Employer Cost per Grade'!G6*'Annual Cost Summary'!D6</f>
        <v>264600</v>
      </c>
      <c r="G6" s="39">
        <f>'Annual Employer Cost per Grade'!H6*'Annual Cost Summary'!D6</f>
        <v>264600</v>
      </c>
      <c r="H6" s="39">
        <f>'Annual Employer Cost per Grade'!I6*'Annual Cost Summary'!D6</f>
        <v>0</v>
      </c>
      <c r="I6" s="39">
        <f>'Annual Employer Cost per Grade'!J6*'Annual Cost Summary'!D6</f>
        <v>150000</v>
      </c>
      <c r="J6" s="39">
        <f>'Annual Employer Cost per Grade'!K6*'Annual Cost Summary'!D6</f>
        <v>90000</v>
      </c>
      <c r="K6" s="39">
        <f>'Annual Employer Cost per Grade'!L6*'Annual Cost Summary'!D6</f>
        <v>0</v>
      </c>
      <c r="L6" s="39">
        <f>'Annual Employer Cost per Grade'!M6*'Annual Cost Summary'!D6</f>
        <v>312000</v>
      </c>
      <c r="M6" s="39">
        <f>'Annual Employer Cost per Grade'!N6*'Annual Cost Summary'!D6</f>
        <v>147790.5</v>
      </c>
      <c r="N6" s="39">
        <f>'Annual Employer Cost per Grade'!O6*'Annual Cost Summary'!D6</f>
        <v>340200</v>
      </c>
      <c r="O6" s="39">
        <f>'Annual Employer Cost per Grade'!P6*'Annual Cost Summary'!D6</f>
        <v>61236</v>
      </c>
      <c r="P6" s="39">
        <f>'Annual Employer Cost per Grade'!Q6*'Annual Cost Summary'!D6</f>
        <v>43092</v>
      </c>
      <c r="Q6" s="39">
        <f>'Annual Employer Cost per Grade'!R6*'Annual Cost Summary'!D6</f>
        <v>43092</v>
      </c>
      <c r="R6" s="39">
        <f t="shared" si="0"/>
        <v>5496610.5</v>
      </c>
      <c r="S6" s="39"/>
      <c r="T6" s="39">
        <f t="shared" si="1"/>
        <v>458050.875</v>
      </c>
      <c r="U6" s="39">
        <f>VLOOKUP(B6,'Headcount Phasing'!$A$3:$N$18,14,FALSE)</f>
        <v>9</v>
      </c>
      <c r="V6" s="39">
        <f>U6*T6</f>
        <v>4122457.875</v>
      </c>
      <c r="Z6" t="s">
        <v>108</v>
      </c>
    </row>
    <row r="7" spans="1:26" ht="17" x14ac:dyDescent="0.2">
      <c r="A7" s="14">
        <f t="shared" si="2"/>
        <v>6</v>
      </c>
      <c r="B7" s="41" t="s">
        <v>50</v>
      </c>
      <c r="C7" s="41">
        <v>2</v>
      </c>
      <c r="D7" s="57">
        <v>1</v>
      </c>
      <c r="E7" s="39">
        <f>'Annual Employer Cost per Grade'!F7*D7</f>
        <v>3780000</v>
      </c>
      <c r="F7" s="39">
        <f>'Annual Employer Cost per Grade'!G7*'Annual Cost Summary'!D7</f>
        <v>264600</v>
      </c>
      <c r="G7" s="39">
        <f>'Annual Employer Cost per Grade'!H7*'Annual Cost Summary'!D7</f>
        <v>264600</v>
      </c>
      <c r="H7" s="39">
        <f>'Annual Employer Cost per Grade'!I7*'Annual Cost Summary'!D7</f>
        <v>0</v>
      </c>
      <c r="I7" s="39">
        <f>'Annual Employer Cost per Grade'!J7*'Annual Cost Summary'!D7</f>
        <v>150000</v>
      </c>
      <c r="J7" s="39">
        <f>'Annual Employer Cost per Grade'!K7*'Annual Cost Summary'!D7</f>
        <v>90000</v>
      </c>
      <c r="K7" s="39">
        <f>'Annual Employer Cost per Grade'!L7*'Annual Cost Summary'!D7</f>
        <v>0</v>
      </c>
      <c r="L7" s="39">
        <f>'Annual Employer Cost per Grade'!M7*'Annual Cost Summary'!D7</f>
        <v>312000</v>
      </c>
      <c r="M7" s="39">
        <f>'Annual Employer Cost per Grade'!N7*'Annual Cost Summary'!D7</f>
        <v>147790.5</v>
      </c>
      <c r="N7" s="39">
        <f>'Annual Employer Cost per Grade'!O7*'Annual Cost Summary'!D7</f>
        <v>340200</v>
      </c>
      <c r="O7" s="39">
        <f>'Annual Employer Cost per Grade'!P7*'Annual Cost Summary'!D7</f>
        <v>61236</v>
      </c>
      <c r="P7" s="39">
        <f>'Annual Employer Cost per Grade'!Q7*'Annual Cost Summary'!D7</f>
        <v>43092</v>
      </c>
      <c r="Q7" s="39">
        <f>'Annual Employer Cost per Grade'!R7*'Annual Cost Summary'!D7</f>
        <v>43092</v>
      </c>
      <c r="R7" s="39">
        <f t="shared" si="0"/>
        <v>5496610.5</v>
      </c>
      <c r="S7" s="39"/>
      <c r="T7" s="94">
        <f t="shared" si="1"/>
        <v>458050.875</v>
      </c>
      <c r="U7" s="94"/>
      <c r="V7" s="94">
        <f>((T7*7))+((T7*9))</f>
        <v>7328814</v>
      </c>
      <c r="X7" s="5"/>
      <c r="Y7" s="5">
        <f>T7*7</f>
        <v>3206356.125</v>
      </c>
      <c r="Z7" t="s">
        <v>105</v>
      </c>
    </row>
    <row r="8" spans="1:26" ht="17" x14ac:dyDescent="0.2">
      <c r="A8" s="14">
        <f t="shared" si="2"/>
        <v>7</v>
      </c>
      <c r="B8" s="41" t="s">
        <v>36</v>
      </c>
      <c r="C8" s="41">
        <v>1</v>
      </c>
      <c r="D8" s="14">
        <v>1</v>
      </c>
      <c r="E8" s="39">
        <f>'Annual Employer Cost per Grade'!F9*D8</f>
        <v>3780000</v>
      </c>
      <c r="F8" s="39">
        <f>'Annual Employer Cost per Grade'!G9*'Annual Cost Summary'!D8</f>
        <v>264600</v>
      </c>
      <c r="G8" s="39">
        <f>'Annual Employer Cost per Grade'!H9*'Annual Cost Summary'!D8</f>
        <v>264600</v>
      </c>
      <c r="H8" s="39">
        <f>'Annual Employer Cost per Grade'!I9*'Annual Cost Summary'!D8</f>
        <v>0</v>
      </c>
      <c r="I8" s="39">
        <f>'Annual Employer Cost per Grade'!J9*'Annual Cost Summary'!D8</f>
        <v>150000</v>
      </c>
      <c r="J8" s="39">
        <f>'Annual Employer Cost per Grade'!K9*'Annual Cost Summary'!D8</f>
        <v>90000</v>
      </c>
      <c r="K8" s="39">
        <f>'Annual Employer Cost per Grade'!L9*'Annual Cost Summary'!D8</f>
        <v>0</v>
      </c>
      <c r="L8" s="39">
        <f>'Annual Employer Cost per Grade'!M9*'Annual Cost Summary'!D8</f>
        <v>312000</v>
      </c>
      <c r="M8" s="39">
        <f>'Annual Employer Cost per Grade'!N9*'Annual Cost Summary'!D8</f>
        <v>147790.5</v>
      </c>
      <c r="N8" s="39">
        <f>'Annual Employer Cost per Grade'!O9*'Annual Cost Summary'!D8</f>
        <v>340200</v>
      </c>
      <c r="O8" s="39">
        <f>'Annual Employer Cost per Grade'!P9*'Annual Cost Summary'!D8</f>
        <v>61236</v>
      </c>
      <c r="P8" s="39">
        <f>'Annual Employer Cost per Grade'!Q9*'Annual Cost Summary'!D8</f>
        <v>43092</v>
      </c>
      <c r="Q8" s="39">
        <f>'Annual Employer Cost per Grade'!R9*'Annual Cost Summary'!D8</f>
        <v>43092</v>
      </c>
      <c r="R8" s="39">
        <f t="shared" si="0"/>
        <v>5496610.5</v>
      </c>
      <c r="S8" s="39"/>
      <c r="T8" s="39">
        <f t="shared" si="1"/>
        <v>458050.875</v>
      </c>
      <c r="U8" s="39">
        <f>VLOOKUP(B8,'Headcount Phasing'!$A$3:$N$18,14,FALSE)</f>
        <v>9</v>
      </c>
      <c r="V8" s="39">
        <f>U8*T8</f>
        <v>4122457.875</v>
      </c>
      <c r="Z8" t="s">
        <v>108</v>
      </c>
    </row>
    <row r="9" spans="1:26" ht="17" x14ac:dyDescent="0.2">
      <c r="A9" s="14">
        <f t="shared" si="2"/>
        <v>8</v>
      </c>
      <c r="B9" s="41" t="s">
        <v>37</v>
      </c>
      <c r="C9" s="41">
        <v>1</v>
      </c>
      <c r="D9" s="14">
        <v>1</v>
      </c>
      <c r="E9" s="39">
        <f>'Annual Employer Cost per Grade'!F10*D9</f>
        <v>3780000</v>
      </c>
      <c r="F9" s="39">
        <f>'Annual Employer Cost per Grade'!G10*'Annual Cost Summary'!D9</f>
        <v>264600</v>
      </c>
      <c r="G9" s="39">
        <f>'Annual Employer Cost per Grade'!H10*'Annual Cost Summary'!D9</f>
        <v>264600</v>
      </c>
      <c r="H9" s="39">
        <f>'Annual Employer Cost per Grade'!I10*'Annual Cost Summary'!D9</f>
        <v>0</v>
      </c>
      <c r="I9" s="39">
        <f>'Annual Employer Cost per Grade'!J10*'Annual Cost Summary'!D9</f>
        <v>150000</v>
      </c>
      <c r="J9" s="39">
        <f>'Annual Employer Cost per Grade'!K10*'Annual Cost Summary'!D9</f>
        <v>90000</v>
      </c>
      <c r="K9" s="39">
        <f>'Annual Employer Cost per Grade'!L10*'Annual Cost Summary'!D9</f>
        <v>0</v>
      </c>
      <c r="L9" s="39">
        <f>'Annual Employer Cost per Grade'!M10*'Annual Cost Summary'!D9</f>
        <v>312000</v>
      </c>
      <c r="M9" s="39">
        <f>'Annual Employer Cost per Grade'!N10*'Annual Cost Summary'!D9</f>
        <v>147790.5</v>
      </c>
      <c r="N9" s="39">
        <f>'Annual Employer Cost per Grade'!O10*'Annual Cost Summary'!D9</f>
        <v>340200</v>
      </c>
      <c r="O9" s="39">
        <f>'Annual Employer Cost per Grade'!P10*'Annual Cost Summary'!D9</f>
        <v>61236</v>
      </c>
      <c r="P9" s="39">
        <f>'Annual Employer Cost per Grade'!Q10*'Annual Cost Summary'!D9</f>
        <v>43092</v>
      </c>
      <c r="Q9" s="39">
        <f>'Annual Employer Cost per Grade'!R10*'Annual Cost Summary'!D9</f>
        <v>43092</v>
      </c>
      <c r="R9" s="39">
        <f t="shared" si="0"/>
        <v>5496610.5</v>
      </c>
      <c r="S9" s="39"/>
      <c r="T9" s="39">
        <f t="shared" si="1"/>
        <v>458050.875</v>
      </c>
      <c r="U9" s="39">
        <f>VLOOKUP(B9,'Headcount Phasing'!$A$3:$N$18,14,FALSE)</f>
        <v>9</v>
      </c>
      <c r="V9" s="39">
        <f>U9*T9</f>
        <v>4122457.875</v>
      </c>
      <c r="Z9" t="s">
        <v>108</v>
      </c>
    </row>
    <row r="10" spans="1:26" ht="17" x14ac:dyDescent="0.2">
      <c r="A10" s="14">
        <f t="shared" si="2"/>
        <v>9</v>
      </c>
      <c r="B10" s="41" t="s">
        <v>51</v>
      </c>
      <c r="C10" s="41">
        <v>1</v>
      </c>
      <c r="D10" s="57">
        <v>1</v>
      </c>
      <c r="E10" s="39">
        <f>'Annual Employer Cost per Grade'!F11*D10</f>
        <v>3780000</v>
      </c>
      <c r="F10" s="39">
        <f>'Annual Employer Cost per Grade'!G11*'Annual Cost Summary'!D10</f>
        <v>264600</v>
      </c>
      <c r="G10" s="39">
        <f>'Annual Employer Cost per Grade'!H11*'Annual Cost Summary'!D10</f>
        <v>264600</v>
      </c>
      <c r="H10" s="39">
        <f>'Annual Employer Cost per Grade'!I11*'Annual Cost Summary'!D10</f>
        <v>0</v>
      </c>
      <c r="I10" s="39">
        <f>'Annual Employer Cost per Grade'!J11*'Annual Cost Summary'!D10</f>
        <v>150000</v>
      </c>
      <c r="J10" s="39">
        <f>'Annual Employer Cost per Grade'!K11*'Annual Cost Summary'!D10</f>
        <v>90000</v>
      </c>
      <c r="K10" s="39">
        <f>'Annual Employer Cost per Grade'!L11*'Annual Cost Summary'!D10</f>
        <v>0</v>
      </c>
      <c r="L10" s="39">
        <f>'Annual Employer Cost per Grade'!M11*'Annual Cost Summary'!D10</f>
        <v>312000</v>
      </c>
      <c r="M10" s="39">
        <f>'Annual Employer Cost per Grade'!N11*'Annual Cost Summary'!D10</f>
        <v>147790.5</v>
      </c>
      <c r="N10" s="39">
        <f>'Annual Employer Cost per Grade'!O11*'Annual Cost Summary'!D10</f>
        <v>340200</v>
      </c>
      <c r="O10" s="39">
        <f>'Annual Employer Cost per Grade'!P11*'Annual Cost Summary'!D10</f>
        <v>61236</v>
      </c>
      <c r="P10" s="39">
        <f>'Annual Employer Cost per Grade'!Q11*'Annual Cost Summary'!D10</f>
        <v>43092</v>
      </c>
      <c r="Q10" s="39">
        <f>'Annual Employer Cost per Grade'!R11*'Annual Cost Summary'!D10</f>
        <v>43092</v>
      </c>
      <c r="R10" s="39">
        <f t="shared" si="0"/>
        <v>5496610.5</v>
      </c>
      <c r="S10" s="39"/>
      <c r="T10" s="39">
        <f t="shared" si="1"/>
        <v>458050.875</v>
      </c>
      <c r="U10" s="39">
        <f>VLOOKUP(B10,'Headcount Phasing'!$A$3:$N$18,14,FALSE)</f>
        <v>9</v>
      </c>
      <c r="V10" s="39">
        <f>U10*T10</f>
        <v>4122457.875</v>
      </c>
      <c r="Z10" t="s">
        <v>105</v>
      </c>
    </row>
    <row r="11" spans="1:26" ht="17" x14ac:dyDescent="0.2">
      <c r="A11" s="14">
        <f t="shared" si="2"/>
        <v>10</v>
      </c>
      <c r="B11" s="41" t="s">
        <v>87</v>
      </c>
      <c r="C11" s="41">
        <v>1</v>
      </c>
      <c r="D11" s="14">
        <v>1</v>
      </c>
      <c r="E11" s="39">
        <f>'Annual Employer Cost per Grade'!F12*D11</f>
        <v>3780000</v>
      </c>
      <c r="F11" s="39">
        <f>'Annual Employer Cost per Grade'!G12*'Annual Cost Summary'!D11</f>
        <v>264600</v>
      </c>
      <c r="G11" s="39">
        <f>'Annual Employer Cost per Grade'!H12*'Annual Cost Summary'!D11</f>
        <v>264600</v>
      </c>
      <c r="H11" s="39">
        <f>'Annual Employer Cost per Grade'!I12*'Annual Cost Summary'!D11</f>
        <v>0</v>
      </c>
      <c r="I11" s="39">
        <f>'Annual Employer Cost per Grade'!J12*'Annual Cost Summary'!D11</f>
        <v>150000</v>
      </c>
      <c r="J11" s="39">
        <f>'Annual Employer Cost per Grade'!K12*'Annual Cost Summary'!D11</f>
        <v>180000</v>
      </c>
      <c r="K11" s="39">
        <f>'Annual Employer Cost per Grade'!L12*'Annual Cost Summary'!D11</f>
        <v>0</v>
      </c>
      <c r="L11" s="39">
        <f>'Annual Employer Cost per Grade'!M12*'Annual Cost Summary'!D11</f>
        <v>312000</v>
      </c>
      <c r="M11" s="39">
        <f>'Annual Employer Cost per Grade'!N12*'Annual Cost Summary'!D11</f>
        <v>147790.5</v>
      </c>
      <c r="N11" s="39">
        <f>'Annual Employer Cost per Grade'!O12*'Annual Cost Summary'!D11</f>
        <v>340200</v>
      </c>
      <c r="O11" s="39">
        <f>'Annual Employer Cost per Grade'!P12*'Annual Cost Summary'!D11</f>
        <v>61236</v>
      </c>
      <c r="P11" s="39">
        <f>'Annual Employer Cost per Grade'!Q12*'Annual Cost Summary'!D11</f>
        <v>43092</v>
      </c>
      <c r="Q11" s="39">
        <f>'Annual Employer Cost per Grade'!R12*'Annual Cost Summary'!D11</f>
        <v>43092</v>
      </c>
      <c r="R11" s="39">
        <f t="shared" si="0"/>
        <v>5586610.5</v>
      </c>
      <c r="S11" s="39"/>
      <c r="T11" s="39">
        <f t="shared" si="1"/>
        <v>465550.875</v>
      </c>
      <c r="U11" s="39">
        <f>VLOOKUP(B11,'Headcount Phasing'!$A$3:$N$18,14,FALSE)</f>
        <v>9</v>
      </c>
      <c r="V11" s="39">
        <f>U11*T11</f>
        <v>4189957.875</v>
      </c>
      <c r="Z11" t="s">
        <v>105</v>
      </c>
    </row>
    <row r="12" spans="1:26" ht="19" customHeight="1" x14ac:dyDescent="0.2">
      <c r="A12" s="14">
        <f t="shared" si="2"/>
        <v>11</v>
      </c>
      <c r="B12" s="41" t="s">
        <v>38</v>
      </c>
      <c r="C12" s="41">
        <v>1</v>
      </c>
      <c r="D12" s="14">
        <v>1</v>
      </c>
      <c r="E12" s="39">
        <f>'Annual Employer Cost per Grade'!F13*D12</f>
        <v>3780000</v>
      </c>
      <c r="F12" s="39">
        <f>'Annual Employer Cost per Grade'!G13*'Annual Cost Summary'!D12</f>
        <v>264600</v>
      </c>
      <c r="G12" s="39">
        <f>'Annual Employer Cost per Grade'!H13*'Annual Cost Summary'!D12</f>
        <v>264600</v>
      </c>
      <c r="H12" s="39">
        <f>'Annual Employer Cost per Grade'!I13*'Annual Cost Summary'!D12</f>
        <v>0</v>
      </c>
      <c r="I12" s="39">
        <f>'Annual Employer Cost per Grade'!J13*'Annual Cost Summary'!D12</f>
        <v>150000</v>
      </c>
      <c r="J12" s="39">
        <f>'Annual Employer Cost per Grade'!K13*'Annual Cost Summary'!D12</f>
        <v>180000</v>
      </c>
      <c r="K12" s="39">
        <f>'Annual Employer Cost per Grade'!L13*'Annual Cost Summary'!D12</f>
        <v>0</v>
      </c>
      <c r="L12" s="39">
        <f>'Annual Employer Cost per Grade'!M13*'Annual Cost Summary'!D12</f>
        <v>312000</v>
      </c>
      <c r="M12" s="39">
        <f>'Annual Employer Cost per Grade'!N13*'Annual Cost Summary'!D12</f>
        <v>147790.5</v>
      </c>
      <c r="N12" s="39">
        <f>'Annual Employer Cost per Grade'!O13*'Annual Cost Summary'!D12</f>
        <v>340200</v>
      </c>
      <c r="O12" s="39">
        <f>'Annual Employer Cost per Grade'!P13*'Annual Cost Summary'!D12</f>
        <v>61236</v>
      </c>
      <c r="P12" s="39">
        <f>'Annual Employer Cost per Grade'!Q13*'Annual Cost Summary'!D12</f>
        <v>43092</v>
      </c>
      <c r="Q12" s="39">
        <f>'Annual Employer Cost per Grade'!R13*'Annual Cost Summary'!D12</f>
        <v>43092</v>
      </c>
      <c r="R12" s="39">
        <f t="shared" si="0"/>
        <v>5586610.5</v>
      </c>
      <c r="S12" s="39"/>
      <c r="T12" s="39">
        <f t="shared" si="1"/>
        <v>465550.875</v>
      </c>
      <c r="U12" s="39">
        <f>VLOOKUP(B12,'Headcount Phasing'!$A$3:$N$18,14,FALSE)</f>
        <v>9</v>
      </c>
      <c r="V12" s="39">
        <f>U12*T12</f>
        <v>4189957.875</v>
      </c>
      <c r="Z12" t="s">
        <v>105</v>
      </c>
    </row>
    <row r="13" spans="1:26" ht="17" x14ac:dyDescent="0.2">
      <c r="A13" s="14">
        <f t="shared" si="2"/>
        <v>12</v>
      </c>
      <c r="B13" s="41" t="s">
        <v>52</v>
      </c>
      <c r="C13" s="41">
        <v>1</v>
      </c>
      <c r="D13" s="57">
        <v>1</v>
      </c>
      <c r="E13" s="39">
        <f>'Annual Employer Cost per Grade'!F14*D13</f>
        <v>1800000</v>
      </c>
      <c r="F13" s="39">
        <f>'Annual Employer Cost per Grade'!G14*'Annual Cost Summary'!D13</f>
        <v>126000</v>
      </c>
      <c r="G13" s="39">
        <f>'Annual Employer Cost per Grade'!H14*'Annual Cost Summary'!D13</f>
        <v>126000</v>
      </c>
      <c r="H13" s="39">
        <f>'Annual Employer Cost per Grade'!I14*'Annual Cost Summary'!D13</f>
        <v>0</v>
      </c>
      <c r="I13" s="39">
        <f>'Annual Employer Cost per Grade'!J14*'Annual Cost Summary'!D13</f>
        <v>25000</v>
      </c>
      <c r="J13" s="39">
        <f>'Annual Employer Cost per Grade'!K14*'Annual Cost Summary'!D13</f>
        <v>48000</v>
      </c>
      <c r="K13" s="39">
        <f>'Annual Employer Cost per Grade'!L14*'Annual Cost Summary'!D13</f>
        <v>0</v>
      </c>
      <c r="L13" s="39">
        <f>'Annual Employer Cost per Grade'!M14*'Annual Cost Summary'!D13</f>
        <v>312000</v>
      </c>
      <c r="M13" s="39">
        <f>'Annual Employer Cost per Grade'!N14*'Annual Cost Summary'!D13</f>
        <v>104997.75</v>
      </c>
      <c r="N13" s="39">
        <f>'Annual Employer Cost per Grade'!O14*'Annual Cost Summary'!D13</f>
        <v>162000</v>
      </c>
      <c r="O13" s="39">
        <f>'Annual Employer Cost per Grade'!P14*'Annual Cost Summary'!D13</f>
        <v>29160</v>
      </c>
      <c r="P13" s="39">
        <f>'Annual Employer Cost per Grade'!Q14*'Annual Cost Summary'!D13</f>
        <v>20520</v>
      </c>
      <c r="Q13" s="39">
        <f>'Annual Employer Cost per Grade'!R14*'Annual Cost Summary'!D13</f>
        <v>20520</v>
      </c>
      <c r="R13" s="39">
        <f t="shared" si="0"/>
        <v>2774197.75</v>
      </c>
      <c r="S13" s="39"/>
      <c r="T13" s="94">
        <f t="shared" si="1"/>
        <v>231183.14583333334</v>
      </c>
      <c r="U13" s="94"/>
      <c r="V13" s="94">
        <f>((T13*10)+((T13)*(1)))</f>
        <v>2543014.604166667</v>
      </c>
      <c r="Z13" t="s">
        <v>106</v>
      </c>
    </row>
    <row r="14" spans="1:26" ht="17" x14ac:dyDescent="0.2">
      <c r="A14" s="14">
        <f t="shared" si="2"/>
        <v>13</v>
      </c>
      <c r="B14" s="41" t="s">
        <v>39</v>
      </c>
      <c r="C14" s="41">
        <v>1</v>
      </c>
      <c r="D14" s="14">
        <v>1</v>
      </c>
      <c r="E14" s="39">
        <f>'Annual Employer Cost per Grade'!F15*D14</f>
        <v>1800000</v>
      </c>
      <c r="F14" s="39">
        <f>'Annual Employer Cost per Grade'!G15*'Annual Cost Summary'!D14</f>
        <v>126000</v>
      </c>
      <c r="G14" s="39">
        <f>'Annual Employer Cost per Grade'!H15*'Annual Cost Summary'!D14</f>
        <v>126000</v>
      </c>
      <c r="H14" s="39">
        <f>'Annual Employer Cost per Grade'!I15*'Annual Cost Summary'!D14</f>
        <v>0</v>
      </c>
      <c r="I14" s="39">
        <f>'Annual Employer Cost per Grade'!J15*'Annual Cost Summary'!D14</f>
        <v>25000</v>
      </c>
      <c r="J14" s="39">
        <f>'Annual Employer Cost per Grade'!K15*'Annual Cost Summary'!D14</f>
        <v>48000</v>
      </c>
      <c r="K14" s="39">
        <f>'Annual Employer Cost per Grade'!L15*'Annual Cost Summary'!D14</f>
        <v>0</v>
      </c>
      <c r="L14" s="39">
        <f>'Annual Employer Cost per Grade'!M15*'Annual Cost Summary'!D14</f>
        <v>312000</v>
      </c>
      <c r="M14" s="39">
        <f>'Annual Employer Cost per Grade'!N15*'Annual Cost Summary'!D14</f>
        <v>104997.75</v>
      </c>
      <c r="N14" s="39">
        <f>'Annual Employer Cost per Grade'!O15*'Annual Cost Summary'!D14</f>
        <v>162000</v>
      </c>
      <c r="O14" s="39">
        <f>'Annual Employer Cost per Grade'!P15*'Annual Cost Summary'!D14</f>
        <v>29160</v>
      </c>
      <c r="P14" s="39">
        <f>'Annual Employer Cost per Grade'!Q15*'Annual Cost Summary'!D14</f>
        <v>20520</v>
      </c>
      <c r="Q14" s="39">
        <f>'Annual Employer Cost per Grade'!R15*'Annual Cost Summary'!D14</f>
        <v>20520</v>
      </c>
      <c r="R14" s="39">
        <f t="shared" si="0"/>
        <v>2774197.75</v>
      </c>
      <c r="S14" s="39"/>
      <c r="T14" s="39">
        <f t="shared" si="1"/>
        <v>231183.14583333334</v>
      </c>
      <c r="U14" s="39">
        <f>VLOOKUP(B14,'Headcount Phasing'!$A$3:$N$18,14,FALSE)</f>
        <v>10</v>
      </c>
      <c r="V14" s="39">
        <f>((T14)*10)+((T14)*(8))</f>
        <v>4161296.625</v>
      </c>
      <c r="Z14" t="s">
        <v>105</v>
      </c>
    </row>
    <row r="15" spans="1:26" ht="17" x14ac:dyDescent="0.2">
      <c r="A15" s="14">
        <f t="shared" si="2"/>
        <v>14</v>
      </c>
      <c r="B15" s="41" t="s">
        <v>53</v>
      </c>
      <c r="C15" s="41">
        <v>2</v>
      </c>
      <c r="D15" s="14">
        <v>1</v>
      </c>
      <c r="E15" s="39">
        <f>'Annual Employer Cost per Grade'!F16*D15</f>
        <v>660000</v>
      </c>
      <c r="F15" s="39">
        <f>'Annual Employer Cost per Grade'!G16*'Annual Cost Summary'!D15</f>
        <v>46200</v>
      </c>
      <c r="G15" s="39">
        <f>'Annual Employer Cost per Grade'!H16*'Annual Cost Summary'!D15</f>
        <v>46200</v>
      </c>
      <c r="H15" s="39">
        <f>'Annual Employer Cost per Grade'!I16*'Annual Cost Summary'!D15</f>
        <v>0</v>
      </c>
      <c r="I15" s="39">
        <f>'Annual Employer Cost per Grade'!J16*'Annual Cost Summary'!D15</f>
        <v>0</v>
      </c>
      <c r="J15" s="39">
        <f>'Annual Employer Cost per Grade'!K16*'Annual Cost Summary'!D15</f>
        <v>0</v>
      </c>
      <c r="K15" s="39">
        <f>'Annual Employer Cost per Grade'!L16*'Annual Cost Summary'!D15</f>
        <v>0</v>
      </c>
      <c r="L15" s="39">
        <f>'Annual Employer Cost per Grade'!M16*'Annual Cost Summary'!D15</f>
        <v>312000</v>
      </c>
      <c r="M15" s="39">
        <f>'Annual Employer Cost per Grade'!N16*'Annual Cost Summary'!D15</f>
        <v>104997.75</v>
      </c>
      <c r="N15" s="39">
        <f>'Annual Employer Cost per Grade'!O16*'Annual Cost Summary'!D15</f>
        <v>0</v>
      </c>
      <c r="O15" s="39">
        <f>'Annual Employer Cost per Grade'!P16*'Annual Cost Summary'!D15</f>
        <v>10692</v>
      </c>
      <c r="P15" s="39">
        <f>'Annual Employer Cost per Grade'!Q16*'Annual Cost Summary'!D15</f>
        <v>7524</v>
      </c>
      <c r="Q15" s="39">
        <f>'Annual Employer Cost per Grade'!R16*'Annual Cost Summary'!D15</f>
        <v>7524</v>
      </c>
      <c r="R15" s="39">
        <f t="shared" si="0"/>
        <v>1195137.75</v>
      </c>
      <c r="S15" s="39"/>
      <c r="T15" s="39">
        <f t="shared" si="1"/>
        <v>99594.8125</v>
      </c>
      <c r="U15" s="39" t="e">
        <f>VLOOKUP(B15,'Headcount Phasing'!$A$3:$N$18,14,FALSE)</f>
        <v>#N/A</v>
      </c>
      <c r="V15" s="39">
        <f>((T15)*(10))+((T15)*(9))</f>
        <v>1892301.4375</v>
      </c>
      <c r="Z15" t="s">
        <v>105</v>
      </c>
    </row>
    <row r="16" spans="1:26" ht="17" x14ac:dyDescent="0.2">
      <c r="A16" s="14">
        <f t="shared" si="2"/>
        <v>15</v>
      </c>
      <c r="B16" s="41" t="s">
        <v>54</v>
      </c>
      <c r="C16" s="41">
        <v>3</v>
      </c>
      <c r="D16" s="14">
        <v>1</v>
      </c>
      <c r="E16" s="39">
        <f>'Annual Employer Cost per Grade'!F17*D16</f>
        <v>552000</v>
      </c>
      <c r="F16" s="39">
        <f>'Annual Employer Cost per Grade'!G17*'Annual Cost Summary'!D16</f>
        <v>38640</v>
      </c>
      <c r="G16" s="39">
        <f>'Annual Employer Cost per Grade'!H17*'Annual Cost Summary'!D16</f>
        <v>38640</v>
      </c>
      <c r="H16" s="39">
        <f>'Annual Employer Cost per Grade'!I17*'Annual Cost Summary'!D16</f>
        <v>0</v>
      </c>
      <c r="I16" s="39">
        <f>'Annual Employer Cost per Grade'!J17*'Annual Cost Summary'!D16</f>
        <v>0</v>
      </c>
      <c r="J16" s="39">
        <f>'Annual Employer Cost per Grade'!K17*'Annual Cost Summary'!D16</f>
        <v>0</v>
      </c>
      <c r="K16" s="39">
        <f>'Annual Employer Cost per Grade'!L17*'Annual Cost Summary'!D16</f>
        <v>0</v>
      </c>
      <c r="L16" s="39">
        <f>'Annual Employer Cost per Grade'!M17*'Annual Cost Summary'!D16</f>
        <v>312000</v>
      </c>
      <c r="M16" s="39">
        <f>'Annual Employer Cost per Grade'!N17*'Annual Cost Summary'!D16</f>
        <v>0</v>
      </c>
      <c r="N16" s="39">
        <f>'Annual Employer Cost per Grade'!O17*'Annual Cost Summary'!D16</f>
        <v>0</v>
      </c>
      <c r="O16" s="39">
        <f>'Annual Employer Cost per Grade'!P17*'Annual Cost Summary'!D16</f>
        <v>8942.4</v>
      </c>
      <c r="P16" s="39">
        <f>'Annual Employer Cost per Grade'!Q17*'Annual Cost Summary'!D16</f>
        <v>6292.8</v>
      </c>
      <c r="Q16" s="39">
        <f>'Annual Employer Cost per Grade'!R17*'Annual Cost Summary'!D16</f>
        <v>6292.8</v>
      </c>
      <c r="R16" s="39">
        <f t="shared" si="0"/>
        <v>962808.00000000012</v>
      </c>
      <c r="S16" s="39"/>
      <c r="T16" s="94">
        <f t="shared" si="1"/>
        <v>80234.000000000015</v>
      </c>
      <c r="U16" s="94"/>
      <c r="V16" s="94">
        <f>((T16*10))+(((T16)*(18)))</f>
        <v>2246552.0000000005</v>
      </c>
      <c r="Z16" t="s">
        <v>105</v>
      </c>
    </row>
    <row r="17" spans="2:22" ht="17" x14ac:dyDescent="0.2">
      <c r="B17" s="44" t="s">
        <v>73</v>
      </c>
      <c r="C17" s="44"/>
      <c r="D17" s="42">
        <f>SUM(D2:D16)</f>
        <v>15</v>
      </c>
      <c r="E17" s="42">
        <f t="shared" ref="E17:V17" si="3">SUM(E2:E16)</f>
        <v>131352000</v>
      </c>
      <c r="F17" s="42">
        <f t="shared" si="3"/>
        <v>9194640</v>
      </c>
      <c r="G17" s="42">
        <f t="shared" si="3"/>
        <v>9194640</v>
      </c>
      <c r="H17" s="42">
        <f t="shared" si="3"/>
        <v>0</v>
      </c>
      <c r="I17" s="42">
        <f t="shared" si="3"/>
        <v>1800000</v>
      </c>
      <c r="J17" s="42">
        <f t="shared" si="3"/>
        <v>1866000</v>
      </c>
      <c r="K17" s="42">
        <f t="shared" si="3"/>
        <v>0</v>
      </c>
      <c r="L17" s="42">
        <f t="shared" si="3"/>
        <v>4680000</v>
      </c>
      <c r="M17" s="42">
        <f t="shared" si="3"/>
        <v>3399873.75</v>
      </c>
      <c r="N17" s="42">
        <f t="shared" si="3"/>
        <v>11712600</v>
      </c>
      <c r="O17" s="42">
        <f t="shared" si="3"/>
        <v>2127902.4</v>
      </c>
      <c r="P17" s="42">
        <f t="shared" si="3"/>
        <v>1497412.8</v>
      </c>
      <c r="Q17" s="42">
        <f t="shared" si="3"/>
        <v>1497412.8</v>
      </c>
      <c r="R17" s="42">
        <f t="shared" si="3"/>
        <v>178322481.75</v>
      </c>
      <c r="S17" s="42"/>
      <c r="T17" s="42">
        <f t="shared" si="3"/>
        <v>14860206.812500002</v>
      </c>
      <c r="U17" s="42"/>
      <c r="V17" s="42">
        <f t="shared" si="3"/>
        <v>148199292.83333334</v>
      </c>
    </row>
    <row r="19" spans="2:22" x14ac:dyDescent="0.2">
      <c r="R19" s="5"/>
      <c r="S19" s="5"/>
      <c r="T19" s="5"/>
      <c r="U19" s="5"/>
    </row>
    <row r="20" spans="2:22" x14ac:dyDescent="0.2">
      <c r="R20" s="5"/>
      <c r="S20" s="5"/>
      <c r="T20" s="5"/>
      <c r="U20" s="5"/>
    </row>
  </sheetData>
  <autoFilter ref="A1:V17" xr:uid="{726BDEED-8A11-4C61-AC8A-14DBB12A82F7}"/>
  <phoneticPr fontId="2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A0DC-B2F6-405C-A5E9-2F7AA47F0F43}">
  <dimension ref="A1:Z21"/>
  <sheetViews>
    <sheetView topLeftCell="B1" workbookViewId="0">
      <selection activeCell="F6" sqref="F6"/>
    </sheetView>
  </sheetViews>
  <sheetFormatPr baseColWidth="10" defaultColWidth="8.83203125" defaultRowHeight="15" x14ac:dyDescent="0.2"/>
  <cols>
    <col min="2" max="2" width="12.6640625" customWidth="1"/>
    <col min="3" max="3" width="31.83203125" bestFit="1" customWidth="1"/>
    <col min="4" max="4" width="17.6640625" customWidth="1"/>
    <col min="5" max="5" width="2.1640625" customWidth="1"/>
    <col min="6" max="6" width="14.83203125" bestFit="1" customWidth="1"/>
    <col min="7" max="7" width="16.6640625" customWidth="1"/>
    <col min="8" max="8" width="15.1640625" customWidth="1"/>
    <col min="9" max="9" width="15.83203125" customWidth="1"/>
    <col min="10" max="10" width="14.1640625" customWidth="1"/>
    <col min="11" max="11" width="12.5" customWidth="1"/>
    <col min="12" max="12" width="13.5" customWidth="1"/>
    <col min="13" max="13" width="11" customWidth="1"/>
    <col min="14" max="14" width="13.6640625" customWidth="1"/>
    <col min="15" max="15" width="15.33203125" customWidth="1"/>
    <col min="16" max="16" width="15.5" customWidth="1"/>
    <col min="17" max="17" width="12.5" customWidth="1"/>
    <col min="18" max="18" width="13.83203125" customWidth="1"/>
    <col min="19" max="19" width="15.6640625" customWidth="1"/>
    <col min="20" max="20" width="4.33203125" customWidth="1"/>
    <col min="21" max="21" width="16.1640625" customWidth="1"/>
    <col min="22" max="22" width="19.33203125" customWidth="1"/>
    <col min="23" max="23" width="19.33203125" hidden="1" customWidth="1"/>
    <col min="24" max="24" width="0" hidden="1" customWidth="1"/>
    <col min="25" max="25" width="16.33203125" hidden="1" customWidth="1"/>
    <col min="26" max="26" width="14.1640625" hidden="1" customWidth="1"/>
  </cols>
  <sheetData>
    <row r="1" spans="1:26" ht="45.75" customHeight="1" x14ac:dyDescent="0.2">
      <c r="A1" s="8" t="s">
        <v>49</v>
      </c>
      <c r="B1" s="8" t="s">
        <v>10</v>
      </c>
      <c r="C1" s="9" t="s">
        <v>69</v>
      </c>
      <c r="D1" s="10" t="s">
        <v>27</v>
      </c>
      <c r="E1" s="13"/>
      <c r="F1" s="1" t="s">
        <v>0</v>
      </c>
      <c r="G1" s="1" t="s">
        <v>1</v>
      </c>
      <c r="H1" s="34" t="s">
        <v>2</v>
      </c>
      <c r="I1" s="34" t="s">
        <v>28</v>
      </c>
      <c r="J1" s="1" t="s">
        <v>86</v>
      </c>
      <c r="K1" s="34" t="s">
        <v>4</v>
      </c>
      <c r="L1" s="34" t="s">
        <v>5</v>
      </c>
      <c r="M1" s="34" t="s">
        <v>79</v>
      </c>
      <c r="N1" s="1" t="s">
        <v>70</v>
      </c>
      <c r="O1" s="1" t="s">
        <v>6</v>
      </c>
      <c r="P1" s="1" t="s">
        <v>26</v>
      </c>
      <c r="Q1" s="1" t="s">
        <v>7</v>
      </c>
      <c r="R1" s="1" t="s">
        <v>8</v>
      </c>
      <c r="S1" s="1" t="s">
        <v>124</v>
      </c>
      <c r="T1" s="96"/>
      <c r="U1" s="58" t="s">
        <v>125</v>
      </c>
      <c r="V1" s="61"/>
      <c r="W1" s="61"/>
      <c r="Y1" s="54" t="s">
        <v>115</v>
      </c>
      <c r="Z1" s="54" t="s">
        <v>117</v>
      </c>
    </row>
    <row r="2" spans="1:26" ht="16" x14ac:dyDescent="0.2">
      <c r="A2" s="43">
        <v>1</v>
      </c>
      <c r="B2" s="11" t="str">
        <f>'Payroll breakdown per role'!D3</f>
        <v>A1</v>
      </c>
      <c r="C2" s="12" t="str">
        <f>'Payroll breakdown per role'!B3</f>
        <v>Managing Director</v>
      </c>
      <c r="D2" s="33">
        <f>'Payroll breakdown per role'!F3</f>
        <v>4760000</v>
      </c>
      <c r="E2" s="13"/>
      <c r="F2" s="2">
        <f>D2*12</f>
        <v>57120000</v>
      </c>
      <c r="G2" s="2">
        <f>(F2*70%)*10%</f>
        <v>3998400</v>
      </c>
      <c r="H2" s="2">
        <f>(F2*70%)*10%</f>
        <v>3998400</v>
      </c>
      <c r="I2" s="3"/>
      <c r="J2" s="3">
        <v>200000</v>
      </c>
      <c r="K2" s="82">
        <f>25000*12</f>
        <v>300000</v>
      </c>
      <c r="L2" s="3">
        <v>0</v>
      </c>
      <c r="M2" s="82">
        <f>1200*260</f>
        <v>312000</v>
      </c>
      <c r="N2" s="82">
        <v>954720</v>
      </c>
      <c r="O2" s="82">
        <f>(90%*F2)*(10%)</f>
        <v>5140800</v>
      </c>
      <c r="P2" s="82">
        <f t="shared" ref="P2:P17" si="0">(6/1000)*((F2*90%)*3)</f>
        <v>925344</v>
      </c>
      <c r="Q2" s="82">
        <f>1%*(I2+F2+G2+H2)</f>
        <v>651168</v>
      </c>
      <c r="R2" s="82">
        <f>1%*(I2+F2+G2+H2)</f>
        <v>651168</v>
      </c>
      <c r="S2" s="82">
        <f>SUM(F2:R2)</f>
        <v>74252000</v>
      </c>
      <c r="T2" s="82"/>
      <c r="U2" s="82">
        <f>S2/12</f>
        <v>6187666.666666667</v>
      </c>
      <c r="V2" s="59"/>
      <c r="W2" s="59"/>
      <c r="X2" s="56" t="s">
        <v>103</v>
      </c>
      <c r="Y2" s="56" t="s">
        <v>110</v>
      </c>
      <c r="Z2" s="56" t="s">
        <v>118</v>
      </c>
    </row>
    <row r="3" spans="1:26" ht="16" x14ac:dyDescent="0.2">
      <c r="A3" s="43">
        <f>A2+1</f>
        <v>2</v>
      </c>
      <c r="B3" s="11" t="str">
        <f>'Payroll breakdown per role'!D4</f>
        <v>B1</v>
      </c>
      <c r="C3" s="12" t="str">
        <f>'Payroll breakdown per role'!B4</f>
        <v>Director of Programs</v>
      </c>
      <c r="D3" s="33">
        <f>'Payroll breakdown per role'!F4</f>
        <v>2710000</v>
      </c>
      <c r="E3" s="13"/>
      <c r="F3" s="2">
        <f t="shared" ref="F3:F17" si="1">D3*12</f>
        <v>32520000</v>
      </c>
      <c r="G3" s="2">
        <f t="shared" ref="G3:G17" si="2">(F3*70%)*10%</f>
        <v>2276400</v>
      </c>
      <c r="H3" s="2">
        <f t="shared" ref="H3:H17" si="3">(F3*70%)*10%</f>
        <v>2276400</v>
      </c>
      <c r="I3" s="3"/>
      <c r="J3" s="3">
        <v>200000</v>
      </c>
      <c r="K3" s="82">
        <f>25000*12</f>
        <v>300000</v>
      </c>
      <c r="L3" s="3">
        <v>0</v>
      </c>
      <c r="M3" s="82">
        <f t="shared" ref="M3:M17" si="4">1200*260</f>
        <v>312000</v>
      </c>
      <c r="N3" s="82">
        <v>585975</v>
      </c>
      <c r="O3" s="82">
        <f t="shared" ref="O3:O15" si="5">(90%*F3)*(10%)</f>
        <v>2926800</v>
      </c>
      <c r="P3" s="82">
        <f t="shared" si="0"/>
        <v>526824</v>
      </c>
      <c r="Q3" s="82">
        <f t="shared" ref="Q3:Q17" si="6">1%*(I3+F3+G3+H3)</f>
        <v>370728</v>
      </c>
      <c r="R3" s="82">
        <f t="shared" ref="R3:R17" si="7">1%*(I3+F3+G3+H3)</f>
        <v>370728</v>
      </c>
      <c r="S3" s="82">
        <f t="shared" ref="S3:S17" si="8">SUM(F3:R3)</f>
        <v>42665855</v>
      </c>
      <c r="T3" s="82"/>
      <c r="U3" s="82">
        <f t="shared" ref="U3:U17" si="9">S3/12</f>
        <v>3555487.9166666665</v>
      </c>
      <c r="V3" s="59"/>
      <c r="W3" s="59"/>
      <c r="X3" s="56" t="s">
        <v>104</v>
      </c>
      <c r="Y3" s="56" t="s">
        <v>111</v>
      </c>
      <c r="Z3" s="56" t="s">
        <v>119</v>
      </c>
    </row>
    <row r="4" spans="1:26" ht="16" x14ac:dyDescent="0.2">
      <c r="A4" s="43">
        <f t="shared" ref="A4:A17" si="10">A3+1</f>
        <v>3</v>
      </c>
      <c r="B4" s="11" t="str">
        <f>'Payroll breakdown per role'!D5</f>
        <v>G1</v>
      </c>
      <c r="C4" s="12" t="str">
        <f>'Payroll breakdown per role'!B5</f>
        <v>IT Manager</v>
      </c>
      <c r="D4" s="33">
        <f>'Payroll breakdown per role'!F5</f>
        <v>555000</v>
      </c>
      <c r="E4" s="13"/>
      <c r="F4" s="2">
        <f t="shared" si="1"/>
        <v>6660000</v>
      </c>
      <c r="G4" s="2">
        <f t="shared" si="2"/>
        <v>466200</v>
      </c>
      <c r="H4" s="2">
        <f t="shared" si="3"/>
        <v>466200</v>
      </c>
      <c r="I4" s="3"/>
      <c r="J4" s="13">
        <v>150000</v>
      </c>
      <c r="K4" s="82">
        <f>15000*12</f>
        <v>180000</v>
      </c>
      <c r="L4" s="3">
        <v>0</v>
      </c>
      <c r="M4" s="82">
        <f t="shared" si="4"/>
        <v>312000</v>
      </c>
      <c r="N4" s="82">
        <v>254826</v>
      </c>
      <c r="O4" s="82">
        <f t="shared" si="5"/>
        <v>599400</v>
      </c>
      <c r="P4" s="82">
        <f t="shared" si="0"/>
        <v>107892</v>
      </c>
      <c r="Q4" s="82">
        <f t="shared" si="6"/>
        <v>75924</v>
      </c>
      <c r="R4" s="82">
        <f t="shared" si="7"/>
        <v>75924</v>
      </c>
      <c r="S4" s="82">
        <f t="shared" si="8"/>
        <v>9348366</v>
      </c>
      <c r="T4" s="82"/>
      <c r="U4" s="82">
        <f t="shared" si="9"/>
        <v>779030.5</v>
      </c>
      <c r="V4" s="59"/>
      <c r="W4" s="59"/>
      <c r="X4" s="55" t="s">
        <v>108</v>
      </c>
      <c r="Y4" s="55" t="s">
        <v>112</v>
      </c>
      <c r="Z4" s="55" t="s">
        <v>120</v>
      </c>
    </row>
    <row r="5" spans="1:26" ht="16" x14ac:dyDescent="0.2">
      <c r="A5" s="43">
        <f t="shared" si="10"/>
        <v>4</v>
      </c>
      <c r="B5" s="11" t="str">
        <f>'Payroll breakdown per role'!D6</f>
        <v>H1</v>
      </c>
      <c r="C5" s="12" t="str">
        <f>'Payroll breakdown per role'!B6</f>
        <v>Community Manager</v>
      </c>
      <c r="D5" s="33">
        <f>'Payroll breakdown per role'!F6</f>
        <v>315000</v>
      </c>
      <c r="E5" s="13"/>
      <c r="F5" s="2">
        <f t="shared" si="1"/>
        <v>3780000</v>
      </c>
      <c r="G5" s="2">
        <f t="shared" si="2"/>
        <v>264600</v>
      </c>
      <c r="H5" s="2">
        <f t="shared" si="3"/>
        <v>264600</v>
      </c>
      <c r="I5" s="3"/>
      <c r="J5" s="13">
        <v>150000</v>
      </c>
      <c r="K5" s="82">
        <f>15000*12</f>
        <v>180000</v>
      </c>
      <c r="L5" s="3">
        <v>0</v>
      </c>
      <c r="M5" s="82">
        <f t="shared" si="4"/>
        <v>312000</v>
      </c>
      <c r="N5" s="82">
        <v>254826</v>
      </c>
      <c r="O5" s="82">
        <f t="shared" si="5"/>
        <v>340200</v>
      </c>
      <c r="P5" s="82">
        <f t="shared" si="0"/>
        <v>61236</v>
      </c>
      <c r="Q5" s="82">
        <f t="shared" si="6"/>
        <v>43092</v>
      </c>
      <c r="R5" s="82">
        <f t="shared" si="7"/>
        <v>43092</v>
      </c>
      <c r="S5" s="82">
        <f t="shared" si="8"/>
        <v>5693646</v>
      </c>
      <c r="T5" s="82"/>
      <c r="U5" s="82">
        <f t="shared" si="9"/>
        <v>474470.5</v>
      </c>
      <c r="V5" s="59"/>
      <c r="W5" s="59"/>
      <c r="X5" s="55" t="s">
        <v>108</v>
      </c>
      <c r="Y5" s="55" t="s">
        <v>112</v>
      </c>
      <c r="Z5" s="55" t="s">
        <v>120</v>
      </c>
    </row>
    <row r="6" spans="1:26" ht="16" x14ac:dyDescent="0.2">
      <c r="A6" s="43">
        <f t="shared" si="10"/>
        <v>5</v>
      </c>
      <c r="B6" s="11" t="str">
        <f>'Payroll breakdown per role'!D7</f>
        <v>H1</v>
      </c>
      <c r="C6" s="12" t="str">
        <f>'Payroll breakdown per role'!B7</f>
        <v>Facility Associate</v>
      </c>
      <c r="D6" s="33">
        <f>'Payroll breakdown per role'!F7</f>
        <v>315000</v>
      </c>
      <c r="E6" s="13"/>
      <c r="F6" s="2">
        <f t="shared" si="1"/>
        <v>3780000</v>
      </c>
      <c r="G6" s="2">
        <f t="shared" si="2"/>
        <v>264600</v>
      </c>
      <c r="H6" s="2">
        <f t="shared" si="3"/>
        <v>264600</v>
      </c>
      <c r="I6" s="3"/>
      <c r="J6" s="13">
        <v>150000</v>
      </c>
      <c r="K6" s="82">
        <f>7500*12</f>
        <v>90000</v>
      </c>
      <c r="L6" s="3">
        <v>0</v>
      </c>
      <c r="M6" s="82">
        <f t="shared" si="4"/>
        <v>312000</v>
      </c>
      <c r="N6" s="82">
        <v>147790.5</v>
      </c>
      <c r="O6" s="82">
        <f t="shared" si="5"/>
        <v>340200</v>
      </c>
      <c r="P6" s="82">
        <f t="shared" si="0"/>
        <v>61236</v>
      </c>
      <c r="Q6" s="82">
        <f t="shared" si="6"/>
        <v>43092</v>
      </c>
      <c r="R6" s="82">
        <f t="shared" si="7"/>
        <v>43092</v>
      </c>
      <c r="S6" s="82">
        <f t="shared" si="8"/>
        <v>5496610.5</v>
      </c>
      <c r="T6" s="82"/>
      <c r="U6" s="82">
        <f t="shared" si="9"/>
        <v>458050.875</v>
      </c>
      <c r="V6" s="59"/>
      <c r="W6" s="59"/>
      <c r="X6" s="55" t="s">
        <v>106</v>
      </c>
      <c r="Y6" s="55" t="s">
        <v>114</v>
      </c>
      <c r="Z6" s="55" t="s">
        <v>121</v>
      </c>
    </row>
    <row r="7" spans="1:26" ht="16" x14ac:dyDescent="0.2">
      <c r="A7" s="43">
        <f t="shared" si="10"/>
        <v>6</v>
      </c>
      <c r="B7" s="11" t="str">
        <f>'Payroll breakdown per role'!D8</f>
        <v>H1</v>
      </c>
      <c r="C7" s="12" t="str">
        <f>'Payroll breakdown per role'!B8</f>
        <v>Front Desk Associate (x1)</v>
      </c>
      <c r="D7" s="33">
        <f>'Payroll breakdown per role'!F8</f>
        <v>315000</v>
      </c>
      <c r="E7" s="13"/>
      <c r="F7" s="2">
        <f t="shared" si="1"/>
        <v>3780000</v>
      </c>
      <c r="G7" s="2">
        <f t="shared" si="2"/>
        <v>264600</v>
      </c>
      <c r="H7" s="2">
        <f t="shared" si="3"/>
        <v>264600</v>
      </c>
      <c r="I7" s="3"/>
      <c r="J7" s="13">
        <v>150000</v>
      </c>
      <c r="K7" s="82">
        <f>7500*12</f>
        <v>90000</v>
      </c>
      <c r="L7" s="3">
        <v>0</v>
      </c>
      <c r="M7" s="82">
        <f t="shared" si="4"/>
        <v>312000</v>
      </c>
      <c r="N7" s="82">
        <v>147790.5</v>
      </c>
      <c r="O7" s="82">
        <f t="shared" si="5"/>
        <v>340200</v>
      </c>
      <c r="P7" s="82">
        <f t="shared" si="0"/>
        <v>61236</v>
      </c>
      <c r="Q7" s="82">
        <f t="shared" si="6"/>
        <v>43092</v>
      </c>
      <c r="R7" s="82">
        <f t="shared" si="7"/>
        <v>43092</v>
      </c>
      <c r="S7" s="82">
        <f t="shared" si="8"/>
        <v>5496610.5</v>
      </c>
      <c r="T7" s="82"/>
      <c r="U7" s="82">
        <f t="shared" si="9"/>
        <v>458050.875</v>
      </c>
      <c r="V7" s="59"/>
      <c r="W7" s="59"/>
      <c r="X7" s="55" t="s">
        <v>106</v>
      </c>
      <c r="Y7" s="55" t="s">
        <v>114</v>
      </c>
      <c r="Z7" s="55" t="s">
        <v>121</v>
      </c>
    </row>
    <row r="8" spans="1:26" ht="16" x14ac:dyDescent="0.2">
      <c r="A8" s="43"/>
      <c r="B8" s="11" t="s">
        <v>20</v>
      </c>
      <c r="C8" s="12" t="s">
        <v>157</v>
      </c>
      <c r="D8" s="33">
        <f>'Payroll breakdown per role'!F9</f>
        <v>150000</v>
      </c>
      <c r="E8" s="13"/>
      <c r="F8" s="2">
        <f t="shared" si="1"/>
        <v>1800000</v>
      </c>
      <c r="G8" s="2">
        <f t="shared" si="2"/>
        <v>126000</v>
      </c>
      <c r="H8" s="2">
        <f t="shared" si="3"/>
        <v>126000</v>
      </c>
      <c r="I8" s="3"/>
      <c r="J8" s="52">
        <v>25000</v>
      </c>
      <c r="K8" s="82">
        <f>4000*12</f>
        <v>48000</v>
      </c>
      <c r="L8" s="3">
        <v>0</v>
      </c>
      <c r="M8" s="82">
        <f t="shared" si="4"/>
        <v>312000</v>
      </c>
      <c r="N8" s="82">
        <v>104997.75</v>
      </c>
      <c r="O8" s="82">
        <f t="shared" si="5"/>
        <v>162000</v>
      </c>
      <c r="P8" s="82">
        <f t="shared" si="0"/>
        <v>29160</v>
      </c>
      <c r="Q8" s="82">
        <f t="shared" si="6"/>
        <v>20520</v>
      </c>
      <c r="R8" s="82">
        <f t="shared" si="7"/>
        <v>20520</v>
      </c>
      <c r="S8" s="82">
        <f t="shared" si="8"/>
        <v>2774197.75</v>
      </c>
      <c r="T8" s="82"/>
      <c r="U8" s="82">
        <f t="shared" si="9"/>
        <v>231183.14583333334</v>
      </c>
      <c r="V8" s="59"/>
      <c r="W8" s="59"/>
      <c r="X8" s="55"/>
      <c r="Y8" s="55"/>
      <c r="Z8" s="55"/>
    </row>
    <row r="9" spans="1:26" ht="16" x14ac:dyDescent="0.2">
      <c r="A9" s="43">
        <f>A7+1</f>
        <v>7</v>
      </c>
      <c r="B9" s="11" t="str">
        <f>'Payroll breakdown per role'!D10</f>
        <v>H1</v>
      </c>
      <c r="C9" s="12" t="str">
        <f>'Payroll breakdown per role'!B10</f>
        <v>Finance Associate</v>
      </c>
      <c r="D9" s="33">
        <f>'Payroll breakdown per role'!F10</f>
        <v>315000</v>
      </c>
      <c r="E9" s="13"/>
      <c r="F9" s="2">
        <f t="shared" si="1"/>
        <v>3780000</v>
      </c>
      <c r="G9" s="2">
        <f t="shared" si="2"/>
        <v>264600</v>
      </c>
      <c r="H9" s="2">
        <f t="shared" si="3"/>
        <v>264600</v>
      </c>
      <c r="I9" s="3"/>
      <c r="J9" s="13">
        <v>150000</v>
      </c>
      <c r="K9" s="82">
        <f>7500*12</f>
        <v>90000</v>
      </c>
      <c r="L9" s="3">
        <v>0</v>
      </c>
      <c r="M9" s="82">
        <f t="shared" si="4"/>
        <v>312000</v>
      </c>
      <c r="N9" s="82">
        <v>147790.5</v>
      </c>
      <c r="O9" s="82">
        <f t="shared" si="5"/>
        <v>340200</v>
      </c>
      <c r="P9" s="82">
        <f t="shared" si="0"/>
        <v>61236</v>
      </c>
      <c r="Q9" s="82">
        <f t="shared" si="6"/>
        <v>43092</v>
      </c>
      <c r="R9" s="82">
        <f t="shared" si="7"/>
        <v>43092</v>
      </c>
      <c r="S9" s="82">
        <f t="shared" si="8"/>
        <v>5496610.5</v>
      </c>
      <c r="T9" s="82"/>
      <c r="U9" s="82">
        <f t="shared" si="9"/>
        <v>458050.875</v>
      </c>
      <c r="V9" s="59"/>
      <c r="W9" s="59"/>
      <c r="X9" s="55" t="s">
        <v>106</v>
      </c>
      <c r="Y9" s="55" t="s">
        <v>114</v>
      </c>
      <c r="Z9" s="55" t="s">
        <v>121</v>
      </c>
    </row>
    <row r="10" spans="1:26" ht="16" x14ac:dyDescent="0.2">
      <c r="A10" s="43">
        <f t="shared" si="10"/>
        <v>8</v>
      </c>
      <c r="B10" s="11" t="str">
        <f>'Payroll breakdown per role'!D11</f>
        <v>H1</v>
      </c>
      <c r="C10" s="12" t="str">
        <f>'Payroll breakdown per role'!B11</f>
        <v>Admin &amp; HR Associate</v>
      </c>
      <c r="D10" s="33">
        <f>'Payroll breakdown per role'!F11</f>
        <v>315000</v>
      </c>
      <c r="E10" s="13"/>
      <c r="F10" s="2">
        <f t="shared" si="1"/>
        <v>3780000</v>
      </c>
      <c r="G10" s="2">
        <f t="shared" si="2"/>
        <v>264600</v>
      </c>
      <c r="H10" s="2">
        <f t="shared" si="3"/>
        <v>264600</v>
      </c>
      <c r="I10" s="3"/>
      <c r="J10" s="13">
        <v>150000</v>
      </c>
      <c r="K10" s="82">
        <f>7500*12</f>
        <v>90000</v>
      </c>
      <c r="L10" s="3">
        <v>0</v>
      </c>
      <c r="M10" s="82">
        <f t="shared" si="4"/>
        <v>312000</v>
      </c>
      <c r="N10" s="82">
        <v>147790.5</v>
      </c>
      <c r="O10" s="82">
        <f t="shared" si="5"/>
        <v>340200</v>
      </c>
      <c r="P10" s="82">
        <f t="shared" si="0"/>
        <v>61236</v>
      </c>
      <c r="Q10" s="82">
        <f t="shared" si="6"/>
        <v>43092</v>
      </c>
      <c r="R10" s="82">
        <f t="shared" si="7"/>
        <v>43092</v>
      </c>
      <c r="S10" s="82">
        <f t="shared" si="8"/>
        <v>5496610.5</v>
      </c>
      <c r="T10" s="82"/>
      <c r="U10" s="82">
        <f t="shared" si="9"/>
        <v>458050.875</v>
      </c>
      <c r="V10" s="59"/>
      <c r="W10" s="59"/>
      <c r="X10" s="55" t="s">
        <v>106</v>
      </c>
      <c r="Y10" s="55" t="s">
        <v>114</v>
      </c>
      <c r="Z10" s="55" t="s">
        <v>121</v>
      </c>
    </row>
    <row r="11" spans="1:26" ht="16" x14ac:dyDescent="0.2">
      <c r="A11" s="43">
        <f t="shared" si="10"/>
        <v>9</v>
      </c>
      <c r="B11" s="11" t="str">
        <f>'Payroll breakdown per role'!D12</f>
        <v>H1</v>
      </c>
      <c r="C11" s="12" t="str">
        <f>'Payroll breakdown per role'!B12</f>
        <v>IT Support Associate (x2)</v>
      </c>
      <c r="D11" s="33">
        <f>'Payroll breakdown per role'!F12</f>
        <v>315000</v>
      </c>
      <c r="E11" s="13"/>
      <c r="F11" s="2">
        <f t="shared" si="1"/>
        <v>3780000</v>
      </c>
      <c r="G11" s="2">
        <f t="shared" si="2"/>
        <v>264600</v>
      </c>
      <c r="H11" s="2">
        <f t="shared" si="3"/>
        <v>264600</v>
      </c>
      <c r="I11" s="3"/>
      <c r="J11" s="13">
        <v>150000</v>
      </c>
      <c r="K11" s="82">
        <f>7500*12</f>
        <v>90000</v>
      </c>
      <c r="L11" s="3">
        <v>0</v>
      </c>
      <c r="M11" s="82">
        <f t="shared" si="4"/>
        <v>312000</v>
      </c>
      <c r="N11" s="82">
        <v>147790.5</v>
      </c>
      <c r="O11" s="82">
        <f t="shared" si="5"/>
        <v>340200</v>
      </c>
      <c r="P11" s="82">
        <f t="shared" si="0"/>
        <v>61236</v>
      </c>
      <c r="Q11" s="82">
        <f t="shared" si="6"/>
        <v>43092</v>
      </c>
      <c r="R11" s="82">
        <f t="shared" si="7"/>
        <v>43092</v>
      </c>
      <c r="S11" s="82">
        <f t="shared" si="8"/>
        <v>5496610.5</v>
      </c>
      <c r="T11" s="82"/>
      <c r="U11" s="82">
        <f t="shared" si="9"/>
        <v>458050.875</v>
      </c>
      <c r="V11" s="59"/>
      <c r="W11" s="59"/>
      <c r="X11" s="55" t="s">
        <v>106</v>
      </c>
      <c r="Y11" s="55" t="s">
        <v>114</v>
      </c>
      <c r="Z11" s="55" t="s">
        <v>121</v>
      </c>
    </row>
    <row r="12" spans="1:26" ht="16" x14ac:dyDescent="0.2">
      <c r="A12" s="43">
        <f t="shared" si="10"/>
        <v>10</v>
      </c>
      <c r="B12" s="11" t="str">
        <f>'Payroll breakdown per role'!D13</f>
        <v>H1</v>
      </c>
      <c r="C12" s="12" t="str">
        <f>'Payroll breakdown per role'!B13</f>
        <v>Content &amp; Digital Marketing Lead</v>
      </c>
      <c r="D12" s="33">
        <f>'Payroll breakdown per role'!F13</f>
        <v>315000</v>
      </c>
      <c r="E12" s="13"/>
      <c r="F12" s="2">
        <f t="shared" si="1"/>
        <v>3780000</v>
      </c>
      <c r="G12" s="2">
        <f t="shared" si="2"/>
        <v>264600</v>
      </c>
      <c r="H12" s="2">
        <f t="shared" si="3"/>
        <v>264600</v>
      </c>
      <c r="I12" s="3"/>
      <c r="J12" s="13">
        <v>150000</v>
      </c>
      <c r="K12" s="82">
        <f>15000*12</f>
        <v>180000</v>
      </c>
      <c r="L12" s="3">
        <v>0</v>
      </c>
      <c r="M12" s="82">
        <f t="shared" si="4"/>
        <v>312000</v>
      </c>
      <c r="N12" s="82">
        <v>147790.5</v>
      </c>
      <c r="O12" s="82">
        <f t="shared" si="5"/>
        <v>340200</v>
      </c>
      <c r="P12" s="82">
        <f t="shared" si="0"/>
        <v>61236</v>
      </c>
      <c r="Q12" s="82">
        <f t="shared" si="6"/>
        <v>43092</v>
      </c>
      <c r="R12" s="82">
        <f t="shared" si="7"/>
        <v>43092</v>
      </c>
      <c r="S12" s="82">
        <f t="shared" si="8"/>
        <v>5586610.5</v>
      </c>
      <c r="T12" s="82"/>
      <c r="U12" s="82">
        <f t="shared" si="9"/>
        <v>465550.875</v>
      </c>
      <c r="V12" s="59"/>
      <c r="W12" s="59"/>
      <c r="X12" s="55" t="s">
        <v>106</v>
      </c>
      <c r="Y12" s="55" t="s">
        <v>114</v>
      </c>
      <c r="Z12" s="55" t="s">
        <v>121</v>
      </c>
    </row>
    <row r="13" spans="1:26" ht="16" x14ac:dyDescent="0.2">
      <c r="A13" s="43">
        <f t="shared" si="10"/>
        <v>11</v>
      </c>
      <c r="B13" s="11" t="str">
        <f>'Payroll breakdown per role'!D14</f>
        <v>H1</v>
      </c>
      <c r="C13" s="12" t="str">
        <f>'Payroll breakdown per role'!B14</f>
        <v>Graphic &amp; Multimedia Associate</v>
      </c>
      <c r="D13" s="33">
        <f>'Payroll breakdown per role'!F14</f>
        <v>315000</v>
      </c>
      <c r="E13" s="13"/>
      <c r="F13" s="2">
        <f t="shared" si="1"/>
        <v>3780000</v>
      </c>
      <c r="G13" s="2">
        <f t="shared" si="2"/>
        <v>264600</v>
      </c>
      <c r="H13" s="2">
        <f t="shared" si="3"/>
        <v>264600</v>
      </c>
      <c r="I13" s="3"/>
      <c r="J13" s="13">
        <v>150000</v>
      </c>
      <c r="K13" s="82">
        <f>15000*12</f>
        <v>180000</v>
      </c>
      <c r="L13" s="3">
        <v>0</v>
      </c>
      <c r="M13" s="82">
        <f t="shared" si="4"/>
        <v>312000</v>
      </c>
      <c r="N13" s="82">
        <v>147790.5</v>
      </c>
      <c r="O13" s="82">
        <f t="shared" si="5"/>
        <v>340200</v>
      </c>
      <c r="P13" s="82">
        <f t="shared" si="0"/>
        <v>61236</v>
      </c>
      <c r="Q13" s="82">
        <f t="shared" si="6"/>
        <v>43092</v>
      </c>
      <c r="R13" s="82">
        <f t="shared" si="7"/>
        <v>43092</v>
      </c>
      <c r="S13" s="82">
        <f t="shared" si="8"/>
        <v>5586610.5</v>
      </c>
      <c r="T13" s="82"/>
      <c r="U13" s="82">
        <f t="shared" si="9"/>
        <v>465550.875</v>
      </c>
      <c r="V13" s="59"/>
      <c r="W13" s="59"/>
      <c r="X13" s="55" t="s">
        <v>108</v>
      </c>
      <c r="Y13" s="55" t="s">
        <v>114</v>
      </c>
      <c r="Z13" s="55" t="s">
        <v>121</v>
      </c>
    </row>
    <row r="14" spans="1:26" ht="16" x14ac:dyDescent="0.2">
      <c r="A14" s="43">
        <f t="shared" si="10"/>
        <v>12</v>
      </c>
      <c r="B14" s="11" t="str">
        <f>'Payroll breakdown per role'!D15</f>
        <v>I1</v>
      </c>
      <c r="C14" s="12" t="str">
        <f>'Payroll breakdown per role'!B15</f>
        <v>Facility Technician (x3)</v>
      </c>
      <c r="D14" s="33">
        <f>'Payroll breakdown per role'!F15</f>
        <v>150000</v>
      </c>
      <c r="E14" s="13"/>
      <c r="F14" s="2">
        <f t="shared" si="1"/>
        <v>1800000</v>
      </c>
      <c r="G14" s="2">
        <f t="shared" si="2"/>
        <v>126000</v>
      </c>
      <c r="H14" s="2">
        <f t="shared" si="3"/>
        <v>126000</v>
      </c>
      <c r="I14" s="3"/>
      <c r="J14" s="52">
        <v>25000</v>
      </c>
      <c r="K14" s="82">
        <f>4000*12</f>
        <v>48000</v>
      </c>
      <c r="L14" s="3">
        <v>0</v>
      </c>
      <c r="M14" s="82">
        <f t="shared" si="4"/>
        <v>312000</v>
      </c>
      <c r="N14" s="82">
        <v>104997.75</v>
      </c>
      <c r="O14" s="82">
        <f t="shared" si="5"/>
        <v>162000</v>
      </c>
      <c r="P14" s="82">
        <f t="shared" si="0"/>
        <v>29160</v>
      </c>
      <c r="Q14" s="82">
        <f t="shared" si="6"/>
        <v>20520</v>
      </c>
      <c r="R14" s="82">
        <f t="shared" si="7"/>
        <v>20520</v>
      </c>
      <c r="S14" s="82">
        <f t="shared" si="8"/>
        <v>2774197.75</v>
      </c>
      <c r="T14" s="82"/>
      <c r="U14" s="82">
        <f t="shared" si="9"/>
        <v>231183.14583333334</v>
      </c>
      <c r="V14" s="59"/>
      <c r="W14" s="59"/>
      <c r="X14" s="55" t="s">
        <v>109</v>
      </c>
      <c r="Y14" s="55" t="s">
        <v>116</v>
      </c>
      <c r="Z14" s="55" t="s">
        <v>122</v>
      </c>
    </row>
    <row r="15" spans="1:26" ht="16" x14ac:dyDescent="0.2">
      <c r="A15" s="43">
        <f t="shared" si="10"/>
        <v>13</v>
      </c>
      <c r="B15" s="11" t="str">
        <f>'Payroll breakdown per role'!D16</f>
        <v>I1</v>
      </c>
      <c r="C15" s="12" t="str">
        <f>'Payroll breakdown per role'!B16</f>
        <v>Driver</v>
      </c>
      <c r="D15" s="33">
        <f>'Payroll breakdown per role'!F16</f>
        <v>150000</v>
      </c>
      <c r="E15" s="13"/>
      <c r="F15" s="2">
        <f t="shared" si="1"/>
        <v>1800000</v>
      </c>
      <c r="G15" s="2">
        <f t="shared" si="2"/>
        <v>126000</v>
      </c>
      <c r="H15" s="2">
        <f t="shared" si="3"/>
        <v>126000</v>
      </c>
      <c r="I15" s="3"/>
      <c r="J15" s="52">
        <v>25000</v>
      </c>
      <c r="K15" s="82">
        <f>4000*12</f>
        <v>48000</v>
      </c>
      <c r="L15" s="3">
        <v>0</v>
      </c>
      <c r="M15" s="82">
        <f t="shared" si="4"/>
        <v>312000</v>
      </c>
      <c r="N15" s="82">
        <v>104997.75</v>
      </c>
      <c r="O15" s="82">
        <f t="shared" si="5"/>
        <v>162000</v>
      </c>
      <c r="P15" s="82">
        <f t="shared" si="0"/>
        <v>29160</v>
      </c>
      <c r="Q15" s="82">
        <f t="shared" si="6"/>
        <v>20520</v>
      </c>
      <c r="R15" s="82">
        <f t="shared" si="7"/>
        <v>20520</v>
      </c>
      <c r="S15" s="82">
        <f t="shared" si="8"/>
        <v>2774197.75</v>
      </c>
      <c r="T15" s="82"/>
      <c r="U15" s="82">
        <f t="shared" si="9"/>
        <v>231183.14583333334</v>
      </c>
      <c r="V15" s="59"/>
      <c r="W15" s="59"/>
      <c r="X15" s="55" t="s">
        <v>109</v>
      </c>
      <c r="Y15" s="55" t="s">
        <v>116</v>
      </c>
      <c r="Z15" s="55" t="s">
        <v>122</v>
      </c>
    </row>
    <row r="16" spans="1:26" ht="16" x14ac:dyDescent="0.2">
      <c r="A16" s="43">
        <f t="shared" si="10"/>
        <v>14</v>
      </c>
      <c r="B16" s="11" t="str">
        <f>'Payroll breakdown per role'!D17</f>
        <v>J2</v>
      </c>
      <c r="C16" s="12" t="s">
        <v>153</v>
      </c>
      <c r="D16" s="33">
        <f>'Payroll breakdown per role'!F17</f>
        <v>55000</v>
      </c>
      <c r="E16" s="13"/>
      <c r="F16" s="2">
        <f t="shared" si="1"/>
        <v>660000</v>
      </c>
      <c r="G16" s="2">
        <f t="shared" si="2"/>
        <v>46200</v>
      </c>
      <c r="H16" s="2">
        <f t="shared" si="3"/>
        <v>46200</v>
      </c>
      <c r="I16" s="3"/>
      <c r="J16" s="13"/>
      <c r="K16" s="13"/>
      <c r="L16" s="13"/>
      <c r="M16" s="82">
        <f t="shared" si="4"/>
        <v>312000</v>
      </c>
      <c r="N16" s="82">
        <v>104997.75</v>
      </c>
      <c r="O16" s="82">
        <v>0</v>
      </c>
      <c r="P16" s="82">
        <f t="shared" si="0"/>
        <v>10692</v>
      </c>
      <c r="Q16" s="82">
        <f t="shared" si="6"/>
        <v>7524</v>
      </c>
      <c r="R16" s="82">
        <f t="shared" si="7"/>
        <v>7524</v>
      </c>
      <c r="S16" s="82">
        <f t="shared" si="8"/>
        <v>1195137.75</v>
      </c>
      <c r="T16" s="82"/>
      <c r="U16" s="82">
        <f t="shared" si="9"/>
        <v>99594.8125</v>
      </c>
      <c r="V16" s="59"/>
      <c r="W16" s="59"/>
      <c r="X16" t="s">
        <v>113</v>
      </c>
    </row>
    <row r="17" spans="1:24" ht="16" x14ac:dyDescent="0.2">
      <c r="A17" s="43">
        <f t="shared" si="10"/>
        <v>15</v>
      </c>
      <c r="B17" s="11" t="str">
        <f>'Payroll breakdown per role'!D18</f>
        <v>J1</v>
      </c>
      <c r="C17" s="12" t="s">
        <v>154</v>
      </c>
      <c r="D17" s="33">
        <f>'Payroll breakdown per role'!F18</f>
        <v>46000</v>
      </c>
      <c r="E17" s="13"/>
      <c r="F17" s="2">
        <f t="shared" si="1"/>
        <v>552000</v>
      </c>
      <c r="G17" s="2">
        <f t="shared" si="2"/>
        <v>38640</v>
      </c>
      <c r="H17" s="2">
        <f t="shared" si="3"/>
        <v>38640</v>
      </c>
      <c r="I17" s="3"/>
      <c r="J17" s="13"/>
      <c r="K17" s="13"/>
      <c r="L17" s="13"/>
      <c r="M17" s="82">
        <f t="shared" si="4"/>
        <v>312000</v>
      </c>
      <c r="N17" s="82">
        <v>0</v>
      </c>
      <c r="O17" s="82">
        <v>0</v>
      </c>
      <c r="P17" s="82">
        <f t="shared" si="0"/>
        <v>8942.4</v>
      </c>
      <c r="Q17" s="82">
        <f t="shared" si="6"/>
        <v>6292.8</v>
      </c>
      <c r="R17" s="82">
        <f t="shared" si="7"/>
        <v>6292.8</v>
      </c>
      <c r="S17" s="82">
        <f t="shared" si="8"/>
        <v>962808.00000000012</v>
      </c>
      <c r="T17" s="82"/>
      <c r="U17" s="82">
        <f t="shared" si="9"/>
        <v>80234.000000000015</v>
      </c>
      <c r="V17" s="59"/>
      <c r="W17" s="59"/>
      <c r="X17" t="s">
        <v>113</v>
      </c>
    </row>
    <row r="18" spans="1:24" x14ac:dyDescent="0.2">
      <c r="F18" s="97">
        <f>SUM(F2:F17)</f>
        <v>133152000</v>
      </c>
      <c r="G18" s="97">
        <f>SUM(G2:G17)</f>
        <v>9320640</v>
      </c>
      <c r="H18" s="97">
        <f>SUM(H2:H17)</f>
        <v>9320640</v>
      </c>
      <c r="I18" s="7"/>
      <c r="J18" s="7"/>
      <c r="K18" s="97">
        <f>SUM(K2:K17)</f>
        <v>1914000</v>
      </c>
      <c r="L18" s="97">
        <f t="shared" ref="L18:U18" si="11">SUM(L2:L17)</f>
        <v>0</v>
      </c>
      <c r="M18" s="97">
        <f t="shared" si="11"/>
        <v>4992000</v>
      </c>
      <c r="N18" s="97">
        <f t="shared" si="11"/>
        <v>3504871.5</v>
      </c>
      <c r="O18" s="97">
        <f t="shared" si="11"/>
        <v>11874600</v>
      </c>
      <c r="P18" s="97">
        <f t="shared" si="11"/>
        <v>2157062.4</v>
      </c>
      <c r="Q18" s="97">
        <f t="shared" si="11"/>
        <v>1517932.8</v>
      </c>
      <c r="R18" s="97">
        <f t="shared" si="11"/>
        <v>1517932.8</v>
      </c>
      <c r="S18" s="97">
        <f t="shared" si="11"/>
        <v>181096679.5</v>
      </c>
      <c r="T18" s="97"/>
      <c r="U18" s="97">
        <f t="shared" si="11"/>
        <v>15091389.958333336</v>
      </c>
      <c r="V18" s="60"/>
      <c r="W18" s="60"/>
    </row>
    <row r="20" spans="1:24" x14ac:dyDescent="0.2">
      <c r="K20" s="71">
        <f>'[1]Annual Employer Cost per Grade'!$K$17</f>
        <v>840000</v>
      </c>
    </row>
    <row r="21" spans="1:24" x14ac:dyDescent="0.2">
      <c r="K21" s="93">
        <f>K20/K18</f>
        <v>0.43887147335423199</v>
      </c>
    </row>
  </sheetData>
  <phoneticPr fontId="2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76635-7CAE-4049-A784-CE08D3F616E1}">
  <dimension ref="A1:AM19"/>
  <sheetViews>
    <sheetView zoomScale="86" zoomScaleNormal="86" workbookViewId="0">
      <pane xSplit="5" ySplit="2" topLeftCell="K3" activePane="bottomRight" state="frozen"/>
      <selection pane="topRight" activeCell="F1" sqref="F1"/>
      <selection pane="bottomLeft" activeCell="A3" sqref="A3"/>
      <selection pane="bottomRight" activeCell="E15" sqref="E15"/>
    </sheetView>
  </sheetViews>
  <sheetFormatPr baseColWidth="10" defaultColWidth="8.83203125" defaultRowHeight="15" x14ac:dyDescent="0.2"/>
  <cols>
    <col min="2" max="2" width="30.33203125" customWidth="1"/>
    <col min="3" max="3" width="13.1640625" bestFit="1" customWidth="1"/>
    <col min="4" max="4" width="12.6640625" customWidth="1"/>
    <col min="5" max="5" width="18.83203125" bestFit="1" customWidth="1"/>
    <col min="6" max="6" width="15.6640625" customWidth="1"/>
    <col min="7" max="7" width="3.33203125" customWidth="1"/>
    <col min="8" max="8" width="15.1640625" bestFit="1" customWidth="1"/>
    <col min="9" max="12" width="13.33203125" bestFit="1" customWidth="1"/>
    <col min="13" max="13" width="13.6640625" customWidth="1"/>
    <col min="14" max="14" width="15.33203125" customWidth="1"/>
    <col min="15" max="15" width="16.33203125" customWidth="1"/>
    <col min="16" max="16" width="13.5" customWidth="1"/>
    <col min="17" max="17" width="15.5" customWidth="1"/>
    <col min="18" max="18" width="15.1640625" bestFit="1" customWidth="1"/>
    <col min="19" max="19" width="2.83203125" customWidth="1"/>
    <col min="20" max="20" width="18.1640625" customWidth="1"/>
    <col min="23" max="23" width="16.5" customWidth="1"/>
    <col min="24" max="24" width="16.1640625" customWidth="1"/>
    <col min="25" max="25" width="14.83203125" customWidth="1"/>
    <col min="26" max="27" width="13.5" bestFit="1" customWidth="1"/>
    <col min="28" max="28" width="18" customWidth="1"/>
    <col min="29" max="31" width="14.83203125" customWidth="1"/>
    <col min="32" max="32" width="11.83203125"/>
    <col min="33" max="33" width="17.33203125" customWidth="1"/>
    <col min="34" max="37" width="11.83203125"/>
    <col min="38" max="38" width="13.5" bestFit="1" customWidth="1"/>
    <col min="39" max="39" width="14.83203125" customWidth="1"/>
  </cols>
  <sheetData>
    <row r="1" spans="1:39" ht="19" x14ac:dyDescent="0.25">
      <c r="A1" s="16"/>
      <c r="B1" s="16"/>
      <c r="C1" s="16"/>
      <c r="D1" s="16"/>
      <c r="E1" s="16"/>
      <c r="F1" s="16"/>
      <c r="G1" s="16"/>
      <c r="H1" s="20">
        <v>0.7</v>
      </c>
      <c r="I1" s="20">
        <v>0.1</v>
      </c>
      <c r="J1" s="20">
        <v>0.1</v>
      </c>
      <c r="K1" s="21">
        <v>3.3300000000000003E-2</v>
      </c>
      <c r="L1" s="21">
        <v>3.3300000000000003E-2</v>
      </c>
      <c r="M1" s="21">
        <v>3.3399999999999999E-2</v>
      </c>
      <c r="N1" s="21"/>
      <c r="O1" s="21" t="s">
        <v>58</v>
      </c>
      <c r="P1" s="36" t="s">
        <v>72</v>
      </c>
      <c r="Q1" s="22"/>
      <c r="R1" s="22"/>
      <c r="S1" s="22"/>
      <c r="T1" s="22"/>
      <c r="W1" s="37" t="s">
        <v>68</v>
      </c>
      <c r="X1" s="4"/>
      <c r="Y1" s="4"/>
      <c r="Z1" s="4"/>
      <c r="AA1" s="4"/>
      <c r="AB1" s="4"/>
      <c r="AC1" s="4"/>
      <c r="AD1" s="4"/>
      <c r="AE1" s="4" t="s">
        <v>68</v>
      </c>
      <c r="AF1" s="30" t="s">
        <v>65</v>
      </c>
      <c r="AG1">
        <f>IF(AF1="Annual",1,0.0833333)</f>
        <v>8.3333299999999999E-2</v>
      </c>
      <c r="AH1" s="4"/>
      <c r="AI1" s="4"/>
      <c r="AJ1" s="4"/>
      <c r="AK1" s="4"/>
      <c r="AL1" s="4"/>
      <c r="AM1" s="4"/>
    </row>
    <row r="2" spans="1:39" ht="51" x14ac:dyDescent="0.2">
      <c r="A2" s="46" t="s">
        <v>49</v>
      </c>
      <c r="B2" s="47" t="s">
        <v>29</v>
      </c>
      <c r="C2" s="47" t="s">
        <v>30</v>
      </c>
      <c r="D2" s="47" t="s">
        <v>10</v>
      </c>
      <c r="E2" s="47" t="s">
        <v>31</v>
      </c>
      <c r="F2" s="35" t="s">
        <v>11</v>
      </c>
      <c r="G2" s="35"/>
      <c r="H2" s="35" t="s">
        <v>42</v>
      </c>
      <c r="I2" s="35" t="s">
        <v>43</v>
      </c>
      <c r="J2" s="35" t="s">
        <v>44</v>
      </c>
      <c r="K2" s="35" t="s">
        <v>45</v>
      </c>
      <c r="L2" s="35" t="s">
        <v>46</v>
      </c>
      <c r="M2" s="35" t="s">
        <v>47</v>
      </c>
      <c r="N2" s="35" t="s">
        <v>48</v>
      </c>
      <c r="O2" s="19" t="s">
        <v>55</v>
      </c>
      <c r="P2" s="18" t="s">
        <v>56</v>
      </c>
      <c r="Q2" s="45" t="s">
        <v>57</v>
      </c>
      <c r="R2" s="35" t="s">
        <v>71</v>
      </c>
      <c r="S2" s="10"/>
      <c r="T2" s="19" t="s">
        <v>6</v>
      </c>
      <c r="U2" s="48"/>
      <c r="V2" s="48"/>
      <c r="W2" s="32" t="s">
        <v>67</v>
      </c>
      <c r="X2" s="23" t="s">
        <v>59</v>
      </c>
      <c r="Y2" s="24" t="s">
        <v>60</v>
      </c>
      <c r="Z2" s="24" t="s">
        <v>61</v>
      </c>
      <c r="AA2" s="24" t="s">
        <v>62</v>
      </c>
      <c r="AB2" s="25" t="s">
        <v>63</v>
      </c>
      <c r="AC2" s="26" t="s">
        <v>64</v>
      </c>
      <c r="AD2" s="29"/>
      <c r="AE2" s="32" t="s">
        <v>67</v>
      </c>
      <c r="AF2" s="31"/>
      <c r="AG2" s="27">
        <v>7.0000000000000007E-2</v>
      </c>
      <c r="AH2" s="27">
        <v>0.11</v>
      </c>
      <c r="AI2" s="27">
        <v>0.15</v>
      </c>
      <c r="AJ2" s="27">
        <v>0.19</v>
      </c>
      <c r="AK2" s="27">
        <v>0.21</v>
      </c>
      <c r="AL2" s="27">
        <v>0.24</v>
      </c>
      <c r="AM2" s="26" t="s">
        <v>66</v>
      </c>
    </row>
    <row r="3" spans="1:39" ht="16" x14ac:dyDescent="0.2">
      <c r="A3" s="14">
        <v>1</v>
      </c>
      <c r="B3" s="14" t="s">
        <v>13</v>
      </c>
      <c r="C3" s="14"/>
      <c r="D3" s="14" t="s">
        <v>12</v>
      </c>
      <c r="E3" s="14" t="s">
        <v>13</v>
      </c>
      <c r="F3" s="119">
        <v>4760000</v>
      </c>
      <c r="G3" s="119"/>
      <c r="H3" s="39">
        <f>F3*$H$1</f>
        <v>3332000</v>
      </c>
      <c r="I3" s="39">
        <f t="shared" ref="I3:I18" si="0">F3*$I$1</f>
        <v>476000</v>
      </c>
      <c r="J3" s="39">
        <f>F3*$J$1</f>
        <v>476000</v>
      </c>
      <c r="K3" s="39">
        <f>F3*$K$1</f>
        <v>158508.00000000003</v>
      </c>
      <c r="L3" s="39">
        <f>F3*$L$1</f>
        <v>158508.00000000003</v>
      </c>
      <c r="M3" s="39">
        <f>F3*$M$1</f>
        <v>158984</v>
      </c>
      <c r="N3" s="39">
        <f>SUM(H3:M3)</f>
        <v>4760000</v>
      </c>
      <c r="O3" s="39">
        <f>(H3+I3+J3)*8%</f>
        <v>342720</v>
      </c>
      <c r="P3" s="39">
        <f>2.5%*N3</f>
        <v>119000</v>
      </c>
      <c r="Q3" s="39">
        <f>AM3</f>
        <v>797620.56160000002</v>
      </c>
      <c r="R3" s="39">
        <f>N3-O3-P3-Q3</f>
        <v>3500659.4383999999</v>
      </c>
      <c r="S3" s="17"/>
      <c r="T3" s="17">
        <f>(H3+I3+J3)*10%</f>
        <v>428400</v>
      </c>
      <c r="X3" s="6">
        <f>N3-O3-P3</f>
        <v>4298280</v>
      </c>
      <c r="Y3" s="6">
        <f>IF(X3*1%&gt;200000*$AG$1,X3*1%,200000*$AG$1)+(20%*X3)</f>
        <v>902638.8</v>
      </c>
      <c r="Z3" s="6">
        <f>O3</f>
        <v>342720</v>
      </c>
      <c r="AA3" s="6">
        <f>P3</f>
        <v>119000</v>
      </c>
      <c r="AB3" s="6">
        <f>SUM(Y3:AA3)</f>
        <v>1364358.8</v>
      </c>
      <c r="AC3" s="6">
        <f>N3-AB3</f>
        <v>3395641.2</v>
      </c>
      <c r="AD3" s="5"/>
      <c r="AE3" s="5"/>
      <c r="AF3" s="31"/>
      <c r="AG3" s="28">
        <f>IF(300000*$AG$1&lt;AC3,300000*$AG$1,AC3)*$AG$2</f>
        <v>1749.9992999999999</v>
      </c>
      <c r="AH3" s="28">
        <f>(IF(300000*$AG$1&gt;AC3,0,IF(600000*$AG$1&gt;AC3,(AC3-(300000*$AG$1)),IF(600000*$AG$1&lt;AC3,300000*$AG$1))))*$AH$2</f>
        <v>2749.9988999999996</v>
      </c>
      <c r="AI3" s="28">
        <f>(IF(600000*$AG$1&gt;AC3,0,IF(1100000*$AG$1&gt;AC3,(AC3-(600000*$AG$1)),IF(1100000*$AG$1&lt;AC3,500000*$AG$1))))*$AI$2</f>
        <v>6249.9975000000004</v>
      </c>
      <c r="AJ3" s="28">
        <f>(IF(1100000*$AG$1&gt;AC3,0,IF(1600000*$AG$1&gt;AC3,(AC3-(1100000*$AG$1)),IF(1600000*$AG$1&lt;AC3,500000*$AG$1))))*$AJ$2</f>
        <v>7916.6635000000006</v>
      </c>
      <c r="AK3" s="28">
        <f>(IF(1600000*$AG$1&gt;AC3,0,IF(3200000*$AG$1&gt;AC3,(AC3-(1600000*$AG$1)),IF(3200000*$AG$1&lt;AC3,1600000*$AG$1))))*$AK$2</f>
        <v>27999.988799999999</v>
      </c>
      <c r="AL3" s="28">
        <f>(IF(3200000*$AG$1&gt;AC3,0,IF(3200000*$AG$1&lt;AC3,AC3-3200000*$AG$1)))*$AL$2</f>
        <v>750953.91359999997</v>
      </c>
      <c r="AM3" s="28">
        <f>SUM(AG3:AL3)</f>
        <v>797620.56160000002</v>
      </c>
    </row>
    <row r="4" spans="1:39" ht="16" x14ac:dyDescent="0.2">
      <c r="A4" s="14">
        <f>A3+1</f>
        <v>2</v>
      </c>
      <c r="B4" s="12" t="s">
        <v>32</v>
      </c>
      <c r="C4" s="12"/>
      <c r="D4" s="12" t="s">
        <v>14</v>
      </c>
      <c r="E4" s="12" t="s">
        <v>15</v>
      </c>
      <c r="F4" s="119">
        <v>2710000</v>
      </c>
      <c r="G4" s="119"/>
      <c r="H4" s="39">
        <f t="shared" ref="H4:H18" si="1">F4*$H$1</f>
        <v>1896999.9999999998</v>
      </c>
      <c r="I4" s="39">
        <f t="shared" si="0"/>
        <v>271000</v>
      </c>
      <c r="J4" s="39">
        <f t="shared" ref="J4:J18" si="2">F4*$J$1</f>
        <v>271000</v>
      </c>
      <c r="K4" s="39">
        <f t="shared" ref="K4:K18" si="3">F4*$K$1</f>
        <v>90243.000000000015</v>
      </c>
      <c r="L4" s="39">
        <f t="shared" ref="L4:L18" si="4">F4*$L$1</f>
        <v>90243.000000000015</v>
      </c>
      <c r="M4" s="39">
        <f t="shared" ref="M4:M18" si="5">F4*$M$1</f>
        <v>90514</v>
      </c>
      <c r="N4" s="39">
        <f t="shared" ref="N4:N18" si="6">SUM(H4:M4)</f>
        <v>2710000</v>
      </c>
      <c r="O4" s="39">
        <f t="shared" ref="O4:O16" si="7">(H4+I4+J4)*8%</f>
        <v>195120</v>
      </c>
      <c r="P4" s="39">
        <f t="shared" ref="P4:P16" si="8">2.5%*N4</f>
        <v>67750</v>
      </c>
      <c r="Q4" s="39">
        <f t="shared" ref="Q4:Q18" si="9">AM4</f>
        <v>446642.52159999992</v>
      </c>
      <c r="R4" s="39">
        <f t="shared" ref="R4:R18" si="10">N4-O4-P4-Q4</f>
        <v>2000487.4784000001</v>
      </c>
      <c r="S4" s="17"/>
      <c r="T4" s="17">
        <f t="shared" ref="T4:T16" si="11">(H4+I4+J4)*10%</f>
        <v>243900</v>
      </c>
      <c r="X4" s="6">
        <f t="shared" ref="X4:X18" si="12">N4-O4-P4</f>
        <v>2447130</v>
      </c>
      <c r="Y4" s="6">
        <f t="shared" ref="Y4:Y18" si="13">IF(X4*1%&gt;200000*$AG$1,X4*1%,200000*$AG$1)+(20%*X4)</f>
        <v>513897.3</v>
      </c>
      <c r="Z4" s="6">
        <f t="shared" ref="Z4:Z18" si="14">O4</f>
        <v>195120</v>
      </c>
      <c r="AA4" s="6">
        <f t="shared" ref="AA4:AA18" si="15">P4</f>
        <v>67750</v>
      </c>
      <c r="AB4" s="6">
        <f t="shared" ref="AB4:AB18" si="16">SUM(Y4:AA4)</f>
        <v>776767.3</v>
      </c>
      <c r="AC4" s="6">
        <f t="shared" ref="AC4:AC18" si="17">N4-AB4</f>
        <v>1933232.7</v>
      </c>
      <c r="AD4" s="5"/>
      <c r="AE4" s="5"/>
      <c r="AF4" s="31"/>
      <c r="AG4" s="28">
        <f t="shared" ref="AG4:AG18" si="18">IF(300000*$AG$1&lt;AC4,300000*$AG$1,AC4)*$AG$2</f>
        <v>1749.9992999999999</v>
      </c>
      <c r="AH4" s="28">
        <f t="shared" ref="AH4:AH18" si="19">(IF(300000*$AG$1&gt;AC4,0,IF(600000*$AG$1&gt;AC4,(AC4-(300000*$AG$1)),IF(600000*$AG$1&lt;AC4,300000*$AG$1))))*$AH$2</f>
        <v>2749.9988999999996</v>
      </c>
      <c r="AI4" s="28">
        <f t="shared" ref="AI4:AI18" si="20">(IF(600000*$AG$1&gt;AC4,0,IF(1100000*$AG$1&gt;AC4,(AC4-(600000*$AG$1)),IF(1100000*$AG$1&lt;AC4,500000*$AG$1))))*$AI$2</f>
        <v>6249.9975000000004</v>
      </c>
      <c r="AJ4" s="28">
        <f t="shared" ref="AJ4:AJ18" si="21">(IF(1100000*$AG$1&gt;AC4,0,IF(1600000*$AG$1&gt;AC4,(AC4-(1100000*$AG$1)),IF(1600000*$AG$1&lt;AC4,500000*$AG$1))))*$AJ$2</f>
        <v>7916.6635000000006</v>
      </c>
      <c r="AK4" s="28">
        <f t="shared" ref="AK4:AK18" si="22">(IF(1600000*$AG$1&gt;AC4,0,IF(3200000*$AG$1&gt;AC4,(AC4-(1600000*$AG$1)),IF(3200000*$AG$1&lt;AC4,1600000*$AG$1))))*$AK$2</f>
        <v>27999.988799999999</v>
      </c>
      <c r="AL4" s="28">
        <f t="shared" ref="AL4:AL18" si="23">(IF(3200000*$AG$1&gt;AC4,0,IF(3200000*$AG$1&lt;AC4,AC4-3200000*$AG$1)))*$AL$2</f>
        <v>399975.87359999993</v>
      </c>
      <c r="AM4" s="28">
        <f t="shared" ref="AM4:AM18" si="24">SUM(AG4:AL4)</f>
        <v>446642.52159999992</v>
      </c>
    </row>
    <row r="5" spans="1:39" ht="16" x14ac:dyDescent="0.2">
      <c r="A5" s="14">
        <f t="shared" ref="A5:A18" si="25">A4+1</f>
        <v>3</v>
      </c>
      <c r="B5" s="12" t="s">
        <v>33</v>
      </c>
      <c r="C5" s="12"/>
      <c r="D5" s="14" t="s">
        <v>16</v>
      </c>
      <c r="E5" s="15" t="s">
        <v>17</v>
      </c>
      <c r="F5" s="119">
        <v>555000</v>
      </c>
      <c r="G5" s="119"/>
      <c r="H5" s="39">
        <f t="shared" si="1"/>
        <v>388500</v>
      </c>
      <c r="I5" s="39">
        <f t="shared" si="0"/>
        <v>55500</v>
      </c>
      <c r="J5" s="39">
        <f t="shared" si="2"/>
        <v>55500</v>
      </c>
      <c r="K5" s="39">
        <f t="shared" si="3"/>
        <v>18481.5</v>
      </c>
      <c r="L5" s="39">
        <f t="shared" si="4"/>
        <v>18481.5</v>
      </c>
      <c r="M5" s="39">
        <f t="shared" si="5"/>
        <v>18537</v>
      </c>
      <c r="N5" s="39">
        <f t="shared" si="6"/>
        <v>555000</v>
      </c>
      <c r="O5" s="39">
        <f t="shared" si="7"/>
        <v>39960</v>
      </c>
      <c r="P5" s="39">
        <f t="shared" si="8"/>
        <v>13875</v>
      </c>
      <c r="Q5" s="39">
        <f t="shared" si="9"/>
        <v>74890.355199999991</v>
      </c>
      <c r="R5" s="39">
        <f t="shared" si="10"/>
        <v>426274.64480000001</v>
      </c>
      <c r="S5" s="17"/>
      <c r="T5" s="17">
        <f t="shared" si="11"/>
        <v>49950</v>
      </c>
      <c r="X5" s="6">
        <f t="shared" si="12"/>
        <v>501165</v>
      </c>
      <c r="Y5" s="6">
        <f t="shared" si="13"/>
        <v>116899.66</v>
      </c>
      <c r="Z5" s="6">
        <f t="shared" si="14"/>
        <v>39960</v>
      </c>
      <c r="AA5" s="6">
        <f t="shared" si="15"/>
        <v>13875</v>
      </c>
      <c r="AB5" s="6">
        <f t="shared" si="16"/>
        <v>170734.66</v>
      </c>
      <c r="AC5" s="6">
        <f t="shared" si="17"/>
        <v>384265.33999999997</v>
      </c>
      <c r="AD5" s="5"/>
      <c r="AE5" s="5"/>
      <c r="AF5" s="31"/>
      <c r="AG5" s="28">
        <f t="shared" si="18"/>
        <v>1749.9992999999999</v>
      </c>
      <c r="AH5" s="28">
        <f t="shared" si="19"/>
        <v>2749.9988999999996</v>
      </c>
      <c r="AI5" s="28">
        <f t="shared" si="20"/>
        <v>6249.9975000000004</v>
      </c>
      <c r="AJ5" s="28">
        <f t="shared" si="21"/>
        <v>7916.6635000000006</v>
      </c>
      <c r="AK5" s="28">
        <f t="shared" si="22"/>
        <v>27999.988799999999</v>
      </c>
      <c r="AL5" s="28">
        <f t="shared" si="23"/>
        <v>28223.707199999993</v>
      </c>
      <c r="AM5" s="28">
        <f t="shared" si="24"/>
        <v>74890.355199999991</v>
      </c>
    </row>
    <row r="6" spans="1:39" ht="16" x14ac:dyDescent="0.2">
      <c r="A6" s="14">
        <f t="shared" si="25"/>
        <v>4</v>
      </c>
      <c r="B6" s="12" t="s">
        <v>34</v>
      </c>
      <c r="C6" s="12"/>
      <c r="D6" s="14" t="s">
        <v>18</v>
      </c>
      <c r="E6" s="15" t="s">
        <v>19</v>
      </c>
      <c r="F6" s="119">
        <v>315000</v>
      </c>
      <c r="G6" s="119"/>
      <c r="H6" s="39">
        <f t="shared" si="1"/>
        <v>220500</v>
      </c>
      <c r="I6" s="39">
        <f t="shared" si="0"/>
        <v>31500</v>
      </c>
      <c r="J6" s="39">
        <f t="shared" si="2"/>
        <v>31500</v>
      </c>
      <c r="K6" s="39">
        <f t="shared" si="3"/>
        <v>10489.500000000002</v>
      </c>
      <c r="L6" s="39">
        <f t="shared" si="4"/>
        <v>10489.500000000002</v>
      </c>
      <c r="M6" s="39">
        <f t="shared" si="5"/>
        <v>10521</v>
      </c>
      <c r="N6" s="39">
        <f t="shared" si="6"/>
        <v>315000</v>
      </c>
      <c r="O6" s="39">
        <f t="shared" si="7"/>
        <v>22680</v>
      </c>
      <c r="P6" s="39">
        <f t="shared" si="8"/>
        <v>7875</v>
      </c>
      <c r="Q6" s="39">
        <f t="shared" si="9"/>
        <v>34953.431799999998</v>
      </c>
      <c r="R6" s="39">
        <f t="shared" si="10"/>
        <v>249491.56820000001</v>
      </c>
      <c r="S6" s="17"/>
      <c r="T6" s="17">
        <f t="shared" si="11"/>
        <v>28350</v>
      </c>
      <c r="X6" s="6">
        <f t="shared" si="12"/>
        <v>284445</v>
      </c>
      <c r="Y6" s="6">
        <f t="shared" si="13"/>
        <v>73555.66</v>
      </c>
      <c r="Z6" s="6">
        <f t="shared" si="14"/>
        <v>22680</v>
      </c>
      <c r="AA6" s="6">
        <f t="shared" si="15"/>
        <v>7875</v>
      </c>
      <c r="AB6" s="6">
        <f t="shared" si="16"/>
        <v>104110.66</v>
      </c>
      <c r="AC6" s="6">
        <f t="shared" si="17"/>
        <v>210889.34</v>
      </c>
      <c r="AD6" s="5"/>
      <c r="AE6" s="5"/>
      <c r="AF6" s="31"/>
      <c r="AG6" s="28">
        <f t="shared" si="18"/>
        <v>1749.9992999999999</v>
      </c>
      <c r="AH6" s="28">
        <f t="shared" si="19"/>
        <v>2749.9988999999996</v>
      </c>
      <c r="AI6" s="28">
        <f t="shared" si="20"/>
        <v>6249.9975000000004</v>
      </c>
      <c r="AJ6" s="28">
        <f t="shared" si="21"/>
        <v>7916.6635000000006</v>
      </c>
      <c r="AK6" s="28">
        <f t="shared" si="22"/>
        <v>16286.772599999998</v>
      </c>
      <c r="AL6" s="28">
        <f t="shared" si="23"/>
        <v>0</v>
      </c>
      <c r="AM6" s="28">
        <f t="shared" si="24"/>
        <v>34953.431799999998</v>
      </c>
    </row>
    <row r="7" spans="1:39" ht="16" x14ac:dyDescent="0.2">
      <c r="A7" s="14">
        <f t="shared" si="25"/>
        <v>5</v>
      </c>
      <c r="B7" s="12" t="s">
        <v>35</v>
      </c>
      <c r="C7" s="12"/>
      <c r="D7" s="14" t="s">
        <v>18</v>
      </c>
      <c r="E7" s="15" t="s">
        <v>19</v>
      </c>
      <c r="F7" s="119">
        <v>315000</v>
      </c>
      <c r="G7" s="119"/>
      <c r="H7" s="39">
        <f t="shared" si="1"/>
        <v>220500</v>
      </c>
      <c r="I7" s="39">
        <f t="shared" si="0"/>
        <v>31500</v>
      </c>
      <c r="J7" s="39">
        <f t="shared" si="2"/>
        <v>31500</v>
      </c>
      <c r="K7" s="39">
        <f t="shared" si="3"/>
        <v>10489.500000000002</v>
      </c>
      <c r="L7" s="39">
        <f t="shared" si="4"/>
        <v>10489.500000000002</v>
      </c>
      <c r="M7" s="39">
        <f t="shared" si="5"/>
        <v>10521</v>
      </c>
      <c r="N7" s="39">
        <f t="shared" si="6"/>
        <v>315000</v>
      </c>
      <c r="O7" s="39">
        <f t="shared" si="7"/>
        <v>22680</v>
      </c>
      <c r="P7" s="39">
        <f t="shared" si="8"/>
        <v>7875</v>
      </c>
      <c r="Q7" s="39">
        <f t="shared" si="9"/>
        <v>34953.431799999998</v>
      </c>
      <c r="R7" s="39">
        <f t="shared" si="10"/>
        <v>249491.56820000001</v>
      </c>
      <c r="S7" s="17"/>
      <c r="T7" s="17">
        <f t="shared" si="11"/>
        <v>28350</v>
      </c>
      <c r="X7" s="6">
        <f t="shared" si="12"/>
        <v>284445</v>
      </c>
      <c r="Y7" s="6">
        <f t="shared" si="13"/>
        <v>73555.66</v>
      </c>
      <c r="Z7" s="6">
        <f t="shared" si="14"/>
        <v>22680</v>
      </c>
      <c r="AA7" s="6">
        <f t="shared" si="15"/>
        <v>7875</v>
      </c>
      <c r="AB7" s="6">
        <f t="shared" si="16"/>
        <v>104110.66</v>
      </c>
      <c r="AC7" s="6">
        <f t="shared" si="17"/>
        <v>210889.34</v>
      </c>
      <c r="AD7" s="5"/>
      <c r="AE7" s="5"/>
      <c r="AF7" s="31"/>
      <c r="AG7" s="28">
        <f t="shared" si="18"/>
        <v>1749.9992999999999</v>
      </c>
      <c r="AH7" s="28">
        <f t="shared" si="19"/>
        <v>2749.9988999999996</v>
      </c>
      <c r="AI7" s="28">
        <f t="shared" si="20"/>
        <v>6249.9975000000004</v>
      </c>
      <c r="AJ7" s="28">
        <f t="shared" si="21"/>
        <v>7916.6635000000006</v>
      </c>
      <c r="AK7" s="28">
        <f t="shared" si="22"/>
        <v>16286.772599999998</v>
      </c>
      <c r="AL7" s="28">
        <f t="shared" si="23"/>
        <v>0</v>
      </c>
      <c r="AM7" s="28">
        <f t="shared" si="24"/>
        <v>34953.431799999998</v>
      </c>
    </row>
    <row r="8" spans="1:39" ht="16" x14ac:dyDescent="0.2">
      <c r="A8" s="14">
        <f t="shared" si="25"/>
        <v>6</v>
      </c>
      <c r="B8" s="12" t="s">
        <v>155</v>
      </c>
      <c r="C8" s="12"/>
      <c r="D8" s="14" t="s">
        <v>18</v>
      </c>
      <c r="E8" s="15" t="s">
        <v>19</v>
      </c>
      <c r="F8" s="119">
        <v>315000</v>
      </c>
      <c r="G8" s="119"/>
      <c r="H8" s="39">
        <f t="shared" si="1"/>
        <v>220500</v>
      </c>
      <c r="I8" s="39">
        <f t="shared" si="0"/>
        <v>31500</v>
      </c>
      <c r="J8" s="39">
        <f t="shared" si="2"/>
        <v>31500</v>
      </c>
      <c r="K8" s="39">
        <f t="shared" si="3"/>
        <v>10489.500000000002</v>
      </c>
      <c r="L8" s="39">
        <f t="shared" si="4"/>
        <v>10489.500000000002</v>
      </c>
      <c r="M8" s="39">
        <f t="shared" si="5"/>
        <v>10521</v>
      </c>
      <c r="N8" s="39">
        <f t="shared" si="6"/>
        <v>315000</v>
      </c>
      <c r="O8" s="39">
        <f t="shared" si="7"/>
        <v>22680</v>
      </c>
      <c r="P8" s="39">
        <f t="shared" si="8"/>
        <v>7875</v>
      </c>
      <c r="Q8" s="39">
        <f t="shared" si="9"/>
        <v>34953.431799999998</v>
      </c>
      <c r="R8" s="39">
        <f t="shared" si="10"/>
        <v>249491.56820000001</v>
      </c>
      <c r="S8" s="17"/>
      <c r="T8" s="17">
        <f t="shared" si="11"/>
        <v>28350</v>
      </c>
      <c r="X8" s="6">
        <f t="shared" si="12"/>
        <v>284445</v>
      </c>
      <c r="Y8" s="6">
        <f t="shared" si="13"/>
        <v>73555.66</v>
      </c>
      <c r="Z8" s="6">
        <f t="shared" si="14"/>
        <v>22680</v>
      </c>
      <c r="AA8" s="6">
        <f t="shared" si="15"/>
        <v>7875</v>
      </c>
      <c r="AB8" s="6">
        <f t="shared" si="16"/>
        <v>104110.66</v>
      </c>
      <c r="AC8" s="6">
        <f t="shared" si="17"/>
        <v>210889.34</v>
      </c>
      <c r="AD8" s="5"/>
      <c r="AE8" s="5"/>
      <c r="AF8" s="31"/>
      <c r="AG8" s="28">
        <f t="shared" si="18"/>
        <v>1749.9992999999999</v>
      </c>
      <c r="AH8" s="28">
        <f t="shared" si="19"/>
        <v>2749.9988999999996</v>
      </c>
      <c r="AI8" s="28">
        <f t="shared" si="20"/>
        <v>6249.9975000000004</v>
      </c>
      <c r="AJ8" s="28">
        <f t="shared" si="21"/>
        <v>7916.6635000000006</v>
      </c>
      <c r="AK8" s="28">
        <f t="shared" si="22"/>
        <v>16286.772599999998</v>
      </c>
      <c r="AL8" s="28">
        <f t="shared" si="23"/>
        <v>0</v>
      </c>
      <c r="AM8" s="28">
        <f t="shared" si="24"/>
        <v>34953.431799999998</v>
      </c>
    </row>
    <row r="9" spans="1:39" ht="16" x14ac:dyDescent="0.2">
      <c r="A9" s="14">
        <f t="shared" si="25"/>
        <v>7</v>
      </c>
      <c r="B9" s="12" t="s">
        <v>157</v>
      </c>
      <c r="C9" s="12"/>
      <c r="D9" s="14" t="s">
        <v>20</v>
      </c>
      <c r="E9" s="15" t="s">
        <v>21</v>
      </c>
      <c r="F9" s="119">
        <v>150000</v>
      </c>
      <c r="G9" s="119"/>
      <c r="H9" s="39">
        <f t="shared" ref="H9" si="26">F9*$H$1</f>
        <v>105000</v>
      </c>
      <c r="I9" s="39">
        <f t="shared" ref="I9" si="27">F9*$I$1</f>
        <v>15000</v>
      </c>
      <c r="J9" s="39">
        <f t="shared" ref="J9" si="28">F9*$J$1</f>
        <v>15000</v>
      </c>
      <c r="K9" s="39">
        <f t="shared" ref="K9" si="29">F9*$K$1</f>
        <v>4995.0000000000009</v>
      </c>
      <c r="L9" s="39">
        <f t="shared" ref="L9" si="30">F9*$L$1</f>
        <v>4995.0000000000009</v>
      </c>
      <c r="M9" s="39">
        <f t="shared" ref="M9" si="31">F9*$M$1</f>
        <v>5010</v>
      </c>
      <c r="N9" s="39">
        <f t="shared" ref="N9" si="32">SUM(H9:M9)</f>
        <v>150000</v>
      </c>
      <c r="O9" s="39">
        <f t="shared" ref="O9" si="33">(H9+I9+J9)*8%</f>
        <v>10800</v>
      </c>
      <c r="P9" s="39">
        <f t="shared" ref="P9" si="34">2.5%*N9</f>
        <v>3750</v>
      </c>
      <c r="Q9" s="39">
        <f t="shared" ref="Q9" si="35">AM9</f>
        <v>10755.070599999997</v>
      </c>
      <c r="R9" s="39">
        <f t="shared" ref="R9" si="36">N9-O9-P9-Q9</f>
        <v>124694.92940000001</v>
      </c>
      <c r="S9" s="17"/>
      <c r="T9" s="17">
        <f t="shared" ref="T9" si="37">(H9+I9+J9)*10%</f>
        <v>13500</v>
      </c>
      <c r="X9" s="6">
        <f t="shared" ref="X9" si="38">N9-O9-P9</f>
        <v>135450</v>
      </c>
      <c r="Y9" s="6">
        <f t="shared" ref="Y9" si="39">IF(X9*1%&gt;200000*$AG$1,X9*1%,200000*$AG$1)+(20%*X9)</f>
        <v>43756.66</v>
      </c>
      <c r="Z9" s="6">
        <f t="shared" ref="Z9" si="40">O9</f>
        <v>10800</v>
      </c>
      <c r="AA9" s="6">
        <f t="shared" ref="AA9" si="41">P9</f>
        <v>3750</v>
      </c>
      <c r="AB9" s="6">
        <f t="shared" ref="AB9" si="42">SUM(Y9:AA9)</f>
        <v>58306.66</v>
      </c>
      <c r="AC9" s="6">
        <f t="shared" ref="AC9" si="43">N9-AB9</f>
        <v>91693.34</v>
      </c>
      <c r="AD9" s="5"/>
      <c r="AE9" s="5"/>
      <c r="AF9" s="31"/>
      <c r="AG9" s="28">
        <f t="shared" ref="AG9" si="44">IF(300000*$AG$1&lt;AC9,300000*$AG$1,AC9)*$AG$2</f>
        <v>1749.9992999999999</v>
      </c>
      <c r="AH9" s="28">
        <f t="shared" ref="AH9" si="45">(IF(300000*$AG$1&gt;AC9,0,IF(600000*$AG$1&gt;AC9,(AC9-(300000*$AG$1)),IF(600000*$AG$1&lt;AC9,300000*$AG$1))))*$AH$2</f>
        <v>2749.9988999999996</v>
      </c>
      <c r="AI9" s="28">
        <f t="shared" ref="AI9" si="46">(IF(600000*$AG$1&gt;AC9,0,IF(1100000*$AG$1&gt;AC9,(AC9-(600000*$AG$1)),IF(1100000*$AG$1&lt;AC9,500000*$AG$1))))*$AI$2</f>
        <v>6249.9975000000004</v>
      </c>
      <c r="AJ9" s="28">
        <f t="shared" ref="AJ9" si="47">(IF(1100000*$AG$1&gt;AC9,0,IF(1600000*$AG$1&gt;AC9,(AC9-(1100000*$AG$1)),IF(1600000*$AG$1&lt;AC9,500000*$AG$1))))*$AJ$2</f>
        <v>5.0748999999984514</v>
      </c>
      <c r="AK9" s="28">
        <f t="shared" ref="AK9" si="48">(IF(1600000*$AG$1&gt;AC9,0,IF(3200000*$AG$1&gt;AC9,(AC9-(1600000*$AG$1)),IF(3200000*$AG$1&lt;AC9,1600000*$AG$1))))*$AK$2</f>
        <v>0</v>
      </c>
      <c r="AL9" s="28">
        <f t="shared" ref="AL9" si="49">(IF(3200000*$AG$1&gt;AC9,0,IF(3200000*$AG$1&lt;AC9,AC9-3200000*$AG$1)))*$AL$2</f>
        <v>0</v>
      </c>
      <c r="AM9" s="28">
        <f t="shared" ref="AM9" si="50">SUM(AG9:AL9)</f>
        <v>10755.070599999997</v>
      </c>
    </row>
    <row r="10" spans="1:39" ht="16" x14ac:dyDescent="0.2">
      <c r="A10" s="14">
        <f t="shared" si="25"/>
        <v>8</v>
      </c>
      <c r="B10" s="12" t="s">
        <v>36</v>
      </c>
      <c r="C10" s="12"/>
      <c r="D10" s="14" t="s">
        <v>18</v>
      </c>
      <c r="E10" s="15" t="s">
        <v>19</v>
      </c>
      <c r="F10" s="119">
        <v>315000</v>
      </c>
      <c r="G10" s="119"/>
      <c r="H10" s="39">
        <f t="shared" si="1"/>
        <v>220500</v>
      </c>
      <c r="I10" s="39">
        <f t="shared" si="0"/>
        <v>31500</v>
      </c>
      <c r="J10" s="39">
        <f t="shared" si="2"/>
        <v>31500</v>
      </c>
      <c r="K10" s="39">
        <f t="shared" si="3"/>
        <v>10489.500000000002</v>
      </c>
      <c r="L10" s="39">
        <f t="shared" si="4"/>
        <v>10489.500000000002</v>
      </c>
      <c r="M10" s="39">
        <f t="shared" si="5"/>
        <v>10521</v>
      </c>
      <c r="N10" s="39">
        <f t="shared" si="6"/>
        <v>315000</v>
      </c>
      <c r="O10" s="39">
        <f t="shared" si="7"/>
        <v>22680</v>
      </c>
      <c r="P10" s="39">
        <f t="shared" si="8"/>
        <v>7875</v>
      </c>
      <c r="Q10" s="39">
        <f t="shared" si="9"/>
        <v>34953.431799999998</v>
      </c>
      <c r="R10" s="39">
        <f t="shared" si="10"/>
        <v>249491.56820000001</v>
      </c>
      <c r="S10" s="17"/>
      <c r="T10" s="17">
        <f t="shared" si="11"/>
        <v>28350</v>
      </c>
      <c r="X10" s="6">
        <f t="shared" si="12"/>
        <v>284445</v>
      </c>
      <c r="Y10" s="6">
        <f t="shared" si="13"/>
        <v>73555.66</v>
      </c>
      <c r="Z10" s="6">
        <f t="shared" si="14"/>
        <v>22680</v>
      </c>
      <c r="AA10" s="6">
        <f t="shared" si="15"/>
        <v>7875</v>
      </c>
      <c r="AB10" s="6">
        <f t="shared" si="16"/>
        <v>104110.66</v>
      </c>
      <c r="AC10" s="6">
        <f t="shared" si="17"/>
        <v>210889.34</v>
      </c>
      <c r="AD10" s="5"/>
      <c r="AE10" s="5"/>
      <c r="AF10" s="31"/>
      <c r="AG10" s="28">
        <f t="shared" si="18"/>
        <v>1749.9992999999999</v>
      </c>
      <c r="AH10" s="28">
        <f t="shared" si="19"/>
        <v>2749.9988999999996</v>
      </c>
      <c r="AI10" s="28">
        <f t="shared" si="20"/>
        <v>6249.9975000000004</v>
      </c>
      <c r="AJ10" s="28">
        <f t="shared" si="21"/>
        <v>7916.6635000000006</v>
      </c>
      <c r="AK10" s="28">
        <f t="shared" si="22"/>
        <v>16286.772599999998</v>
      </c>
      <c r="AL10" s="28">
        <f t="shared" si="23"/>
        <v>0</v>
      </c>
      <c r="AM10" s="28">
        <f t="shared" si="24"/>
        <v>34953.431799999998</v>
      </c>
    </row>
    <row r="11" spans="1:39" ht="16" x14ac:dyDescent="0.2">
      <c r="A11" s="14">
        <f t="shared" si="25"/>
        <v>9</v>
      </c>
      <c r="B11" s="12" t="s">
        <v>37</v>
      </c>
      <c r="C11" s="12"/>
      <c r="D11" s="14" t="s">
        <v>18</v>
      </c>
      <c r="E11" s="15" t="s">
        <v>19</v>
      </c>
      <c r="F11" s="119">
        <v>315000</v>
      </c>
      <c r="G11" s="119"/>
      <c r="H11" s="39">
        <f t="shared" si="1"/>
        <v>220500</v>
      </c>
      <c r="I11" s="39">
        <f t="shared" si="0"/>
        <v>31500</v>
      </c>
      <c r="J11" s="39">
        <f t="shared" si="2"/>
        <v>31500</v>
      </c>
      <c r="K11" s="39">
        <f t="shared" si="3"/>
        <v>10489.500000000002</v>
      </c>
      <c r="L11" s="39">
        <f t="shared" si="4"/>
        <v>10489.500000000002</v>
      </c>
      <c r="M11" s="39">
        <f t="shared" si="5"/>
        <v>10521</v>
      </c>
      <c r="N11" s="39">
        <f t="shared" si="6"/>
        <v>315000</v>
      </c>
      <c r="O11" s="39">
        <f t="shared" si="7"/>
        <v>22680</v>
      </c>
      <c r="P11" s="39">
        <f t="shared" si="8"/>
        <v>7875</v>
      </c>
      <c r="Q11" s="39">
        <f t="shared" si="9"/>
        <v>34953.431799999998</v>
      </c>
      <c r="R11" s="39">
        <f t="shared" si="10"/>
        <v>249491.56820000001</v>
      </c>
      <c r="S11" s="17"/>
      <c r="T11" s="17">
        <f t="shared" si="11"/>
        <v>28350</v>
      </c>
      <c r="X11" s="6">
        <f t="shared" si="12"/>
        <v>284445</v>
      </c>
      <c r="Y11" s="6">
        <f t="shared" si="13"/>
        <v>73555.66</v>
      </c>
      <c r="Z11" s="6">
        <f t="shared" si="14"/>
        <v>22680</v>
      </c>
      <c r="AA11" s="6">
        <f t="shared" si="15"/>
        <v>7875</v>
      </c>
      <c r="AB11" s="6">
        <f t="shared" si="16"/>
        <v>104110.66</v>
      </c>
      <c r="AC11" s="6">
        <f t="shared" si="17"/>
        <v>210889.34</v>
      </c>
      <c r="AD11" s="5"/>
      <c r="AE11" s="5"/>
      <c r="AF11" s="31"/>
      <c r="AG11" s="28">
        <f t="shared" si="18"/>
        <v>1749.9992999999999</v>
      </c>
      <c r="AH11" s="28">
        <f t="shared" si="19"/>
        <v>2749.9988999999996</v>
      </c>
      <c r="AI11" s="28">
        <f t="shared" si="20"/>
        <v>6249.9975000000004</v>
      </c>
      <c r="AJ11" s="28">
        <f t="shared" si="21"/>
        <v>7916.6635000000006</v>
      </c>
      <c r="AK11" s="28">
        <f t="shared" si="22"/>
        <v>16286.772599999998</v>
      </c>
      <c r="AL11" s="28">
        <f t="shared" si="23"/>
        <v>0</v>
      </c>
      <c r="AM11" s="28">
        <f t="shared" si="24"/>
        <v>34953.431799999998</v>
      </c>
    </row>
    <row r="12" spans="1:39" ht="16" x14ac:dyDescent="0.2">
      <c r="A12" s="14">
        <f t="shared" si="25"/>
        <v>10</v>
      </c>
      <c r="B12" s="12" t="s">
        <v>51</v>
      </c>
      <c r="C12" s="12"/>
      <c r="D12" s="14" t="s">
        <v>18</v>
      </c>
      <c r="E12" s="15" t="s">
        <v>19</v>
      </c>
      <c r="F12" s="119">
        <v>315000</v>
      </c>
      <c r="G12" s="119"/>
      <c r="H12" s="39">
        <f t="shared" si="1"/>
        <v>220500</v>
      </c>
      <c r="I12" s="39">
        <f t="shared" si="0"/>
        <v>31500</v>
      </c>
      <c r="J12" s="39">
        <f t="shared" si="2"/>
        <v>31500</v>
      </c>
      <c r="K12" s="39">
        <f t="shared" si="3"/>
        <v>10489.500000000002</v>
      </c>
      <c r="L12" s="39">
        <f t="shared" si="4"/>
        <v>10489.500000000002</v>
      </c>
      <c r="M12" s="39">
        <f t="shared" si="5"/>
        <v>10521</v>
      </c>
      <c r="N12" s="39">
        <f t="shared" si="6"/>
        <v>315000</v>
      </c>
      <c r="O12" s="39">
        <f t="shared" si="7"/>
        <v>22680</v>
      </c>
      <c r="P12" s="39">
        <f t="shared" si="8"/>
        <v>7875</v>
      </c>
      <c r="Q12" s="39">
        <f t="shared" si="9"/>
        <v>34953.431799999998</v>
      </c>
      <c r="R12" s="39">
        <f t="shared" si="10"/>
        <v>249491.56820000001</v>
      </c>
      <c r="S12" s="17"/>
      <c r="T12" s="17">
        <f t="shared" si="11"/>
        <v>28350</v>
      </c>
      <c r="X12" s="6">
        <f t="shared" si="12"/>
        <v>284445</v>
      </c>
      <c r="Y12" s="6">
        <f t="shared" si="13"/>
        <v>73555.66</v>
      </c>
      <c r="Z12" s="6">
        <f t="shared" si="14"/>
        <v>22680</v>
      </c>
      <c r="AA12" s="6">
        <f t="shared" si="15"/>
        <v>7875</v>
      </c>
      <c r="AB12" s="6">
        <f t="shared" si="16"/>
        <v>104110.66</v>
      </c>
      <c r="AC12" s="6">
        <f t="shared" si="17"/>
        <v>210889.34</v>
      </c>
      <c r="AD12" s="5"/>
      <c r="AE12" s="5"/>
      <c r="AF12" s="31"/>
      <c r="AG12" s="28">
        <f t="shared" si="18"/>
        <v>1749.9992999999999</v>
      </c>
      <c r="AH12" s="28">
        <f t="shared" si="19"/>
        <v>2749.9988999999996</v>
      </c>
      <c r="AI12" s="28">
        <f t="shared" si="20"/>
        <v>6249.9975000000004</v>
      </c>
      <c r="AJ12" s="28">
        <f t="shared" si="21"/>
        <v>7916.6635000000006</v>
      </c>
      <c r="AK12" s="28">
        <f t="shared" si="22"/>
        <v>16286.772599999998</v>
      </c>
      <c r="AL12" s="28">
        <f t="shared" si="23"/>
        <v>0</v>
      </c>
      <c r="AM12" s="28">
        <f t="shared" si="24"/>
        <v>34953.431799999998</v>
      </c>
    </row>
    <row r="13" spans="1:39" ht="16" x14ac:dyDescent="0.2">
      <c r="A13" s="14">
        <f t="shared" si="25"/>
        <v>11</v>
      </c>
      <c r="B13" s="12" t="s">
        <v>87</v>
      </c>
      <c r="C13" s="12"/>
      <c r="D13" s="15" t="s">
        <v>18</v>
      </c>
      <c r="E13" s="15" t="s">
        <v>19</v>
      </c>
      <c r="F13" s="119">
        <v>315000</v>
      </c>
      <c r="G13" s="119"/>
      <c r="H13" s="39">
        <f t="shared" si="1"/>
        <v>220500</v>
      </c>
      <c r="I13" s="39">
        <f t="shared" si="0"/>
        <v>31500</v>
      </c>
      <c r="J13" s="39">
        <f t="shared" si="2"/>
        <v>31500</v>
      </c>
      <c r="K13" s="39">
        <f t="shared" si="3"/>
        <v>10489.500000000002</v>
      </c>
      <c r="L13" s="39">
        <f t="shared" si="4"/>
        <v>10489.500000000002</v>
      </c>
      <c r="M13" s="39">
        <f t="shared" si="5"/>
        <v>10521</v>
      </c>
      <c r="N13" s="39">
        <f t="shared" si="6"/>
        <v>315000</v>
      </c>
      <c r="O13" s="39">
        <f t="shared" si="7"/>
        <v>22680</v>
      </c>
      <c r="P13" s="39">
        <f t="shared" si="8"/>
        <v>7875</v>
      </c>
      <c r="Q13" s="39">
        <f t="shared" si="9"/>
        <v>34953.431799999998</v>
      </c>
      <c r="R13" s="39">
        <f t="shared" si="10"/>
        <v>249491.56820000001</v>
      </c>
      <c r="S13" s="17"/>
      <c r="T13" s="17">
        <f t="shared" si="11"/>
        <v>28350</v>
      </c>
      <c r="X13" s="6">
        <f t="shared" si="12"/>
        <v>284445</v>
      </c>
      <c r="Y13" s="6">
        <f t="shared" si="13"/>
        <v>73555.66</v>
      </c>
      <c r="Z13" s="6">
        <f t="shared" si="14"/>
        <v>22680</v>
      </c>
      <c r="AA13" s="6">
        <f t="shared" si="15"/>
        <v>7875</v>
      </c>
      <c r="AB13" s="6">
        <f t="shared" si="16"/>
        <v>104110.66</v>
      </c>
      <c r="AC13" s="6">
        <f t="shared" si="17"/>
        <v>210889.34</v>
      </c>
      <c r="AD13" s="5"/>
      <c r="AE13" s="5"/>
      <c r="AF13" s="31"/>
      <c r="AG13" s="28">
        <f t="shared" si="18"/>
        <v>1749.9992999999999</v>
      </c>
      <c r="AH13" s="28">
        <f t="shared" si="19"/>
        <v>2749.9988999999996</v>
      </c>
      <c r="AI13" s="28">
        <f t="shared" si="20"/>
        <v>6249.9975000000004</v>
      </c>
      <c r="AJ13" s="28">
        <f t="shared" si="21"/>
        <v>7916.6635000000006</v>
      </c>
      <c r="AK13" s="28">
        <f t="shared" si="22"/>
        <v>16286.772599999998</v>
      </c>
      <c r="AL13" s="28">
        <f t="shared" si="23"/>
        <v>0</v>
      </c>
      <c r="AM13" s="28">
        <f t="shared" si="24"/>
        <v>34953.431799999998</v>
      </c>
    </row>
    <row r="14" spans="1:39" ht="16" x14ac:dyDescent="0.2">
      <c r="A14" s="14">
        <f t="shared" si="25"/>
        <v>12</v>
      </c>
      <c r="B14" s="12" t="s">
        <v>38</v>
      </c>
      <c r="C14" s="12"/>
      <c r="D14" s="14" t="s">
        <v>18</v>
      </c>
      <c r="E14" s="15" t="s">
        <v>19</v>
      </c>
      <c r="F14" s="119">
        <v>315000</v>
      </c>
      <c r="G14" s="119"/>
      <c r="H14" s="39">
        <f t="shared" si="1"/>
        <v>220500</v>
      </c>
      <c r="I14" s="39">
        <f t="shared" si="0"/>
        <v>31500</v>
      </c>
      <c r="J14" s="39">
        <f t="shared" si="2"/>
        <v>31500</v>
      </c>
      <c r="K14" s="39">
        <f t="shared" si="3"/>
        <v>10489.500000000002</v>
      </c>
      <c r="L14" s="39">
        <f t="shared" si="4"/>
        <v>10489.500000000002</v>
      </c>
      <c r="M14" s="39">
        <f t="shared" si="5"/>
        <v>10521</v>
      </c>
      <c r="N14" s="39">
        <f t="shared" si="6"/>
        <v>315000</v>
      </c>
      <c r="O14" s="39">
        <f t="shared" si="7"/>
        <v>22680</v>
      </c>
      <c r="P14" s="39">
        <f t="shared" si="8"/>
        <v>7875</v>
      </c>
      <c r="Q14" s="39">
        <f t="shared" si="9"/>
        <v>34953.431799999998</v>
      </c>
      <c r="R14" s="39">
        <f t="shared" si="10"/>
        <v>249491.56820000001</v>
      </c>
      <c r="S14" s="17"/>
      <c r="T14" s="17">
        <f t="shared" si="11"/>
        <v>28350</v>
      </c>
      <c r="X14" s="6">
        <f t="shared" si="12"/>
        <v>284445</v>
      </c>
      <c r="Y14" s="6">
        <f t="shared" si="13"/>
        <v>73555.66</v>
      </c>
      <c r="Z14" s="6">
        <f t="shared" si="14"/>
        <v>22680</v>
      </c>
      <c r="AA14" s="6">
        <f t="shared" si="15"/>
        <v>7875</v>
      </c>
      <c r="AB14" s="6">
        <f t="shared" si="16"/>
        <v>104110.66</v>
      </c>
      <c r="AC14" s="6">
        <f t="shared" si="17"/>
        <v>210889.34</v>
      </c>
      <c r="AD14" s="5"/>
      <c r="AE14" s="5"/>
      <c r="AF14" s="31"/>
      <c r="AG14" s="28">
        <f t="shared" si="18"/>
        <v>1749.9992999999999</v>
      </c>
      <c r="AH14" s="28">
        <f t="shared" si="19"/>
        <v>2749.9988999999996</v>
      </c>
      <c r="AI14" s="28">
        <f t="shared" si="20"/>
        <v>6249.9975000000004</v>
      </c>
      <c r="AJ14" s="28">
        <f t="shared" si="21"/>
        <v>7916.6635000000006</v>
      </c>
      <c r="AK14" s="28">
        <f t="shared" si="22"/>
        <v>16286.772599999998</v>
      </c>
      <c r="AL14" s="28">
        <f t="shared" si="23"/>
        <v>0</v>
      </c>
      <c r="AM14" s="28">
        <f t="shared" si="24"/>
        <v>34953.431799999998</v>
      </c>
    </row>
    <row r="15" spans="1:39" ht="16" x14ac:dyDescent="0.2">
      <c r="A15" s="14">
        <f t="shared" si="25"/>
        <v>13</v>
      </c>
      <c r="B15" s="12" t="s">
        <v>52</v>
      </c>
      <c r="C15" s="12"/>
      <c r="D15" s="14" t="s">
        <v>20</v>
      </c>
      <c r="E15" s="15" t="s">
        <v>21</v>
      </c>
      <c r="F15" s="119">
        <v>150000</v>
      </c>
      <c r="G15" s="119"/>
      <c r="H15" s="39">
        <f t="shared" si="1"/>
        <v>105000</v>
      </c>
      <c r="I15" s="39">
        <f t="shared" si="0"/>
        <v>15000</v>
      </c>
      <c r="J15" s="39">
        <f t="shared" si="2"/>
        <v>15000</v>
      </c>
      <c r="K15" s="39">
        <f t="shared" si="3"/>
        <v>4995.0000000000009</v>
      </c>
      <c r="L15" s="39">
        <f t="shared" si="4"/>
        <v>4995.0000000000009</v>
      </c>
      <c r="M15" s="39">
        <f t="shared" si="5"/>
        <v>5010</v>
      </c>
      <c r="N15" s="39">
        <f t="shared" si="6"/>
        <v>150000</v>
      </c>
      <c r="O15" s="39">
        <f t="shared" si="7"/>
        <v>10800</v>
      </c>
      <c r="P15" s="39">
        <f t="shared" si="8"/>
        <v>3750</v>
      </c>
      <c r="Q15" s="39">
        <f t="shared" si="9"/>
        <v>10755.070599999997</v>
      </c>
      <c r="R15" s="39">
        <f t="shared" si="10"/>
        <v>124694.92940000001</v>
      </c>
      <c r="S15" s="17"/>
      <c r="T15" s="17">
        <f t="shared" si="11"/>
        <v>13500</v>
      </c>
      <c r="X15" s="6">
        <f t="shared" si="12"/>
        <v>135450</v>
      </c>
      <c r="Y15" s="6">
        <f t="shared" si="13"/>
        <v>43756.66</v>
      </c>
      <c r="Z15" s="6">
        <f t="shared" si="14"/>
        <v>10800</v>
      </c>
      <c r="AA15" s="6">
        <f t="shared" si="15"/>
        <v>3750</v>
      </c>
      <c r="AB15" s="6">
        <f t="shared" si="16"/>
        <v>58306.66</v>
      </c>
      <c r="AC15" s="6">
        <f t="shared" si="17"/>
        <v>91693.34</v>
      </c>
      <c r="AD15" s="5"/>
      <c r="AE15" s="5"/>
      <c r="AF15" s="31"/>
      <c r="AG15" s="28">
        <f t="shared" si="18"/>
        <v>1749.9992999999999</v>
      </c>
      <c r="AH15" s="28">
        <f t="shared" si="19"/>
        <v>2749.9988999999996</v>
      </c>
      <c r="AI15" s="28">
        <f t="shared" si="20"/>
        <v>6249.9975000000004</v>
      </c>
      <c r="AJ15" s="28">
        <f t="shared" si="21"/>
        <v>5.0748999999984514</v>
      </c>
      <c r="AK15" s="28">
        <f t="shared" si="22"/>
        <v>0</v>
      </c>
      <c r="AL15" s="28">
        <f t="shared" si="23"/>
        <v>0</v>
      </c>
      <c r="AM15" s="28">
        <f t="shared" si="24"/>
        <v>10755.070599999997</v>
      </c>
    </row>
    <row r="16" spans="1:39" ht="16" x14ac:dyDescent="0.2">
      <c r="A16" s="14">
        <f t="shared" si="25"/>
        <v>14</v>
      </c>
      <c r="B16" s="12" t="s">
        <v>39</v>
      </c>
      <c r="C16" s="12"/>
      <c r="D16" s="14" t="s">
        <v>20</v>
      </c>
      <c r="E16" s="15" t="s">
        <v>21</v>
      </c>
      <c r="F16" s="119">
        <v>150000</v>
      </c>
      <c r="G16" s="119"/>
      <c r="H16" s="39">
        <f t="shared" si="1"/>
        <v>105000</v>
      </c>
      <c r="I16" s="39">
        <f t="shared" si="0"/>
        <v>15000</v>
      </c>
      <c r="J16" s="39">
        <f t="shared" si="2"/>
        <v>15000</v>
      </c>
      <c r="K16" s="39">
        <f t="shared" si="3"/>
        <v>4995.0000000000009</v>
      </c>
      <c r="L16" s="39">
        <f t="shared" si="4"/>
        <v>4995.0000000000009</v>
      </c>
      <c r="M16" s="39">
        <f t="shared" si="5"/>
        <v>5010</v>
      </c>
      <c r="N16" s="39">
        <f t="shared" si="6"/>
        <v>150000</v>
      </c>
      <c r="O16" s="39">
        <f t="shared" si="7"/>
        <v>10800</v>
      </c>
      <c r="P16" s="39">
        <f t="shared" si="8"/>
        <v>3750</v>
      </c>
      <c r="Q16" s="39">
        <f t="shared" si="9"/>
        <v>10755.070599999997</v>
      </c>
      <c r="R16" s="39">
        <f t="shared" si="10"/>
        <v>124694.92940000001</v>
      </c>
      <c r="S16" s="17"/>
      <c r="T16" s="17">
        <f t="shared" si="11"/>
        <v>13500</v>
      </c>
      <c r="X16" s="6">
        <f t="shared" si="12"/>
        <v>135450</v>
      </c>
      <c r="Y16" s="6">
        <f t="shared" si="13"/>
        <v>43756.66</v>
      </c>
      <c r="Z16" s="6">
        <f t="shared" si="14"/>
        <v>10800</v>
      </c>
      <c r="AA16" s="6">
        <f t="shared" si="15"/>
        <v>3750</v>
      </c>
      <c r="AB16" s="6">
        <f t="shared" si="16"/>
        <v>58306.66</v>
      </c>
      <c r="AC16" s="6">
        <f t="shared" si="17"/>
        <v>91693.34</v>
      </c>
      <c r="AD16" s="5"/>
      <c r="AE16" s="5"/>
      <c r="AF16" s="31"/>
      <c r="AG16" s="28">
        <f t="shared" si="18"/>
        <v>1749.9992999999999</v>
      </c>
      <c r="AH16" s="28">
        <f t="shared" si="19"/>
        <v>2749.9988999999996</v>
      </c>
      <c r="AI16" s="28">
        <f t="shared" si="20"/>
        <v>6249.9975000000004</v>
      </c>
      <c r="AJ16" s="28">
        <f t="shared" si="21"/>
        <v>5.0748999999984514</v>
      </c>
      <c r="AK16" s="28">
        <f t="shared" si="22"/>
        <v>0</v>
      </c>
      <c r="AL16" s="28">
        <f t="shared" si="23"/>
        <v>0</v>
      </c>
      <c r="AM16" s="28">
        <f t="shared" si="24"/>
        <v>10755.070599999997</v>
      </c>
    </row>
    <row r="17" spans="1:39" ht="16" x14ac:dyDescent="0.2">
      <c r="A17" s="14">
        <f t="shared" si="25"/>
        <v>15</v>
      </c>
      <c r="B17" s="12" t="s">
        <v>153</v>
      </c>
      <c r="C17" s="12" t="s">
        <v>40</v>
      </c>
      <c r="D17" s="14" t="s">
        <v>22</v>
      </c>
      <c r="E17" s="15" t="s">
        <v>23</v>
      </c>
      <c r="F17" s="119">
        <v>55000</v>
      </c>
      <c r="G17" s="119"/>
      <c r="H17" s="39">
        <f t="shared" si="1"/>
        <v>38500</v>
      </c>
      <c r="I17" s="39">
        <f t="shared" si="0"/>
        <v>5500</v>
      </c>
      <c r="J17" s="39">
        <f t="shared" si="2"/>
        <v>5500</v>
      </c>
      <c r="K17" s="39">
        <f t="shared" si="3"/>
        <v>1831.5000000000002</v>
      </c>
      <c r="L17" s="39">
        <f t="shared" si="4"/>
        <v>1831.5000000000002</v>
      </c>
      <c r="M17" s="39">
        <f t="shared" si="5"/>
        <v>1837</v>
      </c>
      <c r="N17" s="39">
        <f t="shared" si="6"/>
        <v>55000</v>
      </c>
      <c r="O17" s="39">
        <v>0</v>
      </c>
      <c r="P17" s="39">
        <v>0</v>
      </c>
      <c r="Q17" s="39">
        <f t="shared" si="9"/>
        <v>2006.6678000000002</v>
      </c>
      <c r="R17" s="39">
        <f t="shared" si="10"/>
        <v>52993.332199999997</v>
      </c>
      <c r="S17" s="17"/>
      <c r="T17" s="17">
        <v>0</v>
      </c>
      <c r="X17" s="6">
        <f t="shared" si="12"/>
        <v>55000</v>
      </c>
      <c r="Y17" s="6">
        <f t="shared" si="13"/>
        <v>27666.66</v>
      </c>
      <c r="Z17" s="6">
        <f t="shared" si="14"/>
        <v>0</v>
      </c>
      <c r="AA17" s="6">
        <f t="shared" si="15"/>
        <v>0</v>
      </c>
      <c r="AB17" s="6">
        <f t="shared" si="16"/>
        <v>27666.66</v>
      </c>
      <c r="AC17" s="6">
        <f t="shared" si="17"/>
        <v>27333.34</v>
      </c>
      <c r="AD17" s="5"/>
      <c r="AE17" s="5"/>
      <c r="AF17" s="31"/>
      <c r="AG17" s="28">
        <f t="shared" si="18"/>
        <v>1749.9992999999999</v>
      </c>
      <c r="AH17" s="28">
        <f t="shared" si="19"/>
        <v>256.66850000000022</v>
      </c>
      <c r="AI17" s="28">
        <f t="shared" si="20"/>
        <v>0</v>
      </c>
      <c r="AJ17" s="28">
        <f t="shared" si="21"/>
        <v>0</v>
      </c>
      <c r="AK17" s="28">
        <f t="shared" si="22"/>
        <v>0</v>
      </c>
      <c r="AL17" s="28">
        <f t="shared" si="23"/>
        <v>0</v>
      </c>
      <c r="AM17" s="28">
        <f t="shared" si="24"/>
        <v>2006.6678000000002</v>
      </c>
    </row>
    <row r="18" spans="1:39" ht="16" x14ac:dyDescent="0.2">
      <c r="A18" s="14">
        <f t="shared" si="25"/>
        <v>16</v>
      </c>
      <c r="B18" s="12" t="s">
        <v>154</v>
      </c>
      <c r="C18" s="12" t="s">
        <v>41</v>
      </c>
      <c r="D18" s="14" t="s">
        <v>24</v>
      </c>
      <c r="E18" s="15" t="s">
        <v>25</v>
      </c>
      <c r="F18" s="119">
        <v>46000</v>
      </c>
      <c r="G18" s="119"/>
      <c r="H18" s="39">
        <f t="shared" si="1"/>
        <v>32199.999999999996</v>
      </c>
      <c r="I18" s="39">
        <f t="shared" si="0"/>
        <v>4600</v>
      </c>
      <c r="J18" s="39">
        <f t="shared" si="2"/>
        <v>4600</v>
      </c>
      <c r="K18" s="39">
        <f t="shared" si="3"/>
        <v>1531.8000000000002</v>
      </c>
      <c r="L18" s="39">
        <f t="shared" si="4"/>
        <v>1531.8000000000002</v>
      </c>
      <c r="M18" s="39">
        <f t="shared" si="5"/>
        <v>1536.3999999999999</v>
      </c>
      <c r="N18" s="39">
        <f t="shared" si="6"/>
        <v>46000.000000000007</v>
      </c>
      <c r="O18" s="39">
        <v>0</v>
      </c>
      <c r="P18" s="39">
        <v>0</v>
      </c>
      <c r="Q18" s="39">
        <f t="shared" si="9"/>
        <v>1409.3338000000003</v>
      </c>
      <c r="R18" s="39">
        <f t="shared" si="10"/>
        <v>44590.666200000007</v>
      </c>
      <c r="S18" s="17"/>
      <c r="T18" s="17">
        <v>0</v>
      </c>
      <c r="X18" s="6">
        <f t="shared" si="12"/>
        <v>46000.000000000007</v>
      </c>
      <c r="Y18" s="6">
        <f t="shared" si="13"/>
        <v>25866.660000000003</v>
      </c>
      <c r="Z18" s="6">
        <f t="shared" si="14"/>
        <v>0</v>
      </c>
      <c r="AA18" s="6">
        <f t="shared" si="15"/>
        <v>0</v>
      </c>
      <c r="AB18" s="6">
        <f t="shared" si="16"/>
        <v>25866.660000000003</v>
      </c>
      <c r="AC18" s="6">
        <f t="shared" si="17"/>
        <v>20133.340000000004</v>
      </c>
      <c r="AD18" s="5"/>
      <c r="AE18" s="5"/>
      <c r="AF18" s="31"/>
      <c r="AG18" s="28">
        <f t="shared" si="18"/>
        <v>1409.3338000000003</v>
      </c>
      <c r="AH18" s="28">
        <f t="shared" si="19"/>
        <v>0</v>
      </c>
      <c r="AI18" s="28">
        <f t="shared" si="20"/>
        <v>0</v>
      </c>
      <c r="AJ18" s="28">
        <f t="shared" si="21"/>
        <v>0</v>
      </c>
      <c r="AK18" s="28">
        <f t="shared" si="22"/>
        <v>0</v>
      </c>
      <c r="AL18" s="28">
        <f t="shared" si="23"/>
        <v>0</v>
      </c>
      <c r="AM18" s="28">
        <f t="shared" si="24"/>
        <v>1409.3338000000003</v>
      </c>
    </row>
    <row r="19" spans="1:39" ht="16" x14ac:dyDescent="0.2">
      <c r="E19" s="49" t="s">
        <v>73</v>
      </c>
      <c r="F19" s="118">
        <f>SUM(F3:F18)</f>
        <v>11096000</v>
      </c>
      <c r="G19" s="118"/>
      <c r="H19" s="118">
        <f t="shared" ref="H19:T19" si="51">SUM(H3:H18)</f>
        <v>7767200</v>
      </c>
      <c r="I19" s="118">
        <f t="shared" si="51"/>
        <v>1109600</v>
      </c>
      <c r="J19" s="118">
        <f t="shared" si="51"/>
        <v>1109600</v>
      </c>
      <c r="K19" s="118">
        <f t="shared" si="51"/>
        <v>369496.80000000005</v>
      </c>
      <c r="L19" s="118">
        <f t="shared" si="51"/>
        <v>369496.80000000005</v>
      </c>
      <c r="M19" s="118">
        <f t="shared" si="51"/>
        <v>370606.4</v>
      </c>
      <c r="N19" s="118">
        <f t="shared" si="51"/>
        <v>11096000</v>
      </c>
      <c r="O19" s="118">
        <f t="shared" si="51"/>
        <v>791640</v>
      </c>
      <c r="P19" s="118">
        <f t="shared" si="51"/>
        <v>274875</v>
      </c>
      <c r="Q19" s="118">
        <f t="shared" si="51"/>
        <v>1634462.1061999989</v>
      </c>
      <c r="R19" s="118">
        <f t="shared" si="51"/>
        <v>8395022.893799996</v>
      </c>
      <c r="S19" s="118"/>
      <c r="T19" s="118">
        <f t="shared" si="51"/>
        <v>989550</v>
      </c>
    </row>
  </sheetData>
  <protectedRanges>
    <protectedRange password="C9DB" sqref="AG2:AK2" name="Range2_1"/>
  </protectedRanges>
  <phoneticPr fontId="25" type="noConversion"/>
  <dataValidations count="1">
    <dataValidation type="list" allowBlank="1" showInputMessage="1" showErrorMessage="1" sqref="AF1" xr:uid="{E6CF5984-69A7-42AD-91C7-89F8C628F352}">
      <formula1>"Monthly, Annual"</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436F-230E-4C00-826C-BBF7ECF84E0F}">
  <dimension ref="B2:D7"/>
  <sheetViews>
    <sheetView workbookViewId="0">
      <selection activeCell="E14" sqref="E14"/>
    </sheetView>
  </sheetViews>
  <sheetFormatPr baseColWidth="10" defaultColWidth="8.83203125" defaultRowHeight="15" x14ac:dyDescent="0.2"/>
  <cols>
    <col min="2" max="2" width="10.5" customWidth="1"/>
    <col min="3" max="3" width="18.33203125" bestFit="1" customWidth="1"/>
    <col min="4" max="4" width="17.6640625" customWidth="1"/>
  </cols>
  <sheetData>
    <row r="2" spans="2:4" ht="30" x14ac:dyDescent="0.2">
      <c r="B2" s="50" t="s">
        <v>10</v>
      </c>
      <c r="C2" s="50" t="s">
        <v>69</v>
      </c>
      <c r="D2" s="50" t="s">
        <v>82</v>
      </c>
    </row>
    <row r="3" spans="2:4" x14ac:dyDescent="0.2">
      <c r="B3" s="7" t="s">
        <v>12</v>
      </c>
      <c r="C3" s="7" t="s">
        <v>13</v>
      </c>
      <c r="D3" s="51">
        <v>0</v>
      </c>
    </row>
    <row r="4" spans="2:4" x14ac:dyDescent="0.2">
      <c r="B4" s="7" t="s">
        <v>14</v>
      </c>
      <c r="C4" s="7" t="s">
        <v>32</v>
      </c>
      <c r="D4" s="51">
        <v>0</v>
      </c>
    </row>
    <row r="5" spans="2:4" x14ac:dyDescent="0.2">
      <c r="B5" s="7" t="s">
        <v>16</v>
      </c>
      <c r="C5" s="7" t="s">
        <v>83</v>
      </c>
      <c r="D5" s="51">
        <v>0</v>
      </c>
    </row>
    <row r="6" spans="2:4" x14ac:dyDescent="0.2">
      <c r="B6" s="7" t="s">
        <v>18</v>
      </c>
      <c r="C6" s="7" t="s">
        <v>84</v>
      </c>
      <c r="D6" s="51">
        <v>0</v>
      </c>
    </row>
    <row r="7" spans="2:4" x14ac:dyDescent="0.2">
      <c r="B7" s="7" t="s">
        <v>20</v>
      </c>
      <c r="C7" s="7" t="s">
        <v>85</v>
      </c>
      <c r="D7" s="5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F74ADF3E0D7234AB135BD976B53C994" ma:contentTypeVersion="18" ma:contentTypeDescription="Create a new document." ma:contentTypeScope="" ma:versionID="c2f0d12e0d97d4cb7655dc3a2b689964">
  <xsd:schema xmlns:xsd="http://www.w3.org/2001/XMLSchema" xmlns:xs="http://www.w3.org/2001/XMLSchema" xmlns:p="http://schemas.microsoft.com/office/2006/metadata/properties" xmlns:ns2="df6f1c4c-6301-4d3f-ac69-b097326480aa" xmlns:ns3="80529c9b-32e1-45de-bd78-48f75e642a88" targetNamespace="http://schemas.microsoft.com/office/2006/metadata/properties" ma:root="true" ma:fieldsID="5633a9d5a648dc0f2737a597788e50ad" ns2:_="" ns3:_="">
    <xsd:import namespace="df6f1c4c-6301-4d3f-ac69-b097326480aa"/>
    <xsd:import namespace="80529c9b-32e1-45de-bd78-48f75e642a8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6f1c4c-6301-4d3f-ac69-b097326480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f635bc1-86f2-4f38-96db-0311e431f0d0"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0529c9b-32e1-45de-bd78-48f75e642a8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c0ec5d8-c48c-4ec0-9d9e-bbb94ff507a9}" ma:internalName="TaxCatchAll" ma:showField="CatchAllData" ma:web="80529c9b-32e1-45de-bd78-48f75e642a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6f1c4c-6301-4d3f-ac69-b097326480aa">
      <Terms xmlns="http://schemas.microsoft.com/office/infopath/2007/PartnerControls"/>
    </lcf76f155ced4ddcb4097134ff3c332f>
    <TaxCatchAll xmlns="80529c9b-32e1-45de-bd78-48f75e642a88" xsi:nil="true"/>
  </documentManagement>
</p:properties>
</file>

<file path=customXml/itemProps1.xml><?xml version="1.0" encoding="utf-8"?>
<ds:datastoreItem xmlns:ds="http://schemas.openxmlformats.org/officeDocument/2006/customXml" ds:itemID="{8182ED75-1CB7-4B4E-963D-A28342EC8F17}">
  <ds:schemaRefs>
    <ds:schemaRef ds:uri="http://schemas.microsoft.com/sharepoint/v3/contenttype/forms"/>
  </ds:schemaRefs>
</ds:datastoreItem>
</file>

<file path=customXml/itemProps2.xml><?xml version="1.0" encoding="utf-8"?>
<ds:datastoreItem xmlns:ds="http://schemas.openxmlformats.org/officeDocument/2006/customXml" ds:itemID="{A69AC68A-CF1C-4CC6-B050-475B3DBB7D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6f1c4c-6301-4d3f-ac69-b097326480aa"/>
    <ds:schemaRef ds:uri="80529c9b-32e1-45de-bd78-48f75e642a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95E2E6-111C-4DF7-8174-3641F0D4ABB1}">
  <ds:schemaRefs>
    <ds:schemaRef ds:uri="http://schemas.microsoft.com/office/2006/metadata/properties"/>
    <ds:schemaRef ds:uri="http://schemas.microsoft.com/office/infopath/2007/PartnerControls"/>
    <ds:schemaRef ds:uri="df6f1c4c-6301-4d3f-ac69-b097326480aa"/>
    <ds:schemaRef ds:uri="80529c9b-32e1-45de-bd78-48f75e642a88"/>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Notes on Changes</vt:lpstr>
      <vt:lpstr>Month on Month HC Cost</vt:lpstr>
      <vt:lpstr>Headcount Phasing</vt:lpstr>
      <vt:lpstr>Annual Cost Summary</vt:lpstr>
      <vt:lpstr>Annual Employer Cost per Grade</vt:lpstr>
      <vt:lpstr>Payroll breakdown per role</vt:lpstr>
      <vt:lpstr>Bonus suggestion table</vt:lpstr>
    </vt:vector>
  </TitlesOfParts>
  <Company>IHS Towers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Oluwafemi Ogunlaja</dc:creator>
  <cp:lastModifiedBy>Temi Kolawole</cp:lastModifiedBy>
  <dcterms:created xsi:type="dcterms:W3CDTF">2025-03-21T08:39:21Z</dcterms:created>
  <dcterms:modified xsi:type="dcterms:W3CDTF">2025-03-28T07:43:06Z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0x010100BF74ADF3E0D7234AB135BD976B53C994</vt:lpwstr>
  </property>
</Properties>
</file>