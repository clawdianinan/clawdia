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hstowers-my.sharepoint.com/personal/oluwafemi_ogunlaja_ihstowers_com/Documents/Documents/Reward/Simulation/"/>
    </mc:Choice>
  </mc:AlternateContent>
  <xr:revisionPtr revIDLastSave="250" documentId="8_{8712D17D-4468-4105-B274-F58190E555E3}" xr6:coauthVersionLast="47" xr6:coauthVersionMax="47" xr10:uidLastSave="{9431AD0A-E4D9-4B3F-A105-A6540439C7B4}"/>
  <bookViews>
    <workbookView xWindow="-110" yWindow="-110" windowWidth="19420" windowHeight="10420" xr2:uid="{CC508598-5AA6-48F0-83C2-5296FD3286D6}"/>
  </bookViews>
  <sheets>
    <sheet name="Annual Cost Summary" sheetId="3" r:id="rId1"/>
    <sheet name="Payroll breakdown per role" sheetId="2" r:id="rId2"/>
    <sheet name="Annual Employer Cost per Grade" sheetId="1" r:id="rId3"/>
    <sheet name="Bonus suggestion table" sheetId="4" r:id="rId4"/>
  </sheets>
  <definedNames>
    <definedName name="_xlnm._FilterDatabase" localSheetId="0" hidden="1">'Annual Cost Summary'!$A$1:$R$17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A4" i="1" l="1"/>
  <c r="A5" i="1"/>
  <c r="A6" i="1"/>
  <c r="A7" i="1"/>
  <c r="A8" i="1"/>
  <c r="A9" i="1"/>
  <c r="A10" i="1"/>
  <c r="A11" i="1"/>
  <c r="A12" i="1" s="1"/>
  <c r="A13" i="1" s="1"/>
  <c r="A14" i="1" s="1"/>
  <c r="A15" i="1" s="1"/>
  <c r="A16" i="1" s="1"/>
  <c r="A3" i="1"/>
  <c r="C17" i="3"/>
  <c r="M3" i="3"/>
  <c r="M4" i="3"/>
  <c r="M5" i="3"/>
  <c r="M6" i="3"/>
  <c r="M15" i="3"/>
  <c r="M1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2" i="3"/>
  <c r="D3" i="3"/>
  <c r="D4" i="3"/>
  <c r="D5" i="3"/>
  <c r="D6" i="3"/>
  <c r="D7" i="3"/>
  <c r="D8" i="3"/>
  <c r="D9" i="3"/>
  <c r="D10" i="3"/>
  <c r="D11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F1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3" i="2"/>
  <c r="M18" i="2" s="1"/>
  <c r="L3" i="2"/>
  <c r="L18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3" i="2"/>
  <c r="K18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J18" i="2" s="1"/>
  <c r="I4" i="2"/>
  <c r="I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3" i="2"/>
  <c r="T3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D3" i="1"/>
  <c r="F3" i="1" s="1"/>
  <c r="O3" i="1" s="1"/>
  <c r="D4" i="1"/>
  <c r="F4" i="1" s="1"/>
  <c r="O4" i="1" s="1"/>
  <c r="D5" i="1"/>
  <c r="F5" i="1" s="1"/>
  <c r="O5" i="1" s="1"/>
  <c r="D6" i="1"/>
  <c r="F6" i="1" s="1"/>
  <c r="O6" i="1" s="1"/>
  <c r="D7" i="1"/>
  <c r="F7" i="1" s="1"/>
  <c r="O7" i="1" s="1"/>
  <c r="M7" i="3" s="1"/>
  <c r="D8" i="1"/>
  <c r="F8" i="1" s="1"/>
  <c r="O8" i="1" s="1"/>
  <c r="M8" i="3" s="1"/>
  <c r="D9" i="1"/>
  <c r="F9" i="1" s="1"/>
  <c r="O9" i="1" s="1"/>
  <c r="M9" i="3" s="1"/>
  <c r="D10" i="1"/>
  <c r="F10" i="1" s="1"/>
  <c r="O10" i="1" s="1"/>
  <c r="M10" i="3" s="1"/>
  <c r="D11" i="1"/>
  <c r="F11" i="1" s="1"/>
  <c r="O11" i="1" s="1"/>
  <c r="M11" i="3" s="1"/>
  <c r="D12" i="1"/>
  <c r="F12" i="1" s="1"/>
  <c r="O12" i="1" s="1"/>
  <c r="M12" i="3" s="1"/>
  <c r="D13" i="1"/>
  <c r="F13" i="1" s="1"/>
  <c r="O13" i="1" s="1"/>
  <c r="M13" i="3" s="1"/>
  <c r="D14" i="1"/>
  <c r="F14" i="1" s="1"/>
  <c r="O14" i="1" s="1"/>
  <c r="M14" i="3" s="1"/>
  <c r="D15" i="1"/>
  <c r="F15" i="1" s="1"/>
  <c r="D15" i="3" s="1"/>
  <c r="D16" i="1"/>
  <c r="F16" i="1" s="1"/>
  <c r="D16" i="3" s="1"/>
  <c r="D2" i="1"/>
  <c r="F2" i="1" s="1"/>
  <c r="D2" i="3" s="1"/>
  <c r="AA16" i="2"/>
  <c r="AA17" i="2"/>
  <c r="Z16" i="2"/>
  <c r="Z17" i="2"/>
  <c r="AG1" i="2"/>
  <c r="N3" i="2" l="1"/>
  <c r="D14" i="3"/>
  <c r="D13" i="3"/>
  <c r="H18" i="2"/>
  <c r="D12" i="3"/>
  <c r="K17" i="3"/>
  <c r="I17" i="3"/>
  <c r="L17" i="3"/>
  <c r="J17" i="3"/>
  <c r="H17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T16" i="2"/>
  <c r="T17" i="2"/>
  <c r="D17" i="3" l="1"/>
  <c r="T12" i="2"/>
  <c r="T14" i="2"/>
  <c r="O4" i="2"/>
  <c r="Z4" i="2" s="1"/>
  <c r="T7" i="2"/>
  <c r="N12" i="2"/>
  <c r="O12" i="2"/>
  <c r="Z12" i="2" s="1"/>
  <c r="N11" i="2"/>
  <c r="O11" i="2"/>
  <c r="Z11" i="2" s="1"/>
  <c r="O6" i="2"/>
  <c r="Z6" i="2" s="1"/>
  <c r="O5" i="2"/>
  <c r="Z5" i="2" s="1"/>
  <c r="O3" i="2"/>
  <c r="O14" i="2"/>
  <c r="Z14" i="2" s="1"/>
  <c r="N14" i="2"/>
  <c r="N17" i="2"/>
  <c r="N16" i="2"/>
  <c r="G15" i="1"/>
  <c r="E15" i="3" s="1"/>
  <c r="G16" i="1"/>
  <c r="E16" i="3" s="1"/>
  <c r="Z3" i="2" l="1"/>
  <c r="O8" i="2"/>
  <c r="Z8" i="2" s="1"/>
  <c r="T8" i="2"/>
  <c r="N4" i="2"/>
  <c r="T4" i="2"/>
  <c r="N8" i="2"/>
  <c r="P8" i="2" s="1"/>
  <c r="AA8" i="2" s="1"/>
  <c r="N9" i="2"/>
  <c r="P9" i="2" s="1"/>
  <c r="AA9" i="2" s="1"/>
  <c r="T9" i="2"/>
  <c r="N5" i="2"/>
  <c r="P5" i="2" s="1"/>
  <c r="T5" i="2"/>
  <c r="T10" i="2"/>
  <c r="N6" i="2"/>
  <c r="P6" i="2" s="1"/>
  <c r="AA6" i="2" s="1"/>
  <c r="T6" i="2"/>
  <c r="O10" i="2"/>
  <c r="Z10" i="2" s="1"/>
  <c r="N15" i="2"/>
  <c r="P15" i="2" s="1"/>
  <c r="AA15" i="2" s="1"/>
  <c r="T15" i="2"/>
  <c r="N10" i="2"/>
  <c r="P10" i="2" s="1"/>
  <c r="AA10" i="2" s="1"/>
  <c r="N13" i="2"/>
  <c r="T13" i="2"/>
  <c r="T11" i="2"/>
  <c r="O13" i="2"/>
  <c r="Z13" i="2" s="1"/>
  <c r="H2" i="1"/>
  <c r="F2" i="3" s="1"/>
  <c r="G2" i="3"/>
  <c r="G2" i="1"/>
  <c r="E2" i="3" s="1"/>
  <c r="G12" i="1"/>
  <c r="E12" i="3" s="1"/>
  <c r="G13" i="1"/>
  <c r="E13" i="3" s="1"/>
  <c r="G9" i="1"/>
  <c r="E9" i="3" s="1"/>
  <c r="O15" i="2"/>
  <c r="Z15" i="2" s="1"/>
  <c r="O9" i="2"/>
  <c r="Z9" i="2" s="1"/>
  <c r="H4" i="1"/>
  <c r="F4" i="3" s="1"/>
  <c r="G4" i="3"/>
  <c r="H3" i="1"/>
  <c r="F3" i="3" s="1"/>
  <c r="G3" i="3"/>
  <c r="H6" i="1"/>
  <c r="F6" i="3" s="1"/>
  <c r="G6" i="3"/>
  <c r="G14" i="1"/>
  <c r="E14" i="3" s="1"/>
  <c r="G11" i="1"/>
  <c r="E11" i="3" s="1"/>
  <c r="P10" i="1"/>
  <c r="N10" i="3" s="1"/>
  <c r="G8" i="1"/>
  <c r="E8" i="3" s="1"/>
  <c r="G8" i="3"/>
  <c r="H5" i="1"/>
  <c r="F5" i="3" s="1"/>
  <c r="G5" i="3"/>
  <c r="O2" i="1"/>
  <c r="M2" i="3" s="1"/>
  <c r="M17" i="3" s="1"/>
  <c r="G10" i="1"/>
  <c r="E10" i="3" s="1"/>
  <c r="P9" i="1"/>
  <c r="N9" i="3" s="1"/>
  <c r="G9" i="3"/>
  <c r="H7" i="1"/>
  <c r="F7" i="3" s="1"/>
  <c r="G7" i="3"/>
  <c r="P2" i="1"/>
  <c r="N2" i="3" s="1"/>
  <c r="P8" i="1"/>
  <c r="N8" i="3" s="1"/>
  <c r="P7" i="1"/>
  <c r="N7" i="3" s="1"/>
  <c r="P6" i="1"/>
  <c r="N6" i="3" s="1"/>
  <c r="P5" i="1"/>
  <c r="N5" i="3" s="1"/>
  <c r="P4" i="1"/>
  <c r="N4" i="3" s="1"/>
  <c r="P3" i="1"/>
  <c r="N3" i="3" s="1"/>
  <c r="H14" i="1"/>
  <c r="F14" i="3" s="1"/>
  <c r="H16" i="1"/>
  <c r="F16" i="3" s="1"/>
  <c r="H15" i="1"/>
  <c r="F15" i="3" s="1"/>
  <c r="H13" i="1"/>
  <c r="F13" i="3" s="1"/>
  <c r="P16" i="1"/>
  <c r="N16" i="3" s="1"/>
  <c r="H11" i="1"/>
  <c r="F11" i="3" s="1"/>
  <c r="H10" i="1"/>
  <c r="F10" i="3" s="1"/>
  <c r="P15" i="1"/>
  <c r="N15" i="3" s="1"/>
  <c r="H9" i="1"/>
  <c r="F9" i="3" s="1"/>
  <c r="P14" i="1"/>
  <c r="N14" i="3" s="1"/>
  <c r="H12" i="1"/>
  <c r="F12" i="3" s="1"/>
  <c r="P13" i="1"/>
  <c r="N13" i="3" s="1"/>
  <c r="P12" i="1"/>
  <c r="N12" i="3" s="1"/>
  <c r="G14" i="3"/>
  <c r="P11" i="1"/>
  <c r="N11" i="3" s="1"/>
  <c r="P3" i="2"/>
  <c r="X16" i="2"/>
  <c r="Y16" i="2" s="1"/>
  <c r="AB16" i="2" s="1"/>
  <c r="AC16" i="2" s="1"/>
  <c r="X17" i="2"/>
  <c r="Y17" i="2" s="1"/>
  <c r="AB17" i="2" s="1"/>
  <c r="AC17" i="2" s="1"/>
  <c r="P14" i="2"/>
  <c r="AA14" i="2" s="1"/>
  <c r="P12" i="2"/>
  <c r="AA12" i="2" s="1"/>
  <c r="O7" i="2"/>
  <c r="Z7" i="2" s="1"/>
  <c r="N7" i="2"/>
  <c r="P11" i="2"/>
  <c r="AA11" i="2" s="1"/>
  <c r="G7" i="1"/>
  <c r="E7" i="3" s="1"/>
  <c r="H8" i="1"/>
  <c r="F8" i="3" s="1"/>
  <c r="G16" i="3"/>
  <c r="G15" i="3"/>
  <c r="G6" i="1"/>
  <c r="E6" i="3" s="1"/>
  <c r="G3" i="1"/>
  <c r="E3" i="3" s="1"/>
  <c r="G5" i="1"/>
  <c r="E5" i="3" s="1"/>
  <c r="G4" i="1"/>
  <c r="E4" i="3" s="1"/>
  <c r="R13" i="1" l="1"/>
  <c r="P13" i="3" s="1"/>
  <c r="G13" i="3"/>
  <c r="AA3" i="2"/>
  <c r="F17" i="3"/>
  <c r="R11" i="1"/>
  <c r="P11" i="3" s="1"/>
  <c r="G11" i="3"/>
  <c r="R10" i="1"/>
  <c r="P10" i="3" s="1"/>
  <c r="G10" i="3"/>
  <c r="O18" i="2"/>
  <c r="T18" i="2"/>
  <c r="Q12" i="1"/>
  <c r="O12" i="3" s="1"/>
  <c r="G12" i="3"/>
  <c r="N17" i="3"/>
  <c r="E17" i="3"/>
  <c r="P4" i="2"/>
  <c r="AA4" i="2" s="1"/>
  <c r="N18" i="2"/>
  <c r="Q11" i="1"/>
  <c r="O11" i="3" s="1"/>
  <c r="Q11" i="3" s="1"/>
  <c r="X8" i="2"/>
  <c r="Y8" i="2" s="1"/>
  <c r="AB8" i="2" s="1"/>
  <c r="AC8" i="2" s="1"/>
  <c r="AJ8" i="2" s="1"/>
  <c r="AA5" i="2"/>
  <c r="X5" i="2"/>
  <c r="Y5" i="2" s="1"/>
  <c r="X9" i="2"/>
  <c r="Y9" i="2" s="1"/>
  <c r="AB9" i="2" s="1"/>
  <c r="AC9" i="2" s="1"/>
  <c r="AK9" i="2" s="1"/>
  <c r="X10" i="2"/>
  <c r="Y10" i="2" s="1"/>
  <c r="AB10" i="2" s="1"/>
  <c r="AC10" i="2" s="1"/>
  <c r="AJ10" i="2" s="1"/>
  <c r="P13" i="2"/>
  <c r="AA13" i="2" s="1"/>
  <c r="X15" i="2"/>
  <c r="Y15" i="2" s="1"/>
  <c r="AB15" i="2" s="1"/>
  <c r="AC15" i="2" s="1"/>
  <c r="AI15" i="2" s="1"/>
  <c r="X14" i="2"/>
  <c r="Y14" i="2" s="1"/>
  <c r="AB14" i="2" s="1"/>
  <c r="AC14" i="2" s="1"/>
  <c r="AL14" i="2" s="1"/>
  <c r="Q13" i="1"/>
  <c r="Q10" i="1"/>
  <c r="R12" i="1"/>
  <c r="R15" i="1"/>
  <c r="P15" i="3" s="1"/>
  <c r="Q15" i="1"/>
  <c r="R9" i="1"/>
  <c r="P9" i="3" s="1"/>
  <c r="Q9" i="1"/>
  <c r="O9" i="3" s="1"/>
  <c r="Q9" i="3" s="1"/>
  <c r="R6" i="1"/>
  <c r="P6" i="3" s="1"/>
  <c r="Q6" i="1"/>
  <c r="R3" i="1"/>
  <c r="P3" i="3" s="1"/>
  <c r="Q3" i="1"/>
  <c r="O3" i="3" s="1"/>
  <c r="Q3" i="3" s="1"/>
  <c r="R16" i="1"/>
  <c r="P16" i="3" s="1"/>
  <c r="Q16" i="1"/>
  <c r="O16" i="3" s="1"/>
  <c r="R7" i="1"/>
  <c r="P7" i="3" s="1"/>
  <c r="Q7" i="1"/>
  <c r="R4" i="1"/>
  <c r="P4" i="3" s="1"/>
  <c r="Q4" i="1"/>
  <c r="O4" i="3" s="1"/>
  <c r="Q4" i="3" s="1"/>
  <c r="Q2" i="1"/>
  <c r="R2" i="1"/>
  <c r="P2" i="3" s="1"/>
  <c r="Q8" i="1"/>
  <c r="O8" i="3" s="1"/>
  <c r="R8" i="1"/>
  <c r="P8" i="3" s="1"/>
  <c r="R14" i="1"/>
  <c r="P14" i="3" s="1"/>
  <c r="Q14" i="1"/>
  <c r="O14" i="3" s="1"/>
  <c r="Q14" i="3" s="1"/>
  <c r="Q5" i="1"/>
  <c r="O5" i="3" s="1"/>
  <c r="R5" i="1"/>
  <c r="P5" i="3" s="1"/>
  <c r="P7" i="2"/>
  <c r="AA7" i="2" s="1"/>
  <c r="AG17" i="2"/>
  <c r="AI17" i="2"/>
  <c r="AL17" i="2"/>
  <c r="AH17" i="2"/>
  <c r="AK17" i="2"/>
  <c r="AJ17" i="2"/>
  <c r="X6" i="2"/>
  <c r="Y6" i="2" s="1"/>
  <c r="AB6" i="2" s="1"/>
  <c r="AC6" i="2" s="1"/>
  <c r="X12" i="2"/>
  <c r="Y12" i="2" s="1"/>
  <c r="AB12" i="2" s="1"/>
  <c r="AC12" i="2" s="1"/>
  <c r="AI16" i="2"/>
  <c r="AJ16" i="2"/>
  <c r="AH16" i="2"/>
  <c r="AK16" i="2"/>
  <c r="AG16" i="2"/>
  <c r="AL16" i="2"/>
  <c r="X3" i="2"/>
  <c r="Y3" i="2" s="1"/>
  <c r="AB3" i="2" s="1"/>
  <c r="AC3" i="2" s="1"/>
  <c r="X11" i="2"/>
  <c r="Y11" i="2" s="1"/>
  <c r="AB11" i="2" s="1"/>
  <c r="AC11" i="2" s="1"/>
  <c r="Q5" i="3" l="1"/>
  <c r="Q16" i="3"/>
  <c r="Q8" i="3"/>
  <c r="G17" i="3"/>
  <c r="S6" i="1"/>
  <c r="O6" i="3"/>
  <c r="Q6" i="3" s="1"/>
  <c r="P18" i="2"/>
  <c r="X4" i="2"/>
  <c r="Y4" i="2" s="1"/>
  <c r="AB4" i="2" s="1"/>
  <c r="AC4" i="2" s="1"/>
  <c r="S12" i="1"/>
  <c r="P12" i="3"/>
  <c r="Q12" i="3" s="1"/>
  <c r="S7" i="1"/>
  <c r="O7" i="3"/>
  <c r="Q7" i="3" s="1"/>
  <c r="S10" i="1"/>
  <c r="O10" i="3"/>
  <c r="Q10" i="3" s="1"/>
  <c r="S11" i="1"/>
  <c r="S15" i="1"/>
  <c r="O15" i="3"/>
  <c r="Q15" i="3" s="1"/>
  <c r="AM16" i="2"/>
  <c r="Q16" i="2" s="1"/>
  <c r="R16" i="2" s="1"/>
  <c r="S13" i="1"/>
  <c r="O13" i="3"/>
  <c r="Q13" i="3" s="1"/>
  <c r="P17" i="3"/>
  <c r="S2" i="1"/>
  <c r="O2" i="3"/>
  <c r="AB5" i="2"/>
  <c r="AC5" i="2" s="1"/>
  <c r="AK5" i="2" s="1"/>
  <c r="AI14" i="2"/>
  <c r="AL15" i="2"/>
  <c r="X13" i="2"/>
  <c r="Y13" i="2" s="1"/>
  <c r="AB13" i="2" s="1"/>
  <c r="AC13" i="2" s="1"/>
  <c r="AK13" i="2" s="1"/>
  <c r="AH14" i="2"/>
  <c r="AJ14" i="2"/>
  <c r="AG14" i="2"/>
  <c r="AH9" i="2"/>
  <c r="AJ9" i="2"/>
  <c r="AG8" i="2"/>
  <c r="AK14" i="2"/>
  <c r="AK15" i="2"/>
  <c r="AI8" i="2"/>
  <c r="AH15" i="2"/>
  <c r="AK8" i="2"/>
  <c r="AL8" i="2"/>
  <c r="AH8" i="2"/>
  <c r="AM8" i="2" s="1"/>
  <c r="Q8" i="2" s="1"/>
  <c r="R8" i="2" s="1"/>
  <c r="AJ15" i="2"/>
  <c r="AG15" i="2"/>
  <c r="AM15" i="2" s="1"/>
  <c r="Q15" i="2" s="1"/>
  <c r="R15" i="2" s="1"/>
  <c r="AI9" i="2"/>
  <c r="AH5" i="2"/>
  <c r="AJ5" i="2"/>
  <c r="AI5" i="2"/>
  <c r="AH10" i="2"/>
  <c r="AI10" i="2"/>
  <c r="AL10" i="2"/>
  <c r="AK10" i="2"/>
  <c r="AG10" i="2"/>
  <c r="AL9" i="2"/>
  <c r="AG9" i="2"/>
  <c r="AL5" i="2"/>
  <c r="AG5" i="2"/>
  <c r="AJ13" i="2"/>
  <c r="AG13" i="2"/>
  <c r="S4" i="1"/>
  <c r="S3" i="1"/>
  <c r="S8" i="1"/>
  <c r="S16" i="1"/>
  <c r="S9" i="1"/>
  <c r="S5" i="1"/>
  <c r="S14" i="1"/>
  <c r="AM17" i="2"/>
  <c r="Q17" i="2" s="1"/>
  <c r="R17" i="2" s="1"/>
  <c r="AI4" i="2"/>
  <c r="AH4" i="2"/>
  <c r="AK4" i="2"/>
  <c r="AG4" i="2"/>
  <c r="AL4" i="2"/>
  <c r="AJ4" i="2"/>
  <c r="AK11" i="2"/>
  <c r="AG11" i="2"/>
  <c r="AI11" i="2"/>
  <c r="AJ11" i="2"/>
  <c r="AL11" i="2"/>
  <c r="AH11" i="2"/>
  <c r="AI6" i="2"/>
  <c r="AL6" i="2"/>
  <c r="AJ6" i="2"/>
  <c r="AK6" i="2"/>
  <c r="AH6" i="2"/>
  <c r="AG6" i="2"/>
  <c r="AI3" i="2"/>
  <c r="AH3" i="2"/>
  <c r="AJ3" i="2"/>
  <c r="AG3" i="2"/>
  <c r="AL3" i="2"/>
  <c r="AK3" i="2"/>
  <c r="AI12" i="2"/>
  <c r="AJ12" i="2"/>
  <c r="AG12" i="2"/>
  <c r="AH12" i="2"/>
  <c r="AK12" i="2"/>
  <c r="AL12" i="2"/>
  <c r="X7" i="2"/>
  <c r="Y7" i="2" s="1"/>
  <c r="AB7" i="2" s="1"/>
  <c r="AC7" i="2" s="1"/>
  <c r="S17" i="1" l="1"/>
  <c r="O17" i="3"/>
  <c r="Q2" i="3"/>
  <c r="AI13" i="2"/>
  <c r="AH13" i="2"/>
  <c r="AL13" i="2"/>
  <c r="AM14" i="2"/>
  <c r="Q14" i="2" s="1"/>
  <c r="R14" i="2" s="1"/>
  <c r="AM5" i="2"/>
  <c r="Q5" i="2" s="1"/>
  <c r="R5" i="2" s="1"/>
  <c r="AM9" i="2"/>
  <c r="Q9" i="2" s="1"/>
  <c r="R9" i="2" s="1"/>
  <c r="AM10" i="2"/>
  <c r="Q10" i="2" s="1"/>
  <c r="R10" i="2" s="1"/>
  <c r="AM4" i="2"/>
  <c r="Q4" i="2" s="1"/>
  <c r="R4" i="2" s="1"/>
  <c r="AM12" i="2"/>
  <c r="Q12" i="2" s="1"/>
  <c r="R12" i="2" s="1"/>
  <c r="AM3" i="2"/>
  <c r="Q3" i="2" s="1"/>
  <c r="AI7" i="2"/>
  <c r="AG7" i="2"/>
  <c r="AJ7" i="2"/>
  <c r="AH7" i="2"/>
  <c r="AK7" i="2"/>
  <c r="AL7" i="2"/>
  <c r="AM6" i="2"/>
  <c r="Q6" i="2" s="1"/>
  <c r="R6" i="2" s="1"/>
  <c r="AM11" i="2"/>
  <c r="Q11" i="2" s="1"/>
  <c r="R11" i="2" s="1"/>
  <c r="Q17" i="3" l="1"/>
  <c r="AM13" i="2"/>
  <c r="Q13" i="2" s="1"/>
  <c r="R13" i="2" s="1"/>
  <c r="R3" i="2"/>
  <c r="AM7" i="2"/>
  <c r="Q7" i="2" s="1"/>
  <c r="R7" i="2" s="1"/>
  <c r="Q18" i="2" l="1"/>
  <c r="R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2" authorId="0" shapeId="0" xr:uid="{C7FA7CAB-000D-4234-9A3A-F5773D3C78B2}">
      <text>
        <r>
          <rPr>
            <b/>
            <sz val="9"/>
            <color indexed="81"/>
            <rFont val="Tahoma"/>
            <family val="2"/>
          </rPr>
          <t>Total Emolument minus Total Relief/Tax Free Pay</t>
        </r>
      </text>
    </comment>
  </commentList>
</comments>
</file>

<file path=xl/sharedStrings.xml><?xml version="1.0" encoding="utf-8"?>
<sst xmlns="http://schemas.openxmlformats.org/spreadsheetml/2006/main" count="144" uniqueCount="88">
  <si>
    <t>Annual Gross Salary</t>
  </si>
  <si>
    <t>Annual Leave Allowance</t>
  </si>
  <si>
    <t>13th Month</t>
  </si>
  <si>
    <t>Telephone</t>
  </si>
  <si>
    <t>Airtime</t>
  </si>
  <si>
    <t>Mobile Data Plan</t>
  </si>
  <si>
    <t>Employer Pension Contribution</t>
  </si>
  <si>
    <t>ITF Cost</t>
  </si>
  <si>
    <t>NSITF (ECS)</t>
  </si>
  <si>
    <t>Employer Cost</t>
  </si>
  <si>
    <t>Grade</t>
  </si>
  <si>
    <t xml:space="preserve">Gross Salary </t>
  </si>
  <si>
    <t>A1</t>
  </si>
  <si>
    <t>Managing Director</t>
  </si>
  <si>
    <t>B1</t>
  </si>
  <si>
    <t>Director 1</t>
  </si>
  <si>
    <t>G1</t>
  </si>
  <si>
    <t>Senior Associate 1</t>
  </si>
  <si>
    <t>H1</t>
  </si>
  <si>
    <t>Associate 1</t>
  </si>
  <si>
    <t>I1</t>
  </si>
  <si>
    <t>Support Staff 1</t>
  </si>
  <si>
    <t>J2</t>
  </si>
  <si>
    <t>Intern 2</t>
  </si>
  <si>
    <t>J1</t>
  </si>
  <si>
    <t>Intern 1</t>
  </si>
  <si>
    <t>Group Life Insurance Premium Cost</t>
  </si>
  <si>
    <t xml:space="preserve">Monthly Gross Salary </t>
  </si>
  <si>
    <t>Annual Bonus (Tentative)</t>
  </si>
  <si>
    <t>Job Role</t>
  </si>
  <si>
    <t>Description</t>
  </si>
  <si>
    <t>Grade Name</t>
  </si>
  <si>
    <t>Director of Programs</t>
  </si>
  <si>
    <t>IT Manager</t>
  </si>
  <si>
    <t>Community Manager</t>
  </si>
  <si>
    <t>Facility Associate</t>
  </si>
  <si>
    <t>Finance Associate</t>
  </si>
  <si>
    <t>Admin &amp; HR Associate</t>
  </si>
  <si>
    <t>Content &amp; Marketing Lead</t>
  </si>
  <si>
    <t>Graphic &amp; Multimedia Associate</t>
  </si>
  <si>
    <t>Driver</t>
  </si>
  <si>
    <t>NYSC</t>
  </si>
  <si>
    <t>SIWES</t>
  </si>
  <si>
    <t>Basic Salary (70%)</t>
  </si>
  <si>
    <t>Transport Allowance (10%)</t>
  </si>
  <si>
    <t>Housing Allowance (10%)</t>
  </si>
  <si>
    <t>Meal Allowance (3.33%)</t>
  </si>
  <si>
    <t>Utility Allowance (3.33%)</t>
  </si>
  <si>
    <t>Entertainment Allowance (3.34%)</t>
  </si>
  <si>
    <t>Gross Pay</t>
  </si>
  <si>
    <t>S/N</t>
  </si>
  <si>
    <r>
      <t>Front Desk Associate</t>
    </r>
    <r>
      <rPr>
        <b/>
        <sz val="12"/>
        <color rgb="FF000000"/>
        <rFont val="Aptos"/>
        <family val="2"/>
      </rPr>
      <t xml:space="preserve"> (x2)</t>
    </r>
  </si>
  <si>
    <r>
      <t>IT Support Associate</t>
    </r>
    <r>
      <rPr>
        <b/>
        <sz val="12"/>
        <color rgb="FF000000"/>
        <rFont val="Aptos"/>
        <family val="2"/>
      </rPr>
      <t xml:space="preserve"> (x2)</t>
    </r>
  </si>
  <si>
    <r>
      <t>Facility Technician</t>
    </r>
    <r>
      <rPr>
        <b/>
        <sz val="12"/>
        <color rgb="FF000000"/>
        <rFont val="Aptos"/>
        <family val="2"/>
      </rPr>
      <t xml:space="preserve"> (x3)</t>
    </r>
  </si>
  <si>
    <r>
      <t>Intern</t>
    </r>
    <r>
      <rPr>
        <b/>
        <sz val="12"/>
        <color rgb="FF000000"/>
        <rFont val="Aptos"/>
        <family val="2"/>
      </rPr>
      <t xml:space="preserve"> (x2)</t>
    </r>
  </si>
  <si>
    <r>
      <t>Intern</t>
    </r>
    <r>
      <rPr>
        <b/>
        <sz val="12"/>
        <color rgb="FF000000"/>
        <rFont val="Aptos"/>
        <family val="2"/>
      </rPr>
      <t xml:space="preserve"> (x3)</t>
    </r>
  </si>
  <si>
    <t>Pension Contribution (8%)</t>
  </si>
  <si>
    <t>NHF Contribution (2.5%)</t>
  </si>
  <si>
    <t>PAYE (Tax) -</t>
  </si>
  <si>
    <t>8% of B+T+H</t>
  </si>
  <si>
    <t>Gross Income for CRA</t>
  </si>
  <si>
    <t>Consolidated Relief Allowance</t>
  </si>
  <si>
    <t>Employee Pension</t>
  </si>
  <si>
    <t>National Housing Fund</t>
  </si>
  <si>
    <t>Total Relief / Tax Free Pay</t>
  </si>
  <si>
    <t>Amount Taxable</t>
  </si>
  <si>
    <t>Monthly</t>
  </si>
  <si>
    <t>Monthly Tax Payable</t>
  </si>
  <si>
    <t>Do not touch the figures</t>
  </si>
  <si>
    <t>Tax Table</t>
  </si>
  <si>
    <t>Role</t>
  </si>
  <si>
    <t>HMO (Health Insurance)</t>
  </si>
  <si>
    <t>Net Pay (Monthly Take home)</t>
  </si>
  <si>
    <t>Optional</t>
  </si>
  <si>
    <t>Total</t>
  </si>
  <si>
    <t>Total Annual Gross</t>
  </si>
  <si>
    <t>Total Leave Allowance</t>
  </si>
  <si>
    <t>Total 13th Month</t>
  </si>
  <si>
    <t>Total Bonus Pot</t>
  </si>
  <si>
    <t xml:space="preserve">Total Health Insurance </t>
  </si>
  <si>
    <t>Total Cafeteria Subsidy</t>
  </si>
  <si>
    <t>Employer Pension Contr.</t>
  </si>
  <si>
    <t>Headcount</t>
  </si>
  <si>
    <t>% of Bonus on Base Pay (Gross)</t>
  </si>
  <si>
    <t>Manager</t>
  </si>
  <si>
    <t>Associate</t>
  </si>
  <si>
    <t>Technician &amp; Driver</t>
  </si>
  <si>
    <t>Telephone Cost One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</si>
</sst>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4"/>
      <color theme="0"/>
      <name val="Aptos Narrow"/>
      <family val="2"/>
      <scheme val="minor"/>
    </font>
    <font>
      <b/>
      <sz val="11"/>
      <color theme="6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ptos Display"/>
      <family val="2"/>
      <scheme val="maj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b/>
      <sz val="11"/>
      <color rgb="FFFF0000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b/>
      <sz val="12"/>
      <color rgb="FFFF0000"/>
      <name val="Aptos"/>
      <family val="2"/>
    </font>
    <font>
      <sz val="10"/>
      <color theme="1"/>
      <name val="Trebuchet MS"/>
      <family val="2"/>
    </font>
    <font>
      <b/>
      <sz val="10"/>
      <color theme="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008732"/>
        <bgColor rgb="FF1F38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1F3864"/>
      </patternFill>
    </fill>
    <fill>
      <patternFill patternType="solid">
        <fgColor rgb="FF1F3864"/>
        <bgColor rgb="FF1F3864"/>
      </patternFill>
    </fill>
    <fill>
      <patternFill patternType="solid">
        <fgColor rgb="FFFF0000"/>
        <b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73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2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43" fontId="4" fillId="0" borderId="1" xfId="1" applyFont="1" applyBorder="1" applyAlignment="1">
      <alignment horizontal="right" wrapText="1" readingOrder="1"/>
    </xf>
    <xf numFmtId="43" fontId="5" fillId="0" borderId="1" xfId="1" applyFont="1" applyBorder="1"/>
    <xf numFmtId="0" fontId="7" fillId="0" borderId="0" xfId="0" applyFont="1"/>
    <xf numFmtId="43" fontId="0" fillId="0" borderId="0" xfId="0" applyNumberFormat="1"/>
    <xf numFmtId="43" fontId="0" fillId="0" borderId="1" xfId="0" applyNumberFormat="1" applyBorder="1"/>
    <xf numFmtId="0" fontId="0" fillId="0" borderId="1" xfId="0" applyBorder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5" fillId="0" borderId="1" xfId="0" applyFont="1" applyBorder="1"/>
    <xf numFmtId="0" fontId="10" fillId="0" borderId="1" xfId="0" applyFont="1" applyBorder="1"/>
    <xf numFmtId="4" fontId="11" fillId="0" borderId="1" xfId="0" applyNumberFormat="1" applyFont="1" applyBorder="1"/>
    <xf numFmtId="0" fontId="11" fillId="0" borderId="1" xfId="0" applyFont="1" applyBorder="1"/>
    <xf numFmtId="0" fontId="10" fillId="0" borderId="0" xfId="0" applyFont="1"/>
    <xf numFmtId="43" fontId="10" fillId="0" borderId="1" xfId="1" applyFont="1" applyBorder="1"/>
    <xf numFmtId="43" fontId="10" fillId="0" borderId="1" xfId="0" applyNumberFormat="1" applyFont="1" applyBorder="1"/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9" fontId="10" fillId="0" borderId="2" xfId="0" applyNumberFormat="1" applyFont="1" applyBorder="1" applyAlignment="1">
      <alignment horizontal="center"/>
    </xf>
    <xf numFmtId="10" fontId="10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3" fillId="5" borderId="1" xfId="0" applyFont="1" applyFill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9" fontId="15" fillId="8" borderId="1" xfId="0" applyNumberFormat="1" applyFont="1" applyFill="1" applyBorder="1" applyAlignment="1">
      <alignment horizontal="center"/>
    </xf>
    <xf numFmtId="164" fontId="0" fillId="0" borderId="1" xfId="1" applyNumberFormat="1" applyFont="1" applyBorder="1"/>
    <xf numFmtId="0" fontId="7" fillId="0" borderId="0" xfId="0" applyFont="1" applyFill="1"/>
    <xf numFmtId="0" fontId="2" fillId="0" borderId="0" xfId="0" applyFont="1" applyFill="1" applyBorder="1" applyAlignment="1">
      <alignment horizontal="center" vertical="center" wrapText="1" readingOrder="1"/>
    </xf>
    <xf numFmtId="43" fontId="0" fillId="0" borderId="0" xfId="0" applyNumberFormat="1" applyFill="1" applyBorder="1"/>
    <xf numFmtId="0" fontId="0" fillId="0" borderId="0" xfId="0" applyFill="1"/>
    <xf numFmtId="43" fontId="12" fillId="9" borderId="0" xfId="1" applyFont="1" applyFill="1"/>
    <xf numFmtId="0" fontId="0" fillId="9" borderId="0" xfId="0" applyFill="1"/>
    <xf numFmtId="0" fontId="17" fillId="0" borderId="1" xfId="0" applyFont="1" applyFill="1" applyBorder="1" applyAlignment="1">
      <alignment horizontal="center" vertical="center" wrapText="1" readingOrder="1"/>
    </xf>
    <xf numFmtId="164" fontId="10" fillId="0" borderId="1" xfId="0" applyNumberFormat="1" applyFont="1" applyBorder="1"/>
    <xf numFmtId="43" fontId="11" fillId="0" borderId="1" xfId="1" applyFont="1" applyBorder="1" applyAlignment="1">
      <alignment vertical="center"/>
    </xf>
    <xf numFmtId="0" fontId="18" fillId="5" borderId="1" xfId="0" applyFont="1" applyFill="1" applyBorder="1" applyAlignment="1">
      <alignment horizontal="center" vertical="center" wrapText="1" readingOrder="1"/>
    </xf>
    <xf numFmtId="0" fontId="19" fillId="10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4" fontId="8" fillId="0" borderId="1" xfId="0" applyNumberFormat="1" applyFont="1" applyBorder="1"/>
    <xf numFmtId="0" fontId="19" fillId="2" borderId="1" xfId="0" applyFont="1" applyFill="1" applyBorder="1" applyAlignment="1">
      <alignment horizontal="center" vertical="center" wrapText="1" readingOrder="1"/>
    </xf>
    <xf numFmtId="164" fontId="10" fillId="0" borderId="1" xfId="1" applyNumberFormat="1" applyFont="1" applyBorder="1"/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164" fontId="8" fillId="0" borderId="1" xfId="1" applyNumberFormat="1" applyFont="1" applyBorder="1"/>
    <xf numFmtId="164" fontId="4" fillId="0" borderId="1" xfId="1" applyNumberFormat="1" applyFont="1" applyBorder="1" applyAlignment="1">
      <alignment horizontal="right" wrapText="1" readingOrder="1"/>
    </xf>
    <xf numFmtId="43" fontId="0" fillId="0" borderId="0" xfId="0" applyNumberFormat="1" applyAlignment="1">
      <alignment horizontal="right"/>
    </xf>
    <xf numFmtId="0" fontId="9" fillId="0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10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1" xfId="0" applyFont="1" applyFill="1" applyBorder="1"/>
    <xf numFmtId="0" fontId="23" fillId="11" borderId="1" xfId="2" applyFont="1" applyFill="1" applyBorder="1" applyAlignment="1">
      <alignment horizontal="center" vertical="center" wrapText="1"/>
    </xf>
    <xf numFmtId="9" fontId="0" fillId="0" borderId="1" xfId="0" applyNumberFormat="1" applyBorder="1"/>
  </cellXfs>
  <cellStyles count="3">
    <cellStyle name="Comma" xfId="1" builtinId="3"/>
    <cellStyle name="Normal" xfId="0" builtinId="0"/>
    <cellStyle name="Normal 2" xfId="2" xr:uid="{5A90CBC9-2F10-4886-908D-B9302EE9E28F}"/>
  </cellStyles>
  <dxfs count="0"/>
  <tableStyles count="1" defaultTableStyle="TableStyleMedium2" defaultPivotStyle="PivotStyleLight16">
    <tableStyle name="Invisible" pivot="0" table="0" count="0" xr9:uid="{EA14DF02-5AFB-4DA8-81C0-EF84B4BAD0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DEED-8A11-4C61-AC8A-14DBB12A82F7}">
  <dimension ref="A1:Q20"/>
  <sheetViews>
    <sheetView tabSelected="1" workbookViewId="0">
      <pane xSplit="3" ySplit="1" topLeftCell="I14" activePane="bottomRight" state="frozen"/>
      <selection pane="topRight" activeCell="D1" sqref="D1"/>
      <selection pane="bottomLeft" activeCell="A2" sqref="A2"/>
      <selection pane="bottomRight" activeCell="J8" sqref="J8"/>
    </sheetView>
  </sheetViews>
  <sheetFormatPr defaultRowHeight="14.5" x14ac:dyDescent="0.35"/>
  <cols>
    <col min="2" max="2" width="28.1796875" customWidth="1"/>
    <col min="3" max="3" width="13.1796875" customWidth="1"/>
    <col min="4" max="4" width="18.26953125" customWidth="1"/>
    <col min="5" max="5" width="17.6328125" customWidth="1"/>
    <col min="6" max="6" width="15.1796875" customWidth="1"/>
    <col min="7" max="10" width="15.08984375" customWidth="1"/>
    <col min="11" max="11" width="16.6328125" customWidth="1"/>
    <col min="12" max="12" width="12.54296875" customWidth="1"/>
    <col min="13" max="13" width="13.26953125" customWidth="1"/>
    <col min="14" max="14" width="12" customWidth="1"/>
    <col min="15" max="15" width="12.81640625" customWidth="1"/>
    <col min="16" max="16" width="12.36328125" customWidth="1"/>
    <col min="17" max="17" width="14.36328125" customWidth="1"/>
  </cols>
  <sheetData>
    <row r="1" spans="1:17" ht="80" x14ac:dyDescent="0.35">
      <c r="A1" s="45" t="s">
        <v>50</v>
      </c>
      <c r="B1" s="45" t="s">
        <v>29</v>
      </c>
      <c r="C1" s="45" t="s">
        <v>82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3</v>
      </c>
      <c r="I1" s="45" t="s">
        <v>4</v>
      </c>
      <c r="J1" s="45" t="s">
        <v>5</v>
      </c>
      <c r="K1" s="45" t="s">
        <v>80</v>
      </c>
      <c r="L1" s="45" t="s">
        <v>79</v>
      </c>
      <c r="M1" s="45" t="s">
        <v>81</v>
      </c>
      <c r="N1" s="45" t="s">
        <v>26</v>
      </c>
      <c r="O1" s="45" t="s">
        <v>7</v>
      </c>
      <c r="P1" s="45" t="s">
        <v>8</v>
      </c>
      <c r="Q1" s="45" t="s">
        <v>9</v>
      </c>
    </row>
    <row r="2" spans="1:17" ht="16" x14ac:dyDescent="0.4">
      <c r="A2" s="14">
        <v>1</v>
      </c>
      <c r="B2" s="47" t="s">
        <v>13</v>
      </c>
      <c r="C2" s="14">
        <v>1</v>
      </c>
      <c r="D2" s="46">
        <f>'Annual Employer Cost per Grade'!F2*C2</f>
        <v>46080000</v>
      </c>
      <c r="E2" s="46">
        <f>'Annual Employer Cost per Grade'!G2*'Annual Cost Summary'!C2</f>
        <v>3225600</v>
      </c>
      <c r="F2" s="46">
        <f>'Annual Employer Cost per Grade'!H2*'Annual Cost Summary'!C2</f>
        <v>3840000</v>
      </c>
      <c r="G2" s="46">
        <f>'Annual Employer Cost per Grade'!I2*'Annual Cost Summary'!C2</f>
        <v>13824000</v>
      </c>
      <c r="H2" s="46">
        <f>'Annual Employer Cost per Grade'!J2*'Annual Cost Summary'!C2</f>
        <v>0</v>
      </c>
      <c r="I2" s="46">
        <f>'Annual Employer Cost per Grade'!K2*'Annual Cost Summary'!C2</f>
        <v>0</v>
      </c>
      <c r="J2" s="46">
        <f>'Annual Employer Cost per Grade'!L2*'Annual Cost Summary'!C2</f>
        <v>0</v>
      </c>
      <c r="K2" s="46">
        <f>'Annual Employer Cost per Grade'!M2*'Annual Cost Summary'!C2</f>
        <v>0</v>
      </c>
      <c r="L2" s="46">
        <f>'Annual Employer Cost per Grade'!N2*'Annual Cost Summary'!C2</f>
        <v>0</v>
      </c>
      <c r="M2" s="46">
        <f>'Annual Employer Cost per Grade'!O2*'Annual Cost Summary'!C2</f>
        <v>4147200</v>
      </c>
      <c r="N2" s="46">
        <f>'Annual Employer Cost per Grade'!P2*'Annual Cost Summary'!C2</f>
        <v>746496</v>
      </c>
      <c r="O2" s="46">
        <f>'Annual Employer Cost per Grade'!Q2*'Annual Cost Summary'!C2</f>
        <v>599040</v>
      </c>
      <c r="P2" s="46">
        <f>'Annual Employer Cost per Grade'!R2*'Annual Cost Summary'!C2</f>
        <v>599040</v>
      </c>
      <c r="Q2" s="46">
        <f>SUM(D2:P2)</f>
        <v>73061376</v>
      </c>
    </row>
    <row r="3" spans="1:17" ht="16" x14ac:dyDescent="0.4">
      <c r="A3" s="14">
        <f>A2+1</f>
        <v>2</v>
      </c>
      <c r="B3" s="48" t="s">
        <v>32</v>
      </c>
      <c r="C3" s="14">
        <v>1</v>
      </c>
      <c r="D3" s="46">
        <f>'Annual Employer Cost per Grade'!F3*C3</f>
        <v>26328000</v>
      </c>
      <c r="E3" s="46">
        <f>'Annual Employer Cost per Grade'!G3*'Annual Cost Summary'!C3</f>
        <v>1842960</v>
      </c>
      <c r="F3" s="46">
        <f>'Annual Employer Cost per Grade'!H3*'Annual Cost Summary'!C3</f>
        <v>2194000</v>
      </c>
      <c r="G3" s="46">
        <f>'Annual Employer Cost per Grade'!I3*'Annual Cost Summary'!C3</f>
        <v>5265600</v>
      </c>
      <c r="H3" s="46">
        <f>'Annual Employer Cost per Grade'!J3*'Annual Cost Summary'!C3</f>
        <v>0</v>
      </c>
      <c r="I3" s="46">
        <f>'Annual Employer Cost per Grade'!K3*'Annual Cost Summary'!C3</f>
        <v>0</v>
      </c>
      <c r="J3" s="46">
        <f>'Annual Employer Cost per Grade'!L3*'Annual Cost Summary'!C3</f>
        <v>0</v>
      </c>
      <c r="K3" s="46">
        <f>'Annual Employer Cost per Grade'!M3*'Annual Cost Summary'!C3</f>
        <v>0</v>
      </c>
      <c r="L3" s="46">
        <f>'Annual Employer Cost per Grade'!N3*'Annual Cost Summary'!C3</f>
        <v>0</v>
      </c>
      <c r="M3" s="46">
        <f>'Annual Employer Cost per Grade'!O3*'Annual Cost Summary'!C3</f>
        <v>2369520</v>
      </c>
      <c r="N3" s="46">
        <f>'Annual Employer Cost per Grade'!P3*'Annual Cost Summary'!C3</f>
        <v>426513.60000000003</v>
      </c>
      <c r="O3" s="46">
        <f>'Annual Employer Cost per Grade'!Q3*'Annual Cost Summary'!C3</f>
        <v>315936</v>
      </c>
      <c r="P3" s="46">
        <f>'Annual Employer Cost per Grade'!R3*'Annual Cost Summary'!C3</f>
        <v>315936</v>
      </c>
      <c r="Q3" s="46">
        <f t="shared" ref="Q3:Q16" si="0">SUM(D3:P3)</f>
        <v>39058465.600000001</v>
      </c>
    </row>
    <row r="4" spans="1:17" ht="16" x14ac:dyDescent="0.4">
      <c r="A4" s="14">
        <f t="shared" ref="A4:A16" si="1">A3+1</f>
        <v>3</v>
      </c>
      <c r="B4" s="48" t="s">
        <v>33</v>
      </c>
      <c r="C4" s="14">
        <v>1</v>
      </c>
      <c r="D4" s="46">
        <f>'Annual Employer Cost per Grade'!F4*C4</f>
        <v>5664000</v>
      </c>
      <c r="E4" s="46">
        <f>'Annual Employer Cost per Grade'!G4*'Annual Cost Summary'!C4</f>
        <v>396480</v>
      </c>
      <c r="F4" s="46">
        <f>'Annual Employer Cost per Grade'!H4*'Annual Cost Summary'!C4</f>
        <v>472000</v>
      </c>
      <c r="G4" s="46">
        <f>'Annual Employer Cost per Grade'!I4*'Annual Cost Summary'!C4</f>
        <v>849600</v>
      </c>
      <c r="H4" s="46">
        <f>'Annual Employer Cost per Grade'!J4*'Annual Cost Summary'!C4</f>
        <v>0</v>
      </c>
      <c r="I4" s="46">
        <f>'Annual Employer Cost per Grade'!K4*'Annual Cost Summary'!C4</f>
        <v>0</v>
      </c>
      <c r="J4" s="46">
        <f>'Annual Employer Cost per Grade'!L4*'Annual Cost Summary'!C4</f>
        <v>0</v>
      </c>
      <c r="K4" s="46">
        <f>'Annual Employer Cost per Grade'!M4*'Annual Cost Summary'!C4</f>
        <v>0</v>
      </c>
      <c r="L4" s="46">
        <f>'Annual Employer Cost per Grade'!N4*'Annual Cost Summary'!C4</f>
        <v>0</v>
      </c>
      <c r="M4" s="46">
        <f>'Annual Employer Cost per Grade'!O4*'Annual Cost Summary'!C4</f>
        <v>509760</v>
      </c>
      <c r="N4" s="46">
        <f>'Annual Employer Cost per Grade'!P4*'Annual Cost Summary'!C4</f>
        <v>91756.800000000003</v>
      </c>
      <c r="O4" s="46">
        <f>'Annual Employer Cost per Grade'!Q4*'Annual Cost Summary'!C4</f>
        <v>65136</v>
      </c>
      <c r="P4" s="46">
        <f>'Annual Employer Cost per Grade'!R4*'Annual Cost Summary'!C4</f>
        <v>65136</v>
      </c>
      <c r="Q4" s="46">
        <f t="shared" si="0"/>
        <v>8113868.7999999998</v>
      </c>
    </row>
    <row r="5" spans="1:17" ht="16" x14ac:dyDescent="0.4">
      <c r="A5" s="14">
        <f t="shared" si="1"/>
        <v>4</v>
      </c>
      <c r="B5" s="48" t="s">
        <v>34</v>
      </c>
      <c r="C5" s="14">
        <v>1</v>
      </c>
      <c r="D5" s="46">
        <f>'Annual Employer Cost per Grade'!F5*C5</f>
        <v>5664000</v>
      </c>
      <c r="E5" s="46">
        <f>'Annual Employer Cost per Grade'!G5*'Annual Cost Summary'!C5</f>
        <v>396480</v>
      </c>
      <c r="F5" s="46">
        <f>'Annual Employer Cost per Grade'!H5*'Annual Cost Summary'!C5</f>
        <v>472000</v>
      </c>
      <c r="G5" s="46">
        <f>'Annual Employer Cost per Grade'!I5*'Annual Cost Summary'!C5</f>
        <v>849600</v>
      </c>
      <c r="H5" s="46">
        <f>'Annual Employer Cost per Grade'!J5*'Annual Cost Summary'!C5</f>
        <v>0</v>
      </c>
      <c r="I5" s="46">
        <f>'Annual Employer Cost per Grade'!K5*'Annual Cost Summary'!C5</f>
        <v>0</v>
      </c>
      <c r="J5" s="46">
        <f>'Annual Employer Cost per Grade'!L5*'Annual Cost Summary'!C5</f>
        <v>0</v>
      </c>
      <c r="K5" s="46">
        <f>'Annual Employer Cost per Grade'!M5*'Annual Cost Summary'!C5</f>
        <v>0</v>
      </c>
      <c r="L5" s="46">
        <f>'Annual Employer Cost per Grade'!N5*'Annual Cost Summary'!C5</f>
        <v>0</v>
      </c>
      <c r="M5" s="46">
        <f>'Annual Employer Cost per Grade'!O5*'Annual Cost Summary'!C5</f>
        <v>509760</v>
      </c>
      <c r="N5" s="46">
        <f>'Annual Employer Cost per Grade'!P5*'Annual Cost Summary'!C5</f>
        <v>91756.800000000003</v>
      </c>
      <c r="O5" s="46">
        <f>'Annual Employer Cost per Grade'!Q5*'Annual Cost Summary'!C5</f>
        <v>65136</v>
      </c>
      <c r="P5" s="46">
        <f>'Annual Employer Cost per Grade'!R5*'Annual Cost Summary'!C5</f>
        <v>65136</v>
      </c>
      <c r="Q5" s="46">
        <f t="shared" si="0"/>
        <v>8113868.7999999998</v>
      </c>
    </row>
    <row r="6" spans="1:17" ht="16" x14ac:dyDescent="0.4">
      <c r="A6" s="14">
        <f t="shared" si="1"/>
        <v>5</v>
      </c>
      <c r="B6" s="48" t="s">
        <v>35</v>
      </c>
      <c r="C6" s="14">
        <v>1</v>
      </c>
      <c r="D6" s="46">
        <f>'Annual Employer Cost per Grade'!F6*C6</f>
        <v>3288000</v>
      </c>
      <c r="E6" s="46">
        <f>'Annual Employer Cost per Grade'!G6*'Annual Cost Summary'!C6</f>
        <v>230160</v>
      </c>
      <c r="F6" s="46">
        <f>'Annual Employer Cost per Grade'!H6*'Annual Cost Summary'!C6</f>
        <v>274000</v>
      </c>
      <c r="G6" s="46">
        <f>'Annual Employer Cost per Grade'!I6*'Annual Cost Summary'!C6</f>
        <v>328800</v>
      </c>
      <c r="H6" s="46">
        <f>'Annual Employer Cost per Grade'!J6*'Annual Cost Summary'!C6</f>
        <v>0</v>
      </c>
      <c r="I6" s="46">
        <f>'Annual Employer Cost per Grade'!K6*'Annual Cost Summary'!C6</f>
        <v>0</v>
      </c>
      <c r="J6" s="46">
        <f>'Annual Employer Cost per Grade'!L6*'Annual Cost Summary'!C6</f>
        <v>0</v>
      </c>
      <c r="K6" s="46">
        <f>'Annual Employer Cost per Grade'!M6*'Annual Cost Summary'!C6</f>
        <v>0</v>
      </c>
      <c r="L6" s="46">
        <f>'Annual Employer Cost per Grade'!N6*'Annual Cost Summary'!C6</f>
        <v>0</v>
      </c>
      <c r="M6" s="46">
        <f>'Annual Employer Cost per Grade'!O6*'Annual Cost Summary'!C6</f>
        <v>295920</v>
      </c>
      <c r="N6" s="46">
        <f>'Annual Employer Cost per Grade'!P6*'Annual Cost Summary'!C6</f>
        <v>53265.599999999999</v>
      </c>
      <c r="O6" s="46">
        <f>'Annual Employer Cost per Grade'!Q6*'Annual Cost Summary'!C6</f>
        <v>36168</v>
      </c>
      <c r="P6" s="46">
        <f>'Annual Employer Cost per Grade'!R6*'Annual Cost Summary'!C6</f>
        <v>36168</v>
      </c>
      <c r="Q6" s="46">
        <f t="shared" si="0"/>
        <v>4542481.5999999996</v>
      </c>
    </row>
    <row r="7" spans="1:17" ht="16" x14ac:dyDescent="0.4">
      <c r="A7" s="14">
        <f t="shared" si="1"/>
        <v>6</v>
      </c>
      <c r="B7" s="48" t="s">
        <v>51</v>
      </c>
      <c r="C7" s="14">
        <v>2</v>
      </c>
      <c r="D7" s="46">
        <f>'Annual Employer Cost per Grade'!F7*C7</f>
        <v>6576000</v>
      </c>
      <c r="E7" s="46">
        <f>'Annual Employer Cost per Grade'!G7*'Annual Cost Summary'!C7</f>
        <v>460320</v>
      </c>
      <c r="F7" s="46">
        <f>'Annual Employer Cost per Grade'!H7*'Annual Cost Summary'!C7</f>
        <v>548000</v>
      </c>
      <c r="G7" s="46">
        <f>'Annual Employer Cost per Grade'!I7*'Annual Cost Summary'!C7</f>
        <v>657600</v>
      </c>
      <c r="H7" s="46">
        <f>'Annual Employer Cost per Grade'!J7*'Annual Cost Summary'!C7</f>
        <v>0</v>
      </c>
      <c r="I7" s="46">
        <f>'Annual Employer Cost per Grade'!K7*'Annual Cost Summary'!C7</f>
        <v>0</v>
      </c>
      <c r="J7" s="46">
        <f>'Annual Employer Cost per Grade'!L7*'Annual Cost Summary'!C7</f>
        <v>0</v>
      </c>
      <c r="K7" s="46">
        <f>'Annual Employer Cost per Grade'!M7*'Annual Cost Summary'!C7</f>
        <v>0</v>
      </c>
      <c r="L7" s="46">
        <f>'Annual Employer Cost per Grade'!N7*'Annual Cost Summary'!C7</f>
        <v>0</v>
      </c>
      <c r="M7" s="46">
        <f>'Annual Employer Cost per Grade'!O7*'Annual Cost Summary'!C7</f>
        <v>591840</v>
      </c>
      <c r="N7" s="46">
        <f>'Annual Employer Cost per Grade'!P7*'Annual Cost Summary'!C7</f>
        <v>106531.2</v>
      </c>
      <c r="O7" s="46">
        <f>'Annual Employer Cost per Grade'!Q7*'Annual Cost Summary'!C7</f>
        <v>72336</v>
      </c>
      <c r="P7" s="46">
        <f>'Annual Employer Cost per Grade'!R7*'Annual Cost Summary'!C7</f>
        <v>72336</v>
      </c>
      <c r="Q7" s="46">
        <f t="shared" si="0"/>
        <v>9084963.1999999993</v>
      </c>
    </row>
    <row r="8" spans="1:17" ht="16" x14ac:dyDescent="0.4">
      <c r="A8" s="14">
        <f t="shared" si="1"/>
        <v>7</v>
      </c>
      <c r="B8" s="48" t="s">
        <v>36</v>
      </c>
      <c r="C8" s="14">
        <v>1</v>
      </c>
      <c r="D8" s="46">
        <f>'Annual Employer Cost per Grade'!F8*C8</f>
        <v>3288000</v>
      </c>
      <c r="E8" s="46">
        <f>'Annual Employer Cost per Grade'!G8*'Annual Cost Summary'!C8</f>
        <v>230160</v>
      </c>
      <c r="F8" s="46">
        <f>'Annual Employer Cost per Grade'!H8*'Annual Cost Summary'!C8</f>
        <v>274000</v>
      </c>
      <c r="G8" s="46">
        <f>'Annual Employer Cost per Grade'!I8*'Annual Cost Summary'!C8</f>
        <v>328800</v>
      </c>
      <c r="H8" s="46">
        <f>'Annual Employer Cost per Grade'!J8*'Annual Cost Summary'!C8</f>
        <v>0</v>
      </c>
      <c r="I8" s="46">
        <f>'Annual Employer Cost per Grade'!K8*'Annual Cost Summary'!C8</f>
        <v>0</v>
      </c>
      <c r="J8" s="46">
        <f>'Annual Employer Cost per Grade'!L8*'Annual Cost Summary'!C8</f>
        <v>0</v>
      </c>
      <c r="K8" s="46">
        <f>'Annual Employer Cost per Grade'!M8*'Annual Cost Summary'!C8</f>
        <v>0</v>
      </c>
      <c r="L8" s="46">
        <f>'Annual Employer Cost per Grade'!N8*'Annual Cost Summary'!C8</f>
        <v>0</v>
      </c>
      <c r="M8" s="46">
        <f>'Annual Employer Cost per Grade'!O8*'Annual Cost Summary'!C8</f>
        <v>295920</v>
      </c>
      <c r="N8" s="46">
        <f>'Annual Employer Cost per Grade'!P8*'Annual Cost Summary'!C8</f>
        <v>53265.599999999999</v>
      </c>
      <c r="O8" s="46">
        <f>'Annual Employer Cost per Grade'!Q8*'Annual Cost Summary'!C8</f>
        <v>36168</v>
      </c>
      <c r="P8" s="46">
        <f>'Annual Employer Cost per Grade'!R8*'Annual Cost Summary'!C8</f>
        <v>36168</v>
      </c>
      <c r="Q8" s="46">
        <f t="shared" si="0"/>
        <v>4542481.5999999996</v>
      </c>
    </row>
    <row r="9" spans="1:17" ht="16" x14ac:dyDescent="0.4">
      <c r="A9" s="14">
        <f t="shared" si="1"/>
        <v>8</v>
      </c>
      <c r="B9" s="48" t="s">
        <v>37</v>
      </c>
      <c r="C9" s="14">
        <v>1</v>
      </c>
      <c r="D9" s="46">
        <f>'Annual Employer Cost per Grade'!F9*C9</f>
        <v>3288000</v>
      </c>
      <c r="E9" s="46">
        <f>'Annual Employer Cost per Grade'!G9*'Annual Cost Summary'!C9</f>
        <v>230160</v>
      </c>
      <c r="F9" s="46">
        <f>'Annual Employer Cost per Grade'!H9*'Annual Cost Summary'!C9</f>
        <v>274000</v>
      </c>
      <c r="G9" s="46">
        <f>'Annual Employer Cost per Grade'!I9*'Annual Cost Summary'!C9</f>
        <v>328800</v>
      </c>
      <c r="H9" s="46">
        <f>'Annual Employer Cost per Grade'!J9*'Annual Cost Summary'!C9</f>
        <v>0</v>
      </c>
      <c r="I9" s="46">
        <f>'Annual Employer Cost per Grade'!K9*'Annual Cost Summary'!C9</f>
        <v>0</v>
      </c>
      <c r="J9" s="46">
        <f>'Annual Employer Cost per Grade'!L9*'Annual Cost Summary'!C9</f>
        <v>0</v>
      </c>
      <c r="K9" s="46">
        <f>'Annual Employer Cost per Grade'!M9*'Annual Cost Summary'!C9</f>
        <v>0</v>
      </c>
      <c r="L9" s="46">
        <f>'Annual Employer Cost per Grade'!N9*'Annual Cost Summary'!C9</f>
        <v>0</v>
      </c>
      <c r="M9" s="46">
        <f>'Annual Employer Cost per Grade'!O9*'Annual Cost Summary'!C9</f>
        <v>295920</v>
      </c>
      <c r="N9" s="46">
        <f>'Annual Employer Cost per Grade'!P9*'Annual Cost Summary'!C9</f>
        <v>53265.599999999999</v>
      </c>
      <c r="O9" s="46">
        <f>'Annual Employer Cost per Grade'!Q9*'Annual Cost Summary'!C9</f>
        <v>36168</v>
      </c>
      <c r="P9" s="46">
        <f>'Annual Employer Cost per Grade'!R9*'Annual Cost Summary'!C9</f>
        <v>36168</v>
      </c>
      <c r="Q9" s="46">
        <f t="shared" si="0"/>
        <v>4542481.5999999996</v>
      </c>
    </row>
    <row r="10" spans="1:17" ht="16" x14ac:dyDescent="0.4">
      <c r="A10" s="14">
        <f t="shared" si="1"/>
        <v>9</v>
      </c>
      <c r="B10" s="48" t="s">
        <v>52</v>
      </c>
      <c r="C10" s="14">
        <v>2</v>
      </c>
      <c r="D10" s="46">
        <f>'Annual Employer Cost per Grade'!F10*C10</f>
        <v>6576000</v>
      </c>
      <c r="E10" s="46">
        <f>'Annual Employer Cost per Grade'!G10*'Annual Cost Summary'!C10</f>
        <v>460320</v>
      </c>
      <c r="F10" s="46">
        <f>'Annual Employer Cost per Grade'!H10*'Annual Cost Summary'!C10</f>
        <v>548000</v>
      </c>
      <c r="G10" s="46">
        <f>'Annual Employer Cost per Grade'!I10*'Annual Cost Summary'!C10</f>
        <v>657600</v>
      </c>
      <c r="H10" s="46">
        <f>'Annual Employer Cost per Grade'!J10*'Annual Cost Summary'!C10</f>
        <v>0</v>
      </c>
      <c r="I10" s="46">
        <f>'Annual Employer Cost per Grade'!K10*'Annual Cost Summary'!C10</f>
        <v>0</v>
      </c>
      <c r="J10" s="46">
        <f>'Annual Employer Cost per Grade'!L10*'Annual Cost Summary'!C10</f>
        <v>0</v>
      </c>
      <c r="K10" s="46">
        <f>'Annual Employer Cost per Grade'!M10*'Annual Cost Summary'!C10</f>
        <v>0</v>
      </c>
      <c r="L10" s="46">
        <f>'Annual Employer Cost per Grade'!N10*'Annual Cost Summary'!C10</f>
        <v>0</v>
      </c>
      <c r="M10" s="46">
        <f>'Annual Employer Cost per Grade'!O10*'Annual Cost Summary'!C10</f>
        <v>591840</v>
      </c>
      <c r="N10" s="46">
        <f>'Annual Employer Cost per Grade'!P10*'Annual Cost Summary'!C10</f>
        <v>106531.2</v>
      </c>
      <c r="O10" s="46">
        <f>'Annual Employer Cost per Grade'!Q10*'Annual Cost Summary'!C10</f>
        <v>72336</v>
      </c>
      <c r="P10" s="46">
        <f>'Annual Employer Cost per Grade'!R10*'Annual Cost Summary'!C10</f>
        <v>72336</v>
      </c>
      <c r="Q10" s="46">
        <f t="shared" si="0"/>
        <v>9084963.1999999993</v>
      </c>
    </row>
    <row r="11" spans="1:17" ht="16" x14ac:dyDescent="0.4">
      <c r="A11" s="14">
        <f t="shared" si="1"/>
        <v>10</v>
      </c>
      <c r="B11" s="48" t="s">
        <v>38</v>
      </c>
      <c r="C11" s="14">
        <v>1</v>
      </c>
      <c r="D11" s="46">
        <f>'Annual Employer Cost per Grade'!F11*C11</f>
        <v>3288000</v>
      </c>
      <c r="E11" s="46">
        <f>'Annual Employer Cost per Grade'!G11*'Annual Cost Summary'!C11</f>
        <v>230160</v>
      </c>
      <c r="F11" s="46">
        <f>'Annual Employer Cost per Grade'!H11*'Annual Cost Summary'!C11</f>
        <v>274000</v>
      </c>
      <c r="G11" s="46">
        <f>'Annual Employer Cost per Grade'!I11*'Annual Cost Summary'!C11</f>
        <v>328800</v>
      </c>
      <c r="H11" s="46">
        <f>'Annual Employer Cost per Grade'!J11*'Annual Cost Summary'!C11</f>
        <v>0</v>
      </c>
      <c r="I11" s="46">
        <f>'Annual Employer Cost per Grade'!K11*'Annual Cost Summary'!C11</f>
        <v>0</v>
      </c>
      <c r="J11" s="46">
        <f>'Annual Employer Cost per Grade'!L11*'Annual Cost Summary'!C11</f>
        <v>0</v>
      </c>
      <c r="K11" s="46">
        <f>'Annual Employer Cost per Grade'!M11*'Annual Cost Summary'!C11</f>
        <v>0</v>
      </c>
      <c r="L11" s="46">
        <f>'Annual Employer Cost per Grade'!N11*'Annual Cost Summary'!C11</f>
        <v>0</v>
      </c>
      <c r="M11" s="46">
        <f>'Annual Employer Cost per Grade'!O11*'Annual Cost Summary'!C11</f>
        <v>295920</v>
      </c>
      <c r="N11" s="46">
        <f>'Annual Employer Cost per Grade'!P11*'Annual Cost Summary'!C11</f>
        <v>53265.599999999999</v>
      </c>
      <c r="O11" s="46">
        <f>'Annual Employer Cost per Grade'!Q11*'Annual Cost Summary'!C11</f>
        <v>36168</v>
      </c>
      <c r="P11" s="46">
        <f>'Annual Employer Cost per Grade'!R11*'Annual Cost Summary'!C11</f>
        <v>36168</v>
      </c>
      <c r="Q11" s="46">
        <f t="shared" si="0"/>
        <v>4542481.5999999996</v>
      </c>
    </row>
    <row r="12" spans="1:17" ht="32" x14ac:dyDescent="0.4">
      <c r="A12" s="14">
        <f t="shared" si="1"/>
        <v>11</v>
      </c>
      <c r="B12" s="48" t="s">
        <v>39</v>
      </c>
      <c r="C12" s="14">
        <v>1</v>
      </c>
      <c r="D12" s="46">
        <f>'Annual Employer Cost per Grade'!F12*C12</f>
        <v>3288000</v>
      </c>
      <c r="E12" s="46">
        <f>'Annual Employer Cost per Grade'!G12*'Annual Cost Summary'!C12</f>
        <v>230160</v>
      </c>
      <c r="F12" s="46">
        <f>'Annual Employer Cost per Grade'!H12*'Annual Cost Summary'!C12</f>
        <v>274000</v>
      </c>
      <c r="G12" s="46">
        <f>'Annual Employer Cost per Grade'!I12*'Annual Cost Summary'!C12</f>
        <v>328800</v>
      </c>
      <c r="H12" s="46">
        <f>'Annual Employer Cost per Grade'!J12*'Annual Cost Summary'!C12</f>
        <v>0</v>
      </c>
      <c r="I12" s="46">
        <f>'Annual Employer Cost per Grade'!K12*'Annual Cost Summary'!C12</f>
        <v>0</v>
      </c>
      <c r="J12" s="46">
        <f>'Annual Employer Cost per Grade'!L12*'Annual Cost Summary'!C12</f>
        <v>0</v>
      </c>
      <c r="K12" s="46">
        <f>'Annual Employer Cost per Grade'!M12*'Annual Cost Summary'!C12</f>
        <v>0</v>
      </c>
      <c r="L12" s="46">
        <f>'Annual Employer Cost per Grade'!N12*'Annual Cost Summary'!C12</f>
        <v>0</v>
      </c>
      <c r="M12" s="46">
        <f>'Annual Employer Cost per Grade'!O12*'Annual Cost Summary'!C12</f>
        <v>295920</v>
      </c>
      <c r="N12" s="46">
        <f>'Annual Employer Cost per Grade'!P12*'Annual Cost Summary'!C12</f>
        <v>53265.599999999999</v>
      </c>
      <c r="O12" s="46">
        <f>'Annual Employer Cost per Grade'!Q12*'Annual Cost Summary'!C12</f>
        <v>36168</v>
      </c>
      <c r="P12" s="46">
        <f>'Annual Employer Cost per Grade'!R12*'Annual Cost Summary'!C12</f>
        <v>36168</v>
      </c>
      <c r="Q12" s="46">
        <f t="shared" si="0"/>
        <v>4542481.5999999996</v>
      </c>
    </row>
    <row r="13" spans="1:17" ht="16" x14ac:dyDescent="0.4">
      <c r="A13" s="14">
        <f t="shared" si="1"/>
        <v>12</v>
      </c>
      <c r="B13" s="48" t="s">
        <v>53</v>
      </c>
      <c r="C13" s="14">
        <v>3</v>
      </c>
      <c r="D13" s="46">
        <f>'Annual Employer Cost per Grade'!F13*C13</f>
        <v>4932000</v>
      </c>
      <c r="E13" s="46">
        <f>'Annual Employer Cost per Grade'!G13*'Annual Cost Summary'!C13</f>
        <v>345240</v>
      </c>
      <c r="F13" s="46">
        <f>'Annual Employer Cost per Grade'!H13*'Annual Cost Summary'!C13</f>
        <v>411000</v>
      </c>
      <c r="G13" s="46">
        <f>'Annual Employer Cost per Grade'!I13*'Annual Cost Summary'!C13</f>
        <v>493200</v>
      </c>
      <c r="H13" s="46">
        <f>'Annual Employer Cost per Grade'!J13*'Annual Cost Summary'!C13</f>
        <v>0</v>
      </c>
      <c r="I13" s="46">
        <f>'Annual Employer Cost per Grade'!K13*'Annual Cost Summary'!C13</f>
        <v>0</v>
      </c>
      <c r="J13" s="46">
        <f>'Annual Employer Cost per Grade'!L13*'Annual Cost Summary'!C13</f>
        <v>0</v>
      </c>
      <c r="K13" s="46">
        <f>'Annual Employer Cost per Grade'!M13*'Annual Cost Summary'!C13</f>
        <v>0</v>
      </c>
      <c r="L13" s="46">
        <f>'Annual Employer Cost per Grade'!N13*'Annual Cost Summary'!C13</f>
        <v>0</v>
      </c>
      <c r="M13" s="46">
        <f>'Annual Employer Cost per Grade'!O13*'Annual Cost Summary'!C13</f>
        <v>443880</v>
      </c>
      <c r="N13" s="46">
        <f>'Annual Employer Cost per Grade'!P13*'Annual Cost Summary'!C13</f>
        <v>79898.399999999994</v>
      </c>
      <c r="O13" s="46">
        <f>'Annual Employer Cost per Grade'!Q13*'Annual Cost Summary'!C13</f>
        <v>54252</v>
      </c>
      <c r="P13" s="46">
        <f>'Annual Employer Cost per Grade'!R13*'Annual Cost Summary'!C13</f>
        <v>54252</v>
      </c>
      <c r="Q13" s="46">
        <f t="shared" si="0"/>
        <v>6813722.4000000004</v>
      </c>
    </row>
    <row r="14" spans="1:17" ht="16" x14ac:dyDescent="0.4">
      <c r="A14" s="14">
        <f t="shared" si="1"/>
        <v>13</v>
      </c>
      <c r="B14" s="48" t="s">
        <v>40</v>
      </c>
      <c r="C14" s="14">
        <v>1</v>
      </c>
      <c r="D14" s="46">
        <f>'Annual Employer Cost per Grade'!F14*C14</f>
        <v>1644000</v>
      </c>
      <c r="E14" s="46">
        <f>'Annual Employer Cost per Grade'!G14*'Annual Cost Summary'!C14</f>
        <v>115080</v>
      </c>
      <c r="F14" s="46">
        <f>'Annual Employer Cost per Grade'!H14*'Annual Cost Summary'!C14</f>
        <v>137000</v>
      </c>
      <c r="G14" s="46">
        <f>'Annual Employer Cost per Grade'!I14*'Annual Cost Summary'!C14</f>
        <v>164400</v>
      </c>
      <c r="H14" s="46">
        <f>'Annual Employer Cost per Grade'!J14*'Annual Cost Summary'!C14</f>
        <v>0</v>
      </c>
      <c r="I14" s="46">
        <f>'Annual Employer Cost per Grade'!K14*'Annual Cost Summary'!C14</f>
        <v>0</v>
      </c>
      <c r="J14" s="46">
        <f>'Annual Employer Cost per Grade'!L14*'Annual Cost Summary'!C14</f>
        <v>0</v>
      </c>
      <c r="K14" s="46">
        <f>'Annual Employer Cost per Grade'!M14*'Annual Cost Summary'!C14</f>
        <v>0</v>
      </c>
      <c r="L14" s="46">
        <f>'Annual Employer Cost per Grade'!N14*'Annual Cost Summary'!C14</f>
        <v>0</v>
      </c>
      <c r="M14" s="46">
        <f>'Annual Employer Cost per Grade'!O14*'Annual Cost Summary'!C14</f>
        <v>147960</v>
      </c>
      <c r="N14" s="46">
        <f>'Annual Employer Cost per Grade'!P14*'Annual Cost Summary'!C14</f>
        <v>26632.799999999999</v>
      </c>
      <c r="O14" s="46">
        <f>'Annual Employer Cost per Grade'!Q14*'Annual Cost Summary'!C14</f>
        <v>18084</v>
      </c>
      <c r="P14" s="46">
        <f>'Annual Employer Cost per Grade'!R14*'Annual Cost Summary'!C14</f>
        <v>18084</v>
      </c>
      <c r="Q14" s="46">
        <f t="shared" si="0"/>
        <v>2271240.7999999998</v>
      </c>
    </row>
    <row r="15" spans="1:17" ht="16" x14ac:dyDescent="0.4">
      <c r="A15" s="14">
        <f t="shared" si="1"/>
        <v>14</v>
      </c>
      <c r="B15" s="48" t="s">
        <v>54</v>
      </c>
      <c r="C15" s="14">
        <v>2</v>
      </c>
      <c r="D15" s="46">
        <f>'Annual Employer Cost per Grade'!F15*C15</f>
        <v>1320000</v>
      </c>
      <c r="E15" s="46">
        <f>'Annual Employer Cost per Grade'!G15*'Annual Cost Summary'!C15</f>
        <v>92400</v>
      </c>
      <c r="F15" s="46">
        <f>'Annual Employer Cost per Grade'!H15*'Annual Cost Summary'!C15</f>
        <v>110000</v>
      </c>
      <c r="G15" s="46">
        <f>'Annual Employer Cost per Grade'!I15*'Annual Cost Summary'!C15</f>
        <v>0</v>
      </c>
      <c r="H15" s="46">
        <f>'Annual Employer Cost per Grade'!J15*'Annual Cost Summary'!C15</f>
        <v>0</v>
      </c>
      <c r="I15" s="46">
        <f>'Annual Employer Cost per Grade'!K15*'Annual Cost Summary'!C15</f>
        <v>0</v>
      </c>
      <c r="J15" s="46">
        <f>'Annual Employer Cost per Grade'!L15*'Annual Cost Summary'!C15</f>
        <v>0</v>
      </c>
      <c r="K15" s="46">
        <f>'Annual Employer Cost per Grade'!M15*'Annual Cost Summary'!C15</f>
        <v>0</v>
      </c>
      <c r="L15" s="46">
        <f>'Annual Employer Cost per Grade'!N15*'Annual Cost Summary'!C15</f>
        <v>0</v>
      </c>
      <c r="M15" s="46">
        <f>'Annual Employer Cost per Grade'!O15*'Annual Cost Summary'!C15</f>
        <v>0</v>
      </c>
      <c r="N15" s="46">
        <f>'Annual Employer Cost per Grade'!P15*'Annual Cost Summary'!C15</f>
        <v>21384</v>
      </c>
      <c r="O15" s="46">
        <f>'Annual Employer Cost per Grade'!Q15*'Annual Cost Summary'!C15</f>
        <v>13200</v>
      </c>
      <c r="P15" s="46">
        <f>'Annual Employer Cost per Grade'!R15*'Annual Cost Summary'!C15</f>
        <v>13200</v>
      </c>
      <c r="Q15" s="46">
        <f t="shared" si="0"/>
        <v>1570184</v>
      </c>
    </row>
    <row r="16" spans="1:17" ht="16" x14ac:dyDescent="0.4">
      <c r="A16" s="14">
        <f t="shared" si="1"/>
        <v>15</v>
      </c>
      <c r="B16" s="48" t="s">
        <v>55</v>
      </c>
      <c r="C16" s="14">
        <v>3</v>
      </c>
      <c r="D16" s="46">
        <f>'Annual Employer Cost per Grade'!F16*C16</f>
        <v>1656000</v>
      </c>
      <c r="E16" s="46">
        <f>'Annual Employer Cost per Grade'!G16*'Annual Cost Summary'!C16</f>
        <v>115920</v>
      </c>
      <c r="F16" s="46">
        <f>'Annual Employer Cost per Grade'!H16*'Annual Cost Summary'!C16</f>
        <v>138000</v>
      </c>
      <c r="G16" s="46">
        <f>'Annual Employer Cost per Grade'!I16*'Annual Cost Summary'!C16</f>
        <v>0</v>
      </c>
      <c r="H16" s="46">
        <f>'Annual Employer Cost per Grade'!J16*'Annual Cost Summary'!C16</f>
        <v>0</v>
      </c>
      <c r="I16" s="46">
        <f>'Annual Employer Cost per Grade'!K16*'Annual Cost Summary'!C16</f>
        <v>0</v>
      </c>
      <c r="J16" s="46">
        <f>'Annual Employer Cost per Grade'!L16*'Annual Cost Summary'!C16</f>
        <v>0</v>
      </c>
      <c r="K16" s="46">
        <f>'Annual Employer Cost per Grade'!M16*'Annual Cost Summary'!C16</f>
        <v>0</v>
      </c>
      <c r="L16" s="46">
        <f>'Annual Employer Cost per Grade'!N16*'Annual Cost Summary'!C16</f>
        <v>0</v>
      </c>
      <c r="M16" s="46">
        <f>'Annual Employer Cost per Grade'!O16*'Annual Cost Summary'!C16</f>
        <v>0</v>
      </c>
      <c r="N16" s="46">
        <f>'Annual Employer Cost per Grade'!P16*'Annual Cost Summary'!C16</f>
        <v>26827.199999999997</v>
      </c>
      <c r="O16" s="46">
        <f>'Annual Employer Cost per Grade'!Q16*'Annual Cost Summary'!C16</f>
        <v>16560</v>
      </c>
      <c r="P16" s="46">
        <f>'Annual Employer Cost per Grade'!R16*'Annual Cost Summary'!C16</f>
        <v>16560</v>
      </c>
      <c r="Q16" s="46">
        <f t="shared" si="0"/>
        <v>1969867.2</v>
      </c>
    </row>
    <row r="17" spans="2:17" ht="16" x14ac:dyDescent="0.4">
      <c r="B17" s="52" t="s">
        <v>74</v>
      </c>
      <c r="C17" s="49">
        <f>SUM(C2:C16)</f>
        <v>22</v>
      </c>
      <c r="D17" s="49">
        <f t="shared" ref="D17:Q17" si="2">SUM(D2:D16)</f>
        <v>122880000</v>
      </c>
      <c r="E17" s="49">
        <f t="shared" si="2"/>
        <v>8601600</v>
      </c>
      <c r="F17" s="49">
        <f t="shared" si="2"/>
        <v>10240000</v>
      </c>
      <c r="G17" s="49">
        <f t="shared" si="2"/>
        <v>24405600</v>
      </c>
      <c r="H17" s="49">
        <f t="shared" si="2"/>
        <v>0</v>
      </c>
      <c r="I17" s="49">
        <f t="shared" si="2"/>
        <v>0</v>
      </c>
      <c r="J17" s="49">
        <f t="shared" si="2"/>
        <v>0</v>
      </c>
      <c r="K17" s="49">
        <f t="shared" si="2"/>
        <v>0</v>
      </c>
      <c r="L17" s="49">
        <f t="shared" si="2"/>
        <v>0</v>
      </c>
      <c r="M17" s="49">
        <f t="shared" si="2"/>
        <v>10791360</v>
      </c>
      <c r="N17" s="49">
        <f t="shared" si="2"/>
        <v>1990656.0000000005</v>
      </c>
      <c r="O17" s="49">
        <f t="shared" si="2"/>
        <v>1472856</v>
      </c>
      <c r="P17" s="49">
        <f t="shared" si="2"/>
        <v>1472856</v>
      </c>
      <c r="Q17" s="49">
        <f t="shared" si="2"/>
        <v>181854927.99999994</v>
      </c>
    </row>
    <row r="19" spans="2:17" x14ac:dyDescent="0.35">
      <c r="Q19" s="5"/>
    </row>
    <row r="20" spans="2:17" x14ac:dyDescent="0.35">
      <c r="Q20" s="5"/>
    </row>
  </sheetData>
  <autoFilter ref="A1:R17" xr:uid="{726BDEED-8A11-4C61-AC8A-14DBB12A82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6635-7CAE-4049-A784-CE08D3F616E1}">
  <dimension ref="A1:AM18"/>
  <sheetViews>
    <sheetView workbookViewId="0">
      <pane xSplit="5" ySplit="2" topLeftCell="F11" activePane="bottomRight" state="frozen"/>
      <selection pane="topRight" activeCell="F1" sqref="F1"/>
      <selection pane="bottomLeft" activeCell="A3" sqref="A3"/>
      <selection pane="bottomRight" activeCell="A2" sqref="A2:T2"/>
    </sheetView>
  </sheetViews>
  <sheetFormatPr defaultRowHeight="14.5" x14ac:dyDescent="0.35"/>
  <cols>
    <col min="2" max="2" width="30.36328125" customWidth="1"/>
    <col min="3" max="3" width="13.08984375" bestFit="1" customWidth="1"/>
    <col min="4" max="4" width="12.7265625" customWidth="1"/>
    <col min="5" max="5" width="18.81640625" bestFit="1" customWidth="1"/>
    <col min="6" max="6" width="14" bestFit="1" customWidth="1"/>
    <col min="7" max="7" width="3.26953125" customWidth="1"/>
    <col min="8" max="8" width="15.08984375" bestFit="1" customWidth="1"/>
    <col min="9" max="12" width="13.1796875" bestFit="1" customWidth="1"/>
    <col min="13" max="13" width="13.7265625" customWidth="1"/>
    <col min="14" max="14" width="15.26953125" customWidth="1"/>
    <col min="15" max="15" width="16.36328125" customWidth="1"/>
    <col min="16" max="16" width="12" bestFit="1" customWidth="1"/>
    <col min="17" max="17" width="15.453125" customWidth="1"/>
    <col min="18" max="18" width="15.08984375" bestFit="1" customWidth="1"/>
    <col min="19" max="19" width="2.81640625" customWidth="1"/>
    <col min="20" max="20" width="18.1796875" customWidth="1"/>
    <col min="23" max="23" width="16.54296875" customWidth="1"/>
    <col min="24" max="24" width="16.08984375" customWidth="1"/>
    <col min="25" max="25" width="14.90625" customWidth="1"/>
    <col min="26" max="27" width="13.54296875" bestFit="1" customWidth="1"/>
    <col min="28" max="28" width="18" customWidth="1"/>
    <col min="29" max="29" width="14.90625" customWidth="1"/>
    <col min="30" max="31" width="14.90625" style="34" customWidth="1"/>
    <col min="32" max="32" width="11.81640625"/>
    <col min="33" max="33" width="17.36328125" customWidth="1"/>
    <col min="34" max="37" width="11.81640625"/>
    <col min="38" max="38" width="13.54296875" bestFit="1" customWidth="1"/>
    <col min="39" max="39" width="14.90625" customWidth="1"/>
  </cols>
  <sheetData>
    <row r="1" spans="1:39" ht="18.5" x14ac:dyDescent="0.45">
      <c r="A1" s="17"/>
      <c r="B1" s="17"/>
      <c r="C1" s="17"/>
      <c r="D1" s="17"/>
      <c r="E1" s="17"/>
      <c r="F1" s="17"/>
      <c r="G1" s="17"/>
      <c r="H1" s="22">
        <v>0.7</v>
      </c>
      <c r="I1" s="22">
        <v>0.1</v>
      </c>
      <c r="J1" s="22">
        <v>0.1</v>
      </c>
      <c r="K1" s="23">
        <v>3.3300000000000003E-2</v>
      </c>
      <c r="L1" s="23">
        <v>3.3300000000000003E-2</v>
      </c>
      <c r="M1" s="23">
        <v>3.3399999999999999E-2</v>
      </c>
      <c r="N1" s="23"/>
      <c r="O1" s="23" t="s">
        <v>59</v>
      </c>
      <c r="P1" s="42" t="s">
        <v>73</v>
      </c>
      <c r="Q1" s="24"/>
      <c r="R1" s="24"/>
      <c r="S1" s="24"/>
      <c r="T1" s="24"/>
      <c r="W1" s="43" t="s">
        <v>69</v>
      </c>
      <c r="X1" s="4"/>
      <c r="Y1" s="4"/>
      <c r="Z1" s="4"/>
      <c r="AA1" s="4"/>
      <c r="AB1" s="4"/>
      <c r="AC1" s="4"/>
      <c r="AD1" s="31"/>
      <c r="AE1" s="31" t="s">
        <v>69</v>
      </c>
      <c r="AF1" s="35" t="s">
        <v>66</v>
      </c>
      <c r="AG1">
        <f>IF(AF1="Annual",1,0.0833333)</f>
        <v>8.3333299999999999E-2</v>
      </c>
      <c r="AH1" s="4"/>
      <c r="AI1" s="4"/>
      <c r="AJ1" s="4"/>
      <c r="AK1" s="4"/>
      <c r="AL1" s="4"/>
      <c r="AM1" s="4"/>
    </row>
    <row r="2" spans="1:39" ht="64" x14ac:dyDescent="0.4">
      <c r="A2" s="54" t="s">
        <v>50</v>
      </c>
      <c r="B2" s="55" t="s">
        <v>29</v>
      </c>
      <c r="C2" s="55" t="s">
        <v>30</v>
      </c>
      <c r="D2" s="55" t="s">
        <v>10</v>
      </c>
      <c r="E2" s="55" t="s">
        <v>31</v>
      </c>
      <c r="F2" s="41" t="s">
        <v>11</v>
      </c>
      <c r="G2" s="41"/>
      <c r="H2" s="41" t="s">
        <v>43</v>
      </c>
      <c r="I2" s="41" t="s">
        <v>44</v>
      </c>
      <c r="J2" s="41" t="s">
        <v>45</v>
      </c>
      <c r="K2" s="41" t="s">
        <v>46</v>
      </c>
      <c r="L2" s="41" t="s">
        <v>47</v>
      </c>
      <c r="M2" s="41" t="s">
        <v>48</v>
      </c>
      <c r="N2" s="41" t="s">
        <v>49</v>
      </c>
      <c r="O2" s="21" t="s">
        <v>56</v>
      </c>
      <c r="P2" s="20" t="s">
        <v>57</v>
      </c>
      <c r="Q2" s="53" t="s">
        <v>58</v>
      </c>
      <c r="R2" s="41" t="s">
        <v>72</v>
      </c>
      <c r="S2" s="10"/>
      <c r="T2" s="21" t="s">
        <v>6</v>
      </c>
      <c r="U2" s="56"/>
      <c r="V2" s="56"/>
      <c r="W2" s="37" t="s">
        <v>68</v>
      </c>
      <c r="X2" s="25" t="s">
        <v>60</v>
      </c>
      <c r="Y2" s="26" t="s">
        <v>61</v>
      </c>
      <c r="Z2" s="26" t="s">
        <v>62</v>
      </c>
      <c r="AA2" s="26" t="s">
        <v>63</v>
      </c>
      <c r="AB2" s="27" t="s">
        <v>64</v>
      </c>
      <c r="AC2" s="28" t="s">
        <v>65</v>
      </c>
      <c r="AD2" s="32"/>
      <c r="AE2" s="37" t="s">
        <v>68</v>
      </c>
      <c r="AF2" s="36"/>
      <c r="AG2" s="29">
        <v>7.0000000000000007E-2</v>
      </c>
      <c r="AH2" s="29">
        <v>0.11</v>
      </c>
      <c r="AI2" s="29">
        <v>0.15</v>
      </c>
      <c r="AJ2" s="29">
        <v>0.19</v>
      </c>
      <c r="AK2" s="29">
        <v>0.21</v>
      </c>
      <c r="AL2" s="29">
        <v>0.24</v>
      </c>
      <c r="AM2" s="28" t="s">
        <v>67</v>
      </c>
    </row>
    <row r="3" spans="1:39" ht="16" x14ac:dyDescent="0.4">
      <c r="A3" s="14">
        <v>1</v>
      </c>
      <c r="B3" s="14" t="s">
        <v>13</v>
      </c>
      <c r="C3" s="14"/>
      <c r="D3" s="14" t="s">
        <v>12</v>
      </c>
      <c r="E3" s="14" t="s">
        <v>13</v>
      </c>
      <c r="F3" s="15">
        <v>3840000</v>
      </c>
      <c r="G3" s="15"/>
      <c r="H3" s="18">
        <f>F3*$H$1</f>
        <v>2688000</v>
      </c>
      <c r="I3" s="18">
        <f>F3*$I$1</f>
        <v>384000</v>
      </c>
      <c r="J3" s="18">
        <f>F3*$J$1</f>
        <v>384000</v>
      </c>
      <c r="K3" s="18">
        <f>F3*$K$1</f>
        <v>127872.00000000001</v>
      </c>
      <c r="L3" s="18">
        <f>F3*$L$1</f>
        <v>127872.00000000001</v>
      </c>
      <c r="M3" s="18">
        <f>F3*$M$1</f>
        <v>128256</v>
      </c>
      <c r="N3" s="19">
        <f>SUM(H3:M3)</f>
        <v>3840000</v>
      </c>
      <c r="O3" s="19">
        <f>(H3+I3+J3)*8%</f>
        <v>276480</v>
      </c>
      <c r="P3" s="19">
        <f>2.5%*N3</f>
        <v>96000</v>
      </c>
      <c r="Q3" s="38">
        <f>AM3</f>
        <v>640108.4656</v>
      </c>
      <c r="R3" s="19">
        <f>N3-O3-P3-Q3</f>
        <v>2827411.5344000002</v>
      </c>
      <c r="S3" s="19"/>
      <c r="T3" s="19">
        <f>(H3+I3+J3)*10%</f>
        <v>345600</v>
      </c>
      <c r="X3" s="6">
        <f>N3-O3-P3</f>
        <v>3467520</v>
      </c>
      <c r="Y3" s="6">
        <f>IF(X3*1%&gt;200000*$AG$1,X3*1%,200000*$AG$1)+(20%*X3)</f>
        <v>728179.19999999995</v>
      </c>
      <c r="Z3" s="6">
        <f>O3</f>
        <v>276480</v>
      </c>
      <c r="AA3" s="6">
        <f>P3</f>
        <v>96000</v>
      </c>
      <c r="AB3" s="6">
        <f>SUM(Y3:AA3)</f>
        <v>1100659.2</v>
      </c>
      <c r="AC3" s="6">
        <f>N3-AB3</f>
        <v>2739340.8</v>
      </c>
      <c r="AD3" s="33"/>
      <c r="AE3" s="33"/>
      <c r="AF3" s="36"/>
      <c r="AG3" s="30">
        <f>IF(300000*$AG$1&lt;AC3,300000*$AG$1,AC3)*$AG$2</f>
        <v>1749.9992999999999</v>
      </c>
      <c r="AH3" s="30">
        <f>(IF(300000*$AG$1&gt;AC3,0,IF(600000*$AG$1&gt;AC3,(AC3-(300000*$AG$1)),IF(600000*$AG$1&lt;AC3,300000*$AG$1))))*$AH$2</f>
        <v>2749.9988999999996</v>
      </c>
      <c r="AI3" s="30">
        <f>(IF(600000*$AG$1&gt;AC3,0,IF(1100000*$AG$1&gt;AC3,(AC3-(600000*$AG$1)),IF(1100000*$AG$1&lt;AC3,500000*$AG$1))))*$AI$2</f>
        <v>6249.9975000000004</v>
      </c>
      <c r="AJ3" s="30">
        <f>(IF(1100000*$AG$1&gt;AC3,0,IF(1600000*$AG$1&gt;AC3,(AC3-(1100000*$AG$1)),IF(1600000*$AG$1&lt;AC3,500000*$AG$1))))*$AJ$2</f>
        <v>7916.6635000000006</v>
      </c>
      <c r="AK3" s="30">
        <f>(IF(1600000*$AG$1&gt;AC3,0,IF(3200000*$AG$1&gt;AC3,(AC3-(1600000*$AG$1)),IF(3200000*$AG$1&lt;AC3,1600000*$AG$1))))*$AK$2</f>
        <v>27999.988799999999</v>
      </c>
      <c r="AL3" s="30">
        <f>(IF(3200000*$AG$1&gt;AC3,0,IF(3200000*$AG$1&lt;AC3,AC3-3200000*$AG$1)))*$AL$2</f>
        <v>593441.81759999995</v>
      </c>
      <c r="AM3" s="30">
        <f>SUM(AG3:AL3)</f>
        <v>640108.4656</v>
      </c>
    </row>
    <row r="4" spans="1:39" ht="16" x14ac:dyDescent="0.4">
      <c r="A4" s="14">
        <f>A3+1</f>
        <v>2</v>
      </c>
      <c r="B4" s="12" t="s">
        <v>32</v>
      </c>
      <c r="C4" s="12"/>
      <c r="D4" s="12" t="s">
        <v>14</v>
      </c>
      <c r="E4" s="12" t="s">
        <v>15</v>
      </c>
      <c r="F4" s="15">
        <v>2194000</v>
      </c>
      <c r="G4" s="15"/>
      <c r="H4" s="18">
        <f t="shared" ref="H4:H17" si="0">F4*$H$1</f>
        <v>1535800</v>
      </c>
      <c r="I4" s="18">
        <f>F4*$I$1</f>
        <v>219400</v>
      </c>
      <c r="J4" s="18">
        <f t="shared" ref="J4:J17" si="1">F4*$J$1</f>
        <v>219400</v>
      </c>
      <c r="K4" s="18">
        <f t="shared" ref="K4:K17" si="2">F4*$K$1</f>
        <v>73060.200000000012</v>
      </c>
      <c r="L4" s="18">
        <f t="shared" ref="L4:L17" si="3">F4*$L$1</f>
        <v>73060.200000000012</v>
      </c>
      <c r="M4" s="18">
        <f t="shared" ref="M4:M17" si="4">F4*$M$1</f>
        <v>73279.599999999991</v>
      </c>
      <c r="N4" s="19">
        <f t="shared" ref="N4:N17" si="5">SUM(H4:M4)</f>
        <v>2194000</v>
      </c>
      <c r="O4" s="19">
        <f t="shared" ref="O4:O15" si="6">(H4+I4+J4)*8%</f>
        <v>157968</v>
      </c>
      <c r="P4" s="19">
        <f t="shared" ref="P4:P15" si="7">2.5%*N4</f>
        <v>54850</v>
      </c>
      <c r="Q4" s="38">
        <f t="shared" ref="Q4:Q17" si="8">AM4</f>
        <v>358298.78079999995</v>
      </c>
      <c r="R4" s="19">
        <f t="shared" ref="R4:R17" si="9">N4-O4-P4-Q4</f>
        <v>1622883.2192000002</v>
      </c>
      <c r="S4" s="19"/>
      <c r="T4" s="19">
        <f t="shared" ref="T4:T17" si="10">(H4+I4+J4)*10%</f>
        <v>197460</v>
      </c>
      <c r="X4" s="6">
        <f t="shared" ref="X4:X17" si="11">N4-O4-P4</f>
        <v>1981182</v>
      </c>
      <c r="Y4" s="6">
        <f t="shared" ref="Y4:Y17" si="12">IF(X4*1%&gt;200000*$AG$1,X4*1%,200000*$AG$1)+(20%*X4)</f>
        <v>416048.22000000003</v>
      </c>
      <c r="Z4" s="6">
        <f t="shared" ref="Z4:Z17" si="13">O4</f>
        <v>157968</v>
      </c>
      <c r="AA4" s="6">
        <f t="shared" ref="AA4:AA17" si="14">P4</f>
        <v>54850</v>
      </c>
      <c r="AB4" s="6">
        <f t="shared" ref="AB4:AB17" si="15">SUM(Y4:AA4)</f>
        <v>628866.22</v>
      </c>
      <c r="AC4" s="6">
        <f t="shared" ref="AC4:AC17" si="16">N4-AB4</f>
        <v>1565133.78</v>
      </c>
      <c r="AD4" s="33"/>
      <c r="AE4" s="33"/>
      <c r="AF4" s="36"/>
      <c r="AG4" s="30">
        <f t="shared" ref="AG4:AG17" si="17">IF(300000*$AG$1&lt;AC4,300000*$AG$1,AC4)*$AG$2</f>
        <v>1749.9992999999999</v>
      </c>
      <c r="AH4" s="30">
        <f t="shared" ref="AH4:AH17" si="18">(IF(300000*$AG$1&gt;AC4,0,IF(600000*$AG$1&gt;AC4,(AC4-(300000*$AG$1)),IF(600000*$AG$1&lt;AC4,300000*$AG$1))))*$AH$2</f>
        <v>2749.9988999999996</v>
      </c>
      <c r="AI4" s="30">
        <f t="shared" ref="AI4:AI17" si="19">(IF(600000*$AG$1&gt;AC4,0,IF(1100000*$AG$1&gt;AC4,(AC4-(600000*$AG$1)),IF(1100000*$AG$1&lt;AC4,500000*$AG$1))))*$AI$2</f>
        <v>6249.9975000000004</v>
      </c>
      <c r="AJ4" s="30">
        <f t="shared" ref="AJ4:AJ17" si="20">(IF(1100000*$AG$1&gt;AC4,0,IF(1600000*$AG$1&gt;AC4,(AC4-(1100000*$AG$1)),IF(1600000*$AG$1&lt;AC4,500000*$AG$1))))*$AJ$2</f>
        <v>7916.6635000000006</v>
      </c>
      <c r="AK4" s="30">
        <f t="shared" ref="AK4:AK17" si="21">(IF(1600000*$AG$1&gt;AC4,0,IF(3200000*$AG$1&gt;AC4,(AC4-(1600000*$AG$1)),IF(3200000*$AG$1&lt;AC4,1600000*$AG$1))))*$AK$2</f>
        <v>27999.988799999999</v>
      </c>
      <c r="AL4" s="30">
        <f t="shared" ref="AL4:AL17" si="22">(IF(3200000*$AG$1&gt;AC4,0,IF(3200000*$AG$1&lt;AC4,AC4-3200000*$AG$1)))*$AL$2</f>
        <v>311632.13279999996</v>
      </c>
      <c r="AM4" s="30">
        <f t="shared" ref="AM4:AM17" si="23">SUM(AG4:AL4)</f>
        <v>358298.78079999995</v>
      </c>
    </row>
    <row r="5" spans="1:39" ht="16" x14ac:dyDescent="0.4">
      <c r="A5" s="14">
        <f t="shared" ref="A5:A17" si="24">A4+1</f>
        <v>3</v>
      </c>
      <c r="B5" s="12" t="s">
        <v>33</v>
      </c>
      <c r="C5" s="12"/>
      <c r="D5" s="14" t="s">
        <v>16</v>
      </c>
      <c r="E5" s="16" t="s">
        <v>17</v>
      </c>
      <c r="F5" s="15">
        <v>472000</v>
      </c>
      <c r="G5" s="15"/>
      <c r="H5" s="18">
        <f t="shared" si="0"/>
        <v>330400</v>
      </c>
      <c r="I5" s="18">
        <f>F5*$I$1</f>
        <v>47200</v>
      </c>
      <c r="J5" s="18">
        <f t="shared" si="1"/>
        <v>47200</v>
      </c>
      <c r="K5" s="18">
        <f t="shared" si="2"/>
        <v>15717.600000000002</v>
      </c>
      <c r="L5" s="18">
        <f t="shared" si="3"/>
        <v>15717.600000000002</v>
      </c>
      <c r="M5" s="18">
        <f t="shared" si="4"/>
        <v>15764.8</v>
      </c>
      <c r="N5" s="19">
        <f t="shared" si="5"/>
        <v>471999.99999999994</v>
      </c>
      <c r="O5" s="19">
        <f t="shared" si="6"/>
        <v>33984</v>
      </c>
      <c r="P5" s="19">
        <f t="shared" si="7"/>
        <v>11800</v>
      </c>
      <c r="Q5" s="38">
        <f t="shared" si="8"/>
        <v>60500.147199999992</v>
      </c>
      <c r="R5" s="19">
        <f t="shared" si="9"/>
        <v>365715.85279999994</v>
      </c>
      <c r="S5" s="19"/>
      <c r="T5" s="19">
        <f t="shared" si="10"/>
        <v>42480</v>
      </c>
      <c r="X5" s="6">
        <f t="shared" si="11"/>
        <v>426215.99999999994</v>
      </c>
      <c r="Y5" s="6">
        <f t="shared" si="12"/>
        <v>101909.86</v>
      </c>
      <c r="Z5" s="6">
        <f t="shared" si="13"/>
        <v>33984</v>
      </c>
      <c r="AA5" s="6">
        <f t="shared" si="14"/>
        <v>11800</v>
      </c>
      <c r="AB5" s="6">
        <f t="shared" si="15"/>
        <v>147693.85999999999</v>
      </c>
      <c r="AC5" s="6">
        <f t="shared" si="16"/>
        <v>324306.13999999996</v>
      </c>
      <c r="AD5" s="33"/>
      <c r="AE5" s="33"/>
      <c r="AF5" s="36"/>
      <c r="AG5" s="30">
        <f t="shared" si="17"/>
        <v>1749.9992999999999</v>
      </c>
      <c r="AH5" s="30">
        <f t="shared" si="18"/>
        <v>2749.9988999999996</v>
      </c>
      <c r="AI5" s="30">
        <f t="shared" si="19"/>
        <v>6249.9975000000004</v>
      </c>
      <c r="AJ5" s="30">
        <f t="shared" si="20"/>
        <v>7916.6635000000006</v>
      </c>
      <c r="AK5" s="30">
        <f t="shared" si="21"/>
        <v>27999.988799999999</v>
      </c>
      <c r="AL5" s="30">
        <f t="shared" si="22"/>
        <v>13833.499199999989</v>
      </c>
      <c r="AM5" s="30">
        <f t="shared" si="23"/>
        <v>60500.147199999992</v>
      </c>
    </row>
    <row r="6" spans="1:39" ht="16" x14ac:dyDescent="0.4">
      <c r="A6" s="14">
        <f t="shared" si="24"/>
        <v>4</v>
      </c>
      <c r="B6" s="12" t="s">
        <v>34</v>
      </c>
      <c r="C6" s="12"/>
      <c r="D6" s="14" t="s">
        <v>16</v>
      </c>
      <c r="E6" s="16" t="s">
        <v>17</v>
      </c>
      <c r="F6" s="15">
        <v>472000</v>
      </c>
      <c r="G6" s="15"/>
      <c r="H6" s="18">
        <f t="shared" si="0"/>
        <v>330400</v>
      </c>
      <c r="I6" s="18">
        <f>F6*$I$1</f>
        <v>47200</v>
      </c>
      <c r="J6" s="18">
        <f t="shared" si="1"/>
        <v>47200</v>
      </c>
      <c r="K6" s="18">
        <f t="shared" si="2"/>
        <v>15717.600000000002</v>
      </c>
      <c r="L6" s="18">
        <f t="shared" si="3"/>
        <v>15717.600000000002</v>
      </c>
      <c r="M6" s="18">
        <f t="shared" si="4"/>
        <v>15764.8</v>
      </c>
      <c r="N6" s="19">
        <f t="shared" si="5"/>
        <v>471999.99999999994</v>
      </c>
      <c r="O6" s="19">
        <f t="shared" si="6"/>
        <v>33984</v>
      </c>
      <c r="P6" s="19">
        <f t="shared" si="7"/>
        <v>11800</v>
      </c>
      <c r="Q6" s="38">
        <f t="shared" si="8"/>
        <v>60500.147199999992</v>
      </c>
      <c r="R6" s="19">
        <f t="shared" si="9"/>
        <v>365715.85279999994</v>
      </c>
      <c r="S6" s="19"/>
      <c r="T6" s="19">
        <f t="shared" si="10"/>
        <v>42480</v>
      </c>
      <c r="X6" s="6">
        <f t="shared" si="11"/>
        <v>426215.99999999994</v>
      </c>
      <c r="Y6" s="6">
        <f t="shared" si="12"/>
        <v>101909.86</v>
      </c>
      <c r="Z6" s="6">
        <f t="shared" si="13"/>
        <v>33984</v>
      </c>
      <c r="AA6" s="6">
        <f t="shared" si="14"/>
        <v>11800</v>
      </c>
      <c r="AB6" s="6">
        <f t="shared" si="15"/>
        <v>147693.85999999999</v>
      </c>
      <c r="AC6" s="6">
        <f t="shared" si="16"/>
        <v>324306.13999999996</v>
      </c>
      <c r="AD6" s="33"/>
      <c r="AE6" s="33"/>
      <c r="AF6" s="36"/>
      <c r="AG6" s="30">
        <f t="shared" si="17"/>
        <v>1749.9992999999999</v>
      </c>
      <c r="AH6" s="30">
        <f t="shared" si="18"/>
        <v>2749.9988999999996</v>
      </c>
      <c r="AI6" s="30">
        <f t="shared" si="19"/>
        <v>6249.9975000000004</v>
      </c>
      <c r="AJ6" s="30">
        <f t="shared" si="20"/>
        <v>7916.6635000000006</v>
      </c>
      <c r="AK6" s="30">
        <f t="shared" si="21"/>
        <v>27999.988799999999</v>
      </c>
      <c r="AL6" s="30">
        <f t="shared" si="22"/>
        <v>13833.499199999989</v>
      </c>
      <c r="AM6" s="30">
        <f t="shared" si="23"/>
        <v>60500.147199999992</v>
      </c>
    </row>
    <row r="7" spans="1:39" ht="16" x14ac:dyDescent="0.4">
      <c r="A7" s="14">
        <f t="shared" si="24"/>
        <v>5</v>
      </c>
      <c r="B7" s="12" t="s">
        <v>35</v>
      </c>
      <c r="C7" s="12"/>
      <c r="D7" s="14" t="s">
        <v>18</v>
      </c>
      <c r="E7" s="16" t="s">
        <v>19</v>
      </c>
      <c r="F7" s="15">
        <v>274000</v>
      </c>
      <c r="G7" s="15"/>
      <c r="H7" s="18">
        <f t="shared" si="0"/>
        <v>191800</v>
      </c>
      <c r="I7" s="18">
        <f>F7*$I$1</f>
        <v>27400</v>
      </c>
      <c r="J7" s="18">
        <f t="shared" si="1"/>
        <v>27400</v>
      </c>
      <c r="K7" s="18">
        <f t="shared" si="2"/>
        <v>9124.2000000000007</v>
      </c>
      <c r="L7" s="18">
        <f t="shared" si="3"/>
        <v>9124.2000000000007</v>
      </c>
      <c r="M7" s="18">
        <f t="shared" si="4"/>
        <v>9151.6</v>
      </c>
      <c r="N7" s="19">
        <f t="shared" si="5"/>
        <v>274000</v>
      </c>
      <c r="O7" s="19">
        <f t="shared" si="6"/>
        <v>19728</v>
      </c>
      <c r="P7" s="19">
        <f t="shared" si="7"/>
        <v>6850</v>
      </c>
      <c r="Q7" s="38">
        <f t="shared" si="8"/>
        <v>28733.567800000004</v>
      </c>
      <c r="R7" s="19">
        <f t="shared" si="9"/>
        <v>218688.43219999998</v>
      </c>
      <c r="S7" s="19"/>
      <c r="T7" s="19">
        <f t="shared" si="10"/>
        <v>24660</v>
      </c>
      <c r="X7" s="6">
        <f t="shared" si="11"/>
        <v>247422</v>
      </c>
      <c r="Y7" s="6">
        <f t="shared" si="12"/>
        <v>66151.06</v>
      </c>
      <c r="Z7" s="6">
        <f t="shared" si="13"/>
        <v>19728</v>
      </c>
      <c r="AA7" s="6">
        <f t="shared" si="14"/>
        <v>6850</v>
      </c>
      <c r="AB7" s="6">
        <f t="shared" si="15"/>
        <v>92729.06</v>
      </c>
      <c r="AC7" s="6">
        <f t="shared" si="16"/>
        <v>181270.94</v>
      </c>
      <c r="AD7" s="33"/>
      <c r="AE7" s="33"/>
      <c r="AF7" s="36"/>
      <c r="AG7" s="30">
        <f t="shared" si="17"/>
        <v>1749.9992999999999</v>
      </c>
      <c r="AH7" s="30">
        <f t="shared" si="18"/>
        <v>2749.9988999999996</v>
      </c>
      <c r="AI7" s="30">
        <f t="shared" si="19"/>
        <v>6249.9975000000004</v>
      </c>
      <c r="AJ7" s="30">
        <f t="shared" si="20"/>
        <v>7916.6635000000006</v>
      </c>
      <c r="AK7" s="30">
        <f t="shared" si="21"/>
        <v>10066.908600000001</v>
      </c>
      <c r="AL7" s="30">
        <f t="shared" si="22"/>
        <v>0</v>
      </c>
      <c r="AM7" s="30">
        <f t="shared" si="23"/>
        <v>28733.567800000004</v>
      </c>
    </row>
    <row r="8" spans="1:39" ht="16" x14ac:dyDescent="0.4">
      <c r="A8" s="14">
        <f t="shared" si="24"/>
        <v>6</v>
      </c>
      <c r="B8" s="12" t="s">
        <v>51</v>
      </c>
      <c r="C8" s="12"/>
      <c r="D8" s="14" t="s">
        <v>18</v>
      </c>
      <c r="E8" s="16" t="s">
        <v>19</v>
      </c>
      <c r="F8" s="15">
        <v>274000</v>
      </c>
      <c r="G8" s="15"/>
      <c r="H8" s="18">
        <f t="shared" si="0"/>
        <v>191800</v>
      </c>
      <c r="I8" s="18">
        <f>F8*$I$1</f>
        <v>27400</v>
      </c>
      <c r="J8" s="18">
        <f t="shared" si="1"/>
        <v>27400</v>
      </c>
      <c r="K8" s="18">
        <f t="shared" si="2"/>
        <v>9124.2000000000007</v>
      </c>
      <c r="L8" s="18">
        <f t="shared" si="3"/>
        <v>9124.2000000000007</v>
      </c>
      <c r="M8" s="18">
        <f t="shared" si="4"/>
        <v>9151.6</v>
      </c>
      <c r="N8" s="19">
        <f t="shared" si="5"/>
        <v>274000</v>
      </c>
      <c r="O8" s="19">
        <f t="shared" si="6"/>
        <v>19728</v>
      </c>
      <c r="P8" s="19">
        <f t="shared" si="7"/>
        <v>6850</v>
      </c>
      <c r="Q8" s="38">
        <f t="shared" si="8"/>
        <v>28733.567800000004</v>
      </c>
      <c r="R8" s="19">
        <f t="shared" si="9"/>
        <v>218688.43219999998</v>
      </c>
      <c r="S8" s="19"/>
      <c r="T8" s="19">
        <f t="shared" si="10"/>
        <v>24660</v>
      </c>
      <c r="X8" s="6">
        <f t="shared" si="11"/>
        <v>247422</v>
      </c>
      <c r="Y8" s="6">
        <f t="shared" si="12"/>
        <v>66151.06</v>
      </c>
      <c r="Z8" s="6">
        <f t="shared" si="13"/>
        <v>19728</v>
      </c>
      <c r="AA8" s="6">
        <f t="shared" si="14"/>
        <v>6850</v>
      </c>
      <c r="AB8" s="6">
        <f t="shared" si="15"/>
        <v>92729.06</v>
      </c>
      <c r="AC8" s="6">
        <f t="shared" si="16"/>
        <v>181270.94</v>
      </c>
      <c r="AD8" s="33"/>
      <c r="AE8" s="33"/>
      <c r="AF8" s="36"/>
      <c r="AG8" s="30">
        <f t="shared" si="17"/>
        <v>1749.9992999999999</v>
      </c>
      <c r="AH8" s="30">
        <f t="shared" si="18"/>
        <v>2749.9988999999996</v>
      </c>
      <c r="AI8" s="30">
        <f t="shared" si="19"/>
        <v>6249.9975000000004</v>
      </c>
      <c r="AJ8" s="30">
        <f t="shared" si="20"/>
        <v>7916.6635000000006</v>
      </c>
      <c r="AK8" s="30">
        <f t="shared" si="21"/>
        <v>10066.908600000001</v>
      </c>
      <c r="AL8" s="30">
        <f t="shared" si="22"/>
        <v>0</v>
      </c>
      <c r="AM8" s="30">
        <f t="shared" si="23"/>
        <v>28733.567800000004</v>
      </c>
    </row>
    <row r="9" spans="1:39" ht="16" x14ac:dyDescent="0.4">
      <c r="A9" s="14">
        <f t="shared" si="24"/>
        <v>7</v>
      </c>
      <c r="B9" s="12" t="s">
        <v>36</v>
      </c>
      <c r="C9" s="12"/>
      <c r="D9" s="14" t="s">
        <v>18</v>
      </c>
      <c r="E9" s="16" t="s">
        <v>19</v>
      </c>
      <c r="F9" s="15">
        <v>274000</v>
      </c>
      <c r="G9" s="15"/>
      <c r="H9" s="18">
        <f t="shared" si="0"/>
        <v>191800</v>
      </c>
      <c r="I9" s="18">
        <f>F9*$I$1</f>
        <v>27400</v>
      </c>
      <c r="J9" s="18">
        <f t="shared" si="1"/>
        <v>27400</v>
      </c>
      <c r="K9" s="18">
        <f t="shared" si="2"/>
        <v>9124.2000000000007</v>
      </c>
      <c r="L9" s="18">
        <f t="shared" si="3"/>
        <v>9124.2000000000007</v>
      </c>
      <c r="M9" s="18">
        <f t="shared" si="4"/>
        <v>9151.6</v>
      </c>
      <c r="N9" s="19">
        <f t="shared" si="5"/>
        <v>274000</v>
      </c>
      <c r="O9" s="19">
        <f t="shared" si="6"/>
        <v>19728</v>
      </c>
      <c r="P9" s="19">
        <f t="shared" si="7"/>
        <v>6850</v>
      </c>
      <c r="Q9" s="38">
        <f t="shared" si="8"/>
        <v>28733.567800000004</v>
      </c>
      <c r="R9" s="19">
        <f t="shared" si="9"/>
        <v>218688.43219999998</v>
      </c>
      <c r="S9" s="19"/>
      <c r="T9" s="19">
        <f t="shared" si="10"/>
        <v>24660</v>
      </c>
      <c r="X9" s="6">
        <f t="shared" si="11"/>
        <v>247422</v>
      </c>
      <c r="Y9" s="6">
        <f t="shared" si="12"/>
        <v>66151.06</v>
      </c>
      <c r="Z9" s="6">
        <f t="shared" si="13"/>
        <v>19728</v>
      </c>
      <c r="AA9" s="6">
        <f t="shared" si="14"/>
        <v>6850</v>
      </c>
      <c r="AB9" s="6">
        <f t="shared" si="15"/>
        <v>92729.06</v>
      </c>
      <c r="AC9" s="6">
        <f t="shared" si="16"/>
        <v>181270.94</v>
      </c>
      <c r="AD9" s="33"/>
      <c r="AE9" s="33"/>
      <c r="AF9" s="36"/>
      <c r="AG9" s="30">
        <f t="shared" si="17"/>
        <v>1749.9992999999999</v>
      </c>
      <c r="AH9" s="30">
        <f t="shared" si="18"/>
        <v>2749.9988999999996</v>
      </c>
      <c r="AI9" s="30">
        <f t="shared" si="19"/>
        <v>6249.9975000000004</v>
      </c>
      <c r="AJ9" s="30">
        <f t="shared" si="20"/>
        <v>7916.6635000000006</v>
      </c>
      <c r="AK9" s="30">
        <f t="shared" si="21"/>
        <v>10066.908600000001</v>
      </c>
      <c r="AL9" s="30">
        <f t="shared" si="22"/>
        <v>0</v>
      </c>
      <c r="AM9" s="30">
        <f t="shared" si="23"/>
        <v>28733.567800000004</v>
      </c>
    </row>
    <row r="10" spans="1:39" ht="16" x14ac:dyDescent="0.4">
      <c r="A10" s="14">
        <f t="shared" si="24"/>
        <v>8</v>
      </c>
      <c r="B10" s="12" t="s">
        <v>37</v>
      </c>
      <c r="C10" s="12"/>
      <c r="D10" s="14" t="s">
        <v>18</v>
      </c>
      <c r="E10" s="16" t="s">
        <v>19</v>
      </c>
      <c r="F10" s="15">
        <v>274000</v>
      </c>
      <c r="G10" s="15"/>
      <c r="H10" s="18">
        <f t="shared" si="0"/>
        <v>191800</v>
      </c>
      <c r="I10" s="18">
        <f>F10*$I$1</f>
        <v>27400</v>
      </c>
      <c r="J10" s="18">
        <f t="shared" si="1"/>
        <v>27400</v>
      </c>
      <c r="K10" s="18">
        <f t="shared" si="2"/>
        <v>9124.2000000000007</v>
      </c>
      <c r="L10" s="18">
        <f t="shared" si="3"/>
        <v>9124.2000000000007</v>
      </c>
      <c r="M10" s="18">
        <f t="shared" si="4"/>
        <v>9151.6</v>
      </c>
      <c r="N10" s="19">
        <f t="shared" si="5"/>
        <v>274000</v>
      </c>
      <c r="O10" s="19">
        <f t="shared" si="6"/>
        <v>19728</v>
      </c>
      <c r="P10" s="19">
        <f t="shared" si="7"/>
        <v>6850</v>
      </c>
      <c r="Q10" s="38">
        <f t="shared" si="8"/>
        <v>28733.567800000004</v>
      </c>
      <c r="R10" s="19">
        <f t="shared" si="9"/>
        <v>218688.43219999998</v>
      </c>
      <c r="S10" s="19"/>
      <c r="T10" s="19">
        <f t="shared" si="10"/>
        <v>24660</v>
      </c>
      <c r="X10" s="6">
        <f t="shared" si="11"/>
        <v>247422</v>
      </c>
      <c r="Y10" s="6">
        <f t="shared" si="12"/>
        <v>66151.06</v>
      </c>
      <c r="Z10" s="6">
        <f t="shared" si="13"/>
        <v>19728</v>
      </c>
      <c r="AA10" s="6">
        <f t="shared" si="14"/>
        <v>6850</v>
      </c>
      <c r="AB10" s="6">
        <f t="shared" si="15"/>
        <v>92729.06</v>
      </c>
      <c r="AC10" s="6">
        <f t="shared" si="16"/>
        <v>181270.94</v>
      </c>
      <c r="AD10" s="33"/>
      <c r="AE10" s="33"/>
      <c r="AF10" s="36"/>
      <c r="AG10" s="30">
        <f t="shared" si="17"/>
        <v>1749.9992999999999</v>
      </c>
      <c r="AH10" s="30">
        <f t="shared" si="18"/>
        <v>2749.9988999999996</v>
      </c>
      <c r="AI10" s="30">
        <f t="shared" si="19"/>
        <v>6249.9975000000004</v>
      </c>
      <c r="AJ10" s="30">
        <f t="shared" si="20"/>
        <v>7916.6635000000006</v>
      </c>
      <c r="AK10" s="30">
        <f t="shared" si="21"/>
        <v>10066.908600000001</v>
      </c>
      <c r="AL10" s="30">
        <f t="shared" si="22"/>
        <v>0</v>
      </c>
      <c r="AM10" s="30">
        <f t="shared" si="23"/>
        <v>28733.567800000004</v>
      </c>
    </row>
    <row r="11" spans="1:39" ht="16" x14ac:dyDescent="0.4">
      <c r="A11" s="14">
        <f t="shared" si="24"/>
        <v>9</v>
      </c>
      <c r="B11" s="12" t="s">
        <v>52</v>
      </c>
      <c r="C11" s="12"/>
      <c r="D11" s="14" t="s">
        <v>18</v>
      </c>
      <c r="E11" s="16" t="s">
        <v>19</v>
      </c>
      <c r="F11" s="15">
        <v>274000</v>
      </c>
      <c r="G11" s="15"/>
      <c r="H11" s="18">
        <f t="shared" si="0"/>
        <v>191800</v>
      </c>
      <c r="I11" s="18">
        <f>F11*$I$1</f>
        <v>27400</v>
      </c>
      <c r="J11" s="18">
        <f t="shared" si="1"/>
        <v>27400</v>
      </c>
      <c r="K11" s="18">
        <f t="shared" si="2"/>
        <v>9124.2000000000007</v>
      </c>
      <c r="L11" s="18">
        <f t="shared" si="3"/>
        <v>9124.2000000000007</v>
      </c>
      <c r="M11" s="18">
        <f t="shared" si="4"/>
        <v>9151.6</v>
      </c>
      <c r="N11" s="19">
        <f t="shared" si="5"/>
        <v>274000</v>
      </c>
      <c r="O11" s="19">
        <f t="shared" si="6"/>
        <v>19728</v>
      </c>
      <c r="P11" s="19">
        <f t="shared" si="7"/>
        <v>6850</v>
      </c>
      <c r="Q11" s="38">
        <f t="shared" si="8"/>
        <v>28733.567800000004</v>
      </c>
      <c r="R11" s="19">
        <f t="shared" si="9"/>
        <v>218688.43219999998</v>
      </c>
      <c r="S11" s="19"/>
      <c r="T11" s="19">
        <f t="shared" si="10"/>
        <v>24660</v>
      </c>
      <c r="X11" s="6">
        <f t="shared" si="11"/>
        <v>247422</v>
      </c>
      <c r="Y11" s="6">
        <f t="shared" si="12"/>
        <v>66151.06</v>
      </c>
      <c r="Z11" s="6">
        <f t="shared" si="13"/>
        <v>19728</v>
      </c>
      <c r="AA11" s="6">
        <f t="shared" si="14"/>
        <v>6850</v>
      </c>
      <c r="AB11" s="6">
        <f t="shared" si="15"/>
        <v>92729.06</v>
      </c>
      <c r="AC11" s="6">
        <f t="shared" si="16"/>
        <v>181270.94</v>
      </c>
      <c r="AD11" s="33"/>
      <c r="AE11" s="33"/>
      <c r="AF11" s="36"/>
      <c r="AG11" s="30">
        <f t="shared" si="17"/>
        <v>1749.9992999999999</v>
      </c>
      <c r="AH11" s="30">
        <f t="shared" si="18"/>
        <v>2749.9988999999996</v>
      </c>
      <c r="AI11" s="30">
        <f t="shared" si="19"/>
        <v>6249.9975000000004</v>
      </c>
      <c r="AJ11" s="30">
        <f t="shared" si="20"/>
        <v>7916.6635000000006</v>
      </c>
      <c r="AK11" s="30">
        <f t="shared" si="21"/>
        <v>10066.908600000001</v>
      </c>
      <c r="AL11" s="30">
        <f t="shared" si="22"/>
        <v>0</v>
      </c>
      <c r="AM11" s="30">
        <f t="shared" si="23"/>
        <v>28733.567800000004</v>
      </c>
    </row>
    <row r="12" spans="1:39" ht="16" x14ac:dyDescent="0.4">
      <c r="A12" s="14">
        <f t="shared" si="24"/>
        <v>10</v>
      </c>
      <c r="B12" s="12" t="s">
        <v>38</v>
      </c>
      <c r="C12" s="12"/>
      <c r="D12" s="16" t="s">
        <v>18</v>
      </c>
      <c r="E12" s="16" t="s">
        <v>19</v>
      </c>
      <c r="F12" s="15">
        <v>274000</v>
      </c>
      <c r="G12" s="15"/>
      <c r="H12" s="18">
        <f t="shared" si="0"/>
        <v>191800</v>
      </c>
      <c r="I12" s="18">
        <f>F12*$I$1</f>
        <v>27400</v>
      </c>
      <c r="J12" s="18">
        <f t="shared" si="1"/>
        <v>27400</v>
      </c>
      <c r="K12" s="18">
        <f t="shared" si="2"/>
        <v>9124.2000000000007</v>
      </c>
      <c r="L12" s="18">
        <f t="shared" si="3"/>
        <v>9124.2000000000007</v>
      </c>
      <c r="M12" s="18">
        <f t="shared" si="4"/>
        <v>9151.6</v>
      </c>
      <c r="N12" s="19">
        <f t="shared" si="5"/>
        <v>274000</v>
      </c>
      <c r="O12" s="19">
        <f t="shared" si="6"/>
        <v>19728</v>
      </c>
      <c r="P12" s="19">
        <f t="shared" si="7"/>
        <v>6850</v>
      </c>
      <c r="Q12" s="38">
        <f t="shared" si="8"/>
        <v>28733.567800000004</v>
      </c>
      <c r="R12" s="19">
        <f t="shared" si="9"/>
        <v>218688.43219999998</v>
      </c>
      <c r="S12" s="19"/>
      <c r="T12" s="19">
        <f t="shared" si="10"/>
        <v>24660</v>
      </c>
      <c r="X12" s="6">
        <f t="shared" si="11"/>
        <v>247422</v>
      </c>
      <c r="Y12" s="6">
        <f t="shared" si="12"/>
        <v>66151.06</v>
      </c>
      <c r="Z12" s="6">
        <f t="shared" si="13"/>
        <v>19728</v>
      </c>
      <c r="AA12" s="6">
        <f t="shared" si="14"/>
        <v>6850</v>
      </c>
      <c r="AB12" s="6">
        <f t="shared" si="15"/>
        <v>92729.06</v>
      </c>
      <c r="AC12" s="6">
        <f t="shared" si="16"/>
        <v>181270.94</v>
      </c>
      <c r="AD12" s="33"/>
      <c r="AE12" s="33"/>
      <c r="AF12" s="36"/>
      <c r="AG12" s="30">
        <f t="shared" si="17"/>
        <v>1749.9992999999999</v>
      </c>
      <c r="AH12" s="30">
        <f t="shared" si="18"/>
        <v>2749.9988999999996</v>
      </c>
      <c r="AI12" s="30">
        <f t="shared" si="19"/>
        <v>6249.9975000000004</v>
      </c>
      <c r="AJ12" s="30">
        <f t="shared" si="20"/>
        <v>7916.6635000000006</v>
      </c>
      <c r="AK12" s="30">
        <f t="shared" si="21"/>
        <v>10066.908600000001</v>
      </c>
      <c r="AL12" s="30">
        <f t="shared" si="22"/>
        <v>0</v>
      </c>
      <c r="AM12" s="30">
        <f t="shared" si="23"/>
        <v>28733.567800000004</v>
      </c>
    </row>
    <row r="13" spans="1:39" ht="16" x14ac:dyDescent="0.4">
      <c r="A13" s="14">
        <f t="shared" si="24"/>
        <v>11</v>
      </c>
      <c r="B13" s="12" t="s">
        <v>39</v>
      </c>
      <c r="C13" s="12"/>
      <c r="D13" s="14" t="s">
        <v>18</v>
      </c>
      <c r="E13" s="16" t="s">
        <v>19</v>
      </c>
      <c r="F13" s="15">
        <v>274000</v>
      </c>
      <c r="G13" s="15"/>
      <c r="H13" s="18">
        <f t="shared" si="0"/>
        <v>191800</v>
      </c>
      <c r="I13" s="18">
        <f>F13*$I$1</f>
        <v>27400</v>
      </c>
      <c r="J13" s="18">
        <f t="shared" si="1"/>
        <v>27400</v>
      </c>
      <c r="K13" s="18">
        <f t="shared" si="2"/>
        <v>9124.2000000000007</v>
      </c>
      <c r="L13" s="18">
        <f t="shared" si="3"/>
        <v>9124.2000000000007</v>
      </c>
      <c r="M13" s="18">
        <f t="shared" si="4"/>
        <v>9151.6</v>
      </c>
      <c r="N13" s="19">
        <f t="shared" si="5"/>
        <v>274000</v>
      </c>
      <c r="O13" s="19">
        <f t="shared" si="6"/>
        <v>19728</v>
      </c>
      <c r="P13" s="19">
        <f t="shared" si="7"/>
        <v>6850</v>
      </c>
      <c r="Q13" s="38">
        <f t="shared" si="8"/>
        <v>28733.567800000004</v>
      </c>
      <c r="R13" s="19">
        <f t="shared" si="9"/>
        <v>218688.43219999998</v>
      </c>
      <c r="S13" s="19"/>
      <c r="T13" s="19">
        <f t="shared" si="10"/>
        <v>24660</v>
      </c>
      <c r="X13" s="6">
        <f t="shared" si="11"/>
        <v>247422</v>
      </c>
      <c r="Y13" s="6">
        <f t="shared" si="12"/>
        <v>66151.06</v>
      </c>
      <c r="Z13" s="6">
        <f t="shared" si="13"/>
        <v>19728</v>
      </c>
      <c r="AA13" s="6">
        <f t="shared" si="14"/>
        <v>6850</v>
      </c>
      <c r="AB13" s="6">
        <f t="shared" si="15"/>
        <v>92729.06</v>
      </c>
      <c r="AC13" s="6">
        <f t="shared" si="16"/>
        <v>181270.94</v>
      </c>
      <c r="AD13" s="33"/>
      <c r="AE13" s="33"/>
      <c r="AF13" s="36"/>
      <c r="AG13" s="30">
        <f t="shared" si="17"/>
        <v>1749.9992999999999</v>
      </c>
      <c r="AH13" s="30">
        <f t="shared" si="18"/>
        <v>2749.9988999999996</v>
      </c>
      <c r="AI13" s="30">
        <f t="shared" si="19"/>
        <v>6249.9975000000004</v>
      </c>
      <c r="AJ13" s="30">
        <f t="shared" si="20"/>
        <v>7916.6635000000006</v>
      </c>
      <c r="AK13" s="30">
        <f t="shared" si="21"/>
        <v>10066.908600000001</v>
      </c>
      <c r="AL13" s="30">
        <f t="shared" si="22"/>
        <v>0</v>
      </c>
      <c r="AM13" s="30">
        <f t="shared" si="23"/>
        <v>28733.567800000004</v>
      </c>
    </row>
    <row r="14" spans="1:39" ht="16" x14ac:dyDescent="0.4">
      <c r="A14" s="14">
        <f t="shared" si="24"/>
        <v>12</v>
      </c>
      <c r="B14" s="12" t="s">
        <v>53</v>
      </c>
      <c r="C14" s="12"/>
      <c r="D14" s="14" t="s">
        <v>20</v>
      </c>
      <c r="E14" s="16" t="s">
        <v>21</v>
      </c>
      <c r="F14" s="15">
        <v>137000</v>
      </c>
      <c r="G14" s="15"/>
      <c r="H14" s="18">
        <f t="shared" si="0"/>
        <v>95900</v>
      </c>
      <c r="I14" s="18">
        <f>F14*$I$1</f>
        <v>13700</v>
      </c>
      <c r="J14" s="18">
        <f t="shared" si="1"/>
        <v>13700</v>
      </c>
      <c r="K14" s="18">
        <f t="shared" si="2"/>
        <v>4562.1000000000004</v>
      </c>
      <c r="L14" s="18">
        <f t="shared" si="3"/>
        <v>4562.1000000000004</v>
      </c>
      <c r="M14" s="18">
        <f t="shared" si="4"/>
        <v>4575.8</v>
      </c>
      <c r="N14" s="19">
        <f t="shared" si="5"/>
        <v>137000</v>
      </c>
      <c r="O14" s="19">
        <f t="shared" si="6"/>
        <v>9864</v>
      </c>
      <c r="P14" s="19">
        <f t="shared" si="7"/>
        <v>3425</v>
      </c>
      <c r="Q14" s="38">
        <f t="shared" si="8"/>
        <v>9345.3222000000005</v>
      </c>
      <c r="R14" s="19">
        <f t="shared" si="9"/>
        <v>114365.6778</v>
      </c>
      <c r="S14" s="19"/>
      <c r="T14" s="19">
        <f t="shared" si="10"/>
        <v>12330</v>
      </c>
      <c r="X14" s="6">
        <f t="shared" si="11"/>
        <v>123711</v>
      </c>
      <c r="Y14" s="6">
        <f t="shared" si="12"/>
        <v>41408.86</v>
      </c>
      <c r="Z14" s="6">
        <f t="shared" si="13"/>
        <v>9864</v>
      </c>
      <c r="AA14" s="6">
        <f t="shared" si="14"/>
        <v>3425</v>
      </c>
      <c r="AB14" s="6">
        <f t="shared" si="15"/>
        <v>54697.86</v>
      </c>
      <c r="AC14" s="6">
        <f t="shared" si="16"/>
        <v>82302.14</v>
      </c>
      <c r="AD14" s="33"/>
      <c r="AE14" s="33"/>
      <c r="AF14" s="36"/>
      <c r="AG14" s="30">
        <f t="shared" si="17"/>
        <v>1749.9992999999999</v>
      </c>
      <c r="AH14" s="30">
        <f t="shared" si="18"/>
        <v>2749.9988999999996</v>
      </c>
      <c r="AI14" s="30">
        <f t="shared" si="19"/>
        <v>4845.3240000000005</v>
      </c>
      <c r="AJ14" s="30">
        <f t="shared" si="20"/>
        <v>0</v>
      </c>
      <c r="AK14" s="30">
        <f t="shared" si="21"/>
        <v>0</v>
      </c>
      <c r="AL14" s="30">
        <f t="shared" si="22"/>
        <v>0</v>
      </c>
      <c r="AM14" s="30">
        <f t="shared" si="23"/>
        <v>9345.3222000000005</v>
      </c>
    </row>
    <row r="15" spans="1:39" ht="16" x14ac:dyDescent="0.4">
      <c r="A15" s="14">
        <f t="shared" si="24"/>
        <v>13</v>
      </c>
      <c r="B15" s="12" t="s">
        <v>40</v>
      </c>
      <c r="C15" s="12"/>
      <c r="D15" s="14" t="s">
        <v>20</v>
      </c>
      <c r="E15" s="16" t="s">
        <v>21</v>
      </c>
      <c r="F15" s="15">
        <v>137000</v>
      </c>
      <c r="G15" s="15"/>
      <c r="H15" s="18">
        <f t="shared" si="0"/>
        <v>95900</v>
      </c>
      <c r="I15" s="18">
        <f>F15*$I$1</f>
        <v>13700</v>
      </c>
      <c r="J15" s="18">
        <f t="shared" si="1"/>
        <v>13700</v>
      </c>
      <c r="K15" s="18">
        <f t="shared" si="2"/>
        <v>4562.1000000000004</v>
      </c>
      <c r="L15" s="18">
        <f t="shared" si="3"/>
        <v>4562.1000000000004</v>
      </c>
      <c r="M15" s="18">
        <f t="shared" si="4"/>
        <v>4575.8</v>
      </c>
      <c r="N15" s="19">
        <f t="shared" si="5"/>
        <v>137000</v>
      </c>
      <c r="O15" s="19">
        <f t="shared" si="6"/>
        <v>9864</v>
      </c>
      <c r="P15" s="19">
        <f t="shared" si="7"/>
        <v>3425</v>
      </c>
      <c r="Q15" s="38">
        <f t="shared" si="8"/>
        <v>9345.3222000000005</v>
      </c>
      <c r="R15" s="19">
        <f t="shared" si="9"/>
        <v>114365.6778</v>
      </c>
      <c r="S15" s="19"/>
      <c r="T15" s="19">
        <f t="shared" si="10"/>
        <v>12330</v>
      </c>
      <c r="X15" s="6">
        <f t="shared" si="11"/>
        <v>123711</v>
      </c>
      <c r="Y15" s="6">
        <f t="shared" si="12"/>
        <v>41408.86</v>
      </c>
      <c r="Z15" s="6">
        <f t="shared" si="13"/>
        <v>9864</v>
      </c>
      <c r="AA15" s="6">
        <f t="shared" si="14"/>
        <v>3425</v>
      </c>
      <c r="AB15" s="6">
        <f t="shared" si="15"/>
        <v>54697.86</v>
      </c>
      <c r="AC15" s="6">
        <f t="shared" si="16"/>
        <v>82302.14</v>
      </c>
      <c r="AD15" s="33"/>
      <c r="AE15" s="33"/>
      <c r="AF15" s="36"/>
      <c r="AG15" s="30">
        <f t="shared" si="17"/>
        <v>1749.9992999999999</v>
      </c>
      <c r="AH15" s="30">
        <f t="shared" si="18"/>
        <v>2749.9988999999996</v>
      </c>
      <c r="AI15" s="30">
        <f t="shared" si="19"/>
        <v>4845.3240000000005</v>
      </c>
      <c r="AJ15" s="30">
        <f t="shared" si="20"/>
        <v>0</v>
      </c>
      <c r="AK15" s="30">
        <f t="shared" si="21"/>
        <v>0</v>
      </c>
      <c r="AL15" s="30">
        <f t="shared" si="22"/>
        <v>0</v>
      </c>
      <c r="AM15" s="30">
        <f t="shared" si="23"/>
        <v>9345.3222000000005</v>
      </c>
    </row>
    <row r="16" spans="1:39" ht="16" x14ac:dyDescent="0.4">
      <c r="A16" s="14">
        <f t="shared" si="24"/>
        <v>14</v>
      </c>
      <c r="B16" s="12" t="s">
        <v>54</v>
      </c>
      <c r="C16" s="12" t="s">
        <v>41</v>
      </c>
      <c r="D16" s="14" t="s">
        <v>22</v>
      </c>
      <c r="E16" s="16" t="s">
        <v>23</v>
      </c>
      <c r="F16" s="15">
        <v>55000</v>
      </c>
      <c r="G16" s="15"/>
      <c r="H16" s="18">
        <f t="shared" si="0"/>
        <v>38500</v>
      </c>
      <c r="I16" s="18">
        <f>F16*$I$1</f>
        <v>5500</v>
      </c>
      <c r="J16" s="18">
        <f t="shared" si="1"/>
        <v>5500</v>
      </c>
      <c r="K16" s="18">
        <f t="shared" si="2"/>
        <v>1831.5000000000002</v>
      </c>
      <c r="L16" s="18">
        <f t="shared" si="3"/>
        <v>1831.5000000000002</v>
      </c>
      <c r="M16" s="18">
        <f t="shared" si="4"/>
        <v>1837</v>
      </c>
      <c r="N16" s="19">
        <f t="shared" si="5"/>
        <v>55000</v>
      </c>
      <c r="O16" s="19">
        <v>0</v>
      </c>
      <c r="P16" s="19">
        <v>0</v>
      </c>
      <c r="Q16" s="38">
        <f t="shared" si="8"/>
        <v>2006.6678000000002</v>
      </c>
      <c r="R16" s="19">
        <f t="shared" si="9"/>
        <v>52993.332199999997</v>
      </c>
      <c r="S16" s="19"/>
      <c r="T16" s="19">
        <f t="shared" si="10"/>
        <v>4950</v>
      </c>
      <c r="X16" s="6">
        <f t="shared" si="11"/>
        <v>55000</v>
      </c>
      <c r="Y16" s="6">
        <f t="shared" si="12"/>
        <v>27666.66</v>
      </c>
      <c r="Z16" s="6">
        <f t="shared" si="13"/>
        <v>0</v>
      </c>
      <c r="AA16" s="6">
        <f t="shared" si="14"/>
        <v>0</v>
      </c>
      <c r="AB16" s="6">
        <f t="shared" si="15"/>
        <v>27666.66</v>
      </c>
      <c r="AC16" s="6">
        <f t="shared" si="16"/>
        <v>27333.34</v>
      </c>
      <c r="AD16" s="33"/>
      <c r="AE16" s="33"/>
      <c r="AF16" s="36"/>
      <c r="AG16" s="30">
        <f t="shared" si="17"/>
        <v>1749.9992999999999</v>
      </c>
      <c r="AH16" s="30">
        <f t="shared" si="18"/>
        <v>256.66850000000022</v>
      </c>
      <c r="AI16" s="30">
        <f t="shared" si="19"/>
        <v>0</v>
      </c>
      <c r="AJ16" s="30">
        <f t="shared" si="20"/>
        <v>0</v>
      </c>
      <c r="AK16" s="30">
        <f t="shared" si="21"/>
        <v>0</v>
      </c>
      <c r="AL16" s="30">
        <f t="shared" si="22"/>
        <v>0</v>
      </c>
      <c r="AM16" s="30">
        <f t="shared" si="23"/>
        <v>2006.6678000000002</v>
      </c>
    </row>
    <row r="17" spans="1:39" ht="16" x14ac:dyDescent="0.4">
      <c r="A17" s="14">
        <f t="shared" si="24"/>
        <v>15</v>
      </c>
      <c r="B17" s="12" t="s">
        <v>55</v>
      </c>
      <c r="C17" s="12" t="s">
        <v>42</v>
      </c>
      <c r="D17" s="14" t="s">
        <v>24</v>
      </c>
      <c r="E17" s="16" t="s">
        <v>25</v>
      </c>
      <c r="F17" s="15">
        <v>46000</v>
      </c>
      <c r="G17" s="15"/>
      <c r="H17" s="18">
        <f t="shared" si="0"/>
        <v>32199.999999999996</v>
      </c>
      <c r="I17" s="18">
        <f>F17*$I$1</f>
        <v>4600</v>
      </c>
      <c r="J17" s="18">
        <f t="shared" si="1"/>
        <v>4600</v>
      </c>
      <c r="K17" s="18">
        <f t="shared" si="2"/>
        <v>1531.8000000000002</v>
      </c>
      <c r="L17" s="18">
        <f t="shared" si="3"/>
        <v>1531.8000000000002</v>
      </c>
      <c r="M17" s="18">
        <f t="shared" si="4"/>
        <v>1536.3999999999999</v>
      </c>
      <c r="N17" s="19">
        <f t="shared" si="5"/>
        <v>46000.000000000007</v>
      </c>
      <c r="O17" s="19">
        <v>0</v>
      </c>
      <c r="P17" s="19">
        <v>0</v>
      </c>
      <c r="Q17" s="38">
        <f t="shared" si="8"/>
        <v>1409.3338000000003</v>
      </c>
      <c r="R17" s="19">
        <f t="shared" si="9"/>
        <v>44590.666200000007</v>
      </c>
      <c r="S17" s="19"/>
      <c r="T17" s="19">
        <f t="shared" si="10"/>
        <v>4140</v>
      </c>
      <c r="X17" s="6">
        <f t="shared" si="11"/>
        <v>46000.000000000007</v>
      </c>
      <c r="Y17" s="6">
        <f t="shared" si="12"/>
        <v>25866.660000000003</v>
      </c>
      <c r="Z17" s="6">
        <f t="shared" si="13"/>
        <v>0</v>
      </c>
      <c r="AA17" s="6">
        <f t="shared" si="14"/>
        <v>0</v>
      </c>
      <c r="AB17" s="6">
        <f t="shared" si="15"/>
        <v>25866.660000000003</v>
      </c>
      <c r="AC17" s="6">
        <f t="shared" si="16"/>
        <v>20133.340000000004</v>
      </c>
      <c r="AD17" s="33"/>
      <c r="AE17" s="33"/>
      <c r="AF17" s="36"/>
      <c r="AG17" s="30">
        <f t="shared" si="17"/>
        <v>1409.3338000000003</v>
      </c>
      <c r="AH17" s="30">
        <f t="shared" si="18"/>
        <v>0</v>
      </c>
      <c r="AI17" s="30">
        <f t="shared" si="19"/>
        <v>0</v>
      </c>
      <c r="AJ17" s="30">
        <f t="shared" si="20"/>
        <v>0</v>
      </c>
      <c r="AK17" s="30">
        <f t="shared" si="21"/>
        <v>0</v>
      </c>
      <c r="AL17" s="30">
        <f t="shared" si="22"/>
        <v>0</v>
      </c>
      <c r="AM17" s="30">
        <f t="shared" si="23"/>
        <v>1409.3338000000003</v>
      </c>
    </row>
    <row r="18" spans="1:39" ht="16" x14ac:dyDescent="0.4">
      <c r="E18" s="57" t="s">
        <v>74</v>
      </c>
      <c r="F18" s="44">
        <f>SUM(F3:F17)</f>
        <v>9271000</v>
      </c>
      <c r="G18" s="44"/>
      <c r="H18" s="44">
        <f t="shared" ref="G18:T18" si="25">SUM(H3:H17)</f>
        <v>6489700</v>
      </c>
      <c r="I18" s="44">
        <f t="shared" si="25"/>
        <v>927100</v>
      </c>
      <c r="J18" s="44">
        <f t="shared" si="25"/>
        <v>927100</v>
      </c>
      <c r="K18" s="44">
        <f t="shared" si="25"/>
        <v>308724.30000000005</v>
      </c>
      <c r="L18" s="44">
        <f t="shared" si="25"/>
        <v>308724.30000000005</v>
      </c>
      <c r="M18" s="44">
        <f t="shared" si="25"/>
        <v>309651.39999999991</v>
      </c>
      <c r="N18" s="44">
        <f t="shared" si="25"/>
        <v>9271000</v>
      </c>
      <c r="O18" s="44">
        <f t="shared" si="25"/>
        <v>660240</v>
      </c>
      <c r="P18" s="44">
        <f t="shared" si="25"/>
        <v>229250</v>
      </c>
      <c r="Q18" s="44">
        <f t="shared" si="25"/>
        <v>1342649.1614000003</v>
      </c>
      <c r="R18" s="44">
        <f t="shared" si="25"/>
        <v>7038860.8385999966</v>
      </c>
      <c r="S18" s="44"/>
      <c r="T18" s="44">
        <f t="shared" si="25"/>
        <v>834390</v>
      </c>
    </row>
  </sheetData>
  <protectedRanges>
    <protectedRange password="C9DB" sqref="AG2:AK2" name="Range2_1"/>
  </protectedRanges>
  <dataValidations count="1">
    <dataValidation type="list" allowBlank="1" showInputMessage="1" showErrorMessage="1" sqref="AF1" xr:uid="{E6CF5984-69A7-42AD-91C7-89F8C628F352}">
      <formula1>"Monthly, Annual"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A0DC-B2F6-405C-A5E9-2F7AA47F0F43}">
  <dimension ref="A1:S17"/>
  <sheetViews>
    <sheetView topLeftCell="A4" workbookViewId="0">
      <selection activeCell="N1" sqref="N1"/>
    </sheetView>
  </sheetViews>
  <sheetFormatPr defaultRowHeight="14.5" x14ac:dyDescent="0.35"/>
  <cols>
    <col min="2" max="2" width="12.7265625" customWidth="1"/>
    <col min="3" max="3" width="31.81640625" bestFit="1" customWidth="1"/>
    <col min="4" max="4" width="17.6328125" customWidth="1"/>
    <col min="5" max="5" width="2.1796875" customWidth="1"/>
    <col min="6" max="6" width="14.1796875" bestFit="1" customWidth="1"/>
    <col min="7" max="7" width="18.90625" customWidth="1"/>
    <col min="8" max="8" width="15.1796875" customWidth="1"/>
    <col min="9" max="9" width="15.90625" customWidth="1"/>
    <col min="10" max="10" width="13.90625" customWidth="1"/>
    <col min="11" max="11" width="14" customWidth="1"/>
    <col min="12" max="12" width="13.26953125" customWidth="1"/>
    <col min="13" max="13" width="13.90625" customWidth="1"/>
    <col min="14" max="14" width="15.6328125" customWidth="1"/>
    <col min="15" max="15" width="15.90625" customWidth="1"/>
    <col min="16" max="16" width="16.54296875" customWidth="1"/>
    <col min="17" max="18" width="14.81640625" customWidth="1"/>
    <col min="19" max="19" width="19.26953125" customWidth="1"/>
  </cols>
  <sheetData>
    <row r="1" spans="1:19" ht="43.5" x14ac:dyDescent="0.35">
      <c r="A1" s="8" t="s">
        <v>50</v>
      </c>
      <c r="B1" s="8" t="s">
        <v>10</v>
      </c>
      <c r="C1" s="9" t="s">
        <v>70</v>
      </c>
      <c r="D1" s="10" t="s">
        <v>27</v>
      </c>
      <c r="E1" s="13"/>
      <c r="F1" s="1" t="s">
        <v>0</v>
      </c>
      <c r="G1" s="1" t="s">
        <v>1</v>
      </c>
      <c r="H1" s="1" t="s">
        <v>2</v>
      </c>
      <c r="I1" s="40" t="s">
        <v>28</v>
      </c>
      <c r="J1" s="1" t="s">
        <v>87</v>
      </c>
      <c r="K1" s="1" t="s">
        <v>4</v>
      </c>
      <c r="L1" s="1" t="s">
        <v>5</v>
      </c>
      <c r="M1" s="1" t="s">
        <v>80</v>
      </c>
      <c r="N1" s="1" t="s">
        <v>71</v>
      </c>
      <c r="O1" s="1" t="s">
        <v>6</v>
      </c>
      <c r="P1" s="1" t="s">
        <v>26</v>
      </c>
      <c r="Q1" s="1" t="s">
        <v>7</v>
      </c>
      <c r="R1" s="1" t="s">
        <v>8</v>
      </c>
      <c r="S1" s="1" t="s">
        <v>9</v>
      </c>
    </row>
    <row r="2" spans="1:19" ht="16" x14ac:dyDescent="0.35">
      <c r="A2" s="50">
        <v>1</v>
      </c>
      <c r="B2" s="11" t="str">
        <f>'Payroll breakdown per role'!D3</f>
        <v>A1</v>
      </c>
      <c r="C2" s="12" t="str">
        <f>'Payroll breakdown per role'!B3</f>
        <v>Managing Director</v>
      </c>
      <c r="D2" s="39">
        <f>'Payroll breakdown per role'!F3</f>
        <v>3840000</v>
      </c>
      <c r="E2" s="13"/>
      <c r="F2" s="2">
        <f>D2*12</f>
        <v>46080000</v>
      </c>
      <c r="G2" s="2">
        <f>(F2*70%)*10%</f>
        <v>3225600</v>
      </c>
      <c r="H2" s="2">
        <f>F2/12</f>
        <v>3840000</v>
      </c>
      <c r="I2" s="3">
        <f>IF(_xlfn.XLOOKUP(B2, 'Bonus suggestion table'!$B$3:$B$7, 'Bonus suggestion table'!$D$3:$D$7, 0, 0) * F2 = 0, 0, _xlfn.XLOOKUP(B2, 'Bonus suggestion table'!$B$3:$B$7, 'Bonus suggestion table'!$D$3:$D$7, 0, 0) * F2)</f>
        <v>13824000</v>
      </c>
      <c r="J2" s="3"/>
      <c r="K2" s="3"/>
      <c r="L2" s="3"/>
      <c r="M2" s="3"/>
      <c r="N2" s="3"/>
      <c r="O2" s="3">
        <f>(90%*F2)*(10%)</f>
        <v>4147200</v>
      </c>
      <c r="P2" s="3">
        <f>(6/1000)*((F2*90%)*3)</f>
        <v>746496</v>
      </c>
      <c r="Q2" s="3">
        <f>1%*(I2+F2)</f>
        <v>599040</v>
      </c>
      <c r="R2" s="3">
        <f>1%*(I2+F2)</f>
        <v>599040</v>
      </c>
      <c r="S2" s="3">
        <f>SUM(F2:R2)</f>
        <v>73061376</v>
      </c>
    </row>
    <row r="3" spans="1:19" ht="16" x14ac:dyDescent="0.35">
      <c r="A3" s="50">
        <f>A2+1</f>
        <v>2</v>
      </c>
      <c r="B3" s="11" t="str">
        <f>'Payroll breakdown per role'!D4</f>
        <v>B1</v>
      </c>
      <c r="C3" s="12" t="str">
        <f>'Payroll breakdown per role'!B4</f>
        <v>Director of Programs</v>
      </c>
      <c r="D3" s="39">
        <f>'Payroll breakdown per role'!F4</f>
        <v>2194000</v>
      </c>
      <c r="E3" s="13"/>
      <c r="F3" s="2">
        <f t="shared" ref="F3:F16" si="0">D3*12</f>
        <v>26328000</v>
      </c>
      <c r="G3" s="2">
        <f t="shared" ref="G3:G16" si="1">(F3*70%)*10%</f>
        <v>1842960</v>
      </c>
      <c r="H3" s="2">
        <f t="shared" ref="H3:H16" si="2">F3/12</f>
        <v>2194000</v>
      </c>
      <c r="I3" s="3">
        <f>IF(_xlfn.XLOOKUP(B3, 'Bonus suggestion table'!$B$3:$B$7, 'Bonus suggestion table'!$D$3:$D$7, 0, 0) * F3 = 0, 0, _xlfn.XLOOKUP(B3, 'Bonus suggestion table'!$B$3:$B$7, 'Bonus suggestion table'!$D$3:$D$7, 0, 0) * F3)</f>
        <v>5265600</v>
      </c>
      <c r="J3" s="13"/>
      <c r="K3" s="13"/>
      <c r="L3" s="13"/>
      <c r="M3" s="13"/>
      <c r="N3" s="13"/>
      <c r="O3" s="3">
        <f t="shared" ref="O3:O16" si="3">(90%*F3)*(10%)</f>
        <v>2369520</v>
      </c>
      <c r="P3" s="3">
        <f>(6/1000)*((F3*90%)*3)</f>
        <v>426513.60000000003</v>
      </c>
      <c r="Q3" s="3">
        <f>1%*(I3+F3)</f>
        <v>315936</v>
      </c>
      <c r="R3" s="3">
        <f>1%*(I3+F3)</f>
        <v>315936</v>
      </c>
      <c r="S3" s="3">
        <f>SUM(F3:R3)</f>
        <v>39058465.600000001</v>
      </c>
    </row>
    <row r="4" spans="1:19" ht="16" x14ac:dyDescent="0.35">
      <c r="A4" s="50">
        <f t="shared" ref="A4:A16" si="4">A3+1</f>
        <v>3</v>
      </c>
      <c r="B4" s="11" t="str">
        <f>'Payroll breakdown per role'!D5</f>
        <v>G1</v>
      </c>
      <c r="C4" s="12" t="str">
        <f>'Payroll breakdown per role'!B5</f>
        <v>IT Manager</v>
      </c>
      <c r="D4" s="39">
        <f>'Payroll breakdown per role'!F5</f>
        <v>472000</v>
      </c>
      <c r="E4" s="13"/>
      <c r="F4" s="2">
        <f t="shared" si="0"/>
        <v>5664000</v>
      </c>
      <c r="G4" s="2">
        <f t="shared" si="1"/>
        <v>396480</v>
      </c>
      <c r="H4" s="2">
        <f t="shared" si="2"/>
        <v>472000</v>
      </c>
      <c r="I4" s="3">
        <f>IF(_xlfn.XLOOKUP(B4, 'Bonus suggestion table'!$B$3:$B$7, 'Bonus suggestion table'!$D$3:$D$7, 0, 0) * F4 = 0, 0, _xlfn.XLOOKUP(B4, 'Bonus suggestion table'!$B$3:$B$7, 'Bonus suggestion table'!$D$3:$D$7, 0, 0) * F4)</f>
        <v>849600</v>
      </c>
      <c r="J4" s="13"/>
      <c r="K4" s="13"/>
      <c r="L4" s="13"/>
      <c r="M4" s="13"/>
      <c r="N4" s="13"/>
      <c r="O4" s="3">
        <f t="shared" si="3"/>
        <v>509760</v>
      </c>
      <c r="P4" s="3">
        <f>(6/1000)*((F4*90%)*3)</f>
        <v>91756.800000000003</v>
      </c>
      <c r="Q4" s="3">
        <f>1%*(I4+F4)</f>
        <v>65136</v>
      </c>
      <c r="R4" s="3">
        <f>1%*(I4+F4)</f>
        <v>65136</v>
      </c>
      <c r="S4" s="3">
        <f>SUM(F4:R4)</f>
        <v>8113868.7999999998</v>
      </c>
    </row>
    <row r="5" spans="1:19" ht="16" x14ac:dyDescent="0.35">
      <c r="A5" s="50">
        <f t="shared" si="4"/>
        <v>4</v>
      </c>
      <c r="B5" s="11" t="str">
        <f>'Payroll breakdown per role'!D6</f>
        <v>G1</v>
      </c>
      <c r="C5" s="12" t="str">
        <f>'Payroll breakdown per role'!B6</f>
        <v>Community Manager</v>
      </c>
      <c r="D5" s="39">
        <f>'Payroll breakdown per role'!F6</f>
        <v>472000</v>
      </c>
      <c r="E5" s="13"/>
      <c r="F5" s="2">
        <f t="shared" si="0"/>
        <v>5664000</v>
      </c>
      <c r="G5" s="2">
        <f t="shared" si="1"/>
        <v>396480</v>
      </c>
      <c r="H5" s="2">
        <f t="shared" si="2"/>
        <v>472000</v>
      </c>
      <c r="I5" s="3">
        <f>IF(_xlfn.XLOOKUP(B5, 'Bonus suggestion table'!$B$3:$B$7, 'Bonus suggestion table'!$D$3:$D$7, 0, 0) * F5 = 0, 0, _xlfn.XLOOKUP(B5, 'Bonus suggestion table'!$B$3:$B$7, 'Bonus suggestion table'!$D$3:$D$7, 0, 0) * F5)</f>
        <v>849600</v>
      </c>
      <c r="J5" s="13"/>
      <c r="K5" s="13"/>
      <c r="L5" s="13"/>
      <c r="M5" s="13"/>
      <c r="N5" s="13"/>
      <c r="O5" s="3">
        <f t="shared" si="3"/>
        <v>509760</v>
      </c>
      <c r="P5" s="3">
        <f>(6/1000)*((F5*90%)*3)</f>
        <v>91756.800000000003</v>
      </c>
      <c r="Q5" s="3">
        <f>1%*(I5+F5)</f>
        <v>65136</v>
      </c>
      <c r="R5" s="3">
        <f>1%*(I5+F5)</f>
        <v>65136</v>
      </c>
      <c r="S5" s="3">
        <f>SUM(F5:R5)</f>
        <v>8113868.7999999998</v>
      </c>
    </row>
    <row r="6" spans="1:19" ht="16" x14ac:dyDescent="0.35">
      <c r="A6" s="50">
        <f t="shared" si="4"/>
        <v>5</v>
      </c>
      <c r="B6" s="11" t="str">
        <f>'Payroll breakdown per role'!D7</f>
        <v>H1</v>
      </c>
      <c r="C6" s="12" t="str">
        <f>'Payroll breakdown per role'!B7</f>
        <v>Facility Associate</v>
      </c>
      <c r="D6" s="39">
        <f>'Payroll breakdown per role'!F7</f>
        <v>274000</v>
      </c>
      <c r="E6" s="13"/>
      <c r="F6" s="2">
        <f t="shared" si="0"/>
        <v>3288000</v>
      </c>
      <c r="G6" s="2">
        <f t="shared" si="1"/>
        <v>230160</v>
      </c>
      <c r="H6" s="2">
        <f t="shared" si="2"/>
        <v>274000</v>
      </c>
      <c r="I6" s="3">
        <f>IF(_xlfn.XLOOKUP(B6, 'Bonus suggestion table'!$B$3:$B$7, 'Bonus suggestion table'!$D$3:$D$7, 0, 0) * F6 = 0, 0, _xlfn.XLOOKUP(B6, 'Bonus suggestion table'!$B$3:$B$7, 'Bonus suggestion table'!$D$3:$D$7, 0, 0) * F6)</f>
        <v>328800</v>
      </c>
      <c r="J6" s="13"/>
      <c r="K6" s="13"/>
      <c r="L6" s="13"/>
      <c r="M6" s="13"/>
      <c r="N6" s="13"/>
      <c r="O6" s="3">
        <f t="shared" si="3"/>
        <v>295920</v>
      </c>
      <c r="P6" s="3">
        <f>(6/1000)*((F6*90%)*3)</f>
        <v>53265.599999999999</v>
      </c>
      <c r="Q6" s="3">
        <f>1%*(I6+F6)</f>
        <v>36168</v>
      </c>
      <c r="R6" s="3">
        <f>1%*(I6+F6)</f>
        <v>36168</v>
      </c>
      <c r="S6" s="3">
        <f>SUM(F6:R6)</f>
        <v>4542481.5999999996</v>
      </c>
    </row>
    <row r="7" spans="1:19" ht="16" x14ac:dyDescent="0.35">
      <c r="A7" s="50">
        <f t="shared" si="4"/>
        <v>6</v>
      </c>
      <c r="B7" s="11" t="str">
        <f>'Payroll breakdown per role'!D8</f>
        <v>H1</v>
      </c>
      <c r="C7" s="12" t="str">
        <f>'Payroll breakdown per role'!B8</f>
        <v>Front Desk Associate (x2)</v>
      </c>
      <c r="D7" s="39">
        <f>'Payroll breakdown per role'!F8</f>
        <v>274000</v>
      </c>
      <c r="E7" s="13"/>
      <c r="F7" s="2">
        <f t="shared" si="0"/>
        <v>3288000</v>
      </c>
      <c r="G7" s="2">
        <f t="shared" si="1"/>
        <v>230160</v>
      </c>
      <c r="H7" s="2">
        <f t="shared" si="2"/>
        <v>274000</v>
      </c>
      <c r="I7" s="3">
        <f>IF(_xlfn.XLOOKUP(B7, 'Bonus suggestion table'!$B$3:$B$7, 'Bonus suggestion table'!$D$3:$D$7, 0, 0) * F7 = 0, 0, _xlfn.XLOOKUP(B7, 'Bonus suggestion table'!$B$3:$B$7, 'Bonus suggestion table'!$D$3:$D$7, 0, 0) * F7)</f>
        <v>328800</v>
      </c>
      <c r="J7" s="13"/>
      <c r="K7" s="13"/>
      <c r="L7" s="13"/>
      <c r="M7" s="13"/>
      <c r="N7" s="13"/>
      <c r="O7" s="3">
        <f t="shared" si="3"/>
        <v>295920</v>
      </c>
      <c r="P7" s="3">
        <f>(6/1000)*((F7*90%)*3)</f>
        <v>53265.599999999999</v>
      </c>
      <c r="Q7" s="3">
        <f>1%*(I7+F7)</f>
        <v>36168</v>
      </c>
      <c r="R7" s="3">
        <f>1%*(I7+F7)</f>
        <v>36168</v>
      </c>
      <c r="S7" s="3">
        <f>SUM(F7:R7)</f>
        <v>4542481.5999999996</v>
      </c>
    </row>
    <row r="8" spans="1:19" ht="16" x14ac:dyDescent="0.35">
      <c r="A8" s="50">
        <f t="shared" si="4"/>
        <v>7</v>
      </c>
      <c r="B8" s="11" t="str">
        <f>'Payroll breakdown per role'!D9</f>
        <v>H1</v>
      </c>
      <c r="C8" s="12" t="str">
        <f>'Payroll breakdown per role'!B9</f>
        <v>Finance Associate</v>
      </c>
      <c r="D8" s="39">
        <f>'Payroll breakdown per role'!F9</f>
        <v>274000</v>
      </c>
      <c r="E8" s="13"/>
      <c r="F8" s="2">
        <f t="shared" si="0"/>
        <v>3288000</v>
      </c>
      <c r="G8" s="2">
        <f t="shared" si="1"/>
        <v>230160</v>
      </c>
      <c r="H8" s="2">
        <f t="shared" si="2"/>
        <v>274000</v>
      </c>
      <c r="I8" s="3">
        <f>IF(_xlfn.XLOOKUP(B8, 'Bonus suggestion table'!$B$3:$B$7, 'Bonus suggestion table'!$D$3:$D$7, 0, 0) * F8 = 0, 0, _xlfn.XLOOKUP(B8, 'Bonus suggestion table'!$B$3:$B$7, 'Bonus suggestion table'!$D$3:$D$7, 0, 0) * F8)</f>
        <v>328800</v>
      </c>
      <c r="J8" s="13"/>
      <c r="K8" s="13"/>
      <c r="L8" s="13"/>
      <c r="M8" s="13"/>
      <c r="N8" s="13"/>
      <c r="O8" s="3">
        <f t="shared" si="3"/>
        <v>295920</v>
      </c>
      <c r="P8" s="3">
        <f>(6/1000)*((F8*90%)*3)</f>
        <v>53265.599999999999</v>
      </c>
      <c r="Q8" s="3">
        <f>1%*(I8+F8)</f>
        <v>36168</v>
      </c>
      <c r="R8" s="3">
        <f>1%*(I8+F8)</f>
        <v>36168</v>
      </c>
      <c r="S8" s="3">
        <f>SUM(F8:R8)</f>
        <v>4542481.5999999996</v>
      </c>
    </row>
    <row r="9" spans="1:19" ht="16" x14ac:dyDescent="0.35">
      <c r="A9" s="50">
        <f t="shared" si="4"/>
        <v>8</v>
      </c>
      <c r="B9" s="11" t="str">
        <f>'Payroll breakdown per role'!D10</f>
        <v>H1</v>
      </c>
      <c r="C9" s="12" t="str">
        <f>'Payroll breakdown per role'!B10</f>
        <v>Admin &amp; HR Associate</v>
      </c>
      <c r="D9" s="39">
        <f>'Payroll breakdown per role'!F10</f>
        <v>274000</v>
      </c>
      <c r="E9" s="13"/>
      <c r="F9" s="2">
        <f t="shared" si="0"/>
        <v>3288000</v>
      </c>
      <c r="G9" s="2">
        <f t="shared" si="1"/>
        <v>230160</v>
      </c>
      <c r="H9" s="2">
        <f t="shared" si="2"/>
        <v>274000</v>
      </c>
      <c r="I9" s="3">
        <f>IF(_xlfn.XLOOKUP(B9, 'Bonus suggestion table'!$B$3:$B$7, 'Bonus suggestion table'!$D$3:$D$7, 0, 0) * F9 = 0, 0, _xlfn.XLOOKUP(B9, 'Bonus suggestion table'!$B$3:$B$7, 'Bonus suggestion table'!$D$3:$D$7, 0, 0) * F9)</f>
        <v>328800</v>
      </c>
      <c r="J9" s="13"/>
      <c r="K9" s="13"/>
      <c r="L9" s="13"/>
      <c r="M9" s="13"/>
      <c r="N9" s="13"/>
      <c r="O9" s="3">
        <f t="shared" si="3"/>
        <v>295920</v>
      </c>
      <c r="P9" s="3">
        <f>(6/1000)*((F9*90%)*3)</f>
        <v>53265.599999999999</v>
      </c>
      <c r="Q9" s="3">
        <f>1%*(I9+F9)</f>
        <v>36168</v>
      </c>
      <c r="R9" s="3">
        <f>1%*(I9+F9)</f>
        <v>36168</v>
      </c>
      <c r="S9" s="3">
        <f>SUM(F9:R9)</f>
        <v>4542481.5999999996</v>
      </c>
    </row>
    <row r="10" spans="1:19" ht="16" x14ac:dyDescent="0.35">
      <c r="A10" s="50">
        <f t="shared" si="4"/>
        <v>9</v>
      </c>
      <c r="B10" s="11" t="str">
        <f>'Payroll breakdown per role'!D11</f>
        <v>H1</v>
      </c>
      <c r="C10" s="12" t="str">
        <f>'Payroll breakdown per role'!B11</f>
        <v>IT Support Associate (x2)</v>
      </c>
      <c r="D10" s="39">
        <f>'Payroll breakdown per role'!F11</f>
        <v>274000</v>
      </c>
      <c r="E10" s="13"/>
      <c r="F10" s="2">
        <f t="shared" si="0"/>
        <v>3288000</v>
      </c>
      <c r="G10" s="2">
        <f t="shared" si="1"/>
        <v>230160</v>
      </c>
      <c r="H10" s="2">
        <f t="shared" si="2"/>
        <v>274000</v>
      </c>
      <c r="I10" s="3">
        <f>IF(_xlfn.XLOOKUP(B10, 'Bonus suggestion table'!$B$3:$B$7, 'Bonus suggestion table'!$D$3:$D$7, 0, 0) * F10 = 0, 0, _xlfn.XLOOKUP(B10, 'Bonus suggestion table'!$B$3:$B$7, 'Bonus suggestion table'!$D$3:$D$7, 0, 0) * F10)</f>
        <v>328800</v>
      </c>
      <c r="J10" s="13"/>
      <c r="K10" s="13"/>
      <c r="L10" s="13"/>
      <c r="M10" s="13"/>
      <c r="N10" s="13"/>
      <c r="O10" s="3">
        <f t="shared" si="3"/>
        <v>295920</v>
      </c>
      <c r="P10" s="3">
        <f>(6/1000)*((F10*90%)*3)</f>
        <v>53265.599999999999</v>
      </c>
      <c r="Q10" s="3">
        <f>1%*(I10+F10)</f>
        <v>36168</v>
      </c>
      <c r="R10" s="3">
        <f>1%*(I10+F10)</f>
        <v>36168</v>
      </c>
      <c r="S10" s="3">
        <f>SUM(F10:R10)</f>
        <v>4542481.5999999996</v>
      </c>
    </row>
    <row r="11" spans="1:19" ht="16" x14ac:dyDescent="0.35">
      <c r="A11" s="50">
        <f t="shared" si="4"/>
        <v>10</v>
      </c>
      <c r="B11" s="11" t="str">
        <f>'Payroll breakdown per role'!D12</f>
        <v>H1</v>
      </c>
      <c r="C11" s="12" t="str">
        <f>'Payroll breakdown per role'!B12</f>
        <v>Content &amp; Marketing Lead</v>
      </c>
      <c r="D11" s="39">
        <f>'Payroll breakdown per role'!F12</f>
        <v>274000</v>
      </c>
      <c r="E11" s="13"/>
      <c r="F11" s="2">
        <f t="shared" si="0"/>
        <v>3288000</v>
      </c>
      <c r="G11" s="2">
        <f t="shared" si="1"/>
        <v>230160</v>
      </c>
      <c r="H11" s="2">
        <f t="shared" si="2"/>
        <v>274000</v>
      </c>
      <c r="I11" s="3">
        <f>IF(_xlfn.XLOOKUP(B11, 'Bonus suggestion table'!$B$3:$B$7, 'Bonus suggestion table'!$D$3:$D$7, 0, 0) * F11 = 0, 0, _xlfn.XLOOKUP(B11, 'Bonus suggestion table'!$B$3:$B$7, 'Bonus suggestion table'!$D$3:$D$7, 0, 0) * F11)</f>
        <v>328800</v>
      </c>
      <c r="J11" s="13"/>
      <c r="K11" s="13"/>
      <c r="L11" s="13"/>
      <c r="M11" s="13"/>
      <c r="N11" s="13"/>
      <c r="O11" s="3">
        <f t="shared" si="3"/>
        <v>295920</v>
      </c>
      <c r="P11" s="3">
        <f>(6/1000)*((F11*90%)*3)</f>
        <v>53265.599999999999</v>
      </c>
      <c r="Q11" s="3">
        <f>1%*(I11+F11)</f>
        <v>36168</v>
      </c>
      <c r="R11" s="3">
        <f>1%*(I11+F11)</f>
        <v>36168</v>
      </c>
      <c r="S11" s="3">
        <f>SUM(F11:R11)</f>
        <v>4542481.5999999996</v>
      </c>
    </row>
    <row r="12" spans="1:19" ht="16" x14ac:dyDescent="0.35">
      <c r="A12" s="50">
        <f t="shared" si="4"/>
        <v>11</v>
      </c>
      <c r="B12" s="11" t="str">
        <f>'Payroll breakdown per role'!D13</f>
        <v>H1</v>
      </c>
      <c r="C12" s="12" t="str">
        <f>'Payroll breakdown per role'!B13</f>
        <v>Graphic &amp; Multimedia Associate</v>
      </c>
      <c r="D12" s="39">
        <f>'Payroll breakdown per role'!F13</f>
        <v>274000</v>
      </c>
      <c r="E12" s="13"/>
      <c r="F12" s="2">
        <f t="shared" si="0"/>
        <v>3288000</v>
      </c>
      <c r="G12" s="2">
        <f t="shared" si="1"/>
        <v>230160</v>
      </c>
      <c r="H12" s="2">
        <f t="shared" si="2"/>
        <v>274000</v>
      </c>
      <c r="I12" s="3">
        <f>IF(_xlfn.XLOOKUP(B12, 'Bonus suggestion table'!$B$3:$B$7, 'Bonus suggestion table'!$D$3:$D$7, 0, 0) * F12 = 0, 0, _xlfn.XLOOKUP(B12, 'Bonus suggestion table'!$B$3:$B$7, 'Bonus suggestion table'!$D$3:$D$7, 0, 0) * F12)</f>
        <v>328800</v>
      </c>
      <c r="J12" s="13"/>
      <c r="K12" s="13"/>
      <c r="L12" s="13"/>
      <c r="M12" s="13"/>
      <c r="N12" s="13"/>
      <c r="O12" s="3">
        <f t="shared" si="3"/>
        <v>295920</v>
      </c>
      <c r="P12" s="3">
        <f>(6/1000)*((F12*90%)*3)</f>
        <v>53265.599999999999</v>
      </c>
      <c r="Q12" s="3">
        <f>1%*(I12+F12)</f>
        <v>36168</v>
      </c>
      <c r="R12" s="3">
        <f>1%*(I12+F12)</f>
        <v>36168</v>
      </c>
      <c r="S12" s="3">
        <f>SUM(F12:R12)</f>
        <v>4542481.5999999996</v>
      </c>
    </row>
    <row r="13" spans="1:19" ht="16" x14ac:dyDescent="0.35">
      <c r="A13" s="50">
        <f t="shared" si="4"/>
        <v>12</v>
      </c>
      <c r="B13" s="11" t="str">
        <f>'Payroll breakdown per role'!D14</f>
        <v>I1</v>
      </c>
      <c r="C13" s="12" t="str">
        <f>'Payroll breakdown per role'!B14</f>
        <v>Facility Technician (x3)</v>
      </c>
      <c r="D13" s="39">
        <f>'Payroll breakdown per role'!F14</f>
        <v>137000</v>
      </c>
      <c r="E13" s="13"/>
      <c r="F13" s="2">
        <f t="shared" si="0"/>
        <v>1644000</v>
      </c>
      <c r="G13" s="2">
        <f t="shared" si="1"/>
        <v>115080</v>
      </c>
      <c r="H13" s="2">
        <f t="shared" si="2"/>
        <v>137000</v>
      </c>
      <c r="I13" s="3">
        <f>IF(_xlfn.XLOOKUP(B13, 'Bonus suggestion table'!$B$3:$B$7, 'Bonus suggestion table'!$D$3:$D$7, 0, 0) * F13 = 0, 0, _xlfn.XLOOKUP(B13, 'Bonus suggestion table'!$B$3:$B$7, 'Bonus suggestion table'!$D$3:$D$7, 0, 0) * F13)</f>
        <v>164400</v>
      </c>
      <c r="J13" s="13"/>
      <c r="K13" s="13"/>
      <c r="L13" s="13"/>
      <c r="M13" s="13"/>
      <c r="N13" s="13"/>
      <c r="O13" s="3">
        <f t="shared" si="3"/>
        <v>147960</v>
      </c>
      <c r="P13" s="3">
        <f>(6/1000)*((F13*90%)*3)</f>
        <v>26632.799999999999</v>
      </c>
      <c r="Q13" s="3">
        <f>1%*(I13+F13)</f>
        <v>18084</v>
      </c>
      <c r="R13" s="3">
        <f>1%*(I13+F13)</f>
        <v>18084</v>
      </c>
      <c r="S13" s="3">
        <f>SUM(F13:R13)</f>
        <v>2271240.7999999998</v>
      </c>
    </row>
    <row r="14" spans="1:19" ht="16" x14ac:dyDescent="0.35">
      <c r="A14" s="50">
        <f t="shared" si="4"/>
        <v>13</v>
      </c>
      <c r="B14" s="11" t="str">
        <f>'Payroll breakdown per role'!D15</f>
        <v>I1</v>
      </c>
      <c r="C14" s="12" t="str">
        <f>'Payroll breakdown per role'!B15</f>
        <v>Driver</v>
      </c>
      <c r="D14" s="39">
        <f>'Payroll breakdown per role'!F15</f>
        <v>137000</v>
      </c>
      <c r="E14" s="13"/>
      <c r="F14" s="2">
        <f t="shared" si="0"/>
        <v>1644000</v>
      </c>
      <c r="G14" s="2">
        <f t="shared" si="1"/>
        <v>115080</v>
      </c>
      <c r="H14" s="2">
        <f t="shared" si="2"/>
        <v>137000</v>
      </c>
      <c r="I14" s="3">
        <f>IF(_xlfn.XLOOKUP(B14, 'Bonus suggestion table'!$B$3:$B$7, 'Bonus suggestion table'!$D$3:$D$7, 0, 0) * F14 = 0, 0, _xlfn.XLOOKUP(B14, 'Bonus suggestion table'!$B$3:$B$7, 'Bonus suggestion table'!$D$3:$D$7, 0, 0) * F14)</f>
        <v>164400</v>
      </c>
      <c r="J14" s="13"/>
      <c r="K14" s="13"/>
      <c r="L14" s="13"/>
      <c r="M14" s="13"/>
      <c r="N14" s="13"/>
      <c r="O14" s="3">
        <f t="shared" si="3"/>
        <v>147960</v>
      </c>
      <c r="P14" s="3">
        <f>(6/1000)*((F14*90%)*3)</f>
        <v>26632.799999999999</v>
      </c>
      <c r="Q14" s="3">
        <f>1%*(I14+F14)</f>
        <v>18084</v>
      </c>
      <c r="R14" s="3">
        <f>1%*(I14+F14)</f>
        <v>18084</v>
      </c>
      <c r="S14" s="3">
        <f>SUM(F14:R14)</f>
        <v>2271240.7999999998</v>
      </c>
    </row>
    <row r="15" spans="1:19" ht="16" x14ac:dyDescent="0.35">
      <c r="A15" s="50">
        <f t="shared" si="4"/>
        <v>14</v>
      </c>
      <c r="B15" s="11" t="str">
        <f>'Payroll breakdown per role'!D16</f>
        <v>J2</v>
      </c>
      <c r="C15" s="12" t="str">
        <f>'Payroll breakdown per role'!B16</f>
        <v>Intern (x2)</v>
      </c>
      <c r="D15" s="39">
        <f>'Payroll breakdown per role'!F16</f>
        <v>55000</v>
      </c>
      <c r="E15" s="13"/>
      <c r="F15" s="2">
        <f t="shared" si="0"/>
        <v>660000</v>
      </c>
      <c r="G15" s="2">
        <f t="shared" si="1"/>
        <v>46200</v>
      </c>
      <c r="H15" s="2">
        <f t="shared" si="2"/>
        <v>55000</v>
      </c>
      <c r="I15" s="3">
        <f>IF(_xlfn.XLOOKUP(B15, 'Bonus suggestion table'!$B$3:$B$7, 'Bonus suggestion table'!$D$3:$D$7, 0, 0) * F15 = 0, 0, _xlfn.XLOOKUP(B15, 'Bonus suggestion table'!$B$3:$B$7, 'Bonus suggestion table'!$D$3:$D$7, 0, 0) * F15)</f>
        <v>0</v>
      </c>
      <c r="J15" s="13"/>
      <c r="K15" s="13"/>
      <c r="L15" s="13"/>
      <c r="M15" s="13"/>
      <c r="N15" s="13"/>
      <c r="O15" s="3">
        <v>0</v>
      </c>
      <c r="P15" s="3">
        <f>(6/1000)*((F15*90%)*3)</f>
        <v>10692</v>
      </c>
      <c r="Q15" s="3">
        <f>1%*(I15+F15)</f>
        <v>6600</v>
      </c>
      <c r="R15" s="3">
        <f>1%*(I15+F15)</f>
        <v>6600</v>
      </c>
      <c r="S15" s="3">
        <f>SUM(F15:R15)</f>
        <v>785092</v>
      </c>
    </row>
    <row r="16" spans="1:19" ht="16" x14ac:dyDescent="0.35">
      <c r="A16" s="50">
        <f t="shared" si="4"/>
        <v>15</v>
      </c>
      <c r="B16" s="11" t="str">
        <f>'Payroll breakdown per role'!D17</f>
        <v>J1</v>
      </c>
      <c r="C16" s="12" t="str">
        <f>'Payroll breakdown per role'!B17</f>
        <v>Intern (x3)</v>
      </c>
      <c r="D16" s="39">
        <f>'Payroll breakdown per role'!F17</f>
        <v>46000</v>
      </c>
      <c r="E16" s="13"/>
      <c r="F16" s="2">
        <f t="shared" si="0"/>
        <v>552000</v>
      </c>
      <c r="G16" s="2">
        <f t="shared" si="1"/>
        <v>38640</v>
      </c>
      <c r="H16" s="2">
        <f t="shared" si="2"/>
        <v>46000</v>
      </c>
      <c r="I16" s="3">
        <f>IF(_xlfn.XLOOKUP(B16, 'Bonus suggestion table'!$B$3:$B$7, 'Bonus suggestion table'!$D$3:$D$7, 0, 0) * F16 = 0, 0, _xlfn.XLOOKUP(B16, 'Bonus suggestion table'!$B$3:$B$7, 'Bonus suggestion table'!$D$3:$D$7, 0, 0) * F16)</f>
        <v>0</v>
      </c>
      <c r="J16" s="13"/>
      <c r="K16" s="13"/>
      <c r="L16" s="13"/>
      <c r="M16" s="13"/>
      <c r="N16" s="13"/>
      <c r="O16" s="3">
        <v>0</v>
      </c>
      <c r="P16" s="3">
        <f>(6/1000)*((F16*90%)*3)</f>
        <v>8942.4</v>
      </c>
      <c r="Q16" s="3">
        <f>1%*(I16+F16)</f>
        <v>5520</v>
      </c>
      <c r="R16" s="3">
        <f>1%*(I16+F16)</f>
        <v>5520</v>
      </c>
      <c r="S16" s="3">
        <f>SUM(F16:R16)</f>
        <v>656622.4</v>
      </c>
    </row>
    <row r="17" spans="19:19" x14ac:dyDescent="0.35">
      <c r="S17" s="51">
        <f>SUM(S2:S16)</f>
        <v>166129146.39999998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436F-230E-4C00-826C-BBF7ECF84E0F}">
  <dimension ref="B2:D7"/>
  <sheetViews>
    <sheetView workbookViewId="0">
      <selection activeCell="D2" sqref="D2"/>
    </sheetView>
  </sheetViews>
  <sheetFormatPr defaultRowHeight="14.5" x14ac:dyDescent="0.35"/>
  <cols>
    <col min="2" max="2" width="10.453125" customWidth="1"/>
    <col min="3" max="3" width="18.26953125" bestFit="1" customWidth="1"/>
    <col min="4" max="4" width="17.7265625" customWidth="1"/>
  </cols>
  <sheetData>
    <row r="2" spans="2:4" ht="26" x14ac:dyDescent="0.35">
      <c r="B2" s="58" t="s">
        <v>10</v>
      </c>
      <c r="C2" s="58" t="s">
        <v>70</v>
      </c>
      <c r="D2" s="58" t="s">
        <v>83</v>
      </c>
    </row>
    <row r="3" spans="2:4" x14ac:dyDescent="0.35">
      <c r="B3" s="7" t="s">
        <v>12</v>
      </c>
      <c r="C3" s="7" t="s">
        <v>13</v>
      </c>
      <c r="D3" s="59">
        <v>0.3</v>
      </c>
    </row>
    <row r="4" spans="2:4" x14ac:dyDescent="0.35">
      <c r="B4" s="7" t="s">
        <v>14</v>
      </c>
      <c r="C4" s="7" t="s">
        <v>32</v>
      </c>
      <c r="D4" s="59">
        <v>0.2</v>
      </c>
    </row>
    <row r="5" spans="2:4" x14ac:dyDescent="0.35">
      <c r="B5" s="7" t="s">
        <v>16</v>
      </c>
      <c r="C5" s="7" t="s">
        <v>84</v>
      </c>
      <c r="D5" s="59">
        <v>0.15</v>
      </c>
    </row>
    <row r="6" spans="2:4" x14ac:dyDescent="0.35">
      <c r="B6" s="7" t="s">
        <v>18</v>
      </c>
      <c r="C6" s="7" t="s">
        <v>85</v>
      </c>
      <c r="D6" s="59">
        <v>0.1</v>
      </c>
    </row>
    <row r="7" spans="2:4" x14ac:dyDescent="0.35">
      <c r="B7" s="7" t="s">
        <v>20</v>
      </c>
      <c r="C7" s="7" t="s">
        <v>86</v>
      </c>
      <c r="D7" s="5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 Cost Summary</vt:lpstr>
      <vt:lpstr>Payroll breakdown per role</vt:lpstr>
      <vt:lpstr>Annual Employer Cost per Grade</vt:lpstr>
      <vt:lpstr>Bonus suggestion table</vt:lpstr>
    </vt:vector>
  </TitlesOfParts>
  <Company>IHS Towers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Ogunlaja</dc:creator>
  <cp:lastModifiedBy>Oluwafemi Ogunlaja</cp:lastModifiedBy>
  <dcterms:created xsi:type="dcterms:W3CDTF">2025-03-21T08:39:21Z</dcterms:created>
  <dcterms:modified xsi:type="dcterms:W3CDTF">2025-03-21T10:44:10Z</dcterms:modified>
</cp:coreProperties>
</file>