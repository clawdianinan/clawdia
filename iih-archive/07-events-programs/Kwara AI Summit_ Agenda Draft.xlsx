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ming" sheetId="1" r:id="rId4"/>
    <sheet state="visible" name="Possible Speakers" sheetId="2" r:id="rId5"/>
    <sheet state="hidden" name="Sample Topics" sheetId="3" r:id="rId6"/>
    <sheet state="hidden" name="rough" sheetId="4" r:id="rId7"/>
    <sheet state="visible" name="Topic Dump" sheetId="5" r:id="rId8"/>
    <sheet state="visible" name="Things to Print" sheetId="6" r:id="rId9"/>
  </sheets>
  <definedNames/>
  <calcPr/>
</workbook>
</file>

<file path=xl/sharedStrings.xml><?xml version="1.0" encoding="utf-8"?>
<sst xmlns="http://schemas.openxmlformats.org/spreadsheetml/2006/main" count="352" uniqueCount="299">
  <si>
    <t>DAY 1</t>
  </si>
  <si>
    <t>SEGMENT</t>
  </si>
  <si>
    <t>START</t>
  </si>
  <si>
    <t>END</t>
  </si>
  <si>
    <t>DURATION (MINS)</t>
  </si>
  <si>
    <t>PROGRAMMING</t>
  </si>
  <si>
    <t>Arrival of guests and Check-in Starts</t>
  </si>
  <si>
    <t>MORNING</t>
  </si>
  <si>
    <t>MC welcome, Introduction &amp; Program Run Down
[Context setting]</t>
  </si>
  <si>
    <r>
      <rPr>
        <rFont val="Roboto"/>
        <color rgb="FFFFFFFF"/>
      </rPr>
      <t xml:space="preserve">Governors Address
</t>
    </r>
    <r>
      <rPr>
        <rFont val="Roboto"/>
        <b/>
        <color rgb="FFFFFFFF"/>
      </rPr>
      <t>Governor AbdulRahman AbdulRazaq</t>
    </r>
  </si>
  <si>
    <r>
      <rPr>
        <rFont val="Roboto"/>
        <color rgb="FFFFFFFF"/>
      </rPr>
      <t xml:space="preserve">Ministers Address
</t>
    </r>
    <r>
      <rPr>
        <rFont val="Roboto"/>
        <b/>
        <color rgb="FFFFFFFF"/>
      </rPr>
      <t>Dr. 'Bosun Tijani</t>
    </r>
  </si>
  <si>
    <t>Keynote Topic: TBD
Uzoma Dozie-- CEO, Sparkle
Ayotunde (Tunde) Coker - Open Access Data Centres
Karl Toriola - CEO, MTN, Nigeria</t>
  </si>
  <si>
    <t>TEA BREAK
&lt;Sitting&gt;</t>
  </si>
  <si>
    <r>
      <rPr>
        <rFont val="Roboto"/>
        <color rgb="FFFFFFFF"/>
      </rPr>
      <t xml:space="preserve">Making AI Work: Policy, Infrastructure, and Technology
</t>
    </r>
    <r>
      <rPr>
        <rFont val="Roboto"/>
        <b/>
        <color rgb="FFFFFFFF"/>
      </rPr>
      <t>Names, Names, Names</t>
    </r>
  </si>
  <si>
    <t>Hackathon Kickoff</t>
  </si>
  <si>
    <t>Transition to Breakouts</t>
  </si>
  <si>
    <t>Business Roundtable
With
The Governor</t>
  </si>
  <si>
    <t>eGovernment Track</t>
  </si>
  <si>
    <t>CoreAI Track</t>
  </si>
  <si>
    <t>EARLY AFTERNOON</t>
  </si>
  <si>
    <r>
      <rPr>
        <rFont val="Roboto"/>
        <color rgb="FFFFFFFF"/>
      </rPr>
      <t xml:space="preserve">Upskilling Kwara's Civil Service for the Future
</t>
    </r>
    <r>
      <rPr>
        <rFont val="Roboto"/>
        <b/>
        <color rgb="FFFFFFFF"/>
      </rPr>
      <t>NAMES</t>
    </r>
  </si>
  <si>
    <r>
      <rPr>
        <rFont val="Roboto"/>
        <color rgb="FFFFFFFF"/>
      </rPr>
      <t xml:space="preserve">Prompt Engineering Mastery: Beyond Basic ChatGPT
</t>
    </r>
    <r>
      <rPr>
        <rFont val="Roboto"/>
        <b/>
        <color rgb="FFFFFFFF"/>
      </rPr>
      <t>NAMES</t>
    </r>
  </si>
  <si>
    <t>Transition</t>
  </si>
  <si>
    <r>
      <rPr>
        <rFont val="Roboto"/>
        <color rgb="FFFFFFFF"/>
      </rPr>
      <t xml:space="preserve">Crafting eGovernment Policies That Attract Capital and Build Trust
</t>
    </r>
    <r>
      <rPr>
        <rFont val="Roboto"/>
        <b/>
        <color rgb="FFFFFFFF"/>
      </rPr>
      <t>NAMES</t>
    </r>
  </si>
  <si>
    <r>
      <rPr>
        <rFont val="Roboto"/>
        <color rgb="FFFFFFFF"/>
      </rPr>
      <t xml:space="preserve">Generative AI in Action: From Vibe Coding to Animation
</t>
    </r>
    <r>
      <rPr>
        <rFont val="Roboto"/>
        <b/>
        <color rgb="FFFFFFFF"/>
      </rPr>
      <t>NAMES</t>
    </r>
  </si>
  <si>
    <t>LUNCH</t>
  </si>
  <si>
    <t>LATE AFTERNOON</t>
  </si>
  <si>
    <r>
      <rPr>
        <rFont val="Roboto"/>
        <color rgb="FFFFFFFF"/>
      </rPr>
      <t xml:space="preserve">Manual to Automation in Public Administration
</t>
    </r>
    <r>
      <rPr>
        <rFont val="Roboto"/>
        <b/>
        <color rgb="FFFFFFFF"/>
      </rPr>
      <t>NAMES</t>
    </r>
  </si>
  <si>
    <r>
      <rPr>
        <rFont val="Roboto"/>
        <color rgb="FFFFFFFF"/>
      </rPr>
      <t xml:space="preserve">The LLM Gap: Why Africa Needs Its Own Foundation Models
</t>
    </r>
    <r>
      <rPr>
        <rFont val="Roboto"/>
        <b/>
        <color rgb="FFFFFFFF"/>
      </rPr>
      <t>NAMES</t>
    </r>
  </si>
  <si>
    <r>
      <rPr>
        <rFont val="Roboto"/>
        <color rgb="FFFFFFFF"/>
      </rPr>
      <t xml:space="preserve">Building Apps for The Government
</t>
    </r>
    <r>
      <rPr>
        <rFont val="Roboto"/>
        <b/>
        <color rgb="FFFFFFFF"/>
      </rPr>
      <t>NAME</t>
    </r>
  </si>
  <si>
    <r>
      <rPr>
        <rFont val="Roboto"/>
        <color rgb="FFFFFFFF"/>
      </rPr>
      <t xml:space="preserve">AI Agents: From Chatbots to Real Assistants
</t>
    </r>
    <r>
      <rPr>
        <rFont val="Roboto"/>
        <b/>
        <color rgb="FFFFFFFF"/>
      </rPr>
      <t>NAMES</t>
    </r>
  </si>
  <si>
    <t>Transition to Main Hall</t>
  </si>
  <si>
    <t>Startup: Top 4 Pitch &amp; Judge</t>
  </si>
  <si>
    <t>Closing Remarks</t>
  </si>
  <si>
    <t>(Onto VIP Dinner)</t>
  </si>
  <si>
    <t>DAY 2</t>
  </si>
  <si>
    <r>
      <rPr>
        <rFont val="Roboto"/>
        <color rgb="FFFFFFFF"/>
      </rPr>
      <t xml:space="preserve">AI by the People, for the people 
</t>
    </r>
    <r>
      <rPr>
        <rFont val="Roboto"/>
        <b/>
        <color rgb="FFFFFFFF"/>
      </rPr>
      <t>NAMES, NAMES, NAMES</t>
    </r>
  </si>
  <si>
    <t>Hackathon Conclusion:
Finalizing &amp; Judging</t>
  </si>
  <si>
    <r>
      <rPr>
        <rFont val="Roboto"/>
        <color rgb="FFFFFFFF"/>
      </rPr>
      <t xml:space="preserve">Your Future Job Doesn't Exist Yet
</t>
    </r>
    <r>
      <rPr>
        <rFont val="Roboto"/>
        <b/>
        <color rgb="FFFFFFFF"/>
      </rPr>
      <t>Francis Sani, Names</t>
    </r>
  </si>
  <si>
    <t>Policy Roundtable</t>
  </si>
  <si>
    <t>AgriTech Track</t>
  </si>
  <si>
    <t>Creative Economy Track</t>
  </si>
  <si>
    <t>Crafting the 'AI Chapter' for the Kwara Startup Act</t>
  </si>
  <si>
    <r>
      <rPr>
        <rFont val="Roboto"/>
        <color rgb="FFFFFFFF"/>
      </rPr>
      <t xml:space="preserve">Tech in Agriculture: From Farm Data to Smarter Yields
</t>
    </r>
    <r>
      <rPr>
        <rFont val="Roboto"/>
        <b/>
        <color rgb="FFFFFFFF"/>
      </rPr>
      <t>NAMES</t>
    </r>
  </si>
  <si>
    <r>
      <rPr>
        <rFont val="Roboto"/>
        <color rgb="FFFFFFFF"/>
      </rPr>
      <t xml:space="preserve">The Nollywood AI Lab: From Script to Screen
</t>
    </r>
    <r>
      <rPr>
        <rFont val="Roboto"/>
        <b/>
        <color rgb="FFFFFFFF"/>
      </rPr>
      <t>NAMES</t>
    </r>
  </si>
  <si>
    <r>
      <rPr>
        <rFont val="Roboto"/>
        <color rgb="FFFFFFFF"/>
      </rPr>
      <t xml:space="preserve">De-Risking AgriTech: Unlocking Local &amp; Diaspora Capital
</t>
    </r>
    <r>
      <rPr>
        <rFont val="Roboto"/>
        <b/>
        <color rgb="FFFFFFFF"/>
      </rPr>
      <t>NAMES</t>
    </r>
  </si>
  <si>
    <r>
      <rPr>
        <rFont val="Roboto"/>
        <color rgb="FFFFFFFF"/>
      </rPr>
      <t xml:space="preserve">Building Sustainable Tech-Powered Creative Businesses
</t>
    </r>
    <r>
      <rPr>
        <rFont val="Roboto"/>
        <b/>
        <color rgb="FFFFFFFF"/>
      </rPr>
      <t>NAMES</t>
    </r>
  </si>
  <si>
    <r>
      <rPr>
        <rFont val="Roboto"/>
        <color rgb="FFFFFFFF"/>
      </rPr>
      <t xml:space="preserve">AI in the Field: Real Results, Real Impact
</t>
    </r>
    <r>
      <rPr>
        <rFont val="Roboto"/>
        <b/>
        <color rgb="FFFFFFFF"/>
      </rPr>
      <t>NAMES</t>
    </r>
  </si>
  <si>
    <r>
      <rPr>
        <rFont val="Roboto"/>
        <color rgb="FFFFFFFF"/>
      </rPr>
      <t xml:space="preserve">Tools for Brands, Creators &amp; Studios
</t>
    </r>
    <r>
      <rPr>
        <rFont val="Roboto"/>
        <b/>
        <color rgb="FFFFFFFF"/>
      </rPr>
      <t>NAMES</t>
    </r>
  </si>
  <si>
    <r>
      <rPr>
        <rFont val="Roboto"/>
        <color rgb="FFFFFFFF"/>
      </rPr>
      <t xml:space="preserve">The Hard Path to Scaling an Agritech Startup
</t>
    </r>
    <r>
      <rPr>
        <rFont val="Roboto"/>
        <b/>
        <color rgb="FFFFFFFF"/>
      </rPr>
      <t>NAME</t>
    </r>
  </si>
  <si>
    <r>
      <rPr>
        <rFont val="Roboto"/>
        <color rgb="FFFFFFFF"/>
      </rPr>
      <t xml:space="preserve">Creative Coding: Becoming an AI Engineer for the Arts
</t>
    </r>
    <r>
      <rPr>
        <rFont val="Roboto"/>
        <b/>
        <color rgb="FFFFFFFF"/>
      </rPr>
      <t>NAMES</t>
    </r>
  </si>
  <si>
    <t>Hackathon Winners Demo &amp; Announcement</t>
  </si>
  <si>
    <t>Kwara AI Framework Announcement</t>
  </si>
  <si>
    <t>Closing Remarks &amp; Appreciation</t>
  </si>
  <si>
    <t>Unveiling the new Kwara State Website</t>
  </si>
  <si>
    <t>Category</t>
  </si>
  <si>
    <t>Suggested Topic</t>
  </si>
  <si>
    <t>Name</t>
  </si>
  <si>
    <t>Why</t>
  </si>
  <si>
    <t>Special Guest Keynote</t>
  </si>
  <si>
    <t>Uzoma Dozie</t>
  </si>
  <si>
    <t>CEO of Sparkle Bank (Nigeria). A veteran banker and fintech leader who has driven digital finance initiatives in Nigeria</t>
  </si>
  <si>
    <t>Ayotunde (Tunde) Coker</t>
  </si>
  <si>
    <t>CEO of Open Access Data Centres (Nigeria). Data-center pioneer with 30+ years’ industry experience, former MD/CEO of Rack Centre, and African data infrastructure advocate</t>
  </si>
  <si>
    <t>Karl Toriola</t>
  </si>
  <si>
    <t>CEO of MTN Nigeria. Leading telecom executive overseeing Nigeria’s largest mobile network</t>
  </si>
  <si>
    <t>General Panel Sessions</t>
  </si>
  <si>
    <t>Making AI Work: Policy, Infrastructure, and Technology</t>
  </si>
  <si>
    <t>Dr. 'Bosun Tijani</t>
  </si>
  <si>
    <t>Nigeria’s Minister of Communications &amp; Digital Economy, who has called for coordinated African AI infrastructure, local data ecosystems and governance</t>
  </si>
  <si>
    <t>Kashifu Inuwa Abdullahi</t>
  </si>
  <si>
    <t>Director-General of Nigeria’s National Information Technology Development Agency (NITDA), emphasized shared infrastructure and African-led AI development at recent tech</t>
  </si>
  <si>
    <t>Big Tech (International)</t>
  </si>
  <si>
    <t>Founder/CEO Tech (Local)</t>
  </si>
  <si>
    <t>AI by the People, for the People</t>
  </si>
  <si>
    <t>Ndidi Nwuneli</t>
  </si>
  <si>
    <t>Social Entrepreneur &amp; Impact Investor (Nigeria). Founder of LEAP Africa and AACE Foods, expert in scaling community-led solutions and designing inclusive, market-driven programs that reach underserved populations.</t>
  </si>
  <si>
    <t>Iyinoluwa “E” Aboyeji</t>
  </si>
  <si>
    <t>Serial founder and investor. Deep experience building tech platforms that scale access to jobs, capital and services.</t>
  </si>
  <si>
    <t>Your Future Job Doesn’t Exist Yet</t>
  </si>
  <si>
    <t>Francis Sani</t>
  </si>
  <si>
    <t>Programme Director, 3MTT, leads Nigeria’s flagship digital skills initiative, driving nationwide training in AI, software, and emerging technologies.</t>
  </si>
  <si>
    <t>KWASU Director, AI Center</t>
  </si>
  <si>
    <t>Big Tech CEO/HR Manager/ EduTech</t>
  </si>
  <si>
    <t>Upskilling Kwara’s Civil Service for the Future</t>
  </si>
  <si>
    <t>Adewolu Adene</t>
  </si>
  <si>
    <t>Head of Government Affairs &amp; Public Policy, Google West Africa. Involved in Nigeria’s civil service AI training initiative</t>
  </si>
  <si>
    <t>Dr. Gabriel Akinremi</t>
  </si>
  <si>
    <t>Digital transformation specialist (Nigeria). Co-led UNESCO’s AI/digital governance training for civil servants</t>
  </si>
  <si>
    <t>Dr. Raymond Onuoha</t>
  </si>
  <si>
    <t>ICT expert and trainer (Nigeria). Worked with UNESCO on digital projects management and public service design for civil service modernization</t>
  </si>
  <si>
    <t>Crafting eGovernment Policies That Attract Capital and Build Trust</t>
  </si>
  <si>
    <t>Omobola Johnson</t>
  </si>
  <si>
    <t>Former Nigerian Minister of Communication Technology and current tech investoren.wikipedia.org. Spearheaded Nigeria’s early broadband and e-government policies and now advises on digital economy development.</t>
  </si>
  <si>
    <t>Segun Okuneye</t>
  </si>
  <si>
    <t>Technology executive (Nigeria). Deputy Director at ipNX, he advocates heavy investment in fiber and digital networks to enable efficient, citizen-centric e-governmenttechcabal.com.</t>
  </si>
  <si>
    <t>(As above) Emphasized the need for trusted digital services and recently launched Nigeria’s Digital Trustmark to boost confidence in online government services</t>
  </si>
  <si>
    <t>Manual to Automation in Public Administration</t>
  </si>
  <si>
    <t>Wumi Oghoetuoma</t>
  </si>
  <si>
    <t>Director of Nigeria’s “1Gov Cloud” initiative. Leads the national program to create a paperless, cloud-based platform for streamlined government</t>
  </si>
  <si>
    <t>Aristotle Onumo</t>
  </si>
  <si>
    <t xml:space="preserve">Director at NITDA (Nigeria). Working with the Federal Civil Service Commission to implement mandatory digital skills and e-governance tools for public </t>
  </si>
  <si>
    <t>Zoho Representative</t>
  </si>
  <si>
    <t>Gbenga Sesan</t>
  </si>
  <si>
    <t>Executive Director of Paradigm Initiative (Nigeria). Digital inclusion advocate who can speak to the impact of automation on transparency and citizen engagement.</t>
  </si>
  <si>
    <t>Building Apps for The Government</t>
  </si>
  <si>
    <t>Bisoye Coker-Odusote</t>
  </si>
  <si>
    <t xml:space="preserve">DG/CEO of Nigeria’s National Identity Management Commission (NIMC). Oversees the NINAuth digital identity app and other e-government </t>
  </si>
  <si>
    <t>Kayode Adegoke</t>
  </si>
  <si>
    <t>Head of Corporate Communications, NIMC. Helped launch the NINAuth app to enable secure government identity verification on mobile</t>
  </si>
  <si>
    <t>Oluseun Onigbinde</t>
  </si>
  <si>
    <t>Co-founder &amp; Global Director, BudgIT (Nigeria). Civic technologist advancing fiscal transparency and data-driven governance across Africa; recognized for transforming how citizens engage with public budgets and policy.</t>
  </si>
  <si>
    <t>GovTech Founder</t>
  </si>
  <si>
    <t>Core AI Track</t>
  </si>
  <si>
    <t>Prompt Engineering Mastery: Beyond Basic ChatGPT</t>
  </si>
  <si>
    <t>Alicia Lyttle</t>
  </si>
  <si>
    <t>CEO, Monetized Marketing LLC (Jamaica/USA). Digital entrepreneur and global trainer helping African and Caribbean professionals monetize AI tools and digital skills for global income generation.</t>
  </si>
  <si>
    <t>Andrew Ng</t>
  </si>
  <si>
    <t>(International) Renowned AI researcher and educator, founder of Coursera and DeepLearning.AI, often cited for expert perspectives on applied AI.</t>
  </si>
  <si>
    <t>Generative AI in Action: From Vibe Coding to Animation</t>
  </si>
  <si>
    <t>Victor Adewumi</t>
  </si>
  <si>
    <t>Head of IT at Kimpact Development Initiative (Nigeria). Vibe coder for low-code AI development, empowering NGOs with AI</t>
  </si>
  <si>
    <t>Malik Afegbua</t>
  </si>
  <si>
    <t>Nigerian filmmaker and digital artist. Uses AI to create visual art and has exhibited AI-generated works combining culture and technology</t>
  </si>
  <si>
    <t>The LLM Gap: Why Africa Needs Its Own Foundation Models</t>
  </si>
  <si>
    <t>Silas Adekunle</t>
  </si>
  <si>
    <t>Nigerian-British robotics entrepreneur (CEO of Awarri). Co-led Nigeria’s N-ATLAS project to develop open-source multilingual LLMs for African</t>
  </si>
  <si>
    <t>Dr. Bosun Tijani</t>
  </si>
  <si>
    <t>(As above) Minister who has urged significant R&amp;D funding into local languages and AI to avoid dependency on foreign</t>
  </si>
  <si>
    <t>Dr. Seydina Moussa Ndiaye</t>
  </si>
  <si>
    <t>(International) AI Policy Advisor, African Union (Senegal). Continental expert on AI governance and ethics, helping shape Africa’s unified approach to AI policy, data sovereignty, and cross-border innovation frameworks.</t>
  </si>
  <si>
    <t>Bayo (Olubayo) Adekanmbi</t>
  </si>
  <si>
    <t>Founder, Data Science Nigeria / CEO, DSN AI Hub; One of Africa’s foremost AI evangelists, driving AI education, ethics, and local model development; architect of the DSN national AI talent pipeline.</t>
  </si>
  <si>
    <t>AI Agents: From Chatbots to Real Assistants</t>
  </si>
  <si>
    <t>Oreoluwa Olaitan</t>
  </si>
  <si>
    <t>AI Researcher &amp; Responsible AI Fellow, Lagos (Nigeria). Emerging AI ethicist and researcher exploring fairness, bias mitigation, and inclusive data practices in African AI systems.</t>
  </si>
  <si>
    <t>Senior Engineer</t>
  </si>
  <si>
    <t>Tech in Agriculture: From Farm Data to Smarter Yields</t>
  </si>
  <si>
    <t>Dr. Stephen Obe</t>
  </si>
  <si>
    <t>Founder of Evet (Nigeria). Created an AI tool that diagnoses livestock diseases via mobile photo uploads, integrating local languages</t>
  </si>
  <si>
    <t>Nyifamu Manzo</t>
  </si>
  <si>
    <t>Founder of Farmatrix (Nigeria). Deploys IoT sensors and data analytics for smallholder farms to boost productivity</t>
  </si>
  <si>
    <t>Kola Masha</t>
  </si>
  <si>
    <t>Managing Director of Babban Gona (Nigeria). Led one of the continent’s largest tech-enabled farming co-ops, focusing on scalable agriculture models</t>
  </si>
  <si>
    <t>De-Risking AgriTech: Unlocking Local &amp; Diaspora Capital</t>
  </si>
  <si>
    <t>Mohamed Okasha</t>
  </si>
  <si>
    <t>Managing Partner at DisrupTech Ventures (Egypt). Early investor in Nigerian agritech (led funding for Winich) and advocates diaspora venture capital into African agriculture</t>
  </si>
  <si>
    <t>Partner at Sahel Capital</t>
  </si>
  <si>
    <t>AI in the Field: Real Results, Real Impact</t>
  </si>
  <si>
    <t>Dr. Ebunoluwa (Ebun) Akinremi</t>
  </si>
  <si>
    <t>Agronomist and AI researcher (Nigeria). Works on machine-learning models for crop yield prediction and soil mapping.</t>
  </si>
  <si>
    <t>Dr. Olusola Ayoola</t>
  </si>
  <si>
    <t>Founder, Robotics and Artificial Intelligence Nigeria (RAIN). Pioneering engineer advancing AI and robotics for national security, precision agriculture, and sustainability, with several indigenous technology patents.</t>
  </si>
  <si>
    <t>Ikenna Nzewi</t>
  </si>
  <si>
    <t>Co-founder of Releaf (Nigeria). Scaled an agri-hardware startup (palm-oil production) through Y Combinator and global investment</t>
  </si>
  <si>
    <t>Hard Path to Scaling an Agritech Startup</t>
  </si>
  <si>
    <t>Onyeka Akumah</t>
  </si>
  <si>
    <t>Co-founder of Farmcrowdy (Nigeria).</t>
  </si>
  <si>
    <t>AgriTech Innovator ()</t>
  </si>
  <si>
    <t>The Nollywood AI Lab: From Script to Screen</t>
  </si>
  <si>
    <t>Toyosi Akerele-Ogunsiji</t>
  </si>
  <si>
    <t>Executive Producer of Makemation (Nigeria’s first AI-themed film) and development expert, highlighting AI’s cultural impact</t>
  </si>
  <si>
    <t>Nollywood Actor</t>
  </si>
  <si>
    <t>The Actor Bola suggested</t>
  </si>
  <si>
    <t>Building Sustainable Tech-Powered Creative Businesses</t>
  </si>
  <si>
    <t>Jane Egerton-Idehen</t>
  </si>
  <si>
    <t>MD/CEO of NigComSat and founder of Women and Career (Nigeria). Spearheads tech innovation policies, bridging government and creative industries</t>
  </si>
  <si>
    <t>Prominent Tech Creative</t>
  </si>
  <si>
    <t>Tools for Brands, Creators &amp; Studios</t>
  </si>
  <si>
    <t>(Also above) AI-driven visual artist (Nigeria) pushing new tools for digital creativity</t>
  </si>
  <si>
    <t>Nkasiobi Chukwu</t>
  </si>
  <si>
    <t>Nigerian music producer. Created a nine-track Afrobeats album using AI in just three days, exemplifying new brand/tool workflows</t>
  </si>
  <si>
    <t>Creative Coding: Becoming an AI Engineer for the Arts</t>
  </si>
  <si>
    <t>Dr. Ben Onuorah</t>
  </si>
  <si>
    <t>Fine Artist &amp; AI Researcher (Nigeria)
Interdisciplinary artist exploring the intersection of art, data, and artificial intelligence — known for pioneering works that merge creative expression with emerging technologies.</t>
  </si>
  <si>
    <t>...</t>
  </si>
  <si>
    <t>Track A: eGovernment</t>
  </si>
  <si>
    <t>Pillar</t>
  </si>
  <si>
    <t>Session Type</t>
  </si>
  <si>
    <t>Title</t>
  </si>
  <si>
    <t>Description</t>
  </si>
  <si>
    <t>Pillar 1: Infrastructure</t>
  </si>
  <si>
    <t>Panel Session</t>
  </si>
  <si>
    <t>Building Kwara’s ‘GovCloud’: A Secure, Centralized Data Platform for All MDAs</t>
  </si>
  <si>
    <t>Addressing the critical need to break down data silos between ministries and create a unified, secure infrastructure for AI-driven governance.</t>
  </si>
  <si>
    <t>Fireside Chat</t>
  </si>
  <si>
    <t>The First 100 Days: Launching a State-Wide Citizen Digital ID System</t>
  </si>
  <si>
    <t>A project lead from a state that has done it shares the technical blueprint, public communication strategy, and early wins.</t>
  </si>
  <si>
    <t>Pillar 2: Human Capital &amp; Education</t>
  </si>
  <si>
    <t>Retraining the Bureaucracy: Creating an AI-Ready Civil Service in Kwara</t>
  </si>
  <si>
    <t>A practical discussion on overhauling training modules and incentives to get civil servants to adopt and trust AI tools.</t>
  </si>
  <si>
    <t>Changing the ‘File-and-Cabinet’ Culture: How We Got Our Ministry to Use an AI Dashboard</t>
  </si>
  <si>
    <t>A Director-General shares the change management story of driving tech adoption within a traditional government department.</t>
  </si>
  <si>
    <t>Pillar 3: Governance &amp; Investment Policy</t>
  </si>
  <si>
    <t>The Ethical Algorithm: Drafting Kwara’s Policy for Bias-Free AI in Public Services</t>
  </si>
  <si>
    <t>An urgent dialogue on creating guardrails against algorithmic bias in areas like welfare distribution and procurement to ensure fairness.</t>
  </si>
  <si>
    <t>The GovTech Procurement Maze: Simplifying How Startups Can Sell to Government</t>
  </si>
  <si>
    <t>A Head of Procurement and a civic tech founder discuss streamlining tender processes to get the best AI solutions to the government faster.</t>
  </si>
  <si>
    <t>Pillar 4: Technology &amp; Digital Transformation</t>
  </si>
  <si>
    <t>AI for Leakage: Deploying Smart Systems to Track and Curb Public Finance Waste</t>
  </si>
  <si>
    <t>A deep dive into real deployments of AI in payroll, procurement, and project tracking to automatically detect anomalies and save public funds.</t>
  </si>
  <si>
    <t>We Built an AI Chatbot that Handles 80% of Citizen Complaints. Here’s How.</t>
  </si>
  <si>
    <t>A CTO details the development process, integration with legacy systems, and the dramatic reduction in wait times for citizens.</t>
  </si>
  <si>
    <t>Pillar 5: Entrepreneurship &amp; SME Growth</t>
  </si>
  <si>
    <t>The Government as First Customer: Creating a Viable Pipeline for Civic Tech Startups</t>
  </si>
  <si>
    <t>Government officials and startup founders outline a concrete model for pilot projects, outcome-based contracts, and scaling successful solutions.</t>
  </si>
  <si>
    <t>From Hackathon to Hallway: Getting a Pilot Project Actually Deployed in a Ministry</t>
  </si>
  <si>
    <t>A hackathon winner recounts the 12-month journey of navigating bureaucracy to turn a winning prototype into a live, budgeted government tool.</t>
  </si>
  <si>
    <t>Track B: Agritech</t>
  </si>
  <si>
    <t>Beyond Generators: Powering AI and Cold Storage for Rural Agro-Processing</t>
  </si>
  <si>
    <t>Addressing the lack of reliable electricity for running AI-driven sensors, data centers, and critical cold chain storage in agricultural zones.</t>
  </si>
  <si>
    <t>The Business Case for Rural Broadband: Connecting Kwara’s Farmers to Real-Time Data</t>
  </si>
  <si>
    <t>A candid talk with a telecoms executive on the ROI of expanding high-speed internet to farm clusters to enable precision agriculture.</t>
  </si>
  <si>
    <t>From Hoe to Handset: Upskilling Kwara’s Farming Generation for AI</t>
  </si>
  <si>
    <t>Tackling the practical challenge of training farmers with low digital literacy to use mobile-based AI tools for weather, pests, and market prices.</t>
  </si>
  <si>
    <t>We Trained 1,000 Farmers on a New App: Here’s What Actually Worked</t>
  </si>
  <si>
    <t>An Agritech startup CEO shares the on-ground realities of user adoption, training design, and measuring impact.</t>
  </si>
  <si>
    <t>Unlocking Billions: De-risking Agritech Investment for Local and Diaspora Capital</t>
  </si>
  <si>
    <t>Exploring specific policy instruments like agricultural insurance guarantees and tax breaks that can make agritech startups bankable.</t>
  </si>
  <si>
    <t>My Land, Your Data: Who Owns the Farm Data Collected by Drones and Sensors?</t>
  </si>
  <si>
    <t>A policy expert and a farmers' association leader debate data ownership, privacy, and creating a fair data economy for agriculture.</t>
  </si>
  <si>
    <t>AI in the Field: Real Results from Nigerian Soil Testing and Yield Prediction Models</t>
  </si>
  <si>
    <t>Practitioners from successful agritech firms break down the accuracy, costs, and tangible yield improvements from deploying these technologies.</t>
  </si>
  <si>
    <t>Building a Shea Butter Supply Chain You Can Track on Your Phone</t>
  </si>
  <si>
    <t>A founder discusses the technical and logistical challenges of creating a transparent, AI-powered traceability system from farm to export.</t>
  </si>
  <si>
    <t>Beyond Ideation: The Hard Path to Scaling an Agritech Startup from Kwara</t>
  </si>
  <si>
    <t>Founders who have scaled discuss the real hurdles: talent acquisition, customer acquisition costs, and navigating logistics.</t>
  </si>
  <si>
    <t>Why I Invested in a Kwara-Based Agritech Startup</t>
  </si>
  <si>
    <t>An angel investor explains the specific metrics, team qualities, and market opportunity that convinced them to write a check.</t>
  </si>
  <si>
    <t>POLICY ROUNDTABLES</t>
  </si>
  <si>
    <t>Infrastructure</t>
  </si>
  <si>
    <r>
      <rPr>
        <rFont val="Arial"/>
        <b/>
        <color theme="1"/>
        <sz val="11.0"/>
      </rPr>
      <t xml:space="preserve">Topic: </t>
    </r>
    <r>
      <rPr>
        <rFont val="Arial"/>
        <color theme="1"/>
        <sz val="11.0"/>
      </rPr>
      <t xml:space="preserve">
"The 12-Month Blueprint: A Coordinated Action Plan for Reliable Energy &amp; Digital Connectivity."
</t>
    </r>
    <r>
      <rPr>
        <rFont val="Arial"/>
        <b/>
        <color theme="1"/>
        <sz val="11.0"/>
      </rPr>
      <t xml:space="preserve">Goal: </t>
    </r>
    <r>
      <rPr>
        <rFont val="Arial"/>
        <color theme="1"/>
        <sz val="11.0"/>
      </rPr>
      <t xml:space="preserve">
Produce a phased implementation plan for a pilot tech zone.</t>
    </r>
  </si>
  <si>
    <t>Human Capital &amp; Education</t>
  </si>
  <si>
    <r>
      <rPr>
        <rFont val="Arial"/>
        <b/>
        <color theme="1"/>
        <sz val="11.0"/>
      </rPr>
      <t>Topic:</t>
    </r>
    <r>
      <rPr>
        <rFont val="Arial"/>
        <color theme="1"/>
        <sz val="11.0"/>
      </rPr>
      <t xml:space="preserve"> 
"The Industry-Aligned Curriculum: Bridging the AI Skills Gap from Classroom to Career."
</t>
    </r>
    <r>
      <rPr>
        <rFont val="Arial"/>
        <b/>
        <color theme="1"/>
        <sz val="11.0"/>
      </rPr>
      <t>Goal:</t>
    </r>
    <r>
      <rPr>
        <rFont val="Arial"/>
        <color theme="1"/>
        <sz val="11.0"/>
      </rPr>
      <t xml:space="preserve"> 
Define the core competencies and launch a model for a Kwara AI Fellowship program.
</t>
    </r>
  </si>
  <si>
    <t>Governance &amp; Investment Policy</t>
  </si>
  <si>
    <r>
      <rPr>
        <rFont val="Arial"/>
        <b/>
        <color theme="1"/>
        <sz val="11.0"/>
      </rPr>
      <t>Topic:</t>
    </r>
    <r>
      <rPr>
        <rFont val="Arial"/>
        <color theme="1"/>
        <sz val="11.0"/>
      </rPr>
      <t xml:space="preserve"> 
"Crafting the 'AI Chapter' for the Kwara Startup Act: Incentives, Ethics, and Sandboxes."
</t>
    </r>
    <r>
      <rPr>
        <rFont val="Arial"/>
        <b/>
        <color theme="1"/>
        <sz val="11.0"/>
      </rPr>
      <t xml:space="preserve">Goal: 
</t>
    </r>
    <r>
      <rPr>
        <rFont val="Arial"/>
        <color theme="1"/>
        <sz val="11.0"/>
      </rPr>
      <t>Draft the specific policy clauses to be integrated into legislation.</t>
    </r>
  </si>
  <si>
    <t>Technology &amp; Digital Transformation</t>
  </si>
  <si>
    <r>
      <rPr>
        <rFont val="Arial"/>
        <b/>
        <color theme="1"/>
        <sz val="11.0"/>
      </rPr>
      <t xml:space="preserve">Topic: 
</t>
    </r>
    <r>
      <rPr>
        <rFont val="Arial"/>
        <color theme="1"/>
        <sz val="11.0"/>
      </rPr>
      <t xml:space="preserve">"AI for Public Good: Launching a Pilot Project in Agriculture or Public Finance."
</t>
    </r>
    <r>
      <rPr>
        <rFont val="Arial"/>
        <b/>
        <color theme="1"/>
        <sz val="11.0"/>
      </rPr>
      <t xml:space="preserve">Goal: 
</t>
    </r>
    <r>
      <rPr>
        <rFont val="Arial"/>
        <color theme="1"/>
        <sz val="11.0"/>
      </rPr>
      <t>Select one high-impact use case and define its scope, data needs, and implementation partners.</t>
    </r>
  </si>
  <si>
    <t>Entrepreneurship &amp; SME Growth</t>
  </si>
  <si>
    <r>
      <rPr>
        <rFont val="Arial"/>
        <b/>
        <color theme="1"/>
        <sz val="11.0"/>
      </rPr>
      <t xml:space="preserve">Topic: 
</t>
    </r>
    <r>
      <rPr>
        <rFont val="Arial"/>
        <color theme="1"/>
        <sz val="11.0"/>
      </rPr>
      <t xml:space="preserve">"Beyond Lagos: Unlocking Patient Capital and Market Access for Kwara's AI Startups."
</t>
    </r>
    <r>
      <rPr>
        <rFont val="Arial"/>
        <b/>
        <color theme="1"/>
        <sz val="11.0"/>
      </rPr>
      <t xml:space="preserve">Goal: 
</t>
    </r>
    <r>
      <rPr>
        <rFont val="Arial"/>
        <color theme="1"/>
        <sz val="11.0"/>
      </rPr>
      <t xml:space="preserve">Propose concrete mechanisms for a Kwara-focused seed fund and corporate procurement pathways.
</t>
    </r>
  </si>
  <si>
    <t>The Summit Agenda: A Snapshot</t>
  </si>
  <si>
    <t>Day 1: Connect &amp; Contextualize</t>
  </si>
  <si>
    <t>Building the bridges between stakeholders</t>
  </si>
  <si>
    <t>Afternoon: Arrival and Registration at the Ilorin Innovation Hub (IIH).</t>
  </si>
  <si>
    <t>Evening: Cultural Showcase &amp; Networking Mixer – intentional connections across policy, technology, and investment communities.</t>
  </si>
  <si>
    <t>Day 2: Strategize &amp; Build</t>
  </si>
  <si>
    <t>Where policy meets possibilities, and people create solutions</t>
  </si>
  <si>
    <t>Morning:</t>
  </si>
  <si>
    <t>Opening Ceremony: Keynotes from the Governor and Federal Minister.</t>
  </si>
  <si>
    <t>General Plenary Session: "AI for Public Service Delivery: Harmonizing Technology with Citizen Needs."</t>
  </si>
  <si>
    <t>Midday - Afternoon:</t>
  </si>
  <si>
    <t>Concurrent Tracks:</t>
  </si>
  <si>
    <t>AgriTech Track: Panel sessions and Fireside Chats exploring how governance unlocks innovation.</t>
  </si>
  <si>
    <t>eGovernment Track: Masterclasses, Workshops, and Fireside Chats equipping builders with practical skills.</t>
  </si>
  <si>
    <t>Strategy Room: Policy Roundtables where regulators and innovators shape enabling frameworks together.</t>
  </si>
  <si>
    <t>Builder's Lab: AI Hackathon 2.0 Kickoff: eGovernment &amp; Agritech Tracks – developers and students building solutions to real challenges.10:15 AM</t>
  </si>
  <si>
    <t>Startup Pitches and Investor Meetings – bridging capital with innovation.</t>
  </si>
  <si>
    <t>Evening: VIP Dinner and cross-sector dialogue.</t>
  </si>
  <si>
    <t>Day 3: Demonstrate &amp; Commit</t>
  </si>
  <si>
    <t>From conversation to concrete action</t>
  </si>
  <si>
    <t>Morning: Concurrent Programming &amp; Experiences</t>
  </si>
  <si>
    <t>Conversations: Sector Deep-Dives on AI in Health, Education, and Public Finance – aligning policy with sectoral needs.</t>
  </si>
  <si>
    <t>Builder's Lab: Hackathon Demos and Incubator Sessions for shortlisted startups – showcasing what people can build when possibilities align.</t>
  </si>
  <si>
    <t>Afternoon: Closing Ceremony &amp; Commitments</t>
  </si>
  <si>
    <t>Governor's address and major announcements.</t>
  </si>
  <si>
    <t>Presentation of the "Kwara AI Framework" – a harmonized policy blueprint for state-level implementation.</t>
  </si>
  <si>
    <t>Hackathon winners announcement and solution showcase – proof of what harmony produces.</t>
  </si>
  <si>
    <t>Signing Ceremony: Partnership agreements formalizing commitments across government, private sector, academia, and investment communities.</t>
  </si>
  <si>
    <t>eGovernment Track (Day 1)</t>
  </si>
  <si>
    <t>1.  Generative Governance: Building AI Co-Pilots for Citizen Services</t>
  </si>
  <si>
    <t>2.  The Predictive State: Using AI for Proactive Public Service Maintenance</t>
  </si>
  <si>
    <t>3.  AI for Transparent Public Finance: From Procurement to Fraud Detection</t>
  </si>
  <si>
    <t>4.  The One-Stop Shop: Architecting a Unified, AI-Powered Citizen Portal for Kwara</t>
  </si>
  <si>
    <t>5.  The Ethics of Algorithmic Governance: Mitigating Bias in State AI Systems</t>
  </si>
  <si>
    <t>Core AI Track (Day 1)</t>
  </si>
  <si>
    <t>Prompt Engineering for Prosperity: Crafting Instructions that Deliver Real Value</t>
  </si>
  <si>
    <t>Why Africa Needs Culturally-Grounded AI Models</t>
  </si>
  <si>
    <t>AI Agents in Action: Automating Business Workflows from Start to Finish</t>
  </si>
  <si>
    <t>Beyond ChatGPT: The Open-Source AI Landscape and How to Use It</t>
  </si>
  <si>
    <t>From Data to Destiny: Building Your First AI-Powered Mobile App</t>
  </si>
  <si>
    <t>Agritech Track (Day 2)</t>
  </si>
  <si>
    <t>Low-Cost AI Solutions for Smallholder Farmers</t>
  </si>
  <si>
    <t>Optimizing the Shea Butter Chain: An AI Bootcamp</t>
  </si>
  <si>
    <t>AI, Land, and Policy: Creating a Data-Driven Framework for Agricultural Investment</t>
  </si>
  <si>
    <t>The AI-Powered Commodity Trade: Predicting Prices and Connecting to Global Markets</t>
  </si>
  <si>
    <t>The Agri-Drone Revolution: From Imaging to Spraying - Regulation and Implementation</t>
  </si>
  <si>
    <t>Creative Economy Track (Day 2)</t>
  </si>
  <si>
    <t>Nollywood's New Assistant: How AI is Revolutionizing Scriptwriting, Editing, and VFX</t>
  </si>
  <si>
    <t>Protecting Our Culture: AI and the Future of Intellectual Property for African Creators</t>
  </si>
  <si>
    <t>The Afrobeat Algorithm: Using AI to Analyze Hit Songs and Connect with Global Audiences</t>
  </si>
  <si>
    <t>Generative Kwara: Using AI to Promote Tourism through Art and Storytelling</t>
  </si>
  <si>
    <t>Sustaining the Creator: AI-Powered Business Models for the Independent Artist</t>
  </si>
  <si>
    <t>The 12-Month Blueprint: A Live Strategy Session on Kwara's AI Priorities</t>
  </si>
  <si>
    <t>Beyond Hype: The Real-World ROI of AI for Nigerian SMEs</t>
  </si>
  <si>
    <t>Who Owns the Future? A Citizen's Guide to Data, Privacy, and AI in Nigeria</t>
  </si>
  <si>
    <t>The Talent Equation: Building Africa's AI Workforce from Classroom to Boardroom</t>
  </si>
  <si>
    <t>Your Future Job Doesn't Exist Yet</t>
  </si>
  <si>
    <t>Programme per room</t>
  </si>
  <si>
    <t>Venue map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</si>
</sst>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25">
    <font>
      <sz val="10.0"/>
      <color rgb="FF000000"/>
      <name val="Arial"/>
      <scheme val="minor"/>
    </font>
    <font>
      <color theme="1"/>
      <name val="Arial"/>
      <scheme val="minor"/>
    </font>
    <font>
      <b/>
      <sz val="20.0"/>
      <color theme="1"/>
      <name val="Arial"/>
      <scheme val="minor"/>
    </font>
    <font>
      <b/>
      <color rgb="FFF3F3F3"/>
      <name val="Roboto"/>
    </font>
    <font/>
    <font>
      <color theme="1"/>
      <name val="Roboto"/>
    </font>
    <font>
      <color rgb="FFFFFFFF"/>
      <name val="Roboto"/>
    </font>
    <font>
      <b/>
      <color theme="1"/>
      <name val="Roboto"/>
    </font>
    <font>
      <b/>
      <color rgb="FFFFFFFF"/>
      <name val="Roboto"/>
    </font>
    <font>
      <i/>
      <color theme="1"/>
      <name val="Arial"/>
      <scheme val="minor"/>
    </font>
    <font>
      <b/>
      <color theme="1"/>
      <name val="Arial"/>
      <scheme val="minor"/>
    </font>
    <font>
      <sz val="14.0"/>
      <color theme="1"/>
      <name val="Arial"/>
      <scheme val="minor"/>
    </font>
    <font>
      <sz val="14.0"/>
      <color rgb="FFFFFFFF"/>
      <name val="Arial"/>
      <scheme val="minor"/>
    </font>
    <font>
      <b/>
      <sz val="16.0"/>
      <color theme="1"/>
      <name val="Arial"/>
      <scheme val="minor"/>
    </font>
    <font>
      <b/>
      <sz val="11.0"/>
      <color theme="1"/>
      <name val="Arial"/>
    </font>
    <font>
      <sz val="10.0"/>
      <color theme="1"/>
      <name val="Arial"/>
    </font>
    <font>
      <i/>
      <sz val="10.0"/>
      <color theme="1"/>
      <name val="Arial"/>
    </font>
    <font>
      <sz val="11.0"/>
      <color theme="1"/>
      <name val="Arial"/>
    </font>
    <font>
      <i/>
      <sz val="11.0"/>
      <color theme="1"/>
      <name val="Arial"/>
    </font>
    <font>
      <b/>
      <sz val="15.0"/>
      <color theme="1"/>
      <name val="Arial"/>
    </font>
    <font>
      <b/>
      <sz val="16.0"/>
      <color rgb="FF000000"/>
      <name val="Arial"/>
    </font>
    <font>
      <sz val="11.0"/>
      <color rgb="FF000000"/>
      <name val="Arial"/>
    </font>
    <font>
      <i/>
      <sz val="11.0"/>
      <color rgb="FF000000"/>
      <name val="Arial"/>
    </font>
    <font>
      <b/>
      <sz val="11.0"/>
      <color rgb="FF000000"/>
      <name val="Arial"/>
    </font>
    <font>
      <color rgb="FF0000FF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003B24"/>
        <bgColor rgb="FF003B24"/>
      </patternFill>
    </fill>
    <fill>
      <patternFill patternType="solid">
        <fgColor rgb="FF8A00C4"/>
        <bgColor rgb="FF8A00C4"/>
      </patternFill>
    </fill>
    <fill>
      <patternFill patternType="solid">
        <fgColor rgb="FF0ABCF2"/>
        <bgColor rgb="FF0ABCF2"/>
      </patternFill>
    </fill>
    <fill>
      <patternFill patternType="solid">
        <fgColor rgb="FFFFFFFF"/>
        <bgColor rgb="FFFFFFFF"/>
      </patternFill>
    </fill>
    <fill>
      <patternFill patternType="solid">
        <fgColor rgb="FF05D869"/>
        <bgColor rgb="FF05D869"/>
      </patternFill>
    </fill>
    <fill>
      <patternFill patternType="solid">
        <fgColor rgb="FFFF5C00"/>
        <bgColor rgb="FFFF5C00"/>
      </patternFill>
    </fill>
    <fill>
      <patternFill patternType="solid">
        <fgColor rgb="FFEFEFEF"/>
        <bgColor rgb="FFEFEFE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 readingOrder="0" shrinkToFit="0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1" fillId="2" fontId="3" numFmtId="0" xfId="0" applyAlignment="1" applyBorder="1" applyFont="1">
      <alignment horizontal="center" shrinkToFit="0" vertical="bottom" wrapText="1"/>
    </xf>
    <xf borderId="2" fillId="2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5" numFmtId="164" xfId="0" applyAlignment="1" applyBorder="1" applyFont="1" applyNumberFormat="1">
      <alignment horizontal="center" shrinkToFit="0" wrapText="1"/>
    </xf>
    <xf borderId="1" fillId="0" fontId="5" numFmtId="164" xfId="0" applyAlignment="1" applyBorder="1" applyFont="1" applyNumberFormat="1">
      <alignment horizontal="center" readingOrder="0" shrinkToFit="0" wrapText="1"/>
    </xf>
    <xf borderId="1" fillId="0" fontId="5" numFmtId="0" xfId="0" applyAlignment="1" applyBorder="1" applyFont="1">
      <alignment horizontal="center" readingOrder="0" shrinkToFit="0" wrapText="1"/>
    </xf>
    <xf borderId="2" fillId="0" fontId="5" numFmtId="0" xfId="0" applyAlignment="1" applyBorder="1" applyFont="1">
      <alignment horizontal="center" readingOrder="0" shrinkToFit="0" wrapText="1"/>
    </xf>
    <xf borderId="4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wrapText="1"/>
    </xf>
    <xf borderId="4" fillId="3" fontId="5" numFmtId="0" xfId="0" applyAlignment="1" applyBorder="1" applyFill="1" applyFont="1">
      <alignment horizontal="center" readingOrder="0" shrinkToFit="0" wrapText="1"/>
    </xf>
    <xf borderId="5" fillId="0" fontId="4" numFmtId="0" xfId="0" applyBorder="1" applyFont="1"/>
    <xf borderId="2" fillId="4" fontId="6" numFmtId="0" xfId="0" applyAlignment="1" applyBorder="1" applyFill="1" applyFont="1">
      <alignment horizontal="center" readingOrder="0" shrinkToFit="0" wrapText="1"/>
    </xf>
    <xf borderId="6" fillId="0" fontId="4" numFmtId="0" xfId="0" applyBorder="1" applyFont="1"/>
    <xf borderId="4" fillId="0" fontId="7" numFmtId="0" xfId="0" applyAlignment="1" applyBorder="1" applyFont="1">
      <alignment horizontal="center" readingOrder="0" shrinkToFit="0" vertical="center" wrapText="1"/>
    </xf>
    <xf borderId="1" fillId="3" fontId="5" numFmtId="164" xfId="0" applyAlignment="1" applyBorder="1" applyFont="1" applyNumberFormat="1">
      <alignment horizontal="center" shrinkToFit="0" wrapText="1"/>
    </xf>
    <xf borderId="2" fillId="0" fontId="5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readingOrder="0" shrinkToFit="0" vertical="center" wrapText="1"/>
    </xf>
    <xf borderId="1" fillId="5" fontId="8" numFmtId="0" xfId="0" applyAlignment="1" applyBorder="1" applyFill="1" applyFont="1">
      <alignment horizontal="center" readingOrder="0" shrinkToFit="0" vertical="center" wrapText="1"/>
    </xf>
    <xf borderId="1" fillId="6" fontId="8" numFmtId="0" xfId="0" applyAlignment="1" applyBorder="1" applyFill="1" applyFont="1">
      <alignment horizontal="center" readingOrder="0" shrinkToFit="0" vertical="center" wrapText="1"/>
    </xf>
    <xf borderId="1" fillId="5" fontId="6" numFmtId="0" xfId="0" applyAlignment="1" applyBorder="1" applyFont="1">
      <alignment horizontal="center" readingOrder="0" shrinkToFit="0" vertical="center" wrapText="1"/>
    </xf>
    <xf borderId="1" fillId="6" fontId="6" numFmtId="0" xfId="0" applyAlignment="1" applyBorder="1" applyFont="1">
      <alignment horizontal="center" readingOrder="0" shrinkToFit="0" vertical="center" wrapText="1"/>
    </xf>
    <xf borderId="2" fillId="7" fontId="5" numFmtId="0" xfId="0" applyAlignment="1" applyBorder="1" applyFill="1" applyFont="1">
      <alignment horizontal="center" shrinkToFit="0" vertical="center" wrapText="1"/>
    </xf>
    <xf borderId="4" fillId="3" fontId="7" numFmtId="0" xfId="0" applyAlignment="1" applyBorder="1" applyFont="1">
      <alignment horizontal="center" readingOrder="0" shrinkToFit="0" vertical="center" wrapText="1"/>
    </xf>
    <xf borderId="4" fillId="3" fontId="5" numFmtId="0" xfId="0" applyAlignment="1" applyBorder="1" applyFont="1">
      <alignment horizontal="center" shrinkToFit="0" wrapText="1"/>
    </xf>
    <xf borderId="2" fillId="0" fontId="9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 shrinkToFit="0" vertical="center" wrapText="1"/>
    </xf>
    <xf borderId="5" fillId="3" fontId="5" numFmtId="0" xfId="0" applyAlignment="1" applyBorder="1" applyFont="1">
      <alignment horizontal="center" readingOrder="0" shrinkToFit="0" wrapText="1"/>
    </xf>
    <xf borderId="6" fillId="0" fontId="5" numFmtId="0" xfId="0" applyAlignment="1" applyBorder="1" applyFont="1">
      <alignment horizontal="center" readingOrder="0" shrinkToFit="0" vertical="center" wrapText="1"/>
    </xf>
    <xf borderId="6" fillId="3" fontId="5" numFmtId="0" xfId="0" applyAlignment="1" applyBorder="1" applyFont="1">
      <alignment horizontal="center" readingOrder="0" shrinkToFit="0" wrapText="1"/>
    </xf>
    <xf borderId="1" fillId="8" fontId="8" numFmtId="0" xfId="0" applyAlignment="1" applyBorder="1" applyFill="1" applyFont="1">
      <alignment horizontal="center" readingOrder="0" shrinkToFit="0" vertical="center" wrapText="1"/>
    </xf>
    <xf borderId="1" fillId="9" fontId="8" numFmtId="0" xfId="0" applyAlignment="1" applyBorder="1" applyFill="1" applyFont="1">
      <alignment horizontal="center" readingOrder="0" shrinkToFit="0" vertical="center" wrapText="1"/>
    </xf>
    <xf borderId="1" fillId="8" fontId="6" numFmtId="0" xfId="0" applyAlignment="1" applyBorder="1" applyFont="1">
      <alignment horizontal="center" readingOrder="0" shrinkToFit="0" vertical="center" wrapText="1"/>
    </xf>
    <xf borderId="1" fillId="9" fontId="6" numFmtId="0" xfId="0" applyAlignment="1" applyBorder="1" applyFont="1">
      <alignment horizontal="center" readingOrder="0" shrinkToFit="0" vertical="center" wrapText="1"/>
    </xf>
    <xf borderId="1" fillId="0" fontId="1" numFmtId="0" xfId="0" applyBorder="1" applyFont="1"/>
    <xf borderId="0" fillId="0" fontId="1" numFmtId="0" xfId="0" applyAlignment="1" applyFont="1">
      <alignment readingOrder="0" shrinkToFit="0" wrapText="1"/>
    </xf>
    <xf borderId="1" fillId="10" fontId="10" numFmtId="0" xfId="0" applyAlignment="1" applyBorder="1" applyFill="1" applyFont="1">
      <alignment readingOrder="0" shrinkToFit="0" wrapText="1"/>
    </xf>
    <xf borderId="4" fillId="0" fontId="1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readingOrder="0" shrinkToFit="0" wrapText="1"/>
    </xf>
    <xf borderId="4" fillId="4" fontId="12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7" fillId="0" fontId="4" numFmtId="0" xfId="0" applyBorder="1" applyFont="1"/>
    <xf borderId="4" fillId="5" fontId="12" numFmtId="0" xfId="0" applyAlignment="1" applyBorder="1" applyFont="1">
      <alignment horizontal="center" readingOrder="0" shrinkToFit="0" vertical="center" wrapText="1"/>
    </xf>
    <xf borderId="4" fillId="6" fontId="12" numFmtId="0" xfId="0" applyAlignment="1" applyBorder="1" applyFont="1">
      <alignment horizontal="center" readingOrder="0" shrinkToFit="0" vertical="center" wrapText="1"/>
    </xf>
    <xf borderId="1" fillId="7" fontId="1" numFmtId="0" xfId="0" applyAlignment="1" applyBorder="1" applyFont="1">
      <alignment shrinkToFit="0" wrapText="1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4" fillId="8" fontId="12" numFmtId="0" xfId="0" applyAlignment="1" applyBorder="1" applyFont="1">
      <alignment horizontal="center" readingOrder="0" shrinkToFit="0" vertical="center" wrapText="1"/>
    </xf>
    <xf borderId="4" fillId="9" fontId="12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shrinkToFit="0" wrapText="1"/>
    </xf>
    <xf borderId="0" fillId="0" fontId="13" numFmtId="0" xfId="0" applyAlignment="1" applyFont="1">
      <alignment horizontal="center" readingOrder="0" shrinkToFit="0" wrapText="1"/>
    </xf>
    <xf borderId="0" fillId="0" fontId="14" numFmtId="0" xfId="0" applyAlignment="1" applyFont="1">
      <alignment horizontal="center" shrinkToFit="0" vertical="bottom" wrapText="1"/>
    </xf>
    <xf borderId="1" fillId="0" fontId="14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0" fillId="0" fontId="15" numFmtId="0" xfId="0" applyAlignment="1" applyFont="1">
      <alignment readingOrder="0" shrinkToFit="0" vertical="bottom" wrapText="1"/>
    </xf>
    <xf borderId="4" fillId="0" fontId="15" numFmtId="0" xfId="0" applyAlignment="1" applyBorder="1" applyFont="1">
      <alignment shrinkToFit="0" vertical="center" wrapText="1"/>
    </xf>
    <xf borderId="1" fillId="0" fontId="15" numFmtId="0" xfId="0" applyAlignment="1" applyBorder="1" applyFont="1">
      <alignment shrinkToFit="0" vertical="center" wrapText="1"/>
    </xf>
    <xf borderId="1" fillId="0" fontId="16" numFmtId="0" xfId="0" applyAlignment="1" applyBorder="1" applyFont="1">
      <alignment shrinkToFit="0" vertical="bottom" wrapText="1"/>
    </xf>
    <xf borderId="1" fillId="0" fontId="15" numFmtId="0" xfId="0" applyAlignment="1" applyBorder="1" applyFont="1">
      <alignment shrinkToFit="0" vertical="bottom" wrapText="1"/>
    </xf>
    <xf borderId="0" fillId="0" fontId="17" numFmtId="0" xfId="0" applyAlignment="1" applyFont="1">
      <alignment shrinkToFit="0" vertical="bottom" wrapText="1"/>
    </xf>
    <xf borderId="0" fillId="0" fontId="18" numFmtId="0" xfId="0" applyAlignment="1" applyFont="1">
      <alignment shrinkToFit="0" vertical="bottom" wrapText="1"/>
    </xf>
    <xf borderId="0" fillId="0" fontId="19" numFmtId="0" xfId="0" applyAlignment="1" applyFont="1">
      <alignment readingOrder="0" shrinkToFit="0" vertical="bottom" wrapText="1"/>
    </xf>
    <xf borderId="1" fillId="0" fontId="17" numFmtId="0" xfId="0" applyAlignment="1" applyBorder="1" applyFont="1">
      <alignment readingOrder="0" shrinkToFit="0" vertical="center" wrapText="1"/>
    </xf>
    <xf borderId="2" fillId="0" fontId="17" numFmtId="0" xfId="0" applyAlignment="1" applyBorder="1" applyFont="1">
      <alignment readingOrder="0" shrinkToFit="0" vertical="center" wrapText="1"/>
    </xf>
    <xf borderId="0" fillId="0" fontId="20" numFmtId="0" xfId="0" applyAlignment="1" applyFont="1">
      <alignment readingOrder="0"/>
    </xf>
    <xf borderId="0" fillId="0" fontId="20" numFmtId="0" xfId="0" applyFont="1"/>
    <xf borderId="0" fillId="0" fontId="21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22" numFmtId="0" xfId="0" applyFont="1"/>
    <xf borderId="0" fillId="0" fontId="21" numFmtId="0" xfId="0" applyFont="1"/>
    <xf borderId="0" fillId="0" fontId="23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0" numFmtId="0" xfId="0" applyAlignment="1" applyFont="1">
      <alignment readingOrder="0" shrinkToFit="0" wrapText="1"/>
    </xf>
    <xf borderId="0" fillId="0" fontId="24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8.88"/>
    <col customWidth="1" min="7" max="7" width="22.75"/>
    <col customWidth="1" min="8" max="10" width="23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1"/>
      <c r="C2" s="1"/>
      <c r="D2" s="1"/>
      <c r="E2" s="1"/>
      <c r="F2" s="1"/>
      <c r="G2" s="2" t="s">
        <v>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"/>
      <c r="B4" s="1"/>
      <c r="C4" s="3" t="s">
        <v>1</v>
      </c>
      <c r="D4" s="4" t="s">
        <v>2</v>
      </c>
      <c r="E4" s="4" t="s">
        <v>3</v>
      </c>
      <c r="F4" s="4" t="s">
        <v>4</v>
      </c>
      <c r="G4" s="5" t="s">
        <v>5</v>
      </c>
      <c r="H4" s="6"/>
      <c r="I4" s="4"/>
      <c r="J4" s="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"/>
      <c r="B5" s="1"/>
      <c r="C5" s="7"/>
      <c r="D5" s="8">
        <v>0.375</v>
      </c>
      <c r="E5" s="7">
        <f t="shared" ref="E5:E12" si="1">D5+F5/24/60</f>
        <v>0.4375</v>
      </c>
      <c r="F5" s="9">
        <v>90.0</v>
      </c>
      <c r="G5" s="10" t="s">
        <v>6</v>
      </c>
      <c r="H5" s="6"/>
      <c r="I5" s="9"/>
      <c r="J5" s="9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"/>
      <c r="B6" s="1"/>
      <c r="C6" s="11" t="s">
        <v>7</v>
      </c>
      <c r="D6" s="7">
        <f t="shared" ref="D6:D12" si="2">E5</f>
        <v>0.4375</v>
      </c>
      <c r="E6" s="7">
        <f t="shared" si="1"/>
        <v>0.4479166667</v>
      </c>
      <c r="F6" s="12">
        <v>15.0</v>
      </c>
      <c r="G6" s="10" t="s">
        <v>8</v>
      </c>
      <c r="H6" s="6"/>
      <c r="I6" s="13"/>
      <c r="J6" s="1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1"/>
      <c r="B7" s="1"/>
      <c r="C7" s="14"/>
      <c r="D7" s="7">
        <f t="shared" si="2"/>
        <v>0.4479166667</v>
      </c>
      <c r="E7" s="7">
        <f t="shared" si="1"/>
        <v>0.4583333333</v>
      </c>
      <c r="F7" s="9">
        <v>15.0</v>
      </c>
      <c r="G7" s="15" t="s">
        <v>9</v>
      </c>
      <c r="H7" s="6"/>
      <c r="I7" s="14"/>
      <c r="J7" s="1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1"/>
      <c r="B8" s="1"/>
      <c r="C8" s="14"/>
      <c r="D8" s="7">
        <f t="shared" si="2"/>
        <v>0.4583333333</v>
      </c>
      <c r="E8" s="7">
        <f t="shared" si="1"/>
        <v>0.4652777778</v>
      </c>
      <c r="F8" s="9">
        <v>10.0</v>
      </c>
      <c r="G8" s="15" t="s">
        <v>10</v>
      </c>
      <c r="H8" s="6"/>
      <c r="I8" s="14"/>
      <c r="J8" s="14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1"/>
      <c r="B9" s="1"/>
      <c r="C9" s="14"/>
      <c r="D9" s="7">
        <f t="shared" si="2"/>
        <v>0.4652777778</v>
      </c>
      <c r="E9" s="7">
        <f t="shared" si="1"/>
        <v>0.4791666667</v>
      </c>
      <c r="F9" s="9">
        <v>20.0</v>
      </c>
      <c r="G9" s="15" t="s">
        <v>11</v>
      </c>
      <c r="H9" s="6"/>
      <c r="I9" s="14"/>
      <c r="J9" s="14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1"/>
      <c r="B10" s="1"/>
      <c r="C10" s="14"/>
      <c r="D10" s="7">
        <f t="shared" si="2"/>
        <v>0.4791666667</v>
      </c>
      <c r="E10" s="7">
        <f t="shared" si="1"/>
        <v>0.5</v>
      </c>
      <c r="F10" s="9">
        <v>30.0</v>
      </c>
      <c r="G10" s="10" t="s">
        <v>12</v>
      </c>
      <c r="H10" s="6"/>
      <c r="I10" s="16"/>
      <c r="J10" s="1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1"/>
      <c r="B11" s="1"/>
      <c r="C11" s="16"/>
      <c r="D11" s="7">
        <f t="shared" si="2"/>
        <v>0.5</v>
      </c>
      <c r="E11" s="7">
        <f t="shared" si="1"/>
        <v>0.53125</v>
      </c>
      <c r="F11" s="9">
        <v>45.0</v>
      </c>
      <c r="G11" s="15" t="s">
        <v>13</v>
      </c>
      <c r="H11" s="6"/>
      <c r="I11" s="17" t="s">
        <v>14</v>
      </c>
      <c r="J11" s="16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1"/>
      <c r="B12" s="1"/>
      <c r="C12" s="18"/>
      <c r="D12" s="7">
        <f t="shared" si="2"/>
        <v>0.53125</v>
      </c>
      <c r="E12" s="7">
        <f t="shared" si="1"/>
        <v>0.5451388889</v>
      </c>
      <c r="F12" s="9">
        <v>20.0</v>
      </c>
      <c r="G12" s="19" t="s">
        <v>15</v>
      </c>
      <c r="H12" s="6"/>
      <c r="I12" s="14"/>
      <c r="J12" s="20" t="s">
        <v>16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1"/>
      <c r="B13" s="1"/>
      <c r="C13" s="18"/>
      <c r="D13" s="7"/>
      <c r="E13" s="7"/>
      <c r="F13" s="12"/>
      <c r="G13" s="21" t="s">
        <v>17</v>
      </c>
      <c r="H13" s="22" t="s">
        <v>18</v>
      </c>
      <c r="I13" s="14"/>
      <c r="J13" s="14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1"/>
      <c r="B14" s="1"/>
      <c r="C14" s="11" t="s">
        <v>19</v>
      </c>
      <c r="D14" s="7">
        <f>E12</f>
        <v>0.5451388889</v>
      </c>
      <c r="E14" s="7">
        <f t="shared" ref="E14:E23" si="3">D14+F14/24/60</f>
        <v>0.5659722222</v>
      </c>
      <c r="F14" s="9">
        <v>30.0</v>
      </c>
      <c r="G14" s="23" t="s">
        <v>20</v>
      </c>
      <c r="H14" s="24" t="s">
        <v>21</v>
      </c>
      <c r="I14" s="14"/>
      <c r="J14" s="14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1"/>
      <c r="B15" s="1"/>
      <c r="C15" s="14"/>
      <c r="D15" s="7">
        <f t="shared" ref="D15:D23" si="4">E14</f>
        <v>0.5659722222</v>
      </c>
      <c r="E15" s="7">
        <f t="shared" si="3"/>
        <v>0.5729166667</v>
      </c>
      <c r="F15" s="12">
        <v>10.0</v>
      </c>
      <c r="G15" s="25" t="s">
        <v>22</v>
      </c>
      <c r="H15" s="6"/>
      <c r="I15" s="14"/>
      <c r="J15" s="14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"/>
      <c r="B16" s="1"/>
      <c r="C16" s="16"/>
      <c r="D16" s="7">
        <f t="shared" si="4"/>
        <v>0.5729166667</v>
      </c>
      <c r="E16" s="7">
        <f t="shared" si="3"/>
        <v>0.59375</v>
      </c>
      <c r="F16" s="9">
        <v>30.0</v>
      </c>
      <c r="G16" s="23" t="s">
        <v>23</v>
      </c>
      <c r="H16" s="24" t="s">
        <v>24</v>
      </c>
      <c r="I16" s="14"/>
      <c r="J16" s="14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"/>
      <c r="B17" s="1"/>
      <c r="C17" s="18"/>
      <c r="D17" s="7">
        <f t="shared" si="4"/>
        <v>0.59375</v>
      </c>
      <c r="E17" s="7">
        <f t="shared" si="3"/>
        <v>0.6284722222</v>
      </c>
      <c r="F17" s="9">
        <v>50.0</v>
      </c>
      <c r="G17" s="19" t="s">
        <v>25</v>
      </c>
      <c r="H17" s="6"/>
      <c r="I17" s="14"/>
      <c r="J17" s="14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1"/>
      <c r="B18" s="1"/>
      <c r="C18" s="11" t="s">
        <v>26</v>
      </c>
      <c r="D18" s="7">
        <f t="shared" si="4"/>
        <v>0.6284722222</v>
      </c>
      <c r="E18" s="7">
        <f t="shared" si="3"/>
        <v>0.6493055556</v>
      </c>
      <c r="F18" s="9">
        <v>30.0</v>
      </c>
      <c r="G18" s="23" t="s">
        <v>27</v>
      </c>
      <c r="H18" s="24" t="s">
        <v>28</v>
      </c>
      <c r="I18" s="14"/>
      <c r="J18" s="14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"/>
      <c r="B19" s="1"/>
      <c r="C19" s="14"/>
      <c r="D19" s="7">
        <f t="shared" si="4"/>
        <v>0.6493055556</v>
      </c>
      <c r="E19" s="7">
        <f t="shared" si="3"/>
        <v>0.65625</v>
      </c>
      <c r="F19" s="9">
        <v>10.0</v>
      </c>
      <c r="G19" s="19" t="s">
        <v>22</v>
      </c>
      <c r="H19" s="6"/>
      <c r="I19" s="14"/>
      <c r="J19" s="26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1"/>
      <c r="B20" s="1"/>
      <c r="C20" s="16"/>
      <c r="D20" s="7">
        <f t="shared" si="4"/>
        <v>0.65625</v>
      </c>
      <c r="E20" s="7">
        <f t="shared" si="3"/>
        <v>0.6770833333</v>
      </c>
      <c r="F20" s="9">
        <v>30.0</v>
      </c>
      <c r="G20" s="23" t="s">
        <v>29</v>
      </c>
      <c r="H20" s="24" t="s">
        <v>30</v>
      </c>
      <c r="I20" s="16"/>
      <c r="J20" s="14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1"/>
      <c r="B21" s="1"/>
      <c r="C21" s="18"/>
      <c r="D21" s="7">
        <f t="shared" si="4"/>
        <v>0.6770833333</v>
      </c>
      <c r="E21" s="7">
        <f t="shared" si="3"/>
        <v>0.6875</v>
      </c>
      <c r="F21" s="9">
        <v>15.0</v>
      </c>
      <c r="G21" s="10" t="s">
        <v>31</v>
      </c>
      <c r="H21" s="6"/>
      <c r="I21" s="27"/>
      <c r="J21" s="14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1"/>
      <c r="B22" s="1"/>
      <c r="C22" s="7"/>
      <c r="D22" s="7">
        <f t="shared" si="4"/>
        <v>0.6875</v>
      </c>
      <c r="E22" s="7">
        <f t="shared" si="3"/>
        <v>0.7152777778</v>
      </c>
      <c r="F22" s="12">
        <v>40.0</v>
      </c>
      <c r="G22" s="15" t="s">
        <v>32</v>
      </c>
      <c r="H22" s="6"/>
      <c r="I22" s="14"/>
      <c r="J22" s="14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1"/>
      <c r="B23" s="1"/>
      <c r="C23" s="7"/>
      <c r="D23" s="7">
        <f t="shared" si="4"/>
        <v>0.7152777778</v>
      </c>
      <c r="E23" s="7">
        <f t="shared" si="3"/>
        <v>0.7256944444</v>
      </c>
      <c r="F23" s="12">
        <v>15.0</v>
      </c>
      <c r="G23" s="10" t="s">
        <v>33</v>
      </c>
      <c r="H23" s="6"/>
      <c r="I23" s="14"/>
      <c r="J23" s="14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1"/>
      <c r="B24" s="1"/>
      <c r="C24" s="7"/>
      <c r="D24" s="7"/>
      <c r="E24" s="7"/>
      <c r="F24" s="12"/>
      <c r="G24" s="28" t="s">
        <v>34</v>
      </c>
      <c r="H24" s="6"/>
      <c r="I24" s="14"/>
      <c r="J24" s="14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1"/>
      <c r="B25" s="1"/>
      <c r="C25" s="7"/>
      <c r="D25" s="7"/>
      <c r="E25" s="7"/>
      <c r="F25" s="12"/>
      <c r="G25" s="10"/>
      <c r="H25" s="6"/>
      <c r="I25" s="16"/>
      <c r="J25" s="16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1"/>
      <c r="C30" s="1"/>
      <c r="D30" s="1"/>
      <c r="E30" s="1"/>
      <c r="F30" s="1"/>
      <c r="G30" s="2" t="s">
        <v>35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1"/>
      <c r="B32" s="1"/>
      <c r="C32" s="3" t="s">
        <v>1</v>
      </c>
      <c r="D32" s="4" t="s">
        <v>2</v>
      </c>
      <c r="E32" s="4" t="s">
        <v>3</v>
      </c>
      <c r="F32" s="4" t="s">
        <v>4</v>
      </c>
      <c r="G32" s="5" t="s">
        <v>5</v>
      </c>
      <c r="H32" s="6"/>
      <c r="I32" s="4"/>
      <c r="J32" s="4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"/>
      <c r="B33" s="1"/>
      <c r="C33" s="7"/>
      <c r="D33" s="8">
        <v>0.375</v>
      </c>
      <c r="E33" s="7">
        <f t="shared" ref="E33:E38" si="5">D33+F33/24/60</f>
        <v>0.4375</v>
      </c>
      <c r="F33" s="9">
        <v>90.0</v>
      </c>
      <c r="G33" s="10" t="s">
        <v>6</v>
      </c>
      <c r="H33" s="6"/>
      <c r="I33" s="9"/>
      <c r="J33" s="9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1"/>
      <c r="B34" s="1"/>
      <c r="C34" s="11" t="s">
        <v>7</v>
      </c>
      <c r="D34" s="7">
        <f t="shared" ref="D34:D37" si="6">E33</f>
        <v>0.4375</v>
      </c>
      <c r="E34" s="7">
        <f t="shared" si="5"/>
        <v>0.4479166667</v>
      </c>
      <c r="F34" s="12">
        <v>15.0</v>
      </c>
      <c r="G34" s="10" t="s">
        <v>8</v>
      </c>
      <c r="H34" s="6"/>
      <c r="I34" s="13"/>
      <c r="J34" s="13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1"/>
      <c r="B35" s="1"/>
      <c r="C35" s="29"/>
      <c r="D35" s="7">
        <f t="shared" si="6"/>
        <v>0.4479166667</v>
      </c>
      <c r="E35" s="7">
        <f t="shared" si="5"/>
        <v>0.4791666667</v>
      </c>
      <c r="F35" s="9">
        <v>45.0</v>
      </c>
      <c r="G35" s="15" t="s">
        <v>36</v>
      </c>
      <c r="H35" s="6"/>
      <c r="I35" s="17" t="s">
        <v>37</v>
      </c>
      <c r="J35" s="30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1"/>
      <c r="B36" s="1"/>
      <c r="C36" s="31"/>
      <c r="D36" s="7">
        <f t="shared" si="6"/>
        <v>0.4791666667</v>
      </c>
      <c r="E36" s="7">
        <f t="shared" si="5"/>
        <v>0.5</v>
      </c>
      <c r="F36" s="9">
        <v>30.0</v>
      </c>
      <c r="G36" s="15" t="s">
        <v>38</v>
      </c>
      <c r="H36" s="6"/>
      <c r="I36" s="14"/>
      <c r="J36" s="3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1"/>
      <c r="B37" s="1"/>
      <c r="C37" s="29"/>
      <c r="D37" s="7">
        <f t="shared" si="6"/>
        <v>0.5</v>
      </c>
      <c r="E37" s="7">
        <f t="shared" si="5"/>
        <v>0.5208333333</v>
      </c>
      <c r="F37" s="9">
        <v>30.0</v>
      </c>
      <c r="G37" s="10" t="s">
        <v>12</v>
      </c>
      <c r="H37" s="6"/>
      <c r="I37" s="14"/>
      <c r="J37" s="30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1"/>
      <c r="B38" s="1"/>
      <c r="C38" s="18"/>
      <c r="D38" s="7">
        <f>E36</f>
        <v>0.5</v>
      </c>
      <c r="E38" s="7">
        <f t="shared" si="5"/>
        <v>0.5138888889</v>
      </c>
      <c r="F38" s="9">
        <v>20.0</v>
      </c>
      <c r="G38" s="19" t="s">
        <v>15</v>
      </c>
      <c r="H38" s="6"/>
      <c r="I38" s="14"/>
      <c r="J38" s="20" t="s">
        <v>39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1"/>
      <c r="B39" s="1"/>
      <c r="C39" s="18"/>
      <c r="D39" s="7"/>
      <c r="E39" s="7"/>
      <c r="F39" s="12"/>
      <c r="G39" s="33" t="s">
        <v>40</v>
      </c>
      <c r="H39" s="34" t="s">
        <v>41</v>
      </c>
      <c r="I39" s="14"/>
      <c r="J39" s="17" t="s">
        <v>42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1"/>
      <c r="C40" s="11" t="s">
        <v>19</v>
      </c>
      <c r="D40" s="7">
        <f>E38</f>
        <v>0.5138888889</v>
      </c>
      <c r="E40" s="7">
        <f t="shared" ref="E40:E50" si="7">D40+F40/24/60</f>
        <v>0.5347222222</v>
      </c>
      <c r="F40" s="9">
        <v>30.0</v>
      </c>
      <c r="G40" s="35" t="s">
        <v>43</v>
      </c>
      <c r="H40" s="36" t="s">
        <v>44</v>
      </c>
      <c r="I40" s="14"/>
      <c r="J40" s="14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1"/>
      <c r="C41" s="14"/>
      <c r="D41" s="7">
        <f t="shared" ref="D41:D50" si="8">E40</f>
        <v>0.5347222222</v>
      </c>
      <c r="E41" s="7">
        <f t="shared" si="7"/>
        <v>0.5416666667</v>
      </c>
      <c r="F41" s="12">
        <v>10.0</v>
      </c>
      <c r="G41" s="25" t="s">
        <v>22</v>
      </c>
      <c r="H41" s="6"/>
      <c r="I41" s="14"/>
      <c r="J41" s="14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1"/>
      <c r="C42" s="16"/>
      <c r="D42" s="7">
        <f t="shared" si="8"/>
        <v>0.5416666667</v>
      </c>
      <c r="E42" s="7">
        <f t="shared" si="7"/>
        <v>0.5625</v>
      </c>
      <c r="F42" s="9">
        <v>30.0</v>
      </c>
      <c r="G42" s="35" t="s">
        <v>45</v>
      </c>
      <c r="H42" s="36" t="s">
        <v>46</v>
      </c>
      <c r="I42" s="14"/>
      <c r="J42" s="14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/>
      <c r="B43" s="1"/>
      <c r="C43" s="18"/>
      <c r="D43" s="7">
        <f t="shared" si="8"/>
        <v>0.5625</v>
      </c>
      <c r="E43" s="7">
        <f t="shared" si="7"/>
        <v>0.5972222222</v>
      </c>
      <c r="F43" s="9">
        <v>50.0</v>
      </c>
      <c r="G43" s="19" t="s">
        <v>25</v>
      </c>
      <c r="H43" s="6"/>
      <c r="I43" s="14"/>
      <c r="J43" s="14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1"/>
      <c r="C44" s="11" t="s">
        <v>26</v>
      </c>
      <c r="D44" s="7">
        <f t="shared" si="8"/>
        <v>0.5972222222</v>
      </c>
      <c r="E44" s="7">
        <f t="shared" si="7"/>
        <v>0.6180555556</v>
      </c>
      <c r="F44" s="9">
        <v>30.0</v>
      </c>
      <c r="G44" s="35" t="s">
        <v>47</v>
      </c>
      <c r="H44" s="36" t="s">
        <v>48</v>
      </c>
      <c r="I44" s="14"/>
      <c r="J44" s="16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"/>
      <c r="B45" s="1"/>
      <c r="C45" s="14"/>
      <c r="D45" s="7">
        <f t="shared" si="8"/>
        <v>0.6180555556</v>
      </c>
      <c r="E45" s="7">
        <f t="shared" si="7"/>
        <v>0.625</v>
      </c>
      <c r="F45" s="9">
        <v>10.0</v>
      </c>
      <c r="G45" s="19" t="s">
        <v>22</v>
      </c>
      <c r="H45" s="6"/>
      <c r="I45" s="14"/>
      <c r="J45" s="26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1"/>
      <c r="C46" s="16"/>
      <c r="D46" s="7">
        <f t="shared" si="8"/>
        <v>0.625</v>
      </c>
      <c r="E46" s="7">
        <f t="shared" si="7"/>
        <v>0.6458333333</v>
      </c>
      <c r="F46" s="9">
        <v>30.0</v>
      </c>
      <c r="G46" s="35" t="s">
        <v>49</v>
      </c>
      <c r="H46" s="36" t="s">
        <v>50</v>
      </c>
      <c r="I46" s="16"/>
      <c r="J46" s="14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/>
      <c r="B47" s="1"/>
      <c r="C47" s="18"/>
      <c r="D47" s="7">
        <f t="shared" si="8"/>
        <v>0.6458333333</v>
      </c>
      <c r="E47" s="7">
        <f t="shared" si="7"/>
        <v>0.65625</v>
      </c>
      <c r="F47" s="9">
        <v>15.0</v>
      </c>
      <c r="G47" s="10" t="s">
        <v>31</v>
      </c>
      <c r="H47" s="6"/>
      <c r="I47" s="27"/>
      <c r="J47" s="14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1"/>
      <c r="C48" s="7"/>
      <c r="D48" s="7">
        <f t="shared" si="8"/>
        <v>0.65625</v>
      </c>
      <c r="E48" s="7">
        <f t="shared" si="7"/>
        <v>0.6840277778</v>
      </c>
      <c r="F48" s="12">
        <v>40.0</v>
      </c>
      <c r="G48" s="15" t="s">
        <v>51</v>
      </c>
      <c r="H48" s="6"/>
      <c r="I48" s="14"/>
      <c r="J48" s="14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1"/>
      <c r="C49" s="7"/>
      <c r="D49" s="7">
        <f t="shared" si="8"/>
        <v>0.6840277778</v>
      </c>
      <c r="E49" s="7">
        <f t="shared" si="7"/>
        <v>0.6979166667</v>
      </c>
      <c r="F49" s="9">
        <v>20.0</v>
      </c>
      <c r="G49" s="15" t="s">
        <v>52</v>
      </c>
      <c r="H49" s="6"/>
      <c r="I49" s="14"/>
      <c r="J49" s="14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1"/>
      <c r="C50" s="7"/>
      <c r="D50" s="7">
        <f t="shared" si="8"/>
        <v>0.6979166667</v>
      </c>
      <c r="E50" s="7">
        <f t="shared" si="7"/>
        <v>0.71875</v>
      </c>
      <c r="F50" s="9">
        <v>30.0</v>
      </c>
      <c r="G50" s="10" t="s">
        <v>53</v>
      </c>
      <c r="H50" s="6"/>
      <c r="I50" s="14"/>
      <c r="J50" s="14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1"/>
      <c r="C51" s="7"/>
      <c r="D51" s="7"/>
      <c r="E51" s="7"/>
      <c r="F51" s="12"/>
      <c r="G51" s="37"/>
      <c r="H51" s="37"/>
      <c r="I51" s="14"/>
      <c r="J51" s="14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"/>
      <c r="C52" s="7"/>
      <c r="D52" s="7"/>
      <c r="E52" s="7"/>
      <c r="F52" s="12"/>
      <c r="G52" s="10"/>
      <c r="H52" s="6"/>
      <c r="I52" s="16"/>
      <c r="J52" s="16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1"/>
      <c r="C54" s="1"/>
      <c r="D54" s="1"/>
      <c r="E54" s="1"/>
      <c r="F54" s="1"/>
      <c r="G54" s="38" t="s">
        <v>54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</sheetData>
  <mergeCells count="49">
    <mergeCell ref="G22:H22"/>
    <mergeCell ref="G23:H23"/>
    <mergeCell ref="G24:H24"/>
    <mergeCell ref="G25:H25"/>
    <mergeCell ref="G30:H30"/>
    <mergeCell ref="G32:H32"/>
    <mergeCell ref="G33:H33"/>
    <mergeCell ref="G34:H34"/>
    <mergeCell ref="G35:H35"/>
    <mergeCell ref="G36:H36"/>
    <mergeCell ref="G37:H37"/>
    <mergeCell ref="G38:H38"/>
    <mergeCell ref="G41:H41"/>
    <mergeCell ref="G43:H43"/>
    <mergeCell ref="G7:H7"/>
    <mergeCell ref="G8:H8"/>
    <mergeCell ref="C6:C11"/>
    <mergeCell ref="C14:C16"/>
    <mergeCell ref="C18:C20"/>
    <mergeCell ref="C40:C42"/>
    <mergeCell ref="C44:C46"/>
    <mergeCell ref="G2:H2"/>
    <mergeCell ref="G4:H4"/>
    <mergeCell ref="G5:H5"/>
    <mergeCell ref="G6:H6"/>
    <mergeCell ref="I6:I10"/>
    <mergeCell ref="J6:J11"/>
    <mergeCell ref="G11:H11"/>
    <mergeCell ref="J12:J18"/>
    <mergeCell ref="J19:J25"/>
    <mergeCell ref="J39:J44"/>
    <mergeCell ref="J45:J52"/>
    <mergeCell ref="I11:I20"/>
    <mergeCell ref="I21:I25"/>
    <mergeCell ref="I35:I46"/>
    <mergeCell ref="I47:I52"/>
    <mergeCell ref="G9:H9"/>
    <mergeCell ref="G10:H10"/>
    <mergeCell ref="G12:H12"/>
    <mergeCell ref="G15:H15"/>
    <mergeCell ref="G17:H17"/>
    <mergeCell ref="G19:H19"/>
    <mergeCell ref="G21:H21"/>
    <mergeCell ref="G45:H45"/>
    <mergeCell ref="G47:H47"/>
    <mergeCell ref="G48:H48"/>
    <mergeCell ref="G49:H49"/>
    <mergeCell ref="G50:H50"/>
    <mergeCell ref="G52:H52"/>
  </mergeCells>
  <printOptions gridLines="1" horizontalCentered="1"/>
  <pageMargins bottom="0.75" footer="0.0" header="0.0" left="0.7" right="0.7" top="0.75"/>
  <pageSetup fitToHeight="0" paperSize="6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30.38"/>
    <col customWidth="1" min="4" max="4" width="31.13"/>
    <col customWidth="1" min="5" max="5" width="51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39" t="s">
        <v>55</v>
      </c>
      <c r="C3" s="39" t="s">
        <v>56</v>
      </c>
      <c r="D3" s="39" t="s">
        <v>57</v>
      </c>
      <c r="E3" s="39" t="s">
        <v>58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40" t="s">
        <v>59</v>
      </c>
      <c r="C4" s="41"/>
      <c r="D4" s="42" t="s">
        <v>60</v>
      </c>
      <c r="E4" s="43" t="s">
        <v>61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14"/>
      <c r="C5" s="14"/>
      <c r="D5" s="42" t="s">
        <v>62</v>
      </c>
      <c r="E5" s="43" t="s">
        <v>63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16"/>
      <c r="C6" s="16"/>
      <c r="D6" s="42" t="s">
        <v>64</v>
      </c>
      <c r="E6" s="43" t="s">
        <v>65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44" t="s">
        <v>66</v>
      </c>
      <c r="C7" s="45" t="s">
        <v>67</v>
      </c>
      <c r="D7" s="43" t="s">
        <v>68</v>
      </c>
      <c r="E7" s="43" t="s">
        <v>69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14"/>
      <c r="C8" s="14"/>
      <c r="D8" s="42" t="s">
        <v>70</v>
      </c>
      <c r="E8" s="43" t="s">
        <v>71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4"/>
      <c r="C9" s="14"/>
      <c r="D9" s="42" t="s">
        <v>72</v>
      </c>
      <c r="E9" s="43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4"/>
      <c r="C10" s="16"/>
      <c r="D10" s="42" t="s">
        <v>73</v>
      </c>
      <c r="E10" s="43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14"/>
      <c r="C11" s="45" t="s">
        <v>74</v>
      </c>
      <c r="D11" s="43" t="s">
        <v>75</v>
      </c>
      <c r="E11" s="43" t="s">
        <v>76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4"/>
      <c r="C12" s="14"/>
      <c r="D12" s="43" t="s">
        <v>77</v>
      </c>
      <c r="E12" s="43" t="s">
        <v>78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4"/>
      <c r="C13" s="16"/>
      <c r="D13" s="42"/>
      <c r="E13" s="43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4"/>
      <c r="C14" s="45" t="s">
        <v>79</v>
      </c>
      <c r="D14" s="42" t="s">
        <v>80</v>
      </c>
      <c r="E14" s="43" t="s">
        <v>81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14"/>
      <c r="C15" s="14"/>
      <c r="D15" s="43" t="s">
        <v>82</v>
      </c>
      <c r="E15" s="43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6"/>
      <c r="C16" s="16"/>
      <c r="D16" s="43" t="s">
        <v>83</v>
      </c>
      <c r="E16" s="43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46"/>
      <c r="C17" s="47"/>
      <c r="D17" s="47"/>
      <c r="E17" s="6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48" t="s">
        <v>17</v>
      </c>
      <c r="C18" s="45" t="s">
        <v>84</v>
      </c>
      <c r="D18" s="42" t="s">
        <v>85</v>
      </c>
      <c r="E18" s="43" t="s">
        <v>86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4"/>
      <c r="C19" s="14"/>
      <c r="D19" s="42" t="s">
        <v>87</v>
      </c>
      <c r="E19" s="43" t="s">
        <v>88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4"/>
      <c r="C20" s="16"/>
      <c r="D20" s="42" t="s">
        <v>89</v>
      </c>
      <c r="E20" s="43" t="s">
        <v>90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4"/>
      <c r="C21" s="45" t="s">
        <v>91</v>
      </c>
      <c r="D21" s="42" t="s">
        <v>92</v>
      </c>
      <c r="E21" s="43" t="s">
        <v>93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4"/>
      <c r="C22" s="14"/>
      <c r="D22" s="42" t="s">
        <v>94</v>
      </c>
      <c r="E22" s="43" t="s">
        <v>95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4"/>
      <c r="C23" s="16"/>
      <c r="D23" s="42" t="s">
        <v>70</v>
      </c>
      <c r="E23" s="43" t="s">
        <v>96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4"/>
      <c r="C24" s="45" t="s">
        <v>97</v>
      </c>
      <c r="D24" s="42" t="s">
        <v>98</v>
      </c>
      <c r="E24" s="43" t="s">
        <v>99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4"/>
      <c r="C25" s="14"/>
      <c r="D25" s="43" t="s">
        <v>100</v>
      </c>
      <c r="E25" s="43" t="s">
        <v>101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4"/>
      <c r="C26" s="14"/>
      <c r="D26" s="43" t="s">
        <v>102</v>
      </c>
      <c r="E26" s="43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4"/>
      <c r="C27" s="16"/>
      <c r="D27" s="42" t="s">
        <v>103</v>
      </c>
      <c r="E27" s="43" t="s">
        <v>104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4"/>
      <c r="C28" s="45" t="s">
        <v>105</v>
      </c>
      <c r="D28" s="42" t="s">
        <v>106</v>
      </c>
      <c r="E28" s="43" t="s">
        <v>107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4"/>
      <c r="C29" s="14"/>
      <c r="D29" s="42" t="s">
        <v>108</v>
      </c>
      <c r="E29" s="43" t="s">
        <v>109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4"/>
      <c r="C30" s="14"/>
      <c r="D30" s="43" t="s">
        <v>110</v>
      </c>
      <c r="E30" s="43" t="s">
        <v>111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6"/>
      <c r="C31" s="16"/>
      <c r="D31" s="43" t="s">
        <v>112</v>
      </c>
      <c r="E31" s="4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46"/>
      <c r="C32" s="47"/>
      <c r="D32" s="47"/>
      <c r="E32" s="6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49" t="s">
        <v>113</v>
      </c>
      <c r="C33" s="45" t="s">
        <v>114</v>
      </c>
      <c r="D33" s="43" t="s">
        <v>115</v>
      </c>
      <c r="E33" s="43" t="s">
        <v>116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4"/>
      <c r="C34" s="14"/>
      <c r="D34" s="43"/>
      <c r="E34" s="43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4"/>
      <c r="C35" s="16"/>
      <c r="D35" s="42" t="s">
        <v>117</v>
      </c>
      <c r="E35" s="43" t="s">
        <v>118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4"/>
      <c r="C36" s="45" t="s">
        <v>119</v>
      </c>
      <c r="D36" s="42" t="s">
        <v>120</v>
      </c>
      <c r="E36" s="43" t="s">
        <v>121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4"/>
      <c r="C37" s="16"/>
      <c r="D37" s="50" t="s">
        <v>122</v>
      </c>
      <c r="E37" s="50" t="s">
        <v>123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4"/>
      <c r="C38" s="45" t="s">
        <v>124</v>
      </c>
      <c r="D38" s="42" t="s">
        <v>125</v>
      </c>
      <c r="E38" s="43" t="s">
        <v>126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4"/>
      <c r="C39" s="14"/>
      <c r="D39" s="51" t="s">
        <v>127</v>
      </c>
      <c r="E39" s="52" t="s">
        <v>128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4"/>
      <c r="C40" s="14"/>
      <c r="D40" s="53" t="s">
        <v>129</v>
      </c>
      <c r="E40" s="52" t="s">
        <v>130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4"/>
      <c r="C41" s="16"/>
      <c r="D41" s="42" t="s">
        <v>131</v>
      </c>
      <c r="E41" s="43" t="s">
        <v>132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4"/>
      <c r="C42" s="45" t="s">
        <v>133</v>
      </c>
      <c r="D42" s="43" t="s">
        <v>134</v>
      </c>
      <c r="E42" s="43" t="s">
        <v>135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6"/>
      <c r="C43" s="16"/>
      <c r="D43" s="42" t="s">
        <v>136</v>
      </c>
      <c r="E43" s="43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46"/>
      <c r="C44" s="47"/>
      <c r="D44" s="47"/>
      <c r="E44" s="6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54" t="s">
        <v>40</v>
      </c>
      <c r="C45" s="45" t="s">
        <v>137</v>
      </c>
      <c r="D45" s="42" t="s">
        <v>138</v>
      </c>
      <c r="E45" s="43" t="s">
        <v>139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4"/>
      <c r="C46" s="14"/>
      <c r="D46" s="42" t="s">
        <v>140</v>
      </c>
      <c r="E46" s="43" t="s">
        <v>141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4"/>
      <c r="C47" s="16"/>
      <c r="D47" s="42" t="s">
        <v>142</v>
      </c>
      <c r="E47" s="43" t="s">
        <v>143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4"/>
      <c r="C48" s="45" t="s">
        <v>144</v>
      </c>
      <c r="D48" s="42" t="s">
        <v>145</v>
      </c>
      <c r="E48" s="43" t="s">
        <v>146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4"/>
      <c r="C49" s="16"/>
      <c r="D49" s="42" t="s">
        <v>147</v>
      </c>
      <c r="E49" s="43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4"/>
      <c r="C50" s="45" t="s">
        <v>148</v>
      </c>
      <c r="D50" s="42" t="s">
        <v>149</v>
      </c>
      <c r="E50" s="43" t="s">
        <v>150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4"/>
      <c r="C51" s="14"/>
      <c r="D51" s="43" t="s">
        <v>151</v>
      </c>
      <c r="E51" s="43" t="s">
        <v>152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4"/>
      <c r="C52" s="16"/>
      <c r="D52" s="42" t="s">
        <v>153</v>
      </c>
      <c r="E52" s="43" t="s">
        <v>154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4"/>
      <c r="C53" s="45" t="s">
        <v>155</v>
      </c>
      <c r="D53" s="42" t="s">
        <v>156</v>
      </c>
      <c r="E53" s="43" t="s">
        <v>157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6"/>
      <c r="C54" s="16"/>
      <c r="D54" s="42" t="s">
        <v>158</v>
      </c>
      <c r="E54" s="43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46"/>
      <c r="C55" s="47"/>
      <c r="D55" s="47"/>
      <c r="E55" s="6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55" t="s">
        <v>41</v>
      </c>
      <c r="C56" s="45" t="s">
        <v>159</v>
      </c>
      <c r="D56" s="42" t="s">
        <v>160</v>
      </c>
      <c r="E56" s="43" t="s">
        <v>161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4"/>
      <c r="C57" s="14"/>
      <c r="D57" s="42" t="s">
        <v>162</v>
      </c>
      <c r="E57" s="43" t="s">
        <v>163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4"/>
      <c r="C58" s="16"/>
      <c r="D58" s="42" t="s">
        <v>122</v>
      </c>
      <c r="E58" s="42" t="s">
        <v>123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4"/>
      <c r="C59" s="45" t="s">
        <v>164</v>
      </c>
      <c r="D59" s="42" t="s">
        <v>165</v>
      </c>
      <c r="E59" s="43" t="s">
        <v>166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4"/>
      <c r="C60" s="14"/>
      <c r="D60" s="43" t="s">
        <v>167</v>
      </c>
      <c r="E60" s="43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4"/>
      <c r="C61" s="16"/>
      <c r="D61" s="56"/>
      <c r="E61" s="56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4"/>
      <c r="C62" s="45" t="s">
        <v>168</v>
      </c>
      <c r="D62" s="42" t="s">
        <v>122</v>
      </c>
      <c r="E62" s="43" t="s">
        <v>169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4"/>
      <c r="C63" s="14"/>
      <c r="D63" s="42" t="s">
        <v>170</v>
      </c>
      <c r="E63" s="43" t="s">
        <v>171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4"/>
      <c r="C64" s="16"/>
      <c r="D64" s="42"/>
      <c r="E64" s="43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4"/>
      <c r="C65" s="45" t="s">
        <v>172</v>
      </c>
      <c r="D65" s="42" t="s">
        <v>173</v>
      </c>
      <c r="E65" s="43" t="s">
        <v>174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4"/>
      <c r="C66" s="14"/>
      <c r="D66" s="42" t="s">
        <v>175</v>
      </c>
      <c r="E66" s="56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6"/>
      <c r="C67" s="16"/>
      <c r="D67" s="42" t="s">
        <v>175</v>
      </c>
      <c r="E67" s="56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</sheetData>
  <mergeCells count="30">
    <mergeCell ref="C14:C16"/>
    <mergeCell ref="C18:C20"/>
    <mergeCell ref="C28:C31"/>
    <mergeCell ref="B32:E32"/>
    <mergeCell ref="B44:E44"/>
    <mergeCell ref="B4:B6"/>
    <mergeCell ref="C4:C6"/>
    <mergeCell ref="B7:B16"/>
    <mergeCell ref="C7:C10"/>
    <mergeCell ref="C11:C13"/>
    <mergeCell ref="B17:E17"/>
    <mergeCell ref="B18:B31"/>
    <mergeCell ref="C42:C43"/>
    <mergeCell ref="C45:C47"/>
    <mergeCell ref="C48:C49"/>
    <mergeCell ref="C50:C52"/>
    <mergeCell ref="B55:E55"/>
    <mergeCell ref="B45:B54"/>
    <mergeCell ref="B56:B67"/>
    <mergeCell ref="C56:C58"/>
    <mergeCell ref="C59:C61"/>
    <mergeCell ref="C62:C64"/>
    <mergeCell ref="C65:C67"/>
    <mergeCell ref="C21:C23"/>
    <mergeCell ref="C24:C27"/>
    <mergeCell ref="B33:B43"/>
    <mergeCell ref="C33:C35"/>
    <mergeCell ref="C36:C37"/>
    <mergeCell ref="C38:C41"/>
    <mergeCell ref="C53:C5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0"/>
    <col customWidth="1" min="3" max="3" width="15.25"/>
    <col customWidth="1" min="4" max="4" width="16.5"/>
    <col customWidth="1" min="5" max="5" width="31.88"/>
    <col customWidth="1" min="6" max="6" width="46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C3" s="57" t="s">
        <v>176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58"/>
      <c r="C4" s="59" t="s">
        <v>177</v>
      </c>
      <c r="D4" s="59" t="s">
        <v>178</v>
      </c>
      <c r="E4" s="59" t="s">
        <v>179</v>
      </c>
      <c r="F4" s="59" t="s">
        <v>180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60" t="s">
        <v>181</v>
      </c>
      <c r="D5" s="61" t="s">
        <v>182</v>
      </c>
      <c r="E5" s="56" t="s">
        <v>183</v>
      </c>
      <c r="F5" s="56" t="s">
        <v>184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6"/>
      <c r="D6" s="61" t="s">
        <v>185</v>
      </c>
      <c r="E6" s="56" t="s">
        <v>186</v>
      </c>
      <c r="F6" s="56" t="s">
        <v>187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60" t="s">
        <v>188</v>
      </c>
      <c r="D7" s="61" t="s">
        <v>182</v>
      </c>
      <c r="E7" s="56" t="s">
        <v>189</v>
      </c>
      <c r="F7" s="56" t="s">
        <v>190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6"/>
      <c r="D8" s="61" t="s">
        <v>185</v>
      </c>
      <c r="E8" s="56" t="s">
        <v>191</v>
      </c>
      <c r="F8" s="56" t="s">
        <v>192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60" t="s">
        <v>193</v>
      </c>
      <c r="D9" s="61" t="s">
        <v>182</v>
      </c>
      <c r="E9" s="56" t="s">
        <v>194</v>
      </c>
      <c r="F9" s="56" t="s">
        <v>195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6"/>
      <c r="D10" s="61" t="s">
        <v>185</v>
      </c>
      <c r="E10" s="56" t="s">
        <v>196</v>
      </c>
      <c r="F10" s="56" t="s">
        <v>197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60" t="s">
        <v>198</v>
      </c>
      <c r="D11" s="61" t="s">
        <v>182</v>
      </c>
      <c r="E11" s="56" t="s">
        <v>199</v>
      </c>
      <c r="F11" s="56" t="s">
        <v>200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6"/>
      <c r="D12" s="61" t="s">
        <v>185</v>
      </c>
      <c r="E12" s="56" t="s">
        <v>201</v>
      </c>
      <c r="F12" s="56" t="s">
        <v>202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60" t="s">
        <v>203</v>
      </c>
      <c r="D13" s="61" t="s">
        <v>182</v>
      </c>
      <c r="E13" s="56" t="s">
        <v>204</v>
      </c>
      <c r="F13" s="56" t="s">
        <v>205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6"/>
      <c r="D14" s="61" t="s">
        <v>185</v>
      </c>
      <c r="E14" s="56" t="s">
        <v>206</v>
      </c>
      <c r="F14" s="56" t="s">
        <v>207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38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38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38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C18" s="57" t="s">
        <v>208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58"/>
      <c r="C19" s="59" t="s">
        <v>177</v>
      </c>
      <c r="D19" s="59" t="s">
        <v>178</v>
      </c>
      <c r="E19" s="59" t="s">
        <v>179</v>
      </c>
      <c r="F19" s="59" t="s">
        <v>180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62"/>
      <c r="C20" s="63" t="s">
        <v>181</v>
      </c>
      <c r="D20" s="64" t="s">
        <v>182</v>
      </c>
      <c r="E20" s="65" t="s">
        <v>209</v>
      </c>
      <c r="F20" s="66" t="s">
        <v>210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62"/>
      <c r="C21" s="16"/>
      <c r="D21" s="64" t="s">
        <v>185</v>
      </c>
      <c r="E21" s="65" t="s">
        <v>211</v>
      </c>
      <c r="F21" s="66" t="s">
        <v>212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62"/>
      <c r="C22" s="63" t="s">
        <v>188</v>
      </c>
      <c r="D22" s="64" t="s">
        <v>182</v>
      </c>
      <c r="E22" s="65" t="s">
        <v>213</v>
      </c>
      <c r="F22" s="66" t="s">
        <v>214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62"/>
      <c r="C23" s="16"/>
      <c r="D23" s="64" t="s">
        <v>185</v>
      </c>
      <c r="E23" s="65" t="s">
        <v>215</v>
      </c>
      <c r="F23" s="66" t="s">
        <v>216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62"/>
      <c r="C24" s="63" t="s">
        <v>193</v>
      </c>
      <c r="D24" s="64" t="s">
        <v>182</v>
      </c>
      <c r="E24" s="65" t="s">
        <v>217</v>
      </c>
      <c r="F24" s="66" t="s">
        <v>218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62"/>
      <c r="C25" s="16"/>
      <c r="D25" s="64" t="s">
        <v>185</v>
      </c>
      <c r="E25" s="65" t="s">
        <v>219</v>
      </c>
      <c r="F25" s="66" t="s">
        <v>220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62"/>
      <c r="C26" s="63" t="s">
        <v>198</v>
      </c>
      <c r="D26" s="64" t="s">
        <v>182</v>
      </c>
      <c r="E26" s="65" t="s">
        <v>221</v>
      </c>
      <c r="F26" s="66" t="s">
        <v>222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62"/>
      <c r="C27" s="16"/>
      <c r="D27" s="64" t="s">
        <v>185</v>
      </c>
      <c r="E27" s="65" t="s">
        <v>223</v>
      </c>
      <c r="F27" s="66" t="s">
        <v>224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62"/>
      <c r="C28" s="63" t="s">
        <v>203</v>
      </c>
      <c r="D28" s="64" t="s">
        <v>182</v>
      </c>
      <c r="E28" s="65" t="s">
        <v>225</v>
      </c>
      <c r="F28" s="66" t="s">
        <v>226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62"/>
      <c r="C29" s="16"/>
      <c r="D29" s="64" t="s">
        <v>185</v>
      </c>
      <c r="E29" s="65" t="s">
        <v>227</v>
      </c>
      <c r="F29" s="66" t="s">
        <v>228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67"/>
      <c r="C30" s="67"/>
      <c r="D30" s="67"/>
      <c r="E30" s="68"/>
      <c r="F30" s="67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67"/>
      <c r="C31" s="67"/>
      <c r="D31" s="67"/>
      <c r="E31" s="68"/>
      <c r="F31" s="67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62"/>
      <c r="C32" s="67"/>
      <c r="D32" s="67"/>
      <c r="E32" s="68"/>
      <c r="F32" s="67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D33" s="67"/>
      <c r="E33" s="69" t="s">
        <v>229</v>
      </c>
      <c r="F33" s="67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C34" s="67"/>
      <c r="D34" s="70" t="s">
        <v>230</v>
      </c>
      <c r="E34" s="71" t="s">
        <v>231</v>
      </c>
      <c r="F34" s="6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D35" s="70" t="s">
        <v>232</v>
      </c>
      <c r="E35" s="71" t="s">
        <v>233</v>
      </c>
      <c r="F35" s="6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C36" s="67"/>
      <c r="D36" s="70" t="s">
        <v>234</v>
      </c>
      <c r="E36" s="71" t="s">
        <v>235</v>
      </c>
      <c r="F36" s="6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D37" s="70" t="s">
        <v>236</v>
      </c>
      <c r="E37" s="71" t="s">
        <v>237</v>
      </c>
      <c r="F37" s="6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C38" s="67"/>
      <c r="D38" s="70" t="s">
        <v>238</v>
      </c>
      <c r="E38" s="71" t="s">
        <v>239</v>
      </c>
      <c r="F38" s="6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D39" s="67"/>
      <c r="E39" s="67"/>
      <c r="F39" s="67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C40" s="67"/>
      <c r="D40" s="67"/>
      <c r="E40" s="67"/>
      <c r="F40" s="67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D41" s="67"/>
      <c r="E41" s="67"/>
      <c r="F41" s="67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</sheetData>
  <mergeCells count="23">
    <mergeCell ref="E34:F34"/>
    <mergeCell ref="E35:F35"/>
    <mergeCell ref="E36:F36"/>
    <mergeCell ref="E37:F37"/>
    <mergeCell ref="E38:F38"/>
    <mergeCell ref="C3:F3"/>
    <mergeCell ref="C5:C6"/>
    <mergeCell ref="C7:C8"/>
    <mergeCell ref="C9:C10"/>
    <mergeCell ref="C11:C12"/>
    <mergeCell ref="C13:C14"/>
    <mergeCell ref="C18:F18"/>
    <mergeCell ref="C34:C35"/>
    <mergeCell ref="C36:C37"/>
    <mergeCell ref="C38:C39"/>
    <mergeCell ref="C40:C41"/>
    <mergeCell ref="C20:C21"/>
    <mergeCell ref="C22:C23"/>
    <mergeCell ref="C24:C25"/>
    <mergeCell ref="C26:C27"/>
    <mergeCell ref="C28:C29"/>
    <mergeCell ref="B32:B41"/>
    <mergeCell ref="C32:C3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72" t="s">
        <v>240</v>
      </c>
    </row>
    <row r="4">
      <c r="B4" s="73"/>
    </row>
    <row r="5">
      <c r="B5" s="74" t="s">
        <v>241</v>
      </c>
    </row>
    <row r="6">
      <c r="B6" s="75" t="s">
        <v>242</v>
      </c>
    </row>
    <row r="7">
      <c r="B7" s="76"/>
    </row>
    <row r="8">
      <c r="B8" s="74" t="s">
        <v>243</v>
      </c>
    </row>
    <row r="9">
      <c r="B9" s="74" t="s">
        <v>244</v>
      </c>
    </row>
    <row r="10">
      <c r="B10" s="77"/>
    </row>
    <row r="11">
      <c r="B11" s="74" t="s">
        <v>245</v>
      </c>
    </row>
    <row r="12">
      <c r="B12" s="75" t="s">
        <v>246</v>
      </c>
    </row>
    <row r="13">
      <c r="B13" s="76"/>
    </row>
    <row r="14">
      <c r="B14" s="78" t="s">
        <v>247</v>
      </c>
    </row>
    <row r="15">
      <c r="B15" s="74" t="s">
        <v>248</v>
      </c>
    </row>
    <row r="16">
      <c r="B16" s="74" t="s">
        <v>249</v>
      </c>
    </row>
    <row r="17">
      <c r="B17" s="78" t="s">
        <v>250</v>
      </c>
    </row>
    <row r="18">
      <c r="B18" s="78" t="s">
        <v>251</v>
      </c>
    </row>
    <row r="19">
      <c r="B19" s="74" t="s">
        <v>252</v>
      </c>
    </row>
    <row r="20">
      <c r="B20" s="74" t="s">
        <v>253</v>
      </c>
    </row>
    <row r="21">
      <c r="B21" s="74" t="s">
        <v>254</v>
      </c>
    </row>
    <row r="22">
      <c r="B22" s="74" t="s">
        <v>255</v>
      </c>
    </row>
    <row r="23">
      <c r="B23" s="74" t="s">
        <v>256</v>
      </c>
    </row>
    <row r="24">
      <c r="B24" s="74" t="s">
        <v>257</v>
      </c>
    </row>
    <row r="25">
      <c r="B25" s="77"/>
    </row>
    <row r="26">
      <c r="B26" s="74" t="s">
        <v>258</v>
      </c>
    </row>
    <row r="27">
      <c r="B27" s="75" t="s">
        <v>259</v>
      </c>
    </row>
    <row r="28">
      <c r="B28" s="76"/>
    </row>
    <row r="29">
      <c r="B29" s="78" t="s">
        <v>260</v>
      </c>
    </row>
    <row r="30">
      <c r="B30" s="74" t="s">
        <v>261</v>
      </c>
    </row>
    <row r="31">
      <c r="B31" s="74" t="s">
        <v>262</v>
      </c>
    </row>
    <row r="32">
      <c r="B32" s="78" t="s">
        <v>263</v>
      </c>
    </row>
    <row r="33">
      <c r="B33" s="74" t="s">
        <v>264</v>
      </c>
    </row>
    <row r="34">
      <c r="B34" s="74" t="s">
        <v>265</v>
      </c>
    </row>
    <row r="35">
      <c r="B35" s="74" t="s">
        <v>266</v>
      </c>
    </row>
    <row r="36">
      <c r="B36" s="74" t="s">
        <v>267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8.0"/>
  </cols>
  <sheetData>
    <row r="6">
      <c r="B6" s="79" t="s">
        <v>268</v>
      </c>
    </row>
    <row r="7">
      <c r="B7" s="38" t="s">
        <v>269</v>
      </c>
      <c r="C7" s="1"/>
      <c r="D7" s="1"/>
      <c r="E7" s="1"/>
    </row>
    <row r="8">
      <c r="B8" s="38" t="s">
        <v>270</v>
      </c>
      <c r="C8" s="1"/>
      <c r="D8" s="1"/>
      <c r="E8" s="1"/>
    </row>
    <row r="9">
      <c r="B9" s="38" t="s">
        <v>271</v>
      </c>
      <c r="C9" s="1"/>
      <c r="D9" s="1"/>
      <c r="E9" s="1"/>
    </row>
    <row r="10">
      <c r="B10" s="38" t="s">
        <v>272</v>
      </c>
      <c r="C10" s="1"/>
      <c r="D10" s="1"/>
      <c r="E10" s="1"/>
    </row>
    <row r="11">
      <c r="B11" s="38" t="s">
        <v>273</v>
      </c>
      <c r="C11" s="1"/>
      <c r="D11" s="1"/>
      <c r="E11" s="1"/>
    </row>
    <row r="12">
      <c r="B12" s="1"/>
      <c r="C12" s="1"/>
      <c r="D12" s="1"/>
      <c r="E12" s="1"/>
    </row>
    <row r="13">
      <c r="B13" s="80" t="s">
        <v>274</v>
      </c>
      <c r="C13" s="1"/>
      <c r="D13" s="1"/>
      <c r="E13" s="1"/>
    </row>
    <row r="14">
      <c r="B14" s="38" t="s">
        <v>275</v>
      </c>
      <c r="C14" s="1"/>
      <c r="D14" s="1"/>
      <c r="E14" s="1"/>
    </row>
    <row r="15">
      <c r="B15" s="38" t="s">
        <v>276</v>
      </c>
      <c r="C15" s="1"/>
      <c r="D15" s="1"/>
      <c r="E15" s="1"/>
    </row>
    <row r="16">
      <c r="B16" s="38" t="s">
        <v>277</v>
      </c>
      <c r="C16" s="1"/>
      <c r="D16" s="1"/>
      <c r="E16" s="1"/>
    </row>
    <row r="17">
      <c r="B17" s="38" t="s">
        <v>278</v>
      </c>
      <c r="C17" s="1"/>
      <c r="D17" s="1"/>
      <c r="E17" s="1"/>
    </row>
    <row r="18">
      <c r="B18" s="38" t="s">
        <v>279</v>
      </c>
      <c r="C18" s="1"/>
      <c r="D18" s="1"/>
      <c r="E18" s="1"/>
    </row>
    <row r="19">
      <c r="B19" s="1"/>
      <c r="C19" s="1"/>
      <c r="D19" s="1"/>
      <c r="E19" s="1"/>
    </row>
    <row r="20">
      <c r="B20" s="80" t="s">
        <v>280</v>
      </c>
      <c r="C20" s="1"/>
      <c r="D20" s="1"/>
      <c r="E20" s="1"/>
    </row>
    <row r="21">
      <c r="B21" s="38" t="s">
        <v>281</v>
      </c>
      <c r="C21" s="1"/>
      <c r="D21" s="1"/>
      <c r="E21" s="1"/>
    </row>
    <row r="22">
      <c r="B22" s="38" t="s">
        <v>282</v>
      </c>
      <c r="C22" s="1"/>
      <c r="D22" s="1"/>
      <c r="E22" s="1"/>
    </row>
    <row r="23">
      <c r="B23" s="38" t="s">
        <v>283</v>
      </c>
      <c r="C23" s="1"/>
      <c r="D23" s="1"/>
      <c r="E23" s="1"/>
    </row>
    <row r="24">
      <c r="B24" s="38" t="s">
        <v>284</v>
      </c>
      <c r="C24" s="1"/>
      <c r="D24" s="1"/>
      <c r="E24" s="1"/>
    </row>
    <row r="25">
      <c r="B25" s="38" t="s">
        <v>285</v>
      </c>
      <c r="C25" s="1"/>
      <c r="D25" s="1"/>
      <c r="E25" s="1"/>
    </row>
    <row r="26">
      <c r="B26" s="1"/>
      <c r="C26" s="1"/>
      <c r="D26" s="1"/>
      <c r="E26" s="1"/>
    </row>
    <row r="27">
      <c r="B27" s="80" t="s">
        <v>286</v>
      </c>
      <c r="C27" s="1"/>
      <c r="D27" s="1"/>
      <c r="E27" s="1"/>
    </row>
    <row r="28">
      <c r="B28" s="38" t="s">
        <v>287</v>
      </c>
      <c r="C28" s="1"/>
      <c r="D28" s="1"/>
      <c r="E28" s="1"/>
    </row>
    <row r="29">
      <c r="B29" s="38" t="s">
        <v>288</v>
      </c>
      <c r="C29" s="1"/>
      <c r="D29" s="1"/>
      <c r="E29" s="1"/>
    </row>
    <row r="30">
      <c r="B30" s="38" t="s">
        <v>289</v>
      </c>
      <c r="C30" s="1"/>
      <c r="D30" s="1"/>
      <c r="E30" s="1"/>
    </row>
    <row r="31">
      <c r="B31" s="38" t="s">
        <v>290</v>
      </c>
      <c r="C31" s="1"/>
      <c r="D31" s="1"/>
      <c r="E31" s="1"/>
    </row>
    <row r="32">
      <c r="B32" s="38" t="s">
        <v>291</v>
      </c>
      <c r="C32" s="1"/>
      <c r="D32" s="1"/>
      <c r="E32" s="1"/>
    </row>
    <row r="33">
      <c r="B33" s="1"/>
      <c r="C33" s="1"/>
      <c r="D33" s="1"/>
      <c r="E33" s="1"/>
    </row>
    <row r="34">
      <c r="B34" s="80" t="s">
        <v>66</v>
      </c>
      <c r="C34" s="1"/>
      <c r="D34" s="1"/>
      <c r="E34" s="1"/>
    </row>
    <row r="35">
      <c r="B35" s="38" t="s">
        <v>292</v>
      </c>
      <c r="C35" s="1"/>
      <c r="D35" s="1"/>
      <c r="E35" s="1"/>
    </row>
    <row r="36">
      <c r="B36" s="81" t="s">
        <v>293</v>
      </c>
      <c r="C36" s="1"/>
      <c r="D36" s="1"/>
      <c r="E36" s="1"/>
    </row>
    <row r="37">
      <c r="B37" s="38" t="s">
        <v>294</v>
      </c>
      <c r="C37" s="1"/>
      <c r="D37" s="1"/>
      <c r="E37" s="1"/>
    </row>
    <row r="38">
      <c r="B38" s="38" t="s">
        <v>295</v>
      </c>
      <c r="C38" s="1"/>
      <c r="D38" s="1"/>
      <c r="E38" s="1"/>
    </row>
    <row r="39">
      <c r="B39" s="38" t="s">
        <v>296</v>
      </c>
      <c r="C39" s="1"/>
      <c r="D39" s="1"/>
      <c r="E39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82" t="s">
        <v>297</v>
      </c>
    </row>
    <row r="4">
      <c r="B4" s="82" t="s">
        <v>298</v>
      </c>
    </row>
  </sheetData>
  <drawing r:id="rId1"/>
</worksheet>
</file>