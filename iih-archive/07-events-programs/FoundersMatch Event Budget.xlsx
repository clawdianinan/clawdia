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<sst xmlns="http://schemas.openxmlformats.org/spreadsheetml/2006/main" count="15" uniqueCount="15">
  <si>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Pre-Event Costs</t>
  </si>
  <si>
    <t>Feeding &amp; entertainment</t>
  </si>
  <si>
    <t>Name tags, badges &amp; markers</t>
  </si>
  <si>
    <t>Furniture rental &amp; event layout</t>
  </si>
  <si>
    <t>Branding (indoor &amp; outdoor) &amp; Signages</t>
  </si>
  <si>
    <t>Digital timers</t>
  </si>
  <si>
    <t>Writing materials &amp; souvenirs</t>
  </si>
  <si>
    <t>Photography &amp; Videography</t>
  </si>
  <si>
    <t>Mentor travel (return ticket to/fro Ilorin)</t>
  </si>
  <si>
    <t>Mentor accomodation (2 nights)</t>
  </si>
  <si>
    <t>Bus rental for mentors</t>
  </si>
  <si>
    <t>Post-Event Costs</t>
  </si>
  <si>
    <t>CAC company registration for startups created</t>
  </si>
  <si>
    <t>Logo design for startups created</t>
  </si>
  <si>
    <t>Domain registration for startups created (1 yr)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</si>
</sst>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</cols>
  <sheetData>
    <row r="1">
      <c r="A1" s="1"/>
    </row>
    <row r="2">
      <c r="A2" s="2" t="s">
        <v>0</v>
      </c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</v>
      </c>
      <c r="B3" s="7">
        <v>200.0</v>
      </c>
      <c r="C3" s="8">
        <v>2000.0</v>
      </c>
      <c r="D3" s="8">
        <f t="shared" ref="D3:D12" si="1">B3*C3</f>
        <v>400000</v>
      </c>
    </row>
    <row r="4">
      <c r="A4" s="6" t="s">
        <v>2</v>
      </c>
      <c r="B4" s="7">
        <v>200.0</v>
      </c>
      <c r="C4" s="7">
        <v>700.0</v>
      </c>
      <c r="D4" s="8">
        <f t="shared" si="1"/>
        <v>140000</v>
      </c>
    </row>
    <row r="5">
      <c r="A5" s="6" t="s">
        <v>3</v>
      </c>
      <c r="B5" s="7">
        <v>1.0</v>
      </c>
      <c r="C5" s="8">
        <v>200000.0</v>
      </c>
      <c r="D5" s="8">
        <f t="shared" si="1"/>
        <v>200000</v>
      </c>
    </row>
    <row r="6">
      <c r="A6" s="6" t="s">
        <v>4</v>
      </c>
      <c r="B6" s="7">
        <v>1.0</v>
      </c>
      <c r="C6" s="8">
        <v>800000.0</v>
      </c>
      <c r="D6" s="8">
        <f t="shared" si="1"/>
        <v>800000</v>
      </c>
    </row>
    <row r="7">
      <c r="A7" s="6" t="s">
        <v>5</v>
      </c>
      <c r="B7" s="7">
        <v>10.0</v>
      </c>
      <c r="C7" s="8">
        <v>15000.0</v>
      </c>
      <c r="D7" s="8">
        <f t="shared" si="1"/>
        <v>150000</v>
      </c>
    </row>
    <row r="8">
      <c r="A8" s="6" t="s">
        <v>6</v>
      </c>
      <c r="B8" s="7">
        <v>200.0</v>
      </c>
      <c r="C8" s="7">
        <v>2000.0</v>
      </c>
      <c r="D8" s="8">
        <f t="shared" si="1"/>
        <v>400000</v>
      </c>
    </row>
    <row r="9">
      <c r="A9" s="6" t="s">
        <v>7</v>
      </c>
      <c r="B9" s="7">
        <v>1.0</v>
      </c>
      <c r="C9" s="8">
        <v>500000.0</v>
      </c>
      <c r="D9" s="8">
        <f t="shared" si="1"/>
        <v>500000</v>
      </c>
    </row>
    <row r="10">
      <c r="A10" s="6" t="s">
        <v>8</v>
      </c>
      <c r="B10" s="7">
        <v>10.0</v>
      </c>
      <c r="C10" s="8">
        <v>300000.0</v>
      </c>
      <c r="D10" s="8">
        <f t="shared" si="1"/>
        <v>3000000</v>
      </c>
    </row>
    <row r="11">
      <c r="A11" s="6" t="s">
        <v>9</v>
      </c>
      <c r="B11" s="8">
        <v>10.0</v>
      </c>
      <c r="C11" s="8">
        <v>80000.0</v>
      </c>
      <c r="D11" s="8">
        <f t="shared" si="1"/>
        <v>800000</v>
      </c>
    </row>
    <row r="12">
      <c r="A12" s="6" t="s">
        <v>10</v>
      </c>
      <c r="B12" s="8">
        <v>1.0</v>
      </c>
      <c r="C12" s="8">
        <v>150000.0</v>
      </c>
      <c r="D12" s="8">
        <f t="shared" si="1"/>
        <v>150000</v>
      </c>
    </row>
    <row r="13">
      <c r="A13" s="6"/>
      <c r="B13" s="8"/>
      <c r="C13" s="8"/>
      <c r="D13" s="4">
        <f>SUM(D3:D12)</f>
        <v>6540000</v>
      </c>
    </row>
    <row r="14">
      <c r="A14" s="6"/>
      <c r="B14" s="8"/>
      <c r="C14" s="8"/>
      <c r="D14" s="8"/>
    </row>
    <row r="15">
      <c r="A15" s="2" t="s">
        <v>11</v>
      </c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12</v>
      </c>
      <c r="B16" s="8">
        <v>20.0</v>
      </c>
      <c r="C16" s="8">
        <v>90000.0</v>
      </c>
      <c r="D16" s="8">
        <f t="shared" ref="D16:D18" si="2">B16*C16</f>
        <v>1800000</v>
      </c>
    </row>
    <row r="17">
      <c r="A17" s="6" t="s">
        <v>13</v>
      </c>
      <c r="B17" s="8">
        <v>20.0</v>
      </c>
      <c r="C17" s="8">
        <v>50000.0</v>
      </c>
      <c r="D17" s="8">
        <f t="shared" si="2"/>
        <v>1000000</v>
      </c>
    </row>
    <row r="18">
      <c r="A18" s="6" t="s">
        <v>14</v>
      </c>
      <c r="B18" s="8">
        <v>20.0</v>
      </c>
      <c r="C18" s="8">
        <v>25000.0</v>
      </c>
      <c r="D18" s="8">
        <f t="shared" si="2"/>
        <v>500000</v>
      </c>
    </row>
    <row r="19">
      <c r="A19" s="1"/>
      <c r="D19" s="9">
        <f>SUM(D16:D18)</f>
        <v>3300000</v>
      </c>
    </row>
    <row r="20">
      <c r="A20" s="1"/>
    </row>
    <row r="21">
      <c r="A21" s="1"/>
      <c r="D21" s="10">
        <f>SUM(D13+D19)</f>
        <v>9840000</v>
      </c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</sheetData>
  <drawing r:id="rId1"/>
</worksheet>
</file>