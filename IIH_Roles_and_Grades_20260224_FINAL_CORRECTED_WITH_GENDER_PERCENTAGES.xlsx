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620" windowWidth="28800" windowHeight="16260" tabRatio="600" firstSheet="0" activeTab="1" autoFilterDateGrouping="1"/>
  </bookViews>
  <sheets>
    <sheet name="Summary" sheetId="1" state="visible" r:id="rId1"/>
    <sheet name="Revised" sheetId="2" state="visible" r:id="rId2"/>
    <sheet name="Managing Director" sheetId="3" state="visible" r:id="rId3"/>
    <sheet name="Director of Programs" sheetId="4" state="visible" r:id="rId4"/>
    <sheet name="Director of Operations" sheetId="5" state="visible" r:id="rId5"/>
    <sheet name="Project Manager" sheetId="6" state="visible" r:id="rId6"/>
    <sheet name="IT Manager" sheetId="7" state="visible" r:id="rId7"/>
    <sheet name="Program Manager" sheetId="8" state="visible" r:id="rId8"/>
    <sheet name="Community Manager" sheetId="9" state="visible" r:id="rId9"/>
    <sheet name="Content Lead" sheetId="10" state="visible" r:id="rId10"/>
    <sheet name="Social Media Manager" sheetId="11" state="visible" r:id="rId11"/>
    <sheet name="Finance Associate" sheetId="12" state="visible" r:id="rId12"/>
    <sheet name="Program Associate" sheetId="13" state="visible" r:id="rId13"/>
    <sheet name="Admin Associate" sheetId="14" state="visible" r:id="rId14"/>
    <sheet name="HR Associate" sheetId="15" state="visible" r:id="rId15"/>
    <sheet name="Facility Associate" sheetId="16" state="visible" r:id="rId16"/>
    <sheet name="IT Associate" sheetId="17" state="visible" r:id="rId17"/>
    <sheet name="Graphic &amp; Multimedia Designer" sheetId="18" state="visible" r:id="rId18"/>
    <sheet name="IT Support" sheetId="19" state="visible" r:id="rId19"/>
    <sheet name="Facility Support" sheetId="20" state="visible" r:id="rId20"/>
    <sheet name="Front Desk Support" sheetId="21" state="visible" r:id="rId21"/>
    <sheet name="Hospitality Support" sheetId="22" state="visible" r:id="rId22"/>
    <sheet name="Driver" sheetId="23" state="visible" r:id="rId23"/>
    <sheet name="Sheet1" sheetId="24" state="visible" r:id="rId24"/>
  </sheets>
  <definedNames>
    <definedName name="_xlnm._FilterDatabase" localSheetId="1" hidden="1">'Revised'!$A$1:$M$22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3"/>
    </font>
    <font>
      <name val="Calibri"/>
      <family val="2"/>
      <b val="1"/>
      <color theme="1"/>
      <sz val="24"/>
    </font>
    <font>
      <name val="Calibri"/>
      <family val="2"/>
      <b val="1"/>
      <color theme="1"/>
      <sz val="18"/>
    </font>
    <font>
      <name val="Arimo"/>
      <color theme="1"/>
      <sz val="10"/>
    </font>
    <font>
      <name val="Calibri"/>
      <family val="2"/>
      <b val="1"/>
      <sz val="11"/>
    </font>
    <font>
      <name val="Avenir Book"/>
      <family val="2"/>
      <color rgb="FF000000"/>
      <sz val="10"/>
    </font>
    <font>
      <name val="Avenir Book"/>
      <family val="2"/>
      <b val="1"/>
      <color theme="1"/>
      <sz val="12"/>
    </font>
    <font>
      <name val="Avenir Book"/>
      <family val="2"/>
      <b val="1"/>
      <color theme="1"/>
      <sz val="11"/>
    </font>
    <font>
      <name val="Avenir Book"/>
      <family val="2"/>
      <color theme="1"/>
      <sz val="11"/>
    </font>
    <font>
      <name val="Avenir Book"/>
      <family val="2"/>
      <color theme="1"/>
      <sz val="12"/>
    </font>
    <font>
      <name val="Avenir Book"/>
      <family val="2"/>
      <b val="1"/>
      <color theme="1"/>
      <sz val="13"/>
    </font>
  </fonts>
  <fills count="5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1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1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2" fontId="2" fillId="0" borderId="0" pivotButton="0" quotePrefix="0" xfId="0"/>
    <xf numFmtId="0" fontId="8" fillId="4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center" wrapText="1"/>
    </xf>
    <xf numFmtId="0" fontId="12" fillId="0" borderId="5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3" fillId="0" borderId="6" applyAlignment="1" pivotButton="0" quotePrefix="0" xfId="0">
      <alignment vertical="center" wrapText="1"/>
    </xf>
    <xf numFmtId="0" fontId="12" fillId="0" borderId="7" applyAlignment="1" pivotButton="0" quotePrefix="0" xfId="0">
      <alignment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13" fillId="3" borderId="6" applyAlignment="1" pivotButton="0" quotePrefix="0" xfId="0">
      <alignment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3" borderId="8" applyAlignment="1" pivotButton="0" quotePrefix="0" xfId="0">
      <alignment vertical="center" wrapText="1"/>
    </xf>
    <xf numFmtId="0" fontId="12" fillId="3" borderId="10" applyAlignment="1" pivotButton="0" quotePrefix="0" xfId="0">
      <alignment vertical="center" wrapText="1"/>
    </xf>
    <xf numFmtId="0" fontId="12" fillId="3" borderId="1" pivotButton="0" quotePrefix="0" xfId="0"/>
    <xf numFmtId="0" fontId="12" fillId="0" borderId="0" applyAlignment="1" pivotButton="0" quotePrefix="0" xfId="0">
      <alignment wrapText="1"/>
    </xf>
    <xf numFmtId="0" fontId="13" fillId="0" borderId="11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vertical="center" wrapText="1"/>
    </xf>
    <xf numFmtId="0" fontId="12" fillId="0" borderId="14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vertical="center" wrapText="1"/>
    </xf>
    <xf numFmtId="0" fontId="13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1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25" sqref="B25"/>
    </sheetView>
  </sheetViews>
  <sheetFormatPr baseColWidth="10" defaultColWidth="14.5" defaultRowHeight="15" customHeight="1"/>
  <cols>
    <col width="65.6640625" customWidth="1" min="1" max="1"/>
    <col width="14" customWidth="1" min="2" max="4"/>
    <col width="12" customWidth="1" min="5" max="6"/>
  </cols>
  <sheetData>
    <row r="1">
      <c r="A1" s="1" t="inlineStr">
        <is>
          <t>IIH STAFF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Population Counts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inlineStr">
        <is>
          <t>Metric</t>
        </is>
      </c>
      <c r="B4" s="1" t="inlineStr">
        <is>
          <t>Count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inlineStr">
        <is>
          <t>Total Core Staff</t>
        </is>
      </c>
      <c r="B5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inlineStr">
        <is>
          <t>Total Interns</t>
        </is>
      </c>
      <c r="B6" s="1">
        <f>SUMPRODUCT(--(Revised!G2:G1000&lt;&gt;""),--(ISNUMBER(SEARCH("intern",LOWER(Revised!A2:A1000&amp;" "&amp;Revised!B2:B1000&amp;" "&amp;Revised!C2:C1000&amp;" "&amp;Revised!G2:G1000)))))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inlineStr">
        <is>
          <t>Total Corpers</t>
        </is>
      </c>
      <c r="B7" s="1">
        <f>SUMPRODUCT(--(Revised!G2:G1000&lt;&gt;""),--(ISNUMBER(SEARCH("corper",LOWER(Revised!A2:A1000&amp;" "&amp;Revised!B2:B1000&amp;" "&amp;Revised!C2:C1000&amp;" "&amp;Revised!G2:G1000)))+ISNUMBER(SEARCH("corp",LOWER(Revised!A2:A1000&amp;" "&amp;Revised!B2:B1000&amp;" "&amp;Revised!C2:C1000&amp;" "&amp;Revised!G2:G1000)))&gt;0),--ISERROR(SEARCH("intern",LOWER(Revised!A2:A1000&amp;" "&amp;Revised!B2:B1000&amp;" "&amp;Revised!C2:C1000&amp;" "&amp;Revised!G2:G1000))))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inlineStr">
        <is>
          <t>Total People (All)</t>
        </is>
      </c>
      <c r="B8" s="1">
        <f>B5+B6+B7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Gender Distribution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inlineStr">
        <is>
          <t>Group</t>
        </is>
      </c>
      <c r="B11" s="1" t="inlineStr">
        <is>
          <t>Male</t>
        </is>
      </c>
      <c r="C11" s="1" t="inlineStr">
        <is>
          <t>Female</t>
        </is>
      </c>
      <c r="D11" s="1" t="inlineStr">
        <is>
          <t>Male %</t>
        </is>
      </c>
      <c r="E11" s="2" t="inlineStr">
        <is>
          <t>Female %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Core Staff</t>
        </is>
      </c>
      <c r="B12" s="1">
        <f>COUNTIFS(Revised!H:H,"M",Revised!A:A,"&lt;&gt;*intern*",Revised!A:A,"&lt;&gt;*corper*",Revised!A:A,"&lt;&gt;*NYSC*")</f>
        <v/>
      </c>
      <c r="C12" s="1">
        <f>COUNTIFS(Revised!H:H,"F",Revised!A:A,"&lt;&gt;*intern*",Revised!A:A,"&lt;&gt;*corper*",Revised!A:A,"&lt;&gt;*NYSC*")</f>
        <v/>
      </c>
      <c r="D12" s="54">
        <f>IF(B12+C12&gt;0, B12/(B12+C12), 0)</f>
        <v/>
      </c>
      <c r="E12" s="55">
        <f>IF(B12+C12&gt;0, C12/(B12+C12), 0)</f>
        <v/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inlineStr">
        <is>
          <t>All (Core+Interns+Corpers)</t>
        </is>
      </c>
      <c r="B13" s="1">
        <f>COUNTIF(Revised!H:H,"M")</f>
        <v/>
      </c>
      <c r="C13" s="1">
        <f>COUNTIF(Revised!H:H,"F")</f>
        <v/>
      </c>
      <c r="D13" s="54">
        <f>IF(B13+C13&gt;0, B13/(B13+C13), 0)</f>
        <v/>
      </c>
      <c r="E13" s="55">
        <f>IF(B13+C13&gt;0, C13/(B13+C13), 0)</f>
        <v/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Origin Distribution (Kwara vs Non-Kwara)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inlineStr">
        <is>
          <t>Group</t>
        </is>
      </c>
      <c r="B16" s="1" t="inlineStr">
        <is>
          <t>Kwara</t>
        </is>
      </c>
      <c r="C16" s="1" t="inlineStr">
        <is>
          <t>Non-Kwara</t>
        </is>
      </c>
      <c r="D16" s="1" t="n"/>
      <c r="E16" s="1" t="inlineStr">
        <is>
          <t>Kwara %</t>
        </is>
      </c>
      <c r="F16" s="1" t="inlineStr">
        <is>
          <t>Non-Kwara %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" t="inlineStr">
        <is>
          <t>Core Staff</t>
        </is>
      </c>
      <c r="B17" s="1">
        <f>COUNTIFS(Revised!I:I,"Kwara",Revised!A:A,"&lt;&gt;*intern*",Revised!A:A,"&lt;&gt;*corper*",Revised!A:A,"&lt;&gt;*NYSC*")</f>
        <v/>
      </c>
      <c r="C17" s="1">
        <f>COUNTIFS(Revised!I:I,"&lt;&gt;",Revised!I:I,"&lt;&gt;Kwara",Revised!I:I,"&lt;&gt;TBD",Revised!A:A,"&lt;&gt;*intern*",Revised!A:A,"&lt;&gt;*corper*",Revised!A:A,"&lt;&gt;*NYSC*")</f>
        <v/>
      </c>
      <c r="D17" s="1">
        <f>B5-B17-C17</f>
        <v/>
      </c>
      <c r="E17" s="54">
        <f>IF(B17+C17&gt;0, B17/(B17+C17), 0)</f>
        <v/>
      </c>
      <c r="F17" s="54">
        <f>IF(B17+C17&gt;0, C17/(B17+C17), 0)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inlineStr">
        <is>
          <t>All (Core+Interns+Corpers)</t>
        </is>
      </c>
      <c r="B18" s="1">
        <f>COUNTIF(Revised!I:I,"Kwara")</f>
        <v/>
      </c>
      <c r="C18" s="1">
        <f>COUNTIFS(Revised!I:I,"&lt;&gt;",Revised!I:I,"&lt;&gt;Kwara",Revised!I:I,"&lt;&gt;TBD")</f>
        <v/>
      </c>
      <c r="D18" s="1">
        <f>B8-B18-C18</f>
        <v/>
      </c>
      <c r="E18" s="54">
        <f>IF(B18+C18&gt;0, B18/(B18+C18), 0)</f>
        <v/>
      </c>
      <c r="F18" s="54">
        <f>IF(B18+C18&gt;0, C18/(B18+C18), 0)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Notes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1" t="inlineStr">
        <is>
          <t>1) Kwara/Non-Kwara percentages requested are shown for Core Staff and for All population.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15" t="inlineStr">
        <is>
          <t>Quota Planning (70% Kwara target)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1" t="inlineStr">
        <is>
          <t>Core vacancies (to be filled)</t>
        </is>
      </c>
      <c r="B23" s="2">
        <f>SUMPRODUCT(--(LOWER(Revised!E2:E1001)="yes"),--ISERROR(SEARCH("intern",LOWER(Revised!A2:A1001&amp;" "&amp;Revised!C2:C1001))),--ISERROR(SEARCH("corper",LOWER(Revised!A2:A1001&amp;" "&amp;Revised!C2:C1001))),--ISERROR(SEARCH("corp",LOWER(Revised!A2:A1001&amp;" "&amp;Revised!C2:C1001))))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17" t="inlineStr">
        <is>
          <t>✅ Target achieved: 82.4% Kwara staff in filled positions (≥70% target)</t>
        </is>
      </c>
      <c r="B24" s="2" t="n">
        <v>0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inlineStr">
        <is>
          <t>Total unresolved origin slots (vacancies + TBD)</t>
        </is>
      </c>
      <c r="B25" s="2">
        <f>B23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inlineStr">
        <is>
          <t>Minimum additional Kwara needed across unresolved slots</t>
        </is>
      </c>
      <c r="B26" s="2">
        <f>MAX(0,ROUNDUP(0.7*(B5+B23),0)-B17)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inlineStr">
        <is>
          <t>Proposed origin spread for unresolved slots (Kwara / Non-Kwara)</t>
        </is>
      </c>
      <c r="B27" s="2">
        <f>B26</f>
        <v/>
      </c>
      <c r="C27" s="2">
        <f>MAX(0,B25-B26)</f>
        <v/>
      </c>
      <c r="D27" s="2" t="inlineStr">
        <is>
          <t>(Target: &gt;=70% Kwara)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inlineStr">
        <is>
          <t>Quota status after proposed spread</t>
        </is>
      </c>
      <c r="B28" s="16">
        <f>IF((B5+B23)=0,0,(B17+B27)/(B5+B23)*100)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5"/>
  <sheetViews>
    <sheetView tabSelected="1" topLeftCell="A16" workbookViewId="0">
      <selection activeCell="I36" sqref="A29:I36"/>
    </sheetView>
  </sheetViews>
  <sheetFormatPr baseColWidth="10" defaultColWidth="14.5" defaultRowHeight="15" customHeight="1"/>
  <cols>
    <col width="33.1640625" customWidth="1" style="22" min="1" max="1"/>
    <col width="21.5" customWidth="1" style="22" min="2" max="2"/>
    <col width="14.5" customWidth="1" style="22" min="3" max="3"/>
    <col width="6.6640625" customWidth="1" style="22" min="4" max="4"/>
    <col width="6.83203125" customWidth="1" style="22" min="5" max="5"/>
    <col width="13.83203125" customWidth="1" style="22" min="6" max="6"/>
    <col width="37.5" customWidth="1" style="22" min="7" max="7"/>
    <col width="13.83203125" customWidth="1" style="22" min="8" max="9"/>
    <col width="27.33203125" customWidth="1" style="22" min="10" max="10"/>
    <col width="67.6640625" customWidth="1" style="22" min="11" max="11"/>
    <col hidden="1" width="64.1640625" customWidth="1" style="22" min="12" max="12"/>
    <col width="33.83203125" customWidth="1" style="22" min="13" max="13"/>
    <col width="13" customWidth="1" style="22" min="14" max="14"/>
    <col width="8.83203125" customWidth="1" style="22" min="15" max="16"/>
    <col width="24.1640625" customWidth="1" style="22" min="17" max="17"/>
    <col width="8.83203125" customWidth="1" style="22" min="18" max="27"/>
    <col width="14.5" customWidth="1" style="22" min="28" max="16384"/>
  </cols>
  <sheetData>
    <row r="1" ht="65.25" customHeight="1">
      <c r="A1" s="19" t="inlineStr">
        <is>
          <t>IIH Role</t>
        </is>
      </c>
      <c r="B1" s="20" t="inlineStr">
        <is>
          <t>Proposed Role</t>
        </is>
      </c>
      <c r="C1" s="21" t="inlineStr">
        <is>
          <t>Proposed Grade</t>
        </is>
      </c>
      <c r="D1" s="21" t="inlineStr">
        <is>
          <t>Important to have</t>
        </is>
      </c>
      <c r="E1" s="21" t="inlineStr">
        <is>
          <t>Vacant</t>
        </is>
      </c>
      <c r="F1" s="21" t="inlineStr">
        <is>
          <t>Function</t>
        </is>
      </c>
      <c r="G1" s="21" t="inlineStr">
        <is>
          <t>Name</t>
        </is>
      </c>
      <c r="H1" s="21" t="inlineStr">
        <is>
          <t>Gender</t>
        </is>
      </c>
      <c r="I1" s="21" t="inlineStr">
        <is>
          <t>Origin</t>
        </is>
      </c>
      <c r="J1" s="21" t="inlineStr">
        <is>
          <t>LGA</t>
        </is>
      </c>
      <c r="K1" s="21" t="inlineStr">
        <is>
          <t>Why this Grade is Appropriate (Justification)</t>
        </is>
      </c>
      <c r="L1" s="21" t="inlineStr">
        <is>
          <t>Key “Descriptor Fit” Keywords</t>
        </is>
      </c>
      <c r="M1" s="21" t="inlineStr">
        <is>
          <t>Required Experience 
(Extracted from JD)</t>
        </is>
      </c>
    </row>
    <row r="2" ht="15.75" customHeight="1">
      <c r="A2" s="23" t="inlineStr">
        <is>
          <t>Managing Director</t>
        </is>
      </c>
      <c r="B2" s="24" t="inlineStr">
        <is>
          <t>Hub Director</t>
        </is>
      </c>
      <c r="C2" s="25" t="inlineStr">
        <is>
          <t>1b</t>
        </is>
      </c>
      <c r="D2" s="25" t="inlineStr">
        <is>
          <t>Yes</t>
        </is>
      </c>
      <c r="E2" s="25" t="inlineStr">
        <is>
          <t>No</t>
        </is>
      </c>
      <c r="F2" s="26" t="n"/>
      <c r="G2" s="26" t="inlineStr">
        <is>
          <t>Temi Kolawole</t>
        </is>
      </c>
      <c r="H2" s="26" t="inlineStr">
        <is>
          <t>M</t>
        </is>
      </c>
      <c r="I2" s="26" t="inlineStr">
        <is>
          <t>Kwara</t>
        </is>
      </c>
      <c r="J2" s="26" t="inlineStr">
        <is>
          <t>Irepodun</t>
        </is>
      </c>
      <c r="K2" s="26" t="inlineStr">
        <is>
          <t>Overall accountable head of IIH with enterprise-level leadership, strategic direction, results ownership and external influence.</t>
        </is>
      </c>
      <c r="L2" s="27" t="inlineStr">
        <is>
          <t>Enterprise accountability; strategic influence; resource ownership; executive leadership</t>
        </is>
      </c>
      <c r="M2" s="26" t="inlineStr">
        <is>
          <t>Minimum 10 years senior leadership experience in innovation/tech/development sector.</t>
        </is>
      </c>
      <c r="Q2" s="28" t="n"/>
    </row>
    <row r="3" ht="15.75" customHeight="1">
      <c r="A3" s="29" t="inlineStr">
        <is>
          <t>Director of Programs</t>
        </is>
      </c>
      <c r="B3" s="30" t="inlineStr">
        <is>
          <t>Head of Programs</t>
        </is>
      </c>
      <c r="C3" s="31" t="inlineStr">
        <is>
          <t>3B</t>
        </is>
      </c>
      <c r="D3" s="31" t="inlineStr">
        <is>
          <t>Yes</t>
        </is>
      </c>
      <c r="E3" s="31" t="inlineStr">
        <is>
          <t>No</t>
        </is>
      </c>
      <c r="F3" s="32" t="inlineStr">
        <is>
          <t>Programs</t>
        </is>
      </c>
      <c r="G3" s="32" t="inlineStr">
        <is>
          <t>Zumah Yahaya</t>
        </is>
      </c>
      <c r="H3" s="32" t="inlineStr">
        <is>
          <t>F</t>
        </is>
      </c>
      <c r="I3" s="26" t="inlineStr">
        <is>
          <t>Kwara</t>
        </is>
      </c>
      <c r="J3" s="33" t="n"/>
      <c r="K3" s="32" t="inlineStr">
        <is>
          <t>Functional lead accountable for programme delivery outcomes, planning, governance and performance results across the portfolio.</t>
        </is>
      </c>
      <c r="L3" s="34" t="inlineStr">
        <is>
          <t>Functional accountability; operational planning; delivery leadership; stakeholder influence</t>
        </is>
      </c>
      <c r="M3" s="32" t="inlineStr">
        <is>
          <t>Minimum 8 years program management experience (innovation/education preferred).</t>
        </is>
      </c>
    </row>
    <row r="4" ht="15.75" customHeight="1">
      <c r="A4" s="29" t="inlineStr">
        <is>
          <t>Director of Operations</t>
        </is>
      </c>
      <c r="B4" s="30" t="inlineStr">
        <is>
          <t>Assistant Director of Operations</t>
        </is>
      </c>
      <c r="C4" s="31" t="inlineStr">
        <is>
          <t>3B</t>
        </is>
      </c>
      <c r="D4" s="31" t="inlineStr">
        <is>
          <t>Yes</t>
        </is>
      </c>
      <c r="E4" s="31" t="inlineStr">
        <is>
          <t>Yes</t>
        </is>
      </c>
      <c r="F4" s="32" t="inlineStr">
        <is>
          <t>Operations</t>
        </is>
      </c>
      <c r="G4" s="32" t="inlineStr">
        <is>
          <t>To be filled</t>
        </is>
      </c>
      <c r="H4" s="32" t="n"/>
      <c r="I4" s="32" t="n"/>
      <c r="J4" s="32" t="n"/>
      <c r="K4" s="32" t="inlineStr">
        <is>
          <t>Functional lead accountable for operational execution, service outcomes, controls, and process efficiency across IIH operations.</t>
        </is>
      </c>
      <c r="L4" s="34" t="inlineStr">
        <is>
          <t>Cross-functional execution; operational excellence; performance accountability</t>
        </is>
      </c>
      <c r="M4" s="32" t="inlineStr">
        <is>
          <t>Minimum 8 years operations management experience; multi-function oversight.</t>
        </is>
      </c>
      <c r="Q4" s="28" t="n"/>
    </row>
    <row r="5" ht="15.75" customHeight="1">
      <c r="A5" s="35" t="inlineStr">
        <is>
          <t>Project Manager</t>
        </is>
      </c>
      <c r="B5" s="35" t="inlineStr">
        <is>
          <t>Project Manager</t>
        </is>
      </c>
      <c r="C5" s="36" t="inlineStr">
        <is>
          <t>4A</t>
        </is>
      </c>
      <c r="D5" s="36" t="inlineStr">
        <is>
          <t>Yes</t>
        </is>
      </c>
      <c r="E5" s="36" t="inlineStr">
        <is>
          <t>Yes</t>
        </is>
      </c>
      <c r="F5" s="37" t="inlineStr">
        <is>
          <t>MD's Office</t>
        </is>
      </c>
      <c r="G5" s="37" t="inlineStr">
        <is>
          <t>To be filled</t>
        </is>
      </c>
      <c r="H5" s="37" t="n"/>
      <c r="I5" s="37" t="n"/>
      <c r="J5" s="37" t="n"/>
      <c r="K5" s="37" t="inlineStr">
        <is>
          <t>High autonomy role that drives planning/execution of strategic priorities, coordinates multi-stakeholder workstreams and supports exec delivery.</t>
        </is>
      </c>
      <c r="L5" s="38" t="inlineStr">
        <is>
          <t>Independent execution; project ownership; influence without authority; complexity handling</t>
        </is>
      </c>
      <c r="M5" s="37" t="inlineStr">
        <is>
          <t>Minimum 5 years executive support + project management experience.</t>
        </is>
      </c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</row>
    <row r="6" ht="15.75" customHeight="1">
      <c r="A6" s="29" t="inlineStr">
        <is>
          <t>IT Manager</t>
        </is>
      </c>
      <c r="B6" s="30" t="n"/>
      <c r="C6" s="31" t="inlineStr">
        <is>
          <t>4B</t>
        </is>
      </c>
      <c r="D6" s="31" t="inlineStr">
        <is>
          <t>Yes</t>
        </is>
      </c>
      <c r="E6" s="31" t="inlineStr">
        <is>
          <t>No</t>
        </is>
      </c>
      <c r="F6" s="32" t="inlineStr">
        <is>
          <t>Operations</t>
        </is>
      </c>
      <c r="G6" s="32" t="inlineStr">
        <is>
          <t>Nasiru Muhammed</t>
        </is>
      </c>
      <c r="H6" s="32" t="inlineStr">
        <is>
          <t>M</t>
        </is>
      </c>
      <c r="I6" s="32" t="inlineStr">
        <is>
          <t>Kwara</t>
        </is>
      </c>
      <c r="J6" s="32" t="n"/>
      <c r="K6" s="32" t="inlineStr">
        <is>
          <t>Owns IT service delivery, manages support and vendors, ensures uptime/service performance and improvement of IT processes.</t>
        </is>
      </c>
      <c r="L6" s="34" t="inlineStr">
        <is>
          <t>Operational ownership; process improvement; team/vendor oversight</t>
        </is>
      </c>
      <c r="M6" s="32" t="inlineStr">
        <is>
          <t>5–7 years IT management experience.</t>
        </is>
      </c>
    </row>
    <row r="7" ht="34" customHeight="1">
      <c r="A7" s="29" t="inlineStr">
        <is>
          <t>Program Manager</t>
        </is>
      </c>
      <c r="B7" s="30" t="inlineStr">
        <is>
          <t>Program Delivery Manager</t>
        </is>
      </c>
      <c r="C7" s="31" t="inlineStr">
        <is>
          <t>4B</t>
        </is>
      </c>
      <c r="D7" s="31" t="inlineStr">
        <is>
          <t>Yes</t>
        </is>
      </c>
      <c r="E7" s="31" t="inlineStr">
        <is>
          <t>No</t>
        </is>
      </c>
      <c r="F7" s="32" t="inlineStr">
        <is>
          <t>Programs</t>
        </is>
      </c>
      <c r="G7" s="32" t="inlineStr">
        <is>
          <t>Adebola Oladipo</t>
        </is>
      </c>
      <c r="H7" s="32" t="inlineStr">
        <is>
          <t>M</t>
        </is>
      </c>
      <c r="I7" s="32" t="inlineStr">
        <is>
          <t>Kwara</t>
        </is>
      </c>
      <c r="J7" s="32" t="n"/>
      <c r="K7" s="32" t="inlineStr">
        <is>
          <t>Owns execution of programmes, timelines, partners and deliverables; manages resources and delivery risks.</t>
        </is>
      </c>
      <c r="L7" s="34" t="inlineStr">
        <is>
          <t>Delivery accountability; planning; cross-stakeholder coordination</t>
        </is>
      </c>
      <c r="M7" s="32" t="inlineStr">
        <is>
          <t>Minimum 5 years program management experience.</t>
        </is>
      </c>
    </row>
    <row r="8" ht="15.75" customHeight="1">
      <c r="A8" s="29" t="inlineStr">
        <is>
          <t>Community Manager</t>
        </is>
      </c>
      <c r="B8" s="30" t="inlineStr">
        <is>
          <t>Community Officer</t>
        </is>
      </c>
      <c r="C8" s="31" t="inlineStr">
        <is>
          <t>5C</t>
        </is>
      </c>
      <c r="D8" s="31" t="inlineStr">
        <is>
          <t>No</t>
        </is>
      </c>
      <c r="E8" s="31" t="inlineStr">
        <is>
          <t>Yes</t>
        </is>
      </c>
      <c r="F8" s="32" t="inlineStr">
        <is>
          <t>Programs</t>
        </is>
      </c>
      <c r="G8" s="32" t="inlineStr">
        <is>
          <t>To be filled</t>
        </is>
      </c>
      <c r="H8" s="32" t="n"/>
      <c r="I8" s="32" t="n"/>
      <c r="J8" s="32" t="n"/>
      <c r="K8" s="32" t="inlineStr">
        <is>
          <t>Responsible for community activation strategy execution, engagement performance, and consistent delivery of community experience.</t>
        </is>
      </c>
      <c r="L8" s="34" t="inlineStr">
        <is>
          <t>Execution leadership; outcome accountability; operational influence</t>
        </is>
      </c>
      <c r="M8" s="32" t="inlineStr">
        <is>
          <t>Minimum 5 years community management/coworking experience.</t>
        </is>
      </c>
      <c r="Q8" s="28" t="n"/>
    </row>
    <row r="9" ht="51" customHeight="1">
      <c r="A9" s="29" t="inlineStr">
        <is>
          <t>Content Lead</t>
        </is>
      </c>
      <c r="B9" s="30" t="inlineStr">
        <is>
          <t>Content &amp; Communications Specialist</t>
        </is>
      </c>
      <c r="C9" s="31" t="inlineStr">
        <is>
          <t>5B</t>
        </is>
      </c>
      <c r="D9" s="31" t="inlineStr">
        <is>
          <t>Yes</t>
        </is>
      </c>
      <c r="E9" s="31" t="inlineStr">
        <is>
          <t>No</t>
        </is>
      </c>
      <c r="F9" s="32" t="inlineStr">
        <is>
          <t>Programs</t>
        </is>
      </c>
      <c r="G9" s="32" t="inlineStr">
        <is>
          <t>Abdulraman Yusuf</t>
        </is>
      </c>
      <c r="H9" s="32" t="inlineStr">
        <is>
          <t>M</t>
        </is>
      </c>
      <c r="I9" s="32" t="inlineStr">
        <is>
          <t>Kwara</t>
        </is>
      </c>
      <c r="J9" s="32" t="n"/>
      <c r="K9" s="32" t="inlineStr">
        <is>
          <t>Specialist lead role responsible for content strategy execution, quality assurance and brand consistency; guides execution without being a full manager.</t>
        </is>
      </c>
      <c r="L9" s="34" t="inlineStr">
        <is>
          <t>Specialist leadership; independent delivery; influencing others</t>
        </is>
      </c>
      <c r="M9" s="32" t="inlineStr">
        <is>
          <t>Minimum 5 years content creation &amp; content management experience.</t>
        </is>
      </c>
    </row>
    <row r="10" ht="34" customHeight="1">
      <c r="A10" s="29" t="inlineStr">
        <is>
          <t>Social Media Manager</t>
        </is>
      </c>
      <c r="B10" s="30" t="inlineStr">
        <is>
          <t>Digital Engagement Specialist</t>
        </is>
      </c>
      <c r="C10" s="31" t="inlineStr">
        <is>
          <t>6A</t>
        </is>
      </c>
      <c r="D10" s="31" t="inlineStr">
        <is>
          <t>Yes</t>
        </is>
      </c>
      <c r="E10" s="31" t="inlineStr">
        <is>
          <t>No</t>
        </is>
      </c>
      <c r="F10" s="32" t="inlineStr">
        <is>
          <t>Programs</t>
        </is>
      </c>
      <c r="G10" s="32" t="inlineStr">
        <is>
          <t>Amidat Olalere</t>
        </is>
      </c>
      <c r="H10" s="32" t="inlineStr">
        <is>
          <t>F</t>
        </is>
      </c>
      <c r="I10" s="32" t="inlineStr">
        <is>
          <t>TBD</t>
        </is>
      </c>
      <c r="J10" s="32" t="n"/>
      <c r="K10" s="32" t="inlineStr">
        <is>
          <t>Owns social engagement performance, content execution, campaigns and analytics; operates as a specialist with high accountability.</t>
        </is>
      </c>
      <c r="L10" s="34" t="inlineStr">
        <is>
          <t>Independent specialist; performance outputs; brand impact</t>
        </is>
      </c>
      <c r="M10" s="32" t="inlineStr">
        <is>
          <t>3–5 years social media management experience.</t>
        </is>
      </c>
    </row>
    <row r="11" ht="34" customHeight="1">
      <c r="A11" s="29" t="inlineStr">
        <is>
          <t>Finance Associate</t>
        </is>
      </c>
      <c r="B11" s="30" t="inlineStr">
        <is>
          <t>Finance &amp; Compliance Officer</t>
        </is>
      </c>
      <c r="C11" s="31" t="inlineStr">
        <is>
          <t>5C</t>
        </is>
      </c>
      <c r="D11" s="31" t="inlineStr">
        <is>
          <t>Yes</t>
        </is>
      </c>
      <c r="E11" s="31" t="inlineStr">
        <is>
          <t>No</t>
        </is>
      </c>
      <c r="F11" s="32" t="inlineStr">
        <is>
          <t>Adminstration</t>
        </is>
      </c>
      <c r="G11" s="32" t="inlineStr">
        <is>
          <t>Khadijat Bello</t>
        </is>
      </c>
      <c r="H11" s="32" t="inlineStr">
        <is>
          <t>F</t>
        </is>
      </c>
      <c r="I11" s="32" t="inlineStr">
        <is>
          <t>Kwara</t>
        </is>
      </c>
      <c r="J11" s="32" t="n"/>
      <c r="K11" s="32" t="inlineStr">
        <is>
          <t>Executes defined finance processes, reporting and reconciliations under supervision; applies professional knowledge to routine objectives.</t>
        </is>
      </c>
      <c r="L11" s="34" t="inlineStr">
        <is>
          <t>Professional execution; supervised; standard procedures</t>
        </is>
      </c>
      <c r="M11" s="32" t="inlineStr">
        <is>
          <t>Minimum 5 years accounting/finance experience.</t>
        </is>
      </c>
    </row>
    <row r="12" ht="15.75" customHeight="1">
      <c r="A12" s="29" t="inlineStr">
        <is>
          <t>Program Associate</t>
        </is>
      </c>
      <c r="B12" s="30" t="inlineStr">
        <is>
          <t>Program Officer</t>
        </is>
      </c>
      <c r="C12" s="31" t="inlineStr">
        <is>
          <t>5C</t>
        </is>
      </c>
      <c r="D12" s="31" t="inlineStr">
        <is>
          <t>Yes</t>
        </is>
      </c>
      <c r="E12" s="31" t="inlineStr">
        <is>
          <t>Yes</t>
        </is>
      </c>
      <c r="F12" s="32" t="inlineStr">
        <is>
          <t>Programs</t>
        </is>
      </c>
      <c r="G12" s="32" t="inlineStr">
        <is>
          <t>To be filled</t>
        </is>
      </c>
      <c r="H12" s="32" t="n"/>
      <c r="I12" s="32" t="n"/>
      <c r="J12" s="32" t="n"/>
      <c r="K12" s="32" t="inlineStr">
        <is>
          <t>Supports programme delivery administration, documentation and tracking; defined scope and supervised work.</t>
        </is>
      </c>
      <c r="L12" s="34" t="inlineStr">
        <is>
          <t>Execution support; routine complexity; process-based delivery</t>
        </is>
      </c>
      <c r="M12" s="32" t="inlineStr">
        <is>
          <t>2–3 years program support/coordination experience.</t>
        </is>
      </c>
    </row>
    <row r="13" ht="15.75" customHeight="1">
      <c r="A13" s="29" t="inlineStr">
        <is>
          <t>Admin Associate</t>
        </is>
      </c>
      <c r="B13" s="30" t="inlineStr">
        <is>
          <t>Admin Officer</t>
        </is>
      </c>
      <c r="C13" s="31" t="inlineStr">
        <is>
          <t>5C</t>
        </is>
      </c>
      <c r="D13" s="31" t="inlineStr">
        <is>
          <t>Yes</t>
        </is>
      </c>
      <c r="E13" s="31" t="inlineStr">
        <is>
          <t>No</t>
        </is>
      </c>
      <c r="F13" s="32" t="inlineStr">
        <is>
          <t>Adminstration</t>
        </is>
      </c>
      <c r="G13" s="32" t="inlineStr">
        <is>
          <t>Maureen Okey</t>
        </is>
      </c>
      <c r="H13" s="32" t="inlineStr">
        <is>
          <t>F</t>
        </is>
      </c>
      <c r="I13" s="32" t="inlineStr">
        <is>
          <t>Non-Kwara</t>
        </is>
      </c>
      <c r="J13" s="32" t="n"/>
      <c r="K13" s="32" t="inlineStr">
        <is>
          <t>Coordinates admin processes, documentation, scheduling, and support services under set procedures and guidance.</t>
        </is>
      </c>
      <c r="L13" s="34" t="inlineStr">
        <is>
          <t>Administrative/professional support; predictable scope</t>
        </is>
      </c>
      <c r="M13" s="32" t="inlineStr">
        <is>
          <t>3–5 years administrative experience.</t>
        </is>
      </c>
      <c r="Q13" s="28" t="n"/>
    </row>
    <row r="14" ht="15.75" customHeight="1">
      <c r="A14" s="29" t="inlineStr">
        <is>
          <t>HR Associate</t>
        </is>
      </c>
      <c r="B14" s="30" t="inlineStr">
        <is>
          <t>HR Officer</t>
        </is>
      </c>
      <c r="C14" s="31" t="inlineStr">
        <is>
          <t>5C</t>
        </is>
      </c>
      <c r="D14" s="31" t="inlineStr">
        <is>
          <t>Yes</t>
        </is>
      </c>
      <c r="E14" s="31" t="inlineStr">
        <is>
          <t>No</t>
        </is>
      </c>
      <c r="F14" s="32" t="inlineStr">
        <is>
          <t>Adminstration</t>
        </is>
      </c>
      <c r="G14" s="32" t="inlineStr">
        <is>
          <t>Sinachi Onuchukwu</t>
        </is>
      </c>
      <c r="H14" s="32" t="inlineStr">
        <is>
          <t>F</t>
        </is>
      </c>
      <c r="I14" s="32" t="inlineStr">
        <is>
          <t>Non-Kwara</t>
        </is>
      </c>
      <c r="J14" s="32" t="n"/>
      <c r="K14" s="32" t="inlineStr">
        <is>
          <t>Supports HR operations and processes; manages defined tasks with guidance and structured procedures.</t>
        </is>
      </c>
      <c r="L14" s="34" t="inlineStr">
        <is>
          <t>HR process delivery; functional support role</t>
        </is>
      </c>
      <c r="M14" s="32" t="inlineStr">
        <is>
          <t>3–5 years HR experience.</t>
        </is>
      </c>
    </row>
    <row r="15" ht="15.75" customHeight="1">
      <c r="A15" s="29" t="inlineStr">
        <is>
          <t>Facility Associate</t>
        </is>
      </c>
      <c r="B15" s="30" t="inlineStr">
        <is>
          <t>Facilities Officer</t>
        </is>
      </c>
      <c r="C15" s="31" t="inlineStr">
        <is>
          <t>5C</t>
        </is>
      </c>
      <c r="D15" s="31" t="inlineStr">
        <is>
          <t>Yes</t>
        </is>
      </c>
      <c r="E15" s="31" t="inlineStr">
        <is>
          <t>No</t>
        </is>
      </c>
      <c r="F15" s="32" t="inlineStr">
        <is>
          <t>Operations</t>
        </is>
      </c>
      <c r="G15" s="32" t="inlineStr">
        <is>
          <t>Kamil Ahmed</t>
        </is>
      </c>
      <c r="H15" s="32" t="inlineStr">
        <is>
          <t>M</t>
        </is>
      </c>
      <c r="I15" s="32" t="inlineStr">
        <is>
          <t>Kwara</t>
        </is>
      </c>
      <c r="J15" s="32" t="n"/>
      <c r="K15" s="32" t="inlineStr">
        <is>
          <t>Supports facility coordination, vendors, and service tickets; applies standard procedures with supervised decision-making.</t>
        </is>
      </c>
      <c r="L15" s="34" t="inlineStr">
        <is>
          <t>Operational support; procedure-driven work</t>
        </is>
      </c>
      <c r="M15" s="32" t="inlineStr">
        <is>
          <t>3–5 years facility management experience.</t>
        </is>
      </c>
    </row>
    <row r="16" ht="34" customHeight="1">
      <c r="A16" s="29" t="inlineStr">
        <is>
          <t>Graphic &amp; Multimedia Designer</t>
        </is>
      </c>
      <c r="B16" s="30" t="inlineStr">
        <is>
          <t>Graphic &amp; Multimedia Specialist</t>
        </is>
      </c>
      <c r="C16" s="31" t="inlineStr">
        <is>
          <t>5B</t>
        </is>
      </c>
      <c r="D16" s="31" t="inlineStr">
        <is>
          <t>Yes</t>
        </is>
      </c>
      <c r="E16" s="31" t="inlineStr">
        <is>
          <t>No</t>
        </is>
      </c>
      <c r="F16" s="32" t="inlineStr">
        <is>
          <t>Programs</t>
        </is>
      </c>
      <c r="G16" s="32" t="inlineStr">
        <is>
          <t>Damilare Oloyede</t>
        </is>
      </c>
      <c r="H16" s="32" t="inlineStr">
        <is>
          <t>M</t>
        </is>
      </c>
      <c r="I16" s="32" t="inlineStr">
        <is>
          <t>Kwara</t>
        </is>
      </c>
      <c r="J16" s="32" t="n"/>
      <c r="K16" s="32" t="inlineStr">
        <is>
          <t>Produces design outputs to briefs and standards, delivering professional work products with defined requirements and supervision.</t>
        </is>
      </c>
      <c r="L16" s="34" t="inlineStr">
        <is>
          <t>Professional specialist output; defined briefs; quality execution</t>
        </is>
      </c>
      <c r="M16" s="32" t="inlineStr">
        <is>
          <t>3–5 years graphic design experience.</t>
        </is>
      </c>
    </row>
    <row r="17" ht="15.75" customHeight="1">
      <c r="A17" s="29" t="inlineStr">
        <is>
          <t>IT Associate</t>
        </is>
      </c>
      <c r="B17" s="30" t="inlineStr">
        <is>
          <t>IT Support Analyst</t>
        </is>
      </c>
      <c r="C17" s="31" t="inlineStr">
        <is>
          <t>5B</t>
        </is>
      </c>
      <c r="D17" s="31" t="inlineStr">
        <is>
          <t>Yes</t>
        </is>
      </c>
      <c r="E17" s="31" t="inlineStr">
        <is>
          <t>No</t>
        </is>
      </c>
      <c r="F17" s="32" t="inlineStr">
        <is>
          <t>Operations</t>
        </is>
      </c>
      <c r="G17" s="32" t="inlineStr">
        <is>
          <t>Henry Mgbechi</t>
        </is>
      </c>
      <c r="H17" s="32" t="inlineStr">
        <is>
          <t>M</t>
        </is>
      </c>
      <c r="I17" s="32" t="inlineStr">
        <is>
          <t>Non-Kwara</t>
        </is>
      </c>
      <c r="J17" s="32" t="n"/>
      <c r="K17" s="32" t="inlineStr">
        <is>
          <t>Support role with technical troubleshooting responsibilities; higher technical depth and complexity than general support service roles.</t>
        </is>
      </c>
      <c r="L17" s="34" t="inlineStr">
        <is>
          <t>Technical troubleshooting; service delivery; defined standards</t>
        </is>
      </c>
      <c r="M17" s="32" t="inlineStr">
        <is>
          <t>1–2 years customer service/hospitality experience.</t>
        </is>
      </c>
      <c r="Q17" s="28" t="n"/>
    </row>
    <row r="18" ht="68" customHeight="1">
      <c r="A18" s="29" t="inlineStr">
        <is>
          <t>IT Assistant</t>
        </is>
      </c>
      <c r="B18" s="30" t="inlineStr">
        <is>
          <t>IT Assistant</t>
        </is>
      </c>
      <c r="C18" s="31" t="inlineStr">
        <is>
          <t>6A</t>
        </is>
      </c>
      <c r="D18" s="31" t="inlineStr">
        <is>
          <t>Yes</t>
        </is>
      </c>
      <c r="E18" s="31" t="inlineStr">
        <is>
          <t>Yes</t>
        </is>
      </c>
      <c r="F18" s="32" t="inlineStr">
        <is>
          <t>Operations</t>
        </is>
      </c>
      <c r="G18" s="32" t="inlineStr">
        <is>
          <t>To be filled</t>
        </is>
      </c>
      <c r="H18" s="32" t="n"/>
      <c r="I18" s="32" t="n"/>
      <c r="J18" s="32" t="inlineStr">
        <is>
          <t>Supports event production, sound, and daily technical operations for hub programs and events.</t>
        </is>
      </c>
      <c r="K18" s="32" t="inlineStr">
        <is>
          <t>Technical support; event production; execution support</t>
        </is>
      </c>
      <c r="L18" s="34" t="inlineStr">
        <is>
          <t>2-3 years IT support/event tech experience.</t>
        </is>
      </c>
    </row>
    <row r="19" ht="15.75" customHeight="1">
      <c r="A19" s="29" t="inlineStr">
        <is>
          <t>IT Associate</t>
        </is>
      </c>
      <c r="B19" s="30" t="inlineStr">
        <is>
          <t>IT Support Analyst</t>
        </is>
      </c>
      <c r="C19" s="31" t="inlineStr">
        <is>
          <t>5B</t>
        </is>
      </c>
      <c r="D19" s="31" t="inlineStr">
        <is>
          <t>Yes</t>
        </is>
      </c>
      <c r="E19" s="31" t="inlineStr">
        <is>
          <t>No</t>
        </is>
      </c>
      <c r="F19" s="32" t="inlineStr">
        <is>
          <t>Operations</t>
        </is>
      </c>
      <c r="G19" s="32" t="inlineStr">
        <is>
          <t>Temilola Akande</t>
        </is>
      </c>
      <c r="H19" s="32" t="inlineStr">
        <is>
          <t>F</t>
        </is>
      </c>
      <c r="I19" s="32" t="inlineStr">
        <is>
          <t>Kwara</t>
        </is>
      </c>
      <c r="J19" s="32" t="n"/>
      <c r="K19" s="32" t="inlineStr">
        <is>
          <t>Support role with technical troubleshooting responsibilities; higher technical depth and complexity than general support service roles.</t>
        </is>
      </c>
      <c r="L19" s="34" t="inlineStr">
        <is>
          <t>Technical troubleshooting; service delivery; defined standards</t>
        </is>
      </c>
      <c r="M19" s="32" t="inlineStr">
        <is>
          <t>1–2 years customer service/hospitality experience.</t>
        </is>
      </c>
    </row>
    <row r="20" ht="15.75" customHeight="1">
      <c r="A20" s="29" t="inlineStr">
        <is>
          <t>Facility Support</t>
        </is>
      </c>
      <c r="B20" s="40" t="inlineStr">
        <is>
          <t>Facilities Assistant</t>
        </is>
      </c>
      <c r="C20" s="31" t="inlineStr">
        <is>
          <t>6B</t>
        </is>
      </c>
      <c r="D20" s="31" t="inlineStr">
        <is>
          <t>Yes</t>
        </is>
      </c>
      <c r="E20" s="31" t="inlineStr">
        <is>
          <t>No</t>
        </is>
      </c>
      <c r="F20" s="32" t="inlineStr">
        <is>
          <t>Operations</t>
        </is>
      </c>
      <c r="G20" s="32" t="inlineStr">
        <is>
          <t>Sulyman Yusuf Alao</t>
        </is>
      </c>
      <c r="H20" s="32" t="inlineStr">
        <is>
          <t>M</t>
        </is>
      </c>
      <c r="I20" s="32" t="inlineStr">
        <is>
          <t>Kwara</t>
        </is>
      </c>
      <c r="J20" s="32" t="n"/>
      <c r="K20" s="32" t="inlineStr">
        <is>
          <t>Provides day-to-day facility services support; executes practical support tasks under supervision.</t>
        </is>
      </c>
      <c r="L20" s="34" t="inlineStr">
        <is>
          <t>Support services; routine delivery; supervision required</t>
        </is>
      </c>
      <c r="M20" s="32" t="inlineStr">
        <is>
          <t>1–2 years facility/maintenance experience.</t>
        </is>
      </c>
    </row>
    <row r="21" ht="68" customHeight="1">
      <c r="A21" s="29" t="inlineStr">
        <is>
          <t>Facility Assistant</t>
        </is>
      </c>
      <c r="B21" s="40" t="inlineStr">
        <is>
          <t>Facility Assistant</t>
        </is>
      </c>
      <c r="C21" s="31" t="inlineStr">
        <is>
          <t>6B</t>
        </is>
      </c>
      <c r="D21" s="31" t="inlineStr">
        <is>
          <t>Yes</t>
        </is>
      </c>
      <c r="E21" s="31" t="inlineStr">
        <is>
          <t>No</t>
        </is>
      </c>
      <c r="F21" s="32" t="inlineStr">
        <is>
          <t>Operations</t>
        </is>
      </c>
      <c r="G21" s="32" t="inlineStr">
        <is>
          <t>Benjamin Okolie</t>
        </is>
      </c>
      <c r="H21" s="32" t="n"/>
      <c r="I21" s="32" t="inlineStr">
        <is>
          <t>Delta</t>
        </is>
      </c>
      <c r="J21" s="32" t="inlineStr">
        <is>
          <t>Additional facility assistant absorbed from existing corper pool; no incremental payroll planned.</t>
        </is>
      </c>
      <c r="K21" s="32" t="inlineStr">
        <is>
          <t>Provides day-to-day facility services support; executes practical support tasks under supervision.</t>
        </is>
      </c>
      <c r="L21" s="34" t="inlineStr">
        <is>
          <t>Support services; routine delivery; supervision required</t>
        </is>
      </c>
    </row>
    <row r="22" ht="15.75" customHeight="1">
      <c r="A22" s="29" t="inlineStr">
        <is>
          <t>Facility Support</t>
        </is>
      </c>
      <c r="B22" s="40" t="inlineStr">
        <is>
          <t>Facilities Assistant</t>
        </is>
      </c>
      <c r="C22" s="31" t="inlineStr">
        <is>
          <t>6B</t>
        </is>
      </c>
      <c r="D22" s="31" t="inlineStr">
        <is>
          <t>Yes</t>
        </is>
      </c>
      <c r="E22" s="31" t="inlineStr">
        <is>
          <t>No</t>
        </is>
      </c>
      <c r="F22" s="32" t="inlineStr">
        <is>
          <t>Operations</t>
        </is>
      </c>
      <c r="G22" s="32" t="inlineStr">
        <is>
          <t>Ahmed Habeeb</t>
        </is>
      </c>
      <c r="H22" s="32" t="inlineStr">
        <is>
          <t>M</t>
        </is>
      </c>
      <c r="I22" s="32" t="inlineStr">
        <is>
          <t>Kwara</t>
        </is>
      </c>
      <c r="J22" s="32" t="n"/>
      <c r="K22" s="32" t="inlineStr">
        <is>
          <t>Provides day-to-day facility services support; executes practical support tasks under supervision.</t>
        </is>
      </c>
      <c r="L22" s="34" t="inlineStr">
        <is>
          <t>Support services; routine delivery; supervision required</t>
        </is>
      </c>
      <c r="M22" s="32" t="inlineStr">
        <is>
          <t>1–2 years facility/maintenance experience.</t>
        </is>
      </c>
    </row>
    <row r="23" ht="15.75" customHeight="1">
      <c r="A23" s="29" t="inlineStr">
        <is>
          <t>Facility Support</t>
        </is>
      </c>
      <c r="B23" s="40" t="inlineStr">
        <is>
          <t>Facilities Assistant</t>
        </is>
      </c>
      <c r="C23" s="31" t="inlineStr">
        <is>
          <t>6B</t>
        </is>
      </c>
      <c r="D23" s="31" t="inlineStr">
        <is>
          <t>Yes</t>
        </is>
      </c>
      <c r="E23" s="31" t="inlineStr">
        <is>
          <t>No</t>
        </is>
      </c>
      <c r="F23" s="32" t="inlineStr">
        <is>
          <t>Operations</t>
        </is>
      </c>
      <c r="G23" s="32" t="inlineStr">
        <is>
          <t>Jimoh Faruq</t>
        </is>
      </c>
      <c r="H23" s="32" t="inlineStr">
        <is>
          <t>M</t>
        </is>
      </c>
      <c r="I23" s="32" t="inlineStr">
        <is>
          <t>Kwara</t>
        </is>
      </c>
      <c r="J23" s="32" t="n"/>
      <c r="K23" s="32" t="inlineStr">
        <is>
          <t>Provides day-to-day facility services support; executes practical support tasks under supervision.</t>
        </is>
      </c>
      <c r="L23" s="34" t="inlineStr">
        <is>
          <t>Support services; routine delivery; supervision required</t>
        </is>
      </c>
      <c r="M23" s="32" t="inlineStr">
        <is>
          <t>1–2 years facility/maintenance experience.</t>
        </is>
      </c>
    </row>
    <row r="24" ht="15.75" customHeight="1">
      <c r="A24" s="29" t="inlineStr">
        <is>
          <t>Front Desk Support</t>
        </is>
      </c>
      <c r="B24" s="30" t="inlineStr">
        <is>
          <t>Front Desk Officer</t>
        </is>
      </c>
      <c r="C24" s="31" t="inlineStr">
        <is>
          <t>6B</t>
        </is>
      </c>
      <c r="D24" s="31" t="inlineStr">
        <is>
          <t>Yes</t>
        </is>
      </c>
      <c r="E24" s="31" t="inlineStr">
        <is>
          <t>No</t>
        </is>
      </c>
      <c r="F24" s="32" t="inlineStr">
        <is>
          <t>Adminstration</t>
        </is>
      </c>
      <c r="G24" s="32" t="inlineStr">
        <is>
          <t>Muinat Bello</t>
        </is>
      </c>
      <c r="H24" s="32" t="inlineStr">
        <is>
          <t>F</t>
        </is>
      </c>
      <c r="I24" s="32" t="inlineStr">
        <is>
          <t>Kwara</t>
        </is>
      </c>
      <c r="J24" s="32" t="n"/>
      <c r="K24" s="32" t="inlineStr">
        <is>
          <t>Customer-facing support role with structured service delivery and routine coordination responsibilities.</t>
        </is>
      </c>
      <c r="L24" s="34" t="inlineStr">
        <is>
          <t>Front-of-house support; routine service tasks</t>
        </is>
      </c>
      <c r="M24" s="32" t="inlineStr">
        <is>
          <t>1–2 years reception/customer service experience.</t>
        </is>
      </c>
    </row>
    <row r="25" ht="68" customHeight="1">
      <c r="A25" s="29" t="inlineStr">
        <is>
          <t>Hospitality Assistant</t>
        </is>
      </c>
      <c r="B25" s="30" t="inlineStr">
        <is>
          <t>Hospitality Assistant</t>
        </is>
      </c>
      <c r="C25" s="31" t="inlineStr">
        <is>
          <t>6B</t>
        </is>
      </c>
      <c r="D25" s="31" t="inlineStr">
        <is>
          <t>Yes</t>
        </is>
      </c>
      <c r="E25" s="31" t="inlineStr">
        <is>
          <t>No</t>
        </is>
      </c>
      <c r="F25" s="32" t="inlineStr">
        <is>
          <t>Adminstration</t>
        </is>
      </c>
      <c r="G25" s="32" t="inlineStr">
        <is>
          <t>Joan Oware</t>
        </is>
      </c>
      <c r="H25" s="32" t="inlineStr">
        <is>
          <t>F</t>
        </is>
      </c>
      <c r="I25" s="32" t="inlineStr">
        <is>
          <t>Edo</t>
        </is>
      </c>
      <c r="J25" s="32" t="inlineStr">
        <is>
          <t>Absorbed from existing corper pool; supports hospitality and event execution.</t>
        </is>
      </c>
      <c r="K25" s="32" t="inlineStr">
        <is>
          <t>Provides hospitality and workplace support, event/basic service execution under supervision and standard procedures.</t>
        </is>
      </c>
      <c r="L25" s="34" t="inlineStr">
        <is>
          <t>Service delivery; routine tasks; supervised</t>
        </is>
      </c>
      <c r="M25" s="32" t="inlineStr">
        <is>
          <t>1–2 years hospitality/service experience.</t>
        </is>
      </c>
    </row>
    <row r="26" ht="15.75" customHeight="1">
      <c r="A26" s="41" t="inlineStr">
        <is>
          <t>Driver</t>
        </is>
      </c>
      <c r="B26" s="42" t="inlineStr">
        <is>
          <t>Driver</t>
        </is>
      </c>
      <c r="C26" s="43" t="inlineStr">
        <is>
          <t>6C</t>
        </is>
      </c>
      <c r="D26" s="31" t="inlineStr">
        <is>
          <t>Yes</t>
        </is>
      </c>
      <c r="E26" s="31" t="inlineStr">
        <is>
          <t>No</t>
        </is>
      </c>
      <c r="F26" s="44" t="inlineStr">
        <is>
          <t>Adminstration</t>
        </is>
      </c>
      <c r="G26" s="44" t="inlineStr">
        <is>
          <t>Kayode Olaleye</t>
        </is>
      </c>
      <c r="H26" s="44" t="inlineStr">
        <is>
          <t>M</t>
        </is>
      </c>
      <c r="I26" s="44" t="inlineStr">
        <is>
          <t>Kwara</t>
        </is>
      </c>
      <c r="J26" s="44" t="n"/>
      <c r="K26" s="44" t="inlineStr">
        <is>
          <t>Explicitly aligned to entry-level technical/support roles such as drivers within the IHS career framework.</t>
        </is>
      </c>
      <c r="L26" s="45" t="inlineStr">
        <is>
          <t>Entry support; service delivery role (driver track)</t>
        </is>
      </c>
      <c r="M26" s="44" t="inlineStr">
        <is>
          <t>3–5 years professional driving experience.</t>
        </is>
      </c>
    </row>
    <row r="27" ht="15.75" customHeight="1" thickBot="1">
      <c r="A27" s="41" t="inlineStr">
        <is>
          <t>Driver</t>
        </is>
      </c>
      <c r="B27" s="42" t="inlineStr">
        <is>
          <t>Driver</t>
        </is>
      </c>
      <c r="C27" s="43" t="inlineStr">
        <is>
          <t>6C</t>
        </is>
      </c>
      <c r="D27" s="31" t="inlineStr">
        <is>
          <t>Yes</t>
        </is>
      </c>
      <c r="E27" s="31" t="inlineStr">
        <is>
          <t>No</t>
        </is>
      </c>
      <c r="F27" s="44" t="inlineStr">
        <is>
          <t>Adminstration</t>
        </is>
      </c>
      <c r="G27" s="44" t="inlineStr">
        <is>
          <t>Emmanuel Farayade</t>
        </is>
      </c>
      <c r="H27" s="44" t="inlineStr">
        <is>
          <t>M</t>
        </is>
      </c>
      <c r="I27" s="44" t="inlineStr">
        <is>
          <t>TBD</t>
        </is>
      </c>
      <c r="J27" s="44" t="n"/>
      <c r="K27" s="44" t="inlineStr">
        <is>
          <t>Explicitly aligned to entry-level technical/support roles such as drivers within the IHS career framework.</t>
        </is>
      </c>
      <c r="L27" s="45" t="inlineStr">
        <is>
          <t>Entry support; service delivery role (driver track)</t>
        </is>
      </c>
      <c r="M27" s="44" t="inlineStr">
        <is>
          <t>3–5 years professional driving experience.</t>
        </is>
      </c>
    </row>
    <row r="28" ht="15.75" customHeight="1">
      <c r="A28" s="46" t="n"/>
      <c r="B28" s="53" t="n"/>
      <c r="C28" s="48" t="n"/>
      <c r="D28" s="48" t="n"/>
      <c r="E28" s="48" t="n"/>
      <c r="F28" s="53" t="n"/>
      <c r="G28" s="53" t="n"/>
      <c r="H28" s="52" t="n"/>
      <c r="I28" s="52" t="n"/>
      <c r="J28" s="53" t="n"/>
      <c r="K28" s="53" t="n"/>
      <c r="L28" s="53" t="n"/>
      <c r="M28" s="53" t="n"/>
    </row>
    <row r="29" ht="15.75" customHeight="1">
      <c r="A29" s="50" t="inlineStr">
        <is>
          <t>Corper</t>
        </is>
      </c>
      <c r="B29" s="50" t="inlineStr">
        <is>
          <t>Corper</t>
        </is>
      </c>
      <c r="C29" s="51" t="n"/>
      <c r="D29" s="51" t="n"/>
      <c r="E29" s="51" t="n"/>
      <c r="G29" s="18" t="inlineStr">
        <is>
          <t>Sulyman Kaowthar</t>
        </is>
      </c>
      <c r="H29" s="52" t="inlineStr">
        <is>
          <t>F</t>
        </is>
      </c>
      <c r="I29" s="52" t="inlineStr">
        <is>
          <t>Kwara</t>
        </is>
      </c>
    </row>
    <row r="30" ht="15.75" customHeight="1">
      <c r="A30" s="50" t="inlineStr">
        <is>
          <t>Corper</t>
        </is>
      </c>
      <c r="B30" s="50" t="inlineStr">
        <is>
          <t>Corper</t>
        </is>
      </c>
      <c r="C30" s="51" t="n"/>
      <c r="D30" s="51" t="n"/>
      <c r="E30" s="51" t="n"/>
      <c r="G30" s="18" t="inlineStr">
        <is>
          <t>Aisha Shittu</t>
        </is>
      </c>
      <c r="H30" s="52" t="inlineStr">
        <is>
          <t>F</t>
        </is>
      </c>
      <c r="I30" s="52" t="inlineStr">
        <is>
          <t>Kwara</t>
        </is>
      </c>
    </row>
    <row r="31" ht="15.75" customHeight="1">
      <c r="A31" s="50" t="n"/>
      <c r="B31" s="50" t="n"/>
      <c r="C31" s="51" t="n"/>
      <c r="D31" s="51" t="n"/>
      <c r="E31" s="51" t="n"/>
      <c r="G31" s="18" t="n"/>
      <c r="H31" s="53" t="n"/>
      <c r="I31" s="53" t="n"/>
    </row>
    <row r="32" ht="15.75" customHeight="1">
      <c r="A32" s="50" t="inlineStr">
        <is>
          <t>Intern</t>
        </is>
      </c>
      <c r="B32" s="50" t="inlineStr">
        <is>
          <t>Intern</t>
        </is>
      </c>
      <c r="C32" s="51" t="n"/>
      <c r="D32" s="51" t="n"/>
      <c r="E32" s="51" t="n"/>
      <c r="G32" s="18" t="inlineStr">
        <is>
          <t>Otaro Iyanuoluwa</t>
        </is>
      </c>
      <c r="H32" s="22" t="inlineStr">
        <is>
          <t>M</t>
        </is>
      </c>
      <c r="I32" s="22" t="inlineStr">
        <is>
          <t>Kwara</t>
        </is>
      </c>
    </row>
    <row r="33" ht="15.75" customHeight="1">
      <c r="A33" s="50" t="inlineStr">
        <is>
          <t>Intern</t>
        </is>
      </c>
      <c r="B33" s="50" t="inlineStr">
        <is>
          <t>Intern</t>
        </is>
      </c>
      <c r="C33" s="51" t="n"/>
      <c r="D33" s="51" t="n"/>
      <c r="E33" s="51" t="n"/>
      <c r="G33" s="18" t="inlineStr">
        <is>
          <t>Samuel Hapiness</t>
        </is>
      </c>
      <c r="H33" s="22" t="inlineStr">
        <is>
          <t>M</t>
        </is>
      </c>
      <c r="I33" s="22" t="inlineStr">
        <is>
          <t>Kwara</t>
        </is>
      </c>
    </row>
    <row r="34" ht="15.75" customHeight="1">
      <c r="A34" s="50" t="inlineStr">
        <is>
          <t>Intern</t>
        </is>
      </c>
      <c r="B34" s="50" t="inlineStr">
        <is>
          <t>Intern</t>
        </is>
      </c>
      <c r="C34" s="51" t="n"/>
      <c r="D34" s="51" t="n"/>
      <c r="E34" s="51" t="n"/>
      <c r="G34" s="18" t="inlineStr">
        <is>
          <t>Hamzat Muhammad</t>
        </is>
      </c>
      <c r="H34" s="22" t="inlineStr">
        <is>
          <t>M</t>
        </is>
      </c>
      <c r="I34" s="22" t="inlineStr">
        <is>
          <t>Kwara</t>
        </is>
      </c>
    </row>
    <row r="35" ht="15.75" customHeight="1">
      <c r="A35" s="50" t="inlineStr">
        <is>
          <t>Intern</t>
        </is>
      </c>
      <c r="B35" s="50" t="inlineStr">
        <is>
          <t>Intern</t>
        </is>
      </c>
      <c r="C35" s="51" t="n"/>
      <c r="D35" s="51" t="n"/>
      <c r="E35" s="51" t="n"/>
      <c r="G35" s="18" t="inlineStr">
        <is>
          <t>Ogunlana Ismaila</t>
        </is>
      </c>
      <c r="H35" s="22" t="inlineStr">
        <is>
          <t>M</t>
        </is>
      </c>
      <c r="I35" s="22" t="inlineStr">
        <is>
          <t>Kwara</t>
        </is>
      </c>
    </row>
    <row r="36" ht="15.75" customHeight="1">
      <c r="A36" s="50" t="n"/>
      <c r="B36" s="40" t="n"/>
      <c r="C36" s="51" t="n"/>
      <c r="D36" s="51" t="n"/>
      <c r="E36" s="51" t="n"/>
    </row>
    <row r="37" ht="15.75" customHeight="1">
      <c r="A37" s="50" t="n"/>
      <c r="B37" s="40" t="n"/>
      <c r="C37" s="51" t="n"/>
      <c r="D37" s="51" t="n"/>
      <c r="E37" s="51" t="n"/>
    </row>
    <row r="38" ht="15.75" customHeight="1">
      <c r="A38" s="50" t="n"/>
      <c r="B38" s="40" t="n"/>
      <c r="C38" s="51" t="n"/>
      <c r="D38" s="51" t="n"/>
      <c r="E38" s="51" t="n"/>
      <c r="Q38" s="28" t="inlineStr">
        <is>
          <t>Grade 6</t>
        </is>
      </c>
    </row>
    <row r="39" ht="15.75" customHeight="1">
      <c r="A39" s="50" t="n"/>
      <c r="B39" s="40" t="n"/>
      <c r="C39" s="51" t="n"/>
      <c r="D39" s="51" t="n"/>
      <c r="E39" s="51" t="n"/>
    </row>
    <row r="40" ht="15.75" customHeight="1">
      <c r="A40" s="50" t="n"/>
      <c r="B40" s="40" t="n"/>
      <c r="C40" s="51" t="n"/>
      <c r="D40" s="51" t="n"/>
      <c r="E40" s="51" t="n"/>
      <c r="Q40" s="22" t="inlineStr">
        <is>
          <t>IT Support → 6B</t>
        </is>
      </c>
    </row>
    <row r="41" ht="15.75" customHeight="1">
      <c r="A41" s="50" t="n"/>
      <c r="B41" s="40" t="n"/>
      <c r="C41" s="51" t="n"/>
      <c r="D41" s="51" t="n"/>
      <c r="E41" s="51" t="n"/>
      <c r="Q41" s="22" t="inlineStr">
        <is>
          <t>Community Support → 6B</t>
        </is>
      </c>
    </row>
    <row r="42" ht="15.75" customHeight="1">
      <c r="A42" s="50" t="n"/>
      <c r="B42" s="40" t="n"/>
      <c r="C42" s="51" t="n"/>
      <c r="D42" s="51" t="n"/>
      <c r="E42" s="51" t="n"/>
      <c r="Q42" s="22" t="inlineStr">
        <is>
          <t>Facility Support → 6B</t>
        </is>
      </c>
    </row>
    <row r="43" ht="15.75" customHeight="1">
      <c r="A43" s="50" t="n"/>
      <c r="B43" s="40" t="n"/>
      <c r="C43" s="51" t="n"/>
      <c r="D43" s="51" t="n"/>
      <c r="E43" s="51" t="n"/>
      <c r="Q43" s="22" t="inlineStr">
        <is>
          <t>Front Desk → 6B</t>
        </is>
      </c>
    </row>
    <row r="44" ht="15.75" customHeight="1">
      <c r="A44" s="50" t="n"/>
      <c r="B44" s="40" t="n"/>
      <c r="C44" s="51" t="n"/>
      <c r="D44" s="51" t="n"/>
      <c r="E44" s="51" t="n"/>
      <c r="Q44" s="22" t="inlineStr">
        <is>
          <t>Hospitality Support → 6C</t>
        </is>
      </c>
    </row>
    <row r="45" ht="15.75" customHeight="1">
      <c r="A45" s="50" t="n"/>
      <c r="B45" s="40" t="n"/>
      <c r="C45" s="51" t="n"/>
      <c r="D45" s="51" t="n"/>
      <c r="E45" s="51" t="n"/>
      <c r="Q45" s="22" t="inlineStr">
        <is>
          <t>Driver → 6B</t>
        </is>
      </c>
    </row>
    <row r="46" ht="15.75" customHeight="1">
      <c r="A46" s="50" t="n"/>
      <c r="B46" s="40" t="n"/>
      <c r="C46" s="51" t="n"/>
      <c r="D46" s="51" t="n"/>
      <c r="E46" s="51" t="n"/>
    </row>
    <row r="47" ht="15.75" customHeight="1">
      <c r="A47" s="50" t="n"/>
      <c r="B47" s="40" t="n"/>
      <c r="C47" s="51" t="n"/>
      <c r="D47" s="51" t="n"/>
      <c r="E47" s="51" t="n"/>
    </row>
    <row r="48" ht="15.75" customHeight="1">
      <c r="A48" s="50" t="n"/>
      <c r="B48" s="40" t="n"/>
      <c r="C48" s="51" t="n"/>
      <c r="D48" s="51" t="n"/>
      <c r="E48" s="51" t="n"/>
    </row>
    <row r="49" ht="15.75" customHeight="1">
      <c r="A49" s="50" t="n"/>
      <c r="B49" s="40" t="n"/>
      <c r="C49" s="51" t="n"/>
      <c r="D49" s="51" t="n"/>
      <c r="E49" s="51" t="n"/>
    </row>
    <row r="50" ht="15.75" customHeight="1">
      <c r="A50" s="50" t="n"/>
      <c r="B50" s="40" t="n"/>
      <c r="C50" s="51" t="n"/>
      <c r="D50" s="51" t="n"/>
      <c r="E50" s="51" t="n"/>
    </row>
    <row r="51" ht="15.75" customHeight="1">
      <c r="A51" s="50" t="n"/>
      <c r="B51" s="40" t="n"/>
      <c r="C51" s="51" t="n"/>
      <c r="D51" s="51" t="n"/>
      <c r="E51" s="51" t="n"/>
    </row>
    <row r="52" ht="15.75" customHeight="1">
      <c r="A52" s="50" t="n"/>
      <c r="B52" s="40" t="n"/>
      <c r="C52" s="51" t="n"/>
      <c r="D52" s="51" t="n"/>
      <c r="E52" s="51" t="n"/>
    </row>
    <row r="53" ht="15.75" customHeight="1">
      <c r="A53" s="50" t="n"/>
      <c r="B53" s="40" t="n"/>
      <c r="C53" s="51" t="n"/>
      <c r="D53" s="51" t="n"/>
      <c r="E53" s="51" t="n"/>
    </row>
    <row r="54" ht="15.75" customHeight="1">
      <c r="A54" s="50" t="n"/>
      <c r="B54" s="40" t="n"/>
      <c r="C54" s="51" t="n"/>
      <c r="D54" s="51" t="n"/>
      <c r="E54" s="51" t="n"/>
    </row>
    <row r="55" ht="15.75" customHeight="1">
      <c r="A55" s="50" t="n"/>
      <c r="B55" s="40" t="n"/>
      <c r="C55" s="51" t="n"/>
      <c r="D55" s="51" t="n"/>
      <c r="E55" s="51" t="n"/>
    </row>
    <row r="56" ht="15.75" customHeight="1">
      <c r="A56" s="50" t="n"/>
      <c r="B56" s="40" t="n"/>
      <c r="C56" s="51" t="n"/>
      <c r="D56" s="51" t="n"/>
      <c r="E56" s="51" t="n"/>
    </row>
    <row r="57" ht="15.75" customHeight="1">
      <c r="A57" s="50" t="n"/>
      <c r="B57" s="40" t="n"/>
      <c r="C57" s="51" t="n"/>
      <c r="D57" s="51" t="n"/>
      <c r="E57" s="51" t="n"/>
    </row>
    <row r="58" ht="15.75" customHeight="1">
      <c r="A58" s="50" t="n"/>
      <c r="B58" s="40" t="n"/>
      <c r="C58" s="51" t="n"/>
      <c r="D58" s="51" t="n"/>
      <c r="E58" s="51" t="n"/>
    </row>
    <row r="59" ht="15.75" customHeight="1">
      <c r="A59" s="50" t="n"/>
      <c r="B59" s="40" t="n"/>
      <c r="C59" s="51" t="n"/>
      <c r="D59" s="51" t="n"/>
      <c r="E59" s="51" t="n"/>
    </row>
    <row r="60" ht="15.75" customHeight="1">
      <c r="A60" s="50" t="n"/>
      <c r="B60" s="40" t="n"/>
      <c r="C60" s="51" t="n"/>
      <c r="D60" s="51" t="n"/>
      <c r="E60" s="51" t="n"/>
    </row>
    <row r="61" ht="15.75" customHeight="1">
      <c r="A61" s="50" t="n"/>
      <c r="B61" s="40" t="n"/>
      <c r="C61" s="51" t="n"/>
      <c r="D61" s="51" t="n"/>
      <c r="E61" s="51" t="n"/>
    </row>
    <row r="62" ht="15.75" customHeight="1">
      <c r="A62" s="50" t="n"/>
      <c r="B62" s="40" t="n"/>
      <c r="C62" s="51" t="n"/>
      <c r="D62" s="51" t="n"/>
      <c r="E62" s="51" t="n"/>
    </row>
    <row r="63" ht="15.75" customHeight="1">
      <c r="A63" s="50" t="n"/>
      <c r="B63" s="40" t="n"/>
      <c r="C63" s="51" t="n"/>
      <c r="D63" s="51" t="n"/>
      <c r="E63" s="51" t="n"/>
    </row>
    <row r="64" ht="15.75" customHeight="1">
      <c r="A64" s="50" t="n"/>
      <c r="B64" s="40" t="n"/>
      <c r="C64" s="51" t="n"/>
      <c r="D64" s="51" t="n"/>
      <c r="E64" s="51" t="n"/>
    </row>
    <row r="65" ht="15.75" customHeight="1">
      <c r="A65" s="50" t="n"/>
      <c r="B65" s="40" t="n"/>
      <c r="C65" s="51" t="n"/>
      <c r="D65" s="51" t="n"/>
      <c r="E65" s="51" t="n"/>
    </row>
    <row r="66" ht="15.75" customHeight="1">
      <c r="A66" s="50" t="n"/>
      <c r="B66" s="40" t="n"/>
      <c r="C66" s="51" t="n"/>
      <c r="D66" s="51" t="n"/>
      <c r="E66" s="51" t="n"/>
    </row>
    <row r="67" ht="15.75" customHeight="1">
      <c r="A67" s="50" t="n"/>
      <c r="B67" s="40" t="n"/>
      <c r="C67" s="51" t="n"/>
      <c r="D67" s="51" t="n"/>
      <c r="E67" s="51" t="n"/>
    </row>
    <row r="68" ht="15.75" customHeight="1">
      <c r="A68" s="50" t="n"/>
      <c r="B68" s="40" t="n"/>
      <c r="C68" s="51" t="n"/>
      <c r="D68" s="51" t="n"/>
      <c r="E68" s="51" t="n"/>
    </row>
    <row r="69" ht="15.75" customHeight="1">
      <c r="A69" s="50" t="n"/>
      <c r="B69" s="40" t="n"/>
      <c r="C69" s="51" t="n"/>
      <c r="D69" s="51" t="n"/>
      <c r="E69" s="51" t="n"/>
    </row>
    <row r="70" ht="15.75" customHeight="1">
      <c r="A70" s="50" t="n"/>
      <c r="B70" s="40" t="n"/>
      <c r="C70" s="51" t="n"/>
      <c r="D70" s="51" t="n"/>
      <c r="E70" s="51" t="n"/>
    </row>
    <row r="71" ht="15.75" customHeight="1">
      <c r="A71" s="50" t="n"/>
      <c r="B71" s="40" t="n"/>
      <c r="C71" s="51" t="n"/>
      <c r="D71" s="51" t="n"/>
      <c r="E71" s="51" t="n"/>
    </row>
    <row r="72" ht="15.75" customHeight="1">
      <c r="A72" s="50" t="n"/>
      <c r="B72" s="40" t="n"/>
      <c r="C72" s="51" t="n"/>
      <c r="D72" s="51" t="n"/>
      <c r="E72" s="51" t="n"/>
    </row>
    <row r="73" ht="15.75" customHeight="1">
      <c r="A73" s="50" t="n"/>
      <c r="B73" s="40" t="n"/>
      <c r="C73" s="51" t="n"/>
      <c r="D73" s="51" t="n"/>
      <c r="E73" s="51" t="n"/>
    </row>
    <row r="74" ht="15.75" customHeight="1">
      <c r="A74" s="50" t="n"/>
      <c r="B74" s="40" t="n"/>
      <c r="C74" s="51" t="n"/>
      <c r="D74" s="51" t="n"/>
      <c r="E74" s="51" t="n"/>
    </row>
    <row r="75" ht="15.75" customHeight="1">
      <c r="A75" s="50" t="n"/>
      <c r="B75" s="40" t="n"/>
      <c r="C75" s="51" t="n"/>
      <c r="D75" s="51" t="n"/>
      <c r="E75" s="51" t="n"/>
    </row>
    <row r="76" ht="15.75" customHeight="1">
      <c r="A76" s="50" t="n"/>
      <c r="B76" s="40" t="n"/>
      <c r="C76" s="51" t="n"/>
      <c r="D76" s="51" t="n"/>
      <c r="E76" s="51" t="n"/>
    </row>
    <row r="77" ht="15.75" customHeight="1">
      <c r="A77" s="50" t="n"/>
      <c r="B77" s="40" t="n"/>
      <c r="C77" s="51" t="n"/>
      <c r="D77" s="51" t="n"/>
      <c r="E77" s="51" t="n"/>
    </row>
    <row r="78" ht="15.75" customHeight="1">
      <c r="A78" s="50" t="n"/>
      <c r="B78" s="40" t="n"/>
      <c r="C78" s="51" t="n"/>
      <c r="D78" s="51" t="n"/>
      <c r="E78" s="51" t="n"/>
    </row>
    <row r="79" ht="15.75" customHeight="1">
      <c r="A79" s="50" t="n"/>
      <c r="B79" s="40" t="n"/>
      <c r="C79" s="51" t="n"/>
      <c r="D79" s="51" t="n"/>
      <c r="E79" s="51" t="n"/>
    </row>
    <row r="80" ht="15.75" customHeight="1">
      <c r="A80" s="50" t="n"/>
      <c r="B80" s="40" t="n"/>
      <c r="C80" s="51" t="n"/>
      <c r="D80" s="51" t="n"/>
      <c r="E80" s="51" t="n"/>
    </row>
    <row r="81" ht="15.75" customHeight="1">
      <c r="A81" s="50" t="n"/>
      <c r="B81" s="40" t="n"/>
      <c r="C81" s="51" t="n"/>
      <c r="D81" s="51" t="n"/>
      <c r="E81" s="51" t="n"/>
    </row>
    <row r="82" ht="15.75" customHeight="1">
      <c r="A82" s="50" t="n"/>
      <c r="B82" s="40" t="n"/>
      <c r="C82" s="51" t="n"/>
      <c r="D82" s="51" t="n"/>
      <c r="E82" s="51" t="n"/>
    </row>
    <row r="83" ht="15.75" customHeight="1">
      <c r="A83" s="50" t="n"/>
      <c r="B83" s="40" t="n"/>
      <c r="C83" s="51" t="n"/>
      <c r="D83" s="51" t="n"/>
      <c r="E83" s="51" t="n"/>
    </row>
    <row r="84" ht="15.75" customHeight="1">
      <c r="A84" s="50" t="n"/>
      <c r="B84" s="40" t="n"/>
      <c r="C84" s="51" t="n"/>
      <c r="D84" s="51" t="n"/>
      <c r="E84" s="51" t="n"/>
    </row>
    <row r="85" ht="15.75" customHeight="1">
      <c r="A85" s="50" t="n"/>
      <c r="B85" s="40" t="n"/>
      <c r="C85" s="51" t="n"/>
      <c r="D85" s="51" t="n"/>
      <c r="E85" s="51" t="n"/>
    </row>
    <row r="86" ht="15.75" customHeight="1">
      <c r="A86" s="50" t="n"/>
      <c r="B86" s="40" t="n"/>
      <c r="C86" s="51" t="n"/>
      <c r="D86" s="51" t="n"/>
      <c r="E86" s="51" t="n"/>
    </row>
    <row r="87" ht="15.75" customHeight="1">
      <c r="A87" s="50" t="n"/>
      <c r="B87" s="40" t="n"/>
      <c r="C87" s="51" t="n"/>
      <c r="D87" s="51" t="n"/>
      <c r="E87" s="51" t="n"/>
    </row>
    <row r="88" ht="15.75" customHeight="1">
      <c r="A88" s="50" t="n"/>
      <c r="B88" s="40" t="n"/>
      <c r="C88" s="51" t="n"/>
      <c r="D88" s="51" t="n"/>
      <c r="E88" s="51" t="n"/>
    </row>
    <row r="89" ht="15.75" customHeight="1">
      <c r="A89" s="50" t="n"/>
      <c r="B89" s="40" t="n"/>
      <c r="C89" s="51" t="n"/>
      <c r="D89" s="51" t="n"/>
      <c r="E89" s="51" t="n"/>
    </row>
    <row r="90" ht="15.75" customHeight="1">
      <c r="A90" s="50" t="n"/>
      <c r="B90" s="40" t="n"/>
      <c r="C90" s="51" t="n"/>
      <c r="D90" s="51" t="n"/>
      <c r="E90" s="51" t="n"/>
    </row>
    <row r="91" ht="15.75" customHeight="1">
      <c r="A91" s="50" t="n"/>
      <c r="B91" s="40" t="n"/>
      <c r="C91" s="51" t="n"/>
      <c r="D91" s="51" t="n"/>
      <c r="E91" s="51" t="n"/>
    </row>
    <row r="92" ht="15.75" customHeight="1">
      <c r="A92" s="50" t="n"/>
      <c r="B92" s="40" t="n"/>
      <c r="C92" s="51" t="n"/>
      <c r="D92" s="51" t="n"/>
      <c r="E92" s="51" t="n"/>
    </row>
    <row r="93" ht="15.75" customHeight="1">
      <c r="A93" s="50" t="n"/>
      <c r="B93" s="40" t="n"/>
      <c r="C93" s="51" t="n"/>
      <c r="D93" s="51" t="n"/>
      <c r="E93" s="51" t="n"/>
    </row>
    <row r="94" ht="15.75" customHeight="1">
      <c r="A94" s="50" t="n"/>
      <c r="B94" s="40" t="n"/>
      <c r="C94" s="51" t="n"/>
      <c r="D94" s="51" t="n"/>
      <c r="E94" s="51" t="n"/>
    </row>
    <row r="95" ht="15.75" customHeight="1">
      <c r="A95" s="50" t="n"/>
      <c r="B95" s="40" t="n"/>
      <c r="C95" s="51" t="n"/>
      <c r="D95" s="51" t="n"/>
      <c r="E95" s="51" t="n"/>
    </row>
    <row r="96" ht="15.75" customHeight="1">
      <c r="A96" s="50" t="n"/>
      <c r="B96" s="40" t="n"/>
      <c r="C96" s="51" t="n"/>
      <c r="D96" s="51" t="n"/>
      <c r="E96" s="51" t="n"/>
    </row>
    <row r="97" ht="15.75" customHeight="1">
      <c r="A97" s="50" t="n"/>
      <c r="B97" s="40" t="n"/>
      <c r="C97" s="51" t="n"/>
      <c r="D97" s="51" t="n"/>
      <c r="E97" s="51" t="n"/>
    </row>
    <row r="98" ht="15.75" customHeight="1">
      <c r="A98" s="50" t="n"/>
      <c r="B98" s="40" t="n"/>
      <c r="C98" s="51" t="n"/>
      <c r="D98" s="51" t="n"/>
      <c r="E98" s="51" t="n"/>
    </row>
    <row r="99" ht="15.75" customHeight="1">
      <c r="A99" s="50" t="n"/>
      <c r="B99" s="40" t="n"/>
      <c r="C99" s="51" t="n"/>
      <c r="D99" s="51" t="n"/>
      <c r="E99" s="51" t="n"/>
    </row>
    <row r="100" ht="15.75" customHeight="1">
      <c r="A100" s="50" t="n"/>
      <c r="B100" s="40" t="n"/>
      <c r="C100" s="51" t="n"/>
      <c r="D100" s="51" t="n"/>
      <c r="E100" s="51" t="n"/>
    </row>
    <row r="101" ht="15.75" customHeight="1">
      <c r="A101" s="50" t="n"/>
      <c r="B101" s="40" t="n"/>
      <c r="C101" s="51" t="n"/>
      <c r="D101" s="51" t="n"/>
      <c r="E101" s="51" t="n"/>
    </row>
    <row r="102" ht="15.75" customHeight="1">
      <c r="A102" s="50" t="n"/>
      <c r="B102" s="40" t="n"/>
      <c r="C102" s="51" t="n"/>
      <c r="D102" s="51" t="n"/>
      <c r="E102" s="51" t="n"/>
    </row>
    <row r="103" ht="15.75" customHeight="1">
      <c r="A103" s="50" t="n"/>
      <c r="B103" s="40" t="n"/>
      <c r="C103" s="51" t="n"/>
      <c r="D103" s="51" t="n"/>
      <c r="E103" s="51" t="n"/>
    </row>
    <row r="104" ht="15.75" customHeight="1">
      <c r="A104" s="50" t="n"/>
      <c r="B104" s="40" t="n"/>
      <c r="C104" s="51" t="n"/>
      <c r="D104" s="51" t="n"/>
      <c r="E104" s="51" t="n"/>
    </row>
    <row r="105" ht="15.75" customHeight="1">
      <c r="A105" s="50" t="n"/>
      <c r="B105" s="40" t="n"/>
      <c r="C105" s="51" t="n"/>
      <c r="D105" s="51" t="n"/>
      <c r="E105" s="51" t="n"/>
    </row>
    <row r="106" ht="15.75" customHeight="1">
      <c r="A106" s="50" t="n"/>
      <c r="B106" s="40" t="n"/>
      <c r="C106" s="51" t="n"/>
      <c r="D106" s="51" t="n"/>
      <c r="E106" s="51" t="n"/>
    </row>
    <row r="107" ht="15.75" customHeight="1">
      <c r="A107" s="50" t="n"/>
      <c r="B107" s="40" t="n"/>
      <c r="C107" s="51" t="n"/>
      <c r="D107" s="51" t="n"/>
      <c r="E107" s="51" t="n"/>
    </row>
    <row r="108" ht="15.75" customHeight="1">
      <c r="A108" s="50" t="n"/>
      <c r="B108" s="40" t="n"/>
      <c r="C108" s="51" t="n"/>
      <c r="D108" s="51" t="n"/>
      <c r="E108" s="51" t="n"/>
    </row>
    <row r="109" ht="15.75" customHeight="1">
      <c r="A109" s="50" t="n"/>
      <c r="B109" s="40" t="n"/>
      <c r="C109" s="51" t="n"/>
      <c r="D109" s="51" t="n"/>
      <c r="E109" s="51" t="n"/>
    </row>
    <row r="110" ht="15.75" customHeight="1">
      <c r="A110" s="50" t="n"/>
      <c r="B110" s="40" t="n"/>
      <c r="C110" s="51" t="n"/>
      <c r="D110" s="51" t="n"/>
      <c r="E110" s="51" t="n"/>
    </row>
    <row r="111" ht="15.75" customHeight="1">
      <c r="A111" s="50" t="n"/>
      <c r="B111" s="40" t="n"/>
      <c r="C111" s="51" t="n"/>
      <c r="D111" s="51" t="n"/>
      <c r="E111" s="51" t="n"/>
    </row>
    <row r="112" ht="15.75" customHeight="1">
      <c r="A112" s="50" t="n"/>
      <c r="B112" s="40" t="n"/>
      <c r="C112" s="51" t="n"/>
      <c r="D112" s="51" t="n"/>
      <c r="E112" s="51" t="n"/>
    </row>
    <row r="113" ht="15.75" customHeight="1">
      <c r="A113" s="50" t="n"/>
      <c r="B113" s="40" t="n"/>
      <c r="C113" s="51" t="n"/>
      <c r="D113" s="51" t="n"/>
      <c r="E113" s="51" t="n"/>
    </row>
    <row r="114" ht="15.75" customHeight="1">
      <c r="A114" s="50" t="n"/>
      <c r="B114" s="40" t="n"/>
      <c r="C114" s="51" t="n"/>
      <c r="D114" s="51" t="n"/>
      <c r="E114" s="51" t="n"/>
    </row>
    <row r="115" ht="15.75" customHeight="1">
      <c r="A115" s="50" t="n"/>
      <c r="B115" s="40" t="n"/>
      <c r="C115" s="51" t="n"/>
      <c r="D115" s="51" t="n"/>
      <c r="E115" s="51" t="n"/>
    </row>
    <row r="116" ht="15.75" customHeight="1">
      <c r="A116" s="50" t="n"/>
      <c r="B116" s="40" t="n"/>
      <c r="C116" s="51" t="n"/>
      <c r="D116" s="51" t="n"/>
      <c r="E116" s="51" t="n"/>
    </row>
    <row r="117" ht="15.75" customHeight="1">
      <c r="A117" s="50" t="n"/>
      <c r="B117" s="40" t="n"/>
      <c r="C117" s="51" t="n"/>
      <c r="D117" s="51" t="n"/>
      <c r="E117" s="51" t="n"/>
    </row>
    <row r="118" ht="15.75" customHeight="1">
      <c r="A118" s="50" t="n"/>
      <c r="B118" s="40" t="n"/>
      <c r="C118" s="51" t="n"/>
      <c r="D118" s="51" t="n"/>
      <c r="E118" s="51" t="n"/>
    </row>
    <row r="119" ht="15.75" customHeight="1">
      <c r="A119" s="50" t="n"/>
      <c r="B119" s="40" t="n"/>
      <c r="C119" s="51" t="n"/>
      <c r="D119" s="51" t="n"/>
      <c r="E119" s="51" t="n"/>
    </row>
    <row r="120" ht="15.75" customHeight="1">
      <c r="A120" s="50" t="n"/>
      <c r="B120" s="40" t="n"/>
      <c r="C120" s="51" t="n"/>
      <c r="D120" s="51" t="n"/>
      <c r="E120" s="51" t="n"/>
    </row>
    <row r="121" ht="15.75" customHeight="1">
      <c r="A121" s="50" t="n"/>
      <c r="B121" s="40" t="n"/>
      <c r="C121" s="51" t="n"/>
      <c r="D121" s="51" t="n"/>
      <c r="E121" s="51" t="n"/>
    </row>
    <row r="122" ht="15.75" customHeight="1">
      <c r="A122" s="50" t="n"/>
      <c r="B122" s="40" t="n"/>
      <c r="C122" s="51" t="n"/>
      <c r="D122" s="51" t="n"/>
      <c r="E122" s="51" t="n"/>
    </row>
    <row r="123" ht="15.75" customHeight="1">
      <c r="A123" s="50" t="n"/>
      <c r="B123" s="40" t="n"/>
      <c r="C123" s="51" t="n"/>
      <c r="D123" s="51" t="n"/>
      <c r="E123" s="51" t="n"/>
    </row>
    <row r="124" ht="15.75" customHeight="1">
      <c r="A124" s="50" t="n"/>
      <c r="B124" s="40" t="n"/>
      <c r="C124" s="51" t="n"/>
      <c r="D124" s="51" t="n"/>
      <c r="E124" s="51" t="n"/>
    </row>
    <row r="125" ht="15.75" customHeight="1">
      <c r="A125" s="50" t="n"/>
      <c r="B125" s="40" t="n"/>
      <c r="C125" s="51" t="n"/>
      <c r="D125" s="51" t="n"/>
      <c r="E125" s="51" t="n"/>
    </row>
    <row r="126" ht="15.75" customHeight="1">
      <c r="A126" s="50" t="n"/>
      <c r="B126" s="40" t="n"/>
      <c r="C126" s="51" t="n"/>
      <c r="D126" s="51" t="n"/>
      <c r="E126" s="51" t="n"/>
    </row>
    <row r="127" ht="15.75" customHeight="1">
      <c r="A127" s="50" t="n"/>
      <c r="B127" s="40" t="n"/>
      <c r="C127" s="51" t="n"/>
      <c r="D127" s="51" t="n"/>
      <c r="E127" s="51" t="n"/>
    </row>
    <row r="128" ht="15.75" customHeight="1">
      <c r="A128" s="50" t="n"/>
      <c r="B128" s="40" t="n"/>
      <c r="C128" s="51" t="n"/>
      <c r="D128" s="51" t="n"/>
      <c r="E128" s="51" t="n"/>
    </row>
    <row r="129" ht="15.75" customHeight="1">
      <c r="A129" s="50" t="n"/>
      <c r="B129" s="40" t="n"/>
      <c r="C129" s="51" t="n"/>
      <c r="D129" s="51" t="n"/>
      <c r="E129" s="51" t="n"/>
    </row>
    <row r="130" ht="15.75" customHeight="1">
      <c r="A130" s="50" t="n"/>
      <c r="B130" s="40" t="n"/>
      <c r="C130" s="51" t="n"/>
      <c r="D130" s="51" t="n"/>
      <c r="E130" s="51" t="n"/>
    </row>
    <row r="131" ht="15.75" customHeight="1">
      <c r="A131" s="50" t="n"/>
      <c r="B131" s="40" t="n"/>
      <c r="C131" s="51" t="n"/>
      <c r="D131" s="51" t="n"/>
      <c r="E131" s="51" t="n"/>
    </row>
    <row r="132" ht="15.75" customHeight="1">
      <c r="A132" s="50" t="n"/>
      <c r="B132" s="40" t="n"/>
      <c r="C132" s="51" t="n"/>
      <c r="D132" s="51" t="n"/>
      <c r="E132" s="51" t="n"/>
    </row>
    <row r="133" ht="15.75" customHeight="1">
      <c r="A133" s="50" t="n"/>
      <c r="B133" s="40" t="n"/>
      <c r="C133" s="51" t="n"/>
      <c r="D133" s="51" t="n"/>
      <c r="E133" s="51" t="n"/>
    </row>
    <row r="134" ht="15.75" customHeight="1">
      <c r="A134" s="50" t="n"/>
      <c r="B134" s="40" t="n"/>
      <c r="C134" s="51" t="n"/>
      <c r="D134" s="51" t="n"/>
      <c r="E134" s="51" t="n"/>
    </row>
    <row r="135" ht="15.75" customHeight="1">
      <c r="A135" s="50" t="n"/>
      <c r="B135" s="40" t="n"/>
      <c r="C135" s="51" t="n"/>
      <c r="D135" s="51" t="n"/>
      <c r="E135" s="51" t="n"/>
    </row>
    <row r="136" ht="15.75" customHeight="1">
      <c r="A136" s="50" t="n"/>
      <c r="B136" s="40" t="n"/>
      <c r="C136" s="51" t="n"/>
      <c r="D136" s="51" t="n"/>
      <c r="E136" s="51" t="n"/>
    </row>
    <row r="137" ht="15.75" customHeight="1">
      <c r="A137" s="50" t="n"/>
      <c r="B137" s="40" t="n"/>
      <c r="C137" s="51" t="n"/>
      <c r="D137" s="51" t="n"/>
      <c r="E137" s="51" t="n"/>
    </row>
    <row r="138" ht="15.75" customHeight="1">
      <c r="A138" s="50" t="n"/>
      <c r="B138" s="40" t="n"/>
      <c r="C138" s="51" t="n"/>
      <c r="D138" s="51" t="n"/>
      <c r="E138" s="51" t="n"/>
    </row>
    <row r="139" ht="15.75" customHeight="1">
      <c r="A139" s="50" t="n"/>
      <c r="B139" s="40" t="n"/>
      <c r="C139" s="51" t="n"/>
      <c r="D139" s="51" t="n"/>
      <c r="E139" s="51" t="n"/>
    </row>
    <row r="140" ht="15.75" customHeight="1">
      <c r="A140" s="50" t="n"/>
      <c r="B140" s="40" t="n"/>
      <c r="C140" s="51" t="n"/>
      <c r="D140" s="51" t="n"/>
      <c r="E140" s="51" t="n"/>
    </row>
    <row r="141" ht="15.75" customHeight="1">
      <c r="A141" s="50" t="n"/>
      <c r="B141" s="40" t="n"/>
      <c r="C141" s="51" t="n"/>
      <c r="D141" s="51" t="n"/>
      <c r="E141" s="51" t="n"/>
    </row>
    <row r="142" ht="15.75" customHeight="1">
      <c r="A142" s="50" t="n"/>
      <c r="B142" s="40" t="n"/>
      <c r="C142" s="51" t="n"/>
      <c r="D142" s="51" t="n"/>
      <c r="E142" s="51" t="n"/>
    </row>
    <row r="143" ht="15.75" customHeight="1">
      <c r="A143" s="50" t="n"/>
      <c r="B143" s="40" t="n"/>
      <c r="C143" s="51" t="n"/>
      <c r="D143" s="51" t="n"/>
      <c r="E143" s="51" t="n"/>
    </row>
    <row r="144" ht="15.75" customHeight="1">
      <c r="A144" s="50" t="n"/>
      <c r="B144" s="40" t="n"/>
      <c r="C144" s="51" t="n"/>
      <c r="D144" s="51" t="n"/>
      <c r="E144" s="51" t="n"/>
    </row>
    <row r="145" ht="15.75" customHeight="1">
      <c r="A145" s="50" t="n"/>
      <c r="B145" s="40" t="n"/>
      <c r="C145" s="51" t="n"/>
      <c r="D145" s="51" t="n"/>
      <c r="E145" s="51" t="n"/>
    </row>
    <row r="146" ht="15.75" customHeight="1">
      <c r="A146" s="50" t="n"/>
      <c r="B146" s="40" t="n"/>
      <c r="C146" s="51" t="n"/>
      <c r="D146" s="51" t="n"/>
      <c r="E146" s="51" t="n"/>
    </row>
    <row r="147" ht="15.75" customHeight="1">
      <c r="A147" s="50" t="n"/>
      <c r="B147" s="40" t="n"/>
      <c r="C147" s="51" t="n"/>
      <c r="D147" s="51" t="n"/>
      <c r="E147" s="51" t="n"/>
    </row>
    <row r="148" ht="15.75" customHeight="1">
      <c r="A148" s="50" t="n"/>
      <c r="B148" s="40" t="n"/>
      <c r="C148" s="51" t="n"/>
      <c r="D148" s="51" t="n"/>
      <c r="E148" s="51" t="n"/>
    </row>
    <row r="149" ht="15.75" customHeight="1">
      <c r="A149" s="50" t="n"/>
      <c r="B149" s="40" t="n"/>
      <c r="C149" s="51" t="n"/>
      <c r="D149" s="51" t="n"/>
      <c r="E149" s="51" t="n"/>
    </row>
    <row r="150" ht="15.75" customHeight="1">
      <c r="A150" s="50" t="n"/>
      <c r="B150" s="40" t="n"/>
      <c r="C150" s="51" t="n"/>
      <c r="D150" s="51" t="n"/>
      <c r="E150" s="51" t="n"/>
    </row>
    <row r="151" ht="15.75" customHeight="1">
      <c r="A151" s="50" t="n"/>
      <c r="B151" s="40" t="n"/>
      <c r="C151" s="51" t="n"/>
      <c r="D151" s="51" t="n"/>
      <c r="E151" s="51" t="n"/>
    </row>
    <row r="152" ht="15.75" customHeight="1">
      <c r="A152" s="50" t="n"/>
      <c r="B152" s="40" t="n"/>
      <c r="C152" s="51" t="n"/>
      <c r="D152" s="51" t="n"/>
      <c r="E152" s="51" t="n"/>
    </row>
    <row r="153" ht="15.75" customHeight="1">
      <c r="A153" s="50" t="n"/>
      <c r="B153" s="40" t="n"/>
      <c r="C153" s="51" t="n"/>
      <c r="D153" s="51" t="n"/>
      <c r="E153" s="51" t="n"/>
    </row>
    <row r="154" ht="15.75" customHeight="1">
      <c r="A154" s="50" t="n"/>
      <c r="B154" s="40" t="n"/>
      <c r="C154" s="51" t="n"/>
      <c r="D154" s="51" t="n"/>
      <c r="E154" s="51" t="n"/>
    </row>
    <row r="155" ht="15.75" customHeight="1">
      <c r="A155" s="50" t="n"/>
      <c r="B155" s="40" t="n"/>
      <c r="C155" s="51" t="n"/>
      <c r="D155" s="51" t="n"/>
      <c r="E155" s="51" t="n"/>
    </row>
    <row r="156" ht="15.75" customHeight="1">
      <c r="A156" s="50" t="n"/>
      <c r="B156" s="40" t="n"/>
      <c r="C156" s="51" t="n"/>
      <c r="D156" s="51" t="n"/>
      <c r="E156" s="51" t="n"/>
    </row>
    <row r="157" ht="15.75" customHeight="1">
      <c r="A157" s="50" t="n"/>
      <c r="B157" s="40" t="n"/>
      <c r="C157" s="51" t="n"/>
      <c r="D157" s="51" t="n"/>
      <c r="E157" s="51" t="n"/>
    </row>
    <row r="158" ht="15.75" customHeight="1">
      <c r="A158" s="50" t="n"/>
      <c r="B158" s="40" t="n"/>
      <c r="C158" s="51" t="n"/>
      <c r="D158" s="51" t="n"/>
      <c r="E158" s="51" t="n"/>
    </row>
    <row r="159" ht="15.75" customHeight="1">
      <c r="A159" s="50" t="n"/>
      <c r="B159" s="40" t="n"/>
      <c r="C159" s="51" t="n"/>
      <c r="D159" s="51" t="n"/>
      <c r="E159" s="51" t="n"/>
    </row>
    <row r="160" ht="15.75" customHeight="1">
      <c r="A160" s="50" t="n"/>
      <c r="B160" s="40" t="n"/>
      <c r="C160" s="51" t="n"/>
      <c r="D160" s="51" t="n"/>
      <c r="E160" s="51" t="n"/>
    </row>
    <row r="161" ht="15.75" customHeight="1">
      <c r="A161" s="50" t="n"/>
      <c r="B161" s="40" t="n"/>
      <c r="C161" s="51" t="n"/>
      <c r="D161" s="51" t="n"/>
      <c r="E161" s="51" t="n"/>
    </row>
    <row r="162" ht="15.75" customHeight="1">
      <c r="A162" s="50" t="n"/>
      <c r="B162" s="40" t="n"/>
      <c r="C162" s="51" t="n"/>
      <c r="D162" s="51" t="n"/>
      <c r="E162" s="51" t="n"/>
    </row>
    <row r="163" ht="15.75" customHeight="1">
      <c r="A163" s="50" t="n"/>
      <c r="B163" s="40" t="n"/>
      <c r="C163" s="51" t="n"/>
      <c r="D163" s="51" t="n"/>
      <c r="E163" s="51" t="n"/>
    </row>
    <row r="164" ht="15.75" customHeight="1">
      <c r="A164" s="50" t="n"/>
      <c r="B164" s="40" t="n"/>
      <c r="C164" s="51" t="n"/>
      <c r="D164" s="51" t="n"/>
      <c r="E164" s="51" t="n"/>
    </row>
    <row r="165" ht="15.75" customHeight="1">
      <c r="A165" s="50" t="n"/>
      <c r="B165" s="40" t="n"/>
      <c r="C165" s="51" t="n"/>
      <c r="D165" s="51" t="n"/>
      <c r="E165" s="51" t="n"/>
    </row>
    <row r="166" ht="15.75" customHeight="1">
      <c r="A166" s="50" t="n"/>
      <c r="B166" s="40" t="n"/>
      <c r="C166" s="51" t="n"/>
      <c r="D166" s="51" t="n"/>
      <c r="E166" s="51" t="n"/>
    </row>
    <row r="167" ht="15.75" customHeight="1">
      <c r="A167" s="50" t="n"/>
      <c r="B167" s="40" t="n"/>
      <c r="C167" s="51" t="n"/>
      <c r="D167" s="51" t="n"/>
      <c r="E167" s="51" t="n"/>
    </row>
    <row r="168" ht="15.75" customHeight="1">
      <c r="A168" s="50" t="n"/>
      <c r="B168" s="40" t="n"/>
      <c r="C168" s="51" t="n"/>
      <c r="D168" s="51" t="n"/>
      <c r="E168" s="51" t="n"/>
    </row>
    <row r="169" ht="15.75" customHeight="1">
      <c r="A169" s="50" t="n"/>
      <c r="B169" s="40" t="n"/>
      <c r="C169" s="51" t="n"/>
      <c r="D169" s="51" t="n"/>
      <c r="E169" s="51" t="n"/>
    </row>
    <row r="170" ht="15.75" customHeight="1">
      <c r="A170" s="50" t="n"/>
      <c r="B170" s="40" t="n"/>
      <c r="C170" s="51" t="n"/>
      <c r="D170" s="51" t="n"/>
      <c r="E170" s="51" t="n"/>
    </row>
    <row r="171" ht="15.75" customHeight="1">
      <c r="A171" s="50" t="n"/>
      <c r="B171" s="40" t="n"/>
      <c r="C171" s="51" t="n"/>
      <c r="D171" s="51" t="n"/>
      <c r="E171" s="51" t="n"/>
    </row>
    <row r="172" ht="15.75" customHeight="1">
      <c r="A172" s="50" t="n"/>
      <c r="B172" s="40" t="n"/>
      <c r="C172" s="51" t="n"/>
      <c r="D172" s="51" t="n"/>
      <c r="E172" s="51" t="n"/>
    </row>
    <row r="173" ht="15.75" customHeight="1">
      <c r="A173" s="50" t="n"/>
      <c r="B173" s="40" t="n"/>
      <c r="C173" s="51" t="n"/>
      <c r="D173" s="51" t="n"/>
      <c r="E173" s="51" t="n"/>
    </row>
    <row r="174" ht="15.75" customHeight="1">
      <c r="A174" s="50" t="n"/>
      <c r="B174" s="40" t="n"/>
      <c r="C174" s="51" t="n"/>
      <c r="D174" s="51" t="n"/>
      <c r="E174" s="51" t="n"/>
    </row>
    <row r="175" ht="15.75" customHeight="1">
      <c r="A175" s="50" t="n"/>
      <c r="B175" s="40" t="n"/>
      <c r="C175" s="51" t="n"/>
      <c r="D175" s="51" t="n"/>
      <c r="E175" s="51" t="n"/>
    </row>
    <row r="176" ht="15.75" customHeight="1">
      <c r="A176" s="50" t="n"/>
      <c r="B176" s="40" t="n"/>
      <c r="C176" s="51" t="n"/>
      <c r="D176" s="51" t="n"/>
      <c r="E176" s="51" t="n"/>
    </row>
    <row r="177" ht="15.75" customHeight="1">
      <c r="A177" s="50" t="n"/>
      <c r="B177" s="40" t="n"/>
      <c r="C177" s="51" t="n"/>
      <c r="D177" s="51" t="n"/>
      <c r="E177" s="51" t="n"/>
    </row>
    <row r="178" ht="15.75" customHeight="1">
      <c r="A178" s="50" t="n"/>
      <c r="B178" s="40" t="n"/>
      <c r="C178" s="51" t="n"/>
      <c r="D178" s="51" t="n"/>
      <c r="E178" s="51" t="n"/>
    </row>
    <row r="179" ht="15.75" customHeight="1">
      <c r="A179" s="50" t="n"/>
      <c r="B179" s="40" t="n"/>
      <c r="C179" s="51" t="n"/>
      <c r="D179" s="51" t="n"/>
      <c r="E179" s="51" t="n"/>
    </row>
    <row r="180" ht="15.75" customHeight="1">
      <c r="A180" s="50" t="n"/>
      <c r="B180" s="40" t="n"/>
      <c r="C180" s="51" t="n"/>
      <c r="D180" s="51" t="n"/>
      <c r="E180" s="51" t="n"/>
    </row>
    <row r="181" ht="15.75" customHeight="1">
      <c r="A181" s="50" t="n"/>
      <c r="B181" s="40" t="n"/>
      <c r="C181" s="51" t="n"/>
      <c r="D181" s="51" t="n"/>
      <c r="E181" s="51" t="n"/>
    </row>
    <row r="182" ht="15.75" customHeight="1">
      <c r="A182" s="50" t="n"/>
      <c r="B182" s="40" t="n"/>
      <c r="C182" s="51" t="n"/>
      <c r="D182" s="51" t="n"/>
      <c r="E182" s="51" t="n"/>
    </row>
    <row r="183" ht="15.75" customHeight="1">
      <c r="A183" s="50" t="n"/>
      <c r="B183" s="40" t="n"/>
      <c r="C183" s="51" t="n"/>
      <c r="D183" s="51" t="n"/>
      <c r="E183" s="51" t="n"/>
    </row>
    <row r="184" ht="15.75" customHeight="1">
      <c r="A184" s="50" t="n"/>
      <c r="B184" s="40" t="n"/>
      <c r="C184" s="51" t="n"/>
      <c r="D184" s="51" t="n"/>
      <c r="E184" s="51" t="n"/>
    </row>
    <row r="185" ht="15.75" customHeight="1">
      <c r="A185" s="50" t="n"/>
      <c r="B185" s="40" t="n"/>
      <c r="C185" s="51" t="n"/>
      <c r="D185" s="51" t="n"/>
      <c r="E185" s="51" t="n"/>
    </row>
    <row r="186" ht="15.75" customHeight="1">
      <c r="A186" s="50" t="n"/>
      <c r="B186" s="40" t="n"/>
      <c r="C186" s="51" t="n"/>
      <c r="D186" s="51" t="n"/>
      <c r="E186" s="51" t="n"/>
    </row>
    <row r="187" ht="15.75" customHeight="1">
      <c r="A187" s="50" t="n"/>
      <c r="B187" s="40" t="n"/>
      <c r="C187" s="51" t="n"/>
      <c r="D187" s="51" t="n"/>
      <c r="E187" s="51" t="n"/>
    </row>
    <row r="188" ht="15.75" customHeight="1">
      <c r="A188" s="50" t="n"/>
      <c r="B188" s="40" t="n"/>
      <c r="C188" s="51" t="n"/>
      <c r="D188" s="51" t="n"/>
      <c r="E188" s="51" t="n"/>
    </row>
    <row r="189" ht="15.75" customHeight="1">
      <c r="A189" s="50" t="n"/>
      <c r="B189" s="40" t="n"/>
      <c r="C189" s="51" t="n"/>
      <c r="D189" s="51" t="n"/>
      <c r="E189" s="51" t="n"/>
    </row>
    <row r="190" ht="15.75" customHeight="1">
      <c r="A190" s="50" t="n"/>
      <c r="B190" s="40" t="n"/>
      <c r="C190" s="51" t="n"/>
      <c r="D190" s="51" t="n"/>
      <c r="E190" s="51" t="n"/>
    </row>
    <row r="191" ht="15.75" customHeight="1">
      <c r="A191" s="50" t="n"/>
      <c r="B191" s="40" t="n"/>
      <c r="C191" s="51" t="n"/>
      <c r="D191" s="51" t="n"/>
      <c r="E191" s="51" t="n"/>
    </row>
    <row r="192" ht="15.75" customHeight="1">
      <c r="A192" s="50" t="n"/>
      <c r="B192" s="40" t="n"/>
      <c r="C192" s="51" t="n"/>
      <c r="D192" s="51" t="n"/>
      <c r="E192" s="51" t="n"/>
    </row>
    <row r="193" ht="15.75" customHeight="1">
      <c r="A193" s="50" t="n"/>
      <c r="B193" s="40" t="n"/>
      <c r="C193" s="51" t="n"/>
      <c r="D193" s="51" t="n"/>
      <c r="E193" s="51" t="n"/>
    </row>
    <row r="194" ht="15.75" customHeight="1">
      <c r="A194" s="50" t="n"/>
      <c r="B194" s="40" t="n"/>
      <c r="C194" s="51" t="n"/>
      <c r="D194" s="51" t="n"/>
      <c r="E194" s="51" t="n"/>
    </row>
    <row r="195" ht="15.75" customHeight="1">
      <c r="A195" s="50" t="n"/>
      <c r="B195" s="40" t="n"/>
      <c r="C195" s="51" t="n"/>
      <c r="D195" s="51" t="n"/>
      <c r="E195" s="51" t="n"/>
    </row>
    <row r="196" ht="15.75" customHeight="1">
      <c r="A196" s="50" t="n"/>
      <c r="B196" s="40" t="n"/>
      <c r="C196" s="51" t="n"/>
      <c r="D196" s="51" t="n"/>
      <c r="E196" s="51" t="n"/>
    </row>
    <row r="197" ht="15.75" customHeight="1">
      <c r="A197" s="50" t="n"/>
      <c r="B197" s="40" t="n"/>
      <c r="C197" s="51" t="n"/>
      <c r="D197" s="51" t="n"/>
      <c r="E197" s="51" t="n"/>
    </row>
    <row r="198" ht="15.75" customHeight="1">
      <c r="A198" s="50" t="n"/>
      <c r="B198" s="40" t="n"/>
      <c r="C198" s="51" t="n"/>
      <c r="D198" s="51" t="n"/>
      <c r="E198" s="51" t="n"/>
    </row>
    <row r="199" ht="15.75" customHeight="1">
      <c r="A199" s="50" t="n"/>
      <c r="B199" s="40" t="n"/>
      <c r="C199" s="51" t="n"/>
      <c r="D199" s="51" t="n"/>
      <c r="E199" s="51" t="n"/>
    </row>
    <row r="200" ht="15.75" customHeight="1">
      <c r="A200" s="50" t="n"/>
      <c r="B200" s="40" t="n"/>
      <c r="C200" s="51" t="n"/>
      <c r="D200" s="51" t="n"/>
      <c r="E200" s="51" t="n"/>
    </row>
    <row r="201" ht="15.75" customHeight="1">
      <c r="A201" s="50" t="n"/>
      <c r="B201" s="40" t="n"/>
      <c r="C201" s="51" t="n"/>
      <c r="D201" s="51" t="n"/>
      <c r="E201" s="51" t="n"/>
    </row>
    <row r="202" ht="15.75" customHeight="1">
      <c r="A202" s="50" t="n"/>
      <c r="B202" s="40" t="n"/>
      <c r="C202" s="51" t="n"/>
      <c r="D202" s="51" t="n"/>
      <c r="E202" s="51" t="n"/>
    </row>
    <row r="203" ht="15.75" customHeight="1">
      <c r="A203" s="50" t="n"/>
      <c r="B203" s="40" t="n"/>
      <c r="C203" s="51" t="n"/>
      <c r="D203" s="51" t="n"/>
      <c r="E203" s="51" t="n"/>
    </row>
    <row r="204" ht="15.75" customHeight="1">
      <c r="A204" s="50" t="n"/>
      <c r="B204" s="40" t="n"/>
      <c r="C204" s="51" t="n"/>
      <c r="D204" s="51" t="n"/>
      <c r="E204" s="51" t="n"/>
    </row>
    <row r="205" ht="15.75" customHeight="1">
      <c r="A205" s="50" t="n"/>
      <c r="B205" s="40" t="n"/>
      <c r="C205" s="51" t="n"/>
      <c r="D205" s="51" t="n"/>
      <c r="E205" s="51" t="n"/>
    </row>
    <row r="206" ht="15.75" customHeight="1">
      <c r="A206" s="50" t="n"/>
      <c r="B206" s="40" t="n"/>
      <c r="C206" s="51" t="n"/>
      <c r="D206" s="51" t="n"/>
      <c r="E206" s="51" t="n"/>
    </row>
    <row r="207" ht="15.75" customHeight="1">
      <c r="A207" s="50" t="n"/>
      <c r="B207" s="40" t="n"/>
      <c r="C207" s="51" t="n"/>
      <c r="D207" s="51" t="n"/>
      <c r="E207" s="51" t="n"/>
    </row>
    <row r="208" ht="15.75" customHeight="1">
      <c r="A208" s="50" t="n"/>
      <c r="B208" s="40" t="n"/>
      <c r="C208" s="51" t="n"/>
      <c r="D208" s="51" t="n"/>
      <c r="E208" s="51" t="n"/>
    </row>
    <row r="209" ht="15.75" customHeight="1">
      <c r="A209" s="50" t="n"/>
      <c r="B209" s="40" t="n"/>
      <c r="C209" s="51" t="n"/>
      <c r="D209" s="51" t="n"/>
      <c r="E209" s="51" t="n"/>
    </row>
    <row r="210" ht="15.75" customHeight="1">
      <c r="A210" s="50" t="n"/>
      <c r="B210" s="40" t="n"/>
      <c r="C210" s="51" t="n"/>
      <c r="D210" s="51" t="n"/>
      <c r="E210" s="51" t="n"/>
    </row>
    <row r="211" ht="15.75" customHeight="1">
      <c r="A211" s="50" t="n"/>
      <c r="B211" s="40" t="n"/>
      <c r="C211" s="51" t="n"/>
      <c r="D211" s="51" t="n"/>
      <c r="E211" s="51" t="n"/>
    </row>
    <row r="212" ht="15.75" customHeight="1">
      <c r="A212" s="50" t="n"/>
      <c r="B212" s="40" t="n"/>
      <c r="C212" s="51" t="n"/>
      <c r="D212" s="51" t="n"/>
      <c r="E212" s="51" t="n"/>
    </row>
    <row r="213" ht="15.75" customHeight="1">
      <c r="A213" s="50" t="n"/>
      <c r="B213" s="40" t="n"/>
      <c r="C213" s="51" t="n"/>
      <c r="D213" s="51" t="n"/>
      <c r="E213" s="51" t="n"/>
    </row>
    <row r="214" ht="15.75" customHeight="1">
      <c r="A214" s="50" t="n"/>
      <c r="B214" s="40" t="n"/>
      <c r="C214" s="51" t="n"/>
      <c r="D214" s="51" t="n"/>
      <c r="E214" s="51" t="n"/>
    </row>
    <row r="215" ht="15.75" customHeight="1">
      <c r="A215" s="50" t="n"/>
      <c r="B215" s="40" t="n"/>
      <c r="C215" s="51" t="n"/>
      <c r="D215" s="51" t="n"/>
      <c r="E215" s="51" t="n"/>
    </row>
    <row r="216" ht="15.75" customHeight="1">
      <c r="A216" s="50" t="n"/>
      <c r="B216" s="40" t="n"/>
      <c r="C216" s="51" t="n"/>
      <c r="D216" s="51" t="n"/>
      <c r="E216" s="51" t="n"/>
    </row>
    <row r="217" ht="15.75" customHeight="1">
      <c r="A217" s="50" t="n"/>
      <c r="B217" s="40" t="n"/>
      <c r="C217" s="51" t="n"/>
      <c r="D217" s="51" t="n"/>
      <c r="E217" s="51" t="n"/>
    </row>
    <row r="218" ht="15.75" customHeight="1">
      <c r="A218" s="50" t="n"/>
      <c r="B218" s="40" t="n"/>
      <c r="C218" s="51" t="n"/>
      <c r="D218" s="51" t="n"/>
      <c r="E218" s="51" t="n"/>
    </row>
    <row r="219" ht="15.75" customHeight="1">
      <c r="A219" s="50" t="n"/>
      <c r="B219" s="40" t="n"/>
      <c r="C219" s="51" t="n"/>
      <c r="D219" s="51" t="n"/>
      <c r="E219" s="51" t="n"/>
    </row>
    <row r="220" ht="15.75" customHeight="1">
      <c r="A220" s="50" t="n"/>
      <c r="B220" s="40" t="n"/>
      <c r="C220" s="51" t="n"/>
      <c r="D220" s="51" t="n"/>
      <c r="E220" s="51" t="n"/>
    </row>
    <row r="221" ht="15.75" customHeight="1">
      <c r="A221" s="50" t="n"/>
      <c r="B221" s="40" t="n"/>
      <c r="C221" s="51" t="n"/>
      <c r="D221" s="51" t="n"/>
      <c r="E221" s="51" t="n"/>
    </row>
    <row r="222" ht="15.75" customHeight="1">
      <c r="A222" s="50" t="n"/>
      <c r="B222" s="40" t="n"/>
      <c r="C222" s="51" t="n"/>
      <c r="D222" s="51" t="n"/>
      <c r="E222" s="51" t="n"/>
    </row>
    <row r="223" ht="15.75" customHeight="1">
      <c r="A223" s="50" t="n"/>
      <c r="B223" s="40" t="n"/>
      <c r="C223" s="51" t="n"/>
      <c r="D223" s="51" t="n"/>
      <c r="E223" s="51" t="n"/>
    </row>
    <row r="224" ht="15.75" customHeight="1">
      <c r="A224" s="50" t="n"/>
      <c r="B224" s="40" t="n"/>
      <c r="C224" s="51" t="n"/>
      <c r="D224" s="51" t="n"/>
      <c r="E224" s="51" t="n"/>
    </row>
    <row r="225" ht="15.75" customHeight="1">
      <c r="A225" s="50" t="n"/>
      <c r="B225" s="40" t="n"/>
      <c r="C225" s="51" t="n"/>
      <c r="D225" s="51" t="n"/>
      <c r="E225" s="51" t="n"/>
    </row>
    <row r="226" ht="15.75" customHeight="1">
      <c r="A226" s="50" t="n"/>
      <c r="B226" s="40" t="n"/>
      <c r="C226" s="51" t="n"/>
      <c r="D226" s="51" t="n"/>
      <c r="E226" s="51" t="n"/>
    </row>
    <row r="227" ht="15.75" customHeight="1">
      <c r="A227" s="50" t="n"/>
      <c r="B227" s="40" t="n"/>
      <c r="C227" s="51" t="n"/>
      <c r="D227" s="51" t="n"/>
      <c r="E227" s="51" t="n"/>
    </row>
    <row r="228" ht="15.75" customHeight="1">
      <c r="A228" s="50" t="n"/>
      <c r="B228" s="40" t="n"/>
      <c r="C228" s="51" t="n"/>
      <c r="D228" s="51" t="n"/>
      <c r="E228" s="51" t="n"/>
    </row>
    <row r="229" ht="15.75" customHeight="1">
      <c r="A229" s="50" t="n"/>
      <c r="B229" s="40" t="n"/>
      <c r="C229" s="51" t="n"/>
      <c r="D229" s="51" t="n"/>
      <c r="E229" s="51" t="n"/>
    </row>
    <row r="230" ht="15.75" customHeight="1">
      <c r="A230" s="50" t="n"/>
      <c r="B230" s="40" t="n"/>
      <c r="C230" s="51" t="n"/>
      <c r="D230" s="51" t="n"/>
      <c r="E230" s="51" t="n"/>
    </row>
    <row r="231" ht="15.75" customHeight="1">
      <c r="A231" s="50" t="n"/>
      <c r="B231" s="40" t="n"/>
      <c r="C231" s="51" t="n"/>
      <c r="D231" s="51" t="n"/>
      <c r="E231" s="51" t="n"/>
    </row>
    <row r="232" ht="15.75" customHeight="1">
      <c r="A232" s="50" t="n"/>
      <c r="B232" s="40" t="n"/>
      <c r="C232" s="51" t="n"/>
      <c r="D232" s="51" t="n"/>
      <c r="E232" s="51" t="n"/>
    </row>
    <row r="233" ht="15.75" customHeight="1">
      <c r="A233" s="50" t="n"/>
      <c r="B233" s="40" t="n"/>
      <c r="C233" s="51" t="n"/>
      <c r="D233" s="51" t="n"/>
      <c r="E233" s="51" t="n"/>
    </row>
    <row r="234" ht="15.75" customHeight="1">
      <c r="A234" s="50" t="n"/>
      <c r="B234" s="40" t="n"/>
      <c r="C234" s="51" t="n"/>
      <c r="D234" s="51" t="n"/>
      <c r="E234" s="51" t="n"/>
    </row>
    <row r="235" ht="15.75" customHeight="1">
      <c r="A235" s="50" t="n"/>
      <c r="B235" s="40" t="n"/>
      <c r="C235" s="51" t="n"/>
      <c r="D235" s="51" t="n"/>
      <c r="E235" s="51" t="n"/>
    </row>
    <row r="236" ht="15.75" customHeight="1">
      <c r="A236" s="50" t="n"/>
      <c r="B236" s="40" t="n"/>
      <c r="C236" s="51" t="n"/>
      <c r="D236" s="51" t="n"/>
      <c r="E236" s="51" t="n"/>
    </row>
    <row r="237" ht="15.75" customHeight="1">
      <c r="A237" s="50" t="n"/>
      <c r="B237" s="40" t="n"/>
      <c r="C237" s="51" t="n"/>
      <c r="D237" s="51" t="n"/>
      <c r="E237" s="51" t="n"/>
    </row>
    <row r="238" ht="15.75" customHeight="1">
      <c r="A238" s="50" t="n"/>
      <c r="B238" s="40" t="n"/>
      <c r="C238" s="51" t="n"/>
      <c r="D238" s="51" t="n"/>
      <c r="E238" s="51" t="n"/>
    </row>
    <row r="239" ht="15.75" customHeight="1">
      <c r="A239" s="50" t="n"/>
      <c r="B239" s="40" t="n"/>
      <c r="C239" s="51" t="n"/>
      <c r="D239" s="51" t="n"/>
      <c r="E239" s="51" t="n"/>
    </row>
    <row r="240" ht="15.75" customHeight="1">
      <c r="A240" s="50" t="n"/>
      <c r="B240" s="40" t="n"/>
      <c r="C240" s="51" t="n"/>
      <c r="D240" s="51" t="n"/>
      <c r="E240" s="51" t="n"/>
    </row>
    <row r="241" ht="15.75" customHeight="1">
      <c r="A241" s="50" t="n"/>
      <c r="B241" s="40" t="n"/>
      <c r="C241" s="51" t="n"/>
      <c r="D241" s="51" t="n"/>
      <c r="E241" s="51" t="n"/>
    </row>
    <row r="242" ht="15.75" customHeight="1">
      <c r="A242" s="50" t="n"/>
      <c r="B242" s="40" t="n"/>
      <c r="C242" s="51" t="n"/>
      <c r="D242" s="51" t="n"/>
      <c r="E242" s="51" t="n"/>
    </row>
    <row r="243" ht="15.75" customHeight="1">
      <c r="A243" s="50" t="n"/>
      <c r="B243" s="40" t="n"/>
      <c r="C243" s="51" t="n"/>
      <c r="D243" s="51" t="n"/>
      <c r="E243" s="51" t="n"/>
    </row>
    <row r="244" ht="15.75" customHeight="1">
      <c r="A244" s="50" t="n"/>
      <c r="B244" s="40" t="n"/>
      <c r="C244" s="51" t="n"/>
      <c r="D244" s="51" t="n"/>
      <c r="E244" s="51" t="n"/>
    </row>
    <row r="245" ht="15.75" customHeight="1">
      <c r="A245" s="50" t="n"/>
      <c r="B245" s="40" t="n"/>
      <c r="C245" s="51" t="n"/>
      <c r="D245" s="51" t="n"/>
      <c r="E245" s="51" t="n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6" customHeight="1"/>
    <row r="1004" ht="16" customHeight="1"/>
  </sheetData>
  <autoFilter ref="A1:M2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Managing Director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Deliver IIH mission outcomes and institutional credibility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Ensure financial sustainability through diversified revenue and partnerships</t>
        </is>
      </c>
      <c r="D4" s="8" t="inlineStr">
        <is>
          <t>(1) Secure ₦X in grants/sponsorship/revenue (2) Maintain annual budget adherence within ±X% (3) Establish at least 2 sustainable revenue lines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Strengthen governance rhythm and enterprise execution quality</t>
        </is>
      </c>
      <c r="D5" s="8" t="inlineStr">
        <is>
          <t>(1) Monthly leadership dashboard published on time (2) At least 95% strategic milestone delivery rate (3) Reduce critical escalations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IIH relevance through new innovation programs</t>
        </is>
      </c>
      <c r="D6" s="8" t="inlineStr">
        <is>
          <t>(1) Launch at least 2 flagship initiatives in 2026 (2) Run quarterly improvement reviews and implement actions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stakeholder confidence and user experience</t>
        </is>
      </c>
      <c r="D7" s="8" t="inlineStr">
        <is>
          <t>(1) Achieve target user satisfaction/NPS (2) Increase positive PR/stakeholder feedback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Director of Programs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Drive measurable ecosystem and program outcomes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Improve program financial sustainability</t>
        </is>
      </c>
      <c r="D4" s="8" t="inlineStr">
        <is>
          <t>(1) Secure support/sponsorship for at least X programs (2) Reduce cost per participant/startup by X% without quality loss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programs consistently and on schedule</t>
        </is>
      </c>
      <c r="D5" s="8" t="inlineStr">
        <is>
          <t>(1) At least 95% adherence to annual program calendar (2) 100% quarterly M&amp;E reporting compliance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Keep offerings relevant and future-facing</t>
        </is>
      </c>
      <c r="D6" s="8" t="inlineStr">
        <is>
          <t>(1) Refresh program design/curriculum at least 2 times yearly (2) Pilot at least 1 new high-impact program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participant and partner experience</t>
        </is>
      </c>
      <c r="D7" s="8" t="inlineStr">
        <is>
          <t>(1) Participant satisfaction at or above X% (2) Program completion/retention rate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Director of Operations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Enable mission delivery through reliable operations</t>
        </is>
      </c>
      <c r="D3" s="8" t="inlineStr">
        <is>
          <t>KR-E1, KR-E2, KR-E3 (common)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Deliver cost discipline and value-for-money operations</t>
        </is>
      </c>
      <c r="D4" s="8" t="inlineStr">
        <is>
          <t>(1) Keep controllable opex within approved threshold (2) Achieve measurable procurement savings of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reliability and service quality</t>
        </is>
      </c>
      <c r="D5" s="8" t="inlineStr">
        <is>
          <t>(1) Achieve at least 95% SLA performance across core services (2) Facility uptime at or above X% (3) Vendor scorecard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Digitize and standardize operations</t>
        </is>
      </c>
      <c r="D6" s="8" t="inlineStr">
        <is>
          <t>(1) Implement at least 3 operations automation/process improvements (2) Reduce key process cycle times by X%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internal and external service experience</t>
        </is>
      </c>
      <c r="D7" s="8" t="inlineStr">
        <is>
          <t>(1) Improve service satisfaction score to at least X% (2) Reduce complaint resolution time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Project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Drive governance and reporting discipline</t>
        </is>
      </c>
      <c r="D3" s="8" t="inlineStr">
        <is>
          <t>(1) QBR pack produced monthly with 100% timeliness (2) ≥95% action closure rate on MD/leadership actions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Improve project execution efficiency</t>
        </is>
      </c>
      <c r="D4" s="8" t="inlineStr">
        <is>
          <t>(1) Track project spend variance monthly (2) Reduce avoidable execution delays/cost overruns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Strengthen cross-functional coordination cadence</t>
        </is>
      </c>
      <c r="D5" s="8" t="inlineStr">
        <is>
          <t>(1) Meeting notes and action logs issued within 24 hours (2) Cross-team dependencies resolved within agreed SLAs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Improve delivery systems and reporting quality</t>
        </is>
      </c>
      <c r="D6" s="8" t="inlineStr">
        <is>
          <t>(1) Implement at least 2 project governance/process upgrades (2) Standardize reporting templates across workstreams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leadership and team service responsiveness</t>
        </is>
      </c>
      <c r="D7" s="8" t="inlineStr">
        <is>
          <t>(1) Executive stakeholder satisfaction at or above X% (2) Reduce turnaround time for critical requests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Provide stable tech backbone for hub success</t>
        </is>
      </c>
      <c r="D3" s="8" t="inlineStr">
        <is>
          <t>(1) Maintain ≥99% uptime for core systems (2) Zero critical tech outages impacting programs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Optimize IT spend and vendor value</t>
        </is>
      </c>
      <c r="D4" s="8" t="inlineStr">
        <is>
          <t>(1) Keep IT spend within approved budget (2) Deliver X% savings through license/vendor optimization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IT support reliability and speed</t>
        </is>
      </c>
      <c r="D5" s="8" t="inlineStr">
        <is>
          <t>(1) Ticket SLA compliance at or above X% (2) Mean resolution time at or below target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Modernize digital systems and controls</t>
        </is>
      </c>
      <c r="D6" s="8" t="inlineStr">
        <is>
          <t>(1) Deliver at least 2 priority IT improvements (2) Complete periodic security/compliance checks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user technology experience</t>
        </is>
      </c>
      <c r="D7" s="8" t="inlineStr">
        <is>
          <t>(1) User satisfaction score at or above X% (2) Reduce repeat support issues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Program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Deliver high-performing cohorts &amp; measurable outcomes</t>
        </is>
      </c>
      <c r="D3" s="8" t="inlineStr">
        <is>
          <t>(1) Achieve cohort outcomes targets (2) Produce monthly impact report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Manage program budgets efficiently</t>
        </is>
      </c>
      <c r="D4" s="8" t="inlineStr">
        <is>
          <t>(1) Keep program budget variance within ±X% (2) Improve cost effectiveness per cohort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programs on time and to standard</t>
        </is>
      </c>
      <c r="D5" s="8" t="inlineStr">
        <is>
          <t>(1) At least 95% activity-level schedule adherence (2) Timely issue/risk escalation and closure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program design through evidence</t>
        </is>
      </c>
      <c r="D6" s="8" t="inlineStr">
        <is>
          <t>(1) Implement at least 2 improvements based on participant/partner feedback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participant and partner experience</t>
        </is>
      </c>
      <c r="D7" s="8" t="inlineStr">
        <is>
          <t>(1) Participant satisfaction at or above X% (2) Partner feedback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Community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Grow and activate IIH community ecosystem</t>
        </is>
      </c>
      <c r="D3" s="8" t="inlineStr">
        <is>
          <t>(1) Increase active community participation by X% year-on-year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Support revenue and retention through community value</t>
        </is>
      </c>
      <c r="D4" s="8" t="inlineStr">
        <is>
          <t>(1) Improve paying member retention by X% (2) Support conversion pipeline from community activities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Deliver consistent community operations</t>
        </is>
      </c>
      <c r="D5" s="8" t="inlineStr">
        <is>
          <t>(1) Execute planned community calendar at or above 95% adherence (2) Maintain accurate engagement reporting monthly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Experiment with new engagement formats</t>
        </is>
      </c>
      <c r="D6" s="8" t="inlineStr">
        <is>
          <t>(1) Pilot at least 2 new engagement formats with documented outcomes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2" customHeight="1">
      <c r="A7" s="2" t="n"/>
      <c r="B7" s="9" t="inlineStr">
        <is>
          <t>Customer Service</t>
        </is>
      </c>
      <c r="C7" s="9" t="inlineStr">
        <is>
          <t>Improve member/community satisfaction</t>
        </is>
      </c>
      <c r="D7" s="8" t="inlineStr">
        <is>
          <t>(1) Achieve target community satisfaction score (2) Reduce response time to member queries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Content Lead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</t>
        </is>
      </c>
      <c r="C3" s="9" t="inlineStr">
        <is>
          <t>Elevate IIH visibility and strategic messaging</t>
        </is>
      </c>
      <c r="D3" s="8" t="inlineStr">
        <is>
          <t>(1) Publish quarterly impact storytelling reports (2) Improve media/PR outcomes by X%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business development with content assets</t>
        </is>
      </c>
      <c r="D4" s="8" t="inlineStr">
        <is>
          <t>(1) Produce at least X sponsor/investor-ready content packs per quarter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content production consistency</t>
        </is>
      </c>
      <c r="D5" s="8" t="inlineStr">
        <is>
          <t>(1) Maintain content calendar adherence at or above 95% (2) Reduce turnaround time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formats and quality standards</t>
        </is>
      </c>
      <c r="D6" s="8" t="inlineStr">
        <is>
          <t>(1) Introduce at least 2 new storytelling formats (2) Maintain quality review process compliance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stakeholder communication quality</t>
        </is>
      </c>
      <c r="D7" s="8" t="inlineStr">
        <is>
          <t>(1) Stakeholder communication quality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Social Media Manager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Grow IIH digital footprint and brand relevance</t>
        </is>
      </c>
      <c r="D3" s="8" t="inlineStr">
        <is>
          <t>(1) Reach growth +X% (2) Engagement rate ≥X%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sponsorship visibility and campaign outcomes</t>
        </is>
      </c>
      <c r="D4" s="8" t="inlineStr">
        <is>
          <t>(1) Deliver campaign visibility commitments for at least X partners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Ensure disciplined digital publishing operations</t>
        </is>
      </c>
      <c r="D5" s="8" t="inlineStr">
        <is>
          <t>(1) Weekly analytics reports delivered 100% on time (2) Posting cadence adherence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Test and optimize channel performance</t>
        </is>
      </c>
      <c r="D6" s="8" t="inlineStr">
        <is>
          <t>(1) Run at least 2 structured experiments per quarter and apply learnings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responsiveness and audience trust</t>
        </is>
      </c>
      <c r="D7" s="8" t="inlineStr">
        <is>
          <t>(1) Community response-time SLA met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Finance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Ensure financial integrity supporting mission</t>
        </is>
      </c>
      <c r="D3" s="8" t="inlineStr">
        <is>
          <t>(1) 100% accurate monthly reports submitted on time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2" customHeight="1">
      <c r="A4" s="2" t="n"/>
      <c r="B4" s="9" t="inlineStr">
        <is>
          <t>Financial</t>
        </is>
      </c>
      <c r="C4" s="9" t="inlineStr">
        <is>
          <t>Strengthen controls and compliance</t>
        </is>
      </c>
      <c r="D4" s="8" t="inlineStr">
        <is>
          <t>(1) Zero preventable reconciliation breaks (2) Budget variance tracking completed monthly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finance process turnaround</t>
        </is>
      </c>
      <c r="D5" s="8" t="inlineStr">
        <is>
          <t>(1) Payment processing within agreed SLA (2) Payroll/input accuracy at 100%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tooling and reporting workflows</t>
        </is>
      </c>
      <c r="D6" s="8" t="inlineStr">
        <is>
          <t>(1) Implement at least 2 finance process improvements/automations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service quality to staff/vendors</t>
        </is>
      </c>
      <c r="D7" s="8" t="inlineStr">
        <is>
          <t>(1) Internal finance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Program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smooth delivery of program operations</t>
        </is>
      </c>
      <c r="D3" s="8" t="inlineStr">
        <is>
          <t>(1) Program documentation and trackers maintained at 100% completeness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use of program resources</t>
        </is>
      </c>
      <c r="D4" s="8" t="inlineStr">
        <is>
          <t>(1) Timely and accurate support for budget/input documentation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administrative reliability</t>
        </is>
      </c>
      <c r="D5" s="8" t="inlineStr">
        <is>
          <t>(1) Logistics/readiness checklist compliance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execution support methods</t>
        </is>
      </c>
      <c r="D6" s="8" t="inlineStr">
        <is>
          <t>(1) Implement at least 1 improvement to coordination workflow each quarter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Support positive participant experience</t>
        </is>
      </c>
      <c r="D7" s="8" t="inlineStr">
        <is>
          <t>(1) Resolve participant/admin requests within agreed SLA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Admin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Ensure hub admin stability</t>
        </is>
      </c>
      <c r="D3" s="8" t="inlineStr">
        <is>
          <t>(1) 95% SLA achievement for admin requests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administrative cost control</t>
        </is>
      </c>
      <c r="D4" s="8" t="inlineStr">
        <is>
          <t>(1) Track and report admin cost efficiency opportunities monthly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records, scheduling and coordination</t>
        </is>
      </c>
      <c r="D5" s="8" t="inlineStr">
        <is>
          <t>(1) Administrative cycle time reduced by X% (2) Documentation accuracy maintained at high standard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Digitize and standardize admin operations</t>
        </is>
      </c>
      <c r="D6" s="8" t="inlineStr">
        <is>
          <t>(1) Maintain up-to-date digital registers/logs for key admin processes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internal service satisfaction</t>
        </is>
      </c>
      <c r="D7" s="8" t="inlineStr">
        <is>
          <t>(1) Internal admin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HR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</t>
        </is>
      </c>
      <c r="C3" s="9" t="inlineStr">
        <is>
          <t>Enable people stability and culture</t>
        </is>
      </c>
      <c r="D3" s="8" t="inlineStr">
        <is>
          <t>(1) Hiring cycle delivery within X days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HR process efficiency</t>
        </is>
      </c>
      <c r="D4" s="8" t="inlineStr">
        <is>
          <t>(1) Track recruitment/process cost efficiency and reduce avoidable delays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HR process compliance</t>
        </is>
      </c>
      <c r="D5" s="8" t="inlineStr">
        <is>
          <t>(1) Employee records completeness at 100% (2) Hiring/admin process SLA adherence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Strengthen HR systems and templates</t>
        </is>
      </c>
      <c r="D6" s="8" t="inlineStr">
        <is>
          <t>(1) Implement at least 2 HR process/document improvements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employee HR service experience</t>
        </is>
      </c>
      <c r="D7" s="8" t="inlineStr">
        <is>
          <t>(1) Employee HR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Facility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reliable facility operations and safety</t>
        </is>
      </c>
      <c r="D3" s="8" t="inlineStr">
        <is>
          <t>(1) Maintain safe, functional environment for staff/users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facility cost efficiency</t>
        </is>
      </c>
      <c r="D4" s="8" t="inlineStr">
        <is>
          <t>(1) Track maintenance spend and reduce avoidable costs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maintenance and service responsiveness</t>
        </is>
      </c>
      <c r="D5" s="8" t="inlineStr">
        <is>
          <t>(1) Work-order closure within SLA at or above X% (2) Preventive maintenance adherence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maintenance planning and vendor coordination</t>
        </is>
      </c>
      <c r="D6" s="8" t="inlineStr">
        <is>
          <t>(1) Introduce and maintain preventive maintenance tracker and scorecards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facility service experience</t>
        </is>
      </c>
      <c r="D7" s="8" t="inlineStr">
        <is>
          <t>(1) User complaints related to facilities reduced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Associate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dependable first-line technical support</t>
        </is>
      </c>
      <c r="D3" s="8" t="inlineStr">
        <is>
          <t>(1) Support continuity of digital operations with timely issue handling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use of IT resources</t>
        </is>
      </c>
      <c r="D4" s="8" t="inlineStr">
        <is>
          <t>(1) Assist in inventory/license tracking with minimal losses/waste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support performance</t>
        </is>
      </c>
      <c r="D5" s="8" t="inlineStr">
        <is>
          <t>(1) Ticket handling SLA at or above X% (2) First-contact resolution improved by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Build technical troubleshooting capability</t>
        </is>
      </c>
      <c r="D6" s="8" t="inlineStr">
        <is>
          <t>(1) Complete agreed technical upskilling milestones and apply to support tasks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end-user support experience</t>
        </is>
      </c>
      <c r="D7" s="8" t="inlineStr">
        <is>
          <t>(1) End-user support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Graphic &amp; Multimedia Designer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Produce high-quality visual outputs for IIH priorities</t>
        </is>
      </c>
      <c r="D3" s="8" t="inlineStr">
        <is>
          <t>(1) Deliver priority design assets aligned to program and brand goals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Improve value from media/design outputs</t>
        </is>
      </c>
      <c r="D4" s="8" t="inlineStr">
        <is>
          <t>(1) Reduce external design dependency cost by X% via in-house delivery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production workflow and predictability</t>
        </is>
      </c>
      <c r="D5" s="8" t="inlineStr">
        <is>
          <t>(1) Deliver approved briefs within agreed timelines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2" customHeight="1">
      <c r="A6" s="2" t="n"/>
      <c r="B6" s="9" t="inlineStr">
        <is>
          <t>Innovation &amp; Learning</t>
        </is>
      </c>
      <c r="C6" s="9" t="inlineStr">
        <is>
          <t>Expand design and multimedia capabilities</t>
        </is>
      </c>
      <c r="D6" s="8" t="inlineStr">
        <is>
          <t>(1) Introduce at least 2 improved visual formats/styles with measurable engagement lift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stakeholder experience with design support</t>
        </is>
      </c>
      <c r="D7" s="8" t="inlineStr">
        <is>
          <t>(1) Internal stakeholder satisfaction with design support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IT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Maintain day-to-day IT service continuity</t>
        </is>
      </c>
      <c r="D3" s="8" t="inlineStr">
        <is>
          <t>(1) Ensure stable support coverage for core user needs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cost-conscious operations</t>
        </is>
      </c>
      <c r="D4" s="8" t="inlineStr">
        <is>
          <t>(1) Minimize repeat issues and avoidable replacement costs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Deliver responsive support service</t>
        </is>
      </c>
      <c r="D5" s="8" t="inlineStr">
        <is>
          <t>(1) Ticket response and resolution SLAs achieved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troubleshooting and documentation quality</t>
        </is>
      </c>
      <c r="D6" s="8" t="inlineStr">
        <is>
          <t>(1) Maintain updated knowledge base for recurring issues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user confidence in support services</t>
        </is>
      </c>
      <c r="D7" s="8" t="inlineStr">
        <is>
          <t>(1) User support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Facility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Support day-to-day facility readiness and hygiene</t>
        </is>
      </c>
      <c r="D3" s="8" t="inlineStr">
        <is>
          <t>(1) Maintain operational readiness of assigned facility areas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efficient consumables and service usage</t>
        </is>
      </c>
      <c r="D4" s="8" t="inlineStr">
        <is>
          <t>(1) Reduce avoidable wastage in consumables/utilities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Deliver routine support tasks consistently</t>
        </is>
      </c>
      <c r="D5" s="8" t="inlineStr">
        <is>
          <t>(1) Assigned task completion rate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practical work methods and safety practice</t>
        </is>
      </c>
      <c r="D6" s="8" t="inlineStr">
        <is>
          <t>(1) Follow and improve standard operating procedures with supervisor guidance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facility user experience</t>
        </is>
      </c>
      <c r="D7" s="8" t="inlineStr">
        <is>
          <t>(1) Facility-related complaints in assigned areas reduced by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Front Desk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professional first-point engagement for IIH</t>
        </is>
      </c>
      <c r="D3" s="8" t="inlineStr">
        <is>
          <t>(1) Maintain high-quality reception and visitor handling standards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accurate records for service utilization</t>
        </is>
      </c>
      <c r="D4" s="8" t="inlineStr">
        <is>
          <t>(1) Maintain complete and accurate front-desk logs/reporting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front-desk process consistency</t>
        </is>
      </c>
      <c r="D5" s="8" t="inlineStr">
        <is>
          <t>(1) Visitor check-in/check-out SLA at or above X%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service and communication practices</t>
        </is>
      </c>
      <c r="D6" s="8" t="inlineStr">
        <is>
          <t>(1) Implement agreed service-improvement actions each quarter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visitor and stakeholder experience</t>
        </is>
      </c>
      <c r="D7" s="8" t="inlineStr">
        <is>
          <t>(1) Front-desk satisfaction score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Hospitality Support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2" customHeight="1">
      <c r="A3" s="2" t="n"/>
      <c r="B3" s="9" t="inlineStr">
        <is>
          <t>Enterprise Goals (Common)</t>
        </is>
      </c>
      <c r="C3" s="9" t="inlineStr">
        <is>
          <t>Deliver consistent hospitality support for events and daily operations</t>
        </is>
      </c>
      <c r="D3" s="8" t="inlineStr">
        <is>
          <t>(1) Ensure readiness and service standards for all assigned sessions/events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cost-effective hospitality operations</t>
        </is>
      </c>
      <c r="D4" s="8" t="inlineStr">
        <is>
          <t>(1) Minimize avoidable hospitality waste by X%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" customHeight="1">
      <c r="A5" s="2" t="n"/>
      <c r="B5" s="9" t="inlineStr">
        <is>
          <t>Operational Efficiency</t>
        </is>
      </c>
      <c r="C5" s="9" t="inlineStr">
        <is>
          <t>Improve service execution consistency</t>
        </is>
      </c>
      <c r="D5" s="8" t="inlineStr">
        <is>
          <t>(1) Task completion and setup readiness at or above 95%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service quality practices</t>
        </is>
      </c>
      <c r="D6" s="8" t="inlineStr">
        <is>
          <t>(1) Adopt and maintain service SOP/checklist standards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participant/guest service experience</t>
        </is>
      </c>
      <c r="D7" s="8" t="inlineStr">
        <is>
          <t>(1) Hospitality service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6640625" customWidth="1" min="1" max="1"/>
    <col width="34" customWidth="1" min="2" max="2"/>
    <col width="48" customWidth="1" min="3" max="3"/>
    <col width="68" customWidth="1" min="4" max="4"/>
    <col width="8.6640625" customWidth="1" min="5" max="6"/>
  </cols>
  <sheetData>
    <row r="1" ht="16" customHeight="1">
      <c r="A1" s="2" t="n"/>
      <c r="B1" s="6" t="inlineStr">
        <is>
          <t>Driver</t>
        </is>
      </c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7" t="inlineStr">
        <is>
          <t>Dimension</t>
        </is>
      </c>
      <c r="C2" s="7" t="inlineStr">
        <is>
          <t>Objective</t>
        </is>
      </c>
      <c r="D2" s="8" t="inlineStr">
        <is>
          <t>Key Result Areas (KRAs)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" customHeight="1">
      <c r="A3" s="2" t="n"/>
      <c r="B3" s="9" t="inlineStr">
        <is>
          <t>Enterprise Goals (Common)</t>
        </is>
      </c>
      <c r="C3" s="9" t="inlineStr">
        <is>
          <t>Provide safe and reliable transport support</t>
        </is>
      </c>
      <c r="D3" s="8" t="inlineStr">
        <is>
          <t>(1) Maintain punctual and incident-free transport operations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" customHeight="1">
      <c r="A4" s="2" t="n"/>
      <c r="B4" s="9" t="inlineStr">
        <is>
          <t>Financial</t>
        </is>
      </c>
      <c r="C4" s="9" t="inlineStr">
        <is>
          <t>Support transport cost discipline</t>
        </is>
      </c>
      <c r="D4" s="8" t="inlineStr">
        <is>
          <t>(1) Improve route/fuel efficiency by X% while maintaining service quality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2" customHeight="1">
      <c r="A5" s="2" t="n"/>
      <c r="B5" s="9" t="inlineStr">
        <is>
          <t>Operational Efficiency</t>
        </is>
      </c>
      <c r="C5" s="9" t="inlineStr">
        <is>
          <t>Improve transport planning and compliance</t>
        </is>
      </c>
      <c r="D5" s="8" t="inlineStr">
        <is>
          <t>(1) On-time trip completion at or above X% (2) Vehicle logbook and maintenance compliance at 100%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" customHeight="1">
      <c r="A6" s="2" t="n"/>
      <c r="B6" s="9" t="inlineStr">
        <is>
          <t>Innovation &amp; Learning</t>
        </is>
      </c>
      <c r="C6" s="9" t="inlineStr">
        <is>
          <t>Improve safety and service professionalism</t>
        </is>
      </c>
      <c r="D6" s="8" t="inlineStr">
        <is>
          <t>(1) Complete required safety/compliance refreshers and apply standards consistently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" customHeight="1">
      <c r="A7" s="2" t="n"/>
      <c r="B7" s="9" t="inlineStr">
        <is>
          <t>Customer Service</t>
        </is>
      </c>
      <c r="C7" s="9" t="inlineStr">
        <is>
          <t>Improve transport service experience</t>
        </is>
      </c>
      <c r="D7" s="8" t="inlineStr">
        <is>
          <t>(1) Internal customer transport satisfaction at or above X%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8.83203125" customWidth="1" min="1" max="1"/>
    <col width="8.6640625" customWidth="1" min="2" max="2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1" t="inlineStr">
        <is>
          <t>Excellent. We’ll do this properly and build a complete, board-ready grading architecture for IIH using: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10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11" t="inlineStr">
        <is>
          <t>Grades 1–6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10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11" t="inlineStr">
        <is>
          <t>Sub-bands A / B / C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10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10" t="inlineStr">
        <is>
          <t>Promotion logic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10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10" t="inlineStr">
        <is>
          <t>Salary band logic (no figures)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10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10" t="inlineStr">
        <is>
          <t>Mapping current roles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10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10" t="inlineStr">
        <is>
          <t>Governance guardrails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1" t="inlineStr">
        <is>
          <t>This will be clean, scalable, and defensible.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1" customHeight="1">
      <c r="A20" s="2" t="n"/>
      <c r="B20" s="2" t="n"/>
      <c r="C20" s="2" t="n"/>
      <c r="D20" s="12" t="inlineStr">
        <is>
          <t>PART 1 — FINAL IIH GRADING ARCHITECTURE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13" t="inlineStr">
        <is>
          <t>Direction of Scale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10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11" t="inlineStr">
        <is>
          <t>Grade 1A = Most senior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10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11" t="inlineStr">
        <is>
          <t>Grade 6C = Entry level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1" t="inlineStr">
        <is>
          <t>There are 18 total progression levels.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13" t="inlineStr">
        <is>
          <t>Grade Framework (Structural Meaning)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5" t="inlineStr">
        <is>
          <t>🔵 Grade 1 — Enterprise Leadership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1" t="inlineStr">
        <is>
          <t>Owns strategy, funding, institutional reputation.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10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10" t="inlineStr">
        <is>
          <t>1A – Mature institutional leader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10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10" t="inlineStr">
        <is>
          <t>1B – Established enterprise lead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10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10" t="inlineStr">
        <is>
          <t>1C – Scaling enterprise leader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5" t="inlineStr">
        <is>
          <t>🔷 Grade 2 — Department Heads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1" t="inlineStr">
        <is>
          <t>Own budgets, people, and departmental outcomes.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10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10" t="inlineStr">
        <is>
          <t>2A – High-performing department head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10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10" t="inlineStr">
        <is>
          <t>2B – Stable department leader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10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10" t="inlineStr">
        <is>
          <t>2C – Newly appointed department head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5" t="inlineStr">
        <is>
          <t>🟢 Grade 3 — Function / Delivery Owners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1" t="inlineStr">
        <is>
          <t>Own execution engines; may manage teams.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10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10" t="inlineStr">
        <is>
          <t>3A – Mature function owner managing managers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10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10" t="inlineStr">
        <is>
          <t>3B – Established manager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10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10" t="inlineStr">
        <is>
          <t>3C – New manager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5" t="inlineStr">
        <is>
          <t>🟣 Grade 4 — Senior Specialists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1" t="inlineStr">
        <is>
          <t>High expertise, high autonomy, limited people management.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10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10" t="inlineStr">
        <is>
          <t>4A – Cross-functional influence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10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10" t="inlineStr">
        <is>
          <t>4B – Independent specialist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10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10" t="inlineStr">
        <is>
          <t>4C – Developing specialist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5" t="inlineStr">
        <is>
          <t>🟡 Grade 5 — Associates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1" t="inlineStr">
        <is>
          <t>Execution support with growing autonomy.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10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10" t="inlineStr">
        <is>
          <t>5A – Highly independent associate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10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10" t="inlineStr">
        <is>
          <t>5B – Competent associate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10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10" t="inlineStr">
        <is>
          <t>5C – Entry associate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5" t="inlineStr">
        <is>
          <t>⚪ Grade 6 — Support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1" t="inlineStr">
        <is>
          <t>Operational support roles.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10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10" t="inlineStr">
        <is>
          <t>6A – Experienced support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10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10" t="inlineStr">
        <is>
          <t>6B – Trained support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10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10" t="inlineStr">
        <is>
          <t>6C – Entry support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12" t="inlineStr">
        <is>
          <t>PART 2 — SALARY BAND LOGIC (WITHOUT NUMBERS)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1" t="inlineStr">
        <is>
          <t>Each grade has a salary range. A/B/C represent position within that range.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13" t="inlineStr">
        <is>
          <t>Structure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10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10" t="inlineStr">
        <is>
          <t>Each grade has a band width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10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10" t="inlineStr">
        <is>
          <t>C = 80–90% of band midpoint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10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10" t="inlineStr">
        <is>
          <t>B = 90–105%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10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10" t="inlineStr">
        <is>
          <t>A = 105–120%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1" t="inlineStr">
        <is>
          <t>Promotion from: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10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10" t="inlineStr">
        <is>
          <t>4A → 3C (new grade reset to lower band)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10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10" t="inlineStr">
        <is>
          <t>Not 4A → 3B automatically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1" t="inlineStr">
        <is>
          <t>Important rule: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10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10" t="inlineStr">
        <is>
          <t>No Grade 6A earns more than Grade 5C.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1" t="inlineStr">
        <is>
          <t>That protects structural integrity.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12" t="inlineStr">
        <is>
          <t>PART 3 — PROMOTION CRITERIA MATRIX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1" t="inlineStr">
        <is>
          <t>Promotion must be based on capability expansion, not tenure.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13" t="inlineStr">
        <is>
          <t>Movement Within Same Grade (C → B → A)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1" t="inlineStr">
        <is>
          <t>Requires: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10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10" t="inlineStr">
        <is>
          <t>1. 2 consecutive strong performance cycles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10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10" t="inlineStr">
        <is>
          <t>2. Demonstrated autonomy increase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10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10" t="inlineStr">
        <is>
          <t>3. Expanded complexity handled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10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10" t="inlineStr">
        <is>
          <t>4. No compliance issues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13" t="inlineStr">
        <is>
          <t>Movement Across Grades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1" t="inlineStr">
        <is>
          <t>Requires: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10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10" t="inlineStr">
        <is>
          <t>1. Role redesign or scope expansion</t>
        </is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10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10" t="inlineStr">
        <is>
          <t>2. Budget or people management increase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10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10" t="inlineStr">
        <is>
          <t>3. Higher decision authority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10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10" t="inlineStr">
        <is>
          <t>4. Approval from MD + Admin Head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1" t="inlineStr">
        <is>
          <t>No automatic promotion for years served.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12" t="inlineStr">
        <is>
          <t>PART 4 — MAPPING CURRENT IIH ROLES INTO NEW STRUCTURE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5" t="inlineStr">
        <is>
          <t>Grade 1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1" t="inlineStr">
        <is>
          <t>Managing Director → 1B (until institution fully mature)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5" t="inlineStr">
        <is>
          <t>Grade 2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1" t="inlineStr">
        <is>
          <t>Programs Lead → 2B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1" t="inlineStr">
        <is>
          <t>Operations Lead → 2B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1" t="inlineStr">
        <is>
          <t>Admin Lead (if exists) → 2B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5" t="inlineStr">
        <is>
          <t>Grade 3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1" t="inlineStr">
        <is>
          <t>Program Manager → 3B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1" t="inlineStr">
        <is>
          <t>IT Manager → 3B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1" t="inlineStr">
        <is>
          <t>Community Manager → 3B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1" t="inlineStr">
        <is>
          <t>Executive Assistant &amp; Project Manager → 3C–3B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5" t="inlineStr">
        <is>
          <t>Grade 4</t>
        </is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1" t="inlineStr">
        <is>
          <t>Finance Associate → 4B</t>
        </is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1" t="inlineStr">
        <is>
          <t>Content Lead → 4B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1" t="inlineStr">
        <is>
          <t>Social Media Manager → 4C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1" t="inlineStr">
        <is>
          <t>HR Associate → 4C</t>
        </is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5" t="inlineStr">
        <is>
          <t>Grade 5</t>
        </is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1" t="inlineStr">
        <is>
          <t>Program Associate → 5B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1" t="inlineStr">
        <is>
          <t>Admin Associate → 5B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1" t="inlineStr">
        <is>
          <t>IT Associate → 5B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1" t="inlineStr">
        <is>
          <t>Graphic Designer → 5B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1" t="inlineStr">
        <is>
          <t>Facility Associate → 5B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5" t="inlineStr">
        <is>
          <t>Grade 6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1" t="inlineStr">
        <is>
          <t>IT Support → 6B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1" t="inlineStr">
        <is>
          <t>Community Support → 6B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1" t="inlineStr">
        <is>
          <t>Facility Support → 6B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1" t="inlineStr">
        <is>
          <t>Front Desk → 6B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1" t="inlineStr">
        <is>
          <t>Hospitality Support → 6C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1" t="inlineStr">
        <is>
          <t>Driver → 6B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12" t="inlineStr">
        <is>
          <t>PART 5 — GOVERNANCE RULES (CRITICAL)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1" t="inlineStr">
        <is>
          <t>To prevent grade inflation: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10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10" t="inlineStr">
        <is>
          <t>1. Only MD + Head of Admin approve grade changes.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10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10" t="inlineStr">
        <is>
          <t>2. Titles cannot be created without grade mapping.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10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10" t="inlineStr">
        <is>
          <t>3. Annual grade audit required.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10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10" t="inlineStr">
        <is>
          <t>4. Any new role must be point-scored before approval.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10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10" t="inlineStr">
        <is>
          <t>5. Sub-band movement limited to once per year.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12" t="inlineStr">
        <is>
          <t>PART 6 — WHY THIS SYSTEM WORKS</t>
        </is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1" t="inlineStr">
        <is>
          <t>It:</t>
        </is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10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10" t="inlineStr">
        <is>
          <t>Prevents title inflation</t>
        </is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10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10" t="inlineStr">
        <is>
          <t>Protects cost structure</t>
        </is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10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10" t="inlineStr">
        <is>
          <t>Encourages performance progression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10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10" t="inlineStr">
        <is>
          <t>Creates transparent promotion pathways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10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10" t="inlineStr">
        <is>
          <t>Supports NGO governance requirements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10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10" t="inlineStr">
        <is>
          <t>Scales without redesign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12" t="inlineStr">
        <is>
          <t>PART 7 — WHAT THIS DOES FOR A START-UP HUB</t>
        </is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10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10" t="inlineStr">
        <is>
          <t>Allows growth without chaos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10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10" t="inlineStr">
        <is>
          <t>Avoids premature hierarchy</t>
        </is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10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10" t="inlineStr">
        <is>
          <t>Makes cost forecasting predictable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10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10" t="inlineStr">
        <is>
          <t>Keeps structure lean</t>
        </is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10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10" t="inlineStr">
        <is>
          <t>Aligns with donor scrutiny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12" t="inlineStr">
        <is>
          <t>FINAL STRUCTURE SNAPSHOT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14" t="inlineStr">
        <is>
          <t>Grade 1A–C  → Enterprise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14" t="inlineStr">
        <is>
          <t>Grade 2A–C  → Department Heads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14" t="inlineStr">
        <is>
          <t>Grade 3A–C  → Managers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14" t="inlineStr">
        <is>
          <t>Grade 4A–C  → Senior Specialists</t>
        </is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14" t="inlineStr">
        <is>
          <t>Grade 5A–C  → Associates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14" t="inlineStr">
        <is>
          <t>Grade 6A–C  → Support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1" t="inlineStr">
        <is>
          <t>If you want next, I can: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10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10" t="inlineStr">
        <is>
          <t>Draft the formal grading policy document (board-ready)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10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10" t="inlineStr">
        <is>
          <t>Create a salary modelling worksheet structure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10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10" t="inlineStr">
        <is>
          <t>Build a promotion eligibility checklist template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10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10" t="inlineStr">
        <is>
          <t>Or stress-test whether IIH is top-heavy under this system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1" t="inlineStr">
        <is>
          <t>Tell me which direction you want next.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2026-01-21T10:30:55Z</dcterms:created>
  <dcterms:modified xsi:type="dcterms:W3CDTF">2026-02-25T11:33:26Z</dcterms:modified>
  <cp:lastModifiedBy>Temi Kolawole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0x010100BF74ADF3E0D7234AB135BD976B53C994</vt:lpwstr>
  </property>
  <property name="MSIP_Label_e3b90c06-e7c4-4c73-a336-43ba8a9e9e19_Removed" fmtid="{D5CDD505-2E9C-101B-9397-08002B2CF9AE}" pid="4">
    <vt:lpwstr>False</vt:lpwstr>
  </property>
  <property name="MSIP_Label_e3b90c06-e7c4-4c73-a336-43ba8a9e9e19_ActionId" fmtid="{D5CDD505-2E9C-101B-9397-08002B2CF9AE}" pid="5">
    <vt:lpwstr>aa7cff5f-183c-404e-94b1-0423627a0e82</vt:lpwstr>
  </property>
  <property name="MSIP_Label_e3b90c06-e7c4-4c73-a336-43ba8a9e9e19_Name" fmtid="{D5CDD505-2E9C-101B-9397-08002B2CF9AE}" pid="6">
    <vt:lpwstr>Confidential</vt:lpwstr>
  </property>
  <property name="MSIP_Label_e3b90c06-e7c4-4c73-a336-43ba8a9e9e19_SetDate" fmtid="{D5CDD505-2E9C-101B-9397-08002B2CF9AE}" pid="7">
    <vt:lpwstr>2026-02-04T22:18:48Z</vt:lpwstr>
  </property>
  <property name="MSIP_Label_e3b90c06-e7c4-4c73-a336-43ba8a9e9e19_SiteId" fmtid="{D5CDD505-2E9C-101B-9397-08002B2CF9AE}" pid="8">
    <vt:lpwstr>5dadcdcb-ea32-47fe-84b2-0f6cc63c2e0f</vt:lpwstr>
  </property>
  <property name="MSIP_Label_e3b90c06-e7c4-4c73-a336-43ba8a9e9e19_Enabled" fmtid="{D5CDD505-2E9C-101B-9397-08002B2CF9AE}" pid="9">
    <vt:lpwstr>True</vt:lpwstr>
  </property>
  <property name="MSIP_Label_e3b90c06-e7c4-4c73-a336-43ba8a9e9e19_Extended_MSFT_Method" fmtid="{D5CDD505-2E9C-101B-9397-08002B2CF9AE}" pid="10">
    <vt:lpwstr>Standard</vt:lpwstr>
  </property>
  <property name="Sensitivity" fmtid="{D5CDD505-2E9C-101B-9397-08002B2CF9AE}" pid="11">
    <vt:lpwstr>Confidential</vt:lpwstr>
  </property>
</Properties>
</file>